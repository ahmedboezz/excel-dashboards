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CV\DataAnalyst\Freelance_Portfolio\04_Logistics_Shipments\Excel\"/>
    </mc:Choice>
  </mc:AlternateContent>
  <xr:revisionPtr revIDLastSave="0" documentId="13_ncr:1_{F7FAEBDE-4F50-4E29-84A7-4B316FCE6D04}"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s" sheetId="2" r:id="rId2"/>
    <sheet name="Data" sheetId="3" r:id="rId3"/>
    <sheet name="About" sheetId="4" r:id="rId4"/>
  </sheets>
  <definedNames>
    <definedName name="_xlnm.Print_Area" localSheetId="0">Dashboard!$A$1:$BP$49</definedName>
    <definedName name="Slicer_CustomerType">#N/A</definedName>
    <definedName name="Slicer_DestinationRegion">#N/A</definedName>
    <definedName name="Slicer_ServiceLevel">#N/A</definedName>
    <definedName name="Slicer_Warehouse">#N/A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0" i="1" l="1"/>
  <c r="BC8" i="1"/>
  <c r="AP10" i="1"/>
  <c r="AP8" i="1"/>
  <c r="AC10" i="1"/>
  <c r="AC8" i="1"/>
  <c r="P10" i="1"/>
  <c r="P8" i="1"/>
  <c r="C10" i="1"/>
  <c r="C8" i="1"/>
</calcChain>
</file>

<file path=xl/sharedStrings.xml><?xml version="1.0" encoding="utf-8"?>
<sst xmlns="http://schemas.openxmlformats.org/spreadsheetml/2006/main" count="50574" uniqueCount="5743">
  <si>
    <t>ShipmentID</t>
  </si>
  <si>
    <t>ShipDate</t>
  </si>
  <si>
    <t>Year</t>
  </si>
  <si>
    <t>Quarter</t>
  </si>
  <si>
    <t>Month</t>
  </si>
  <si>
    <t>Carrier</t>
  </si>
  <si>
    <t>Warehouse</t>
  </si>
  <si>
    <t>DestinationRegion</t>
  </si>
  <si>
    <t>ServiceLevel</t>
  </si>
  <si>
    <t>Mode</t>
  </si>
  <si>
    <t>CustomerType</t>
  </si>
  <si>
    <t>WeightKg</t>
  </si>
  <si>
    <t>DistanceKm</t>
  </si>
  <si>
    <t>PromisedDays</t>
  </si>
  <si>
    <t>ActualDays</t>
  </si>
  <si>
    <t>OnTime</t>
  </si>
  <si>
    <t>DelayDays</t>
  </si>
  <si>
    <t>ShippingCost</t>
  </si>
  <si>
    <t>Damaged</t>
  </si>
  <si>
    <t>Shipments</t>
  </si>
  <si>
    <t>SHP-500001</t>
  </si>
  <si>
    <t>Q1</t>
  </si>
  <si>
    <t>Jan</t>
  </si>
  <si>
    <t>BlueArrow</t>
  </si>
  <si>
    <t>DC-North</t>
  </si>
  <si>
    <t>Western</t>
  </si>
  <si>
    <t>Standard</t>
  </si>
  <si>
    <t>Road</t>
  </si>
  <si>
    <t>B2B</t>
  </si>
  <si>
    <t>SHP-500002</t>
  </si>
  <si>
    <t>TransGlobe</t>
  </si>
  <si>
    <t>Economy</t>
  </si>
  <si>
    <t>B2C</t>
  </si>
  <si>
    <t>SHP-500003</t>
  </si>
  <si>
    <t>RapidRoute</t>
  </si>
  <si>
    <t>DC-Coastal</t>
  </si>
  <si>
    <t>Central</t>
  </si>
  <si>
    <t>SHP-500004</t>
  </si>
  <si>
    <t>SwiftLine</t>
  </si>
  <si>
    <t>DC-Central</t>
  </si>
  <si>
    <t>Express</t>
  </si>
  <si>
    <t>Air</t>
  </si>
  <si>
    <t>SHP-500005</t>
  </si>
  <si>
    <t>Northern</t>
  </si>
  <si>
    <t>SHP-500006</t>
  </si>
  <si>
    <t>SHP-500007</t>
  </si>
  <si>
    <t>SHP-500008</t>
  </si>
  <si>
    <t>SHP-500009</t>
  </si>
  <si>
    <t>Eastern</t>
  </si>
  <si>
    <t>SHP-500010</t>
  </si>
  <si>
    <t>SHP-500011</t>
  </si>
  <si>
    <t>Southern</t>
  </si>
  <si>
    <t>SHP-500012</t>
  </si>
  <si>
    <t>SHP-500013</t>
  </si>
  <si>
    <t>SHP-500014</t>
  </si>
  <si>
    <t>SHP-500015</t>
  </si>
  <si>
    <t>SHP-500016</t>
  </si>
  <si>
    <t>CargoMax</t>
  </si>
  <si>
    <t>SHP-500017</t>
  </si>
  <si>
    <t>SHP-500018</t>
  </si>
  <si>
    <t>SHP-500019</t>
  </si>
  <si>
    <t>SHP-500020</t>
  </si>
  <si>
    <t>SHP-500021</t>
  </si>
  <si>
    <t>SHP-500022</t>
  </si>
  <si>
    <t>SHP-500023</t>
  </si>
  <si>
    <t>SHP-500024</t>
  </si>
  <si>
    <t>SHP-500025</t>
  </si>
  <si>
    <t>SHP-500026</t>
  </si>
  <si>
    <t>SHP-500027</t>
  </si>
  <si>
    <t>SHP-500028</t>
  </si>
  <si>
    <t>SHP-500029</t>
  </si>
  <si>
    <t>SHP-500030</t>
  </si>
  <si>
    <t>SHP-500031</t>
  </si>
  <si>
    <t>SHP-500032</t>
  </si>
  <si>
    <t>SHP-500033</t>
  </si>
  <si>
    <t>SHP-500034</t>
  </si>
  <si>
    <t>SHP-500035</t>
  </si>
  <si>
    <t>SHP-500036</t>
  </si>
  <si>
    <t>SHP-500037</t>
  </si>
  <si>
    <t>SHP-500038</t>
  </si>
  <si>
    <t>SHP-500039</t>
  </si>
  <si>
    <t>SHP-500040</t>
  </si>
  <si>
    <t>SHP-500041</t>
  </si>
  <si>
    <t>SHP-500042</t>
  </si>
  <si>
    <t>SHP-500043</t>
  </si>
  <si>
    <t>SHP-500044</t>
  </si>
  <si>
    <t>SHP-500045</t>
  </si>
  <si>
    <t>SHP-500046</t>
  </si>
  <si>
    <t>SHP-500047</t>
  </si>
  <si>
    <t>SHP-500048</t>
  </si>
  <si>
    <t>SHP-500049</t>
  </si>
  <si>
    <t>SHP-500050</t>
  </si>
  <si>
    <t>SHP-500051</t>
  </si>
  <si>
    <t>SHP-500052</t>
  </si>
  <si>
    <t>SHP-500053</t>
  </si>
  <si>
    <t>SHP-500054</t>
  </si>
  <si>
    <t>SHP-500055</t>
  </si>
  <si>
    <t>SHP-500056</t>
  </si>
  <si>
    <t>SHP-500057</t>
  </si>
  <si>
    <t>SHP-500058</t>
  </si>
  <si>
    <t>SHP-500059</t>
  </si>
  <si>
    <t>SHP-500060</t>
  </si>
  <si>
    <t>SHP-500061</t>
  </si>
  <si>
    <t>SHP-500062</t>
  </si>
  <si>
    <t>SHP-500063</t>
  </si>
  <si>
    <t>SHP-500064</t>
  </si>
  <si>
    <t>SHP-500065</t>
  </si>
  <si>
    <t>SHP-500066</t>
  </si>
  <si>
    <t>SHP-500067</t>
  </si>
  <si>
    <t>SHP-500068</t>
  </si>
  <si>
    <t>SHP-500069</t>
  </si>
  <si>
    <t>SHP-500070</t>
  </si>
  <si>
    <t>SHP-500071</t>
  </si>
  <si>
    <t>SHP-500072</t>
  </si>
  <si>
    <t>SHP-500073</t>
  </si>
  <si>
    <t>SHP-500074</t>
  </si>
  <si>
    <t>SHP-500075</t>
  </si>
  <si>
    <t>SHP-500076</t>
  </si>
  <si>
    <t>SHP-500077</t>
  </si>
  <si>
    <t>SHP-500078</t>
  </si>
  <si>
    <t>SHP-500079</t>
  </si>
  <si>
    <t>SHP-500080</t>
  </si>
  <si>
    <t>SHP-500081</t>
  </si>
  <si>
    <t>SHP-500082</t>
  </si>
  <si>
    <t>SHP-500083</t>
  </si>
  <si>
    <t>SHP-500084</t>
  </si>
  <si>
    <t>SHP-500085</t>
  </si>
  <si>
    <t>SHP-500086</t>
  </si>
  <si>
    <t>SHP-500087</t>
  </si>
  <si>
    <t>SHP-500088</t>
  </si>
  <si>
    <t>SHP-500089</t>
  </si>
  <si>
    <t>SHP-500090</t>
  </si>
  <si>
    <t>SHP-500091</t>
  </si>
  <si>
    <t>SHP-500092</t>
  </si>
  <si>
    <t>SHP-500093</t>
  </si>
  <si>
    <t>SHP-500094</t>
  </si>
  <si>
    <t>SHP-500095</t>
  </si>
  <si>
    <t>SHP-500096</t>
  </si>
  <si>
    <t>SHP-500097</t>
  </si>
  <si>
    <t>SHP-500098</t>
  </si>
  <si>
    <t>SHP-500099</t>
  </si>
  <si>
    <t>SHP-500100</t>
  </si>
  <si>
    <t>SHP-500101</t>
  </si>
  <si>
    <t>SHP-500102</t>
  </si>
  <si>
    <t>SHP-500103</t>
  </si>
  <si>
    <t>SHP-500104</t>
  </si>
  <si>
    <t>SHP-500105</t>
  </si>
  <si>
    <t>SHP-500106</t>
  </si>
  <si>
    <t>SHP-500107</t>
  </si>
  <si>
    <t>SHP-500108</t>
  </si>
  <si>
    <t>SHP-500109</t>
  </si>
  <si>
    <t>SHP-500110</t>
  </si>
  <si>
    <t>SHP-500111</t>
  </si>
  <si>
    <t>SHP-500112</t>
  </si>
  <si>
    <t>SHP-500113</t>
  </si>
  <si>
    <t>SHP-500114</t>
  </si>
  <si>
    <t>SHP-500115</t>
  </si>
  <si>
    <t>SHP-500116</t>
  </si>
  <si>
    <t>SHP-500117</t>
  </si>
  <si>
    <t>SHP-500118</t>
  </si>
  <si>
    <t>SHP-500119</t>
  </si>
  <si>
    <t>SHP-500120</t>
  </si>
  <si>
    <t>SHP-500121</t>
  </si>
  <si>
    <t>SHP-500122</t>
  </si>
  <si>
    <t>SHP-500123</t>
  </si>
  <si>
    <t>SHP-500124</t>
  </si>
  <si>
    <t>SHP-500125</t>
  </si>
  <si>
    <t>SHP-500126</t>
  </si>
  <si>
    <t>SHP-500127</t>
  </si>
  <si>
    <t>SHP-500128</t>
  </si>
  <si>
    <t>SHP-500129</t>
  </si>
  <si>
    <t>SHP-500130</t>
  </si>
  <si>
    <t>SHP-500131</t>
  </si>
  <si>
    <t>SHP-500132</t>
  </si>
  <si>
    <t>SHP-500133</t>
  </si>
  <si>
    <t>SHP-500134</t>
  </si>
  <si>
    <t>SHP-500135</t>
  </si>
  <si>
    <t>SHP-500136</t>
  </si>
  <si>
    <t>SHP-500137</t>
  </si>
  <si>
    <t>SHP-500138</t>
  </si>
  <si>
    <t>SHP-500139</t>
  </si>
  <si>
    <t>SHP-500140</t>
  </si>
  <si>
    <t>SHP-500141</t>
  </si>
  <si>
    <t>SHP-500142</t>
  </si>
  <si>
    <t>SHP-500143</t>
  </si>
  <si>
    <t>SHP-500144</t>
  </si>
  <si>
    <t>SHP-500145</t>
  </si>
  <si>
    <t>SHP-500146</t>
  </si>
  <si>
    <t>SHP-500147</t>
  </si>
  <si>
    <t>SHP-500148</t>
  </si>
  <si>
    <t>SHP-500149</t>
  </si>
  <si>
    <t>SHP-500150</t>
  </si>
  <si>
    <t>SHP-500151</t>
  </si>
  <si>
    <t>SHP-500152</t>
  </si>
  <si>
    <t>SHP-500153</t>
  </si>
  <si>
    <t>SHP-500154</t>
  </si>
  <si>
    <t>SHP-500155</t>
  </si>
  <si>
    <t>SHP-500156</t>
  </si>
  <si>
    <t>SHP-500157</t>
  </si>
  <si>
    <t>SHP-500158</t>
  </si>
  <si>
    <t>SHP-500159</t>
  </si>
  <si>
    <t>SHP-500160</t>
  </si>
  <si>
    <t>SHP-500161</t>
  </si>
  <si>
    <t>SHP-500162</t>
  </si>
  <si>
    <t>SHP-500163</t>
  </si>
  <si>
    <t>SHP-500164</t>
  </si>
  <si>
    <t>SHP-500165</t>
  </si>
  <si>
    <t>SHP-500166</t>
  </si>
  <si>
    <t>SHP-500167</t>
  </si>
  <si>
    <t>SHP-500168</t>
  </si>
  <si>
    <t>SHP-500169</t>
  </si>
  <si>
    <t>SHP-500170</t>
  </si>
  <si>
    <t>SHP-500171</t>
  </si>
  <si>
    <t>SHP-500172</t>
  </si>
  <si>
    <t>SHP-500173</t>
  </si>
  <si>
    <t>SHP-500174</t>
  </si>
  <si>
    <t>SHP-500175</t>
  </si>
  <si>
    <t>SHP-500176</t>
  </si>
  <si>
    <t>SHP-500177</t>
  </si>
  <si>
    <t>SHP-500178</t>
  </si>
  <si>
    <t>SHP-500179</t>
  </si>
  <si>
    <t>SHP-500180</t>
  </si>
  <si>
    <t>SHP-500181</t>
  </si>
  <si>
    <t>SHP-500182</t>
  </si>
  <si>
    <t>SHP-500183</t>
  </si>
  <si>
    <t>SHP-500184</t>
  </si>
  <si>
    <t>SHP-500185</t>
  </si>
  <si>
    <t>SHP-500186</t>
  </si>
  <si>
    <t>SHP-500187</t>
  </si>
  <si>
    <t>SHP-500188</t>
  </si>
  <si>
    <t>SHP-500189</t>
  </si>
  <si>
    <t>SHP-500190</t>
  </si>
  <si>
    <t>SHP-500191</t>
  </si>
  <si>
    <t>SHP-500192</t>
  </si>
  <si>
    <t>SHP-500193</t>
  </si>
  <si>
    <t>SHP-500194</t>
  </si>
  <si>
    <t>SHP-500195</t>
  </si>
  <si>
    <t>SHP-500196</t>
  </si>
  <si>
    <t>SHP-500197</t>
  </si>
  <si>
    <t>SHP-500198</t>
  </si>
  <si>
    <t>SHP-500199</t>
  </si>
  <si>
    <t>Feb</t>
  </si>
  <si>
    <t>SHP-500200</t>
  </si>
  <si>
    <t>SHP-500201</t>
  </si>
  <si>
    <t>SHP-500202</t>
  </si>
  <si>
    <t>SHP-500203</t>
  </si>
  <si>
    <t>SHP-500204</t>
  </si>
  <si>
    <t>SHP-500205</t>
  </si>
  <si>
    <t>SHP-500206</t>
  </si>
  <si>
    <t>SHP-500207</t>
  </si>
  <si>
    <t>SHP-500208</t>
  </si>
  <si>
    <t>SHP-500209</t>
  </si>
  <si>
    <t>SHP-500210</t>
  </si>
  <si>
    <t>SHP-500211</t>
  </si>
  <si>
    <t>SHP-500212</t>
  </si>
  <si>
    <t>SHP-500213</t>
  </si>
  <si>
    <t>SHP-500214</t>
  </si>
  <si>
    <t>SHP-500215</t>
  </si>
  <si>
    <t>SHP-500216</t>
  </si>
  <si>
    <t>SHP-500217</t>
  </si>
  <si>
    <t>SHP-500218</t>
  </si>
  <si>
    <t>SHP-500219</t>
  </si>
  <si>
    <t>SHP-500220</t>
  </si>
  <si>
    <t>SHP-500221</t>
  </si>
  <si>
    <t>SHP-500222</t>
  </si>
  <si>
    <t>SHP-500223</t>
  </si>
  <si>
    <t>SHP-500224</t>
  </si>
  <si>
    <t>SHP-500225</t>
  </si>
  <si>
    <t>SHP-500226</t>
  </si>
  <si>
    <t>SHP-500227</t>
  </si>
  <si>
    <t>SHP-500228</t>
  </si>
  <si>
    <t>SHP-500229</t>
  </si>
  <si>
    <t>SHP-500230</t>
  </si>
  <si>
    <t>SHP-500231</t>
  </si>
  <si>
    <t>SHP-500232</t>
  </si>
  <si>
    <t>SHP-500233</t>
  </si>
  <si>
    <t>SHP-500234</t>
  </si>
  <si>
    <t>SHP-500235</t>
  </si>
  <si>
    <t>SHP-500236</t>
  </si>
  <si>
    <t>SHP-500237</t>
  </si>
  <si>
    <t>SHP-500238</t>
  </si>
  <si>
    <t>SHP-500239</t>
  </si>
  <si>
    <t>SHP-500240</t>
  </si>
  <si>
    <t>SHP-500241</t>
  </si>
  <si>
    <t>SHP-500242</t>
  </si>
  <si>
    <t>SHP-500243</t>
  </si>
  <si>
    <t>SHP-500244</t>
  </si>
  <si>
    <t>SHP-500245</t>
  </si>
  <si>
    <t>SHP-500246</t>
  </si>
  <si>
    <t>SHP-500247</t>
  </si>
  <si>
    <t>SHP-500248</t>
  </si>
  <si>
    <t>SHP-500249</t>
  </si>
  <si>
    <t>SHP-500250</t>
  </si>
  <si>
    <t>SHP-500251</t>
  </si>
  <si>
    <t>SHP-500252</t>
  </si>
  <si>
    <t>SHP-500253</t>
  </si>
  <si>
    <t>SHP-500254</t>
  </si>
  <si>
    <t>SHP-500255</t>
  </si>
  <si>
    <t>SHP-500256</t>
  </si>
  <si>
    <t>SHP-500257</t>
  </si>
  <si>
    <t>SHP-500258</t>
  </si>
  <si>
    <t>SHP-500259</t>
  </si>
  <si>
    <t>SHP-500260</t>
  </si>
  <si>
    <t>SHP-500261</t>
  </si>
  <si>
    <t>SHP-500262</t>
  </si>
  <si>
    <t>SHP-500263</t>
  </si>
  <si>
    <t>SHP-500264</t>
  </si>
  <si>
    <t>SHP-500265</t>
  </si>
  <si>
    <t>SHP-500266</t>
  </si>
  <si>
    <t>SHP-500267</t>
  </si>
  <si>
    <t>SHP-500268</t>
  </si>
  <si>
    <t>SHP-500269</t>
  </si>
  <si>
    <t>SHP-500270</t>
  </si>
  <si>
    <t>SHP-500271</t>
  </si>
  <si>
    <t>SHP-500272</t>
  </si>
  <si>
    <t>SHP-500273</t>
  </si>
  <si>
    <t>SHP-500274</t>
  </si>
  <si>
    <t>SHP-500275</t>
  </si>
  <si>
    <t>SHP-500276</t>
  </si>
  <si>
    <t>SHP-500277</t>
  </si>
  <si>
    <t>SHP-500278</t>
  </si>
  <si>
    <t>SHP-500279</t>
  </si>
  <si>
    <t>SHP-500280</t>
  </si>
  <si>
    <t>SHP-500281</t>
  </si>
  <si>
    <t>SHP-500282</t>
  </si>
  <si>
    <t>SHP-500283</t>
  </si>
  <si>
    <t>SHP-500284</t>
  </si>
  <si>
    <t>SHP-500285</t>
  </si>
  <si>
    <t>SHP-500286</t>
  </si>
  <si>
    <t>SHP-500287</t>
  </si>
  <si>
    <t>SHP-500288</t>
  </si>
  <si>
    <t>SHP-500289</t>
  </si>
  <si>
    <t>SHP-500290</t>
  </si>
  <si>
    <t>SHP-500291</t>
  </si>
  <si>
    <t>SHP-500292</t>
  </si>
  <si>
    <t>SHP-500293</t>
  </si>
  <si>
    <t>SHP-500294</t>
  </si>
  <si>
    <t>SHP-500295</t>
  </si>
  <si>
    <t>SHP-500296</t>
  </si>
  <si>
    <t>SHP-500297</t>
  </si>
  <si>
    <t>SHP-500298</t>
  </si>
  <si>
    <t>SHP-500299</t>
  </si>
  <si>
    <t>SHP-500300</t>
  </si>
  <si>
    <t>SHP-500301</t>
  </si>
  <si>
    <t>SHP-500302</t>
  </si>
  <si>
    <t>SHP-500303</t>
  </si>
  <si>
    <t>SHP-500304</t>
  </si>
  <si>
    <t>SHP-500305</t>
  </si>
  <si>
    <t>SHP-500306</t>
  </si>
  <si>
    <t>SHP-500307</t>
  </si>
  <si>
    <t>SHP-500308</t>
  </si>
  <si>
    <t>SHP-500309</t>
  </si>
  <si>
    <t>SHP-500310</t>
  </si>
  <si>
    <t>SHP-500311</t>
  </si>
  <si>
    <t>SHP-500312</t>
  </si>
  <si>
    <t>SHP-500313</t>
  </si>
  <si>
    <t>SHP-500314</t>
  </si>
  <si>
    <t>SHP-500315</t>
  </si>
  <si>
    <t>SHP-500316</t>
  </si>
  <si>
    <t>SHP-500317</t>
  </si>
  <si>
    <t>SHP-500318</t>
  </si>
  <si>
    <t>SHP-500319</t>
  </si>
  <si>
    <t>SHP-500320</t>
  </si>
  <si>
    <t>SHP-500321</t>
  </si>
  <si>
    <t>SHP-500322</t>
  </si>
  <si>
    <t>SHP-500323</t>
  </si>
  <si>
    <t>SHP-500324</t>
  </si>
  <si>
    <t>SHP-500325</t>
  </si>
  <si>
    <t>SHP-500326</t>
  </si>
  <si>
    <t>SHP-500327</t>
  </si>
  <si>
    <t>SHP-500328</t>
  </si>
  <si>
    <t>SHP-500329</t>
  </si>
  <si>
    <t>SHP-500330</t>
  </si>
  <si>
    <t>SHP-500331</t>
  </si>
  <si>
    <t>SHP-500332</t>
  </si>
  <si>
    <t>SHP-500333</t>
  </si>
  <si>
    <t>SHP-500334</t>
  </si>
  <si>
    <t>SHP-500335</t>
  </si>
  <si>
    <t>SHP-500336</t>
  </si>
  <si>
    <t>SHP-500337</t>
  </si>
  <si>
    <t>SHP-500338</t>
  </si>
  <si>
    <t>SHP-500339</t>
  </si>
  <si>
    <t>SHP-500340</t>
  </si>
  <si>
    <t>SHP-500341</t>
  </si>
  <si>
    <t>SHP-500342</t>
  </si>
  <si>
    <t>SHP-500343</t>
  </si>
  <si>
    <t>SHP-500344</t>
  </si>
  <si>
    <t>SHP-500345</t>
  </si>
  <si>
    <t>SHP-500346</t>
  </si>
  <si>
    <t>SHP-500347</t>
  </si>
  <si>
    <t>SHP-500348</t>
  </si>
  <si>
    <t>SHP-500349</t>
  </si>
  <si>
    <t>SHP-500350</t>
  </si>
  <si>
    <t>SHP-500351</t>
  </si>
  <si>
    <t>SHP-500352</t>
  </si>
  <si>
    <t>SHP-500353</t>
  </si>
  <si>
    <t>SHP-500354</t>
  </si>
  <si>
    <t>SHP-500355</t>
  </si>
  <si>
    <t>SHP-500356</t>
  </si>
  <si>
    <t>SHP-500357</t>
  </si>
  <si>
    <t>SHP-500358</t>
  </si>
  <si>
    <t>SHP-500359</t>
  </si>
  <si>
    <t>SHP-500360</t>
  </si>
  <si>
    <t>SHP-500361</t>
  </si>
  <si>
    <t>SHP-500362</t>
  </si>
  <si>
    <t>SHP-500363</t>
  </si>
  <si>
    <t>SHP-500364</t>
  </si>
  <si>
    <t>SHP-500365</t>
  </si>
  <si>
    <t>SHP-500366</t>
  </si>
  <si>
    <t>SHP-500367</t>
  </si>
  <si>
    <t>SHP-500368</t>
  </si>
  <si>
    <t>SHP-500369</t>
  </si>
  <si>
    <t>SHP-500370</t>
  </si>
  <si>
    <t>SHP-500371</t>
  </si>
  <si>
    <t>SHP-500372</t>
  </si>
  <si>
    <t>SHP-500373</t>
  </si>
  <si>
    <t>SHP-500374</t>
  </si>
  <si>
    <t>SHP-500375</t>
  </si>
  <si>
    <t>SHP-500376</t>
  </si>
  <si>
    <t>SHP-500377</t>
  </si>
  <si>
    <t>SHP-500378</t>
  </si>
  <si>
    <t>SHP-500379</t>
  </si>
  <si>
    <t>SHP-500380</t>
  </si>
  <si>
    <t>SHP-500381</t>
  </si>
  <si>
    <t>SHP-500382</t>
  </si>
  <si>
    <t>SHP-500383</t>
  </si>
  <si>
    <t>SHP-500384</t>
  </si>
  <si>
    <t>SHP-500385</t>
  </si>
  <si>
    <t>SHP-500386</t>
  </si>
  <si>
    <t>SHP-500387</t>
  </si>
  <si>
    <t>SHP-500388</t>
  </si>
  <si>
    <t>SHP-500389</t>
  </si>
  <si>
    <t>SHP-500390</t>
  </si>
  <si>
    <t>SHP-500391</t>
  </si>
  <si>
    <t>SHP-500392</t>
  </si>
  <si>
    <t>SHP-500393</t>
  </si>
  <si>
    <t>SHP-500394</t>
  </si>
  <si>
    <t>Mar</t>
  </si>
  <si>
    <t>SHP-500395</t>
  </si>
  <si>
    <t>SHP-500396</t>
  </si>
  <si>
    <t>SHP-500397</t>
  </si>
  <si>
    <t>SHP-500398</t>
  </si>
  <si>
    <t>SHP-500399</t>
  </si>
  <si>
    <t>SHP-500400</t>
  </si>
  <si>
    <t>SHP-500401</t>
  </si>
  <si>
    <t>SHP-500402</t>
  </si>
  <si>
    <t>SHP-500403</t>
  </si>
  <si>
    <t>SHP-500404</t>
  </si>
  <si>
    <t>SHP-500405</t>
  </si>
  <si>
    <t>SHP-500406</t>
  </si>
  <si>
    <t>SHP-500407</t>
  </si>
  <si>
    <t>SHP-500408</t>
  </si>
  <si>
    <t>SHP-500409</t>
  </si>
  <si>
    <t>SHP-500410</t>
  </si>
  <si>
    <t>SHP-500411</t>
  </si>
  <si>
    <t>SHP-500412</t>
  </si>
  <si>
    <t>SHP-500413</t>
  </si>
  <si>
    <t>SHP-500414</t>
  </si>
  <si>
    <t>SHP-500415</t>
  </si>
  <si>
    <t>SHP-500416</t>
  </si>
  <si>
    <t>SHP-500417</t>
  </si>
  <si>
    <t>SHP-500418</t>
  </si>
  <si>
    <t>SHP-500419</t>
  </si>
  <si>
    <t>SHP-500420</t>
  </si>
  <si>
    <t>SHP-500421</t>
  </si>
  <si>
    <t>SHP-500422</t>
  </si>
  <si>
    <t>SHP-500423</t>
  </si>
  <si>
    <t>SHP-500424</t>
  </si>
  <si>
    <t>SHP-500425</t>
  </si>
  <si>
    <t>SHP-500426</t>
  </si>
  <si>
    <t>SHP-500427</t>
  </si>
  <si>
    <t>SHP-500428</t>
  </si>
  <si>
    <t>SHP-500429</t>
  </si>
  <si>
    <t>SHP-500430</t>
  </si>
  <si>
    <t>SHP-500431</t>
  </si>
  <si>
    <t>SHP-500432</t>
  </si>
  <si>
    <t>SHP-500433</t>
  </si>
  <si>
    <t>SHP-500434</t>
  </si>
  <si>
    <t>SHP-500435</t>
  </si>
  <si>
    <t>SHP-500436</t>
  </si>
  <si>
    <t>SHP-500437</t>
  </si>
  <si>
    <t>SHP-500438</t>
  </si>
  <si>
    <t>SHP-500439</t>
  </si>
  <si>
    <t>SHP-500440</t>
  </si>
  <si>
    <t>SHP-500441</t>
  </si>
  <si>
    <t>SHP-500442</t>
  </si>
  <si>
    <t>SHP-500443</t>
  </si>
  <si>
    <t>SHP-500444</t>
  </si>
  <si>
    <t>SHP-500445</t>
  </si>
  <si>
    <t>SHP-500446</t>
  </si>
  <si>
    <t>SHP-500447</t>
  </si>
  <si>
    <t>SHP-500448</t>
  </si>
  <si>
    <t>SHP-500449</t>
  </si>
  <si>
    <t>SHP-500450</t>
  </si>
  <si>
    <t>SHP-500451</t>
  </si>
  <si>
    <t>SHP-500452</t>
  </si>
  <si>
    <t>SHP-500453</t>
  </si>
  <si>
    <t>SHP-500454</t>
  </si>
  <si>
    <t>SHP-500455</t>
  </si>
  <si>
    <t>SHP-500456</t>
  </si>
  <si>
    <t>SHP-500457</t>
  </si>
  <si>
    <t>SHP-500458</t>
  </si>
  <si>
    <t>SHP-500459</t>
  </si>
  <si>
    <t>SHP-500460</t>
  </si>
  <si>
    <t>SHP-500461</t>
  </si>
  <si>
    <t>SHP-500462</t>
  </si>
  <si>
    <t>SHP-500463</t>
  </si>
  <si>
    <t>SHP-500464</t>
  </si>
  <si>
    <t>SHP-500465</t>
  </si>
  <si>
    <t>SHP-500466</t>
  </si>
  <si>
    <t>SHP-500467</t>
  </si>
  <si>
    <t>SHP-500468</t>
  </si>
  <si>
    <t>SHP-500469</t>
  </si>
  <si>
    <t>SHP-500470</t>
  </si>
  <si>
    <t>SHP-500471</t>
  </si>
  <si>
    <t>SHP-500472</t>
  </si>
  <si>
    <t>SHP-500473</t>
  </si>
  <si>
    <t>SHP-500474</t>
  </si>
  <si>
    <t>SHP-500475</t>
  </si>
  <si>
    <t>SHP-500476</t>
  </si>
  <si>
    <t>SHP-500477</t>
  </si>
  <si>
    <t>SHP-500478</t>
  </si>
  <si>
    <t>SHP-500479</t>
  </si>
  <si>
    <t>SHP-500480</t>
  </si>
  <si>
    <t>SHP-500481</t>
  </si>
  <si>
    <t>SHP-500482</t>
  </si>
  <si>
    <t>SHP-500483</t>
  </si>
  <si>
    <t>SHP-500484</t>
  </si>
  <si>
    <t>SHP-500485</t>
  </si>
  <si>
    <t>SHP-500486</t>
  </si>
  <si>
    <t>SHP-500487</t>
  </si>
  <si>
    <t>SHP-500488</t>
  </si>
  <si>
    <t>SHP-500489</t>
  </si>
  <si>
    <t>SHP-500490</t>
  </si>
  <si>
    <t>SHP-500491</t>
  </si>
  <si>
    <t>SHP-500492</t>
  </si>
  <si>
    <t>SHP-500493</t>
  </si>
  <si>
    <t>SHP-500494</t>
  </si>
  <si>
    <t>SHP-500495</t>
  </si>
  <si>
    <t>SHP-500496</t>
  </si>
  <si>
    <t>SHP-500497</t>
  </si>
  <si>
    <t>SHP-500498</t>
  </si>
  <si>
    <t>SHP-500499</t>
  </si>
  <si>
    <t>SHP-500500</t>
  </si>
  <si>
    <t>SHP-500501</t>
  </si>
  <si>
    <t>SHP-500502</t>
  </si>
  <si>
    <t>SHP-500503</t>
  </si>
  <si>
    <t>SHP-500504</t>
  </si>
  <si>
    <t>SHP-500505</t>
  </si>
  <si>
    <t>SHP-500506</t>
  </si>
  <si>
    <t>SHP-500507</t>
  </si>
  <si>
    <t>SHP-500508</t>
  </si>
  <si>
    <t>SHP-500509</t>
  </si>
  <si>
    <t>SHP-500510</t>
  </si>
  <si>
    <t>SHP-500511</t>
  </si>
  <si>
    <t>SHP-500512</t>
  </si>
  <si>
    <t>SHP-500513</t>
  </si>
  <si>
    <t>SHP-500514</t>
  </si>
  <si>
    <t>SHP-500515</t>
  </si>
  <si>
    <t>SHP-500516</t>
  </si>
  <si>
    <t>SHP-500517</t>
  </si>
  <si>
    <t>SHP-500518</t>
  </si>
  <si>
    <t>SHP-500519</t>
  </si>
  <si>
    <t>SHP-500520</t>
  </si>
  <si>
    <t>SHP-500521</t>
  </si>
  <si>
    <t>SHP-500522</t>
  </si>
  <si>
    <t>SHP-500523</t>
  </si>
  <si>
    <t>SHP-500524</t>
  </si>
  <si>
    <t>SHP-500525</t>
  </si>
  <si>
    <t>SHP-500526</t>
  </si>
  <si>
    <t>SHP-500527</t>
  </si>
  <si>
    <t>SHP-500528</t>
  </si>
  <si>
    <t>SHP-500529</t>
  </si>
  <si>
    <t>SHP-500530</t>
  </si>
  <si>
    <t>SHP-500531</t>
  </si>
  <si>
    <t>SHP-500532</t>
  </si>
  <si>
    <t>SHP-500533</t>
  </si>
  <si>
    <t>SHP-500534</t>
  </si>
  <si>
    <t>SHP-500535</t>
  </si>
  <si>
    <t>SHP-500536</t>
  </si>
  <si>
    <t>SHP-500537</t>
  </si>
  <si>
    <t>SHP-500538</t>
  </si>
  <si>
    <t>SHP-500539</t>
  </si>
  <si>
    <t>SHP-500540</t>
  </si>
  <si>
    <t>SHP-500541</t>
  </si>
  <si>
    <t>SHP-500542</t>
  </si>
  <si>
    <t>SHP-500543</t>
  </si>
  <si>
    <t>SHP-500544</t>
  </si>
  <si>
    <t>SHP-500545</t>
  </si>
  <si>
    <t>SHP-500546</t>
  </si>
  <si>
    <t>SHP-500547</t>
  </si>
  <si>
    <t>SHP-500548</t>
  </si>
  <si>
    <t>SHP-500549</t>
  </si>
  <si>
    <t>SHP-500550</t>
  </si>
  <si>
    <t>SHP-500551</t>
  </si>
  <si>
    <t>SHP-500552</t>
  </si>
  <si>
    <t>SHP-500553</t>
  </si>
  <si>
    <t>SHP-500554</t>
  </si>
  <si>
    <t>SHP-500555</t>
  </si>
  <si>
    <t>SHP-500556</t>
  </si>
  <si>
    <t>SHP-500557</t>
  </si>
  <si>
    <t>SHP-500558</t>
  </si>
  <si>
    <t>SHP-500559</t>
  </si>
  <si>
    <t>SHP-500560</t>
  </si>
  <si>
    <t>SHP-500561</t>
  </si>
  <si>
    <t>SHP-500562</t>
  </si>
  <si>
    <t>SHP-500563</t>
  </si>
  <si>
    <t>SHP-500564</t>
  </si>
  <si>
    <t>SHP-500565</t>
  </si>
  <si>
    <t>SHP-500566</t>
  </si>
  <si>
    <t>SHP-500567</t>
  </si>
  <si>
    <t>SHP-500568</t>
  </si>
  <si>
    <t>SHP-500569</t>
  </si>
  <si>
    <t>SHP-500570</t>
  </si>
  <si>
    <t>SHP-500571</t>
  </si>
  <si>
    <t>SHP-500572</t>
  </si>
  <si>
    <t>SHP-500573</t>
  </si>
  <si>
    <t>SHP-500574</t>
  </si>
  <si>
    <t>SHP-500575</t>
  </si>
  <si>
    <t>SHP-500576</t>
  </si>
  <si>
    <t>SHP-500577</t>
  </si>
  <si>
    <t>SHP-500578</t>
  </si>
  <si>
    <t>SHP-500579</t>
  </si>
  <si>
    <t>SHP-500580</t>
  </si>
  <si>
    <t>SHP-500581</t>
  </si>
  <si>
    <t>SHP-500582</t>
  </si>
  <si>
    <t>SHP-500583</t>
  </si>
  <si>
    <t>SHP-500584</t>
  </si>
  <si>
    <t>SHP-500585</t>
  </si>
  <si>
    <t>SHP-500586</t>
  </si>
  <si>
    <t>SHP-500587</t>
  </si>
  <si>
    <t>SHP-500588</t>
  </si>
  <si>
    <t>SHP-500589</t>
  </si>
  <si>
    <t>SHP-500590</t>
  </si>
  <si>
    <t>SHP-500591</t>
  </si>
  <si>
    <t>SHP-500592</t>
  </si>
  <si>
    <t>SHP-500593</t>
  </si>
  <si>
    <t>SHP-500594</t>
  </si>
  <si>
    <t>SHP-500595</t>
  </si>
  <si>
    <t>SHP-500596</t>
  </si>
  <si>
    <t>SHP-500597</t>
  </si>
  <si>
    <t>SHP-500598</t>
  </si>
  <si>
    <t>SHP-500599</t>
  </si>
  <si>
    <t>SHP-500600</t>
  </si>
  <si>
    <t>SHP-500601</t>
  </si>
  <si>
    <t>SHP-500602</t>
  </si>
  <si>
    <t>SHP-500603</t>
  </si>
  <si>
    <t>SHP-500604</t>
  </si>
  <si>
    <t>SHP-500605</t>
  </si>
  <si>
    <t>Q2</t>
  </si>
  <si>
    <t>Apr</t>
  </si>
  <si>
    <t>SHP-500606</t>
  </si>
  <si>
    <t>SHP-500607</t>
  </si>
  <si>
    <t>SHP-500608</t>
  </si>
  <si>
    <t>SHP-500609</t>
  </si>
  <si>
    <t>SHP-500610</t>
  </si>
  <si>
    <t>SHP-500611</t>
  </si>
  <si>
    <t>SHP-500612</t>
  </si>
  <si>
    <t>SHP-500613</t>
  </si>
  <si>
    <t>SHP-500614</t>
  </si>
  <si>
    <t>SHP-500615</t>
  </si>
  <si>
    <t>SHP-500616</t>
  </si>
  <si>
    <t>SHP-500617</t>
  </si>
  <si>
    <t>SHP-500618</t>
  </si>
  <si>
    <t>SHP-500619</t>
  </si>
  <si>
    <t>SHP-500620</t>
  </si>
  <si>
    <t>SHP-500621</t>
  </si>
  <si>
    <t>SHP-500622</t>
  </si>
  <si>
    <t>SHP-500623</t>
  </si>
  <si>
    <t>SHP-500624</t>
  </si>
  <si>
    <t>SHP-500625</t>
  </si>
  <si>
    <t>SHP-500626</t>
  </si>
  <si>
    <t>SHP-500627</t>
  </si>
  <si>
    <t>SHP-500628</t>
  </si>
  <si>
    <t>SHP-500629</t>
  </si>
  <si>
    <t>SHP-500630</t>
  </si>
  <si>
    <t>SHP-500631</t>
  </si>
  <si>
    <t>SHP-500632</t>
  </si>
  <si>
    <t>SHP-500633</t>
  </si>
  <si>
    <t>SHP-500634</t>
  </si>
  <si>
    <t>SHP-500635</t>
  </si>
  <si>
    <t>SHP-500636</t>
  </si>
  <si>
    <t>SHP-500637</t>
  </si>
  <si>
    <t>SHP-500638</t>
  </si>
  <si>
    <t>SHP-500639</t>
  </si>
  <si>
    <t>SHP-500640</t>
  </si>
  <si>
    <t>SHP-500641</t>
  </si>
  <si>
    <t>SHP-500642</t>
  </si>
  <si>
    <t>SHP-500643</t>
  </si>
  <si>
    <t>SHP-500644</t>
  </si>
  <si>
    <t>SHP-500645</t>
  </si>
  <si>
    <t>SHP-500646</t>
  </si>
  <si>
    <t>SHP-500647</t>
  </si>
  <si>
    <t>SHP-500648</t>
  </si>
  <si>
    <t>SHP-500649</t>
  </si>
  <si>
    <t>SHP-500650</t>
  </si>
  <si>
    <t>SHP-500651</t>
  </si>
  <si>
    <t>SHP-500652</t>
  </si>
  <si>
    <t>SHP-500653</t>
  </si>
  <si>
    <t>SHP-500654</t>
  </si>
  <si>
    <t>SHP-500655</t>
  </si>
  <si>
    <t>SHP-500656</t>
  </si>
  <si>
    <t>SHP-500657</t>
  </si>
  <si>
    <t>SHP-500658</t>
  </si>
  <si>
    <t>SHP-500659</t>
  </si>
  <si>
    <t>SHP-500660</t>
  </si>
  <si>
    <t>SHP-500661</t>
  </si>
  <si>
    <t>SHP-500662</t>
  </si>
  <si>
    <t>SHP-500663</t>
  </si>
  <si>
    <t>SHP-500664</t>
  </si>
  <si>
    <t>SHP-500665</t>
  </si>
  <si>
    <t>SHP-500666</t>
  </si>
  <si>
    <t>SHP-500667</t>
  </si>
  <si>
    <t>SHP-500668</t>
  </si>
  <si>
    <t>SHP-500669</t>
  </si>
  <si>
    <t>SHP-500670</t>
  </si>
  <si>
    <t>SHP-500671</t>
  </si>
  <si>
    <t>SHP-500672</t>
  </si>
  <si>
    <t>SHP-500673</t>
  </si>
  <si>
    <t>SHP-500674</t>
  </si>
  <si>
    <t>SHP-500675</t>
  </si>
  <si>
    <t>SHP-500676</t>
  </si>
  <si>
    <t>SHP-500677</t>
  </si>
  <si>
    <t>SHP-500678</t>
  </si>
  <si>
    <t>SHP-500679</t>
  </si>
  <si>
    <t>SHP-500680</t>
  </si>
  <si>
    <t>SHP-500681</t>
  </si>
  <si>
    <t>SHP-500682</t>
  </si>
  <si>
    <t>SHP-500683</t>
  </si>
  <si>
    <t>SHP-500684</t>
  </si>
  <si>
    <t>SHP-500685</t>
  </si>
  <si>
    <t>SHP-500686</t>
  </si>
  <si>
    <t>SHP-500687</t>
  </si>
  <si>
    <t>SHP-500688</t>
  </si>
  <si>
    <t>SHP-500689</t>
  </si>
  <si>
    <t>SHP-500690</t>
  </si>
  <si>
    <t>SHP-500691</t>
  </si>
  <si>
    <t>SHP-500692</t>
  </si>
  <si>
    <t>SHP-500693</t>
  </si>
  <si>
    <t>SHP-500694</t>
  </si>
  <si>
    <t>SHP-500695</t>
  </si>
  <si>
    <t>SHP-500696</t>
  </si>
  <si>
    <t>SHP-500697</t>
  </si>
  <si>
    <t>SHP-500698</t>
  </si>
  <si>
    <t>SHP-500699</t>
  </si>
  <si>
    <t>SHP-500700</t>
  </si>
  <si>
    <t>SHP-500701</t>
  </si>
  <si>
    <t>SHP-500702</t>
  </si>
  <si>
    <t>SHP-500703</t>
  </si>
  <si>
    <t>SHP-500704</t>
  </si>
  <si>
    <t>SHP-500705</t>
  </si>
  <si>
    <t>SHP-500706</t>
  </si>
  <si>
    <t>SHP-500707</t>
  </si>
  <si>
    <t>SHP-500708</t>
  </si>
  <si>
    <t>SHP-500709</t>
  </si>
  <si>
    <t>SHP-500710</t>
  </si>
  <si>
    <t>SHP-500711</t>
  </si>
  <si>
    <t>SHP-500712</t>
  </si>
  <si>
    <t>SHP-500713</t>
  </si>
  <si>
    <t>SHP-500714</t>
  </si>
  <si>
    <t>SHP-500715</t>
  </si>
  <si>
    <t>SHP-500716</t>
  </si>
  <si>
    <t>SHP-500717</t>
  </si>
  <si>
    <t>SHP-500718</t>
  </si>
  <si>
    <t>SHP-500719</t>
  </si>
  <si>
    <t>SHP-500720</t>
  </si>
  <si>
    <t>SHP-500721</t>
  </si>
  <si>
    <t>SHP-500722</t>
  </si>
  <si>
    <t>SHP-500723</t>
  </si>
  <si>
    <t>SHP-500724</t>
  </si>
  <si>
    <t>SHP-500725</t>
  </si>
  <si>
    <t>SHP-500726</t>
  </si>
  <si>
    <t>SHP-500727</t>
  </si>
  <si>
    <t>SHP-500728</t>
  </si>
  <si>
    <t>SHP-500729</t>
  </si>
  <si>
    <t>SHP-500730</t>
  </si>
  <si>
    <t>SHP-500731</t>
  </si>
  <si>
    <t>SHP-500732</t>
  </si>
  <si>
    <t>SHP-500733</t>
  </si>
  <si>
    <t>SHP-500734</t>
  </si>
  <si>
    <t>SHP-500735</t>
  </si>
  <si>
    <t>SHP-500736</t>
  </si>
  <si>
    <t>SHP-500737</t>
  </si>
  <si>
    <t>SHP-500738</t>
  </si>
  <si>
    <t>SHP-500739</t>
  </si>
  <si>
    <t>SHP-500740</t>
  </si>
  <si>
    <t>SHP-500741</t>
  </si>
  <si>
    <t>SHP-500742</t>
  </si>
  <si>
    <t>SHP-500743</t>
  </si>
  <si>
    <t>SHP-500744</t>
  </si>
  <si>
    <t>SHP-500745</t>
  </si>
  <si>
    <t>SHP-500746</t>
  </si>
  <si>
    <t>SHP-500747</t>
  </si>
  <si>
    <t>SHP-500748</t>
  </si>
  <si>
    <t>SHP-500749</t>
  </si>
  <si>
    <t>SHP-500750</t>
  </si>
  <si>
    <t>SHP-500751</t>
  </si>
  <si>
    <t>SHP-500752</t>
  </si>
  <si>
    <t>SHP-500753</t>
  </si>
  <si>
    <t>SHP-500754</t>
  </si>
  <si>
    <t>SHP-500755</t>
  </si>
  <si>
    <t>SHP-500756</t>
  </si>
  <si>
    <t>SHP-500757</t>
  </si>
  <si>
    <t>SHP-500758</t>
  </si>
  <si>
    <t>SHP-500759</t>
  </si>
  <si>
    <t>SHP-500760</t>
  </si>
  <si>
    <t>SHP-500761</t>
  </si>
  <si>
    <t>SHP-500762</t>
  </si>
  <si>
    <t>SHP-500763</t>
  </si>
  <si>
    <t>SHP-500764</t>
  </si>
  <si>
    <t>SHP-500765</t>
  </si>
  <si>
    <t>SHP-500766</t>
  </si>
  <si>
    <t>SHP-500767</t>
  </si>
  <si>
    <t>SHP-500768</t>
  </si>
  <si>
    <t>SHP-500769</t>
  </si>
  <si>
    <t>SHP-500770</t>
  </si>
  <si>
    <t>SHP-500771</t>
  </si>
  <si>
    <t>SHP-500772</t>
  </si>
  <si>
    <t>SHP-500773</t>
  </si>
  <si>
    <t>SHP-500774</t>
  </si>
  <si>
    <t>SHP-500775</t>
  </si>
  <si>
    <t>SHP-500776</t>
  </si>
  <si>
    <t>SHP-500777</t>
  </si>
  <si>
    <t>SHP-500778</t>
  </si>
  <si>
    <t>SHP-500779</t>
  </si>
  <si>
    <t>SHP-500780</t>
  </si>
  <si>
    <t>SHP-500781</t>
  </si>
  <si>
    <t>SHP-500782</t>
  </si>
  <si>
    <t>SHP-500783</t>
  </si>
  <si>
    <t>SHP-500784</t>
  </si>
  <si>
    <t>SHP-500785</t>
  </si>
  <si>
    <t>SHP-500786</t>
  </si>
  <si>
    <t>SHP-500787</t>
  </si>
  <si>
    <t>SHP-500788</t>
  </si>
  <si>
    <t>SHP-500789</t>
  </si>
  <si>
    <t>SHP-500790</t>
  </si>
  <si>
    <t>SHP-500791</t>
  </si>
  <si>
    <t>SHP-500792</t>
  </si>
  <si>
    <t>SHP-500793</t>
  </si>
  <si>
    <t>SHP-500794</t>
  </si>
  <si>
    <t>SHP-500795</t>
  </si>
  <si>
    <t>SHP-500796</t>
  </si>
  <si>
    <t>SHP-500797</t>
  </si>
  <si>
    <t>SHP-500798</t>
  </si>
  <si>
    <t>SHP-500799</t>
  </si>
  <si>
    <t>SHP-500800</t>
  </si>
  <si>
    <t>SHP-500801</t>
  </si>
  <si>
    <t>SHP-500802</t>
  </si>
  <si>
    <t>SHP-500803</t>
  </si>
  <si>
    <t>SHP-500804</t>
  </si>
  <si>
    <t>SHP-500805</t>
  </si>
  <si>
    <t>SHP-500806</t>
  </si>
  <si>
    <t>SHP-500807</t>
  </si>
  <si>
    <t>SHP-500808</t>
  </si>
  <si>
    <t>SHP-500809</t>
  </si>
  <si>
    <t>SHP-500810</t>
  </si>
  <si>
    <t>SHP-500811</t>
  </si>
  <si>
    <t>SHP-500812</t>
  </si>
  <si>
    <t>SHP-500813</t>
  </si>
  <si>
    <t>May</t>
  </si>
  <si>
    <t>SHP-500814</t>
  </si>
  <si>
    <t>SHP-500815</t>
  </si>
  <si>
    <t>SHP-500816</t>
  </si>
  <si>
    <t>SHP-500817</t>
  </si>
  <si>
    <t>SHP-500818</t>
  </si>
  <si>
    <t>SHP-500819</t>
  </si>
  <si>
    <t>SHP-500820</t>
  </si>
  <si>
    <t>SHP-500821</t>
  </si>
  <si>
    <t>SHP-500822</t>
  </si>
  <si>
    <t>SHP-500823</t>
  </si>
  <si>
    <t>SHP-500824</t>
  </si>
  <si>
    <t>SHP-500825</t>
  </si>
  <si>
    <t>SHP-500826</t>
  </si>
  <si>
    <t>SHP-500827</t>
  </si>
  <si>
    <t>SHP-500828</t>
  </si>
  <si>
    <t>SHP-500829</t>
  </si>
  <si>
    <t>SHP-500830</t>
  </si>
  <si>
    <t>SHP-500831</t>
  </si>
  <si>
    <t>SHP-500832</t>
  </si>
  <si>
    <t>SHP-500833</t>
  </si>
  <si>
    <t>SHP-500834</t>
  </si>
  <si>
    <t>SHP-500835</t>
  </si>
  <si>
    <t>SHP-500836</t>
  </si>
  <si>
    <t>SHP-500837</t>
  </si>
  <si>
    <t>SHP-500838</t>
  </si>
  <si>
    <t>SHP-500839</t>
  </si>
  <si>
    <t>SHP-500840</t>
  </si>
  <si>
    <t>SHP-500841</t>
  </si>
  <si>
    <t>SHP-500842</t>
  </si>
  <si>
    <t>SHP-500843</t>
  </si>
  <si>
    <t>SHP-500844</t>
  </si>
  <si>
    <t>SHP-500845</t>
  </si>
  <si>
    <t>SHP-500846</t>
  </si>
  <si>
    <t>SHP-500847</t>
  </si>
  <si>
    <t>SHP-500848</t>
  </si>
  <si>
    <t>SHP-500849</t>
  </si>
  <si>
    <t>SHP-500850</t>
  </si>
  <si>
    <t>SHP-500851</t>
  </si>
  <si>
    <t>SHP-500852</t>
  </si>
  <si>
    <t>SHP-500853</t>
  </si>
  <si>
    <t>SHP-500854</t>
  </si>
  <si>
    <t>SHP-500855</t>
  </si>
  <si>
    <t>SHP-500856</t>
  </si>
  <si>
    <t>SHP-500857</t>
  </si>
  <si>
    <t>SHP-500858</t>
  </si>
  <si>
    <t>SHP-500859</t>
  </si>
  <si>
    <t>SHP-500860</t>
  </si>
  <si>
    <t>SHP-500861</t>
  </si>
  <si>
    <t>SHP-500862</t>
  </si>
  <si>
    <t>SHP-500863</t>
  </si>
  <si>
    <t>SHP-500864</t>
  </si>
  <si>
    <t>SHP-500865</t>
  </si>
  <si>
    <t>SHP-500866</t>
  </si>
  <si>
    <t>SHP-500867</t>
  </si>
  <si>
    <t>SHP-500868</t>
  </si>
  <si>
    <t>SHP-500869</t>
  </si>
  <si>
    <t>SHP-500870</t>
  </si>
  <si>
    <t>SHP-500871</t>
  </si>
  <si>
    <t>SHP-500872</t>
  </si>
  <si>
    <t>SHP-500873</t>
  </si>
  <si>
    <t>SHP-500874</t>
  </si>
  <si>
    <t>SHP-500875</t>
  </si>
  <si>
    <t>SHP-500876</t>
  </si>
  <si>
    <t>SHP-500877</t>
  </si>
  <si>
    <t>SHP-500878</t>
  </si>
  <si>
    <t>SHP-500879</t>
  </si>
  <si>
    <t>SHP-500880</t>
  </si>
  <si>
    <t>SHP-500881</t>
  </si>
  <si>
    <t>SHP-500882</t>
  </si>
  <si>
    <t>SHP-500883</t>
  </si>
  <si>
    <t>SHP-500884</t>
  </si>
  <si>
    <t>SHP-500885</t>
  </si>
  <si>
    <t>SHP-500886</t>
  </si>
  <si>
    <t>SHP-500887</t>
  </si>
  <si>
    <t>SHP-500888</t>
  </si>
  <si>
    <t>SHP-500889</t>
  </si>
  <si>
    <t>SHP-500890</t>
  </si>
  <si>
    <t>SHP-500891</t>
  </si>
  <si>
    <t>SHP-500892</t>
  </si>
  <si>
    <t>SHP-500893</t>
  </si>
  <si>
    <t>SHP-500894</t>
  </si>
  <si>
    <t>SHP-500895</t>
  </si>
  <si>
    <t>SHP-500896</t>
  </si>
  <si>
    <t>SHP-500897</t>
  </si>
  <si>
    <t>SHP-500898</t>
  </si>
  <si>
    <t>SHP-500899</t>
  </si>
  <si>
    <t>SHP-500900</t>
  </si>
  <si>
    <t>SHP-500901</t>
  </si>
  <si>
    <t>SHP-500902</t>
  </si>
  <si>
    <t>SHP-500903</t>
  </si>
  <si>
    <t>SHP-500904</t>
  </si>
  <si>
    <t>SHP-500905</t>
  </si>
  <si>
    <t>SHP-500906</t>
  </si>
  <si>
    <t>SHP-500907</t>
  </si>
  <si>
    <t>SHP-500908</t>
  </si>
  <si>
    <t>SHP-500909</t>
  </si>
  <si>
    <t>SHP-500910</t>
  </si>
  <si>
    <t>SHP-500911</t>
  </si>
  <si>
    <t>SHP-500912</t>
  </si>
  <si>
    <t>SHP-500913</t>
  </si>
  <si>
    <t>SHP-500914</t>
  </si>
  <si>
    <t>SHP-500915</t>
  </si>
  <si>
    <t>SHP-500916</t>
  </si>
  <si>
    <t>SHP-500917</t>
  </si>
  <si>
    <t>SHP-500918</t>
  </si>
  <si>
    <t>SHP-500919</t>
  </si>
  <si>
    <t>SHP-500920</t>
  </si>
  <si>
    <t>SHP-500921</t>
  </si>
  <si>
    <t>SHP-500922</t>
  </si>
  <si>
    <t>SHP-500923</t>
  </si>
  <si>
    <t>SHP-500924</t>
  </si>
  <si>
    <t>SHP-500925</t>
  </si>
  <si>
    <t>SHP-500926</t>
  </si>
  <si>
    <t>SHP-500927</t>
  </si>
  <si>
    <t>SHP-500928</t>
  </si>
  <si>
    <t>SHP-500929</t>
  </si>
  <si>
    <t>SHP-500930</t>
  </si>
  <si>
    <t>SHP-500931</t>
  </si>
  <si>
    <t>SHP-500932</t>
  </si>
  <si>
    <t>SHP-500933</t>
  </si>
  <si>
    <t>SHP-500934</t>
  </si>
  <si>
    <t>SHP-500935</t>
  </si>
  <si>
    <t>SHP-500936</t>
  </si>
  <si>
    <t>SHP-500937</t>
  </si>
  <si>
    <t>SHP-500938</t>
  </si>
  <si>
    <t>SHP-500939</t>
  </si>
  <si>
    <t>SHP-500940</t>
  </si>
  <si>
    <t>SHP-500941</t>
  </si>
  <si>
    <t>SHP-500942</t>
  </si>
  <si>
    <t>SHP-500943</t>
  </si>
  <si>
    <t>SHP-500944</t>
  </si>
  <si>
    <t>SHP-500945</t>
  </si>
  <si>
    <t>SHP-500946</t>
  </si>
  <si>
    <t>SHP-500947</t>
  </si>
  <si>
    <t>SHP-500948</t>
  </si>
  <si>
    <t>SHP-500949</t>
  </si>
  <si>
    <t>SHP-500950</t>
  </si>
  <si>
    <t>SHP-500951</t>
  </si>
  <si>
    <t>SHP-500952</t>
  </si>
  <si>
    <t>SHP-500953</t>
  </si>
  <si>
    <t>SHP-500954</t>
  </si>
  <si>
    <t>SHP-500955</t>
  </si>
  <si>
    <t>SHP-500956</t>
  </si>
  <si>
    <t>SHP-500957</t>
  </si>
  <si>
    <t>SHP-500958</t>
  </si>
  <si>
    <t>SHP-500959</t>
  </si>
  <si>
    <t>SHP-500960</t>
  </si>
  <si>
    <t>SHP-500961</t>
  </si>
  <si>
    <t>SHP-500962</t>
  </si>
  <si>
    <t>SHP-500963</t>
  </si>
  <si>
    <t>SHP-500964</t>
  </si>
  <si>
    <t>SHP-500965</t>
  </si>
  <si>
    <t>SHP-500966</t>
  </si>
  <si>
    <t>SHP-500967</t>
  </si>
  <si>
    <t>SHP-500968</t>
  </si>
  <si>
    <t>SHP-500969</t>
  </si>
  <si>
    <t>SHP-500970</t>
  </si>
  <si>
    <t>SHP-500971</t>
  </si>
  <si>
    <t>SHP-500972</t>
  </si>
  <si>
    <t>SHP-500973</t>
  </si>
  <si>
    <t>SHP-500974</t>
  </si>
  <si>
    <t>SHP-500975</t>
  </si>
  <si>
    <t>SHP-500976</t>
  </si>
  <si>
    <t>SHP-500977</t>
  </si>
  <si>
    <t>SHP-500978</t>
  </si>
  <si>
    <t>SHP-500979</t>
  </si>
  <si>
    <t>SHP-500980</t>
  </si>
  <si>
    <t>SHP-500981</t>
  </si>
  <si>
    <t>SHP-500982</t>
  </si>
  <si>
    <t>SHP-500983</t>
  </si>
  <si>
    <t>SHP-500984</t>
  </si>
  <si>
    <t>SHP-500985</t>
  </si>
  <si>
    <t>SHP-500986</t>
  </si>
  <si>
    <t>SHP-500987</t>
  </si>
  <si>
    <t>SHP-500988</t>
  </si>
  <si>
    <t>SHP-500989</t>
  </si>
  <si>
    <t>SHP-500990</t>
  </si>
  <si>
    <t>SHP-500991</t>
  </si>
  <si>
    <t>SHP-500992</t>
  </si>
  <si>
    <t>SHP-500993</t>
  </si>
  <si>
    <t>SHP-500994</t>
  </si>
  <si>
    <t>SHP-500995</t>
  </si>
  <si>
    <t>SHP-500996</t>
  </si>
  <si>
    <t>SHP-500997</t>
  </si>
  <si>
    <t>SHP-500998</t>
  </si>
  <si>
    <t>SHP-500999</t>
  </si>
  <si>
    <t>SHP-501000</t>
  </si>
  <si>
    <t>SHP-501001</t>
  </si>
  <si>
    <t>SHP-501002</t>
  </si>
  <si>
    <t>SHP-501003</t>
  </si>
  <si>
    <t>SHP-501004</t>
  </si>
  <si>
    <t>SHP-501005</t>
  </si>
  <si>
    <t>SHP-501006</t>
  </si>
  <si>
    <t>SHP-501007</t>
  </si>
  <si>
    <t>SHP-501008</t>
  </si>
  <si>
    <t>SHP-501009</t>
  </si>
  <si>
    <t>SHP-501010</t>
  </si>
  <si>
    <t>SHP-501011</t>
  </si>
  <si>
    <t>SHP-501012</t>
  </si>
  <si>
    <t>SHP-501013</t>
  </si>
  <si>
    <t>SHP-501014</t>
  </si>
  <si>
    <t>SHP-501015</t>
  </si>
  <si>
    <t>SHP-501016</t>
  </si>
  <si>
    <t>SHP-501017</t>
  </si>
  <si>
    <t>SHP-501018</t>
  </si>
  <si>
    <t>SHP-501019</t>
  </si>
  <si>
    <t>SHP-501020</t>
  </si>
  <si>
    <t>SHP-501021</t>
  </si>
  <si>
    <t>SHP-501022</t>
  </si>
  <si>
    <t>SHP-501023</t>
  </si>
  <si>
    <t>SHP-501024</t>
  </si>
  <si>
    <t>SHP-501025</t>
  </si>
  <si>
    <t>SHP-501026</t>
  </si>
  <si>
    <t>SHP-501027</t>
  </si>
  <si>
    <t>SHP-501028</t>
  </si>
  <si>
    <t>SHP-501029</t>
  </si>
  <si>
    <t>SHP-501030</t>
  </si>
  <si>
    <t>SHP-501031</t>
  </si>
  <si>
    <t>SHP-501032</t>
  </si>
  <si>
    <t>Jun</t>
  </si>
  <si>
    <t>SHP-501033</t>
  </si>
  <si>
    <t>SHP-501034</t>
  </si>
  <si>
    <t>SHP-501035</t>
  </si>
  <si>
    <t>SHP-501036</t>
  </si>
  <si>
    <t>SHP-501037</t>
  </si>
  <si>
    <t>SHP-501038</t>
  </si>
  <si>
    <t>SHP-501039</t>
  </si>
  <si>
    <t>SHP-501040</t>
  </si>
  <si>
    <t>SHP-501041</t>
  </si>
  <si>
    <t>SHP-501042</t>
  </si>
  <si>
    <t>SHP-501043</t>
  </si>
  <si>
    <t>SHP-501044</t>
  </si>
  <si>
    <t>SHP-501045</t>
  </si>
  <si>
    <t>SHP-501046</t>
  </si>
  <si>
    <t>SHP-501047</t>
  </si>
  <si>
    <t>SHP-501048</t>
  </si>
  <si>
    <t>SHP-501049</t>
  </si>
  <si>
    <t>SHP-501050</t>
  </si>
  <si>
    <t>SHP-501051</t>
  </si>
  <si>
    <t>SHP-501052</t>
  </si>
  <si>
    <t>SHP-501053</t>
  </si>
  <si>
    <t>SHP-501054</t>
  </si>
  <si>
    <t>SHP-501055</t>
  </si>
  <si>
    <t>SHP-501056</t>
  </si>
  <si>
    <t>SHP-501057</t>
  </si>
  <si>
    <t>SHP-501058</t>
  </si>
  <si>
    <t>SHP-501059</t>
  </si>
  <si>
    <t>SHP-501060</t>
  </si>
  <si>
    <t>SHP-501061</t>
  </si>
  <si>
    <t>SHP-501062</t>
  </si>
  <si>
    <t>SHP-501063</t>
  </si>
  <si>
    <t>SHP-501064</t>
  </si>
  <si>
    <t>SHP-501065</t>
  </si>
  <si>
    <t>SHP-501066</t>
  </si>
  <si>
    <t>SHP-501067</t>
  </si>
  <si>
    <t>SHP-501068</t>
  </si>
  <si>
    <t>SHP-501069</t>
  </si>
  <si>
    <t>SHP-501070</t>
  </si>
  <si>
    <t>SHP-501071</t>
  </si>
  <si>
    <t>SHP-501072</t>
  </si>
  <si>
    <t>SHP-501073</t>
  </si>
  <si>
    <t>SHP-501074</t>
  </si>
  <si>
    <t>SHP-501075</t>
  </si>
  <si>
    <t>SHP-501076</t>
  </si>
  <si>
    <t>SHP-501077</t>
  </si>
  <si>
    <t>SHP-501078</t>
  </si>
  <si>
    <t>SHP-501079</t>
  </si>
  <si>
    <t>SHP-501080</t>
  </si>
  <si>
    <t>SHP-501081</t>
  </si>
  <si>
    <t>SHP-501082</t>
  </si>
  <si>
    <t>SHP-501083</t>
  </si>
  <si>
    <t>SHP-501084</t>
  </si>
  <si>
    <t>SHP-501085</t>
  </si>
  <si>
    <t>SHP-501086</t>
  </si>
  <si>
    <t>SHP-501087</t>
  </si>
  <si>
    <t>SHP-501088</t>
  </si>
  <si>
    <t>SHP-501089</t>
  </si>
  <si>
    <t>SHP-501090</t>
  </si>
  <si>
    <t>SHP-501091</t>
  </si>
  <si>
    <t>SHP-501092</t>
  </si>
  <si>
    <t>SHP-501093</t>
  </si>
  <si>
    <t>SHP-501094</t>
  </si>
  <si>
    <t>SHP-501095</t>
  </si>
  <si>
    <t>SHP-501096</t>
  </si>
  <si>
    <t>SHP-501097</t>
  </si>
  <si>
    <t>SHP-501098</t>
  </si>
  <si>
    <t>SHP-501099</t>
  </si>
  <si>
    <t>SHP-501100</t>
  </si>
  <si>
    <t>SHP-501101</t>
  </si>
  <si>
    <t>SHP-501102</t>
  </si>
  <si>
    <t>SHP-501103</t>
  </si>
  <si>
    <t>SHP-501104</t>
  </si>
  <si>
    <t>SHP-501105</t>
  </si>
  <si>
    <t>SHP-501106</t>
  </si>
  <si>
    <t>SHP-501107</t>
  </si>
  <si>
    <t>SHP-501108</t>
  </si>
  <si>
    <t>SHP-501109</t>
  </si>
  <si>
    <t>SHP-501110</t>
  </si>
  <si>
    <t>SHP-501111</t>
  </si>
  <si>
    <t>SHP-501112</t>
  </si>
  <si>
    <t>SHP-501113</t>
  </si>
  <si>
    <t>SHP-501114</t>
  </si>
  <si>
    <t>SHP-501115</t>
  </si>
  <si>
    <t>SHP-501116</t>
  </si>
  <si>
    <t>SHP-501117</t>
  </si>
  <si>
    <t>SHP-501118</t>
  </si>
  <si>
    <t>SHP-501119</t>
  </si>
  <si>
    <t>SHP-501120</t>
  </si>
  <si>
    <t>SHP-501121</t>
  </si>
  <si>
    <t>SHP-501122</t>
  </si>
  <si>
    <t>SHP-501123</t>
  </si>
  <si>
    <t>SHP-501124</t>
  </si>
  <si>
    <t>SHP-501125</t>
  </si>
  <si>
    <t>SHP-501126</t>
  </si>
  <si>
    <t>SHP-501127</t>
  </si>
  <si>
    <t>SHP-501128</t>
  </si>
  <si>
    <t>SHP-501129</t>
  </si>
  <si>
    <t>SHP-501130</t>
  </si>
  <si>
    <t>SHP-501131</t>
  </si>
  <si>
    <t>SHP-501132</t>
  </si>
  <si>
    <t>SHP-501133</t>
  </si>
  <si>
    <t>SHP-501134</t>
  </si>
  <si>
    <t>SHP-501135</t>
  </si>
  <si>
    <t>SHP-501136</t>
  </si>
  <si>
    <t>SHP-501137</t>
  </si>
  <si>
    <t>SHP-501138</t>
  </si>
  <si>
    <t>SHP-501139</t>
  </si>
  <si>
    <t>SHP-501140</t>
  </si>
  <si>
    <t>SHP-501141</t>
  </si>
  <si>
    <t>SHP-501142</t>
  </si>
  <si>
    <t>SHP-501143</t>
  </si>
  <si>
    <t>SHP-501144</t>
  </si>
  <si>
    <t>SHP-501145</t>
  </si>
  <si>
    <t>SHP-501146</t>
  </si>
  <si>
    <t>SHP-501147</t>
  </si>
  <si>
    <t>SHP-501148</t>
  </si>
  <si>
    <t>SHP-501149</t>
  </si>
  <si>
    <t>SHP-501150</t>
  </si>
  <si>
    <t>SHP-501151</t>
  </si>
  <si>
    <t>SHP-501152</t>
  </si>
  <si>
    <t>SHP-501153</t>
  </si>
  <si>
    <t>SHP-501154</t>
  </si>
  <si>
    <t>SHP-501155</t>
  </si>
  <si>
    <t>SHP-501156</t>
  </si>
  <si>
    <t>SHP-501157</t>
  </si>
  <si>
    <t>SHP-501158</t>
  </si>
  <si>
    <t>SHP-501159</t>
  </si>
  <si>
    <t>SHP-501160</t>
  </si>
  <si>
    <t>SHP-501161</t>
  </si>
  <si>
    <t>SHP-501162</t>
  </si>
  <si>
    <t>SHP-501163</t>
  </si>
  <si>
    <t>SHP-501164</t>
  </si>
  <si>
    <t>SHP-501165</t>
  </si>
  <si>
    <t>SHP-501166</t>
  </si>
  <si>
    <t>SHP-501167</t>
  </si>
  <si>
    <t>SHP-501168</t>
  </si>
  <si>
    <t>SHP-501169</t>
  </si>
  <si>
    <t>SHP-501170</t>
  </si>
  <si>
    <t>SHP-501171</t>
  </si>
  <si>
    <t>SHP-501172</t>
  </si>
  <si>
    <t>SHP-501173</t>
  </si>
  <si>
    <t>SHP-501174</t>
  </si>
  <si>
    <t>SHP-501175</t>
  </si>
  <si>
    <t>SHP-501176</t>
  </si>
  <si>
    <t>SHP-501177</t>
  </si>
  <si>
    <t>SHP-501178</t>
  </si>
  <si>
    <t>SHP-501179</t>
  </si>
  <si>
    <t>SHP-501180</t>
  </si>
  <si>
    <t>SHP-501181</t>
  </si>
  <si>
    <t>SHP-501182</t>
  </si>
  <si>
    <t>SHP-501183</t>
  </si>
  <si>
    <t>SHP-501184</t>
  </si>
  <si>
    <t>SHP-501185</t>
  </si>
  <si>
    <t>SHP-501186</t>
  </si>
  <si>
    <t>SHP-501187</t>
  </si>
  <si>
    <t>SHP-501188</t>
  </si>
  <si>
    <t>SHP-501189</t>
  </si>
  <si>
    <t>SHP-501190</t>
  </si>
  <si>
    <t>SHP-501191</t>
  </si>
  <si>
    <t>SHP-501192</t>
  </si>
  <si>
    <t>SHP-501193</t>
  </si>
  <si>
    <t>SHP-501194</t>
  </si>
  <si>
    <t>SHP-501195</t>
  </si>
  <si>
    <t>SHP-501196</t>
  </si>
  <si>
    <t>SHP-501197</t>
  </si>
  <si>
    <t>SHP-501198</t>
  </si>
  <si>
    <t>SHP-501199</t>
  </si>
  <si>
    <t>SHP-501200</t>
  </si>
  <si>
    <t>SHP-501201</t>
  </si>
  <si>
    <t>SHP-501202</t>
  </si>
  <si>
    <t>SHP-501203</t>
  </si>
  <si>
    <t>SHP-501204</t>
  </si>
  <si>
    <t>SHP-501205</t>
  </si>
  <si>
    <t>SHP-501206</t>
  </si>
  <si>
    <t>SHP-501207</t>
  </si>
  <si>
    <t>SHP-501208</t>
  </si>
  <si>
    <t>SHP-501209</t>
  </si>
  <si>
    <t>SHP-501210</t>
  </si>
  <si>
    <t>SHP-501211</t>
  </si>
  <si>
    <t>SHP-501212</t>
  </si>
  <si>
    <t>SHP-501213</t>
  </si>
  <si>
    <t>Q3</t>
  </si>
  <si>
    <t>Jul</t>
  </si>
  <si>
    <t>SHP-501214</t>
  </si>
  <si>
    <t>SHP-501215</t>
  </si>
  <si>
    <t>SHP-501216</t>
  </si>
  <si>
    <t>SHP-501217</t>
  </si>
  <si>
    <t>SHP-501218</t>
  </si>
  <si>
    <t>SHP-501219</t>
  </si>
  <si>
    <t>SHP-501220</t>
  </si>
  <si>
    <t>SHP-501221</t>
  </si>
  <si>
    <t>SHP-501222</t>
  </si>
  <si>
    <t>SHP-501223</t>
  </si>
  <si>
    <t>SHP-501224</t>
  </si>
  <si>
    <t>SHP-501225</t>
  </si>
  <si>
    <t>SHP-501226</t>
  </si>
  <si>
    <t>SHP-501227</t>
  </si>
  <si>
    <t>SHP-501228</t>
  </si>
  <si>
    <t>SHP-501229</t>
  </si>
  <si>
    <t>SHP-501230</t>
  </si>
  <si>
    <t>SHP-501231</t>
  </si>
  <si>
    <t>SHP-501232</t>
  </si>
  <si>
    <t>SHP-501233</t>
  </si>
  <si>
    <t>SHP-501234</t>
  </si>
  <si>
    <t>SHP-501235</t>
  </si>
  <si>
    <t>SHP-501236</t>
  </si>
  <si>
    <t>SHP-501237</t>
  </si>
  <si>
    <t>SHP-501238</t>
  </si>
  <si>
    <t>SHP-501239</t>
  </si>
  <si>
    <t>SHP-501240</t>
  </si>
  <si>
    <t>SHP-501241</t>
  </si>
  <si>
    <t>SHP-501242</t>
  </si>
  <si>
    <t>SHP-501243</t>
  </si>
  <si>
    <t>SHP-501244</t>
  </si>
  <si>
    <t>SHP-501245</t>
  </si>
  <si>
    <t>SHP-501246</t>
  </si>
  <si>
    <t>SHP-501247</t>
  </si>
  <si>
    <t>SHP-501248</t>
  </si>
  <si>
    <t>SHP-501249</t>
  </si>
  <si>
    <t>SHP-501250</t>
  </si>
  <si>
    <t>SHP-501251</t>
  </si>
  <si>
    <t>SHP-501252</t>
  </si>
  <si>
    <t>SHP-501253</t>
  </si>
  <si>
    <t>SHP-501254</t>
  </si>
  <si>
    <t>SHP-501255</t>
  </si>
  <si>
    <t>SHP-501256</t>
  </si>
  <si>
    <t>SHP-501257</t>
  </si>
  <si>
    <t>SHP-501258</t>
  </si>
  <si>
    <t>SHP-501259</t>
  </si>
  <si>
    <t>SHP-501260</t>
  </si>
  <si>
    <t>SHP-501261</t>
  </si>
  <si>
    <t>SHP-501262</t>
  </si>
  <si>
    <t>SHP-501263</t>
  </si>
  <si>
    <t>SHP-501264</t>
  </si>
  <si>
    <t>SHP-501265</t>
  </si>
  <si>
    <t>SHP-501266</t>
  </si>
  <si>
    <t>SHP-501267</t>
  </si>
  <si>
    <t>SHP-501268</t>
  </si>
  <si>
    <t>SHP-501269</t>
  </si>
  <si>
    <t>SHP-501270</t>
  </si>
  <si>
    <t>SHP-501271</t>
  </si>
  <si>
    <t>SHP-501272</t>
  </si>
  <si>
    <t>SHP-501273</t>
  </si>
  <si>
    <t>SHP-501274</t>
  </si>
  <si>
    <t>SHP-501275</t>
  </si>
  <si>
    <t>SHP-501276</t>
  </si>
  <si>
    <t>SHP-501277</t>
  </si>
  <si>
    <t>SHP-501278</t>
  </si>
  <si>
    <t>SHP-501279</t>
  </si>
  <si>
    <t>SHP-501280</t>
  </si>
  <si>
    <t>SHP-501281</t>
  </si>
  <si>
    <t>SHP-501282</t>
  </si>
  <si>
    <t>SHP-501283</t>
  </si>
  <si>
    <t>SHP-501284</t>
  </si>
  <si>
    <t>SHP-501285</t>
  </si>
  <si>
    <t>SHP-501286</t>
  </si>
  <si>
    <t>SHP-501287</t>
  </si>
  <si>
    <t>SHP-501288</t>
  </si>
  <si>
    <t>SHP-501289</t>
  </si>
  <si>
    <t>SHP-501290</t>
  </si>
  <si>
    <t>SHP-501291</t>
  </si>
  <si>
    <t>SHP-501292</t>
  </si>
  <si>
    <t>SHP-501293</t>
  </si>
  <si>
    <t>SHP-501294</t>
  </si>
  <si>
    <t>SHP-501295</t>
  </si>
  <si>
    <t>SHP-501296</t>
  </si>
  <si>
    <t>SHP-501297</t>
  </si>
  <si>
    <t>SHP-501298</t>
  </si>
  <si>
    <t>SHP-501299</t>
  </si>
  <si>
    <t>SHP-501300</t>
  </si>
  <si>
    <t>SHP-501301</t>
  </si>
  <si>
    <t>SHP-501302</t>
  </si>
  <si>
    <t>SHP-501303</t>
  </si>
  <si>
    <t>SHP-501304</t>
  </si>
  <si>
    <t>SHP-501305</t>
  </si>
  <si>
    <t>SHP-501306</t>
  </si>
  <si>
    <t>SHP-501307</t>
  </si>
  <si>
    <t>SHP-501308</t>
  </si>
  <si>
    <t>SHP-501309</t>
  </si>
  <si>
    <t>SHP-501310</t>
  </si>
  <si>
    <t>SHP-501311</t>
  </si>
  <si>
    <t>SHP-501312</t>
  </si>
  <si>
    <t>SHP-501313</t>
  </si>
  <si>
    <t>SHP-501314</t>
  </si>
  <si>
    <t>SHP-501315</t>
  </si>
  <si>
    <t>SHP-501316</t>
  </si>
  <si>
    <t>SHP-501317</t>
  </si>
  <si>
    <t>SHP-501318</t>
  </si>
  <si>
    <t>SHP-501319</t>
  </si>
  <si>
    <t>SHP-501320</t>
  </si>
  <si>
    <t>SHP-501321</t>
  </si>
  <si>
    <t>SHP-501322</t>
  </si>
  <si>
    <t>SHP-501323</t>
  </si>
  <si>
    <t>SHP-501324</t>
  </si>
  <si>
    <t>SHP-501325</t>
  </si>
  <si>
    <t>SHP-501326</t>
  </si>
  <si>
    <t>SHP-501327</t>
  </si>
  <si>
    <t>SHP-501328</t>
  </si>
  <si>
    <t>SHP-501329</t>
  </si>
  <si>
    <t>SHP-501330</t>
  </si>
  <si>
    <t>SHP-501331</t>
  </si>
  <si>
    <t>SHP-501332</t>
  </si>
  <si>
    <t>SHP-501333</t>
  </si>
  <si>
    <t>SHP-501334</t>
  </si>
  <si>
    <t>SHP-501335</t>
  </si>
  <si>
    <t>SHP-501336</t>
  </si>
  <si>
    <t>SHP-501337</t>
  </si>
  <si>
    <t>SHP-501338</t>
  </si>
  <si>
    <t>SHP-501339</t>
  </si>
  <si>
    <t>SHP-501340</t>
  </si>
  <si>
    <t>SHP-501341</t>
  </si>
  <si>
    <t>SHP-501342</t>
  </si>
  <si>
    <t>SHP-501343</t>
  </si>
  <si>
    <t>SHP-501344</t>
  </si>
  <si>
    <t>SHP-501345</t>
  </si>
  <si>
    <t>SHP-501346</t>
  </si>
  <si>
    <t>SHP-501347</t>
  </si>
  <si>
    <t>SHP-501348</t>
  </si>
  <si>
    <t>SHP-501349</t>
  </si>
  <si>
    <t>SHP-501350</t>
  </si>
  <si>
    <t>SHP-501351</t>
  </si>
  <si>
    <t>SHP-501352</t>
  </si>
  <si>
    <t>SHP-501353</t>
  </si>
  <si>
    <t>SHP-501354</t>
  </si>
  <si>
    <t>SHP-501355</t>
  </si>
  <si>
    <t>SHP-501356</t>
  </si>
  <si>
    <t>SHP-501357</t>
  </si>
  <si>
    <t>SHP-501358</t>
  </si>
  <si>
    <t>SHP-501359</t>
  </si>
  <si>
    <t>SHP-501360</t>
  </si>
  <si>
    <t>SHP-501361</t>
  </si>
  <si>
    <t>SHP-501362</t>
  </si>
  <si>
    <t>SHP-501363</t>
  </si>
  <si>
    <t>SHP-501364</t>
  </si>
  <si>
    <t>SHP-501365</t>
  </si>
  <si>
    <t>SHP-501366</t>
  </si>
  <si>
    <t>SHP-501367</t>
  </si>
  <si>
    <t>SHP-501368</t>
  </si>
  <si>
    <t>SHP-501369</t>
  </si>
  <si>
    <t>SHP-501370</t>
  </si>
  <si>
    <t>SHP-501371</t>
  </si>
  <si>
    <t>SHP-501372</t>
  </si>
  <si>
    <t>SHP-501373</t>
  </si>
  <si>
    <t>SHP-501374</t>
  </si>
  <si>
    <t>SHP-501375</t>
  </si>
  <si>
    <t>SHP-501376</t>
  </si>
  <si>
    <t>SHP-501377</t>
  </si>
  <si>
    <t>SHP-501378</t>
  </si>
  <si>
    <t>SHP-501379</t>
  </si>
  <si>
    <t>SHP-501380</t>
  </si>
  <si>
    <t>SHP-501381</t>
  </si>
  <si>
    <t>SHP-501382</t>
  </si>
  <si>
    <t>SHP-501383</t>
  </si>
  <si>
    <t>SHP-501384</t>
  </si>
  <si>
    <t>SHP-501385</t>
  </si>
  <si>
    <t>SHP-501386</t>
  </si>
  <si>
    <t>SHP-501387</t>
  </si>
  <si>
    <t>SHP-501388</t>
  </si>
  <si>
    <t>SHP-501389</t>
  </si>
  <si>
    <t>SHP-501390</t>
  </si>
  <si>
    <t>SHP-501391</t>
  </si>
  <si>
    <t>SHP-501392</t>
  </si>
  <si>
    <t>SHP-501393</t>
  </si>
  <si>
    <t>SHP-501394</t>
  </si>
  <si>
    <t>SHP-501395</t>
  </si>
  <si>
    <t>SHP-501396</t>
  </si>
  <si>
    <t>SHP-501397</t>
  </si>
  <si>
    <t>SHP-501398</t>
  </si>
  <si>
    <t>SHP-501399</t>
  </si>
  <si>
    <t>SHP-501400</t>
  </si>
  <si>
    <t>SHP-501401</t>
  </si>
  <si>
    <t>SHP-501402</t>
  </si>
  <si>
    <t>SHP-501403</t>
  </si>
  <si>
    <t>SHP-501404</t>
  </si>
  <si>
    <t>Aug</t>
  </si>
  <si>
    <t>SHP-501405</t>
  </si>
  <si>
    <t>SHP-501406</t>
  </si>
  <si>
    <t>SHP-501407</t>
  </si>
  <si>
    <t>SHP-501408</t>
  </si>
  <si>
    <t>SHP-501409</t>
  </si>
  <si>
    <t>SHP-501410</t>
  </si>
  <si>
    <t>SHP-501411</t>
  </si>
  <si>
    <t>SHP-501412</t>
  </si>
  <si>
    <t>SHP-501413</t>
  </si>
  <si>
    <t>SHP-501414</t>
  </si>
  <si>
    <t>SHP-501415</t>
  </si>
  <si>
    <t>SHP-501416</t>
  </si>
  <si>
    <t>SHP-501417</t>
  </si>
  <si>
    <t>SHP-501418</t>
  </si>
  <si>
    <t>SHP-501419</t>
  </si>
  <si>
    <t>SHP-501420</t>
  </si>
  <si>
    <t>SHP-501421</t>
  </si>
  <si>
    <t>SHP-501422</t>
  </si>
  <si>
    <t>SHP-501423</t>
  </si>
  <si>
    <t>SHP-501424</t>
  </si>
  <si>
    <t>SHP-501425</t>
  </si>
  <si>
    <t>SHP-501426</t>
  </si>
  <si>
    <t>SHP-501427</t>
  </si>
  <si>
    <t>SHP-501428</t>
  </si>
  <si>
    <t>SHP-501429</t>
  </si>
  <si>
    <t>SHP-501430</t>
  </si>
  <si>
    <t>SHP-501431</t>
  </si>
  <si>
    <t>SHP-501432</t>
  </si>
  <si>
    <t>SHP-501433</t>
  </si>
  <si>
    <t>SHP-501434</t>
  </si>
  <si>
    <t>SHP-501435</t>
  </si>
  <si>
    <t>SHP-501436</t>
  </si>
  <si>
    <t>SHP-501437</t>
  </si>
  <si>
    <t>SHP-501438</t>
  </si>
  <si>
    <t>SHP-501439</t>
  </si>
  <si>
    <t>SHP-501440</t>
  </si>
  <si>
    <t>SHP-501441</t>
  </si>
  <si>
    <t>SHP-501442</t>
  </si>
  <si>
    <t>SHP-501443</t>
  </si>
  <si>
    <t>SHP-501444</t>
  </si>
  <si>
    <t>SHP-501445</t>
  </si>
  <si>
    <t>SHP-501446</t>
  </si>
  <si>
    <t>SHP-501447</t>
  </si>
  <si>
    <t>SHP-501448</t>
  </si>
  <si>
    <t>SHP-501449</t>
  </si>
  <si>
    <t>SHP-501450</t>
  </si>
  <si>
    <t>SHP-501451</t>
  </si>
  <si>
    <t>SHP-501452</t>
  </si>
  <si>
    <t>SHP-501453</t>
  </si>
  <si>
    <t>SHP-501454</t>
  </si>
  <si>
    <t>SHP-501455</t>
  </si>
  <si>
    <t>SHP-501456</t>
  </si>
  <si>
    <t>SHP-501457</t>
  </si>
  <si>
    <t>SHP-501458</t>
  </si>
  <si>
    <t>SHP-501459</t>
  </si>
  <si>
    <t>SHP-501460</t>
  </si>
  <si>
    <t>SHP-501461</t>
  </si>
  <si>
    <t>SHP-501462</t>
  </si>
  <si>
    <t>SHP-501463</t>
  </si>
  <si>
    <t>SHP-501464</t>
  </si>
  <si>
    <t>SHP-501465</t>
  </si>
  <si>
    <t>SHP-501466</t>
  </si>
  <si>
    <t>SHP-501467</t>
  </si>
  <si>
    <t>SHP-501468</t>
  </si>
  <si>
    <t>SHP-501469</t>
  </si>
  <si>
    <t>SHP-501470</t>
  </si>
  <si>
    <t>SHP-501471</t>
  </si>
  <si>
    <t>SHP-501472</t>
  </si>
  <si>
    <t>SHP-501473</t>
  </si>
  <si>
    <t>SHP-501474</t>
  </si>
  <si>
    <t>SHP-501475</t>
  </si>
  <si>
    <t>SHP-501476</t>
  </si>
  <si>
    <t>SHP-501477</t>
  </si>
  <si>
    <t>SHP-501478</t>
  </si>
  <si>
    <t>SHP-501479</t>
  </si>
  <si>
    <t>SHP-501480</t>
  </si>
  <si>
    <t>SHP-501481</t>
  </si>
  <si>
    <t>SHP-501482</t>
  </si>
  <si>
    <t>SHP-501483</t>
  </si>
  <si>
    <t>SHP-501484</t>
  </si>
  <si>
    <t>SHP-501485</t>
  </si>
  <si>
    <t>SHP-501486</t>
  </si>
  <si>
    <t>SHP-501487</t>
  </si>
  <si>
    <t>SHP-501488</t>
  </si>
  <si>
    <t>SHP-501489</t>
  </si>
  <si>
    <t>SHP-501490</t>
  </si>
  <si>
    <t>SHP-501491</t>
  </si>
  <si>
    <t>SHP-501492</t>
  </si>
  <si>
    <t>SHP-501493</t>
  </si>
  <si>
    <t>SHP-501494</t>
  </si>
  <si>
    <t>SHP-501495</t>
  </si>
  <si>
    <t>SHP-501496</t>
  </si>
  <si>
    <t>SHP-501497</t>
  </si>
  <si>
    <t>SHP-501498</t>
  </si>
  <si>
    <t>SHP-501499</t>
  </si>
  <si>
    <t>SHP-501500</t>
  </si>
  <si>
    <t>SHP-501501</t>
  </si>
  <si>
    <t>SHP-501502</t>
  </si>
  <si>
    <t>SHP-501503</t>
  </si>
  <si>
    <t>SHP-501504</t>
  </si>
  <si>
    <t>SHP-501505</t>
  </si>
  <si>
    <t>SHP-501506</t>
  </si>
  <si>
    <t>SHP-501507</t>
  </si>
  <si>
    <t>SHP-501508</t>
  </si>
  <si>
    <t>SHP-501509</t>
  </si>
  <si>
    <t>SHP-501510</t>
  </si>
  <si>
    <t>SHP-501511</t>
  </si>
  <si>
    <t>SHP-501512</t>
  </si>
  <si>
    <t>SHP-501513</t>
  </si>
  <si>
    <t>SHP-501514</t>
  </si>
  <si>
    <t>SHP-501515</t>
  </si>
  <si>
    <t>SHP-501516</t>
  </si>
  <si>
    <t>SHP-501517</t>
  </si>
  <si>
    <t>SHP-501518</t>
  </si>
  <si>
    <t>SHP-501519</t>
  </si>
  <si>
    <t>SHP-501520</t>
  </si>
  <si>
    <t>SHP-501521</t>
  </si>
  <si>
    <t>SHP-501522</t>
  </si>
  <si>
    <t>SHP-501523</t>
  </si>
  <si>
    <t>SHP-501524</t>
  </si>
  <si>
    <t>SHP-501525</t>
  </si>
  <si>
    <t>SHP-501526</t>
  </si>
  <si>
    <t>SHP-501527</t>
  </si>
  <si>
    <t>SHP-501528</t>
  </si>
  <si>
    <t>SHP-501529</t>
  </si>
  <si>
    <t>SHP-501530</t>
  </si>
  <si>
    <t>SHP-501531</t>
  </si>
  <si>
    <t>SHP-501532</t>
  </si>
  <si>
    <t>SHP-501533</t>
  </si>
  <si>
    <t>SHP-501534</t>
  </si>
  <si>
    <t>SHP-501535</t>
  </si>
  <si>
    <t>SHP-501536</t>
  </si>
  <si>
    <t>SHP-501537</t>
  </si>
  <si>
    <t>SHP-501538</t>
  </si>
  <si>
    <t>SHP-501539</t>
  </si>
  <si>
    <t>SHP-501540</t>
  </si>
  <si>
    <t>SHP-501541</t>
  </si>
  <si>
    <t>SHP-501542</t>
  </si>
  <si>
    <t>SHP-501543</t>
  </si>
  <si>
    <t>SHP-501544</t>
  </si>
  <si>
    <t>SHP-501545</t>
  </si>
  <si>
    <t>SHP-501546</t>
  </si>
  <si>
    <t>SHP-501547</t>
  </si>
  <si>
    <t>SHP-501548</t>
  </si>
  <si>
    <t>SHP-501549</t>
  </si>
  <si>
    <t>SHP-501550</t>
  </si>
  <si>
    <t>SHP-501551</t>
  </si>
  <si>
    <t>SHP-501552</t>
  </si>
  <si>
    <t>SHP-501553</t>
  </si>
  <si>
    <t>SHP-501554</t>
  </si>
  <si>
    <t>SHP-501555</t>
  </si>
  <si>
    <t>SHP-501556</t>
  </si>
  <si>
    <t>SHP-501557</t>
  </si>
  <si>
    <t>SHP-501558</t>
  </si>
  <si>
    <t>SHP-501559</t>
  </si>
  <si>
    <t>SHP-501560</t>
  </si>
  <si>
    <t>SHP-501561</t>
  </si>
  <si>
    <t>SHP-501562</t>
  </si>
  <si>
    <t>SHP-501563</t>
  </si>
  <si>
    <t>SHP-501564</t>
  </si>
  <si>
    <t>SHP-501565</t>
  </si>
  <si>
    <t>SHP-501566</t>
  </si>
  <si>
    <t>SHP-501567</t>
  </si>
  <si>
    <t>SHP-501568</t>
  </si>
  <si>
    <t>SHP-501569</t>
  </si>
  <si>
    <t>SHP-501570</t>
  </si>
  <si>
    <t>SHP-501571</t>
  </si>
  <si>
    <t>SHP-501572</t>
  </si>
  <si>
    <t>SHP-501573</t>
  </si>
  <si>
    <t>SHP-501574</t>
  </si>
  <si>
    <t>SHP-501575</t>
  </si>
  <si>
    <t>SHP-501576</t>
  </si>
  <si>
    <t>SHP-501577</t>
  </si>
  <si>
    <t>SHP-501578</t>
  </si>
  <si>
    <t>SHP-501579</t>
  </si>
  <si>
    <t>SHP-501580</t>
  </si>
  <si>
    <t>SHP-501581</t>
  </si>
  <si>
    <t>SHP-501582</t>
  </si>
  <si>
    <t>SHP-501583</t>
  </si>
  <si>
    <t>SHP-501584</t>
  </si>
  <si>
    <t>SHP-501585</t>
  </si>
  <si>
    <t>SHP-501586</t>
  </si>
  <si>
    <t>SHP-501587</t>
  </si>
  <si>
    <t>SHP-501588</t>
  </si>
  <si>
    <t>SHP-501589</t>
  </si>
  <si>
    <t>SHP-501590</t>
  </si>
  <si>
    <t>SHP-501591</t>
  </si>
  <si>
    <t>SHP-501592</t>
  </si>
  <si>
    <t>SHP-501593</t>
  </si>
  <si>
    <t>SHP-501594</t>
  </si>
  <si>
    <t>SHP-501595</t>
  </si>
  <si>
    <t>SHP-501596</t>
  </si>
  <si>
    <t>SHP-501597</t>
  </si>
  <si>
    <t>SHP-501598</t>
  </si>
  <si>
    <t>SHP-501599</t>
  </si>
  <si>
    <t>SHP-501600</t>
  </si>
  <si>
    <t>Sep</t>
  </si>
  <si>
    <t>SHP-501601</t>
  </si>
  <si>
    <t>SHP-501602</t>
  </si>
  <si>
    <t>SHP-501603</t>
  </si>
  <si>
    <t>SHP-501604</t>
  </si>
  <si>
    <t>SHP-501605</t>
  </si>
  <si>
    <t>SHP-501606</t>
  </si>
  <si>
    <t>SHP-501607</t>
  </si>
  <si>
    <t>SHP-501608</t>
  </si>
  <si>
    <t>SHP-501609</t>
  </si>
  <si>
    <t>SHP-501610</t>
  </si>
  <si>
    <t>SHP-501611</t>
  </si>
  <si>
    <t>SHP-501612</t>
  </si>
  <si>
    <t>SHP-501613</t>
  </si>
  <si>
    <t>SHP-501614</t>
  </si>
  <si>
    <t>SHP-501615</t>
  </si>
  <si>
    <t>SHP-501616</t>
  </si>
  <si>
    <t>SHP-501617</t>
  </si>
  <si>
    <t>SHP-501618</t>
  </si>
  <si>
    <t>SHP-501619</t>
  </si>
  <si>
    <t>SHP-501620</t>
  </si>
  <si>
    <t>SHP-501621</t>
  </si>
  <si>
    <t>SHP-501622</t>
  </si>
  <si>
    <t>SHP-501623</t>
  </si>
  <si>
    <t>SHP-501624</t>
  </si>
  <si>
    <t>SHP-501625</t>
  </si>
  <si>
    <t>SHP-501626</t>
  </si>
  <si>
    <t>SHP-501627</t>
  </si>
  <si>
    <t>SHP-501628</t>
  </si>
  <si>
    <t>SHP-501629</t>
  </si>
  <si>
    <t>SHP-501630</t>
  </si>
  <si>
    <t>SHP-501631</t>
  </si>
  <si>
    <t>SHP-501632</t>
  </si>
  <si>
    <t>SHP-501633</t>
  </si>
  <si>
    <t>SHP-501634</t>
  </si>
  <si>
    <t>SHP-501635</t>
  </si>
  <si>
    <t>SHP-501636</t>
  </si>
  <si>
    <t>SHP-501637</t>
  </si>
  <si>
    <t>SHP-501638</t>
  </si>
  <si>
    <t>SHP-501639</t>
  </si>
  <si>
    <t>SHP-501640</t>
  </si>
  <si>
    <t>SHP-501641</t>
  </si>
  <si>
    <t>SHP-501642</t>
  </si>
  <si>
    <t>SHP-501643</t>
  </si>
  <si>
    <t>SHP-501644</t>
  </si>
  <si>
    <t>SHP-501645</t>
  </si>
  <si>
    <t>SHP-501646</t>
  </si>
  <si>
    <t>SHP-501647</t>
  </si>
  <si>
    <t>SHP-501648</t>
  </si>
  <si>
    <t>SHP-501649</t>
  </si>
  <si>
    <t>SHP-501650</t>
  </si>
  <si>
    <t>SHP-501651</t>
  </si>
  <si>
    <t>SHP-501652</t>
  </si>
  <si>
    <t>SHP-501653</t>
  </si>
  <si>
    <t>SHP-501654</t>
  </si>
  <si>
    <t>SHP-501655</t>
  </si>
  <si>
    <t>SHP-501656</t>
  </si>
  <si>
    <t>SHP-501657</t>
  </si>
  <si>
    <t>SHP-501658</t>
  </si>
  <si>
    <t>SHP-501659</t>
  </si>
  <si>
    <t>SHP-501660</t>
  </si>
  <si>
    <t>SHP-501661</t>
  </si>
  <si>
    <t>SHP-501662</t>
  </si>
  <si>
    <t>SHP-501663</t>
  </si>
  <si>
    <t>SHP-501664</t>
  </si>
  <si>
    <t>SHP-501665</t>
  </si>
  <si>
    <t>SHP-501666</t>
  </si>
  <si>
    <t>SHP-501667</t>
  </si>
  <si>
    <t>SHP-501668</t>
  </si>
  <si>
    <t>SHP-501669</t>
  </si>
  <si>
    <t>SHP-501670</t>
  </si>
  <si>
    <t>SHP-501671</t>
  </si>
  <si>
    <t>SHP-501672</t>
  </si>
  <si>
    <t>SHP-501673</t>
  </si>
  <si>
    <t>SHP-501674</t>
  </si>
  <si>
    <t>SHP-501675</t>
  </si>
  <si>
    <t>SHP-501676</t>
  </si>
  <si>
    <t>SHP-501677</t>
  </si>
  <si>
    <t>SHP-501678</t>
  </si>
  <si>
    <t>SHP-501679</t>
  </si>
  <si>
    <t>SHP-501680</t>
  </si>
  <si>
    <t>SHP-501681</t>
  </si>
  <si>
    <t>SHP-501682</t>
  </si>
  <si>
    <t>SHP-501683</t>
  </si>
  <si>
    <t>SHP-501684</t>
  </si>
  <si>
    <t>SHP-501685</t>
  </si>
  <si>
    <t>SHP-501686</t>
  </si>
  <si>
    <t>SHP-501687</t>
  </si>
  <si>
    <t>SHP-501688</t>
  </si>
  <si>
    <t>SHP-501689</t>
  </si>
  <si>
    <t>SHP-501690</t>
  </si>
  <si>
    <t>SHP-501691</t>
  </si>
  <si>
    <t>SHP-501692</t>
  </si>
  <si>
    <t>SHP-501693</t>
  </si>
  <si>
    <t>SHP-501694</t>
  </si>
  <si>
    <t>SHP-501695</t>
  </si>
  <si>
    <t>SHP-501696</t>
  </si>
  <si>
    <t>SHP-501697</t>
  </si>
  <si>
    <t>SHP-501698</t>
  </si>
  <si>
    <t>SHP-501699</t>
  </si>
  <si>
    <t>SHP-501700</t>
  </si>
  <si>
    <t>SHP-501701</t>
  </si>
  <si>
    <t>SHP-501702</t>
  </si>
  <si>
    <t>SHP-501703</t>
  </si>
  <si>
    <t>SHP-501704</t>
  </si>
  <si>
    <t>SHP-501705</t>
  </si>
  <si>
    <t>SHP-501706</t>
  </si>
  <si>
    <t>SHP-501707</t>
  </si>
  <si>
    <t>SHP-501708</t>
  </si>
  <si>
    <t>SHP-501709</t>
  </si>
  <si>
    <t>SHP-501710</t>
  </si>
  <si>
    <t>SHP-501711</t>
  </si>
  <si>
    <t>SHP-501712</t>
  </si>
  <si>
    <t>SHP-501713</t>
  </si>
  <si>
    <t>SHP-501714</t>
  </si>
  <si>
    <t>SHP-501715</t>
  </si>
  <si>
    <t>SHP-501716</t>
  </si>
  <si>
    <t>SHP-501717</t>
  </si>
  <si>
    <t>SHP-501718</t>
  </si>
  <si>
    <t>SHP-501719</t>
  </si>
  <si>
    <t>SHP-501720</t>
  </si>
  <si>
    <t>SHP-501721</t>
  </si>
  <si>
    <t>SHP-501722</t>
  </si>
  <si>
    <t>SHP-501723</t>
  </si>
  <si>
    <t>SHP-501724</t>
  </si>
  <si>
    <t>SHP-501725</t>
  </si>
  <si>
    <t>SHP-501726</t>
  </si>
  <si>
    <t>SHP-501727</t>
  </si>
  <si>
    <t>SHP-501728</t>
  </si>
  <si>
    <t>SHP-501729</t>
  </si>
  <si>
    <t>SHP-501730</t>
  </si>
  <si>
    <t>SHP-501731</t>
  </si>
  <si>
    <t>SHP-501732</t>
  </si>
  <si>
    <t>SHP-501733</t>
  </si>
  <si>
    <t>SHP-501734</t>
  </si>
  <si>
    <t>SHP-501735</t>
  </si>
  <si>
    <t>SHP-501736</t>
  </si>
  <si>
    <t>SHP-501737</t>
  </si>
  <si>
    <t>SHP-501738</t>
  </si>
  <si>
    <t>SHP-501739</t>
  </si>
  <si>
    <t>SHP-501740</t>
  </si>
  <si>
    <t>SHP-501741</t>
  </si>
  <si>
    <t>SHP-501742</t>
  </si>
  <si>
    <t>SHP-501743</t>
  </si>
  <si>
    <t>SHP-501744</t>
  </si>
  <si>
    <t>SHP-501745</t>
  </si>
  <si>
    <t>SHP-501746</t>
  </si>
  <si>
    <t>SHP-501747</t>
  </si>
  <si>
    <t>SHP-501748</t>
  </si>
  <si>
    <t>SHP-501749</t>
  </si>
  <si>
    <t>SHP-501750</t>
  </si>
  <si>
    <t>SHP-501751</t>
  </si>
  <si>
    <t>SHP-501752</t>
  </si>
  <si>
    <t>SHP-501753</t>
  </si>
  <si>
    <t>SHP-501754</t>
  </si>
  <si>
    <t>SHP-501755</t>
  </si>
  <si>
    <t>SHP-501756</t>
  </si>
  <si>
    <t>SHP-501757</t>
  </si>
  <si>
    <t>SHP-501758</t>
  </si>
  <si>
    <t>SHP-501759</t>
  </si>
  <si>
    <t>SHP-501760</t>
  </si>
  <si>
    <t>SHP-501761</t>
  </si>
  <si>
    <t>SHP-501762</t>
  </si>
  <si>
    <t>SHP-501763</t>
  </si>
  <si>
    <t>SHP-501764</t>
  </si>
  <si>
    <t>SHP-501765</t>
  </si>
  <si>
    <t>SHP-501766</t>
  </si>
  <si>
    <t>SHP-501767</t>
  </si>
  <si>
    <t>SHP-501768</t>
  </si>
  <si>
    <t>SHP-501769</t>
  </si>
  <si>
    <t>SHP-501770</t>
  </si>
  <si>
    <t>SHP-501771</t>
  </si>
  <si>
    <t>SHP-501772</t>
  </si>
  <si>
    <t>SHP-501773</t>
  </si>
  <si>
    <t>SHP-501774</t>
  </si>
  <si>
    <t>SHP-501775</t>
  </si>
  <si>
    <t>SHP-501776</t>
  </si>
  <si>
    <t>SHP-501777</t>
  </si>
  <si>
    <t>SHP-501778</t>
  </si>
  <si>
    <t>SHP-501779</t>
  </si>
  <si>
    <t>SHP-501780</t>
  </si>
  <si>
    <t>SHP-501781</t>
  </si>
  <si>
    <t>SHP-501782</t>
  </si>
  <si>
    <t>SHP-501783</t>
  </si>
  <si>
    <t>SHP-501784</t>
  </si>
  <si>
    <t>SHP-501785</t>
  </si>
  <si>
    <t>SHP-501786</t>
  </si>
  <si>
    <t>SHP-501787</t>
  </si>
  <si>
    <t>SHP-501788</t>
  </si>
  <si>
    <t>SHP-501789</t>
  </si>
  <si>
    <t>SHP-501790</t>
  </si>
  <si>
    <t>SHP-501791</t>
  </si>
  <si>
    <t>SHP-501792</t>
  </si>
  <si>
    <t>SHP-501793</t>
  </si>
  <si>
    <t>SHP-501794</t>
  </si>
  <si>
    <t>SHP-501795</t>
  </si>
  <si>
    <t>SHP-501796</t>
  </si>
  <si>
    <t>SHP-501797</t>
  </si>
  <si>
    <t>SHP-501798</t>
  </si>
  <si>
    <t>SHP-501799</t>
  </si>
  <si>
    <t>SHP-501800</t>
  </si>
  <si>
    <t>SHP-501801</t>
  </si>
  <si>
    <t>SHP-501802</t>
  </si>
  <si>
    <t>SHP-501803</t>
  </si>
  <si>
    <t>SHP-501804</t>
  </si>
  <si>
    <t>SHP-501805</t>
  </si>
  <si>
    <t>SHP-501806</t>
  </si>
  <si>
    <t>SHP-501807</t>
  </si>
  <si>
    <t>SHP-501808</t>
  </si>
  <si>
    <t>SHP-501809</t>
  </si>
  <si>
    <t>SHP-501810</t>
  </si>
  <si>
    <t>SHP-501811</t>
  </si>
  <si>
    <t>SHP-501812</t>
  </si>
  <si>
    <t>SHP-501813</t>
  </si>
  <si>
    <t>SHP-501814</t>
  </si>
  <si>
    <t>SHP-501815</t>
  </si>
  <si>
    <t>SHP-501816</t>
  </si>
  <si>
    <t>SHP-501817</t>
  </si>
  <si>
    <t>SHP-501818</t>
  </si>
  <si>
    <t>SHP-501819</t>
  </si>
  <si>
    <t>SHP-501820</t>
  </si>
  <si>
    <t>SHP-501821</t>
  </si>
  <si>
    <t>Q4</t>
  </si>
  <si>
    <t>Oct</t>
  </si>
  <si>
    <t>SHP-501822</t>
  </si>
  <si>
    <t>SHP-501823</t>
  </si>
  <si>
    <t>SHP-501824</t>
  </si>
  <si>
    <t>SHP-501825</t>
  </si>
  <si>
    <t>SHP-501826</t>
  </si>
  <si>
    <t>SHP-501827</t>
  </si>
  <si>
    <t>SHP-501828</t>
  </si>
  <si>
    <t>SHP-501829</t>
  </si>
  <si>
    <t>SHP-501830</t>
  </si>
  <si>
    <t>SHP-501831</t>
  </si>
  <si>
    <t>SHP-501832</t>
  </si>
  <si>
    <t>SHP-501833</t>
  </si>
  <si>
    <t>SHP-501834</t>
  </si>
  <si>
    <t>SHP-501835</t>
  </si>
  <si>
    <t>SHP-501836</t>
  </si>
  <si>
    <t>SHP-501837</t>
  </si>
  <si>
    <t>SHP-501838</t>
  </si>
  <si>
    <t>SHP-501839</t>
  </si>
  <si>
    <t>SHP-501840</t>
  </si>
  <si>
    <t>SHP-501841</t>
  </si>
  <si>
    <t>SHP-501842</t>
  </si>
  <si>
    <t>SHP-501843</t>
  </si>
  <si>
    <t>SHP-501844</t>
  </si>
  <si>
    <t>SHP-501845</t>
  </si>
  <si>
    <t>SHP-501846</t>
  </si>
  <si>
    <t>SHP-501847</t>
  </si>
  <si>
    <t>SHP-501848</t>
  </si>
  <si>
    <t>SHP-501849</t>
  </si>
  <si>
    <t>SHP-501850</t>
  </si>
  <si>
    <t>SHP-501851</t>
  </si>
  <si>
    <t>SHP-501852</t>
  </si>
  <si>
    <t>SHP-501853</t>
  </si>
  <si>
    <t>SHP-501854</t>
  </si>
  <si>
    <t>SHP-501855</t>
  </si>
  <si>
    <t>SHP-501856</t>
  </si>
  <si>
    <t>SHP-501857</t>
  </si>
  <si>
    <t>SHP-501858</t>
  </si>
  <si>
    <t>SHP-501859</t>
  </si>
  <si>
    <t>SHP-501860</t>
  </si>
  <si>
    <t>SHP-501861</t>
  </si>
  <si>
    <t>SHP-501862</t>
  </si>
  <si>
    <t>SHP-501863</t>
  </si>
  <si>
    <t>SHP-501864</t>
  </si>
  <si>
    <t>SHP-501865</t>
  </si>
  <si>
    <t>SHP-501866</t>
  </si>
  <si>
    <t>SHP-501867</t>
  </si>
  <si>
    <t>SHP-501868</t>
  </si>
  <si>
    <t>SHP-501869</t>
  </si>
  <si>
    <t>SHP-501870</t>
  </si>
  <si>
    <t>SHP-501871</t>
  </si>
  <si>
    <t>SHP-501872</t>
  </si>
  <si>
    <t>SHP-501873</t>
  </si>
  <si>
    <t>SHP-501874</t>
  </si>
  <si>
    <t>SHP-501875</t>
  </si>
  <si>
    <t>SHP-501876</t>
  </si>
  <si>
    <t>SHP-501877</t>
  </si>
  <si>
    <t>SHP-501878</t>
  </si>
  <si>
    <t>SHP-501879</t>
  </si>
  <si>
    <t>SHP-501880</t>
  </si>
  <si>
    <t>SHP-501881</t>
  </si>
  <si>
    <t>SHP-501882</t>
  </si>
  <si>
    <t>SHP-501883</t>
  </si>
  <si>
    <t>SHP-501884</t>
  </si>
  <si>
    <t>SHP-501885</t>
  </si>
  <si>
    <t>SHP-501886</t>
  </si>
  <si>
    <t>SHP-501887</t>
  </si>
  <si>
    <t>SHP-501888</t>
  </si>
  <si>
    <t>SHP-501889</t>
  </si>
  <si>
    <t>SHP-501890</t>
  </si>
  <si>
    <t>SHP-501891</t>
  </si>
  <si>
    <t>SHP-501892</t>
  </si>
  <si>
    <t>SHP-501893</t>
  </si>
  <si>
    <t>SHP-501894</t>
  </si>
  <si>
    <t>SHP-501895</t>
  </si>
  <si>
    <t>SHP-501896</t>
  </si>
  <si>
    <t>SHP-501897</t>
  </si>
  <si>
    <t>SHP-501898</t>
  </si>
  <si>
    <t>SHP-501899</t>
  </si>
  <si>
    <t>SHP-501900</t>
  </si>
  <si>
    <t>SHP-501901</t>
  </si>
  <si>
    <t>SHP-501902</t>
  </si>
  <si>
    <t>SHP-501903</t>
  </si>
  <si>
    <t>SHP-501904</t>
  </si>
  <si>
    <t>SHP-501905</t>
  </si>
  <si>
    <t>SHP-501906</t>
  </si>
  <si>
    <t>SHP-501907</t>
  </si>
  <si>
    <t>SHP-501908</t>
  </si>
  <si>
    <t>SHP-501909</t>
  </si>
  <si>
    <t>SHP-501910</t>
  </si>
  <si>
    <t>SHP-501911</t>
  </si>
  <si>
    <t>SHP-501912</t>
  </si>
  <si>
    <t>SHP-501913</t>
  </si>
  <si>
    <t>SHP-501914</t>
  </si>
  <si>
    <t>SHP-501915</t>
  </si>
  <si>
    <t>SHP-501916</t>
  </si>
  <si>
    <t>SHP-501917</t>
  </si>
  <si>
    <t>SHP-501918</t>
  </si>
  <si>
    <t>SHP-501919</t>
  </si>
  <si>
    <t>SHP-501920</t>
  </si>
  <si>
    <t>SHP-501921</t>
  </si>
  <si>
    <t>SHP-501922</t>
  </si>
  <si>
    <t>SHP-501923</t>
  </si>
  <si>
    <t>SHP-501924</t>
  </si>
  <si>
    <t>SHP-501925</t>
  </si>
  <si>
    <t>SHP-501926</t>
  </si>
  <si>
    <t>SHP-501927</t>
  </si>
  <si>
    <t>SHP-501928</t>
  </si>
  <si>
    <t>SHP-501929</t>
  </si>
  <si>
    <t>SHP-501930</t>
  </si>
  <si>
    <t>SHP-501931</t>
  </si>
  <si>
    <t>SHP-501932</t>
  </si>
  <si>
    <t>SHP-501933</t>
  </si>
  <si>
    <t>SHP-501934</t>
  </si>
  <si>
    <t>SHP-501935</t>
  </si>
  <si>
    <t>SHP-501936</t>
  </si>
  <si>
    <t>SHP-501937</t>
  </si>
  <si>
    <t>SHP-501938</t>
  </si>
  <si>
    <t>SHP-501939</t>
  </si>
  <si>
    <t>SHP-501940</t>
  </si>
  <si>
    <t>SHP-501941</t>
  </si>
  <si>
    <t>SHP-501942</t>
  </si>
  <si>
    <t>SHP-501943</t>
  </si>
  <si>
    <t>SHP-501944</t>
  </si>
  <si>
    <t>SHP-501945</t>
  </si>
  <si>
    <t>SHP-501946</t>
  </si>
  <si>
    <t>SHP-501947</t>
  </si>
  <si>
    <t>SHP-501948</t>
  </si>
  <si>
    <t>SHP-501949</t>
  </si>
  <si>
    <t>SHP-501950</t>
  </si>
  <si>
    <t>SHP-501951</t>
  </si>
  <si>
    <t>SHP-501952</t>
  </si>
  <si>
    <t>SHP-501953</t>
  </si>
  <si>
    <t>SHP-501954</t>
  </si>
  <si>
    <t>SHP-501955</t>
  </si>
  <si>
    <t>SHP-501956</t>
  </si>
  <si>
    <t>SHP-501957</t>
  </si>
  <si>
    <t>SHP-501958</t>
  </si>
  <si>
    <t>SHP-501959</t>
  </si>
  <si>
    <t>SHP-501960</t>
  </si>
  <si>
    <t>SHP-501961</t>
  </si>
  <si>
    <t>SHP-501962</t>
  </si>
  <si>
    <t>SHP-501963</t>
  </si>
  <si>
    <t>SHP-501964</t>
  </si>
  <si>
    <t>SHP-501965</t>
  </si>
  <si>
    <t>SHP-501966</t>
  </si>
  <si>
    <t>SHP-501967</t>
  </si>
  <si>
    <t>SHP-501968</t>
  </si>
  <si>
    <t>SHP-501969</t>
  </si>
  <si>
    <t>SHP-501970</t>
  </si>
  <si>
    <t>SHP-501971</t>
  </si>
  <si>
    <t>SHP-501972</t>
  </si>
  <si>
    <t>SHP-501973</t>
  </si>
  <si>
    <t>SHP-501974</t>
  </si>
  <si>
    <t>SHP-501975</t>
  </si>
  <si>
    <t>SHP-501976</t>
  </si>
  <si>
    <t>SHP-501977</t>
  </si>
  <si>
    <t>SHP-501978</t>
  </si>
  <si>
    <t>SHP-501979</t>
  </si>
  <si>
    <t>SHP-501980</t>
  </si>
  <si>
    <t>SHP-501981</t>
  </si>
  <si>
    <t>SHP-501982</t>
  </si>
  <si>
    <t>SHP-501983</t>
  </si>
  <si>
    <t>SHP-501984</t>
  </si>
  <si>
    <t>SHP-501985</t>
  </si>
  <si>
    <t>SHP-501986</t>
  </si>
  <si>
    <t>SHP-501987</t>
  </si>
  <si>
    <t>SHP-501988</t>
  </si>
  <si>
    <t>SHP-501989</t>
  </si>
  <si>
    <t>SHP-501990</t>
  </si>
  <si>
    <t>SHP-501991</t>
  </si>
  <si>
    <t>SHP-501992</t>
  </si>
  <si>
    <t>SHP-501993</t>
  </si>
  <si>
    <t>SHP-501994</t>
  </si>
  <si>
    <t>SHP-501995</t>
  </si>
  <si>
    <t>SHP-501996</t>
  </si>
  <si>
    <t>SHP-501997</t>
  </si>
  <si>
    <t>SHP-501998</t>
  </si>
  <si>
    <t>SHP-501999</t>
  </si>
  <si>
    <t>SHP-502000</t>
  </si>
  <si>
    <t>SHP-502001</t>
  </si>
  <si>
    <t>SHP-502002</t>
  </si>
  <si>
    <t>SHP-502003</t>
  </si>
  <si>
    <t>SHP-502004</t>
  </si>
  <si>
    <t>SHP-502005</t>
  </si>
  <si>
    <t>SHP-502006</t>
  </si>
  <si>
    <t>SHP-502007</t>
  </si>
  <si>
    <t>SHP-502008</t>
  </si>
  <si>
    <t>SHP-502009</t>
  </si>
  <si>
    <t>SHP-502010</t>
  </si>
  <si>
    <t>SHP-502011</t>
  </si>
  <si>
    <t>SHP-502012</t>
  </si>
  <si>
    <t>SHP-502013</t>
  </si>
  <si>
    <t>SHP-502014</t>
  </si>
  <si>
    <t>SHP-502015</t>
  </si>
  <si>
    <t>SHP-502016</t>
  </si>
  <si>
    <t>SHP-502017</t>
  </si>
  <si>
    <t>SHP-502018</t>
  </si>
  <si>
    <t>SHP-502019</t>
  </si>
  <si>
    <t>SHP-502020</t>
  </si>
  <si>
    <t>SHP-502021</t>
  </si>
  <si>
    <t>SHP-502022</t>
  </si>
  <si>
    <t>SHP-502023</t>
  </si>
  <si>
    <t>SHP-502024</t>
  </si>
  <si>
    <t>SHP-502025</t>
  </si>
  <si>
    <t>SHP-502026</t>
  </si>
  <si>
    <t>SHP-502027</t>
  </si>
  <si>
    <t>SHP-502028</t>
  </si>
  <si>
    <t>SHP-502029</t>
  </si>
  <si>
    <t>SHP-502030</t>
  </si>
  <si>
    <t>SHP-502031</t>
  </si>
  <si>
    <t>SHP-502032</t>
  </si>
  <si>
    <t>SHP-502033</t>
  </si>
  <si>
    <t>SHP-502034</t>
  </si>
  <si>
    <t>SHP-502035</t>
  </si>
  <si>
    <t>SHP-502036</t>
  </si>
  <si>
    <t>SHP-502037</t>
  </si>
  <si>
    <t>SHP-502038</t>
  </si>
  <si>
    <t>SHP-502039</t>
  </si>
  <si>
    <t>SHP-502040</t>
  </si>
  <si>
    <t>SHP-502041</t>
  </si>
  <si>
    <t>SHP-502042</t>
  </si>
  <si>
    <t>SHP-502043</t>
  </si>
  <si>
    <t>SHP-502044</t>
  </si>
  <si>
    <t>SHP-502045</t>
  </si>
  <si>
    <t>SHP-502046</t>
  </si>
  <si>
    <t>SHP-502047</t>
  </si>
  <si>
    <t>SHP-502048</t>
  </si>
  <si>
    <t>SHP-502049</t>
  </si>
  <si>
    <t>SHP-502050</t>
  </si>
  <si>
    <t>SHP-502051</t>
  </si>
  <si>
    <t>SHP-502052</t>
  </si>
  <si>
    <t>SHP-502053</t>
  </si>
  <si>
    <t>SHP-502054</t>
  </si>
  <si>
    <t>Nov</t>
  </si>
  <si>
    <t>SHP-502055</t>
  </si>
  <si>
    <t>SHP-502056</t>
  </si>
  <si>
    <t>SHP-502057</t>
  </si>
  <si>
    <t>SHP-502058</t>
  </si>
  <si>
    <t>SHP-502059</t>
  </si>
  <si>
    <t>SHP-502060</t>
  </si>
  <si>
    <t>SHP-502061</t>
  </si>
  <si>
    <t>SHP-502062</t>
  </si>
  <si>
    <t>SHP-502063</t>
  </si>
  <si>
    <t>SHP-502064</t>
  </si>
  <si>
    <t>SHP-502065</t>
  </si>
  <si>
    <t>SHP-502066</t>
  </si>
  <si>
    <t>SHP-502067</t>
  </si>
  <si>
    <t>SHP-502068</t>
  </si>
  <si>
    <t>SHP-502069</t>
  </si>
  <si>
    <t>SHP-502070</t>
  </si>
  <si>
    <t>SHP-502071</t>
  </si>
  <si>
    <t>SHP-502072</t>
  </si>
  <si>
    <t>SHP-502073</t>
  </si>
  <si>
    <t>SHP-502074</t>
  </si>
  <si>
    <t>SHP-502075</t>
  </si>
  <si>
    <t>SHP-502076</t>
  </si>
  <si>
    <t>SHP-502077</t>
  </si>
  <si>
    <t>SHP-502078</t>
  </si>
  <si>
    <t>SHP-502079</t>
  </si>
  <si>
    <t>SHP-502080</t>
  </si>
  <si>
    <t>SHP-502081</t>
  </si>
  <si>
    <t>SHP-502082</t>
  </si>
  <si>
    <t>SHP-502083</t>
  </si>
  <si>
    <t>SHP-502084</t>
  </si>
  <si>
    <t>SHP-502085</t>
  </si>
  <si>
    <t>SHP-502086</t>
  </si>
  <si>
    <t>SHP-502087</t>
  </si>
  <si>
    <t>SHP-502088</t>
  </si>
  <si>
    <t>SHP-502089</t>
  </si>
  <si>
    <t>SHP-502090</t>
  </si>
  <si>
    <t>SHP-502091</t>
  </si>
  <si>
    <t>SHP-502092</t>
  </si>
  <si>
    <t>SHP-502093</t>
  </si>
  <si>
    <t>SHP-502094</t>
  </si>
  <si>
    <t>SHP-502095</t>
  </si>
  <si>
    <t>SHP-502096</t>
  </si>
  <si>
    <t>SHP-502097</t>
  </si>
  <si>
    <t>SHP-502098</t>
  </si>
  <si>
    <t>SHP-502099</t>
  </si>
  <si>
    <t>SHP-502100</t>
  </si>
  <si>
    <t>SHP-502101</t>
  </si>
  <si>
    <t>SHP-502102</t>
  </si>
  <si>
    <t>SHP-502103</t>
  </si>
  <si>
    <t>SHP-502104</t>
  </si>
  <si>
    <t>SHP-502105</t>
  </si>
  <si>
    <t>SHP-502106</t>
  </si>
  <si>
    <t>SHP-502107</t>
  </si>
  <si>
    <t>SHP-502108</t>
  </si>
  <si>
    <t>SHP-502109</t>
  </si>
  <si>
    <t>SHP-502110</t>
  </si>
  <si>
    <t>SHP-502111</t>
  </si>
  <si>
    <t>SHP-502112</t>
  </si>
  <si>
    <t>SHP-502113</t>
  </si>
  <si>
    <t>SHP-502114</t>
  </si>
  <si>
    <t>SHP-502115</t>
  </si>
  <si>
    <t>SHP-502116</t>
  </si>
  <si>
    <t>SHP-502117</t>
  </si>
  <si>
    <t>SHP-502118</t>
  </si>
  <si>
    <t>SHP-502119</t>
  </si>
  <si>
    <t>SHP-502120</t>
  </si>
  <si>
    <t>SHP-502121</t>
  </si>
  <si>
    <t>SHP-502122</t>
  </si>
  <si>
    <t>SHP-502123</t>
  </si>
  <si>
    <t>SHP-502124</t>
  </si>
  <si>
    <t>SHP-502125</t>
  </si>
  <si>
    <t>SHP-502126</t>
  </si>
  <si>
    <t>SHP-502127</t>
  </si>
  <si>
    <t>SHP-502128</t>
  </si>
  <si>
    <t>SHP-502129</t>
  </si>
  <si>
    <t>SHP-502130</t>
  </si>
  <si>
    <t>SHP-502131</t>
  </si>
  <si>
    <t>SHP-502132</t>
  </si>
  <si>
    <t>SHP-502133</t>
  </si>
  <si>
    <t>SHP-502134</t>
  </si>
  <si>
    <t>SHP-502135</t>
  </si>
  <si>
    <t>SHP-502136</t>
  </si>
  <si>
    <t>SHP-502137</t>
  </si>
  <si>
    <t>SHP-502138</t>
  </si>
  <si>
    <t>SHP-502139</t>
  </si>
  <si>
    <t>SHP-502140</t>
  </si>
  <si>
    <t>SHP-502141</t>
  </si>
  <si>
    <t>SHP-502142</t>
  </si>
  <si>
    <t>SHP-502143</t>
  </si>
  <si>
    <t>SHP-502144</t>
  </si>
  <si>
    <t>SHP-502145</t>
  </si>
  <si>
    <t>SHP-502146</t>
  </si>
  <si>
    <t>SHP-502147</t>
  </si>
  <si>
    <t>SHP-502148</t>
  </si>
  <si>
    <t>SHP-502149</t>
  </si>
  <si>
    <t>SHP-502150</t>
  </si>
  <si>
    <t>SHP-502151</t>
  </si>
  <si>
    <t>SHP-502152</t>
  </si>
  <si>
    <t>SHP-502153</t>
  </si>
  <si>
    <t>SHP-502154</t>
  </si>
  <si>
    <t>SHP-502155</t>
  </si>
  <si>
    <t>SHP-502156</t>
  </si>
  <si>
    <t>SHP-502157</t>
  </si>
  <si>
    <t>SHP-502158</t>
  </si>
  <si>
    <t>SHP-502159</t>
  </si>
  <si>
    <t>SHP-502160</t>
  </si>
  <si>
    <t>SHP-502161</t>
  </si>
  <si>
    <t>SHP-502162</t>
  </si>
  <si>
    <t>SHP-502163</t>
  </si>
  <si>
    <t>SHP-502164</t>
  </si>
  <si>
    <t>SHP-502165</t>
  </si>
  <si>
    <t>SHP-502166</t>
  </si>
  <si>
    <t>SHP-502167</t>
  </si>
  <si>
    <t>SHP-502168</t>
  </si>
  <si>
    <t>SHP-502169</t>
  </si>
  <si>
    <t>SHP-502170</t>
  </si>
  <si>
    <t>SHP-502171</t>
  </si>
  <si>
    <t>SHP-502172</t>
  </si>
  <si>
    <t>SHP-502173</t>
  </si>
  <si>
    <t>SHP-502174</t>
  </si>
  <si>
    <t>SHP-502175</t>
  </si>
  <si>
    <t>SHP-502176</t>
  </si>
  <si>
    <t>SHP-502177</t>
  </si>
  <si>
    <t>SHP-502178</t>
  </si>
  <si>
    <t>SHP-502179</t>
  </si>
  <si>
    <t>SHP-502180</t>
  </si>
  <si>
    <t>SHP-502181</t>
  </si>
  <si>
    <t>SHP-502182</t>
  </si>
  <si>
    <t>SHP-502183</t>
  </si>
  <si>
    <t>SHP-502184</t>
  </si>
  <si>
    <t>SHP-502185</t>
  </si>
  <si>
    <t>SHP-502186</t>
  </si>
  <si>
    <t>SHP-502187</t>
  </si>
  <si>
    <t>SHP-502188</t>
  </si>
  <si>
    <t>SHP-502189</t>
  </si>
  <si>
    <t>SHP-502190</t>
  </si>
  <si>
    <t>SHP-502191</t>
  </si>
  <si>
    <t>SHP-502192</t>
  </si>
  <si>
    <t>SHP-502193</t>
  </si>
  <si>
    <t>SHP-502194</t>
  </si>
  <si>
    <t>SHP-502195</t>
  </si>
  <si>
    <t>SHP-502196</t>
  </si>
  <si>
    <t>SHP-502197</t>
  </si>
  <si>
    <t>SHP-502198</t>
  </si>
  <si>
    <t>SHP-502199</t>
  </si>
  <si>
    <t>SHP-502200</t>
  </si>
  <si>
    <t>SHP-502201</t>
  </si>
  <si>
    <t>SHP-502202</t>
  </si>
  <si>
    <t>SHP-502203</t>
  </si>
  <si>
    <t>SHP-502204</t>
  </si>
  <si>
    <t>SHP-502205</t>
  </si>
  <si>
    <t>SHP-502206</t>
  </si>
  <si>
    <t>SHP-502207</t>
  </si>
  <si>
    <t>SHP-502208</t>
  </si>
  <si>
    <t>SHP-502209</t>
  </si>
  <si>
    <t>SHP-502210</t>
  </si>
  <si>
    <t>SHP-502211</t>
  </si>
  <si>
    <t>SHP-502212</t>
  </si>
  <si>
    <t>SHP-502213</t>
  </si>
  <si>
    <t>SHP-502214</t>
  </si>
  <si>
    <t>SHP-502215</t>
  </si>
  <si>
    <t>SHP-502216</t>
  </si>
  <si>
    <t>SHP-502217</t>
  </si>
  <si>
    <t>SHP-502218</t>
  </si>
  <si>
    <t>SHP-502219</t>
  </si>
  <si>
    <t>SHP-502220</t>
  </si>
  <si>
    <t>SHP-502221</t>
  </si>
  <si>
    <t>SHP-502222</t>
  </si>
  <si>
    <t>SHP-502223</t>
  </si>
  <si>
    <t>SHP-502224</t>
  </si>
  <si>
    <t>SHP-502225</t>
  </si>
  <si>
    <t>SHP-502226</t>
  </si>
  <si>
    <t>SHP-502227</t>
  </si>
  <si>
    <t>SHP-502228</t>
  </si>
  <si>
    <t>SHP-502229</t>
  </si>
  <si>
    <t>SHP-502230</t>
  </si>
  <si>
    <t>SHP-502231</t>
  </si>
  <si>
    <t>SHP-502232</t>
  </si>
  <si>
    <t>SHP-502233</t>
  </si>
  <si>
    <t>SHP-502234</t>
  </si>
  <si>
    <t>SHP-502235</t>
  </si>
  <si>
    <t>SHP-502236</t>
  </si>
  <si>
    <t>SHP-502237</t>
  </si>
  <si>
    <t>SHP-502238</t>
  </si>
  <si>
    <t>SHP-502239</t>
  </si>
  <si>
    <t>SHP-502240</t>
  </si>
  <si>
    <t>SHP-502241</t>
  </si>
  <si>
    <t>SHP-502242</t>
  </si>
  <si>
    <t>SHP-502243</t>
  </si>
  <si>
    <t>SHP-502244</t>
  </si>
  <si>
    <t>SHP-502245</t>
  </si>
  <si>
    <t>SHP-502246</t>
  </si>
  <si>
    <t>SHP-502247</t>
  </si>
  <si>
    <t>SHP-502248</t>
  </si>
  <si>
    <t>SHP-502249</t>
  </si>
  <si>
    <t>SHP-502250</t>
  </si>
  <si>
    <t>SHP-502251</t>
  </si>
  <si>
    <t>SHP-502252</t>
  </si>
  <si>
    <t>SHP-502253</t>
  </si>
  <si>
    <t>SHP-502254</t>
  </si>
  <si>
    <t>SHP-502255</t>
  </si>
  <si>
    <t>SHP-502256</t>
  </si>
  <si>
    <t>SHP-502257</t>
  </si>
  <si>
    <t>SHP-502258</t>
  </si>
  <si>
    <t>SHP-502259</t>
  </si>
  <si>
    <t>SHP-502260</t>
  </si>
  <si>
    <t>SHP-502261</t>
  </si>
  <si>
    <t>SHP-502262</t>
  </si>
  <si>
    <t>SHP-502263</t>
  </si>
  <si>
    <t>SHP-502264</t>
  </si>
  <si>
    <t>SHP-502265</t>
  </si>
  <si>
    <t>SHP-502266</t>
  </si>
  <si>
    <t>SHP-502267</t>
  </si>
  <si>
    <t>SHP-502268</t>
  </si>
  <si>
    <t>SHP-502269</t>
  </si>
  <si>
    <t>SHP-502270</t>
  </si>
  <si>
    <t>SHP-502271</t>
  </si>
  <si>
    <t>SHP-502272</t>
  </si>
  <si>
    <t>SHP-502273</t>
  </si>
  <si>
    <t>SHP-502274</t>
  </si>
  <si>
    <t>SHP-502275</t>
  </si>
  <si>
    <t>SHP-502276</t>
  </si>
  <si>
    <t>SHP-502277</t>
  </si>
  <si>
    <t>SHP-502278</t>
  </si>
  <si>
    <t>SHP-502279</t>
  </si>
  <si>
    <t>SHP-502280</t>
  </si>
  <si>
    <t>SHP-502281</t>
  </si>
  <si>
    <t>SHP-502282</t>
  </si>
  <si>
    <t>SHP-502283</t>
  </si>
  <si>
    <t>SHP-502284</t>
  </si>
  <si>
    <t>SHP-502285</t>
  </si>
  <si>
    <t>SHP-502286</t>
  </si>
  <si>
    <t>SHP-502287</t>
  </si>
  <si>
    <t>SHP-502288</t>
  </si>
  <si>
    <t>SHP-502289</t>
  </si>
  <si>
    <t>SHP-502290</t>
  </si>
  <si>
    <t>SHP-502291</t>
  </si>
  <si>
    <t>SHP-502292</t>
  </si>
  <si>
    <t>SHP-502293</t>
  </si>
  <si>
    <t>SHP-502294</t>
  </si>
  <si>
    <t>SHP-502295</t>
  </si>
  <si>
    <t>SHP-502296</t>
  </si>
  <si>
    <t>SHP-502297</t>
  </si>
  <si>
    <t>SHP-502298</t>
  </si>
  <si>
    <t>SHP-502299</t>
  </si>
  <si>
    <t>SHP-502300</t>
  </si>
  <si>
    <t>SHP-502301</t>
  </si>
  <si>
    <t>SHP-502302</t>
  </si>
  <si>
    <t>SHP-502303</t>
  </si>
  <si>
    <t>SHP-502304</t>
  </si>
  <si>
    <t>SHP-502305</t>
  </si>
  <si>
    <t>SHP-502306</t>
  </si>
  <si>
    <t>SHP-502307</t>
  </si>
  <si>
    <t>SHP-502308</t>
  </si>
  <si>
    <t>SHP-502309</t>
  </si>
  <si>
    <t>SHP-502310</t>
  </si>
  <si>
    <t>SHP-502311</t>
  </si>
  <si>
    <t>SHP-502312</t>
  </si>
  <si>
    <t>SHP-502313</t>
  </si>
  <si>
    <t>SHP-502314</t>
  </si>
  <si>
    <t>SHP-502315</t>
  </si>
  <si>
    <t>SHP-502316</t>
  </si>
  <si>
    <t>SHP-502317</t>
  </si>
  <si>
    <t>SHP-502318</t>
  </si>
  <si>
    <t>SHP-502319</t>
  </si>
  <si>
    <t>SHP-502320</t>
  </si>
  <si>
    <t>SHP-502321</t>
  </si>
  <si>
    <t>SHP-502322</t>
  </si>
  <si>
    <t>SHP-502323</t>
  </si>
  <si>
    <t>SHP-502324</t>
  </si>
  <si>
    <t>SHP-502325</t>
  </si>
  <si>
    <t>SHP-502326</t>
  </si>
  <si>
    <t>SHP-502327</t>
  </si>
  <si>
    <t>SHP-502328</t>
  </si>
  <si>
    <t>SHP-502329</t>
  </si>
  <si>
    <t>SHP-502330</t>
  </si>
  <si>
    <t>SHP-502331</t>
  </si>
  <si>
    <t>SHP-502332</t>
  </si>
  <si>
    <t>SHP-502333</t>
  </si>
  <si>
    <t>SHP-502334</t>
  </si>
  <si>
    <t>SHP-502335</t>
  </si>
  <si>
    <t>SHP-502336</t>
  </si>
  <si>
    <t>SHP-502337</t>
  </si>
  <si>
    <t>SHP-502338</t>
  </si>
  <si>
    <t>SHP-502339</t>
  </si>
  <si>
    <t>SHP-502340</t>
  </si>
  <si>
    <t>SHP-502341</t>
  </si>
  <si>
    <t>SHP-502342</t>
  </si>
  <si>
    <t>SHP-502343</t>
  </si>
  <si>
    <t>SHP-502344</t>
  </si>
  <si>
    <t>SHP-502345</t>
  </si>
  <si>
    <t>SHP-502346</t>
  </si>
  <si>
    <t>SHP-502347</t>
  </si>
  <si>
    <t>SHP-502348</t>
  </si>
  <si>
    <t>SHP-502349</t>
  </si>
  <si>
    <t>SHP-502350</t>
  </si>
  <si>
    <t>SHP-502351</t>
  </si>
  <si>
    <t>SHP-502352</t>
  </si>
  <si>
    <t>SHP-502353</t>
  </si>
  <si>
    <t>SHP-502354</t>
  </si>
  <si>
    <t>SHP-502355</t>
  </si>
  <si>
    <t>SHP-502356</t>
  </si>
  <si>
    <t>SHP-502357</t>
  </si>
  <si>
    <t>SHP-502358</t>
  </si>
  <si>
    <t>Dec</t>
  </si>
  <si>
    <t>SHP-502359</t>
  </si>
  <si>
    <t>SHP-502360</t>
  </si>
  <si>
    <t>SHP-502361</t>
  </si>
  <si>
    <t>SHP-502362</t>
  </si>
  <si>
    <t>SHP-502363</t>
  </si>
  <si>
    <t>SHP-502364</t>
  </si>
  <si>
    <t>SHP-502365</t>
  </si>
  <si>
    <t>SHP-502366</t>
  </si>
  <si>
    <t>SHP-502367</t>
  </si>
  <si>
    <t>SHP-502368</t>
  </si>
  <si>
    <t>SHP-502369</t>
  </si>
  <si>
    <t>SHP-502370</t>
  </si>
  <si>
    <t>SHP-502371</t>
  </si>
  <si>
    <t>SHP-502372</t>
  </si>
  <si>
    <t>SHP-502373</t>
  </si>
  <si>
    <t>SHP-502374</t>
  </si>
  <si>
    <t>SHP-502375</t>
  </si>
  <si>
    <t>SHP-502376</t>
  </si>
  <si>
    <t>SHP-502377</t>
  </si>
  <si>
    <t>SHP-502378</t>
  </si>
  <si>
    <t>SHP-502379</t>
  </si>
  <si>
    <t>SHP-502380</t>
  </si>
  <si>
    <t>SHP-502381</t>
  </si>
  <si>
    <t>SHP-502382</t>
  </si>
  <si>
    <t>SHP-502383</t>
  </si>
  <si>
    <t>SHP-502384</t>
  </si>
  <si>
    <t>SHP-502385</t>
  </si>
  <si>
    <t>SHP-502386</t>
  </si>
  <si>
    <t>SHP-502387</t>
  </si>
  <si>
    <t>SHP-502388</t>
  </si>
  <si>
    <t>SHP-502389</t>
  </si>
  <si>
    <t>SHP-502390</t>
  </si>
  <si>
    <t>SHP-502391</t>
  </si>
  <si>
    <t>SHP-502392</t>
  </si>
  <si>
    <t>SHP-502393</t>
  </si>
  <si>
    <t>SHP-502394</t>
  </si>
  <si>
    <t>SHP-502395</t>
  </si>
  <si>
    <t>SHP-502396</t>
  </si>
  <si>
    <t>SHP-502397</t>
  </si>
  <si>
    <t>SHP-502398</t>
  </si>
  <si>
    <t>SHP-502399</t>
  </si>
  <si>
    <t>SHP-502400</t>
  </si>
  <si>
    <t>SHP-502401</t>
  </si>
  <si>
    <t>SHP-502402</t>
  </si>
  <si>
    <t>SHP-502403</t>
  </si>
  <si>
    <t>SHP-502404</t>
  </si>
  <si>
    <t>SHP-502405</t>
  </si>
  <si>
    <t>SHP-502406</t>
  </si>
  <si>
    <t>SHP-502407</t>
  </si>
  <si>
    <t>SHP-502408</t>
  </si>
  <si>
    <t>SHP-502409</t>
  </si>
  <si>
    <t>SHP-502410</t>
  </si>
  <si>
    <t>SHP-502411</t>
  </si>
  <si>
    <t>SHP-502412</t>
  </si>
  <si>
    <t>SHP-502413</t>
  </si>
  <si>
    <t>SHP-502414</t>
  </si>
  <si>
    <t>SHP-502415</t>
  </si>
  <si>
    <t>SHP-502416</t>
  </si>
  <si>
    <t>SHP-502417</t>
  </si>
  <si>
    <t>SHP-502418</t>
  </si>
  <si>
    <t>SHP-502419</t>
  </si>
  <si>
    <t>SHP-502420</t>
  </si>
  <si>
    <t>SHP-502421</t>
  </si>
  <si>
    <t>SHP-502422</t>
  </si>
  <si>
    <t>SHP-502423</t>
  </si>
  <si>
    <t>SHP-502424</t>
  </si>
  <si>
    <t>SHP-502425</t>
  </si>
  <si>
    <t>SHP-502426</t>
  </si>
  <si>
    <t>SHP-502427</t>
  </si>
  <si>
    <t>SHP-502428</t>
  </si>
  <si>
    <t>SHP-502429</t>
  </si>
  <si>
    <t>SHP-502430</t>
  </si>
  <si>
    <t>SHP-502431</t>
  </si>
  <si>
    <t>SHP-502432</t>
  </si>
  <si>
    <t>SHP-502433</t>
  </si>
  <si>
    <t>SHP-502434</t>
  </si>
  <si>
    <t>SHP-502435</t>
  </si>
  <si>
    <t>SHP-502436</t>
  </si>
  <si>
    <t>SHP-502437</t>
  </si>
  <si>
    <t>SHP-502438</t>
  </si>
  <si>
    <t>SHP-502439</t>
  </si>
  <si>
    <t>SHP-502440</t>
  </si>
  <si>
    <t>SHP-502441</t>
  </si>
  <si>
    <t>SHP-502442</t>
  </si>
  <si>
    <t>SHP-502443</t>
  </si>
  <si>
    <t>SHP-502444</t>
  </si>
  <si>
    <t>SHP-502445</t>
  </si>
  <si>
    <t>SHP-502446</t>
  </si>
  <si>
    <t>SHP-502447</t>
  </si>
  <si>
    <t>SHP-502448</t>
  </si>
  <si>
    <t>SHP-502449</t>
  </si>
  <si>
    <t>SHP-502450</t>
  </si>
  <si>
    <t>SHP-502451</t>
  </si>
  <si>
    <t>SHP-502452</t>
  </si>
  <si>
    <t>SHP-502453</t>
  </si>
  <si>
    <t>SHP-502454</t>
  </si>
  <si>
    <t>SHP-502455</t>
  </si>
  <si>
    <t>SHP-502456</t>
  </si>
  <si>
    <t>SHP-502457</t>
  </si>
  <si>
    <t>SHP-502458</t>
  </si>
  <si>
    <t>SHP-502459</t>
  </si>
  <si>
    <t>SHP-502460</t>
  </si>
  <si>
    <t>SHP-502461</t>
  </si>
  <si>
    <t>SHP-502462</t>
  </si>
  <si>
    <t>SHP-502463</t>
  </si>
  <si>
    <t>SHP-502464</t>
  </si>
  <si>
    <t>SHP-502465</t>
  </si>
  <si>
    <t>SHP-502466</t>
  </si>
  <si>
    <t>SHP-502467</t>
  </si>
  <si>
    <t>SHP-502468</t>
  </si>
  <si>
    <t>SHP-502469</t>
  </si>
  <si>
    <t>SHP-502470</t>
  </si>
  <si>
    <t>SHP-502471</t>
  </si>
  <si>
    <t>SHP-502472</t>
  </si>
  <si>
    <t>SHP-502473</t>
  </si>
  <si>
    <t>SHP-502474</t>
  </si>
  <si>
    <t>SHP-502475</t>
  </si>
  <si>
    <t>SHP-502476</t>
  </si>
  <si>
    <t>SHP-502477</t>
  </si>
  <si>
    <t>SHP-502478</t>
  </si>
  <si>
    <t>SHP-502479</t>
  </si>
  <si>
    <t>SHP-502480</t>
  </si>
  <si>
    <t>SHP-502481</t>
  </si>
  <si>
    <t>SHP-502482</t>
  </si>
  <si>
    <t>SHP-502483</t>
  </si>
  <si>
    <t>SHP-502484</t>
  </si>
  <si>
    <t>SHP-502485</t>
  </si>
  <si>
    <t>SHP-502486</t>
  </si>
  <si>
    <t>SHP-502487</t>
  </si>
  <si>
    <t>SHP-502488</t>
  </si>
  <si>
    <t>SHP-502489</t>
  </si>
  <si>
    <t>SHP-502490</t>
  </si>
  <si>
    <t>SHP-502491</t>
  </si>
  <si>
    <t>SHP-502492</t>
  </si>
  <si>
    <t>SHP-502493</t>
  </si>
  <si>
    <t>SHP-502494</t>
  </si>
  <si>
    <t>SHP-502495</t>
  </si>
  <si>
    <t>SHP-502496</t>
  </si>
  <si>
    <t>SHP-502497</t>
  </si>
  <si>
    <t>SHP-502498</t>
  </si>
  <si>
    <t>SHP-502499</t>
  </si>
  <si>
    <t>SHP-502500</t>
  </si>
  <si>
    <t>SHP-502501</t>
  </si>
  <si>
    <t>SHP-502502</t>
  </si>
  <si>
    <t>SHP-502503</t>
  </si>
  <si>
    <t>SHP-502504</t>
  </si>
  <si>
    <t>SHP-502505</t>
  </si>
  <si>
    <t>SHP-502506</t>
  </si>
  <si>
    <t>SHP-502507</t>
  </si>
  <si>
    <t>SHP-502508</t>
  </si>
  <si>
    <t>SHP-502509</t>
  </si>
  <si>
    <t>SHP-502510</t>
  </si>
  <si>
    <t>SHP-502511</t>
  </si>
  <si>
    <t>SHP-502512</t>
  </si>
  <si>
    <t>SHP-502513</t>
  </si>
  <si>
    <t>SHP-502514</t>
  </si>
  <si>
    <t>SHP-502515</t>
  </si>
  <si>
    <t>SHP-502516</t>
  </si>
  <si>
    <t>SHP-502517</t>
  </si>
  <si>
    <t>SHP-502518</t>
  </si>
  <si>
    <t>SHP-502519</t>
  </si>
  <si>
    <t>SHP-502520</t>
  </si>
  <si>
    <t>SHP-502521</t>
  </si>
  <si>
    <t>SHP-502522</t>
  </si>
  <si>
    <t>SHP-502523</t>
  </si>
  <si>
    <t>SHP-502524</t>
  </si>
  <si>
    <t>SHP-502525</t>
  </si>
  <si>
    <t>SHP-502526</t>
  </si>
  <si>
    <t>SHP-502527</t>
  </si>
  <si>
    <t>SHP-502528</t>
  </si>
  <si>
    <t>SHP-502529</t>
  </si>
  <si>
    <t>SHP-502530</t>
  </si>
  <si>
    <t>SHP-502531</t>
  </si>
  <si>
    <t>SHP-502532</t>
  </si>
  <si>
    <t>SHP-502533</t>
  </si>
  <si>
    <t>SHP-502534</t>
  </si>
  <si>
    <t>SHP-502535</t>
  </si>
  <si>
    <t>SHP-502536</t>
  </si>
  <si>
    <t>SHP-502537</t>
  </si>
  <si>
    <t>SHP-502538</t>
  </si>
  <si>
    <t>SHP-502539</t>
  </si>
  <si>
    <t>SHP-502540</t>
  </si>
  <si>
    <t>SHP-502541</t>
  </si>
  <si>
    <t>SHP-502542</t>
  </si>
  <si>
    <t>SHP-502543</t>
  </si>
  <si>
    <t>SHP-502544</t>
  </si>
  <si>
    <t>SHP-502545</t>
  </si>
  <si>
    <t>SHP-502546</t>
  </si>
  <si>
    <t>SHP-502547</t>
  </si>
  <si>
    <t>SHP-502548</t>
  </si>
  <si>
    <t>SHP-502549</t>
  </si>
  <si>
    <t>SHP-502550</t>
  </si>
  <si>
    <t>SHP-502551</t>
  </si>
  <si>
    <t>SHP-502552</t>
  </si>
  <si>
    <t>SHP-502553</t>
  </si>
  <si>
    <t>SHP-502554</t>
  </si>
  <si>
    <t>SHP-502555</t>
  </si>
  <si>
    <t>SHP-502556</t>
  </si>
  <si>
    <t>SHP-502557</t>
  </si>
  <si>
    <t>SHP-502558</t>
  </si>
  <si>
    <t>SHP-502559</t>
  </si>
  <si>
    <t>SHP-502560</t>
  </si>
  <si>
    <t>SHP-502561</t>
  </si>
  <si>
    <t>SHP-502562</t>
  </si>
  <si>
    <t>SHP-502563</t>
  </si>
  <si>
    <t>SHP-502564</t>
  </si>
  <si>
    <t>SHP-502565</t>
  </si>
  <si>
    <t>SHP-502566</t>
  </si>
  <si>
    <t>SHP-502567</t>
  </si>
  <si>
    <t>SHP-502568</t>
  </si>
  <si>
    <t>SHP-502569</t>
  </si>
  <si>
    <t>SHP-502570</t>
  </si>
  <si>
    <t>SHP-502571</t>
  </si>
  <si>
    <t>SHP-502572</t>
  </si>
  <si>
    <t>SHP-502573</t>
  </si>
  <si>
    <t>SHP-502574</t>
  </si>
  <si>
    <t>SHP-502575</t>
  </si>
  <si>
    <t>SHP-502576</t>
  </si>
  <si>
    <t>SHP-502577</t>
  </si>
  <si>
    <t>SHP-502578</t>
  </si>
  <si>
    <t>SHP-502579</t>
  </si>
  <si>
    <t>SHP-502580</t>
  </si>
  <si>
    <t>SHP-502581</t>
  </si>
  <si>
    <t>SHP-502582</t>
  </si>
  <si>
    <t>SHP-502583</t>
  </si>
  <si>
    <t>SHP-502584</t>
  </si>
  <si>
    <t>SHP-502585</t>
  </si>
  <si>
    <t>SHP-502586</t>
  </si>
  <si>
    <t>SHP-502587</t>
  </si>
  <si>
    <t>SHP-502588</t>
  </si>
  <si>
    <t>SHP-502589</t>
  </si>
  <si>
    <t>SHP-502590</t>
  </si>
  <si>
    <t>SHP-502591</t>
  </si>
  <si>
    <t>SHP-502592</t>
  </si>
  <si>
    <t>SHP-502593</t>
  </si>
  <si>
    <t>SHP-502594</t>
  </si>
  <si>
    <t>SHP-502595</t>
  </si>
  <si>
    <t>SHP-502596</t>
  </si>
  <si>
    <t>SHP-502597</t>
  </si>
  <si>
    <t>SHP-502598</t>
  </si>
  <si>
    <t>SHP-502599</t>
  </si>
  <si>
    <t>SHP-502600</t>
  </si>
  <si>
    <t>SHP-502601</t>
  </si>
  <si>
    <t>SHP-502602</t>
  </si>
  <si>
    <t>SHP-502603</t>
  </si>
  <si>
    <t>SHP-502604</t>
  </si>
  <si>
    <t>SHP-502605</t>
  </si>
  <si>
    <t>SHP-502606</t>
  </si>
  <si>
    <t>SHP-502607</t>
  </si>
  <si>
    <t>SHP-502608</t>
  </si>
  <si>
    <t>SHP-502609</t>
  </si>
  <si>
    <t>SHP-502610</t>
  </si>
  <si>
    <t>SHP-502611</t>
  </si>
  <si>
    <t>SHP-502612</t>
  </si>
  <si>
    <t>SHP-502613</t>
  </si>
  <si>
    <t>SHP-502614</t>
  </si>
  <si>
    <t>SHP-502615</t>
  </si>
  <si>
    <t>SHP-502616</t>
  </si>
  <si>
    <t>SHP-502617</t>
  </si>
  <si>
    <t>SHP-502618</t>
  </si>
  <si>
    <t>SHP-502619</t>
  </si>
  <si>
    <t>SHP-502620</t>
  </si>
  <si>
    <t>SHP-502621</t>
  </si>
  <si>
    <t>SHP-502622</t>
  </si>
  <si>
    <t>SHP-502623</t>
  </si>
  <si>
    <t>SHP-502624</t>
  </si>
  <si>
    <t>SHP-502625</t>
  </si>
  <si>
    <t>SHP-502626</t>
  </si>
  <si>
    <t>SHP-502627</t>
  </si>
  <si>
    <t>SHP-502628</t>
  </si>
  <si>
    <t>SHP-502629</t>
  </si>
  <si>
    <t>SHP-502630</t>
  </si>
  <si>
    <t>SHP-502631</t>
  </si>
  <si>
    <t>SHP-502632</t>
  </si>
  <si>
    <t>SHP-502633</t>
  </si>
  <si>
    <t>SHP-502634</t>
  </si>
  <si>
    <t>SHP-502635</t>
  </si>
  <si>
    <t>SHP-502636</t>
  </si>
  <si>
    <t>SHP-502637</t>
  </si>
  <si>
    <t>SHP-502638</t>
  </si>
  <si>
    <t>SHP-502639</t>
  </si>
  <si>
    <t>SHP-502640</t>
  </si>
  <si>
    <t>SHP-502641</t>
  </si>
  <si>
    <t>SHP-502642</t>
  </si>
  <si>
    <t>SHP-502643</t>
  </si>
  <si>
    <t>SHP-502644</t>
  </si>
  <si>
    <t>SHP-502645</t>
  </si>
  <si>
    <t>SHP-502646</t>
  </si>
  <si>
    <t>SHP-502647</t>
  </si>
  <si>
    <t>SHP-502648</t>
  </si>
  <si>
    <t>SHP-502649</t>
  </si>
  <si>
    <t>SHP-502650</t>
  </si>
  <si>
    <t>SHP-502651</t>
  </si>
  <si>
    <t>SHP-502652</t>
  </si>
  <si>
    <t>SHP-502653</t>
  </si>
  <si>
    <t>SHP-502654</t>
  </si>
  <si>
    <t>SHP-502655</t>
  </si>
  <si>
    <t>SHP-502656</t>
  </si>
  <si>
    <t>SHP-502657</t>
  </si>
  <si>
    <t>SHP-502658</t>
  </si>
  <si>
    <t>SHP-502659</t>
  </si>
  <si>
    <t>SHP-502660</t>
  </si>
  <si>
    <t>SHP-502661</t>
  </si>
  <si>
    <t>SHP-502662</t>
  </si>
  <si>
    <t>SHP-502663</t>
  </si>
  <si>
    <t>SHP-502664</t>
  </si>
  <si>
    <t>SHP-502665</t>
  </si>
  <si>
    <t>SHP-502666</t>
  </si>
  <si>
    <t>SHP-502667</t>
  </si>
  <si>
    <t>SHP-502668</t>
  </si>
  <si>
    <t>SHP-502669</t>
  </si>
  <si>
    <t>SHP-502670</t>
  </si>
  <si>
    <t>SHP-502671</t>
  </si>
  <si>
    <t>SHP-502672</t>
  </si>
  <si>
    <t>SHP-502673</t>
  </si>
  <si>
    <t>SHP-502674</t>
  </si>
  <si>
    <t>SHP-502675</t>
  </si>
  <si>
    <t>SHP-502676</t>
  </si>
  <si>
    <t>SHP-502677</t>
  </si>
  <si>
    <t>SHP-502678</t>
  </si>
  <si>
    <t>SHP-502679</t>
  </si>
  <si>
    <t>SHP-502680</t>
  </si>
  <si>
    <t>SHP-502681</t>
  </si>
  <si>
    <t>SHP-502682</t>
  </si>
  <si>
    <t>SHP-502683</t>
  </si>
  <si>
    <t>SHP-502684</t>
  </si>
  <si>
    <t>SHP-502685</t>
  </si>
  <si>
    <t>SHP-502686</t>
  </si>
  <si>
    <t>SHP-502687</t>
  </si>
  <si>
    <t>SHP-502688</t>
  </si>
  <si>
    <t>SHP-502689</t>
  </si>
  <si>
    <t>SHP-502690</t>
  </si>
  <si>
    <t>SHP-502691</t>
  </si>
  <si>
    <t>SHP-502692</t>
  </si>
  <si>
    <t>SHP-502693</t>
  </si>
  <si>
    <t>SHP-502694</t>
  </si>
  <si>
    <t>SHP-502695</t>
  </si>
  <si>
    <t>SHP-502696</t>
  </si>
  <si>
    <t>SHP-502697</t>
  </si>
  <si>
    <t>SHP-502698</t>
  </si>
  <si>
    <t>SHP-502699</t>
  </si>
  <si>
    <t>SHP-502700</t>
  </si>
  <si>
    <t>SHP-502701</t>
  </si>
  <si>
    <t>SHP-502702</t>
  </si>
  <si>
    <t>SHP-502703</t>
  </si>
  <si>
    <t>SHP-502704</t>
  </si>
  <si>
    <t>SHP-502705</t>
  </si>
  <si>
    <t>SHP-502706</t>
  </si>
  <si>
    <t>SHP-502707</t>
  </si>
  <si>
    <t>SHP-502708</t>
  </si>
  <si>
    <t>SHP-502709</t>
  </si>
  <si>
    <t>SHP-502710</t>
  </si>
  <si>
    <t>SHP-502711</t>
  </si>
  <si>
    <t>SHP-502712</t>
  </si>
  <si>
    <t>SHP-502713</t>
  </si>
  <si>
    <t>SHP-502714</t>
  </si>
  <si>
    <t>SHP-502715</t>
  </si>
  <si>
    <t>SHP-502716</t>
  </si>
  <si>
    <t>SHP-502717</t>
  </si>
  <si>
    <t>SHP-502718</t>
  </si>
  <si>
    <t>SHP-502719</t>
  </si>
  <si>
    <t>SHP-502720</t>
  </si>
  <si>
    <t>SHP-502721</t>
  </si>
  <si>
    <t>SHP-502722</t>
  </si>
  <si>
    <t>SHP-502723</t>
  </si>
  <si>
    <t>SHP-502724</t>
  </si>
  <si>
    <t>SHP-502725</t>
  </si>
  <si>
    <t>SHP-502726</t>
  </si>
  <si>
    <t>SHP-502727</t>
  </si>
  <si>
    <t>SHP-502728</t>
  </si>
  <si>
    <t>SHP-502729</t>
  </si>
  <si>
    <t>SHP-502730</t>
  </si>
  <si>
    <t>SHP-502731</t>
  </si>
  <si>
    <t>SHP-502732</t>
  </si>
  <si>
    <t>SHP-502733</t>
  </si>
  <si>
    <t>SHP-502734</t>
  </si>
  <si>
    <t>SHP-502735</t>
  </si>
  <si>
    <t>SHP-502736</t>
  </si>
  <si>
    <t>SHP-502737</t>
  </si>
  <si>
    <t>SHP-502738</t>
  </si>
  <si>
    <t>SHP-502739</t>
  </si>
  <si>
    <t>SHP-502740</t>
  </si>
  <si>
    <t>SHP-502741</t>
  </si>
  <si>
    <t>SHP-502742</t>
  </si>
  <si>
    <t>SHP-502743</t>
  </si>
  <si>
    <t>SHP-502744</t>
  </si>
  <si>
    <t>SHP-502745</t>
  </si>
  <si>
    <t>SHP-502746</t>
  </si>
  <si>
    <t>SHP-502747</t>
  </si>
  <si>
    <t>SHP-502748</t>
  </si>
  <si>
    <t>SHP-502749</t>
  </si>
  <si>
    <t>SHP-502750</t>
  </si>
  <si>
    <t>SHP-502751</t>
  </si>
  <si>
    <t>SHP-502752</t>
  </si>
  <si>
    <t>SHP-502753</t>
  </si>
  <si>
    <t>SHP-502754</t>
  </si>
  <si>
    <t>SHP-502755</t>
  </si>
  <si>
    <t>SHP-502756</t>
  </si>
  <si>
    <t>SHP-502757</t>
  </si>
  <si>
    <t>SHP-502758</t>
  </si>
  <si>
    <t>SHP-502759</t>
  </si>
  <si>
    <t>SHP-502760</t>
  </si>
  <si>
    <t>SHP-502761</t>
  </si>
  <si>
    <t>SHP-502762</t>
  </si>
  <si>
    <t>SHP-502763</t>
  </si>
  <si>
    <t>SHP-502764</t>
  </si>
  <si>
    <t>SHP-502765</t>
  </si>
  <si>
    <t>SHP-502766</t>
  </si>
  <si>
    <t>SHP-502767</t>
  </si>
  <si>
    <t>SHP-502768</t>
  </si>
  <si>
    <t>SHP-502769</t>
  </si>
  <si>
    <t>SHP-502770</t>
  </si>
  <si>
    <t>SHP-502771</t>
  </si>
  <si>
    <t>SHP-502772</t>
  </si>
  <si>
    <t>SHP-502773</t>
  </si>
  <si>
    <t>SHP-502774</t>
  </si>
  <si>
    <t>SHP-502775</t>
  </si>
  <si>
    <t>SHP-502776</t>
  </si>
  <si>
    <t>SHP-502777</t>
  </si>
  <si>
    <t>SHP-502778</t>
  </si>
  <si>
    <t>SHP-502779</t>
  </si>
  <si>
    <t>SHP-502780</t>
  </si>
  <si>
    <t>SHP-502781</t>
  </si>
  <si>
    <t>SHP-502782</t>
  </si>
  <si>
    <t>SHP-502783</t>
  </si>
  <si>
    <t>SHP-502784</t>
  </si>
  <si>
    <t>SHP-502785</t>
  </si>
  <si>
    <t>SHP-502786</t>
  </si>
  <si>
    <t>SHP-502787</t>
  </si>
  <si>
    <t>SHP-502788</t>
  </si>
  <si>
    <t>SHP-502789</t>
  </si>
  <si>
    <t>SHP-502790</t>
  </si>
  <si>
    <t>SHP-502791</t>
  </si>
  <si>
    <t>SHP-502792</t>
  </si>
  <si>
    <t>SHP-502793</t>
  </si>
  <si>
    <t>SHP-502794</t>
  </si>
  <si>
    <t>SHP-502795</t>
  </si>
  <si>
    <t>SHP-502796</t>
  </si>
  <si>
    <t>SHP-502797</t>
  </si>
  <si>
    <t>SHP-502798</t>
  </si>
  <si>
    <t>SHP-502799</t>
  </si>
  <si>
    <t>SHP-502800</t>
  </si>
  <si>
    <t>SHP-502801</t>
  </si>
  <si>
    <t>SHP-502802</t>
  </si>
  <si>
    <t>SHP-502803</t>
  </si>
  <si>
    <t>SHP-502804</t>
  </si>
  <si>
    <t>SHP-502805</t>
  </si>
  <si>
    <t>SHP-502806</t>
  </si>
  <si>
    <t>SHP-502807</t>
  </si>
  <si>
    <t>SHP-502808</t>
  </si>
  <si>
    <t>SHP-502809</t>
  </si>
  <si>
    <t>SHP-502810</t>
  </si>
  <si>
    <t>SHP-502811</t>
  </si>
  <si>
    <t>SHP-502812</t>
  </si>
  <si>
    <t>SHP-502813</t>
  </si>
  <si>
    <t>SHP-502814</t>
  </si>
  <si>
    <t>SHP-502815</t>
  </si>
  <si>
    <t>SHP-502816</t>
  </si>
  <si>
    <t>SHP-502817</t>
  </si>
  <si>
    <t>SHP-502818</t>
  </si>
  <si>
    <t>SHP-502819</t>
  </si>
  <si>
    <t>SHP-502820</t>
  </si>
  <si>
    <t>SHP-502821</t>
  </si>
  <si>
    <t>SHP-502822</t>
  </si>
  <si>
    <t>SHP-502823</t>
  </si>
  <si>
    <t>SHP-502824</t>
  </si>
  <si>
    <t>SHP-502825</t>
  </si>
  <si>
    <t>SHP-502826</t>
  </si>
  <si>
    <t>SHP-502827</t>
  </si>
  <si>
    <t>SHP-502828</t>
  </si>
  <si>
    <t>SHP-502829</t>
  </si>
  <si>
    <t>SHP-502830</t>
  </si>
  <si>
    <t>SHP-502831</t>
  </si>
  <si>
    <t>SHP-502832</t>
  </si>
  <si>
    <t>SHP-502833</t>
  </si>
  <si>
    <t>SHP-502834</t>
  </si>
  <si>
    <t>SHP-502835</t>
  </si>
  <si>
    <t>SHP-502836</t>
  </si>
  <si>
    <t>SHP-502837</t>
  </si>
  <si>
    <t>SHP-502838</t>
  </si>
  <si>
    <t>SHP-502839</t>
  </si>
  <si>
    <t>SHP-502840</t>
  </si>
  <si>
    <t>SHP-502841</t>
  </si>
  <si>
    <t>SHP-502842</t>
  </si>
  <si>
    <t>SHP-502843</t>
  </si>
  <si>
    <t>SHP-502844</t>
  </si>
  <si>
    <t>SHP-502845</t>
  </si>
  <si>
    <t>SHP-502846</t>
  </si>
  <si>
    <t>SHP-502847</t>
  </si>
  <si>
    <t>SHP-502848</t>
  </si>
  <si>
    <t>SHP-502849</t>
  </si>
  <si>
    <t>SHP-502850</t>
  </si>
  <si>
    <t>SHP-502851</t>
  </si>
  <si>
    <t>SHP-502852</t>
  </si>
  <si>
    <t>SHP-502853</t>
  </si>
  <si>
    <t>SHP-502854</t>
  </si>
  <si>
    <t>SHP-502855</t>
  </si>
  <si>
    <t>SHP-502856</t>
  </si>
  <si>
    <t>SHP-502857</t>
  </si>
  <si>
    <t>SHP-502858</t>
  </si>
  <si>
    <t>SHP-502859</t>
  </si>
  <si>
    <t>SHP-502860</t>
  </si>
  <si>
    <t>SHP-502861</t>
  </si>
  <si>
    <t>SHP-502862</t>
  </si>
  <si>
    <t>SHP-502863</t>
  </si>
  <si>
    <t>SHP-502864</t>
  </si>
  <si>
    <t>SHP-502865</t>
  </si>
  <si>
    <t>SHP-502866</t>
  </si>
  <si>
    <t>SHP-502867</t>
  </si>
  <si>
    <t>SHP-502868</t>
  </si>
  <si>
    <t>SHP-502869</t>
  </si>
  <si>
    <t>SHP-502870</t>
  </si>
  <si>
    <t>SHP-502871</t>
  </si>
  <si>
    <t>SHP-502872</t>
  </si>
  <si>
    <t>SHP-502873</t>
  </si>
  <si>
    <t>SHP-502874</t>
  </si>
  <si>
    <t>SHP-502875</t>
  </si>
  <si>
    <t>SHP-502876</t>
  </si>
  <si>
    <t>SHP-502877</t>
  </si>
  <si>
    <t>SHP-502878</t>
  </si>
  <si>
    <t>SHP-502879</t>
  </si>
  <si>
    <t>SHP-502880</t>
  </si>
  <si>
    <t>SHP-502881</t>
  </si>
  <si>
    <t>SHP-502882</t>
  </si>
  <si>
    <t>SHP-502883</t>
  </si>
  <si>
    <t>SHP-502884</t>
  </si>
  <si>
    <t>SHP-502885</t>
  </si>
  <si>
    <t>SHP-502886</t>
  </si>
  <si>
    <t>SHP-502887</t>
  </si>
  <si>
    <t>SHP-502888</t>
  </si>
  <si>
    <t>SHP-502889</t>
  </si>
  <si>
    <t>SHP-502890</t>
  </si>
  <si>
    <t>SHP-502891</t>
  </si>
  <si>
    <t>SHP-502892</t>
  </si>
  <si>
    <t>SHP-502893</t>
  </si>
  <si>
    <t>SHP-502894</t>
  </si>
  <si>
    <t>SHP-502895</t>
  </si>
  <si>
    <t>SHP-502896</t>
  </si>
  <si>
    <t>SHP-502897</t>
  </si>
  <si>
    <t>SHP-502898</t>
  </si>
  <si>
    <t>SHP-502899</t>
  </si>
  <si>
    <t>SHP-502900</t>
  </si>
  <si>
    <t>SHP-502901</t>
  </si>
  <si>
    <t>SHP-502902</t>
  </si>
  <si>
    <t>SHP-502903</t>
  </si>
  <si>
    <t>SHP-502904</t>
  </si>
  <si>
    <t>SHP-502905</t>
  </si>
  <si>
    <t>SHP-502906</t>
  </si>
  <si>
    <t>SHP-502907</t>
  </si>
  <si>
    <t>SHP-502908</t>
  </si>
  <si>
    <t>SHP-502909</t>
  </si>
  <si>
    <t>SHP-502910</t>
  </si>
  <si>
    <t>SHP-502911</t>
  </si>
  <si>
    <t>SHP-502912</t>
  </si>
  <si>
    <t>SHP-502913</t>
  </si>
  <si>
    <t>SHP-502914</t>
  </si>
  <si>
    <t>SHP-502915</t>
  </si>
  <si>
    <t>SHP-502916</t>
  </si>
  <si>
    <t>SHP-502917</t>
  </si>
  <si>
    <t>SHP-502918</t>
  </si>
  <si>
    <t>SHP-502919</t>
  </si>
  <si>
    <t>SHP-502920</t>
  </si>
  <si>
    <t>SHP-502921</t>
  </si>
  <si>
    <t>SHP-502922</t>
  </si>
  <si>
    <t>SHP-502923</t>
  </si>
  <si>
    <t>SHP-502924</t>
  </si>
  <si>
    <t>SHP-502925</t>
  </si>
  <si>
    <t>SHP-502926</t>
  </si>
  <si>
    <t>SHP-502927</t>
  </si>
  <si>
    <t>SHP-502928</t>
  </si>
  <si>
    <t>SHP-502929</t>
  </si>
  <si>
    <t>SHP-502930</t>
  </si>
  <si>
    <t>SHP-502931</t>
  </si>
  <si>
    <t>SHP-502932</t>
  </si>
  <si>
    <t>SHP-502933</t>
  </si>
  <si>
    <t>SHP-502934</t>
  </si>
  <si>
    <t>SHP-502935</t>
  </si>
  <si>
    <t>SHP-502936</t>
  </si>
  <si>
    <t>SHP-502937</t>
  </si>
  <si>
    <t>SHP-502938</t>
  </si>
  <si>
    <t>SHP-502939</t>
  </si>
  <si>
    <t>SHP-502940</t>
  </si>
  <si>
    <t>SHP-502941</t>
  </si>
  <si>
    <t>SHP-502942</t>
  </si>
  <si>
    <t>SHP-502943</t>
  </si>
  <si>
    <t>SHP-502944</t>
  </si>
  <si>
    <t>SHP-502945</t>
  </si>
  <si>
    <t>SHP-502946</t>
  </si>
  <si>
    <t>SHP-502947</t>
  </si>
  <si>
    <t>SHP-502948</t>
  </si>
  <si>
    <t>SHP-502949</t>
  </si>
  <si>
    <t>SHP-502950</t>
  </si>
  <si>
    <t>SHP-502951</t>
  </si>
  <si>
    <t>SHP-502952</t>
  </si>
  <si>
    <t>SHP-502953</t>
  </si>
  <si>
    <t>SHP-502954</t>
  </si>
  <si>
    <t>SHP-502955</t>
  </si>
  <si>
    <t>SHP-502956</t>
  </si>
  <si>
    <t>SHP-502957</t>
  </si>
  <si>
    <t>SHP-502958</t>
  </si>
  <si>
    <t>SHP-502959</t>
  </si>
  <si>
    <t>SHP-502960</t>
  </si>
  <si>
    <t>SHP-502961</t>
  </si>
  <si>
    <t>SHP-502962</t>
  </si>
  <si>
    <t>SHP-502963</t>
  </si>
  <si>
    <t>SHP-502964</t>
  </si>
  <si>
    <t>SHP-502965</t>
  </si>
  <si>
    <t>SHP-502966</t>
  </si>
  <si>
    <t>SHP-502967</t>
  </si>
  <si>
    <t>SHP-502968</t>
  </si>
  <si>
    <t>SHP-502969</t>
  </si>
  <si>
    <t>SHP-502970</t>
  </si>
  <si>
    <t>SHP-502971</t>
  </si>
  <si>
    <t>SHP-502972</t>
  </si>
  <si>
    <t>SHP-502973</t>
  </si>
  <si>
    <t>SHP-502974</t>
  </si>
  <si>
    <t>SHP-502975</t>
  </si>
  <si>
    <t>SHP-502976</t>
  </si>
  <si>
    <t>SHP-502977</t>
  </si>
  <si>
    <t>SHP-502978</t>
  </si>
  <si>
    <t>SHP-502979</t>
  </si>
  <si>
    <t>SHP-502980</t>
  </si>
  <si>
    <t>SHP-502981</t>
  </si>
  <si>
    <t>SHP-502982</t>
  </si>
  <si>
    <t>SHP-502983</t>
  </si>
  <si>
    <t>SHP-502984</t>
  </si>
  <si>
    <t>SHP-502985</t>
  </si>
  <si>
    <t>SHP-502986</t>
  </si>
  <si>
    <t>SHP-502987</t>
  </si>
  <si>
    <t>SHP-502988</t>
  </si>
  <si>
    <t>SHP-502989</t>
  </si>
  <si>
    <t>SHP-502990</t>
  </si>
  <si>
    <t>SHP-502991</t>
  </si>
  <si>
    <t>SHP-502992</t>
  </si>
  <si>
    <t>SHP-502993</t>
  </si>
  <si>
    <t>SHP-502994</t>
  </si>
  <si>
    <t>SHP-502995</t>
  </si>
  <si>
    <t>SHP-502996</t>
  </si>
  <si>
    <t>SHP-502997</t>
  </si>
  <si>
    <t>SHP-502998</t>
  </si>
  <si>
    <t>SHP-502999</t>
  </si>
  <si>
    <t>SHP-503000</t>
  </si>
  <si>
    <t>SHP-503001</t>
  </si>
  <si>
    <t>SHP-503002</t>
  </si>
  <si>
    <t>SHP-503003</t>
  </si>
  <si>
    <t>SHP-503004</t>
  </si>
  <si>
    <t>SHP-503005</t>
  </si>
  <si>
    <t>SHP-503006</t>
  </si>
  <si>
    <t>SHP-503007</t>
  </si>
  <si>
    <t>SHP-503008</t>
  </si>
  <si>
    <t>SHP-503009</t>
  </si>
  <si>
    <t>SHP-503010</t>
  </si>
  <si>
    <t>SHP-503011</t>
  </si>
  <si>
    <t>SHP-503012</t>
  </si>
  <si>
    <t>SHP-503013</t>
  </si>
  <si>
    <t>SHP-503014</t>
  </si>
  <si>
    <t>SHP-503015</t>
  </si>
  <si>
    <t>SHP-503016</t>
  </si>
  <si>
    <t>SHP-503017</t>
  </si>
  <si>
    <t>SHP-503018</t>
  </si>
  <si>
    <t>SHP-503019</t>
  </si>
  <si>
    <t>SHP-503020</t>
  </si>
  <si>
    <t>SHP-503021</t>
  </si>
  <si>
    <t>SHP-503022</t>
  </si>
  <si>
    <t>SHP-503023</t>
  </si>
  <si>
    <t>SHP-503024</t>
  </si>
  <si>
    <t>SHP-503025</t>
  </si>
  <si>
    <t>SHP-503026</t>
  </si>
  <si>
    <t>SHP-503027</t>
  </si>
  <si>
    <t>SHP-503028</t>
  </si>
  <si>
    <t>SHP-503029</t>
  </si>
  <si>
    <t>SHP-503030</t>
  </si>
  <si>
    <t>SHP-503031</t>
  </si>
  <si>
    <t>SHP-503032</t>
  </si>
  <si>
    <t>SHP-503033</t>
  </si>
  <si>
    <t>SHP-503034</t>
  </si>
  <si>
    <t>SHP-503035</t>
  </si>
  <si>
    <t>SHP-503036</t>
  </si>
  <si>
    <t>SHP-503037</t>
  </si>
  <si>
    <t>SHP-503038</t>
  </si>
  <si>
    <t>SHP-503039</t>
  </si>
  <si>
    <t>SHP-503040</t>
  </si>
  <si>
    <t>SHP-503041</t>
  </si>
  <si>
    <t>SHP-503042</t>
  </si>
  <si>
    <t>SHP-503043</t>
  </si>
  <si>
    <t>SHP-503044</t>
  </si>
  <si>
    <t>SHP-503045</t>
  </si>
  <si>
    <t>SHP-503046</t>
  </si>
  <si>
    <t>SHP-503047</t>
  </si>
  <si>
    <t>SHP-503048</t>
  </si>
  <si>
    <t>SHP-503049</t>
  </si>
  <si>
    <t>SHP-503050</t>
  </si>
  <si>
    <t>SHP-503051</t>
  </si>
  <si>
    <t>SHP-503052</t>
  </si>
  <si>
    <t>SHP-503053</t>
  </si>
  <si>
    <t>SHP-503054</t>
  </si>
  <si>
    <t>SHP-503055</t>
  </si>
  <si>
    <t>SHP-503056</t>
  </si>
  <si>
    <t>SHP-503057</t>
  </si>
  <si>
    <t>SHP-503058</t>
  </si>
  <si>
    <t>SHP-503059</t>
  </si>
  <si>
    <t>SHP-503060</t>
  </si>
  <si>
    <t>SHP-503061</t>
  </si>
  <si>
    <t>SHP-503062</t>
  </si>
  <si>
    <t>SHP-503063</t>
  </si>
  <si>
    <t>SHP-503064</t>
  </si>
  <si>
    <t>SHP-503065</t>
  </si>
  <si>
    <t>SHP-503066</t>
  </si>
  <si>
    <t>SHP-503067</t>
  </si>
  <si>
    <t>SHP-503068</t>
  </si>
  <si>
    <t>SHP-503069</t>
  </si>
  <si>
    <t>SHP-503070</t>
  </si>
  <si>
    <t>SHP-503071</t>
  </si>
  <si>
    <t>SHP-503072</t>
  </si>
  <si>
    <t>SHP-503073</t>
  </si>
  <si>
    <t>SHP-503074</t>
  </si>
  <si>
    <t>SHP-503075</t>
  </si>
  <si>
    <t>SHP-503076</t>
  </si>
  <si>
    <t>SHP-503077</t>
  </si>
  <si>
    <t>SHP-503078</t>
  </si>
  <si>
    <t>SHP-503079</t>
  </si>
  <si>
    <t>SHP-503080</t>
  </si>
  <si>
    <t>SHP-503081</t>
  </si>
  <si>
    <t>SHP-503082</t>
  </si>
  <si>
    <t>SHP-503083</t>
  </si>
  <si>
    <t>SHP-503084</t>
  </si>
  <si>
    <t>SHP-503085</t>
  </si>
  <si>
    <t>SHP-503086</t>
  </si>
  <si>
    <t>SHP-503087</t>
  </si>
  <si>
    <t>SHP-503088</t>
  </si>
  <si>
    <t>SHP-503089</t>
  </si>
  <si>
    <t>SHP-503090</t>
  </si>
  <si>
    <t>SHP-503091</t>
  </si>
  <si>
    <t>SHP-503092</t>
  </si>
  <si>
    <t>SHP-503093</t>
  </si>
  <si>
    <t>SHP-503094</t>
  </si>
  <si>
    <t>SHP-503095</t>
  </si>
  <si>
    <t>SHP-503096</t>
  </si>
  <si>
    <t>SHP-503097</t>
  </si>
  <si>
    <t>SHP-503098</t>
  </si>
  <si>
    <t>SHP-503099</t>
  </si>
  <si>
    <t>SHP-503100</t>
  </si>
  <si>
    <t>SHP-503101</t>
  </si>
  <si>
    <t>SHP-503102</t>
  </si>
  <si>
    <t>SHP-503103</t>
  </si>
  <si>
    <t>SHP-503104</t>
  </si>
  <si>
    <t>SHP-503105</t>
  </si>
  <si>
    <t>SHP-503106</t>
  </si>
  <si>
    <t>SHP-503107</t>
  </si>
  <si>
    <t>SHP-503108</t>
  </si>
  <si>
    <t>SHP-503109</t>
  </si>
  <si>
    <t>SHP-503110</t>
  </si>
  <si>
    <t>SHP-503111</t>
  </si>
  <si>
    <t>SHP-503112</t>
  </si>
  <si>
    <t>SHP-503113</t>
  </si>
  <si>
    <t>SHP-503114</t>
  </si>
  <si>
    <t>SHP-503115</t>
  </si>
  <si>
    <t>SHP-503116</t>
  </si>
  <si>
    <t>SHP-503117</t>
  </si>
  <si>
    <t>SHP-503118</t>
  </si>
  <si>
    <t>SHP-503119</t>
  </si>
  <si>
    <t>SHP-503120</t>
  </si>
  <si>
    <t>SHP-503121</t>
  </si>
  <si>
    <t>SHP-503122</t>
  </si>
  <si>
    <t>SHP-503123</t>
  </si>
  <si>
    <t>SHP-503124</t>
  </si>
  <si>
    <t>SHP-503125</t>
  </si>
  <si>
    <t>SHP-503126</t>
  </si>
  <si>
    <t>SHP-503127</t>
  </si>
  <si>
    <t>SHP-503128</t>
  </si>
  <si>
    <t>SHP-503129</t>
  </si>
  <si>
    <t>SHP-503130</t>
  </si>
  <si>
    <t>SHP-503131</t>
  </si>
  <si>
    <t>SHP-503132</t>
  </si>
  <si>
    <t>SHP-503133</t>
  </si>
  <si>
    <t>SHP-503134</t>
  </si>
  <si>
    <t>SHP-503135</t>
  </si>
  <si>
    <t>SHP-503136</t>
  </si>
  <si>
    <t>SHP-503137</t>
  </si>
  <si>
    <t>SHP-503138</t>
  </si>
  <si>
    <t>SHP-503139</t>
  </si>
  <si>
    <t>SHP-503140</t>
  </si>
  <si>
    <t>SHP-503141</t>
  </si>
  <si>
    <t>SHP-503142</t>
  </si>
  <si>
    <t>SHP-503143</t>
  </si>
  <si>
    <t>SHP-503144</t>
  </si>
  <si>
    <t>SHP-503145</t>
  </si>
  <si>
    <t>SHP-503146</t>
  </si>
  <si>
    <t>SHP-503147</t>
  </si>
  <si>
    <t>SHP-503148</t>
  </si>
  <si>
    <t>SHP-503149</t>
  </si>
  <si>
    <t>SHP-503150</t>
  </si>
  <si>
    <t>SHP-503151</t>
  </si>
  <si>
    <t>SHP-503152</t>
  </si>
  <si>
    <t>SHP-503153</t>
  </si>
  <si>
    <t>SHP-503154</t>
  </si>
  <si>
    <t>SHP-503155</t>
  </si>
  <si>
    <t>SHP-503156</t>
  </si>
  <si>
    <t>SHP-503157</t>
  </si>
  <si>
    <t>SHP-503158</t>
  </si>
  <si>
    <t>SHP-503159</t>
  </si>
  <si>
    <t>SHP-503160</t>
  </si>
  <si>
    <t>SHP-503161</t>
  </si>
  <si>
    <t>SHP-503162</t>
  </si>
  <si>
    <t>SHP-503163</t>
  </si>
  <si>
    <t>SHP-503164</t>
  </si>
  <si>
    <t>SHP-503165</t>
  </si>
  <si>
    <t>SHP-503166</t>
  </si>
  <si>
    <t>SHP-503167</t>
  </si>
  <si>
    <t>SHP-503168</t>
  </si>
  <si>
    <t>SHP-503169</t>
  </si>
  <si>
    <t>SHP-503170</t>
  </si>
  <si>
    <t>SHP-503171</t>
  </si>
  <si>
    <t>SHP-503172</t>
  </si>
  <si>
    <t>SHP-503173</t>
  </si>
  <si>
    <t>SHP-503174</t>
  </si>
  <si>
    <t>SHP-503175</t>
  </si>
  <si>
    <t>SHP-503176</t>
  </si>
  <si>
    <t>SHP-503177</t>
  </si>
  <si>
    <t>SHP-503178</t>
  </si>
  <si>
    <t>SHP-503179</t>
  </si>
  <si>
    <t>SHP-503180</t>
  </si>
  <si>
    <t>SHP-503181</t>
  </si>
  <si>
    <t>SHP-503182</t>
  </si>
  <si>
    <t>SHP-503183</t>
  </si>
  <si>
    <t>SHP-503184</t>
  </si>
  <si>
    <t>SHP-503185</t>
  </si>
  <si>
    <t>SHP-503186</t>
  </si>
  <si>
    <t>SHP-503187</t>
  </si>
  <si>
    <t>SHP-503188</t>
  </si>
  <si>
    <t>SHP-503189</t>
  </si>
  <si>
    <t>SHP-503190</t>
  </si>
  <si>
    <t>SHP-503191</t>
  </si>
  <si>
    <t>SHP-503192</t>
  </si>
  <si>
    <t>SHP-503193</t>
  </si>
  <si>
    <t>SHP-503194</t>
  </si>
  <si>
    <t>SHP-503195</t>
  </si>
  <si>
    <t>SHP-503196</t>
  </si>
  <si>
    <t>SHP-503197</t>
  </si>
  <si>
    <t>SHP-503198</t>
  </si>
  <si>
    <t>SHP-503199</t>
  </si>
  <si>
    <t>SHP-503200</t>
  </si>
  <si>
    <t>SHP-503201</t>
  </si>
  <si>
    <t>SHP-503202</t>
  </si>
  <si>
    <t>SHP-503203</t>
  </si>
  <si>
    <t>SHP-503204</t>
  </si>
  <si>
    <t>SHP-503205</t>
  </si>
  <si>
    <t>SHP-503206</t>
  </si>
  <si>
    <t>SHP-503207</t>
  </si>
  <si>
    <t>SHP-503208</t>
  </si>
  <si>
    <t>SHP-503209</t>
  </si>
  <si>
    <t>SHP-503210</t>
  </si>
  <si>
    <t>SHP-503211</t>
  </si>
  <si>
    <t>SHP-503212</t>
  </si>
  <si>
    <t>SHP-503213</t>
  </si>
  <si>
    <t>SHP-503214</t>
  </si>
  <si>
    <t>SHP-503215</t>
  </si>
  <si>
    <t>SHP-503216</t>
  </si>
  <si>
    <t>SHP-503217</t>
  </si>
  <si>
    <t>SHP-503218</t>
  </si>
  <si>
    <t>SHP-503219</t>
  </si>
  <si>
    <t>SHP-503220</t>
  </si>
  <si>
    <t>SHP-503221</t>
  </si>
  <si>
    <t>SHP-503222</t>
  </si>
  <si>
    <t>SHP-503223</t>
  </si>
  <si>
    <t>SHP-503224</t>
  </si>
  <si>
    <t>SHP-503225</t>
  </si>
  <si>
    <t>SHP-503226</t>
  </si>
  <si>
    <t>SHP-503227</t>
  </si>
  <si>
    <t>SHP-503228</t>
  </si>
  <si>
    <t>SHP-503229</t>
  </si>
  <si>
    <t>SHP-503230</t>
  </si>
  <si>
    <t>SHP-503231</t>
  </si>
  <si>
    <t>SHP-503232</t>
  </si>
  <si>
    <t>SHP-503233</t>
  </si>
  <si>
    <t>SHP-503234</t>
  </si>
  <si>
    <t>SHP-503235</t>
  </si>
  <si>
    <t>SHP-503236</t>
  </si>
  <si>
    <t>SHP-503237</t>
  </si>
  <si>
    <t>SHP-503238</t>
  </si>
  <si>
    <t>SHP-503239</t>
  </si>
  <si>
    <t>SHP-503240</t>
  </si>
  <si>
    <t>SHP-503241</t>
  </si>
  <si>
    <t>SHP-503242</t>
  </si>
  <si>
    <t>SHP-503243</t>
  </si>
  <si>
    <t>SHP-503244</t>
  </si>
  <si>
    <t>SHP-503245</t>
  </si>
  <si>
    <t>SHP-503246</t>
  </si>
  <si>
    <t>SHP-503247</t>
  </si>
  <si>
    <t>SHP-503248</t>
  </si>
  <si>
    <t>SHP-503249</t>
  </si>
  <si>
    <t>SHP-503250</t>
  </si>
  <si>
    <t>SHP-503251</t>
  </si>
  <si>
    <t>SHP-503252</t>
  </si>
  <si>
    <t>SHP-503253</t>
  </si>
  <si>
    <t>SHP-503254</t>
  </si>
  <si>
    <t>SHP-503255</t>
  </si>
  <si>
    <t>SHP-503256</t>
  </si>
  <si>
    <t>SHP-503257</t>
  </si>
  <si>
    <t>SHP-503258</t>
  </si>
  <si>
    <t>SHP-503259</t>
  </si>
  <si>
    <t>SHP-503260</t>
  </si>
  <si>
    <t>SHP-503261</t>
  </si>
  <si>
    <t>SHP-503262</t>
  </si>
  <si>
    <t>SHP-503263</t>
  </si>
  <si>
    <t>SHP-503264</t>
  </si>
  <si>
    <t>SHP-503265</t>
  </si>
  <si>
    <t>SHP-503266</t>
  </si>
  <si>
    <t>SHP-503267</t>
  </si>
  <si>
    <t>SHP-503268</t>
  </si>
  <si>
    <t>SHP-503269</t>
  </si>
  <si>
    <t>SHP-503270</t>
  </si>
  <si>
    <t>SHP-503271</t>
  </si>
  <si>
    <t>SHP-503272</t>
  </si>
  <si>
    <t>SHP-503273</t>
  </si>
  <si>
    <t>SHP-503274</t>
  </si>
  <si>
    <t>SHP-503275</t>
  </si>
  <si>
    <t>SHP-503276</t>
  </si>
  <si>
    <t>SHP-503277</t>
  </si>
  <si>
    <t>SHP-503278</t>
  </si>
  <si>
    <t>SHP-503279</t>
  </si>
  <si>
    <t>SHP-503280</t>
  </si>
  <si>
    <t>SHP-503281</t>
  </si>
  <si>
    <t>SHP-503282</t>
  </si>
  <si>
    <t>SHP-503283</t>
  </si>
  <si>
    <t>SHP-503284</t>
  </si>
  <si>
    <t>SHP-503285</t>
  </si>
  <si>
    <t>SHP-503286</t>
  </si>
  <si>
    <t>SHP-503287</t>
  </si>
  <si>
    <t>SHP-503288</t>
  </si>
  <si>
    <t>SHP-503289</t>
  </si>
  <si>
    <t>SHP-503290</t>
  </si>
  <si>
    <t>SHP-503291</t>
  </si>
  <si>
    <t>SHP-503292</t>
  </si>
  <si>
    <t>SHP-503293</t>
  </si>
  <si>
    <t>SHP-503294</t>
  </si>
  <si>
    <t>SHP-503295</t>
  </si>
  <si>
    <t>SHP-503296</t>
  </si>
  <si>
    <t>SHP-503297</t>
  </si>
  <si>
    <t>SHP-503298</t>
  </si>
  <si>
    <t>SHP-503299</t>
  </si>
  <si>
    <t>SHP-503300</t>
  </si>
  <si>
    <t>SHP-503301</t>
  </si>
  <si>
    <t>SHP-503302</t>
  </si>
  <si>
    <t>SHP-503303</t>
  </si>
  <si>
    <t>SHP-503304</t>
  </si>
  <si>
    <t>SHP-503305</t>
  </si>
  <si>
    <t>SHP-503306</t>
  </si>
  <si>
    <t>SHP-503307</t>
  </si>
  <si>
    <t>SHP-503308</t>
  </si>
  <si>
    <t>SHP-503309</t>
  </si>
  <si>
    <t>SHP-503310</t>
  </si>
  <si>
    <t>SHP-503311</t>
  </si>
  <si>
    <t>SHP-503312</t>
  </si>
  <si>
    <t>SHP-503313</t>
  </si>
  <si>
    <t>SHP-503314</t>
  </si>
  <si>
    <t>SHP-503315</t>
  </si>
  <si>
    <t>SHP-503316</t>
  </si>
  <si>
    <t>SHP-503317</t>
  </si>
  <si>
    <t>SHP-503318</t>
  </si>
  <si>
    <t>SHP-503319</t>
  </si>
  <si>
    <t>SHP-503320</t>
  </si>
  <si>
    <t>SHP-503321</t>
  </si>
  <si>
    <t>SHP-503322</t>
  </si>
  <si>
    <t>SHP-503323</t>
  </si>
  <si>
    <t>SHP-503324</t>
  </si>
  <si>
    <t>SHP-503325</t>
  </si>
  <si>
    <t>SHP-503326</t>
  </si>
  <si>
    <t>SHP-503327</t>
  </si>
  <si>
    <t>SHP-503328</t>
  </si>
  <si>
    <t>SHP-503329</t>
  </si>
  <si>
    <t>SHP-503330</t>
  </si>
  <si>
    <t>SHP-503331</t>
  </si>
  <si>
    <t>SHP-503332</t>
  </si>
  <si>
    <t>SHP-503333</t>
  </si>
  <si>
    <t>SHP-503334</t>
  </si>
  <si>
    <t>SHP-503335</t>
  </si>
  <si>
    <t>SHP-503336</t>
  </si>
  <si>
    <t>SHP-503337</t>
  </si>
  <si>
    <t>SHP-503338</t>
  </si>
  <si>
    <t>SHP-503339</t>
  </si>
  <si>
    <t>SHP-503340</t>
  </si>
  <si>
    <t>SHP-503341</t>
  </si>
  <si>
    <t>SHP-503342</t>
  </si>
  <si>
    <t>SHP-503343</t>
  </si>
  <si>
    <t>SHP-503344</t>
  </si>
  <si>
    <t>SHP-503345</t>
  </si>
  <si>
    <t>SHP-503346</t>
  </si>
  <si>
    <t>SHP-503347</t>
  </si>
  <si>
    <t>SHP-503348</t>
  </si>
  <si>
    <t>SHP-503349</t>
  </si>
  <si>
    <t>SHP-503350</t>
  </si>
  <si>
    <t>SHP-503351</t>
  </si>
  <si>
    <t>SHP-503352</t>
  </si>
  <si>
    <t>SHP-503353</t>
  </si>
  <si>
    <t>SHP-503354</t>
  </si>
  <si>
    <t>SHP-503355</t>
  </si>
  <si>
    <t>SHP-503356</t>
  </si>
  <si>
    <t>SHP-503357</t>
  </si>
  <si>
    <t>SHP-503358</t>
  </si>
  <si>
    <t>SHP-503359</t>
  </si>
  <si>
    <t>SHP-503360</t>
  </si>
  <si>
    <t>SHP-503361</t>
  </si>
  <si>
    <t>SHP-503362</t>
  </si>
  <si>
    <t>SHP-503363</t>
  </si>
  <si>
    <t>SHP-503364</t>
  </si>
  <si>
    <t>SHP-503365</t>
  </si>
  <si>
    <t>SHP-503366</t>
  </si>
  <si>
    <t>SHP-503367</t>
  </si>
  <si>
    <t>SHP-503368</t>
  </si>
  <si>
    <t>SHP-503369</t>
  </si>
  <si>
    <t>SHP-503370</t>
  </si>
  <si>
    <t>SHP-503371</t>
  </si>
  <si>
    <t>SHP-503372</t>
  </si>
  <si>
    <t>SHP-503373</t>
  </si>
  <si>
    <t>SHP-503374</t>
  </si>
  <si>
    <t>SHP-503375</t>
  </si>
  <si>
    <t>SHP-503376</t>
  </si>
  <si>
    <t>SHP-503377</t>
  </si>
  <si>
    <t>SHP-503378</t>
  </si>
  <si>
    <t>SHP-503379</t>
  </si>
  <si>
    <t>SHP-503380</t>
  </si>
  <si>
    <t>SHP-503381</t>
  </si>
  <si>
    <t>SHP-503382</t>
  </si>
  <si>
    <t>SHP-503383</t>
  </si>
  <si>
    <t>SHP-503384</t>
  </si>
  <si>
    <t>SHP-503385</t>
  </si>
  <si>
    <t>SHP-503386</t>
  </si>
  <si>
    <t>SHP-503387</t>
  </si>
  <si>
    <t>SHP-503388</t>
  </si>
  <si>
    <t>SHP-503389</t>
  </si>
  <si>
    <t>SHP-503390</t>
  </si>
  <si>
    <t>SHP-503391</t>
  </si>
  <si>
    <t>SHP-503392</t>
  </si>
  <si>
    <t>SHP-503393</t>
  </si>
  <si>
    <t>SHP-503394</t>
  </si>
  <si>
    <t>SHP-503395</t>
  </si>
  <si>
    <t>SHP-503396</t>
  </si>
  <si>
    <t>SHP-503397</t>
  </si>
  <si>
    <t>SHP-503398</t>
  </si>
  <si>
    <t>SHP-503399</t>
  </si>
  <si>
    <t>SHP-503400</t>
  </si>
  <si>
    <t>SHP-503401</t>
  </si>
  <si>
    <t>SHP-503402</t>
  </si>
  <si>
    <t>SHP-503403</t>
  </si>
  <si>
    <t>SHP-503404</t>
  </si>
  <si>
    <t>SHP-503405</t>
  </si>
  <si>
    <t>SHP-503406</t>
  </si>
  <si>
    <t>SHP-503407</t>
  </si>
  <si>
    <t>SHP-503408</t>
  </si>
  <si>
    <t>SHP-503409</t>
  </si>
  <si>
    <t>SHP-503410</t>
  </si>
  <si>
    <t>SHP-503411</t>
  </si>
  <si>
    <t>SHP-503412</t>
  </si>
  <si>
    <t>SHP-503413</t>
  </si>
  <si>
    <t>SHP-503414</t>
  </si>
  <si>
    <t>SHP-503415</t>
  </si>
  <si>
    <t>SHP-503416</t>
  </si>
  <si>
    <t>SHP-503417</t>
  </si>
  <si>
    <t>SHP-503418</t>
  </si>
  <si>
    <t>SHP-503419</t>
  </si>
  <si>
    <t>SHP-503420</t>
  </si>
  <si>
    <t>SHP-503421</t>
  </si>
  <si>
    <t>SHP-503422</t>
  </si>
  <si>
    <t>SHP-503423</t>
  </si>
  <si>
    <t>SHP-503424</t>
  </si>
  <si>
    <t>SHP-503425</t>
  </si>
  <si>
    <t>SHP-503426</t>
  </si>
  <si>
    <t>SHP-503427</t>
  </si>
  <si>
    <t>SHP-503428</t>
  </si>
  <si>
    <t>SHP-503429</t>
  </si>
  <si>
    <t>SHP-503430</t>
  </si>
  <si>
    <t>SHP-503431</t>
  </si>
  <si>
    <t>SHP-503432</t>
  </si>
  <si>
    <t>SHP-503433</t>
  </si>
  <si>
    <t>SHP-503434</t>
  </si>
  <si>
    <t>SHP-503435</t>
  </si>
  <si>
    <t>SHP-503436</t>
  </si>
  <si>
    <t>SHP-503437</t>
  </si>
  <si>
    <t>SHP-503438</t>
  </si>
  <si>
    <t>SHP-503439</t>
  </si>
  <si>
    <t>SHP-503440</t>
  </si>
  <si>
    <t>SHP-503441</t>
  </si>
  <si>
    <t>SHP-503442</t>
  </si>
  <si>
    <t>SHP-503443</t>
  </si>
  <si>
    <t>SHP-503444</t>
  </si>
  <si>
    <t>SHP-503445</t>
  </si>
  <si>
    <t>SHP-503446</t>
  </si>
  <si>
    <t>SHP-503447</t>
  </si>
  <si>
    <t>SHP-503448</t>
  </si>
  <si>
    <t>SHP-503449</t>
  </si>
  <si>
    <t>SHP-503450</t>
  </si>
  <si>
    <t>SHP-503451</t>
  </si>
  <si>
    <t>SHP-503452</t>
  </si>
  <si>
    <t>SHP-503453</t>
  </si>
  <si>
    <t>SHP-503454</t>
  </si>
  <si>
    <t>SHP-503455</t>
  </si>
  <si>
    <t>SHP-503456</t>
  </si>
  <si>
    <t>SHP-503457</t>
  </si>
  <si>
    <t>SHP-503458</t>
  </si>
  <si>
    <t>SHP-503459</t>
  </si>
  <si>
    <t>SHP-503460</t>
  </si>
  <si>
    <t>SHP-503461</t>
  </si>
  <si>
    <t>SHP-503462</t>
  </si>
  <si>
    <t>SHP-503463</t>
  </si>
  <si>
    <t>SHP-503464</t>
  </si>
  <si>
    <t>SHP-503465</t>
  </si>
  <si>
    <t>SHP-503466</t>
  </si>
  <si>
    <t>SHP-503467</t>
  </si>
  <si>
    <t>SHP-503468</t>
  </si>
  <si>
    <t>SHP-503469</t>
  </si>
  <si>
    <t>SHP-503470</t>
  </si>
  <si>
    <t>SHP-503471</t>
  </si>
  <si>
    <t>SHP-503472</t>
  </si>
  <si>
    <t>SHP-503473</t>
  </si>
  <si>
    <t>SHP-503474</t>
  </si>
  <si>
    <t>SHP-503475</t>
  </si>
  <si>
    <t>SHP-503476</t>
  </si>
  <si>
    <t>SHP-503477</t>
  </si>
  <si>
    <t>SHP-503478</t>
  </si>
  <si>
    <t>SHP-503479</t>
  </si>
  <si>
    <t>SHP-503480</t>
  </si>
  <si>
    <t>SHP-503481</t>
  </si>
  <si>
    <t>SHP-503482</t>
  </si>
  <si>
    <t>SHP-503483</t>
  </si>
  <si>
    <t>SHP-503484</t>
  </si>
  <si>
    <t>SHP-503485</t>
  </si>
  <si>
    <t>SHP-503486</t>
  </si>
  <si>
    <t>SHP-503487</t>
  </si>
  <si>
    <t>SHP-503488</t>
  </si>
  <si>
    <t>SHP-503489</t>
  </si>
  <si>
    <t>SHP-503490</t>
  </si>
  <si>
    <t>SHP-503491</t>
  </si>
  <si>
    <t>SHP-503492</t>
  </si>
  <si>
    <t>SHP-503493</t>
  </si>
  <si>
    <t>SHP-503494</t>
  </si>
  <si>
    <t>SHP-503495</t>
  </si>
  <si>
    <t>SHP-503496</t>
  </si>
  <si>
    <t>SHP-503497</t>
  </si>
  <si>
    <t>SHP-503498</t>
  </si>
  <si>
    <t>SHP-503499</t>
  </si>
  <si>
    <t>SHP-503500</t>
  </si>
  <si>
    <t>SHP-503501</t>
  </si>
  <si>
    <t>SHP-503502</t>
  </si>
  <si>
    <t>SHP-503503</t>
  </si>
  <si>
    <t>SHP-503504</t>
  </si>
  <si>
    <t>SHP-503505</t>
  </si>
  <si>
    <t>SHP-503506</t>
  </si>
  <si>
    <t>SHP-503507</t>
  </si>
  <si>
    <t>SHP-503508</t>
  </si>
  <si>
    <t>SHP-503509</t>
  </si>
  <si>
    <t>SHP-503510</t>
  </si>
  <si>
    <t>SHP-503511</t>
  </si>
  <si>
    <t>SHP-503512</t>
  </si>
  <si>
    <t>SHP-503513</t>
  </si>
  <si>
    <t>SHP-503514</t>
  </si>
  <si>
    <t>SHP-503515</t>
  </si>
  <si>
    <t>SHP-503516</t>
  </si>
  <si>
    <t>SHP-503517</t>
  </si>
  <si>
    <t>SHP-503518</t>
  </si>
  <si>
    <t>SHP-503519</t>
  </si>
  <si>
    <t>SHP-503520</t>
  </si>
  <si>
    <t>SHP-503521</t>
  </si>
  <si>
    <t>SHP-503522</t>
  </si>
  <si>
    <t>SHP-503523</t>
  </si>
  <si>
    <t>SHP-503524</t>
  </si>
  <si>
    <t>SHP-503525</t>
  </si>
  <si>
    <t>SHP-503526</t>
  </si>
  <si>
    <t>SHP-503527</t>
  </si>
  <si>
    <t>SHP-503528</t>
  </si>
  <si>
    <t>SHP-503529</t>
  </si>
  <si>
    <t>SHP-503530</t>
  </si>
  <si>
    <t>SHP-503531</t>
  </si>
  <si>
    <t>SHP-503532</t>
  </si>
  <si>
    <t>SHP-503533</t>
  </si>
  <si>
    <t>SHP-503534</t>
  </si>
  <si>
    <t>SHP-503535</t>
  </si>
  <si>
    <t>SHP-503536</t>
  </si>
  <si>
    <t>SHP-503537</t>
  </si>
  <si>
    <t>SHP-503538</t>
  </si>
  <si>
    <t>SHP-503539</t>
  </si>
  <si>
    <t>SHP-503540</t>
  </si>
  <si>
    <t>SHP-503541</t>
  </si>
  <si>
    <t>SHP-503542</t>
  </si>
  <si>
    <t>SHP-503543</t>
  </si>
  <si>
    <t>SHP-503544</t>
  </si>
  <si>
    <t>SHP-503545</t>
  </si>
  <si>
    <t>SHP-503546</t>
  </si>
  <si>
    <t>SHP-503547</t>
  </si>
  <si>
    <t>SHP-503548</t>
  </si>
  <si>
    <t>SHP-503549</t>
  </si>
  <si>
    <t>SHP-503550</t>
  </si>
  <si>
    <t>SHP-503551</t>
  </si>
  <si>
    <t>SHP-503552</t>
  </si>
  <si>
    <t>SHP-503553</t>
  </si>
  <si>
    <t>SHP-503554</t>
  </si>
  <si>
    <t>SHP-503555</t>
  </si>
  <si>
    <t>SHP-503556</t>
  </si>
  <si>
    <t>SHP-503557</t>
  </si>
  <si>
    <t>SHP-503558</t>
  </si>
  <si>
    <t>SHP-503559</t>
  </si>
  <si>
    <t>SHP-503560</t>
  </si>
  <si>
    <t>SHP-503561</t>
  </si>
  <si>
    <t>SHP-503562</t>
  </si>
  <si>
    <t>SHP-503563</t>
  </si>
  <si>
    <t>SHP-503564</t>
  </si>
  <si>
    <t>SHP-503565</t>
  </si>
  <si>
    <t>SHP-503566</t>
  </si>
  <si>
    <t>SHP-503567</t>
  </si>
  <si>
    <t>SHP-503568</t>
  </si>
  <si>
    <t>SHP-503569</t>
  </si>
  <si>
    <t>SHP-503570</t>
  </si>
  <si>
    <t>SHP-503571</t>
  </si>
  <si>
    <t>SHP-503572</t>
  </si>
  <si>
    <t>SHP-503573</t>
  </si>
  <si>
    <t>SHP-503574</t>
  </si>
  <si>
    <t>SHP-503575</t>
  </si>
  <si>
    <t>SHP-503576</t>
  </si>
  <si>
    <t>SHP-503577</t>
  </si>
  <si>
    <t>SHP-503578</t>
  </si>
  <si>
    <t>SHP-503579</t>
  </si>
  <si>
    <t>SHP-503580</t>
  </si>
  <si>
    <t>SHP-503581</t>
  </si>
  <si>
    <t>SHP-503582</t>
  </si>
  <si>
    <t>SHP-503583</t>
  </si>
  <si>
    <t>SHP-503584</t>
  </si>
  <si>
    <t>SHP-503585</t>
  </si>
  <si>
    <t>SHP-503586</t>
  </si>
  <si>
    <t>SHP-503587</t>
  </si>
  <si>
    <t>SHP-503588</t>
  </si>
  <si>
    <t>SHP-503589</t>
  </si>
  <si>
    <t>SHP-503590</t>
  </si>
  <si>
    <t>SHP-503591</t>
  </si>
  <si>
    <t>SHP-503592</t>
  </si>
  <si>
    <t>SHP-503593</t>
  </si>
  <si>
    <t>SHP-503594</t>
  </si>
  <si>
    <t>SHP-503595</t>
  </si>
  <si>
    <t>SHP-503596</t>
  </si>
  <si>
    <t>SHP-503597</t>
  </si>
  <si>
    <t>SHP-503598</t>
  </si>
  <si>
    <t>SHP-503599</t>
  </si>
  <si>
    <t>SHP-503600</t>
  </si>
  <si>
    <t>SHP-503601</t>
  </si>
  <si>
    <t>SHP-503602</t>
  </si>
  <si>
    <t>SHP-503603</t>
  </si>
  <si>
    <t>SHP-503604</t>
  </si>
  <si>
    <t>SHP-503605</t>
  </si>
  <si>
    <t>SHP-503606</t>
  </si>
  <si>
    <t>SHP-503607</t>
  </si>
  <si>
    <t>SHP-503608</t>
  </si>
  <si>
    <t>SHP-503609</t>
  </si>
  <si>
    <t>SHP-503610</t>
  </si>
  <si>
    <t>SHP-503611</t>
  </si>
  <si>
    <t>SHP-503612</t>
  </si>
  <si>
    <t>SHP-503613</t>
  </si>
  <si>
    <t>SHP-503614</t>
  </si>
  <si>
    <t>SHP-503615</t>
  </si>
  <si>
    <t>SHP-503616</t>
  </si>
  <si>
    <t>SHP-503617</t>
  </si>
  <si>
    <t>SHP-503618</t>
  </si>
  <si>
    <t>SHP-503619</t>
  </si>
  <si>
    <t>SHP-503620</t>
  </si>
  <si>
    <t>SHP-503621</t>
  </si>
  <si>
    <t>SHP-503622</t>
  </si>
  <si>
    <t>SHP-503623</t>
  </si>
  <si>
    <t>SHP-503624</t>
  </si>
  <si>
    <t>SHP-503625</t>
  </si>
  <si>
    <t>SHP-503626</t>
  </si>
  <si>
    <t>SHP-503627</t>
  </si>
  <si>
    <t>SHP-503628</t>
  </si>
  <si>
    <t>SHP-503629</t>
  </si>
  <si>
    <t>SHP-503630</t>
  </si>
  <si>
    <t>SHP-503631</t>
  </si>
  <si>
    <t>SHP-503632</t>
  </si>
  <si>
    <t>SHP-503633</t>
  </si>
  <si>
    <t>SHP-503634</t>
  </si>
  <si>
    <t>SHP-503635</t>
  </si>
  <si>
    <t>SHP-503636</t>
  </si>
  <si>
    <t>SHP-503637</t>
  </si>
  <si>
    <t>SHP-503638</t>
  </si>
  <si>
    <t>SHP-503639</t>
  </si>
  <si>
    <t>SHP-503640</t>
  </si>
  <si>
    <t>SHP-503641</t>
  </si>
  <si>
    <t>SHP-503642</t>
  </si>
  <si>
    <t>SHP-503643</t>
  </si>
  <si>
    <t>SHP-503644</t>
  </si>
  <si>
    <t>SHP-503645</t>
  </si>
  <si>
    <t>SHP-503646</t>
  </si>
  <si>
    <t>SHP-503647</t>
  </si>
  <si>
    <t>SHP-503648</t>
  </si>
  <si>
    <t>SHP-503649</t>
  </si>
  <si>
    <t>SHP-503650</t>
  </si>
  <si>
    <t>SHP-503651</t>
  </si>
  <si>
    <t>SHP-503652</t>
  </si>
  <si>
    <t>SHP-503653</t>
  </si>
  <si>
    <t>SHP-503654</t>
  </si>
  <si>
    <t>SHP-503655</t>
  </si>
  <si>
    <t>SHP-503656</t>
  </si>
  <si>
    <t>SHP-503657</t>
  </si>
  <si>
    <t>SHP-503658</t>
  </si>
  <si>
    <t>SHP-503659</t>
  </si>
  <si>
    <t>SHP-503660</t>
  </si>
  <si>
    <t>SHP-503661</t>
  </si>
  <si>
    <t>SHP-503662</t>
  </si>
  <si>
    <t>SHP-503663</t>
  </si>
  <si>
    <t>SHP-503664</t>
  </si>
  <si>
    <t>SHP-503665</t>
  </si>
  <si>
    <t>SHP-503666</t>
  </si>
  <si>
    <t>SHP-503667</t>
  </si>
  <si>
    <t>SHP-503668</t>
  </si>
  <si>
    <t>SHP-503669</t>
  </si>
  <si>
    <t>SHP-503670</t>
  </si>
  <si>
    <t>SHP-503671</t>
  </si>
  <si>
    <t>SHP-503672</t>
  </si>
  <si>
    <t>SHP-503673</t>
  </si>
  <si>
    <t>SHP-503674</t>
  </si>
  <si>
    <t>SHP-503675</t>
  </si>
  <si>
    <t>SHP-503676</t>
  </si>
  <si>
    <t>SHP-503677</t>
  </si>
  <si>
    <t>SHP-503678</t>
  </si>
  <si>
    <t>SHP-503679</t>
  </si>
  <si>
    <t>SHP-503680</t>
  </si>
  <si>
    <t>SHP-503681</t>
  </si>
  <si>
    <t>SHP-503682</t>
  </si>
  <si>
    <t>SHP-503683</t>
  </si>
  <si>
    <t>SHP-503684</t>
  </si>
  <si>
    <t>SHP-503685</t>
  </si>
  <si>
    <t>SHP-503686</t>
  </si>
  <si>
    <t>SHP-503687</t>
  </si>
  <si>
    <t>SHP-503688</t>
  </si>
  <si>
    <t>SHP-503689</t>
  </si>
  <si>
    <t>SHP-503690</t>
  </si>
  <si>
    <t>SHP-503691</t>
  </si>
  <si>
    <t>SHP-503692</t>
  </si>
  <si>
    <t>SHP-503693</t>
  </si>
  <si>
    <t>SHP-503694</t>
  </si>
  <si>
    <t>SHP-503695</t>
  </si>
  <si>
    <t>SHP-503696</t>
  </si>
  <si>
    <t>SHP-503697</t>
  </si>
  <si>
    <t>SHP-503698</t>
  </si>
  <si>
    <t>SHP-503699</t>
  </si>
  <si>
    <t>SHP-503700</t>
  </si>
  <si>
    <t>SHP-503701</t>
  </si>
  <si>
    <t>SHP-503702</t>
  </si>
  <si>
    <t>SHP-503703</t>
  </si>
  <si>
    <t>SHP-503704</t>
  </si>
  <si>
    <t>SHP-503705</t>
  </si>
  <si>
    <t>SHP-503706</t>
  </si>
  <si>
    <t>SHP-503707</t>
  </si>
  <si>
    <t>SHP-503708</t>
  </si>
  <si>
    <t>SHP-503709</t>
  </si>
  <si>
    <t>SHP-503710</t>
  </si>
  <si>
    <t>SHP-503711</t>
  </si>
  <si>
    <t>SHP-503712</t>
  </si>
  <si>
    <t>SHP-503713</t>
  </si>
  <si>
    <t>SHP-503714</t>
  </si>
  <si>
    <t>SHP-503715</t>
  </si>
  <si>
    <t>SHP-503716</t>
  </si>
  <si>
    <t>SHP-503717</t>
  </si>
  <si>
    <t>SHP-503718</t>
  </si>
  <si>
    <t>SHP-503719</t>
  </si>
  <si>
    <t>SHP-503720</t>
  </si>
  <si>
    <t>SHP-503721</t>
  </si>
  <si>
    <t>SHP-503722</t>
  </si>
  <si>
    <t>SHP-503723</t>
  </si>
  <si>
    <t>SHP-503724</t>
  </si>
  <si>
    <t>SHP-503725</t>
  </si>
  <si>
    <t>SHP-503726</t>
  </si>
  <si>
    <t>SHP-503727</t>
  </si>
  <si>
    <t>SHP-503728</t>
  </si>
  <si>
    <t>SHP-503729</t>
  </si>
  <si>
    <t>SHP-503730</t>
  </si>
  <si>
    <t>SHP-503731</t>
  </si>
  <si>
    <t>SHP-503732</t>
  </si>
  <si>
    <t>SHP-503733</t>
  </si>
  <si>
    <t>SHP-503734</t>
  </si>
  <si>
    <t>SHP-503735</t>
  </si>
  <si>
    <t>SHP-503736</t>
  </si>
  <si>
    <t>SHP-503737</t>
  </si>
  <si>
    <t>SHP-503738</t>
  </si>
  <si>
    <t>SHP-503739</t>
  </si>
  <si>
    <t>SHP-503740</t>
  </si>
  <si>
    <t>SHP-503741</t>
  </si>
  <si>
    <t>SHP-503742</t>
  </si>
  <si>
    <t>SHP-503743</t>
  </si>
  <si>
    <t>SHP-503744</t>
  </si>
  <si>
    <t>SHP-503745</t>
  </si>
  <si>
    <t>SHP-503746</t>
  </si>
  <si>
    <t>SHP-503747</t>
  </si>
  <si>
    <t>SHP-503748</t>
  </si>
  <si>
    <t>SHP-503749</t>
  </si>
  <si>
    <t>SHP-503750</t>
  </si>
  <si>
    <t>SHP-503751</t>
  </si>
  <si>
    <t>SHP-503752</t>
  </si>
  <si>
    <t>SHP-503753</t>
  </si>
  <si>
    <t>SHP-503754</t>
  </si>
  <si>
    <t>SHP-503755</t>
  </si>
  <si>
    <t>SHP-503756</t>
  </si>
  <si>
    <t>SHP-503757</t>
  </si>
  <si>
    <t>SHP-503758</t>
  </si>
  <si>
    <t>SHP-503759</t>
  </si>
  <si>
    <t>SHP-503760</t>
  </si>
  <si>
    <t>SHP-503761</t>
  </si>
  <si>
    <t>SHP-503762</t>
  </si>
  <si>
    <t>SHP-503763</t>
  </si>
  <si>
    <t>SHP-503764</t>
  </si>
  <si>
    <t>SHP-503765</t>
  </si>
  <si>
    <t>SHP-503766</t>
  </si>
  <si>
    <t>SHP-503767</t>
  </si>
  <si>
    <t>SHP-503768</t>
  </si>
  <si>
    <t>SHP-503769</t>
  </si>
  <si>
    <t>SHP-503770</t>
  </si>
  <si>
    <t>SHP-503771</t>
  </si>
  <si>
    <t>SHP-503772</t>
  </si>
  <si>
    <t>SHP-503773</t>
  </si>
  <si>
    <t>SHP-503774</t>
  </si>
  <si>
    <t>SHP-503775</t>
  </si>
  <si>
    <t>SHP-503776</t>
  </si>
  <si>
    <t>SHP-503777</t>
  </si>
  <si>
    <t>SHP-503778</t>
  </si>
  <si>
    <t>SHP-503779</t>
  </si>
  <si>
    <t>SHP-503780</t>
  </si>
  <si>
    <t>SHP-503781</t>
  </si>
  <si>
    <t>SHP-503782</t>
  </si>
  <si>
    <t>SHP-503783</t>
  </si>
  <si>
    <t>SHP-503784</t>
  </si>
  <si>
    <t>SHP-503785</t>
  </si>
  <si>
    <t>SHP-503786</t>
  </si>
  <si>
    <t>SHP-503787</t>
  </si>
  <si>
    <t>SHP-503788</t>
  </si>
  <si>
    <t>SHP-503789</t>
  </si>
  <si>
    <t>SHP-503790</t>
  </si>
  <si>
    <t>SHP-503791</t>
  </si>
  <si>
    <t>SHP-503792</t>
  </si>
  <si>
    <t>SHP-503793</t>
  </si>
  <si>
    <t>SHP-503794</t>
  </si>
  <si>
    <t>SHP-503795</t>
  </si>
  <si>
    <t>SHP-503796</t>
  </si>
  <si>
    <t>SHP-503797</t>
  </si>
  <si>
    <t>SHP-503798</t>
  </si>
  <si>
    <t>SHP-503799</t>
  </si>
  <si>
    <t>SHP-503800</t>
  </si>
  <si>
    <t>SHP-503801</t>
  </si>
  <si>
    <t>SHP-503802</t>
  </si>
  <si>
    <t>SHP-503803</t>
  </si>
  <si>
    <t>SHP-503804</t>
  </si>
  <si>
    <t>SHP-503805</t>
  </si>
  <si>
    <t>SHP-503806</t>
  </si>
  <si>
    <t>SHP-503807</t>
  </si>
  <si>
    <t>SHP-503808</t>
  </si>
  <si>
    <t>SHP-503809</t>
  </si>
  <si>
    <t>SHP-503810</t>
  </si>
  <si>
    <t>SHP-503811</t>
  </si>
  <si>
    <t>SHP-503812</t>
  </si>
  <si>
    <t>SHP-503813</t>
  </si>
  <si>
    <t>SHP-503814</t>
  </si>
  <si>
    <t>SHP-503815</t>
  </si>
  <si>
    <t>SHP-503816</t>
  </si>
  <si>
    <t>SHP-503817</t>
  </si>
  <si>
    <t>SHP-503818</t>
  </si>
  <si>
    <t>SHP-503819</t>
  </si>
  <si>
    <t>SHP-503820</t>
  </si>
  <si>
    <t>SHP-503821</t>
  </si>
  <si>
    <t>SHP-503822</t>
  </si>
  <si>
    <t>SHP-503823</t>
  </si>
  <si>
    <t>SHP-503824</t>
  </si>
  <si>
    <t>SHP-503825</t>
  </si>
  <si>
    <t>SHP-503826</t>
  </si>
  <si>
    <t>SHP-503827</t>
  </si>
  <si>
    <t>SHP-503828</t>
  </si>
  <si>
    <t>SHP-503829</t>
  </si>
  <si>
    <t>SHP-503830</t>
  </si>
  <si>
    <t>SHP-503831</t>
  </si>
  <si>
    <t>SHP-503832</t>
  </si>
  <si>
    <t>SHP-503833</t>
  </si>
  <si>
    <t>SHP-503834</t>
  </si>
  <si>
    <t>SHP-503835</t>
  </si>
  <si>
    <t>SHP-503836</t>
  </si>
  <si>
    <t>SHP-503837</t>
  </si>
  <si>
    <t>SHP-503838</t>
  </si>
  <si>
    <t>SHP-503839</t>
  </si>
  <si>
    <t>SHP-503840</t>
  </si>
  <si>
    <t>SHP-503841</t>
  </si>
  <si>
    <t>SHP-503842</t>
  </si>
  <si>
    <t>SHP-503843</t>
  </si>
  <si>
    <t>SHP-503844</t>
  </si>
  <si>
    <t>SHP-503845</t>
  </si>
  <si>
    <t>SHP-503846</t>
  </si>
  <si>
    <t>SHP-503847</t>
  </si>
  <si>
    <t>SHP-503848</t>
  </si>
  <si>
    <t>SHP-503849</t>
  </si>
  <si>
    <t>SHP-503850</t>
  </si>
  <si>
    <t>SHP-503851</t>
  </si>
  <si>
    <t>SHP-503852</t>
  </si>
  <si>
    <t>SHP-503853</t>
  </si>
  <si>
    <t>SHP-503854</t>
  </si>
  <si>
    <t>SHP-503855</t>
  </si>
  <si>
    <t>SHP-503856</t>
  </si>
  <si>
    <t>SHP-503857</t>
  </si>
  <si>
    <t>SHP-503858</t>
  </si>
  <si>
    <t>SHP-503859</t>
  </si>
  <si>
    <t>SHP-503860</t>
  </si>
  <si>
    <t>SHP-503861</t>
  </si>
  <si>
    <t>SHP-503862</t>
  </si>
  <si>
    <t>SHP-503863</t>
  </si>
  <si>
    <t>SHP-503864</t>
  </si>
  <si>
    <t>SHP-503865</t>
  </si>
  <si>
    <t>SHP-503866</t>
  </si>
  <si>
    <t>SHP-503867</t>
  </si>
  <si>
    <t>SHP-503868</t>
  </si>
  <si>
    <t>SHP-503869</t>
  </si>
  <si>
    <t>SHP-503870</t>
  </si>
  <si>
    <t>SHP-503871</t>
  </si>
  <si>
    <t>SHP-503872</t>
  </si>
  <si>
    <t>SHP-503873</t>
  </si>
  <si>
    <t>SHP-503874</t>
  </si>
  <si>
    <t>SHP-503875</t>
  </si>
  <si>
    <t>SHP-503876</t>
  </si>
  <si>
    <t>SHP-503877</t>
  </si>
  <si>
    <t>SHP-503878</t>
  </si>
  <si>
    <t>SHP-503879</t>
  </si>
  <si>
    <t>SHP-503880</t>
  </si>
  <si>
    <t>SHP-503881</t>
  </si>
  <si>
    <t>SHP-503882</t>
  </si>
  <si>
    <t>SHP-503883</t>
  </si>
  <si>
    <t>SHP-503884</t>
  </si>
  <si>
    <t>SHP-503885</t>
  </si>
  <si>
    <t>SHP-503886</t>
  </si>
  <si>
    <t>SHP-503887</t>
  </si>
  <si>
    <t>SHP-503888</t>
  </si>
  <si>
    <t>SHP-503889</t>
  </si>
  <si>
    <t>SHP-503890</t>
  </si>
  <si>
    <t>SHP-503891</t>
  </si>
  <si>
    <t>SHP-503892</t>
  </si>
  <si>
    <t>SHP-503893</t>
  </si>
  <si>
    <t>SHP-503894</t>
  </si>
  <si>
    <t>SHP-503895</t>
  </si>
  <si>
    <t>SHP-503896</t>
  </si>
  <si>
    <t>SHP-503897</t>
  </si>
  <si>
    <t>SHP-503898</t>
  </si>
  <si>
    <t>SHP-503899</t>
  </si>
  <si>
    <t>SHP-503900</t>
  </si>
  <si>
    <t>SHP-503901</t>
  </si>
  <si>
    <t>SHP-503902</t>
  </si>
  <si>
    <t>SHP-503903</t>
  </si>
  <si>
    <t>SHP-503904</t>
  </si>
  <si>
    <t>SHP-503905</t>
  </si>
  <si>
    <t>SHP-503906</t>
  </si>
  <si>
    <t>SHP-503907</t>
  </si>
  <si>
    <t>SHP-503908</t>
  </si>
  <si>
    <t>SHP-503909</t>
  </si>
  <si>
    <t>SHP-503910</t>
  </si>
  <si>
    <t>SHP-503911</t>
  </si>
  <si>
    <t>SHP-503912</t>
  </si>
  <si>
    <t>SHP-503913</t>
  </si>
  <si>
    <t>SHP-503914</t>
  </si>
  <si>
    <t>SHP-503915</t>
  </si>
  <si>
    <t>SHP-503916</t>
  </si>
  <si>
    <t>SHP-503917</t>
  </si>
  <si>
    <t>SHP-503918</t>
  </si>
  <si>
    <t>SHP-503919</t>
  </si>
  <si>
    <t>SHP-503920</t>
  </si>
  <si>
    <t>SHP-503921</t>
  </si>
  <si>
    <t>SHP-503922</t>
  </si>
  <si>
    <t>SHP-503923</t>
  </si>
  <si>
    <t>SHP-503924</t>
  </si>
  <si>
    <t>SHP-503925</t>
  </si>
  <si>
    <t>SHP-503926</t>
  </si>
  <si>
    <t>SHP-503927</t>
  </si>
  <si>
    <t>SHP-503928</t>
  </si>
  <si>
    <t>SHP-503929</t>
  </si>
  <si>
    <t>SHP-503930</t>
  </si>
  <si>
    <t>SHP-503931</t>
  </si>
  <si>
    <t>SHP-503932</t>
  </si>
  <si>
    <t>SHP-503933</t>
  </si>
  <si>
    <t>SHP-503934</t>
  </si>
  <si>
    <t>SHP-503935</t>
  </si>
  <si>
    <t>SHP-503936</t>
  </si>
  <si>
    <t>SHP-503937</t>
  </si>
  <si>
    <t>SHP-503938</t>
  </si>
  <si>
    <t>SHP-503939</t>
  </si>
  <si>
    <t>SHP-503940</t>
  </si>
  <si>
    <t>SHP-503941</t>
  </si>
  <si>
    <t>SHP-503942</t>
  </si>
  <si>
    <t>SHP-503943</t>
  </si>
  <si>
    <t>SHP-503944</t>
  </si>
  <si>
    <t>SHP-503945</t>
  </si>
  <si>
    <t>SHP-503946</t>
  </si>
  <si>
    <t>SHP-503947</t>
  </si>
  <si>
    <t>SHP-503948</t>
  </si>
  <si>
    <t>SHP-503949</t>
  </si>
  <si>
    <t>SHP-503950</t>
  </si>
  <si>
    <t>SHP-503951</t>
  </si>
  <si>
    <t>SHP-503952</t>
  </si>
  <si>
    <t>SHP-503953</t>
  </si>
  <si>
    <t>SHP-503954</t>
  </si>
  <si>
    <t>SHP-503955</t>
  </si>
  <si>
    <t>SHP-503956</t>
  </si>
  <si>
    <t>SHP-503957</t>
  </si>
  <si>
    <t>SHP-503958</t>
  </si>
  <si>
    <t>SHP-503959</t>
  </si>
  <si>
    <t>SHP-503960</t>
  </si>
  <si>
    <t>SHP-503961</t>
  </si>
  <si>
    <t>SHP-503962</t>
  </si>
  <si>
    <t>SHP-503963</t>
  </si>
  <si>
    <t>SHP-503964</t>
  </si>
  <si>
    <t>SHP-503965</t>
  </si>
  <si>
    <t>SHP-503966</t>
  </si>
  <si>
    <t>SHP-503967</t>
  </si>
  <si>
    <t>SHP-503968</t>
  </si>
  <si>
    <t>SHP-503969</t>
  </si>
  <si>
    <t>SHP-503970</t>
  </si>
  <si>
    <t>SHP-503971</t>
  </si>
  <si>
    <t>SHP-503972</t>
  </si>
  <si>
    <t>SHP-503973</t>
  </si>
  <si>
    <t>SHP-503974</t>
  </si>
  <si>
    <t>SHP-503975</t>
  </si>
  <si>
    <t>SHP-503976</t>
  </si>
  <si>
    <t>SHP-503977</t>
  </si>
  <si>
    <t>SHP-503978</t>
  </si>
  <si>
    <t>SHP-503979</t>
  </si>
  <si>
    <t>SHP-503980</t>
  </si>
  <si>
    <t>SHP-503981</t>
  </si>
  <si>
    <t>SHP-503982</t>
  </si>
  <si>
    <t>SHP-503983</t>
  </si>
  <si>
    <t>SHP-503984</t>
  </si>
  <si>
    <t>SHP-503985</t>
  </si>
  <si>
    <t>SHP-503986</t>
  </si>
  <si>
    <t>SHP-503987</t>
  </si>
  <si>
    <t>SHP-503988</t>
  </si>
  <si>
    <t>SHP-503989</t>
  </si>
  <si>
    <t>SHP-503990</t>
  </si>
  <si>
    <t>SHP-503991</t>
  </si>
  <si>
    <t>SHP-503992</t>
  </si>
  <si>
    <t>SHP-503993</t>
  </si>
  <si>
    <t>SHP-503994</t>
  </si>
  <si>
    <t>SHP-503995</t>
  </si>
  <si>
    <t>SHP-503996</t>
  </si>
  <si>
    <t>SHP-503997</t>
  </si>
  <si>
    <t>SHP-503998</t>
  </si>
  <si>
    <t>SHP-503999</t>
  </si>
  <si>
    <t>SHP-504000</t>
  </si>
  <si>
    <t>SHP-504001</t>
  </si>
  <si>
    <t>SHP-504002</t>
  </si>
  <si>
    <t>SHP-504003</t>
  </si>
  <si>
    <t>SHP-504004</t>
  </si>
  <si>
    <t>SHP-504005</t>
  </si>
  <si>
    <t>SHP-504006</t>
  </si>
  <si>
    <t>SHP-504007</t>
  </si>
  <si>
    <t>SHP-504008</t>
  </si>
  <si>
    <t>SHP-504009</t>
  </si>
  <si>
    <t>SHP-504010</t>
  </si>
  <si>
    <t>SHP-504011</t>
  </si>
  <si>
    <t>SHP-504012</t>
  </si>
  <si>
    <t>SHP-504013</t>
  </si>
  <si>
    <t>SHP-504014</t>
  </si>
  <si>
    <t>SHP-504015</t>
  </si>
  <si>
    <t>SHP-504016</t>
  </si>
  <si>
    <t>SHP-504017</t>
  </si>
  <si>
    <t>SHP-504018</t>
  </si>
  <si>
    <t>SHP-504019</t>
  </si>
  <si>
    <t>SHP-504020</t>
  </si>
  <si>
    <t>SHP-504021</t>
  </si>
  <si>
    <t>SHP-504022</t>
  </si>
  <si>
    <t>SHP-504023</t>
  </si>
  <si>
    <t>SHP-504024</t>
  </si>
  <si>
    <t>SHP-504025</t>
  </si>
  <si>
    <t>SHP-504026</t>
  </si>
  <si>
    <t>SHP-504027</t>
  </si>
  <si>
    <t>SHP-504028</t>
  </si>
  <si>
    <t>SHP-504029</t>
  </si>
  <si>
    <t>SHP-504030</t>
  </si>
  <si>
    <t>SHP-504031</t>
  </si>
  <si>
    <t>SHP-504032</t>
  </si>
  <si>
    <t>SHP-504033</t>
  </si>
  <si>
    <t>SHP-504034</t>
  </si>
  <si>
    <t>SHP-504035</t>
  </si>
  <si>
    <t>SHP-504036</t>
  </si>
  <si>
    <t>SHP-504037</t>
  </si>
  <si>
    <t>SHP-504038</t>
  </si>
  <si>
    <t>SHP-504039</t>
  </si>
  <si>
    <t>SHP-504040</t>
  </si>
  <si>
    <t>SHP-504041</t>
  </si>
  <si>
    <t>SHP-504042</t>
  </si>
  <si>
    <t>SHP-504043</t>
  </si>
  <si>
    <t>SHP-504044</t>
  </si>
  <si>
    <t>SHP-504045</t>
  </si>
  <si>
    <t>SHP-504046</t>
  </si>
  <si>
    <t>SHP-504047</t>
  </si>
  <si>
    <t>SHP-504048</t>
  </si>
  <si>
    <t>SHP-504049</t>
  </si>
  <si>
    <t>SHP-504050</t>
  </si>
  <si>
    <t>SHP-504051</t>
  </si>
  <si>
    <t>SHP-504052</t>
  </si>
  <si>
    <t>SHP-504053</t>
  </si>
  <si>
    <t>SHP-504054</t>
  </si>
  <si>
    <t>SHP-504055</t>
  </si>
  <si>
    <t>SHP-504056</t>
  </si>
  <si>
    <t>SHP-504057</t>
  </si>
  <si>
    <t>SHP-504058</t>
  </si>
  <si>
    <t>SHP-504059</t>
  </si>
  <si>
    <t>SHP-504060</t>
  </si>
  <si>
    <t>SHP-504061</t>
  </si>
  <si>
    <t>SHP-504062</t>
  </si>
  <si>
    <t>SHP-504063</t>
  </si>
  <si>
    <t>SHP-504064</t>
  </si>
  <si>
    <t>SHP-504065</t>
  </si>
  <si>
    <t>SHP-504066</t>
  </si>
  <si>
    <t>SHP-504067</t>
  </si>
  <si>
    <t>SHP-504068</t>
  </si>
  <si>
    <t>SHP-504069</t>
  </si>
  <si>
    <t>SHP-504070</t>
  </si>
  <si>
    <t>SHP-504071</t>
  </si>
  <si>
    <t>SHP-504072</t>
  </si>
  <si>
    <t>SHP-504073</t>
  </si>
  <si>
    <t>SHP-504074</t>
  </si>
  <si>
    <t>SHP-504075</t>
  </si>
  <si>
    <t>SHP-504076</t>
  </si>
  <si>
    <t>SHP-504077</t>
  </si>
  <si>
    <t>SHP-504078</t>
  </si>
  <si>
    <t>SHP-504079</t>
  </si>
  <si>
    <t>SHP-504080</t>
  </si>
  <si>
    <t>SHP-504081</t>
  </si>
  <si>
    <t>SHP-504082</t>
  </si>
  <si>
    <t>SHP-504083</t>
  </si>
  <si>
    <t>SHP-504084</t>
  </si>
  <si>
    <t>SHP-504085</t>
  </si>
  <si>
    <t>SHP-504086</t>
  </si>
  <si>
    <t>SHP-504087</t>
  </si>
  <si>
    <t>SHP-504088</t>
  </si>
  <si>
    <t>SHP-504089</t>
  </si>
  <si>
    <t>SHP-504090</t>
  </si>
  <si>
    <t>SHP-504091</t>
  </si>
  <si>
    <t>SHP-504092</t>
  </si>
  <si>
    <t>SHP-504093</t>
  </si>
  <si>
    <t>SHP-504094</t>
  </si>
  <si>
    <t>SHP-504095</t>
  </si>
  <si>
    <t>SHP-504096</t>
  </si>
  <si>
    <t>SHP-504097</t>
  </si>
  <si>
    <t>SHP-504098</t>
  </si>
  <si>
    <t>SHP-504099</t>
  </si>
  <si>
    <t>SHP-504100</t>
  </si>
  <si>
    <t>SHP-504101</t>
  </si>
  <si>
    <t>SHP-504102</t>
  </si>
  <si>
    <t>SHP-504103</t>
  </si>
  <si>
    <t>SHP-504104</t>
  </si>
  <si>
    <t>SHP-504105</t>
  </si>
  <si>
    <t>SHP-504106</t>
  </si>
  <si>
    <t>SHP-504107</t>
  </si>
  <si>
    <t>SHP-504108</t>
  </si>
  <si>
    <t>SHP-504109</t>
  </si>
  <si>
    <t>SHP-504110</t>
  </si>
  <si>
    <t>SHP-504111</t>
  </si>
  <si>
    <t>SHP-504112</t>
  </si>
  <si>
    <t>SHP-504113</t>
  </si>
  <si>
    <t>SHP-504114</t>
  </si>
  <si>
    <t>SHP-504115</t>
  </si>
  <si>
    <t>SHP-504116</t>
  </si>
  <si>
    <t>SHP-504117</t>
  </si>
  <si>
    <t>SHP-504118</t>
  </si>
  <si>
    <t>SHP-504119</t>
  </si>
  <si>
    <t>SHP-504120</t>
  </si>
  <si>
    <t>SHP-504121</t>
  </si>
  <si>
    <t>SHP-504122</t>
  </si>
  <si>
    <t>SHP-504123</t>
  </si>
  <si>
    <t>SHP-504124</t>
  </si>
  <si>
    <t>SHP-504125</t>
  </si>
  <si>
    <t>SHP-504126</t>
  </si>
  <si>
    <t>SHP-504127</t>
  </si>
  <si>
    <t>SHP-504128</t>
  </si>
  <si>
    <t>SHP-504129</t>
  </si>
  <si>
    <t>SHP-504130</t>
  </si>
  <si>
    <t>SHP-504131</t>
  </si>
  <si>
    <t>SHP-504132</t>
  </si>
  <si>
    <t>SHP-504133</t>
  </si>
  <si>
    <t>SHP-504134</t>
  </si>
  <si>
    <t>SHP-504135</t>
  </si>
  <si>
    <t>SHP-504136</t>
  </si>
  <si>
    <t>SHP-504137</t>
  </si>
  <si>
    <t>SHP-504138</t>
  </si>
  <si>
    <t>SHP-504139</t>
  </si>
  <si>
    <t>SHP-504140</t>
  </si>
  <si>
    <t>SHP-504141</t>
  </si>
  <si>
    <t>SHP-504142</t>
  </si>
  <si>
    <t>SHP-504143</t>
  </si>
  <si>
    <t>SHP-504144</t>
  </si>
  <si>
    <t>SHP-504145</t>
  </si>
  <si>
    <t>SHP-504146</t>
  </si>
  <si>
    <t>SHP-504147</t>
  </si>
  <si>
    <t>SHP-504148</t>
  </si>
  <si>
    <t>SHP-504149</t>
  </si>
  <si>
    <t>SHP-504150</t>
  </si>
  <si>
    <t>SHP-504151</t>
  </si>
  <si>
    <t>SHP-504152</t>
  </si>
  <si>
    <t>SHP-504153</t>
  </si>
  <si>
    <t>SHP-504154</t>
  </si>
  <si>
    <t>SHP-504155</t>
  </si>
  <si>
    <t>SHP-504156</t>
  </si>
  <si>
    <t>SHP-504157</t>
  </si>
  <si>
    <t>SHP-504158</t>
  </si>
  <si>
    <t>SHP-504159</t>
  </si>
  <si>
    <t>SHP-504160</t>
  </si>
  <si>
    <t>SHP-504161</t>
  </si>
  <si>
    <t>SHP-504162</t>
  </si>
  <si>
    <t>SHP-504163</t>
  </si>
  <si>
    <t>SHP-504164</t>
  </si>
  <si>
    <t>SHP-504165</t>
  </si>
  <si>
    <t>SHP-504166</t>
  </si>
  <si>
    <t>SHP-504167</t>
  </si>
  <si>
    <t>SHP-504168</t>
  </si>
  <si>
    <t>SHP-504169</t>
  </si>
  <si>
    <t>SHP-504170</t>
  </si>
  <si>
    <t>SHP-504171</t>
  </si>
  <si>
    <t>SHP-504172</t>
  </si>
  <si>
    <t>SHP-504173</t>
  </si>
  <si>
    <t>SHP-504174</t>
  </si>
  <si>
    <t>SHP-504175</t>
  </si>
  <si>
    <t>SHP-504176</t>
  </si>
  <si>
    <t>SHP-504177</t>
  </si>
  <si>
    <t>SHP-504178</t>
  </si>
  <si>
    <t>SHP-504179</t>
  </si>
  <si>
    <t>SHP-504180</t>
  </si>
  <si>
    <t>SHP-504181</t>
  </si>
  <si>
    <t>SHP-504182</t>
  </si>
  <si>
    <t>SHP-504183</t>
  </si>
  <si>
    <t>SHP-504184</t>
  </si>
  <si>
    <t>SHP-504185</t>
  </si>
  <si>
    <t>SHP-504186</t>
  </si>
  <si>
    <t>SHP-504187</t>
  </si>
  <si>
    <t>SHP-504188</t>
  </si>
  <si>
    <t>SHP-504189</t>
  </si>
  <si>
    <t>SHP-504190</t>
  </si>
  <si>
    <t>SHP-504191</t>
  </si>
  <si>
    <t>SHP-504192</t>
  </si>
  <si>
    <t>SHP-504193</t>
  </si>
  <si>
    <t>SHP-504194</t>
  </si>
  <si>
    <t>SHP-504195</t>
  </si>
  <si>
    <t>SHP-504196</t>
  </si>
  <si>
    <t>SHP-504197</t>
  </si>
  <si>
    <t>SHP-504198</t>
  </si>
  <si>
    <t>SHP-504199</t>
  </si>
  <si>
    <t>SHP-504200</t>
  </si>
  <si>
    <t>SHP-504201</t>
  </si>
  <si>
    <t>SHP-504202</t>
  </si>
  <si>
    <t>SHP-504203</t>
  </si>
  <si>
    <t>SHP-504204</t>
  </si>
  <si>
    <t>SHP-504205</t>
  </si>
  <si>
    <t>SHP-504206</t>
  </si>
  <si>
    <t>SHP-504207</t>
  </si>
  <si>
    <t>SHP-504208</t>
  </si>
  <si>
    <t>SHP-504209</t>
  </si>
  <si>
    <t>SHP-504210</t>
  </si>
  <si>
    <t>SHP-504211</t>
  </si>
  <si>
    <t>SHP-504212</t>
  </si>
  <si>
    <t>SHP-504213</t>
  </si>
  <si>
    <t>SHP-504214</t>
  </si>
  <si>
    <t>SHP-504215</t>
  </si>
  <si>
    <t>SHP-504216</t>
  </si>
  <si>
    <t>SHP-504217</t>
  </si>
  <si>
    <t>SHP-504218</t>
  </si>
  <si>
    <t>SHP-504219</t>
  </si>
  <si>
    <t>SHP-504220</t>
  </si>
  <si>
    <t>SHP-504221</t>
  </si>
  <si>
    <t>SHP-504222</t>
  </si>
  <si>
    <t>SHP-504223</t>
  </si>
  <si>
    <t>SHP-504224</t>
  </si>
  <si>
    <t>SHP-504225</t>
  </si>
  <si>
    <t>SHP-504226</t>
  </si>
  <si>
    <t>SHP-504227</t>
  </si>
  <si>
    <t>SHP-504228</t>
  </si>
  <si>
    <t>SHP-504229</t>
  </si>
  <si>
    <t>SHP-504230</t>
  </si>
  <si>
    <t>SHP-504231</t>
  </si>
  <si>
    <t>SHP-504232</t>
  </si>
  <si>
    <t>SHP-504233</t>
  </si>
  <si>
    <t>SHP-504234</t>
  </si>
  <si>
    <t>SHP-504235</t>
  </si>
  <si>
    <t>SHP-504236</t>
  </si>
  <si>
    <t>SHP-504237</t>
  </si>
  <si>
    <t>SHP-504238</t>
  </si>
  <si>
    <t>SHP-504239</t>
  </si>
  <si>
    <t>SHP-504240</t>
  </si>
  <si>
    <t>SHP-504241</t>
  </si>
  <si>
    <t>SHP-504242</t>
  </si>
  <si>
    <t>SHP-504243</t>
  </si>
  <si>
    <t>SHP-504244</t>
  </si>
  <si>
    <t>SHP-504245</t>
  </si>
  <si>
    <t>SHP-504246</t>
  </si>
  <si>
    <t>SHP-504247</t>
  </si>
  <si>
    <t>SHP-504248</t>
  </si>
  <si>
    <t>SHP-504249</t>
  </si>
  <si>
    <t>SHP-504250</t>
  </si>
  <si>
    <t>SHP-504251</t>
  </si>
  <si>
    <t>SHP-504252</t>
  </si>
  <si>
    <t>SHP-504253</t>
  </si>
  <si>
    <t>SHP-504254</t>
  </si>
  <si>
    <t>SHP-504255</t>
  </si>
  <si>
    <t>SHP-504256</t>
  </si>
  <si>
    <t>SHP-504257</t>
  </si>
  <si>
    <t>SHP-504258</t>
  </si>
  <si>
    <t>SHP-504259</t>
  </si>
  <si>
    <t>SHP-504260</t>
  </si>
  <si>
    <t>SHP-504261</t>
  </si>
  <si>
    <t>SHP-504262</t>
  </si>
  <si>
    <t>SHP-504263</t>
  </si>
  <si>
    <t>SHP-504264</t>
  </si>
  <si>
    <t>SHP-504265</t>
  </si>
  <si>
    <t>SHP-504266</t>
  </si>
  <si>
    <t>SHP-504267</t>
  </si>
  <si>
    <t>SHP-504268</t>
  </si>
  <si>
    <t>SHP-504269</t>
  </si>
  <si>
    <t>SHP-504270</t>
  </si>
  <si>
    <t>SHP-504271</t>
  </si>
  <si>
    <t>SHP-504272</t>
  </si>
  <si>
    <t>SHP-504273</t>
  </si>
  <si>
    <t>SHP-504274</t>
  </si>
  <si>
    <t>SHP-504275</t>
  </si>
  <si>
    <t>SHP-504276</t>
  </si>
  <si>
    <t>SHP-504277</t>
  </si>
  <si>
    <t>SHP-504278</t>
  </si>
  <si>
    <t>SHP-504279</t>
  </si>
  <si>
    <t>SHP-504280</t>
  </si>
  <si>
    <t>SHP-504281</t>
  </si>
  <si>
    <t>SHP-504282</t>
  </si>
  <si>
    <t>SHP-504283</t>
  </si>
  <si>
    <t>SHP-504284</t>
  </si>
  <si>
    <t>SHP-504285</t>
  </si>
  <si>
    <t>SHP-504286</t>
  </si>
  <si>
    <t>SHP-504287</t>
  </si>
  <si>
    <t>SHP-504288</t>
  </si>
  <si>
    <t>SHP-504289</t>
  </si>
  <si>
    <t>SHP-504290</t>
  </si>
  <si>
    <t>SHP-504291</t>
  </si>
  <si>
    <t>SHP-504292</t>
  </si>
  <si>
    <t>SHP-504293</t>
  </si>
  <si>
    <t>SHP-504294</t>
  </si>
  <si>
    <t>SHP-504295</t>
  </si>
  <si>
    <t>SHP-504296</t>
  </si>
  <si>
    <t>SHP-504297</t>
  </si>
  <si>
    <t>SHP-504298</t>
  </si>
  <si>
    <t>SHP-504299</t>
  </si>
  <si>
    <t>SHP-504300</t>
  </si>
  <si>
    <t>SHP-504301</t>
  </si>
  <si>
    <t>SHP-504302</t>
  </si>
  <si>
    <t>SHP-504303</t>
  </si>
  <si>
    <t>SHP-504304</t>
  </si>
  <si>
    <t>SHP-504305</t>
  </si>
  <si>
    <t>SHP-504306</t>
  </si>
  <si>
    <t>SHP-504307</t>
  </si>
  <si>
    <t>SHP-504308</t>
  </si>
  <si>
    <t>SHP-504309</t>
  </si>
  <si>
    <t>SHP-504310</t>
  </si>
  <si>
    <t>SHP-504311</t>
  </si>
  <si>
    <t>SHP-504312</t>
  </si>
  <si>
    <t>SHP-504313</t>
  </si>
  <si>
    <t>SHP-504314</t>
  </si>
  <si>
    <t>SHP-504315</t>
  </si>
  <si>
    <t>SHP-504316</t>
  </si>
  <si>
    <t>SHP-504317</t>
  </si>
  <si>
    <t>SHP-504318</t>
  </si>
  <si>
    <t>SHP-504319</t>
  </si>
  <si>
    <t>SHP-504320</t>
  </si>
  <si>
    <t>SHP-504321</t>
  </si>
  <si>
    <t>SHP-504322</t>
  </si>
  <si>
    <t>SHP-504323</t>
  </si>
  <si>
    <t>SHP-504324</t>
  </si>
  <si>
    <t>SHP-504325</t>
  </si>
  <si>
    <t>SHP-504326</t>
  </si>
  <si>
    <t>SHP-504327</t>
  </si>
  <si>
    <t>SHP-504328</t>
  </si>
  <si>
    <t>SHP-504329</t>
  </si>
  <si>
    <t>SHP-504330</t>
  </si>
  <si>
    <t>SHP-504331</t>
  </si>
  <si>
    <t>SHP-504332</t>
  </si>
  <si>
    <t>SHP-504333</t>
  </si>
  <si>
    <t>SHP-504334</t>
  </si>
  <si>
    <t>SHP-504335</t>
  </si>
  <si>
    <t>SHP-504336</t>
  </si>
  <si>
    <t>SHP-504337</t>
  </si>
  <si>
    <t>SHP-504338</t>
  </si>
  <si>
    <t>SHP-504339</t>
  </si>
  <si>
    <t>SHP-504340</t>
  </si>
  <si>
    <t>SHP-504341</t>
  </si>
  <si>
    <t>SHP-504342</t>
  </si>
  <si>
    <t>SHP-504343</t>
  </si>
  <si>
    <t>SHP-504344</t>
  </si>
  <si>
    <t>SHP-504345</t>
  </si>
  <si>
    <t>SHP-504346</t>
  </si>
  <si>
    <t>SHP-504347</t>
  </si>
  <si>
    <t>SHP-504348</t>
  </si>
  <si>
    <t>SHP-504349</t>
  </si>
  <si>
    <t>SHP-504350</t>
  </si>
  <si>
    <t>SHP-504351</t>
  </si>
  <si>
    <t>SHP-504352</t>
  </si>
  <si>
    <t>SHP-504353</t>
  </si>
  <si>
    <t>SHP-504354</t>
  </si>
  <si>
    <t>SHP-504355</t>
  </si>
  <si>
    <t>SHP-504356</t>
  </si>
  <si>
    <t>SHP-504357</t>
  </si>
  <si>
    <t>SHP-504358</t>
  </si>
  <si>
    <t>SHP-504359</t>
  </si>
  <si>
    <t>SHP-504360</t>
  </si>
  <si>
    <t>SHP-504361</t>
  </si>
  <si>
    <t>SHP-504362</t>
  </si>
  <si>
    <t>SHP-504363</t>
  </si>
  <si>
    <t>SHP-504364</t>
  </si>
  <si>
    <t>SHP-504365</t>
  </si>
  <si>
    <t>SHP-504366</t>
  </si>
  <si>
    <t>SHP-504367</t>
  </si>
  <si>
    <t>SHP-504368</t>
  </si>
  <si>
    <t>SHP-504369</t>
  </si>
  <si>
    <t>SHP-504370</t>
  </si>
  <si>
    <t>SHP-504371</t>
  </si>
  <si>
    <t>SHP-504372</t>
  </si>
  <si>
    <t>SHP-504373</t>
  </si>
  <si>
    <t>SHP-504374</t>
  </si>
  <si>
    <t>SHP-504375</t>
  </si>
  <si>
    <t>SHP-504376</t>
  </si>
  <si>
    <t>SHP-504377</t>
  </si>
  <si>
    <t>SHP-504378</t>
  </si>
  <si>
    <t>SHP-504379</t>
  </si>
  <si>
    <t>SHP-504380</t>
  </si>
  <si>
    <t>SHP-504381</t>
  </si>
  <si>
    <t>SHP-504382</t>
  </si>
  <si>
    <t>SHP-504383</t>
  </si>
  <si>
    <t>SHP-504384</t>
  </si>
  <si>
    <t>SHP-504385</t>
  </si>
  <si>
    <t>SHP-504386</t>
  </si>
  <si>
    <t>SHP-504387</t>
  </si>
  <si>
    <t>SHP-504388</t>
  </si>
  <si>
    <t>SHP-504389</t>
  </si>
  <si>
    <t>SHP-504390</t>
  </si>
  <si>
    <t>SHP-504391</t>
  </si>
  <si>
    <t>SHP-504392</t>
  </si>
  <si>
    <t>SHP-504393</t>
  </si>
  <si>
    <t>SHP-504394</t>
  </si>
  <si>
    <t>SHP-504395</t>
  </si>
  <si>
    <t>SHP-504396</t>
  </si>
  <si>
    <t>SHP-504397</t>
  </si>
  <si>
    <t>SHP-504398</t>
  </si>
  <si>
    <t>SHP-504399</t>
  </si>
  <si>
    <t>SHP-504400</t>
  </si>
  <si>
    <t>SHP-504401</t>
  </si>
  <si>
    <t>SHP-504402</t>
  </si>
  <si>
    <t>SHP-504403</t>
  </si>
  <si>
    <t>SHP-504404</t>
  </si>
  <si>
    <t>SHP-504405</t>
  </si>
  <si>
    <t>SHP-504406</t>
  </si>
  <si>
    <t>SHP-504407</t>
  </si>
  <si>
    <t>SHP-504408</t>
  </si>
  <si>
    <t>SHP-504409</t>
  </si>
  <si>
    <t>SHP-504410</t>
  </si>
  <si>
    <t>SHP-504411</t>
  </si>
  <si>
    <t>SHP-504412</t>
  </si>
  <si>
    <t>SHP-504413</t>
  </si>
  <si>
    <t>SHP-504414</t>
  </si>
  <si>
    <t>SHP-504415</t>
  </si>
  <si>
    <t>SHP-504416</t>
  </si>
  <si>
    <t>SHP-504417</t>
  </si>
  <si>
    <t>SHP-504418</t>
  </si>
  <si>
    <t>SHP-504419</t>
  </si>
  <si>
    <t>SHP-504420</t>
  </si>
  <si>
    <t>SHP-504421</t>
  </si>
  <si>
    <t>SHP-504422</t>
  </si>
  <si>
    <t>SHP-504423</t>
  </si>
  <si>
    <t>SHP-504424</t>
  </si>
  <si>
    <t>SHP-504425</t>
  </si>
  <si>
    <t>SHP-504426</t>
  </si>
  <si>
    <t>SHP-504427</t>
  </si>
  <si>
    <t>SHP-504428</t>
  </si>
  <si>
    <t>SHP-504429</t>
  </si>
  <si>
    <t>SHP-504430</t>
  </si>
  <si>
    <t>SHP-504431</t>
  </si>
  <si>
    <t>SHP-504432</t>
  </si>
  <si>
    <t>SHP-504433</t>
  </si>
  <si>
    <t>SHP-504434</t>
  </si>
  <si>
    <t>SHP-504435</t>
  </si>
  <si>
    <t>SHP-504436</t>
  </si>
  <si>
    <t>SHP-504437</t>
  </si>
  <si>
    <t>SHP-504438</t>
  </si>
  <si>
    <t>SHP-504439</t>
  </si>
  <si>
    <t>SHP-504440</t>
  </si>
  <si>
    <t>SHP-504441</t>
  </si>
  <si>
    <t>SHP-504442</t>
  </si>
  <si>
    <t>SHP-504443</t>
  </si>
  <si>
    <t>SHP-504444</t>
  </si>
  <si>
    <t>SHP-504445</t>
  </si>
  <si>
    <t>SHP-504446</t>
  </si>
  <si>
    <t>SHP-504447</t>
  </si>
  <si>
    <t>SHP-504448</t>
  </si>
  <si>
    <t>SHP-504449</t>
  </si>
  <si>
    <t>SHP-504450</t>
  </si>
  <si>
    <t>SHP-504451</t>
  </si>
  <si>
    <t>SHP-504452</t>
  </si>
  <si>
    <t>SHP-504453</t>
  </si>
  <si>
    <t>SHP-504454</t>
  </si>
  <si>
    <t>SHP-504455</t>
  </si>
  <si>
    <t>SHP-504456</t>
  </si>
  <si>
    <t>SHP-504457</t>
  </si>
  <si>
    <t>SHP-504458</t>
  </si>
  <si>
    <t>SHP-504459</t>
  </si>
  <si>
    <t>SHP-504460</t>
  </si>
  <si>
    <t>SHP-504461</t>
  </si>
  <si>
    <t>SHP-504462</t>
  </si>
  <si>
    <t>SHP-504463</t>
  </si>
  <si>
    <t>SHP-504464</t>
  </si>
  <si>
    <t>SHP-504465</t>
  </si>
  <si>
    <t>SHP-504466</t>
  </si>
  <si>
    <t>SHP-504467</t>
  </si>
  <si>
    <t>SHP-504468</t>
  </si>
  <si>
    <t>SHP-504469</t>
  </si>
  <si>
    <t>SHP-504470</t>
  </si>
  <si>
    <t>SHP-504471</t>
  </si>
  <si>
    <t>SHP-504472</t>
  </si>
  <si>
    <t>SHP-504473</t>
  </si>
  <si>
    <t>SHP-504474</t>
  </si>
  <si>
    <t>SHP-504475</t>
  </si>
  <si>
    <t>SHP-504476</t>
  </si>
  <si>
    <t>SHP-504477</t>
  </si>
  <si>
    <t>SHP-504478</t>
  </si>
  <si>
    <t>SHP-504479</t>
  </si>
  <si>
    <t>SHP-504480</t>
  </si>
  <si>
    <t>SHP-504481</t>
  </si>
  <si>
    <t>SHP-504482</t>
  </si>
  <si>
    <t>SHP-504483</t>
  </si>
  <si>
    <t>SHP-504484</t>
  </si>
  <si>
    <t>SHP-504485</t>
  </si>
  <si>
    <t>SHP-504486</t>
  </si>
  <si>
    <t>SHP-504487</t>
  </si>
  <si>
    <t>SHP-504488</t>
  </si>
  <si>
    <t>SHP-504489</t>
  </si>
  <si>
    <t>SHP-504490</t>
  </si>
  <si>
    <t>SHP-504491</t>
  </si>
  <si>
    <t>SHP-504492</t>
  </si>
  <si>
    <t>SHP-504493</t>
  </si>
  <si>
    <t>SHP-504494</t>
  </si>
  <si>
    <t>SHP-504495</t>
  </si>
  <si>
    <t>SHP-504496</t>
  </si>
  <si>
    <t>SHP-504497</t>
  </si>
  <si>
    <t>SHP-504498</t>
  </si>
  <si>
    <t>SHP-504499</t>
  </si>
  <si>
    <t>SHP-504500</t>
  </si>
  <si>
    <t>SHP-504501</t>
  </si>
  <si>
    <t>SHP-504502</t>
  </si>
  <si>
    <t>SHP-504503</t>
  </si>
  <si>
    <t>SHP-504504</t>
  </si>
  <si>
    <t>SHP-504505</t>
  </si>
  <si>
    <t>SHP-504506</t>
  </si>
  <si>
    <t>SHP-504507</t>
  </si>
  <si>
    <t>SHP-504508</t>
  </si>
  <si>
    <t>SHP-504509</t>
  </si>
  <si>
    <t>SHP-504510</t>
  </si>
  <si>
    <t>SHP-504511</t>
  </si>
  <si>
    <t>SHP-504512</t>
  </si>
  <si>
    <t>SHP-504513</t>
  </si>
  <si>
    <t>SHP-504514</t>
  </si>
  <si>
    <t>SHP-504515</t>
  </si>
  <si>
    <t>SHP-504516</t>
  </si>
  <si>
    <t>SHP-504517</t>
  </si>
  <si>
    <t>SHP-504518</t>
  </si>
  <si>
    <t>SHP-504519</t>
  </si>
  <si>
    <t>SHP-504520</t>
  </si>
  <si>
    <t>SHP-504521</t>
  </si>
  <si>
    <t>SHP-504522</t>
  </si>
  <si>
    <t>SHP-504523</t>
  </si>
  <si>
    <t>SHP-504524</t>
  </si>
  <si>
    <t>SHP-504525</t>
  </si>
  <si>
    <t>SHP-504526</t>
  </si>
  <si>
    <t>SHP-504527</t>
  </si>
  <si>
    <t>SHP-504528</t>
  </si>
  <si>
    <t>SHP-504529</t>
  </si>
  <si>
    <t>SHP-504530</t>
  </si>
  <si>
    <t>SHP-504531</t>
  </si>
  <si>
    <t>SHP-504532</t>
  </si>
  <si>
    <t>SHP-504533</t>
  </si>
  <si>
    <t>SHP-504534</t>
  </si>
  <si>
    <t>SHP-504535</t>
  </si>
  <si>
    <t>SHP-504536</t>
  </si>
  <si>
    <t>SHP-504537</t>
  </si>
  <si>
    <t>SHP-504538</t>
  </si>
  <si>
    <t>SHP-504539</t>
  </si>
  <si>
    <t>SHP-504540</t>
  </si>
  <si>
    <t>SHP-504541</t>
  </si>
  <si>
    <t>SHP-504542</t>
  </si>
  <si>
    <t>SHP-504543</t>
  </si>
  <si>
    <t>SHP-504544</t>
  </si>
  <si>
    <t>SHP-504545</t>
  </si>
  <si>
    <t>SHP-504546</t>
  </si>
  <si>
    <t>SHP-504547</t>
  </si>
  <si>
    <t>SHP-504548</t>
  </si>
  <si>
    <t>SHP-504549</t>
  </si>
  <si>
    <t>SHP-504550</t>
  </si>
  <si>
    <t>SHP-504551</t>
  </si>
  <si>
    <t>SHP-504552</t>
  </si>
  <si>
    <t>SHP-504553</t>
  </si>
  <si>
    <t>SHP-504554</t>
  </si>
  <si>
    <t>SHP-504555</t>
  </si>
  <si>
    <t>SHP-504556</t>
  </si>
  <si>
    <t>SHP-504557</t>
  </si>
  <si>
    <t>SHP-504558</t>
  </si>
  <si>
    <t>SHP-504559</t>
  </si>
  <si>
    <t>SHP-504560</t>
  </si>
  <si>
    <t>SHP-504561</t>
  </si>
  <si>
    <t>SHP-504562</t>
  </si>
  <si>
    <t>SHP-504563</t>
  </si>
  <si>
    <t>SHP-504564</t>
  </si>
  <si>
    <t>SHP-504565</t>
  </si>
  <si>
    <t>SHP-504566</t>
  </si>
  <si>
    <t>SHP-504567</t>
  </si>
  <si>
    <t>SHP-504568</t>
  </si>
  <si>
    <t>SHP-504569</t>
  </si>
  <si>
    <t>SHP-504570</t>
  </si>
  <si>
    <t>SHP-504571</t>
  </si>
  <si>
    <t>SHP-504572</t>
  </si>
  <si>
    <t>SHP-504573</t>
  </si>
  <si>
    <t>SHP-504574</t>
  </si>
  <si>
    <t>SHP-504575</t>
  </si>
  <si>
    <t>SHP-504576</t>
  </si>
  <si>
    <t>SHP-504577</t>
  </si>
  <si>
    <t>SHP-504578</t>
  </si>
  <si>
    <t>SHP-504579</t>
  </si>
  <si>
    <t>SHP-504580</t>
  </si>
  <si>
    <t>SHP-504581</t>
  </si>
  <si>
    <t>SHP-504582</t>
  </si>
  <si>
    <t>SHP-504583</t>
  </si>
  <si>
    <t>SHP-504584</t>
  </si>
  <si>
    <t>SHP-504585</t>
  </si>
  <si>
    <t>SHP-504586</t>
  </si>
  <si>
    <t>SHP-504587</t>
  </si>
  <si>
    <t>SHP-504588</t>
  </si>
  <si>
    <t>SHP-504589</t>
  </si>
  <si>
    <t>SHP-504590</t>
  </si>
  <si>
    <t>SHP-504591</t>
  </si>
  <si>
    <t>SHP-504592</t>
  </si>
  <si>
    <t>SHP-504593</t>
  </si>
  <si>
    <t>SHP-504594</t>
  </si>
  <si>
    <t>SHP-504595</t>
  </si>
  <si>
    <t>SHP-504596</t>
  </si>
  <si>
    <t>SHP-504597</t>
  </si>
  <si>
    <t>SHP-504598</t>
  </si>
  <si>
    <t>SHP-504599</t>
  </si>
  <si>
    <t>SHP-504600</t>
  </si>
  <si>
    <t>SHP-504601</t>
  </si>
  <si>
    <t>SHP-504602</t>
  </si>
  <si>
    <t>SHP-504603</t>
  </si>
  <si>
    <t>SHP-504604</t>
  </si>
  <si>
    <t>SHP-504605</t>
  </si>
  <si>
    <t>SHP-504606</t>
  </si>
  <si>
    <t>SHP-504607</t>
  </si>
  <si>
    <t>SHP-504608</t>
  </si>
  <si>
    <t>SHP-504609</t>
  </si>
  <si>
    <t>SHP-504610</t>
  </si>
  <si>
    <t>SHP-504611</t>
  </si>
  <si>
    <t>SHP-504612</t>
  </si>
  <si>
    <t>SHP-504613</t>
  </si>
  <si>
    <t>SHP-504614</t>
  </si>
  <si>
    <t>SHP-504615</t>
  </si>
  <si>
    <t>SHP-504616</t>
  </si>
  <si>
    <t>SHP-504617</t>
  </si>
  <si>
    <t>SHP-504618</t>
  </si>
  <si>
    <t>SHP-504619</t>
  </si>
  <si>
    <t>SHP-504620</t>
  </si>
  <si>
    <t>SHP-504621</t>
  </si>
  <si>
    <t>SHP-504622</t>
  </si>
  <si>
    <t>SHP-504623</t>
  </si>
  <si>
    <t>SHP-504624</t>
  </si>
  <si>
    <t>SHP-504625</t>
  </si>
  <si>
    <t>SHP-504626</t>
  </si>
  <si>
    <t>SHP-504627</t>
  </si>
  <si>
    <t>SHP-504628</t>
  </si>
  <si>
    <t>SHP-504629</t>
  </si>
  <si>
    <t>SHP-504630</t>
  </si>
  <si>
    <t>SHP-504631</t>
  </si>
  <si>
    <t>SHP-504632</t>
  </si>
  <si>
    <t>SHP-504633</t>
  </si>
  <si>
    <t>SHP-504634</t>
  </si>
  <si>
    <t>SHP-504635</t>
  </si>
  <si>
    <t>SHP-504636</t>
  </si>
  <si>
    <t>SHP-504637</t>
  </si>
  <si>
    <t>SHP-504638</t>
  </si>
  <si>
    <t>SHP-504639</t>
  </si>
  <si>
    <t>SHP-504640</t>
  </si>
  <si>
    <t>SHP-504641</t>
  </si>
  <si>
    <t>SHP-504642</t>
  </si>
  <si>
    <t>SHP-504643</t>
  </si>
  <si>
    <t>SHP-504644</t>
  </si>
  <si>
    <t>SHP-504645</t>
  </si>
  <si>
    <t>SHP-504646</t>
  </si>
  <si>
    <t>SHP-504647</t>
  </si>
  <si>
    <t>SHP-504648</t>
  </si>
  <si>
    <t>SHP-504649</t>
  </si>
  <si>
    <t>SHP-504650</t>
  </si>
  <si>
    <t>SHP-504651</t>
  </si>
  <si>
    <t>SHP-504652</t>
  </si>
  <si>
    <t>SHP-504653</t>
  </si>
  <si>
    <t>SHP-504654</t>
  </si>
  <si>
    <t>SHP-504655</t>
  </si>
  <si>
    <t>SHP-504656</t>
  </si>
  <si>
    <t>SHP-504657</t>
  </si>
  <si>
    <t>SHP-504658</t>
  </si>
  <si>
    <t>SHP-504659</t>
  </si>
  <si>
    <t>SHP-504660</t>
  </si>
  <si>
    <t>SHP-504661</t>
  </si>
  <si>
    <t>SHP-504662</t>
  </si>
  <si>
    <t>SHP-504663</t>
  </si>
  <si>
    <t>SHP-504664</t>
  </si>
  <si>
    <t>SHP-504665</t>
  </si>
  <si>
    <t>SHP-504666</t>
  </si>
  <si>
    <t>SHP-504667</t>
  </si>
  <si>
    <t>SHP-504668</t>
  </si>
  <si>
    <t>SHP-504669</t>
  </si>
  <si>
    <t>SHP-504670</t>
  </si>
  <si>
    <t>SHP-504671</t>
  </si>
  <si>
    <t>SHP-504672</t>
  </si>
  <si>
    <t>SHP-504673</t>
  </si>
  <si>
    <t>SHP-504674</t>
  </si>
  <si>
    <t>SHP-504675</t>
  </si>
  <si>
    <t>SHP-504676</t>
  </si>
  <si>
    <t>SHP-504677</t>
  </si>
  <si>
    <t>SHP-504678</t>
  </si>
  <si>
    <t>SHP-504679</t>
  </si>
  <si>
    <t>SHP-504680</t>
  </si>
  <si>
    <t>SHP-504681</t>
  </si>
  <si>
    <t>SHP-504682</t>
  </si>
  <si>
    <t>SHP-504683</t>
  </si>
  <si>
    <t>SHP-504684</t>
  </si>
  <si>
    <t>SHP-504685</t>
  </si>
  <si>
    <t>SHP-504686</t>
  </si>
  <si>
    <t>SHP-504687</t>
  </si>
  <si>
    <t>SHP-504688</t>
  </si>
  <si>
    <t>SHP-504689</t>
  </si>
  <si>
    <t>SHP-504690</t>
  </si>
  <si>
    <t>SHP-504691</t>
  </si>
  <si>
    <t>SHP-504692</t>
  </si>
  <si>
    <t>SHP-504693</t>
  </si>
  <si>
    <t>SHP-504694</t>
  </si>
  <si>
    <t>SHP-504695</t>
  </si>
  <si>
    <t>SHP-504696</t>
  </si>
  <si>
    <t>SHP-504697</t>
  </si>
  <si>
    <t>SHP-504698</t>
  </si>
  <si>
    <t>SHP-504699</t>
  </si>
  <si>
    <t>SHP-504700</t>
  </si>
  <si>
    <t>SHP-504701</t>
  </si>
  <si>
    <t>SHP-504702</t>
  </si>
  <si>
    <t>SHP-504703</t>
  </si>
  <si>
    <t>SHP-504704</t>
  </si>
  <si>
    <t>SHP-504705</t>
  </si>
  <si>
    <t>SHP-504706</t>
  </si>
  <si>
    <t>SHP-504707</t>
  </si>
  <si>
    <t>SHP-504708</t>
  </si>
  <si>
    <t>SHP-504709</t>
  </si>
  <si>
    <t>SHP-504710</t>
  </si>
  <si>
    <t>SHP-504711</t>
  </si>
  <si>
    <t>SHP-504712</t>
  </si>
  <si>
    <t>SHP-504713</t>
  </si>
  <si>
    <t>SHP-504714</t>
  </si>
  <si>
    <t>SHP-504715</t>
  </si>
  <si>
    <t>SHP-504716</t>
  </si>
  <si>
    <t>SHP-504717</t>
  </si>
  <si>
    <t>SHP-504718</t>
  </si>
  <si>
    <t>SHP-504719</t>
  </si>
  <si>
    <t>SHP-504720</t>
  </si>
  <si>
    <t>SHP-504721</t>
  </si>
  <si>
    <t>SHP-504722</t>
  </si>
  <si>
    <t>SHP-504723</t>
  </si>
  <si>
    <t>SHP-504724</t>
  </si>
  <si>
    <t>SHP-504725</t>
  </si>
  <si>
    <t>SHP-504726</t>
  </si>
  <si>
    <t>SHP-504727</t>
  </si>
  <si>
    <t>SHP-504728</t>
  </si>
  <si>
    <t>SHP-504729</t>
  </si>
  <si>
    <t>SHP-504730</t>
  </si>
  <si>
    <t>SHP-504731</t>
  </si>
  <si>
    <t>SHP-504732</t>
  </si>
  <si>
    <t>SHP-504733</t>
  </si>
  <si>
    <t>SHP-504734</t>
  </si>
  <si>
    <t>SHP-504735</t>
  </si>
  <si>
    <t>SHP-504736</t>
  </si>
  <si>
    <t>SHP-504737</t>
  </si>
  <si>
    <t>SHP-504738</t>
  </si>
  <si>
    <t>SHP-504739</t>
  </si>
  <si>
    <t>SHP-504740</t>
  </si>
  <si>
    <t>SHP-504741</t>
  </si>
  <si>
    <t>SHP-504742</t>
  </si>
  <si>
    <t>SHP-504743</t>
  </si>
  <si>
    <t>SHP-504744</t>
  </si>
  <si>
    <t>SHP-504745</t>
  </si>
  <si>
    <t>SHP-504746</t>
  </si>
  <si>
    <t>SHP-504747</t>
  </si>
  <si>
    <t>SHP-504748</t>
  </si>
  <si>
    <t>SHP-504749</t>
  </si>
  <si>
    <t>SHP-504750</t>
  </si>
  <si>
    <t>SHP-504751</t>
  </si>
  <si>
    <t>SHP-504752</t>
  </si>
  <si>
    <t>SHP-504753</t>
  </si>
  <si>
    <t>SHP-504754</t>
  </si>
  <si>
    <t>SHP-504755</t>
  </si>
  <si>
    <t>SHP-504756</t>
  </si>
  <si>
    <t>SHP-504757</t>
  </si>
  <si>
    <t>SHP-504758</t>
  </si>
  <si>
    <t>SHP-504759</t>
  </si>
  <si>
    <t>SHP-504760</t>
  </si>
  <si>
    <t>SHP-504761</t>
  </si>
  <si>
    <t>SHP-504762</t>
  </si>
  <si>
    <t>SHP-504763</t>
  </si>
  <si>
    <t>SHP-504764</t>
  </si>
  <si>
    <t>SHP-504765</t>
  </si>
  <si>
    <t>SHP-504766</t>
  </si>
  <si>
    <t>SHP-504767</t>
  </si>
  <si>
    <t>SHP-504768</t>
  </si>
  <si>
    <t>SHP-504769</t>
  </si>
  <si>
    <t>SHP-504770</t>
  </si>
  <si>
    <t>SHP-504771</t>
  </si>
  <si>
    <t>SHP-504772</t>
  </si>
  <si>
    <t>SHP-504773</t>
  </si>
  <si>
    <t>SHP-504774</t>
  </si>
  <si>
    <t>SHP-504775</t>
  </si>
  <si>
    <t>SHP-504776</t>
  </si>
  <si>
    <t>SHP-504777</t>
  </si>
  <si>
    <t>SHP-504778</t>
  </si>
  <si>
    <t>SHP-504779</t>
  </si>
  <si>
    <t>SHP-504780</t>
  </si>
  <si>
    <t>SHP-504781</t>
  </si>
  <si>
    <t>SHP-504782</t>
  </si>
  <si>
    <t>SHP-504783</t>
  </si>
  <si>
    <t>SHP-504784</t>
  </si>
  <si>
    <t>SHP-504785</t>
  </si>
  <si>
    <t>SHP-504786</t>
  </si>
  <si>
    <t>SHP-504787</t>
  </si>
  <si>
    <t>SHP-504788</t>
  </si>
  <si>
    <t>SHP-504789</t>
  </si>
  <si>
    <t>SHP-504790</t>
  </si>
  <si>
    <t>SHP-504791</t>
  </si>
  <si>
    <t>SHP-504792</t>
  </si>
  <si>
    <t>SHP-504793</t>
  </si>
  <si>
    <t>SHP-504794</t>
  </si>
  <si>
    <t>SHP-504795</t>
  </si>
  <si>
    <t>SHP-504796</t>
  </si>
  <si>
    <t>SHP-504797</t>
  </si>
  <si>
    <t>SHP-504798</t>
  </si>
  <si>
    <t>SHP-504799</t>
  </si>
  <si>
    <t>SHP-504800</t>
  </si>
  <si>
    <t>SHP-504801</t>
  </si>
  <si>
    <t>SHP-504802</t>
  </si>
  <si>
    <t>SHP-504803</t>
  </si>
  <si>
    <t>SHP-504804</t>
  </si>
  <si>
    <t>SHP-504805</t>
  </si>
  <si>
    <t>SHP-504806</t>
  </si>
  <si>
    <t>SHP-504807</t>
  </si>
  <si>
    <t>SHP-504808</t>
  </si>
  <si>
    <t>SHP-504809</t>
  </si>
  <si>
    <t>SHP-504810</t>
  </si>
  <si>
    <t>SHP-504811</t>
  </si>
  <si>
    <t>SHP-504812</t>
  </si>
  <si>
    <t>SHP-504813</t>
  </si>
  <si>
    <t>SHP-504814</t>
  </si>
  <si>
    <t>SHP-504815</t>
  </si>
  <si>
    <t>SHP-504816</t>
  </si>
  <si>
    <t>SHP-504817</t>
  </si>
  <si>
    <t>SHP-504818</t>
  </si>
  <si>
    <t>SHP-504819</t>
  </si>
  <si>
    <t>SHP-504820</t>
  </si>
  <si>
    <t>SHP-504821</t>
  </si>
  <si>
    <t>SHP-504822</t>
  </si>
  <si>
    <t>SHP-504823</t>
  </si>
  <si>
    <t>SHP-504824</t>
  </si>
  <si>
    <t>SHP-504825</t>
  </si>
  <si>
    <t>SHP-504826</t>
  </si>
  <si>
    <t>SHP-504827</t>
  </si>
  <si>
    <t>SHP-504828</t>
  </si>
  <si>
    <t>SHP-504829</t>
  </si>
  <si>
    <t>SHP-504830</t>
  </si>
  <si>
    <t>SHP-504831</t>
  </si>
  <si>
    <t>SHP-504832</t>
  </si>
  <si>
    <t>SHP-504833</t>
  </si>
  <si>
    <t>SHP-504834</t>
  </si>
  <si>
    <t>SHP-504835</t>
  </si>
  <si>
    <t>SHP-504836</t>
  </si>
  <si>
    <t>SHP-504837</t>
  </si>
  <si>
    <t>SHP-504838</t>
  </si>
  <si>
    <t>SHP-504839</t>
  </si>
  <si>
    <t>SHP-504840</t>
  </si>
  <si>
    <t>SHP-504841</t>
  </si>
  <si>
    <t>SHP-504842</t>
  </si>
  <si>
    <t>SHP-504843</t>
  </si>
  <si>
    <t>SHP-504844</t>
  </si>
  <si>
    <t>SHP-504845</t>
  </si>
  <si>
    <t>SHP-504846</t>
  </si>
  <si>
    <t>SHP-504847</t>
  </si>
  <si>
    <t>SHP-504848</t>
  </si>
  <si>
    <t>SHP-504849</t>
  </si>
  <si>
    <t>SHP-504850</t>
  </si>
  <si>
    <t>SHP-504851</t>
  </si>
  <si>
    <t>SHP-504852</t>
  </si>
  <si>
    <t>SHP-504853</t>
  </si>
  <si>
    <t>SHP-504854</t>
  </si>
  <si>
    <t>SHP-504855</t>
  </si>
  <si>
    <t>SHP-504856</t>
  </si>
  <si>
    <t>SHP-504857</t>
  </si>
  <si>
    <t>SHP-504858</t>
  </si>
  <si>
    <t>SHP-504859</t>
  </si>
  <si>
    <t>SHP-504860</t>
  </si>
  <si>
    <t>SHP-504861</t>
  </si>
  <si>
    <t>SHP-504862</t>
  </si>
  <si>
    <t>SHP-504863</t>
  </si>
  <si>
    <t>SHP-504864</t>
  </si>
  <si>
    <t>SHP-504865</t>
  </si>
  <si>
    <t>SHP-504866</t>
  </si>
  <si>
    <t>SHP-504867</t>
  </si>
  <si>
    <t>SHP-504868</t>
  </si>
  <si>
    <t>SHP-504869</t>
  </si>
  <si>
    <t>SHP-504870</t>
  </si>
  <si>
    <t>SHP-504871</t>
  </si>
  <si>
    <t>SHP-504872</t>
  </si>
  <si>
    <t>SHP-504873</t>
  </si>
  <si>
    <t>SHP-504874</t>
  </si>
  <si>
    <t>SHP-504875</t>
  </si>
  <si>
    <t>SHP-504876</t>
  </si>
  <si>
    <t>SHP-504877</t>
  </si>
  <si>
    <t>SHP-504878</t>
  </si>
  <si>
    <t>SHP-504879</t>
  </si>
  <si>
    <t>SHP-504880</t>
  </si>
  <si>
    <t>SHP-504881</t>
  </si>
  <si>
    <t>SHP-504882</t>
  </si>
  <si>
    <t>SHP-504883</t>
  </si>
  <si>
    <t>SHP-504884</t>
  </si>
  <si>
    <t>SHP-504885</t>
  </si>
  <si>
    <t>SHP-504886</t>
  </si>
  <si>
    <t>SHP-504887</t>
  </si>
  <si>
    <t>SHP-504888</t>
  </si>
  <si>
    <t>SHP-504889</t>
  </si>
  <si>
    <t>SHP-504890</t>
  </si>
  <si>
    <t>SHP-504891</t>
  </si>
  <si>
    <t>SHP-504892</t>
  </si>
  <si>
    <t>SHP-504893</t>
  </si>
  <si>
    <t>SHP-504894</t>
  </si>
  <si>
    <t>SHP-504895</t>
  </si>
  <si>
    <t>SHP-504896</t>
  </si>
  <si>
    <t>SHP-504897</t>
  </si>
  <si>
    <t>SHP-504898</t>
  </si>
  <si>
    <t>SHP-504899</t>
  </si>
  <si>
    <t>SHP-504900</t>
  </si>
  <si>
    <t>SHP-504901</t>
  </si>
  <si>
    <t>SHP-504902</t>
  </si>
  <si>
    <t>SHP-504903</t>
  </si>
  <si>
    <t>SHP-504904</t>
  </si>
  <si>
    <t>SHP-504905</t>
  </si>
  <si>
    <t>SHP-504906</t>
  </si>
  <si>
    <t>SHP-504907</t>
  </si>
  <si>
    <t>SHP-504908</t>
  </si>
  <si>
    <t>SHP-504909</t>
  </si>
  <si>
    <t>SHP-504910</t>
  </si>
  <si>
    <t>SHP-504911</t>
  </si>
  <si>
    <t>SHP-504912</t>
  </si>
  <si>
    <t>SHP-504913</t>
  </si>
  <si>
    <t>SHP-504914</t>
  </si>
  <si>
    <t>SHP-504915</t>
  </si>
  <si>
    <t>SHP-504916</t>
  </si>
  <si>
    <t>SHP-504917</t>
  </si>
  <si>
    <t>SHP-504918</t>
  </si>
  <si>
    <t>SHP-504919</t>
  </si>
  <si>
    <t>SHP-504920</t>
  </si>
  <si>
    <t>SHP-504921</t>
  </si>
  <si>
    <t>SHP-504922</t>
  </si>
  <si>
    <t>SHP-504923</t>
  </si>
  <si>
    <t>SHP-504924</t>
  </si>
  <si>
    <t>SHP-504925</t>
  </si>
  <si>
    <t>SHP-504926</t>
  </si>
  <si>
    <t>SHP-504927</t>
  </si>
  <si>
    <t>SHP-504928</t>
  </si>
  <si>
    <t>SHP-504929</t>
  </si>
  <si>
    <t>SHP-504930</t>
  </si>
  <si>
    <t>SHP-504931</t>
  </si>
  <si>
    <t>SHP-504932</t>
  </si>
  <si>
    <t>SHP-504933</t>
  </si>
  <si>
    <t>SHP-504934</t>
  </si>
  <si>
    <t>SHP-504935</t>
  </si>
  <si>
    <t>SHP-504936</t>
  </si>
  <si>
    <t>SHP-504937</t>
  </si>
  <si>
    <t>SHP-504938</t>
  </si>
  <si>
    <t>SHP-504939</t>
  </si>
  <si>
    <t>SHP-504940</t>
  </si>
  <si>
    <t>SHP-504941</t>
  </si>
  <si>
    <t>SHP-504942</t>
  </si>
  <si>
    <t>SHP-504943</t>
  </si>
  <si>
    <t>SHP-504944</t>
  </si>
  <si>
    <t>SHP-504945</t>
  </si>
  <si>
    <t>SHP-504946</t>
  </si>
  <si>
    <t>SHP-504947</t>
  </si>
  <si>
    <t>SHP-504948</t>
  </si>
  <si>
    <t>SHP-504949</t>
  </si>
  <si>
    <t>SHP-504950</t>
  </si>
  <si>
    <t>SHP-504951</t>
  </si>
  <si>
    <t>SHP-504952</t>
  </si>
  <si>
    <t>SHP-504953</t>
  </si>
  <si>
    <t>SHP-504954</t>
  </si>
  <si>
    <t>SHP-504955</t>
  </si>
  <si>
    <t>SHP-504956</t>
  </si>
  <si>
    <t>SHP-504957</t>
  </si>
  <si>
    <t>SHP-504958</t>
  </si>
  <si>
    <t>SHP-504959</t>
  </si>
  <si>
    <t>SHP-504960</t>
  </si>
  <si>
    <t>SHP-504961</t>
  </si>
  <si>
    <t>SHP-504962</t>
  </si>
  <si>
    <t>SHP-504963</t>
  </si>
  <si>
    <t>SHP-504964</t>
  </si>
  <si>
    <t>SHP-504965</t>
  </si>
  <si>
    <t>SHP-504966</t>
  </si>
  <si>
    <t>SHP-504967</t>
  </si>
  <si>
    <t>SHP-504968</t>
  </si>
  <si>
    <t>SHP-504969</t>
  </si>
  <si>
    <t>SHP-504970</t>
  </si>
  <si>
    <t>SHP-504971</t>
  </si>
  <si>
    <t>SHP-504972</t>
  </si>
  <si>
    <t>SHP-504973</t>
  </si>
  <si>
    <t>SHP-504974</t>
  </si>
  <si>
    <t>SHP-504975</t>
  </si>
  <si>
    <t>SHP-504976</t>
  </si>
  <si>
    <t>SHP-504977</t>
  </si>
  <si>
    <t>SHP-504978</t>
  </si>
  <si>
    <t>SHP-504979</t>
  </si>
  <si>
    <t>SHP-504980</t>
  </si>
  <si>
    <t>SHP-504981</t>
  </si>
  <si>
    <t>SHP-504982</t>
  </si>
  <si>
    <t>SHP-504983</t>
  </si>
  <si>
    <t>SHP-504984</t>
  </si>
  <si>
    <t>SHP-504985</t>
  </si>
  <si>
    <t>SHP-504986</t>
  </si>
  <si>
    <t>SHP-504987</t>
  </si>
  <si>
    <t>SHP-504988</t>
  </si>
  <si>
    <t>SHP-504989</t>
  </si>
  <si>
    <t>SHP-504990</t>
  </si>
  <si>
    <t>SHP-504991</t>
  </si>
  <si>
    <t>SHP-504992</t>
  </si>
  <si>
    <t>SHP-504993</t>
  </si>
  <si>
    <t>SHP-504994</t>
  </si>
  <si>
    <t>SHP-504995</t>
  </si>
  <si>
    <t>SHP-504996</t>
  </si>
  <si>
    <t>SHP-504997</t>
  </si>
  <si>
    <t>SHP-504998</t>
  </si>
  <si>
    <t>SHP-504999</t>
  </si>
  <si>
    <t>SHP-505000</t>
  </si>
  <si>
    <t>SHP-505001</t>
  </si>
  <si>
    <t>SHP-505002</t>
  </si>
  <si>
    <t>SHP-505003</t>
  </si>
  <si>
    <t>SHP-505004</t>
  </si>
  <si>
    <t>SHP-505005</t>
  </si>
  <si>
    <t>SHP-505006</t>
  </si>
  <si>
    <t>SHP-505007</t>
  </si>
  <si>
    <t>SHP-505008</t>
  </si>
  <si>
    <t>SHP-505009</t>
  </si>
  <si>
    <t>SHP-505010</t>
  </si>
  <si>
    <t>SHP-505011</t>
  </si>
  <si>
    <t>SHP-505012</t>
  </si>
  <si>
    <t>SHP-505013</t>
  </si>
  <si>
    <t>SHP-505014</t>
  </si>
  <si>
    <t>SHP-505015</t>
  </si>
  <si>
    <t>SHP-505016</t>
  </si>
  <si>
    <t>SHP-505017</t>
  </si>
  <si>
    <t>SHP-505018</t>
  </si>
  <si>
    <t>SHP-505019</t>
  </si>
  <si>
    <t>SHP-505020</t>
  </si>
  <si>
    <t>SHP-505021</t>
  </si>
  <si>
    <t>SHP-505022</t>
  </si>
  <si>
    <t>SHP-505023</t>
  </si>
  <si>
    <t>SHP-505024</t>
  </si>
  <si>
    <t>SHP-505025</t>
  </si>
  <si>
    <t>SHP-505026</t>
  </si>
  <si>
    <t>SHP-505027</t>
  </si>
  <si>
    <t>SHP-505028</t>
  </si>
  <si>
    <t>SHP-505029</t>
  </si>
  <si>
    <t>SHP-505030</t>
  </si>
  <si>
    <t>SHP-505031</t>
  </si>
  <si>
    <t>SHP-505032</t>
  </si>
  <si>
    <t>SHP-505033</t>
  </si>
  <si>
    <t>SHP-505034</t>
  </si>
  <si>
    <t>SHP-505035</t>
  </si>
  <si>
    <t>SHP-505036</t>
  </si>
  <si>
    <t>SHP-505037</t>
  </si>
  <si>
    <t>SHP-505038</t>
  </si>
  <si>
    <t>SHP-505039</t>
  </si>
  <si>
    <t>SHP-505040</t>
  </si>
  <si>
    <t>SHP-505041</t>
  </si>
  <si>
    <t>SHP-505042</t>
  </si>
  <si>
    <t>SHP-505043</t>
  </si>
  <si>
    <t>SHP-505044</t>
  </si>
  <si>
    <t>SHP-505045</t>
  </si>
  <si>
    <t>SHP-505046</t>
  </si>
  <si>
    <t>SHP-505047</t>
  </si>
  <si>
    <t>SHP-505048</t>
  </si>
  <si>
    <t>SHP-505049</t>
  </si>
  <si>
    <t>SHP-505050</t>
  </si>
  <si>
    <t>SHP-505051</t>
  </si>
  <si>
    <t>SHP-505052</t>
  </si>
  <si>
    <t>SHP-505053</t>
  </si>
  <si>
    <t>SHP-505054</t>
  </si>
  <si>
    <t>SHP-505055</t>
  </si>
  <si>
    <t>SHP-505056</t>
  </si>
  <si>
    <t>SHP-505057</t>
  </si>
  <si>
    <t>SHP-505058</t>
  </si>
  <si>
    <t>SHP-505059</t>
  </si>
  <si>
    <t>SHP-505060</t>
  </si>
  <si>
    <t>SHP-505061</t>
  </si>
  <si>
    <t>SHP-505062</t>
  </si>
  <si>
    <t>SHP-505063</t>
  </si>
  <si>
    <t>SHP-505064</t>
  </si>
  <si>
    <t>SHP-505065</t>
  </si>
  <si>
    <t>SHP-505066</t>
  </si>
  <si>
    <t>SHP-505067</t>
  </si>
  <si>
    <t>SHP-505068</t>
  </si>
  <si>
    <t>SHP-505069</t>
  </si>
  <si>
    <t>SHP-505070</t>
  </si>
  <si>
    <t>SHP-505071</t>
  </si>
  <si>
    <t>SHP-505072</t>
  </si>
  <si>
    <t>SHP-505073</t>
  </si>
  <si>
    <t>SHP-505074</t>
  </si>
  <si>
    <t>SHP-505075</t>
  </si>
  <si>
    <t>SHP-505076</t>
  </si>
  <si>
    <t>SHP-505077</t>
  </si>
  <si>
    <t>SHP-505078</t>
  </si>
  <si>
    <t>SHP-505079</t>
  </si>
  <si>
    <t>SHP-505080</t>
  </si>
  <si>
    <t>SHP-505081</t>
  </si>
  <si>
    <t>SHP-505082</t>
  </si>
  <si>
    <t>SHP-505083</t>
  </si>
  <si>
    <t>SHP-505084</t>
  </si>
  <si>
    <t>SHP-505085</t>
  </si>
  <si>
    <t>SHP-505086</t>
  </si>
  <si>
    <t>SHP-505087</t>
  </si>
  <si>
    <t>SHP-505088</t>
  </si>
  <si>
    <t>SHP-505089</t>
  </si>
  <si>
    <t>SHP-505090</t>
  </si>
  <si>
    <t>SHP-505091</t>
  </si>
  <si>
    <t>SHP-505092</t>
  </si>
  <si>
    <t>SHP-505093</t>
  </si>
  <si>
    <t>SHP-505094</t>
  </si>
  <si>
    <t>SHP-505095</t>
  </si>
  <si>
    <t>SHP-505096</t>
  </si>
  <si>
    <t>SHP-505097</t>
  </si>
  <si>
    <t>SHP-505098</t>
  </si>
  <si>
    <t>SHP-505099</t>
  </si>
  <si>
    <t>SHP-505100</t>
  </si>
  <si>
    <t>SHP-505101</t>
  </si>
  <si>
    <t>SHP-505102</t>
  </si>
  <si>
    <t>SHP-505103</t>
  </si>
  <si>
    <t>SHP-505104</t>
  </si>
  <si>
    <t>SHP-505105</t>
  </si>
  <si>
    <t>SHP-505106</t>
  </si>
  <si>
    <t>SHP-505107</t>
  </si>
  <si>
    <t>SHP-505108</t>
  </si>
  <si>
    <t>SHP-505109</t>
  </si>
  <si>
    <t>SHP-505110</t>
  </si>
  <si>
    <t>SHP-505111</t>
  </si>
  <si>
    <t>SHP-505112</t>
  </si>
  <si>
    <t>SHP-505113</t>
  </si>
  <si>
    <t>SHP-505114</t>
  </si>
  <si>
    <t>SHP-505115</t>
  </si>
  <si>
    <t>SHP-505116</t>
  </si>
  <si>
    <t>SHP-505117</t>
  </si>
  <si>
    <t>SHP-505118</t>
  </si>
  <si>
    <t>SHP-505119</t>
  </si>
  <si>
    <t>SHP-505120</t>
  </si>
  <si>
    <t>SHP-505121</t>
  </si>
  <si>
    <t>SHP-505122</t>
  </si>
  <si>
    <t>SHP-505123</t>
  </si>
  <si>
    <t>SHP-505124</t>
  </si>
  <si>
    <t>SHP-505125</t>
  </si>
  <si>
    <t>SHP-505126</t>
  </si>
  <si>
    <t>SHP-505127</t>
  </si>
  <si>
    <t>SHP-505128</t>
  </si>
  <si>
    <t>SHP-505129</t>
  </si>
  <si>
    <t>SHP-505130</t>
  </si>
  <si>
    <t>SHP-505131</t>
  </si>
  <si>
    <t>SHP-505132</t>
  </si>
  <si>
    <t>SHP-505133</t>
  </si>
  <si>
    <t>SHP-505134</t>
  </si>
  <si>
    <t>SHP-505135</t>
  </si>
  <si>
    <t>SHP-505136</t>
  </si>
  <si>
    <t>SHP-505137</t>
  </si>
  <si>
    <t>SHP-505138</t>
  </si>
  <si>
    <t>SHP-505139</t>
  </si>
  <si>
    <t>SHP-505140</t>
  </si>
  <si>
    <t>SHP-505141</t>
  </si>
  <si>
    <t>SHP-505142</t>
  </si>
  <si>
    <t>SHP-505143</t>
  </si>
  <si>
    <t>SHP-505144</t>
  </si>
  <si>
    <t>SHP-505145</t>
  </si>
  <si>
    <t>SHP-505146</t>
  </si>
  <si>
    <t>SHP-505147</t>
  </si>
  <si>
    <t>SHP-505148</t>
  </si>
  <si>
    <t>SHP-505149</t>
  </si>
  <si>
    <t>SHP-505150</t>
  </si>
  <si>
    <t>SHP-505151</t>
  </si>
  <si>
    <t>SHP-505152</t>
  </si>
  <si>
    <t>SHP-505153</t>
  </si>
  <si>
    <t>SHP-505154</t>
  </si>
  <si>
    <t>SHP-505155</t>
  </si>
  <si>
    <t>SHP-505156</t>
  </si>
  <si>
    <t>SHP-505157</t>
  </si>
  <si>
    <t>SHP-505158</t>
  </si>
  <si>
    <t>SHP-505159</t>
  </si>
  <si>
    <t>SHP-505160</t>
  </si>
  <si>
    <t>SHP-505161</t>
  </si>
  <si>
    <t>SHP-505162</t>
  </si>
  <si>
    <t>SHP-505163</t>
  </si>
  <si>
    <t>SHP-505164</t>
  </si>
  <si>
    <t>SHP-505165</t>
  </si>
  <si>
    <t>SHP-505166</t>
  </si>
  <si>
    <t>SHP-505167</t>
  </si>
  <si>
    <t>SHP-505168</t>
  </si>
  <si>
    <t>SHP-505169</t>
  </si>
  <si>
    <t>SHP-505170</t>
  </si>
  <si>
    <t>SHP-505171</t>
  </si>
  <si>
    <t>SHP-505172</t>
  </si>
  <si>
    <t>SHP-505173</t>
  </si>
  <si>
    <t>SHP-505174</t>
  </si>
  <si>
    <t>SHP-505175</t>
  </si>
  <si>
    <t>SHP-505176</t>
  </si>
  <si>
    <t>SHP-505177</t>
  </si>
  <si>
    <t>SHP-505178</t>
  </si>
  <si>
    <t>SHP-505179</t>
  </si>
  <si>
    <t>SHP-505180</t>
  </si>
  <si>
    <t>SHP-505181</t>
  </si>
  <si>
    <t>SHP-505182</t>
  </si>
  <si>
    <t>SHP-505183</t>
  </si>
  <si>
    <t>SHP-505184</t>
  </si>
  <si>
    <t>SHP-505185</t>
  </si>
  <si>
    <t>SHP-505186</t>
  </si>
  <si>
    <t>SHP-505187</t>
  </si>
  <si>
    <t>SHP-505188</t>
  </si>
  <si>
    <t>SHP-505189</t>
  </si>
  <si>
    <t>SHP-505190</t>
  </si>
  <si>
    <t>SHP-505191</t>
  </si>
  <si>
    <t>SHP-505192</t>
  </si>
  <si>
    <t>SHP-505193</t>
  </si>
  <si>
    <t>SHP-505194</t>
  </si>
  <si>
    <t>SHP-505195</t>
  </si>
  <si>
    <t>SHP-505196</t>
  </si>
  <si>
    <t>SHP-505197</t>
  </si>
  <si>
    <t>SHP-505198</t>
  </si>
  <si>
    <t>SHP-505199</t>
  </si>
  <si>
    <t>SHP-505200</t>
  </si>
  <si>
    <t>SHP-505201</t>
  </si>
  <si>
    <t>SHP-505202</t>
  </si>
  <si>
    <t>SHP-505203</t>
  </si>
  <si>
    <t>SHP-505204</t>
  </si>
  <si>
    <t>SHP-505205</t>
  </si>
  <si>
    <t>SHP-505206</t>
  </si>
  <si>
    <t>SHP-505207</t>
  </si>
  <si>
    <t>SHP-505208</t>
  </si>
  <si>
    <t>SHP-505209</t>
  </si>
  <si>
    <t>SHP-505210</t>
  </si>
  <si>
    <t>SHP-505211</t>
  </si>
  <si>
    <t>SHP-505212</t>
  </si>
  <si>
    <t>SHP-505213</t>
  </si>
  <si>
    <t>SHP-505214</t>
  </si>
  <si>
    <t>SHP-505215</t>
  </si>
  <si>
    <t>SHP-505216</t>
  </si>
  <si>
    <t>SHP-505217</t>
  </si>
  <si>
    <t>SHP-505218</t>
  </si>
  <si>
    <t>SHP-505219</t>
  </si>
  <si>
    <t>SHP-505220</t>
  </si>
  <si>
    <t>SHP-505221</t>
  </si>
  <si>
    <t>SHP-505222</t>
  </si>
  <si>
    <t>SHP-505223</t>
  </si>
  <si>
    <t>SHP-505224</t>
  </si>
  <si>
    <t>SHP-505225</t>
  </si>
  <si>
    <t>SHP-505226</t>
  </si>
  <si>
    <t>SHP-505227</t>
  </si>
  <si>
    <t>SHP-505228</t>
  </si>
  <si>
    <t>SHP-505229</t>
  </si>
  <si>
    <t>SHP-505230</t>
  </si>
  <si>
    <t>SHP-505231</t>
  </si>
  <si>
    <t>SHP-505232</t>
  </si>
  <si>
    <t>SHP-505233</t>
  </si>
  <si>
    <t>SHP-505234</t>
  </si>
  <si>
    <t>SHP-505235</t>
  </si>
  <si>
    <t>SHP-505236</t>
  </si>
  <si>
    <t>SHP-505237</t>
  </si>
  <si>
    <t>SHP-505238</t>
  </si>
  <si>
    <t>SHP-505239</t>
  </si>
  <si>
    <t>SHP-505240</t>
  </si>
  <si>
    <t>SHP-505241</t>
  </si>
  <si>
    <t>SHP-505242</t>
  </si>
  <si>
    <t>SHP-505243</t>
  </si>
  <si>
    <t>SHP-505244</t>
  </si>
  <si>
    <t>SHP-505245</t>
  </si>
  <si>
    <t>SHP-505246</t>
  </si>
  <si>
    <t>SHP-505247</t>
  </si>
  <si>
    <t>SHP-505248</t>
  </si>
  <si>
    <t>SHP-505249</t>
  </si>
  <si>
    <t>SHP-505250</t>
  </si>
  <si>
    <t>SHP-505251</t>
  </si>
  <si>
    <t>SHP-505252</t>
  </si>
  <si>
    <t>SHP-505253</t>
  </si>
  <si>
    <t>SHP-505254</t>
  </si>
  <si>
    <t>SHP-505255</t>
  </si>
  <si>
    <t>SHP-505256</t>
  </si>
  <si>
    <t>SHP-505257</t>
  </si>
  <si>
    <t>SHP-505258</t>
  </si>
  <si>
    <t>SHP-505259</t>
  </si>
  <si>
    <t>SHP-505260</t>
  </si>
  <si>
    <t>SHP-505261</t>
  </si>
  <si>
    <t>SHP-505262</t>
  </si>
  <si>
    <t>SHP-505263</t>
  </si>
  <si>
    <t>SHP-505264</t>
  </si>
  <si>
    <t>SHP-505265</t>
  </si>
  <si>
    <t>SHP-505266</t>
  </si>
  <si>
    <t>SHP-505267</t>
  </si>
  <si>
    <t>SHP-505268</t>
  </si>
  <si>
    <t>SHP-505269</t>
  </si>
  <si>
    <t>SHP-505270</t>
  </si>
  <si>
    <t>SHP-505271</t>
  </si>
  <si>
    <t>SHP-505272</t>
  </si>
  <si>
    <t>SHP-505273</t>
  </si>
  <si>
    <t>SHP-505274</t>
  </si>
  <si>
    <t>SHP-505275</t>
  </si>
  <si>
    <t>SHP-505276</t>
  </si>
  <si>
    <t>SHP-505277</t>
  </si>
  <si>
    <t>SHP-505278</t>
  </si>
  <si>
    <t>SHP-505279</t>
  </si>
  <si>
    <t>SHP-505280</t>
  </si>
  <si>
    <t>SHP-505281</t>
  </si>
  <si>
    <t>SHP-505282</t>
  </si>
  <si>
    <t>SHP-505283</t>
  </si>
  <si>
    <t>SHP-505284</t>
  </si>
  <si>
    <t>SHP-505285</t>
  </si>
  <si>
    <t>SHP-505286</t>
  </si>
  <si>
    <t>SHP-505287</t>
  </si>
  <si>
    <t>SHP-505288</t>
  </si>
  <si>
    <t>SHP-505289</t>
  </si>
  <si>
    <t>SHP-505290</t>
  </si>
  <si>
    <t>SHP-505291</t>
  </si>
  <si>
    <t>SHP-505292</t>
  </si>
  <si>
    <t>SHP-505293</t>
  </si>
  <si>
    <t>SHP-505294</t>
  </si>
  <si>
    <t>SHP-505295</t>
  </si>
  <si>
    <t>SHP-505296</t>
  </si>
  <si>
    <t>SHP-505297</t>
  </si>
  <si>
    <t>SHP-505298</t>
  </si>
  <si>
    <t>SHP-505299</t>
  </si>
  <si>
    <t>SHP-505300</t>
  </si>
  <si>
    <t>SHP-505301</t>
  </si>
  <si>
    <t>SHP-505302</t>
  </si>
  <si>
    <t>SHP-505303</t>
  </si>
  <si>
    <t>SHP-505304</t>
  </si>
  <si>
    <t>SHP-505305</t>
  </si>
  <si>
    <t>SHP-505306</t>
  </si>
  <si>
    <t>SHP-505307</t>
  </si>
  <si>
    <t>SHP-505308</t>
  </si>
  <si>
    <t>SHP-505309</t>
  </si>
  <si>
    <t>SHP-505310</t>
  </si>
  <si>
    <t>SHP-505311</t>
  </si>
  <si>
    <t>SHP-505312</t>
  </si>
  <si>
    <t>SHP-505313</t>
  </si>
  <si>
    <t>SHP-505314</t>
  </si>
  <si>
    <t>SHP-505315</t>
  </si>
  <si>
    <t>SHP-505316</t>
  </si>
  <si>
    <t>SHP-505317</t>
  </si>
  <si>
    <t>SHP-505318</t>
  </si>
  <si>
    <t>SHP-505319</t>
  </si>
  <si>
    <t>SHP-505320</t>
  </si>
  <si>
    <t>SHP-505321</t>
  </si>
  <si>
    <t>SHP-505322</t>
  </si>
  <si>
    <t>SHP-505323</t>
  </si>
  <si>
    <t>SHP-505324</t>
  </si>
  <si>
    <t>SHP-505325</t>
  </si>
  <si>
    <t>SHP-505326</t>
  </si>
  <si>
    <t>SHP-505327</t>
  </si>
  <si>
    <t>SHP-505328</t>
  </si>
  <si>
    <t>SHP-505329</t>
  </si>
  <si>
    <t>SHP-505330</t>
  </si>
  <si>
    <t>SHP-505331</t>
  </si>
  <si>
    <t>SHP-505332</t>
  </si>
  <si>
    <t>SHP-505333</t>
  </si>
  <si>
    <t>SHP-505334</t>
  </si>
  <si>
    <t>SHP-505335</t>
  </si>
  <si>
    <t>SHP-505336</t>
  </si>
  <si>
    <t>SHP-505337</t>
  </si>
  <si>
    <t>SHP-505338</t>
  </si>
  <si>
    <t>SHP-505339</t>
  </si>
  <si>
    <t>SHP-505340</t>
  </si>
  <si>
    <t>SHP-505341</t>
  </si>
  <si>
    <t>SHP-505342</t>
  </si>
  <si>
    <t>SHP-505343</t>
  </si>
  <si>
    <t>SHP-505344</t>
  </si>
  <si>
    <t>SHP-505345</t>
  </si>
  <si>
    <t>SHP-505346</t>
  </si>
  <si>
    <t>SHP-505347</t>
  </si>
  <si>
    <t>SHP-505348</t>
  </si>
  <si>
    <t>SHP-505349</t>
  </si>
  <si>
    <t>SHP-505350</t>
  </si>
  <si>
    <t>SHP-505351</t>
  </si>
  <si>
    <t>SHP-505352</t>
  </si>
  <si>
    <t>SHP-505353</t>
  </si>
  <si>
    <t>SHP-505354</t>
  </si>
  <si>
    <t>SHP-505355</t>
  </si>
  <si>
    <t>SHP-505356</t>
  </si>
  <si>
    <t>SHP-505357</t>
  </si>
  <si>
    <t>SHP-505358</t>
  </si>
  <si>
    <t>SHP-505359</t>
  </si>
  <si>
    <t>SHP-505360</t>
  </si>
  <si>
    <t>SHP-505361</t>
  </si>
  <si>
    <t>SHP-505362</t>
  </si>
  <si>
    <t>SHP-505363</t>
  </si>
  <si>
    <t>SHP-505364</t>
  </si>
  <si>
    <t>SHP-505365</t>
  </si>
  <si>
    <t>SHP-505366</t>
  </si>
  <si>
    <t>SHP-505367</t>
  </si>
  <si>
    <t>SHP-505368</t>
  </si>
  <si>
    <t>SHP-505369</t>
  </si>
  <si>
    <t>SHP-505370</t>
  </si>
  <si>
    <t>SHP-505371</t>
  </si>
  <si>
    <t>SHP-505372</t>
  </si>
  <si>
    <t>SHP-505373</t>
  </si>
  <si>
    <t>SHP-505374</t>
  </si>
  <si>
    <t>SHP-505375</t>
  </si>
  <si>
    <t>SHP-505376</t>
  </si>
  <si>
    <t>SHP-505377</t>
  </si>
  <si>
    <t>SHP-505378</t>
  </si>
  <si>
    <t>SHP-505379</t>
  </si>
  <si>
    <t>SHP-505380</t>
  </si>
  <si>
    <t>SHP-505381</t>
  </si>
  <si>
    <t>SHP-505382</t>
  </si>
  <si>
    <t>SHP-505383</t>
  </si>
  <si>
    <t>SHP-505384</t>
  </si>
  <si>
    <t>SHP-505385</t>
  </si>
  <si>
    <t>SHP-505386</t>
  </si>
  <si>
    <t>SHP-505387</t>
  </si>
  <si>
    <t>SHP-505388</t>
  </si>
  <si>
    <t>SHP-505389</t>
  </si>
  <si>
    <t>SHP-505390</t>
  </si>
  <si>
    <t>SHP-505391</t>
  </si>
  <si>
    <t>SHP-505392</t>
  </si>
  <si>
    <t>SHP-505393</t>
  </si>
  <si>
    <t>SHP-505394</t>
  </si>
  <si>
    <t>SHP-505395</t>
  </si>
  <si>
    <t>SHP-505396</t>
  </si>
  <si>
    <t>SHP-505397</t>
  </si>
  <si>
    <t>SHP-505398</t>
  </si>
  <si>
    <t>SHP-505399</t>
  </si>
  <si>
    <t>SHP-505400</t>
  </si>
  <si>
    <t>SHP-505401</t>
  </si>
  <si>
    <t>SHP-505402</t>
  </si>
  <si>
    <t>SHP-505403</t>
  </si>
  <si>
    <t>SHP-505404</t>
  </si>
  <si>
    <t>SHP-505405</t>
  </si>
  <si>
    <t>SHP-505406</t>
  </si>
  <si>
    <t>SHP-505407</t>
  </si>
  <si>
    <t>SHP-505408</t>
  </si>
  <si>
    <t>SHP-505409</t>
  </si>
  <si>
    <t>SHP-505410</t>
  </si>
  <si>
    <t>SHP-505411</t>
  </si>
  <si>
    <t>SHP-505412</t>
  </si>
  <si>
    <t>SHP-505413</t>
  </si>
  <si>
    <t>SHP-505414</t>
  </si>
  <si>
    <t>SHP-505415</t>
  </si>
  <si>
    <t>SHP-505416</t>
  </si>
  <si>
    <t>SHP-505417</t>
  </si>
  <si>
    <t>SHP-505418</t>
  </si>
  <si>
    <t>SHP-505419</t>
  </si>
  <si>
    <t>SHP-505420</t>
  </si>
  <si>
    <t>SHP-505421</t>
  </si>
  <si>
    <t>SHP-505422</t>
  </si>
  <si>
    <t>SHP-505423</t>
  </si>
  <si>
    <t>SHP-505424</t>
  </si>
  <si>
    <t>SHP-505425</t>
  </si>
  <si>
    <t>SHP-505426</t>
  </si>
  <si>
    <t>SHP-505427</t>
  </si>
  <si>
    <t>SHP-505428</t>
  </si>
  <si>
    <t>SHP-505429</t>
  </si>
  <si>
    <t>SHP-505430</t>
  </si>
  <si>
    <t>SHP-505431</t>
  </si>
  <si>
    <t>SHP-505432</t>
  </si>
  <si>
    <t>SHP-505433</t>
  </si>
  <si>
    <t>SHP-505434</t>
  </si>
  <si>
    <t>SHP-505435</t>
  </si>
  <si>
    <t>SHP-505436</t>
  </si>
  <si>
    <t>SHP-505437</t>
  </si>
  <si>
    <t>SHP-505438</t>
  </si>
  <si>
    <t>SHP-505439</t>
  </si>
  <si>
    <t>SHP-505440</t>
  </si>
  <si>
    <t>SHP-505441</t>
  </si>
  <si>
    <t>SHP-505442</t>
  </si>
  <si>
    <t>SHP-505443</t>
  </si>
  <si>
    <t>SHP-505444</t>
  </si>
  <si>
    <t>SHP-505445</t>
  </si>
  <si>
    <t>SHP-505446</t>
  </si>
  <si>
    <t>SHP-505447</t>
  </si>
  <si>
    <t>SHP-505448</t>
  </si>
  <si>
    <t>SHP-505449</t>
  </si>
  <si>
    <t>SHP-505450</t>
  </si>
  <si>
    <t>SHP-505451</t>
  </si>
  <si>
    <t>SHP-505452</t>
  </si>
  <si>
    <t>SHP-505453</t>
  </si>
  <si>
    <t>SHP-505454</t>
  </si>
  <si>
    <t>SHP-505455</t>
  </si>
  <si>
    <t>SHP-505456</t>
  </si>
  <si>
    <t>SHP-505457</t>
  </si>
  <si>
    <t>SHP-505458</t>
  </si>
  <si>
    <t>SHP-505459</t>
  </si>
  <si>
    <t>SHP-505460</t>
  </si>
  <si>
    <t>SHP-505461</t>
  </si>
  <si>
    <t>SHP-505462</t>
  </si>
  <si>
    <t>SHP-505463</t>
  </si>
  <si>
    <t>SHP-505464</t>
  </si>
  <si>
    <t>SHP-505465</t>
  </si>
  <si>
    <t>SHP-505466</t>
  </si>
  <si>
    <t>SHP-505467</t>
  </si>
  <si>
    <t>SHP-505468</t>
  </si>
  <si>
    <t>SHP-505469</t>
  </si>
  <si>
    <t>SHP-505470</t>
  </si>
  <si>
    <t>SHP-505471</t>
  </si>
  <si>
    <t>SHP-505472</t>
  </si>
  <si>
    <t>SHP-505473</t>
  </si>
  <si>
    <t>SHP-505474</t>
  </si>
  <si>
    <t>SHP-505475</t>
  </si>
  <si>
    <t>SHP-505476</t>
  </si>
  <si>
    <t>SHP-505477</t>
  </si>
  <si>
    <t>SHP-505478</t>
  </si>
  <si>
    <t>SHP-505479</t>
  </si>
  <si>
    <t>SHP-505480</t>
  </si>
  <si>
    <t>SHP-505481</t>
  </si>
  <si>
    <t>SHP-505482</t>
  </si>
  <si>
    <t>SHP-505483</t>
  </si>
  <si>
    <t>SHP-505484</t>
  </si>
  <si>
    <t>SHP-505485</t>
  </si>
  <si>
    <t>SHP-505486</t>
  </si>
  <si>
    <t>SHP-505487</t>
  </si>
  <si>
    <t>SHP-505488</t>
  </si>
  <si>
    <t>SHP-505489</t>
  </si>
  <si>
    <t>SHP-505490</t>
  </si>
  <si>
    <t>SHP-505491</t>
  </si>
  <si>
    <t>SHP-505492</t>
  </si>
  <si>
    <t>SHP-505493</t>
  </si>
  <si>
    <t>SHP-505494</t>
  </si>
  <si>
    <t>SHP-505495</t>
  </si>
  <si>
    <t>SHP-505496</t>
  </si>
  <si>
    <t>SHP-505497</t>
  </si>
  <si>
    <t>SHP-505498</t>
  </si>
  <si>
    <t>SHP-505499</t>
  </si>
  <si>
    <t>SHP-505500</t>
  </si>
  <si>
    <t>SHP-505501</t>
  </si>
  <si>
    <t>SHP-505502</t>
  </si>
  <si>
    <t>SHP-505503</t>
  </si>
  <si>
    <t>SHP-505504</t>
  </si>
  <si>
    <t>SHP-505505</t>
  </si>
  <si>
    <t>SHP-505506</t>
  </si>
  <si>
    <t>SHP-505507</t>
  </si>
  <si>
    <t>SHP-505508</t>
  </si>
  <si>
    <t>SHP-505509</t>
  </si>
  <si>
    <t>SHP-505510</t>
  </si>
  <si>
    <t>SHP-505511</t>
  </si>
  <si>
    <t>SHP-505512</t>
  </si>
  <si>
    <t>SHP-505513</t>
  </si>
  <si>
    <t>SHP-505514</t>
  </si>
  <si>
    <t>SHP-505515</t>
  </si>
  <si>
    <t>SHP-505516</t>
  </si>
  <si>
    <t>SHP-505517</t>
  </si>
  <si>
    <t>SHP-505518</t>
  </si>
  <si>
    <t>SHP-505519</t>
  </si>
  <si>
    <t>SHP-505520</t>
  </si>
  <si>
    <t>SHP-505521</t>
  </si>
  <si>
    <t>SHP-505522</t>
  </si>
  <si>
    <t>SHP-505523</t>
  </si>
  <si>
    <t>SHP-505524</t>
  </si>
  <si>
    <t>SHP-505525</t>
  </si>
  <si>
    <t>SHP-505526</t>
  </si>
  <si>
    <t>SHP-505527</t>
  </si>
  <si>
    <t>SHP-505528</t>
  </si>
  <si>
    <t>SHP-505529</t>
  </si>
  <si>
    <t>SHP-505530</t>
  </si>
  <si>
    <t>SHP-505531</t>
  </si>
  <si>
    <t>SHP-505532</t>
  </si>
  <si>
    <t>SHP-505533</t>
  </si>
  <si>
    <t>SHP-505534</t>
  </si>
  <si>
    <t>SHP-505535</t>
  </si>
  <si>
    <t>SHP-505536</t>
  </si>
  <si>
    <t>SHP-505537</t>
  </si>
  <si>
    <t>SHP-505538</t>
  </si>
  <si>
    <t>SHP-505539</t>
  </si>
  <si>
    <t>SHP-505540</t>
  </si>
  <si>
    <t>SHP-505541</t>
  </si>
  <si>
    <t>SHP-505542</t>
  </si>
  <si>
    <t>SHP-505543</t>
  </si>
  <si>
    <t>SHP-505544</t>
  </si>
  <si>
    <t>SHP-505545</t>
  </si>
  <si>
    <t>SHP-505546</t>
  </si>
  <si>
    <t>SHP-505547</t>
  </si>
  <si>
    <t>SHP-505548</t>
  </si>
  <si>
    <t>SHP-505549</t>
  </si>
  <si>
    <t>SHP-505550</t>
  </si>
  <si>
    <t>SHP-505551</t>
  </si>
  <si>
    <t>SHP-505552</t>
  </si>
  <si>
    <t>SHP-505553</t>
  </si>
  <si>
    <t>SHP-505554</t>
  </si>
  <si>
    <t>SHP-505555</t>
  </si>
  <si>
    <t>SHP-505556</t>
  </si>
  <si>
    <t>SHP-505557</t>
  </si>
  <si>
    <t>SHP-505558</t>
  </si>
  <si>
    <t>SHP-505559</t>
  </si>
  <si>
    <t>SHP-505560</t>
  </si>
  <si>
    <t>SHP-505561</t>
  </si>
  <si>
    <t>SHP-505562</t>
  </si>
  <si>
    <t>SHP-505563</t>
  </si>
  <si>
    <t>SHP-505564</t>
  </si>
  <si>
    <t>SHP-505565</t>
  </si>
  <si>
    <t>SHP-505566</t>
  </si>
  <si>
    <t>SHP-505567</t>
  </si>
  <si>
    <t>SHP-505568</t>
  </si>
  <si>
    <t>SHP-505569</t>
  </si>
  <si>
    <t>SHP-505570</t>
  </si>
  <si>
    <t>SHP-505571</t>
  </si>
  <si>
    <t>SHP-505572</t>
  </si>
  <si>
    <t>SHP-505573</t>
  </si>
  <si>
    <t>SHP-505574</t>
  </si>
  <si>
    <t>SHP-505575</t>
  </si>
  <si>
    <t>SHP-505576</t>
  </si>
  <si>
    <t>SHP-505577</t>
  </si>
  <si>
    <t>SHP-505578</t>
  </si>
  <si>
    <t>SHP-505579</t>
  </si>
  <si>
    <t>SHP-505580</t>
  </si>
  <si>
    <t>SHP-505581</t>
  </si>
  <si>
    <t>SHP-505582</t>
  </si>
  <si>
    <t>SHP-505583</t>
  </si>
  <si>
    <t>SHP-505584</t>
  </si>
  <si>
    <t>SHP-505585</t>
  </si>
  <si>
    <t>SHP-505586</t>
  </si>
  <si>
    <t>SHP-505587</t>
  </si>
  <si>
    <t>SHP-505588</t>
  </si>
  <si>
    <t>SHP-505589</t>
  </si>
  <si>
    <t>SHP-505590</t>
  </si>
  <si>
    <t>SHP-505591</t>
  </si>
  <si>
    <t>SHP-505592</t>
  </si>
  <si>
    <t>SHP-505593</t>
  </si>
  <si>
    <t>SHP-505594</t>
  </si>
  <si>
    <t>SHP-505595</t>
  </si>
  <si>
    <t>SHP-505596</t>
  </si>
  <si>
    <t>SHP-505597</t>
  </si>
  <si>
    <t>SHP-505598</t>
  </si>
  <si>
    <t>SHP-505599</t>
  </si>
  <si>
    <t>SHP-505600</t>
  </si>
  <si>
    <t>Logistics &amp; Carrier Performance</t>
  </si>
  <si>
    <t>Shipments, on-time delivery, freight cost &amp; damage | 2024-2025  |  Sample / simulated data for portfolio use</t>
  </si>
  <si>
    <t>BUSINESS PROBLEM</t>
  </si>
  <si>
    <t>Context</t>
  </si>
  <si>
    <t>A distributor ships from three distribution centres with five carriers. Customer complaints about late and damaged deliveries are rising, and procurement must decide which carriers to keep for 2026.</t>
  </si>
  <si>
    <t>QUESTIONS THIS ANALYSIS ANSWERS</t>
  </si>
  <si>
    <t>How many shipments did we send and what share arrived on time?</t>
  </si>
  <si>
    <t>Which carrier gives the best balance of cost, speed and damage?</t>
  </si>
  <si>
    <t>How does peak season affect delivery performance?</t>
  </si>
  <si>
    <t>Which destination regions are hardest to serve?</t>
  </si>
  <si>
    <t>Q5</t>
  </si>
  <si>
    <t>What does freight cost per kg and per shipment?</t>
  </si>
  <si>
    <t>KEY INSIGHTS</t>
  </si>
  <si>
    <t>Insight 1</t>
  </si>
  <si>
    <t>Volume grew 12.7% in 2025 (2,633 to 2,967 shipments); on-time delivery moved from 85.1% to 86.3%.</t>
  </si>
  <si>
    <t>Insight 2</t>
  </si>
  <si>
    <t>SwiftLine is the most reliable carrier (91.4% on time); RapidRoute is the cheapest per kg ($0.78) but delivers only 75.9% on time and has the highest damage rate (2.0%).</t>
  </si>
  <si>
    <t>Insight 3</t>
  </si>
  <si>
    <t>Peak season hurts service: on-time falls to 79.8% in Nov-Dec vs 87.5% in the rest of the year.</t>
  </si>
  <si>
    <t>Insight 4</t>
  </si>
  <si>
    <t>Southern and Northern regions have the lowest on-time rates (81.8%, 82.9%).</t>
  </si>
  <si>
    <t>Insight 5</t>
  </si>
  <si>
    <t>Late shipments represent $36.4K of freight spend over two years, with knock-on customer service costs.</t>
  </si>
  <si>
    <t>RECOMMENDATIONS</t>
  </si>
  <si>
    <t>Action 1</t>
  </si>
  <si>
    <t>Move peak-season and Northern/Southern volume from RapidRoute to SwiftLine or BlueArrow; the saving per kg does not cover the service and damage cost.</t>
  </si>
  <si>
    <t>Action 2</t>
  </si>
  <si>
    <t>Agree an on-time SLA with penalties (e.g. 92%) in the 2026 carrier contracts.</t>
  </si>
  <si>
    <t>Action 3</t>
  </si>
  <si>
    <t>Book extra peak capacity in October and add one buffer day to promised dates in Nov-Dec for remote regions.</t>
  </si>
  <si>
    <t>Action 4</t>
  </si>
  <si>
    <t>Track damage claims by carrier monthly and require packaging audits above 1.5%.</t>
  </si>
  <si>
    <t>DATASET</t>
  </si>
  <si>
    <t>Rows / columns</t>
  </si>
  <si>
    <t>5,600 rows x 20 columns (sheet 'Data', Excel table 'tblData')</t>
  </si>
  <si>
    <t>Period</t>
  </si>
  <si>
    <t>01 Jan 2024 to 31 Dec 2025</t>
  </si>
  <si>
    <t>Unique shipment</t>
  </si>
  <si>
    <t>Dispatch date</t>
  </si>
  <si>
    <t>Transport company</t>
  </si>
  <si>
    <t>Shipping distribution centre</t>
  </si>
  <si>
    <t>Delivery region</t>
  </si>
  <si>
    <t>Express, Standard or Economy</t>
  </si>
  <si>
    <t>Road or Air</t>
  </si>
  <si>
    <t>B2B or B2C</t>
  </si>
  <si>
    <t>WeightKg, DistanceKm</t>
  </si>
  <si>
    <t>Shipment weight and route distance</t>
  </si>
  <si>
    <t>PromisedDays / ActualDays</t>
  </si>
  <si>
    <t>Promised and actual transit days</t>
  </si>
  <si>
    <t>1 if delivered by the promised day</t>
  </si>
  <si>
    <t>Days late (0 if on time)</t>
  </si>
  <si>
    <t>Freight cost (USD)</t>
  </si>
  <si>
    <t>1 if a damage claim was raised</t>
  </si>
  <si>
    <t>Counter (1 per row)</t>
  </si>
  <si>
    <t>WORKBOOK GUIDE</t>
  </si>
  <si>
    <t>Dashboard</t>
  </si>
  <si>
    <t>KPI cards, pivot charts and slicers. Click any slicer on the left to filter every chart and KPI at once.</t>
  </si>
  <si>
    <t>Pivots</t>
  </si>
  <si>
    <t>The PivotTables that feed the dashboard (all share one pivot cache). Refresh: Data &gt; Refresh All.</t>
  </si>
  <si>
    <t>Data</t>
  </si>
  <si>
    <t>Clean, typed source table. Add rows to the table and press Refresh All to update everything.</t>
  </si>
  <si>
    <t>Tools</t>
  </si>
  <si>
    <t>Excel PivotTables, calculated fields, PivotCharts, Slicers, GETPIVOTDATA, conditional number formats.</t>
  </si>
  <si>
    <t>Prepared by</t>
  </si>
  <si>
    <t>Ahmed Abdulsalam | Data Analyst</t>
  </si>
  <si>
    <t>PivotTables feeding the dashboard (one shared pivot cache; Data &gt; Refresh All updates everything)</t>
  </si>
  <si>
    <t>KPI summary (feeds the KPI cards)</t>
  </si>
  <si>
    <t>Grand Total</t>
  </si>
  <si>
    <t xml:space="preserve">Shipments </t>
  </si>
  <si>
    <t>Values</t>
  </si>
  <si>
    <t xml:space="preserve">On-Time </t>
  </si>
  <si>
    <t xml:space="preserve">Cost/Shipment </t>
  </si>
  <si>
    <t xml:space="preserve">Cost/Kg </t>
  </si>
  <si>
    <t xml:space="preserve">Damage </t>
  </si>
  <si>
    <t>On-time rate by month and year</t>
  </si>
  <si>
    <t>On-time rate by carrier</t>
  </si>
  <si>
    <t>Shipments by service level</t>
  </si>
  <si>
    <t>Cost per kg by carrier</t>
  </si>
  <si>
    <t>Damage rate by carrier</t>
  </si>
  <si>
    <t>Shipments, on-time delivery, freight cost &amp; damage | 2024-2025</t>
  </si>
  <si>
    <t>Sample / simulated data</t>
  </si>
  <si>
    <t xml:space="preserve">  SHIPMENTS  ·  2025</t>
  </si>
  <si>
    <t xml:space="preserve">  ON-TIME DELIVERY  ·  2025</t>
  </si>
  <si>
    <t xml:space="preserve">  COST PER SHIPMENT  ·  2025</t>
  </si>
  <si>
    <t xml:space="preserve">  COST PER KG  ·  2025</t>
  </si>
  <si>
    <t xml:space="preserve">  DAMAGE RATE  ·  2025</t>
  </si>
  <si>
    <t>Click any slicer to filter every chart and KPI. Source: sheet 'Data' (table tblData).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</si>
</sst>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5" formatCode="dd\-mmm\-yyyy"/>
    <numFmt numFmtId="166" formatCode="#,##0.0"/>
    <numFmt numFmtId="167" formatCode="\$#,##0.00"/>
    <numFmt numFmtId="168" formatCode="0.0%"/>
    <numFmt numFmtId="169" formatCode="&quot;$&quot;#,##0.00"/>
    <numFmt numFmtId="170" formatCode="&quot;$&quot;0.00"/>
    <numFmt numFmtId="171" formatCode="[Color4]&quot;▲ &quot;0.0%&quot; vs 2024&quot;;[Color3]&quot;▼ &quot;0.0%&quot; vs 2024&quot;;&quot;■ 0.0% vs 2024&quot;"/>
    <numFmt numFmtId="172" formatCode="[Color4]&quot;▲ &quot;0.0&quot; pp vs 2024&quot;;[Color3]&quot;▼ &quot;0.0&quot; pp vs 2024&quot;;&quot;■ 0.0 pp vs 2024&quot;"/>
    <numFmt numFmtId="173" formatCode="[Color3]&quot;▲ &quot;0.0%&quot; vs 2024&quot;;[Color4]&quot;▼ &quot;0.0%&quot; vs 2024&quot;;&quot;■ 0.0% vs 2024&quot;"/>
    <numFmt numFmtId="174" formatCode="[Color3]&quot;▲ &quot;0.0&quot; pp vs 2024&quot;;[Color4]&quot;▼ &quot;0.0&quot; pp vs 2024&quot;;&quot;■ 0.0 pp vs 2024&quot;"/>
  </numFmts>
  <fonts count="19" x14ac:knownFonts="1">
    <font>
      <sz val="11"/>
      <color theme="1"/>
      <name val="Segoe UI"/>
      <family val="2"/>
      <scheme val="minor"/>
    </font>
    <font>
      <b/>
      <sz val="18"/>
      <color rgb="FFFFFFFF"/>
      <name val="Segoe UI"/>
    </font>
    <font>
      <i/>
      <sz val="10"/>
      <color rgb="FF5D6D7E"/>
      <name val="Segoe UI"/>
    </font>
    <font>
      <b/>
      <sz val="11"/>
      <color rgb="FFEA580C"/>
      <name val="Segoe UI"/>
    </font>
    <font>
      <b/>
      <sz val="10"/>
      <color rgb="FF1F2D3D"/>
      <name val="Segoe UI"/>
    </font>
    <font>
      <sz val="10"/>
      <color rgb="FF1F2D3D"/>
      <name val="Segoe UI"/>
    </font>
    <font>
      <b/>
      <sz val="12"/>
      <color theme="1"/>
      <name val="Segoe UI"/>
      <family val="2"/>
      <scheme val="minor"/>
    </font>
    <font>
      <b/>
      <sz val="11"/>
      <color rgb="FFEA580C"/>
      <name val="Segoe UI"/>
      <family val="2"/>
      <scheme val="minor"/>
    </font>
    <font>
      <sz val="9"/>
      <color theme="1"/>
      <name val="Segoe UI"/>
      <family val="2"/>
      <scheme val="minor"/>
    </font>
    <font>
      <b/>
      <sz val="20"/>
      <color rgb="FFFFFFFF"/>
      <name val="Segoe UI"/>
      <family val="2"/>
      <scheme val="minor"/>
    </font>
    <font>
      <sz val="10"/>
      <color rgb="FFA8A29E"/>
      <name val="Segoe UI"/>
      <family val="2"/>
      <scheme val="minor"/>
    </font>
    <font>
      <i/>
      <sz val="9"/>
      <color rgb="FFA8A29E"/>
      <name val="Segoe UI"/>
      <family val="2"/>
      <scheme val="minor"/>
    </font>
    <font>
      <sz val="9"/>
      <color rgb="FFFFFFFF"/>
      <name val="Segoe UI"/>
      <family val="2"/>
      <scheme val="minor"/>
    </font>
    <font>
      <b/>
      <sz val="8"/>
      <color theme="1"/>
      <name val="Segoe UI"/>
      <family val="2"/>
      <scheme val="minor"/>
    </font>
    <font>
      <b/>
      <sz val="8"/>
      <color rgb="FFA8A29E"/>
      <name val="Segoe UI"/>
      <family val="2"/>
      <scheme val="minor"/>
    </font>
    <font>
      <b/>
      <sz val="20"/>
      <color rgb="FFEA580C"/>
      <name val="Segoe UI"/>
      <family val="2"/>
      <scheme val="minor"/>
    </font>
    <font>
      <b/>
      <sz val="20"/>
      <color rgb="FF22C55E"/>
      <name val="Segoe UI"/>
      <family val="2"/>
      <scheme val="minor"/>
    </font>
    <font>
      <b/>
      <sz val="20"/>
      <color rgb="FFEF4444"/>
      <name val="Segoe UI"/>
      <family val="2"/>
      <scheme val="minor"/>
    </font>
    <font>
      <i/>
      <sz val="8"/>
      <color rgb="FFA8A29E"/>
      <name val="Segoe UI"/>
      <family val="2"/>
      <scheme val="minor"/>
    </font>
  </fonts>
  <fills count="10">
    <fill>
      <patternFill patternType="none"/>
    </fill>
    <fill>
      <patternFill patternType="gray125"/>
    </fill>
    <fill>
      <patternFill patternType="solid">
        <fgColor rgb="FFEA580C"/>
      </patternFill>
    </fill>
    <fill>
      <patternFill patternType="solid">
        <fgColor rgb="FF1C1917"/>
        <bgColor indexed="64"/>
      </patternFill>
    </fill>
    <fill>
      <patternFill patternType="solid">
        <fgColor rgb="FF0C0A09"/>
        <bgColor indexed="64"/>
      </patternFill>
    </fill>
    <fill>
      <patternFill patternType="solid">
        <fgColor rgb="FFEA580C"/>
        <bgColor indexed="64"/>
      </patternFill>
    </fill>
    <fill>
      <patternFill patternType="solid">
        <fgColor rgb="FFF97316"/>
        <bgColor indexed="64"/>
      </patternFill>
    </fill>
    <fill>
      <patternFill patternType="solid">
        <fgColor rgb="FF292524"/>
        <bgColor indexed="64"/>
      </patternFill>
    </fill>
    <fill>
      <patternFill patternType="solid">
        <fgColor rgb="FF22C55E"/>
        <bgColor indexed="64"/>
      </patternFill>
    </fill>
    <fill>
      <patternFill patternType="solid">
        <fgColor rgb="FFEF4444"/>
        <bgColor indexed="64"/>
      </patternFill>
    </fill>
  </fills>
  <borders count="16">
    <border>
      <left/>
      <right/>
      <top/>
      <bottom/>
      <diagonal/>
    </border>
    <border>
      <left/>
      <right/>
      <top/>
      <bottom style="medium">
        <color rgb="FFEA580C"/>
      </bottom>
      <diagonal/>
    </border>
    <border>
      <left/>
      <right/>
      <top style="thin">
        <color rgb="FF3F3A36"/>
      </top>
      <bottom/>
      <diagonal/>
    </border>
    <border>
      <left/>
      <right/>
      <top/>
      <bottom style="thin">
        <color rgb="FF3F3A36"/>
      </bottom>
      <diagonal/>
    </border>
    <border>
      <left/>
      <right style="thin">
        <color rgb="FF3F3A36"/>
      </right>
      <top style="thin">
        <color rgb="FF3F3A36"/>
      </top>
      <bottom/>
      <diagonal/>
    </border>
    <border>
      <left/>
      <right style="thin">
        <color rgb="FF3F3A36"/>
      </right>
      <top/>
      <bottom/>
      <diagonal/>
    </border>
    <border>
      <left/>
      <right style="thin">
        <color rgb="FF3F3A36"/>
      </right>
      <top/>
      <bottom style="thin">
        <color rgb="FF3F3A36"/>
      </bottom>
      <diagonal/>
    </border>
    <border>
      <left style="medium">
        <color rgb="FFEA580C"/>
      </left>
      <right/>
      <top style="thin">
        <color rgb="FF3F3A36"/>
      </top>
      <bottom/>
      <diagonal/>
    </border>
    <border>
      <left style="medium">
        <color rgb="FFEA580C"/>
      </left>
      <right/>
      <top/>
      <bottom/>
      <diagonal/>
    </border>
    <border>
      <left style="medium">
        <color rgb="FFEA580C"/>
      </left>
      <right/>
      <top/>
      <bottom style="thin">
        <color rgb="FF3F3A36"/>
      </bottom>
      <diagonal/>
    </border>
    <border>
      <left style="medium">
        <color rgb="FF22C55E"/>
      </left>
      <right/>
      <top style="thin">
        <color rgb="FF3F3A36"/>
      </top>
      <bottom/>
      <diagonal/>
    </border>
    <border>
      <left style="medium">
        <color rgb="FF22C55E"/>
      </left>
      <right/>
      <top/>
      <bottom/>
      <diagonal/>
    </border>
    <border>
      <left style="medium">
        <color rgb="FF22C55E"/>
      </left>
      <right/>
      <top/>
      <bottom style="thin">
        <color rgb="FF3F3A36"/>
      </bottom>
      <diagonal/>
    </border>
    <border>
      <left style="medium">
        <color rgb="FFEF4444"/>
      </left>
      <right/>
      <top style="thin">
        <color rgb="FF3F3A36"/>
      </top>
      <bottom/>
      <diagonal/>
    </border>
    <border>
      <left style="medium">
        <color rgb="FFEF4444"/>
      </left>
      <right/>
      <top/>
      <bottom/>
      <diagonal/>
    </border>
    <border>
      <left style="medium">
        <color rgb="FFEF4444"/>
      </left>
      <right/>
      <top/>
      <bottom style="thin">
        <color rgb="FF3F3A36"/>
      </bottom>
      <diagonal/>
    </border>
  </borders>
  <cellStyleXfs count="1">
    <xf numFmtId="0" fontId="0" fillId="0" borderId="0"/>
  </cellStyleXfs>
  <cellXfs count="58">
    <xf numFmtId="0" fontId="0" fillId="0" borderId="0" xfId="0"/>
    <xf numFmtId="165" fontId="0" fillId="0" borderId="0" xfId="0" applyNumberFormat="1"/>
    <xf numFmtId="166" fontId="0" fillId="0" borderId="0" xfId="0" applyNumberFormat="1"/>
    <xf numFmtId="3" fontId="0" fillId="0" borderId="0" xfId="0" applyNumberFormat="1"/>
    <xf numFmtId="167" fontId="0" fillId="0" borderId="0" xfId="0" applyNumberForma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6" fillId="0" borderId="0" xfId="0" applyFont="1"/>
    <xf numFmtId="0" fontId="7" fillId="0" borderId="0" xfId="0" applyFont="1"/>
    <xf numFmtId="0" fontId="0" fillId="0" borderId="0" xfId="0" pivotButton="1"/>
    <xf numFmtId="168" fontId="0" fillId="0" borderId="0" xfId="0" applyNumberFormat="1"/>
    <xf numFmtId="169" fontId="0" fillId="0" borderId="0" xfId="0" applyNumberFormat="1"/>
    <xf numFmtId="10" fontId="0" fillId="0" borderId="0" xfId="0" applyNumberFormat="1"/>
    <xf numFmtId="170" fontId="0" fillId="0" borderId="0" xfId="0" applyNumberFormat="1"/>
    <xf numFmtId="0" fontId="0" fillId="0" borderId="0" xfId="0" applyFont="1"/>
    <xf numFmtId="0" fontId="8" fillId="0" borderId="0" xfId="0" applyFont="1"/>
    <xf numFmtId="0" fontId="8" fillId="3" borderId="0" xfId="0" applyFont="1" applyFill="1"/>
    <xf numFmtId="0" fontId="8" fillId="4" borderId="0" xfId="0" applyFont="1" applyFill="1"/>
    <xf numFmtId="0" fontId="8" fillId="5" borderId="0" xfId="0" applyFont="1" applyFill="1"/>
    <xf numFmtId="0" fontId="9" fillId="4" borderId="0" xfId="0" applyFont="1" applyFill="1"/>
    <xf numFmtId="0" fontId="10" fillId="4" borderId="0" xfId="0" applyFont="1" applyFill="1"/>
    <xf numFmtId="0" fontId="11" fillId="4" borderId="0" xfId="0" applyFont="1" applyFill="1" applyAlignment="1">
      <alignment horizontal="right"/>
    </xf>
    <xf numFmtId="0" fontId="12" fillId="4" borderId="0" xfId="0" applyFont="1" applyFill="1" applyAlignment="1">
      <alignment horizontal="right"/>
    </xf>
    <xf numFmtId="0" fontId="8" fillId="6" borderId="0" xfId="0" applyFont="1" applyFill="1"/>
    <xf numFmtId="0" fontId="8" fillId="7" borderId="2" xfId="0" applyFont="1" applyFill="1" applyBorder="1"/>
    <xf numFmtId="0" fontId="8" fillId="7" borderId="4" xfId="0" applyFont="1" applyFill="1" applyBorder="1"/>
    <xf numFmtId="0" fontId="8" fillId="5" borderId="7" xfId="0" applyFont="1" applyFill="1" applyBorder="1"/>
    <xf numFmtId="0" fontId="8" fillId="5" borderId="8" xfId="0" applyFont="1" applyFill="1" applyBorder="1"/>
    <xf numFmtId="0" fontId="8" fillId="5" borderId="9" xfId="0" applyFont="1" applyFill="1" applyBorder="1"/>
    <xf numFmtId="0" fontId="14" fillId="7" borderId="2" xfId="0" applyFont="1" applyFill="1" applyBorder="1"/>
    <xf numFmtId="3" fontId="15" fillId="7" borderId="0" xfId="0" applyNumberFormat="1" applyFont="1" applyFill="1" applyBorder="1" applyAlignment="1">
      <alignment horizontal="left" vertical="center" indent="1"/>
    </xf>
    <xf numFmtId="3" fontId="15" fillId="7" borderId="5" xfId="0" applyNumberFormat="1" applyFont="1" applyFill="1" applyBorder="1" applyAlignment="1">
      <alignment horizontal="left" vertical="center" indent="1"/>
    </xf>
    <xf numFmtId="171" fontId="13" fillId="7" borderId="3" xfId="0" applyNumberFormat="1" applyFont="1" applyFill="1" applyBorder="1" applyAlignment="1">
      <alignment horizontal="left" indent="1"/>
    </xf>
    <xf numFmtId="171" fontId="13" fillId="7" borderId="6" xfId="0" applyNumberFormat="1" applyFont="1" applyFill="1" applyBorder="1" applyAlignment="1">
      <alignment horizontal="left" indent="1"/>
    </xf>
    <xf numFmtId="0" fontId="8" fillId="8" borderId="10" xfId="0" applyFont="1" applyFill="1" applyBorder="1"/>
    <xf numFmtId="0" fontId="8" fillId="8" borderId="11" xfId="0" applyFont="1" applyFill="1" applyBorder="1"/>
    <xf numFmtId="0" fontId="8" fillId="8" borderId="12" xfId="0" applyFont="1" applyFill="1" applyBorder="1"/>
    <xf numFmtId="168" fontId="16" fillId="7" borderId="0" xfId="0" applyNumberFormat="1" applyFont="1" applyFill="1" applyBorder="1" applyAlignment="1">
      <alignment horizontal="left" vertical="center" indent="1"/>
    </xf>
    <xf numFmtId="168" fontId="16" fillId="7" borderId="5" xfId="0" applyNumberFormat="1" applyFont="1" applyFill="1" applyBorder="1" applyAlignment="1">
      <alignment horizontal="left" vertical="center" indent="1"/>
    </xf>
    <xf numFmtId="172" fontId="13" fillId="7" borderId="3" xfId="0" applyNumberFormat="1" applyFont="1" applyFill="1" applyBorder="1" applyAlignment="1">
      <alignment horizontal="left" indent="1"/>
    </xf>
    <xf numFmtId="172" fontId="13" fillId="7" borderId="6" xfId="0" applyNumberFormat="1" applyFont="1" applyFill="1" applyBorder="1" applyAlignment="1">
      <alignment horizontal="left" indent="1"/>
    </xf>
    <xf numFmtId="169" fontId="15" fillId="7" borderId="0" xfId="0" applyNumberFormat="1" applyFont="1" applyFill="1" applyBorder="1" applyAlignment="1">
      <alignment horizontal="left" vertical="center" indent="1"/>
    </xf>
    <xf numFmtId="169" fontId="15" fillId="7" borderId="5" xfId="0" applyNumberFormat="1" applyFont="1" applyFill="1" applyBorder="1" applyAlignment="1">
      <alignment horizontal="left" vertical="center" indent="1"/>
    </xf>
    <xf numFmtId="173" fontId="13" fillId="7" borderId="3" xfId="0" applyNumberFormat="1" applyFont="1" applyFill="1" applyBorder="1" applyAlignment="1">
      <alignment horizontal="left" indent="1"/>
    </xf>
    <xf numFmtId="173" fontId="13" fillId="7" borderId="6" xfId="0" applyNumberFormat="1" applyFont="1" applyFill="1" applyBorder="1" applyAlignment="1">
      <alignment horizontal="left" indent="1"/>
    </xf>
    <xf numFmtId="0" fontId="8" fillId="9" borderId="13" xfId="0" applyFont="1" applyFill="1" applyBorder="1"/>
    <xf numFmtId="0" fontId="8" fillId="9" borderId="14" xfId="0" applyFont="1" applyFill="1" applyBorder="1"/>
    <xf numFmtId="0" fontId="8" fillId="9" borderId="15" xfId="0" applyFont="1" applyFill="1" applyBorder="1"/>
    <xf numFmtId="10" fontId="17" fillId="7" borderId="0" xfId="0" applyNumberFormat="1" applyFont="1" applyFill="1" applyBorder="1" applyAlignment="1">
      <alignment horizontal="left" vertical="center" indent="1"/>
    </xf>
    <xf numFmtId="10" fontId="17" fillId="7" borderId="5" xfId="0" applyNumberFormat="1" applyFont="1" applyFill="1" applyBorder="1" applyAlignment="1">
      <alignment horizontal="left" vertical="center" indent="1"/>
    </xf>
    <xf numFmtId="174" fontId="13" fillId="7" borderId="3" xfId="0" applyNumberFormat="1" applyFont="1" applyFill="1" applyBorder="1" applyAlignment="1">
      <alignment horizontal="left" indent="1"/>
    </xf>
    <xf numFmtId="174" fontId="13" fillId="7" borderId="6" xfId="0" applyNumberFormat="1" applyFont="1" applyFill="1" applyBorder="1" applyAlignment="1">
      <alignment horizontal="left" indent="1"/>
    </xf>
    <xf numFmtId="0" fontId="18"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[Logistics_Shipments_Dashboard.xlsx]Pivots!ptCarrier</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On-Time % by Carrier</a:t>
            </a:r>
          </a:p>
        </c:rich>
      </c:tx>
      <c:layout>
        <c:manualLayout>
          <c:xMode val="edge"/>
          <c:yMode val="edge"/>
          <c:x val="3.6363636363636362E-2"/>
          <c:y val="1.290322580645161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rgbClr val="F9731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Pivots!$M$5</c:f>
              <c:strCache>
                <c:ptCount val="1"/>
                <c:pt idx="0">
                  <c:v>Total</c:v>
                </c:pt>
              </c:strCache>
            </c:strRef>
          </c:tx>
          <c:spPr>
            <a:solidFill>
              <a:srgbClr val="F9731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Pivots!$L$6:$L$11</c:f>
              <c:strCache>
                <c:ptCount val="5"/>
                <c:pt idx="0">
                  <c:v>SwiftLine</c:v>
                </c:pt>
                <c:pt idx="1">
                  <c:v>BlueArrow</c:v>
                </c:pt>
                <c:pt idx="2">
                  <c:v>CargoMax</c:v>
                </c:pt>
                <c:pt idx="3">
                  <c:v>TransGlobe</c:v>
                </c:pt>
                <c:pt idx="4">
                  <c:v>RapidRoute</c:v>
                </c:pt>
              </c:strCache>
            </c:strRef>
          </c:cat>
          <c:val>
            <c:numRef>
              <c:f>Pivots!$M$6:$M$11</c:f>
              <c:numCache>
                <c:formatCode>0.0%</c:formatCode>
                <c:ptCount val="5"/>
                <c:pt idx="0">
                  <c:v>0.91387195121951215</c:v>
                </c:pt>
                <c:pt idx="1">
                  <c:v>0.88303477344573233</c:v>
                </c:pt>
                <c:pt idx="2">
                  <c:v>0.8711462450592885</c:v>
                </c:pt>
                <c:pt idx="3">
                  <c:v>0.8582677165354331</c:v>
                </c:pt>
                <c:pt idx="4">
                  <c:v>0.759493670886076</c:v>
                </c:pt>
              </c:numCache>
            </c:numRef>
          </c:val>
          <c:extLst>
            <c:ext xmlns:c16="http://schemas.microsoft.com/office/drawing/2014/chart" uri="{C3380CC4-5D6E-409C-BE32-E72D297353CC}">
              <c16:uniqueId val="{00000000-1FF3-4BBD-9C80-98716B1653E6}"/>
            </c:ext>
          </c:extLst>
        </c:ser>
        <c:dLbls>
          <c:showLegendKey val="0"/>
          <c:showVal val="0"/>
          <c:showCatName val="0"/>
          <c:showSerName val="0"/>
          <c:showPercent val="0"/>
          <c:showBubbleSize val="0"/>
        </c:dLbls>
        <c:gapWidth val="45"/>
        <c:overlap val="-10"/>
        <c:axId val="935585663"/>
        <c:axId val="960725087"/>
      </c:barChart>
      <c:catAx>
        <c:axId val="935585663"/>
        <c:scaling>
          <c:orientation val="maxMin"/>
        </c:scaling>
        <c:delete val="0"/>
        <c:axPos val="l"/>
        <c:numFmt formatCode="General" sourceLinked="1"/>
        <c:majorTickMark val="none"/>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960725087"/>
        <c:crosses val="autoZero"/>
        <c:auto val="1"/>
        <c:lblAlgn val="ctr"/>
        <c:lblOffset val="100"/>
        <c:noMultiLvlLbl val="0"/>
      </c:catAx>
      <c:valAx>
        <c:axId val="960725087"/>
        <c:scaling>
          <c:orientation val="minMax"/>
        </c:scaling>
        <c:delete val="1"/>
        <c:axPos val="t"/>
        <c:numFmt formatCode="0.0%" sourceLinked="1"/>
        <c:majorTickMark val="none"/>
        <c:minorTickMark val="none"/>
        <c:tickLblPos val="nextTo"/>
        <c:crossAx val="935585663"/>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524"/>
    </a:solidFill>
    <a:ln w="9525" cap="flat" cmpd="sng" algn="ctr">
      <a:solidFill>
        <a:srgbClr val="3F3A36"/>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[Logistics_Shipments_Dashboard.xlsx]Pivots!ptTrend</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On-Time Delivery Trend: 2024 vs 2025</a:t>
            </a:r>
          </a:p>
        </c:rich>
      </c:tx>
      <c:layout>
        <c:manualLayout>
          <c:xMode val="edge"/>
          <c:yMode val="edge"/>
          <c:x val="1.6528925619834711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ln w="22225" cap="rnd">
            <a:solidFill>
              <a:srgbClr val="78716C"/>
            </a:solidFill>
            <a:prstDash val="dash"/>
            <a:round/>
          </a:ln>
          <a:effectLst/>
        </c:spPr>
        <c:marker>
          <c:symbol val="circle"/>
          <c:size val="5"/>
          <c:spPr>
            <a:solidFill>
              <a:srgbClr val="78716C"/>
            </a:solidFill>
            <a:ln w="22225">
              <a:solidFill>
                <a:srgbClr val="78716C"/>
              </a:solidFill>
              <a:prstDash val="lgDash"/>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F97316"/>
            </a:solidFill>
            <a:round/>
          </a:ln>
          <a:effectLst/>
        </c:spPr>
        <c:marker>
          <c:symbol val="circle"/>
          <c:size val="5"/>
          <c:spPr>
            <a:solidFill>
              <a:srgbClr val="F97316"/>
            </a:solidFill>
            <a:ln w="31750">
              <a:solidFill>
                <a:srgbClr val="F97316"/>
              </a:solidFill>
              <a:prstDash val="solid"/>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Pivots!$H$5:$H$6</c:f>
              <c:strCache>
                <c:ptCount val="1"/>
                <c:pt idx="0">
                  <c:v>2024</c:v>
                </c:pt>
              </c:strCache>
            </c:strRef>
          </c:tx>
          <c:spPr>
            <a:ln w="22225" cap="rnd">
              <a:solidFill>
                <a:srgbClr val="78716C"/>
              </a:solidFill>
              <a:prstDash val="dash"/>
              <a:round/>
            </a:ln>
            <a:effectLst/>
          </c:spPr>
          <c:marker>
            <c:symbol val="circle"/>
            <c:size val="5"/>
            <c:spPr>
              <a:solidFill>
                <a:srgbClr val="78716C"/>
              </a:solidFill>
              <a:ln w="22225">
                <a:solidFill>
                  <a:srgbClr val="78716C"/>
                </a:solidFill>
                <a:prstDash val="lgDash"/>
              </a:ln>
              <a:effectLst/>
            </c:spPr>
          </c:marker>
          <c:cat>
            <c:strRef>
              <c:f>Pivots!$G$7:$G$19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Pivots!$H$7:$H$19</c:f>
              <c:numCache>
                <c:formatCode>0.0%</c:formatCode>
                <c:ptCount val="12"/>
                <c:pt idx="0">
                  <c:v>0.80808080808080807</c:v>
                </c:pt>
                <c:pt idx="1">
                  <c:v>0.92307692307692313</c:v>
                </c:pt>
                <c:pt idx="2">
                  <c:v>0.85781990521327012</c:v>
                </c:pt>
                <c:pt idx="3">
                  <c:v>0.88461538461538458</c:v>
                </c:pt>
                <c:pt idx="4">
                  <c:v>0.88584474885844744</c:v>
                </c:pt>
                <c:pt idx="5">
                  <c:v>0.87845303867403313</c:v>
                </c:pt>
                <c:pt idx="6">
                  <c:v>0.86910994764397909</c:v>
                </c:pt>
                <c:pt idx="7">
                  <c:v>0.8571428571428571</c:v>
                </c:pt>
                <c:pt idx="8">
                  <c:v>0.86877828054298645</c:v>
                </c:pt>
                <c:pt idx="9">
                  <c:v>0.871244635193133</c:v>
                </c:pt>
                <c:pt idx="10">
                  <c:v>0.78618421052631582</c:v>
                </c:pt>
                <c:pt idx="11">
                  <c:v>0.77898550724637683</c:v>
                </c:pt>
              </c:numCache>
            </c:numRef>
          </c:val>
          <c:smooth val="0"/>
          <c:extLst>
            <c:ext xmlns:c16="http://schemas.microsoft.com/office/drawing/2014/chart" uri="{C3380CC4-5D6E-409C-BE32-E72D297353CC}">
              <c16:uniqueId val="{00000000-8C32-458B-8211-AFED37576DA2}"/>
            </c:ext>
          </c:extLst>
        </c:ser>
        <c:ser>
          <c:idx val="1"/>
          <c:order val="1"/>
          <c:tx>
            <c:strRef>
              <c:f>Pivots!$I$5:$I$6</c:f>
              <c:strCache>
                <c:ptCount val="1"/>
                <c:pt idx="0">
                  <c:v>2025</c:v>
                </c:pt>
              </c:strCache>
            </c:strRef>
          </c:tx>
          <c:spPr>
            <a:ln w="31750" cap="rnd">
              <a:solidFill>
                <a:srgbClr val="F97316"/>
              </a:solidFill>
              <a:round/>
            </a:ln>
            <a:effectLst/>
          </c:spPr>
          <c:marker>
            <c:symbol val="circle"/>
            <c:size val="5"/>
            <c:spPr>
              <a:solidFill>
                <a:srgbClr val="F97316"/>
              </a:solidFill>
              <a:ln w="31750">
                <a:solidFill>
                  <a:srgbClr val="F97316"/>
                </a:solidFill>
                <a:prstDash val="solid"/>
              </a:ln>
              <a:effectLst/>
            </c:spPr>
          </c:marker>
          <c:cat>
            <c:strRef>
              <c:f>Pivots!$G$7:$G$19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Pivots!$I$7:$I$19</c:f>
              <c:numCache>
                <c:formatCode>0.0%</c:formatCode>
                <c:ptCount val="12"/>
                <c:pt idx="0">
                  <c:v>0.88938053097345138</c:v>
                </c:pt>
                <c:pt idx="1">
                  <c:v>0.88554216867469882</c:v>
                </c:pt>
                <c:pt idx="2">
                  <c:v>0.9</c:v>
                </c:pt>
                <c:pt idx="3">
                  <c:v>0.92244897959183669</c:v>
                </c:pt>
                <c:pt idx="4">
                  <c:v>0.8693877551020408</c:v>
                </c:pt>
                <c:pt idx="5">
                  <c:v>0.839622641509434</c:v>
                </c:pt>
                <c:pt idx="6">
                  <c:v>0.86098654708520184</c:v>
                </c:pt>
                <c:pt idx="7">
                  <c:v>0.93023255813953487</c:v>
                </c:pt>
                <c:pt idx="8">
                  <c:v>0.84297520661157022</c:v>
                </c:pt>
                <c:pt idx="9">
                  <c:v>0.86379928315412191</c:v>
                </c:pt>
                <c:pt idx="10">
                  <c:v>0.80056980056980054</c:v>
                </c:pt>
                <c:pt idx="11">
                  <c:v>0.81869688385269124</c:v>
                </c:pt>
              </c:numCache>
            </c:numRef>
          </c:val>
          <c:smooth val="0"/>
          <c:extLst>
            <c:ext xmlns:c16="http://schemas.microsoft.com/office/drawing/2014/chart" uri="{C3380CC4-5D6E-409C-BE32-E72D297353CC}">
              <c16:uniqueId val="{00000001-8C32-458B-8211-AFED37576DA2}"/>
            </c:ext>
          </c:extLst>
        </c:ser>
        <c:dLbls>
          <c:showLegendKey val="0"/>
          <c:showVal val="0"/>
          <c:showCatName val="0"/>
          <c:showSerName val="0"/>
          <c:showPercent val="0"/>
          <c:showBubbleSize val="0"/>
        </c:dLbls>
        <c:marker val="1"/>
        <c:smooth val="0"/>
        <c:axId val="1080502687"/>
        <c:axId val="960849695"/>
      </c:lineChart>
      <c:catAx>
        <c:axId val="1080502687"/>
        <c:scaling>
          <c:orientation val="minMax"/>
        </c:scaling>
        <c:delete val="0"/>
        <c:axPos val="b"/>
        <c:numFmt formatCode="General" sourceLinked="1"/>
        <c:majorTickMark val="none"/>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960849695"/>
        <c:crosses val="autoZero"/>
        <c:auto val="1"/>
        <c:lblAlgn val="ctr"/>
        <c:lblOffset val="100"/>
        <c:noMultiLvlLbl val="0"/>
      </c:catAx>
      <c:valAx>
        <c:axId val="960849695"/>
        <c:scaling>
          <c:orientation val="minMax"/>
        </c:scaling>
        <c:delete val="0"/>
        <c:axPos val="l"/>
        <c:majorGridlines>
          <c:spPr>
            <a:ln w="9525" cap="flat" cmpd="sng" algn="ctr">
              <a:solidFill>
                <a:srgbClr val="3A3F4B"/>
              </a:solidFill>
              <a:round/>
            </a:ln>
            <a:effectLst/>
          </c:spPr>
        </c:majorGridlines>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1080502687"/>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524"/>
    </a:solidFill>
    <a:ln w="9525" cap="flat" cmpd="sng" algn="ctr">
      <a:solidFill>
        <a:srgbClr val="3F3A36"/>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[Logistics_Shipments_Dashboard.xlsx]Pivots!ptService</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Service Level Mix</a:t>
            </a:r>
          </a:p>
        </c:rich>
      </c:tx>
      <c:layout>
        <c:manualLayout>
          <c:xMode val="edge"/>
          <c:yMode val="edge"/>
          <c:x val="5.1948051948051951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chemeClr val="accent1"/>
          </a:solidFill>
          <a:ln w="19050">
            <a:solidFill>
              <a:srgbClr val="292524"/>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Pivots!$P$5</c:f>
              <c:strCache>
                <c:ptCount val="1"/>
                <c:pt idx="0">
                  <c:v>Total</c:v>
                </c:pt>
              </c:strCache>
            </c:strRef>
          </c:tx>
          <c:spPr>
            <a:ln w="19050">
              <a:solidFill>
                <a:srgbClr val="292524"/>
              </a:solidFill>
            </a:ln>
          </c:spPr>
          <c:dPt>
            <c:idx val="0"/>
            <c:bubble3D val="0"/>
            <c:spPr>
              <a:solidFill>
                <a:schemeClr val="accent1"/>
              </a:solidFill>
              <a:ln w="19050">
                <a:solidFill>
                  <a:srgbClr val="292524"/>
                </a:solidFill>
              </a:ln>
              <a:effectLst/>
            </c:spPr>
          </c:dPt>
          <c:dPt>
            <c:idx val="1"/>
            <c:bubble3D val="0"/>
            <c:spPr>
              <a:solidFill>
                <a:schemeClr val="accent2"/>
              </a:solidFill>
              <a:ln w="19050">
                <a:solidFill>
                  <a:srgbClr val="292524"/>
                </a:solidFill>
              </a:ln>
              <a:effectLst/>
            </c:spPr>
          </c:dPt>
          <c:dPt>
            <c:idx val="2"/>
            <c:bubble3D val="0"/>
            <c:spPr>
              <a:solidFill>
                <a:schemeClr val="accent3"/>
              </a:solidFill>
              <a:ln w="19050">
                <a:solidFill>
                  <a:srgbClr val="292524"/>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Pivots!$O$6:$O$9</c:f>
              <c:strCache>
                <c:ptCount val="3"/>
                <c:pt idx="0">
                  <c:v>Express</c:v>
                </c:pt>
                <c:pt idx="1">
                  <c:v>Standard</c:v>
                </c:pt>
                <c:pt idx="2">
                  <c:v>Economy</c:v>
                </c:pt>
              </c:strCache>
            </c:strRef>
          </c:cat>
          <c:val>
            <c:numRef>
              <c:f>Pivots!$P$6:$P$9</c:f>
              <c:numCache>
                <c:formatCode>#,##0</c:formatCode>
                <c:ptCount val="3"/>
                <c:pt idx="0">
                  <c:v>1161</c:v>
                </c:pt>
                <c:pt idx="1">
                  <c:v>3037</c:v>
                </c:pt>
                <c:pt idx="2">
                  <c:v>1402</c:v>
                </c:pt>
              </c:numCache>
            </c:numRef>
          </c:val>
          <c:extLst>
            <c:ext xmlns:c16="http://schemas.microsoft.com/office/drawing/2014/chart" uri="{C3380CC4-5D6E-409C-BE32-E72D297353CC}">
              <c16:uniqueId val="{00000000-50C7-46A6-9326-FAB61C9CA1A8}"/>
            </c:ext>
          </c:extLst>
        </c:ser>
        <c:dLbls>
          <c:showLegendKey val="0"/>
          <c:showVal val="0"/>
          <c:showCatName val="0"/>
          <c:showSerName val="0"/>
          <c:showPercent val="0"/>
          <c:showBubbleSize val="0"/>
          <c:showLeaderLines val="0"/>
        </c:dLbls>
        <c:firstSliceAng val="0"/>
        <c:holeSize val="65"/>
      </c:doughnutChart>
      <c:spPr>
        <a:noFill/>
        <a:ln>
          <a:noFill/>
        </a:ln>
        <a:effectLst/>
        <a:extLst>
          <a:ext uri="{909E8E84-426E-40DD-AFC4-6F175D3DCCD1}">
            <a14:hiddenFill xmlns:a14="http://schemas.microsoft.com/office/drawing/2010/main">
              <a:noFill/>
            </a14:hiddenFill>
          </a:ext>
        </a:ex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524"/>
    </a:solidFill>
    <a:ln w="9525" cap="flat" cmpd="sng" algn="ctr">
      <a:solidFill>
        <a:srgbClr val="3F3A36"/>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[Logistics_Shipments_Dashboard.xlsx]Pivots!ptCpk</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Cost per Kg</a:t>
            </a:r>
          </a:p>
        </c:rich>
      </c:tx>
      <c:layout>
        <c:manualLayout>
          <c:xMode val="edge"/>
          <c:yMode val="edge"/>
          <c:x val="5.1948051948051951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rgbClr val="0EA5E9"/>
          </a:solidFill>
          <a:ln>
            <a:noFill/>
          </a:ln>
          <a:effectLst/>
          <a:extLst>
            <a:ext uri="{91240B29-F687-4F45-9708-019B960494DF}">
              <a14:hiddenLine xmlns:a14="http://schemas.microsoft.com/office/drawing/2010/main">
                <a:noFill/>
              </a14:hiddenLine>
            </a:ext>
          </a:ex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Pivots!$S$5</c:f>
              <c:strCache>
                <c:ptCount val="1"/>
                <c:pt idx="0">
                  <c:v>Total</c:v>
                </c:pt>
              </c:strCache>
            </c:strRef>
          </c:tx>
          <c:spPr>
            <a:solidFill>
              <a:srgbClr val="0EA5E9"/>
            </a:solidFill>
            <a:ln>
              <a:noFill/>
            </a:ln>
            <a:effectLst/>
            <a:extLst>
              <a:ext uri="{91240B29-F687-4F45-9708-019B960494DF}">
                <a14:hiddenLine xmlns:a14="http://schemas.microsoft.com/office/drawing/2010/main">
                  <a:noFill/>
                </a14:hiddenLine>
              </a:ext>
            </a:ex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Pivots!$R$6:$R$11</c:f>
              <c:strCache>
                <c:ptCount val="5"/>
                <c:pt idx="0">
                  <c:v>RapidRoute</c:v>
                </c:pt>
                <c:pt idx="1">
                  <c:v>BlueArrow</c:v>
                </c:pt>
                <c:pt idx="2">
                  <c:v>CargoMax</c:v>
                </c:pt>
                <c:pt idx="3">
                  <c:v>TransGlobe</c:v>
                </c:pt>
                <c:pt idx="4">
                  <c:v>SwiftLine</c:v>
                </c:pt>
              </c:strCache>
            </c:strRef>
          </c:cat>
          <c:val>
            <c:numRef>
              <c:f>Pivots!$S$6:$S$11</c:f>
              <c:numCache>
                <c:formatCode>"$"0.00</c:formatCode>
                <c:ptCount val="5"/>
                <c:pt idx="0">
                  <c:v>0.77830538970629859</c:v>
                </c:pt>
                <c:pt idx="1">
                  <c:v>0.8600890473383388</c:v>
                </c:pt>
                <c:pt idx="2">
                  <c:v>0.88907701865590916</c:v>
                </c:pt>
                <c:pt idx="3">
                  <c:v>0.91039113051442222</c:v>
                </c:pt>
                <c:pt idx="4">
                  <c:v>0.94917369924106543</c:v>
                </c:pt>
              </c:numCache>
            </c:numRef>
          </c:val>
          <c:extLst>
            <c:ext xmlns:c16="http://schemas.microsoft.com/office/drawing/2014/chart" uri="{C3380CC4-5D6E-409C-BE32-E72D297353CC}">
              <c16:uniqueId val="{00000000-A349-4FF2-912B-76E10C2A24B5}"/>
            </c:ext>
          </c:extLst>
        </c:ser>
        <c:dLbls>
          <c:showLegendKey val="0"/>
          <c:showVal val="0"/>
          <c:showCatName val="0"/>
          <c:showSerName val="0"/>
          <c:showPercent val="0"/>
          <c:showBubbleSize val="0"/>
        </c:dLbls>
        <c:gapWidth val="60"/>
        <c:overlap val="-10"/>
        <c:axId val="1113410815"/>
        <c:axId val="960858335"/>
      </c:barChart>
      <c:catAx>
        <c:axId val="1113410815"/>
        <c:scaling>
          <c:orientation val="minMax"/>
        </c:scaling>
        <c:delete val="0"/>
        <c:axPos val="b"/>
        <c:numFmt formatCode="General" sourceLinked="1"/>
        <c:majorTickMark val="none"/>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960858335"/>
        <c:crosses val="autoZero"/>
        <c:auto val="1"/>
        <c:lblAlgn val="ctr"/>
        <c:lblOffset val="100"/>
        <c:noMultiLvlLbl val="0"/>
      </c:catAx>
      <c:valAx>
        <c:axId val="960858335"/>
        <c:scaling>
          <c:orientation val="minMax"/>
        </c:scaling>
        <c:delete val="1"/>
        <c:axPos val="l"/>
        <c:numFmt formatCode="&quot;$&quot;0.00" sourceLinked="1"/>
        <c:majorTickMark val="none"/>
        <c:minorTickMark val="none"/>
        <c:tickLblPos val="nextTo"/>
        <c:crossAx val="111341081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524"/>
    </a:solidFill>
    <a:ln w="9525" cap="flat" cmpd="sng" algn="ctr">
      <a:solidFill>
        <a:srgbClr val="3F3A36"/>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[Logistics_Shipments_Dashboard.xlsx]Pivots!ptDamage</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Damage Rate Radar</a:t>
            </a:r>
          </a:p>
        </c:rich>
      </c:tx>
      <c:layout>
        <c:manualLayout>
          <c:xMode val="edge"/>
          <c:yMode val="edge"/>
          <c:x val="5.1948051948051951E-2"/>
          <c:y val="2.66666666666666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ln w="28575" cap="rnd">
            <a:solidFill>
              <a:srgbClr val="EF4444"/>
            </a:solidFill>
            <a:round/>
          </a:ln>
          <a:effectLst/>
        </c:spPr>
        <c:marker>
          <c:symbol val="circle"/>
          <c:size val="6"/>
          <c:spPr>
            <a:solidFill>
              <a:srgbClr val="EF4444"/>
            </a:solidFill>
            <a:ln w="28575">
              <a:solidFill>
                <a:srgbClr val="EF4444"/>
              </a:solidFill>
              <a:prstDash val="solid"/>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Pivots!$V$5</c:f>
              <c:strCache>
                <c:ptCount val="1"/>
                <c:pt idx="0">
                  <c:v>Total</c:v>
                </c:pt>
              </c:strCache>
            </c:strRef>
          </c:tx>
          <c:spPr>
            <a:ln w="28575" cap="rnd">
              <a:solidFill>
                <a:srgbClr val="EF4444"/>
              </a:solidFill>
              <a:round/>
            </a:ln>
            <a:effectLst/>
          </c:spPr>
          <c:marker>
            <c:symbol val="circle"/>
            <c:size val="6"/>
            <c:spPr>
              <a:solidFill>
                <a:srgbClr val="EF4444"/>
              </a:solidFill>
              <a:ln w="28575">
                <a:solidFill>
                  <a:srgbClr val="EF4444"/>
                </a:solidFill>
                <a:prstDash val="solid"/>
              </a:ln>
              <a:effectLst/>
            </c:spPr>
          </c:marker>
          <c:cat>
            <c:strRef>
              <c:f>Pivots!$U$6:$U$11</c:f>
              <c:strCache>
                <c:ptCount val="5"/>
                <c:pt idx="0">
                  <c:v>RapidRoute</c:v>
                </c:pt>
                <c:pt idx="1">
                  <c:v>CargoMax</c:v>
                </c:pt>
                <c:pt idx="2">
                  <c:v>TransGlobe</c:v>
                </c:pt>
                <c:pt idx="3">
                  <c:v>BlueArrow</c:v>
                </c:pt>
                <c:pt idx="4">
                  <c:v>SwiftLine</c:v>
                </c:pt>
              </c:strCache>
            </c:strRef>
          </c:cat>
          <c:val>
            <c:numRef>
              <c:f>Pivots!$V$6:$V$11</c:f>
              <c:numCache>
                <c:formatCode>0.00%</c:formatCode>
                <c:ptCount val="5"/>
                <c:pt idx="0">
                  <c:v>2.0253164556962026E-2</c:v>
                </c:pt>
                <c:pt idx="1">
                  <c:v>1.4229249011857707E-2</c:v>
                </c:pt>
                <c:pt idx="2">
                  <c:v>1.3498312710911136E-2</c:v>
                </c:pt>
                <c:pt idx="3">
                  <c:v>1.2644889357218124E-2</c:v>
                </c:pt>
                <c:pt idx="4">
                  <c:v>4.5731707317073168E-3</c:v>
                </c:pt>
              </c:numCache>
            </c:numRef>
          </c:val>
          <c:extLst>
            <c:ext xmlns:c16="http://schemas.microsoft.com/office/drawing/2014/chart" uri="{C3380CC4-5D6E-409C-BE32-E72D297353CC}">
              <c16:uniqueId val="{00000000-9B67-42BB-A9D0-B2748FEAD928}"/>
            </c:ext>
          </c:extLst>
        </c:ser>
        <c:dLbls>
          <c:showLegendKey val="0"/>
          <c:showVal val="0"/>
          <c:showCatName val="0"/>
          <c:showSerName val="0"/>
          <c:showPercent val="0"/>
          <c:showBubbleSize val="0"/>
        </c:dLbls>
        <c:axId val="1103094287"/>
        <c:axId val="960860735"/>
      </c:radarChart>
      <c:catAx>
        <c:axId val="1103094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960860735"/>
        <c:crosses val="autoZero"/>
        <c:auto val="1"/>
        <c:lblAlgn val="ctr"/>
        <c:lblOffset val="100"/>
        <c:noMultiLvlLbl val="0"/>
      </c:catAx>
      <c:valAx>
        <c:axId val="960860735"/>
        <c:scaling>
          <c:orientation val="minMax"/>
        </c:scaling>
        <c:delete val="0"/>
        <c:axPos val="l"/>
        <c:majorGridlines>
          <c:spPr>
            <a:ln w="9525" cap="flat" cmpd="sng" algn="ctr">
              <a:solidFill>
                <a:srgbClr val="3A3F4B"/>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D6D3D1"/>
                </a:solidFill>
                <a:latin typeface="Segoe UI" panose="020B0502040204020203" pitchFamily="34" charset="0"/>
                <a:ea typeface="+mn-ea"/>
                <a:cs typeface="+mn-cs"/>
              </a:defRPr>
            </a:pPr>
            <a:endParaRPr lang="en-US"/>
          </a:p>
        </c:txPr>
        <c:crossAx val="110309428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524"/>
    </a:solidFill>
    <a:ln w="9525" cap="flat" cmpd="sng" algn="ctr">
      <a:solidFill>
        <a:srgbClr val="3F3A36"/>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21</xdr:col>
      <xdr:colOff>0</xdr:colOff>
      <xdr:row>42</xdr:row>
      <xdr:rowOff>0</xdr:rowOff>
    </xdr:to>
    <xdr:graphicFrame macro="">
      <xdr:nvGraphicFramePr>
        <xdr:cNvPr id="2" name="ch_ptCarrier">
          <a:extLst>
            <a:ext uri="{FF2B5EF4-FFF2-40B4-BE49-F238E27FC236}">
              <a16:creationId xmlns:a16="http://schemas.microsoft.com/office/drawing/2014/main" id="{B3FC305C-55C3-3B25-D0A8-6538D16F8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11</xdr:row>
      <xdr:rowOff>0</xdr:rowOff>
    </xdr:from>
    <xdr:to>
      <xdr:col>66</xdr:col>
      <xdr:colOff>0</xdr:colOff>
      <xdr:row>26</xdr:row>
      <xdr:rowOff>0</xdr:rowOff>
    </xdr:to>
    <xdr:graphicFrame macro="">
      <xdr:nvGraphicFramePr>
        <xdr:cNvPr id="3" name="ch_ptTrend">
          <a:extLst>
            <a:ext uri="{FF2B5EF4-FFF2-40B4-BE49-F238E27FC236}">
              <a16:creationId xmlns:a16="http://schemas.microsoft.com/office/drawing/2014/main" id="{63FD9A6E-B2A7-CCCD-F789-0ABD9B922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0</xdr:colOff>
      <xdr:row>27</xdr:row>
      <xdr:rowOff>0</xdr:rowOff>
    </xdr:from>
    <xdr:to>
      <xdr:col>36</xdr:col>
      <xdr:colOff>0</xdr:colOff>
      <xdr:row>42</xdr:row>
      <xdr:rowOff>0</xdr:rowOff>
    </xdr:to>
    <xdr:graphicFrame macro="">
      <xdr:nvGraphicFramePr>
        <xdr:cNvPr id="4" name="ch_ptService">
          <a:extLst>
            <a:ext uri="{FF2B5EF4-FFF2-40B4-BE49-F238E27FC236}">
              <a16:creationId xmlns:a16="http://schemas.microsoft.com/office/drawing/2014/main" id="{68D2BAB1-D373-B8CE-D13F-42659DD90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0</xdr:colOff>
      <xdr:row>27</xdr:row>
      <xdr:rowOff>0</xdr:rowOff>
    </xdr:from>
    <xdr:to>
      <xdr:col>51</xdr:col>
      <xdr:colOff>0</xdr:colOff>
      <xdr:row>42</xdr:row>
      <xdr:rowOff>0</xdr:rowOff>
    </xdr:to>
    <xdr:graphicFrame macro="">
      <xdr:nvGraphicFramePr>
        <xdr:cNvPr id="5" name="ch_ptCpk">
          <a:extLst>
            <a:ext uri="{FF2B5EF4-FFF2-40B4-BE49-F238E27FC236}">
              <a16:creationId xmlns:a16="http://schemas.microsoft.com/office/drawing/2014/main" id="{85784285-2533-8EE0-C6ED-7BAF547AA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52</xdr:col>
      <xdr:colOff>0</xdr:colOff>
      <xdr:row>27</xdr:row>
      <xdr:rowOff>0</xdr:rowOff>
    </xdr:from>
    <xdr:to>
      <xdr:col>66</xdr:col>
      <xdr:colOff>0</xdr:colOff>
      <xdr:row>42</xdr:row>
      <xdr:rowOff>0</xdr:rowOff>
    </xdr:to>
    <xdr:graphicFrame macro="">
      <xdr:nvGraphicFramePr>
        <xdr:cNvPr id="6" name="ch_ptDamage">
          <a:extLst>
            <a:ext uri="{FF2B5EF4-FFF2-40B4-BE49-F238E27FC236}">
              <a16:creationId xmlns:a16="http://schemas.microsoft.com/office/drawing/2014/main" id="{D4B44E80-662D-4F66-AD8B-DD2FF6174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76200</xdr:colOff>
      <xdr:row>43</xdr:row>
      <xdr:rowOff>0</xdr:rowOff>
    </xdr:from>
    <xdr:to>
      <xdr:col>15</xdr:col>
      <xdr:colOff>197826</xdr:colOff>
      <xdr:row>47</xdr:row>
      <xdr:rowOff>0</xdr:rowOff>
    </xdr:to>
    <mc:AlternateContent xmlns:mc="http://schemas.openxmlformats.org/markup-compatibility/2006">
      <mc:Choice xmlns:a14="http://schemas.microsoft.com/office/drawing/2010/main" Requires="a14">
        <xdr:graphicFrame macro="">
          <xdr:nvGraphicFramePr>
            <xdr:cNvPr id="7" name="Warehouse">
              <a:extLst>
                <a:ext uri="{FF2B5EF4-FFF2-40B4-BE49-F238E27FC236}">
                  <a16:creationId xmlns:a16="http://schemas.microsoft.com/office/drawing/2014/main" id="{5100FE0D-1C8E-D4D0-5104-0E3BFA1CE69D}"/>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287867" y="8170333"/>
              <a:ext cx="3084959"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64476</xdr:colOff>
      <xdr:row>43</xdr:row>
      <xdr:rowOff>0</xdr:rowOff>
    </xdr:from>
    <xdr:to>
      <xdr:col>40</xdr:col>
      <xdr:colOff>127487</xdr:colOff>
      <xdr:row>47</xdr:row>
      <xdr:rowOff>0</xdr:rowOff>
    </xdr:to>
    <mc:AlternateContent xmlns:mc="http://schemas.openxmlformats.org/markup-compatibility/2006">
      <mc:Choice xmlns:a14="http://schemas.microsoft.com/office/drawing/2010/main" Requires="a14">
        <xdr:graphicFrame macro="">
          <xdr:nvGraphicFramePr>
            <xdr:cNvPr id="8" name="DestinationRegion">
              <a:extLst>
                <a:ext uri="{FF2B5EF4-FFF2-40B4-BE49-F238E27FC236}">
                  <a16:creationId xmlns:a16="http://schemas.microsoft.com/office/drawing/2014/main" id="{E9B0DFD0-599F-AD48-2837-947DF0AF811E}"/>
                </a:ext>
              </a:extLst>
            </xdr:cNvPr>
            <xdr:cNvGraphicFramePr/>
          </xdr:nvGraphicFramePr>
          <xdr:xfrm>
            <a:off x="0" y="0"/>
            <a:ext cx="0" cy="0"/>
          </xdr:xfrm>
          <a:graphic>
            <a:graphicData uri="http://schemas.microsoft.com/office/drawing/2010/slicer">
              <sle:slicer xmlns:sle="http://schemas.microsoft.com/office/drawing/2010/slicer" name="DestinationRegion"/>
            </a:graphicData>
          </a:graphic>
        </xdr:graphicFrame>
      </mc:Choice>
      <mc:Fallback>
        <xdr:sp macro="" textlink="">
          <xdr:nvSpPr>
            <xdr:cNvPr id="0" name=""/>
            <xdr:cNvSpPr>
              <a:spLocks noTextEdit="1"/>
            </xdr:cNvSpPr>
          </xdr:nvSpPr>
          <xdr:spPr>
            <a:xfrm>
              <a:off x="3451143" y="8170333"/>
              <a:ext cx="5143011"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203688</xdr:colOff>
      <xdr:row>43</xdr:row>
      <xdr:rowOff>0</xdr:rowOff>
    </xdr:from>
    <xdr:to>
      <xdr:col>55</xdr:col>
      <xdr:colOff>115764</xdr:colOff>
      <xdr:row>47</xdr:row>
      <xdr:rowOff>0</xdr:rowOff>
    </xdr:to>
    <mc:AlternateContent xmlns:mc="http://schemas.openxmlformats.org/markup-compatibility/2006">
      <mc:Choice xmlns:a14="http://schemas.microsoft.com/office/drawing/2010/main" Requires="a14">
        <xdr:graphicFrame macro="">
          <xdr:nvGraphicFramePr>
            <xdr:cNvPr id="9" name="ServiceLevel">
              <a:extLst>
                <a:ext uri="{FF2B5EF4-FFF2-40B4-BE49-F238E27FC236}">
                  <a16:creationId xmlns:a16="http://schemas.microsoft.com/office/drawing/2014/main" id="{9D9A1FDE-0A1F-4DD2-3A80-B2A294628001}"/>
                </a:ext>
              </a:extLst>
            </xdr:cNvPr>
            <xdr:cNvGraphicFramePr/>
          </xdr:nvGraphicFramePr>
          <xdr:xfrm>
            <a:off x="0" y="0"/>
            <a:ext cx="0" cy="0"/>
          </xdr:xfrm>
          <a:graphic>
            <a:graphicData uri="http://schemas.microsoft.com/office/drawing/2010/slicer">
              <sle:slicer xmlns:sle="http://schemas.microsoft.com/office/drawing/2010/slicer" name="ServiceLevel"/>
            </a:graphicData>
          </a:graphic>
        </xdr:graphicFrame>
      </mc:Choice>
      <mc:Fallback>
        <xdr:sp macro="" textlink="">
          <xdr:nvSpPr>
            <xdr:cNvPr id="0" name=""/>
            <xdr:cNvSpPr>
              <a:spLocks noTextEdit="1"/>
            </xdr:cNvSpPr>
          </xdr:nvSpPr>
          <xdr:spPr>
            <a:xfrm>
              <a:off x="8670355" y="8170333"/>
              <a:ext cx="3087076"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191965</xdr:colOff>
      <xdr:row>43</xdr:row>
      <xdr:rowOff>0</xdr:rowOff>
    </xdr:from>
    <xdr:to>
      <xdr:col>65</xdr:col>
      <xdr:colOff>133349</xdr:colOff>
      <xdr:row>47</xdr:row>
      <xdr:rowOff>0</xdr:rowOff>
    </xdr:to>
    <mc:AlternateContent xmlns:mc="http://schemas.openxmlformats.org/markup-compatibility/2006">
      <mc:Choice xmlns:a14="http://schemas.microsoft.com/office/drawing/2010/main" Requires="a14">
        <xdr:graphicFrame macro="">
          <xdr:nvGraphicFramePr>
            <xdr:cNvPr id="10" name="CustomerType">
              <a:extLst>
                <a:ext uri="{FF2B5EF4-FFF2-40B4-BE49-F238E27FC236}">
                  <a16:creationId xmlns:a16="http://schemas.microsoft.com/office/drawing/2014/main" id="{19AD3DC3-7A4B-618C-7565-EA59571D1005}"/>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1833632" y="8170333"/>
              <a:ext cx="205805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9.879281365742" createdVersion="5" refreshedVersion="8" minRefreshableVersion="3" recordCount="5600" xr:uid="{EDB7EF11-24FC-4323-A860-DF981E5525DF}">
  <cacheSource type="worksheet">
    <worksheetSource name="tblData"/>
  </cacheSource>
  <cacheFields count="24">
    <cacheField name="ShipmentID" numFmtId="0">
      <sharedItems/>
    </cacheField>
    <cacheField name="ShipDate" numFmtId="165">
      <sharedItems containsSemiMixedTypes="0" containsNonDate="0" containsDate="1" containsString="0" minDate="2024-01-01T00:00:00" maxDate="2026-01-01T00:00:00"/>
    </cacheField>
    <cacheField name="Year" numFmtId="0">
      <sharedItems containsSemiMixedTypes="0" containsString="0" containsNumber="1" containsInteger="1" minValue="2024" maxValue="2025" count="2">
        <n v="2024"/>
        <n v="2025"/>
      </sharedItems>
    </cacheField>
    <cacheField name="Quarter" numFmtId="0">
      <sharedItems/>
    </cacheField>
    <cacheField name="Month" numFmtId="0">
      <sharedItems count="12">
        <s v="Jan"/>
        <s v="Feb"/>
        <s v="Mar"/>
        <s v="Apr"/>
        <s v="May"/>
        <s v="Jun"/>
        <s v="Jul"/>
        <s v="Aug"/>
        <s v="Sep"/>
        <s v="Oct"/>
        <s v="Nov"/>
        <s v="Dec"/>
      </sharedItems>
    </cacheField>
    <cacheField name="Carrier" numFmtId="0">
      <sharedItems count="5">
        <s v="BlueArrow"/>
        <s v="TransGlobe"/>
        <s v="RapidRoute"/>
        <s v="SwiftLine"/>
        <s v="CargoMax"/>
      </sharedItems>
    </cacheField>
    <cacheField name="Warehouse" numFmtId="0">
      <sharedItems count="3">
        <s v="DC-North"/>
        <s v="DC-Coastal"/>
        <s v="DC-Central"/>
      </sharedItems>
    </cacheField>
    <cacheField name="DestinationRegion" numFmtId="0">
      <sharedItems count="5">
        <s v="Western"/>
        <s v="Central"/>
        <s v="Northern"/>
        <s v="Eastern"/>
        <s v="Southern"/>
      </sharedItems>
    </cacheField>
    <cacheField name="ServiceLevel" numFmtId="0">
      <sharedItems count="3">
        <s v="Standard"/>
        <s v="Economy"/>
        <s v="Express"/>
      </sharedItems>
    </cacheField>
    <cacheField name="Mode" numFmtId="0">
      <sharedItems/>
    </cacheField>
    <cacheField name="CustomerType" numFmtId="0">
      <sharedItems count="2">
        <s v="B2B"/>
        <s v="B2C"/>
      </sharedItems>
    </cacheField>
    <cacheField name="WeightKg" numFmtId="166">
      <sharedItems containsSemiMixedTypes="0" containsString="0" containsNumber="1" minValue="0.5" maxValue="674"/>
    </cacheField>
    <cacheField name="DistanceKm" numFmtId="3">
      <sharedItems containsSemiMixedTypes="0" containsString="0" containsNumber="1" containsInteger="1" minValue="131" maxValue="1690"/>
    </cacheField>
    <cacheField name="PromisedDays" numFmtId="0">
      <sharedItems containsSemiMixedTypes="0" containsString="0" containsNumber="1" containsInteger="1" minValue="1" maxValue="7"/>
    </cacheField>
    <cacheField name="ActualDays" numFmtId="0">
      <sharedItems containsSemiMixedTypes="0" containsString="0" containsNumber="1" containsInteger="1" minValue="1" maxValue="12"/>
    </cacheField>
    <cacheField name="OnTime" numFmtId="0">
      <sharedItems containsSemiMixedTypes="0" containsString="0" containsNumber="1" containsInteger="1" minValue="0" maxValue="1"/>
    </cacheField>
    <cacheField name="DelayDays" numFmtId="0">
      <sharedItems containsSemiMixedTypes="0" containsString="0" containsNumber="1" containsInteger="1" minValue="0" maxValue="6"/>
    </cacheField>
    <cacheField name="ShippingCost" numFmtId="167">
      <sharedItems containsSemiMixedTypes="0" containsString="0" containsNumber="1" minValue="4.83" maxValue="619.15"/>
    </cacheField>
    <cacheField name="Damaged" numFmtId="0">
      <sharedItems containsSemiMixedTypes="0" containsString="0" containsNumber="1" containsInteger="1" minValue="0" maxValue="1"/>
    </cacheField>
    <cacheField name="Shipments" numFmtId="0">
      <sharedItems containsSemiMixedTypes="0" containsString="0" containsNumber="1" containsInteger="1" minValue="1" maxValue="1"/>
    </cacheField>
    <cacheField name="OnTimeRate" numFmtId="0" formula="OnTime/Shipments" databaseField="0"/>
    <cacheField name="CostPerKg" numFmtId="0" formula="ShippingCost/WeightKg" databaseField="0"/>
    <cacheField name="CostPerShipment" numFmtId="0" formula="ShippingCost/Shipments" databaseField="0"/>
    <cacheField name="DamageRate" numFmtId="0" formula="Damaged/Shipments" databaseField="0"/>
  </cacheFields>
  <extLst>
    <ext xmlns:x14="http://schemas.microsoft.com/office/spreadsheetml/2009/9/main" uri="{725AE2AE-9491-48be-B2B4-4EB974FC3084}">
      <x14:pivotCacheDefinition pivotCacheId="2081542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0">
  <r>
    <s v="SHP-500001"/>
    <d v="2024-01-01T00:00:00"/>
    <x v="0"/>
    <s v="Q1"/>
    <x v="0"/>
    <x v="0"/>
    <x v="0"/>
    <x v="0"/>
    <x v="0"/>
    <s v="Road"/>
    <x v="0"/>
    <n v="136.30000000000001"/>
    <n v="717"/>
    <n v="4"/>
    <n v="4"/>
    <n v="1"/>
    <n v="0"/>
    <n v="78.91"/>
    <n v="0"/>
    <n v="1"/>
  </r>
  <r>
    <s v="SHP-500002"/>
    <d v="2024-01-01T00:00:00"/>
    <x v="0"/>
    <s v="Q1"/>
    <x v="0"/>
    <x v="1"/>
    <x v="0"/>
    <x v="0"/>
    <x v="1"/>
    <s v="Road"/>
    <x v="1"/>
    <n v="6.4"/>
    <n v="767"/>
    <n v="6"/>
    <n v="6"/>
    <n v="1"/>
    <n v="0"/>
    <n v="14.42"/>
    <n v="1"/>
    <n v="1"/>
  </r>
  <r>
    <s v="SHP-500003"/>
    <d v="2024-01-01T00:00:00"/>
    <x v="0"/>
    <s v="Q1"/>
    <x v="0"/>
    <x v="2"/>
    <x v="1"/>
    <x v="1"/>
    <x v="1"/>
    <s v="Road"/>
    <x v="0"/>
    <n v="40.1"/>
    <n v="224"/>
    <n v="5"/>
    <n v="4"/>
    <n v="1"/>
    <n v="0"/>
    <n v="18.28"/>
    <n v="0"/>
    <n v="1"/>
  </r>
  <r>
    <s v="SHP-500004"/>
    <d v="2024-01-01T00:00:00"/>
    <x v="0"/>
    <s v="Q1"/>
    <x v="0"/>
    <x v="3"/>
    <x v="2"/>
    <x v="0"/>
    <x v="2"/>
    <s v="Air"/>
    <x v="1"/>
    <n v="2.4"/>
    <n v="854"/>
    <n v="2"/>
    <n v="1"/>
    <n v="1"/>
    <n v="0"/>
    <n v="63.83"/>
    <n v="0"/>
    <n v="1"/>
  </r>
  <r>
    <s v="SHP-500005"/>
    <d v="2024-01-01T00:00:00"/>
    <x v="0"/>
    <s v="Q1"/>
    <x v="0"/>
    <x v="2"/>
    <x v="2"/>
    <x v="2"/>
    <x v="0"/>
    <s v="Road"/>
    <x v="1"/>
    <n v="1.3"/>
    <n v="1376"/>
    <n v="5"/>
    <n v="4"/>
    <n v="1"/>
    <n v="0"/>
    <n v="22.02"/>
    <n v="0"/>
    <n v="1"/>
  </r>
  <r>
    <s v="SHP-500006"/>
    <d v="2024-01-01T00:00:00"/>
    <x v="0"/>
    <s v="Q1"/>
    <x v="0"/>
    <x v="1"/>
    <x v="0"/>
    <x v="1"/>
    <x v="0"/>
    <s v="Road"/>
    <x v="1"/>
    <n v="3.8"/>
    <n v="201"/>
    <n v="3"/>
    <n v="3"/>
    <n v="1"/>
    <n v="0"/>
    <n v="12.16"/>
    <n v="0"/>
    <n v="1"/>
  </r>
  <r>
    <s v="SHP-500007"/>
    <d v="2024-01-01T00:00:00"/>
    <x v="0"/>
    <s v="Q1"/>
    <x v="0"/>
    <x v="2"/>
    <x v="0"/>
    <x v="1"/>
    <x v="2"/>
    <s v="Road"/>
    <x v="0"/>
    <n v="63.9"/>
    <n v="239"/>
    <n v="1"/>
    <n v="3"/>
    <n v="0"/>
    <n v="2"/>
    <n v="60.64"/>
    <n v="0"/>
    <n v="1"/>
  </r>
  <r>
    <s v="SHP-500008"/>
    <d v="2024-01-01T00:00:00"/>
    <x v="0"/>
    <s v="Q1"/>
    <x v="0"/>
    <x v="1"/>
    <x v="1"/>
    <x v="0"/>
    <x v="0"/>
    <s v="Road"/>
    <x v="1"/>
    <n v="1.8"/>
    <n v="767"/>
    <n v="4"/>
    <n v="3"/>
    <n v="1"/>
    <n v="0"/>
    <n v="16.88"/>
    <n v="0"/>
    <n v="1"/>
  </r>
  <r>
    <s v="SHP-500009"/>
    <d v="2024-01-02T00:00:00"/>
    <x v="0"/>
    <s v="Q1"/>
    <x v="0"/>
    <x v="1"/>
    <x v="2"/>
    <x v="3"/>
    <x v="0"/>
    <s v="Road"/>
    <x v="0"/>
    <n v="60.8"/>
    <n v="577"/>
    <n v="4"/>
    <n v="3"/>
    <n v="1"/>
    <n v="0"/>
    <n v="44.08"/>
    <n v="0"/>
    <n v="1"/>
  </r>
  <r>
    <s v="SHP-500010"/>
    <d v="2024-01-02T00:00:00"/>
    <x v="0"/>
    <s v="Q1"/>
    <x v="0"/>
    <x v="0"/>
    <x v="1"/>
    <x v="1"/>
    <x v="0"/>
    <s v="Road"/>
    <x v="1"/>
    <n v="11.3"/>
    <n v="222"/>
    <n v="3"/>
    <n v="3"/>
    <n v="1"/>
    <n v="0"/>
    <n v="15.54"/>
    <n v="0"/>
    <n v="1"/>
  </r>
  <r>
    <s v="SHP-500011"/>
    <d v="2024-01-02T00:00:00"/>
    <x v="0"/>
    <s v="Q1"/>
    <x v="0"/>
    <x v="1"/>
    <x v="2"/>
    <x v="4"/>
    <x v="1"/>
    <s v="Road"/>
    <x v="0"/>
    <n v="102.8"/>
    <n v="1269"/>
    <n v="7"/>
    <n v="7"/>
    <n v="1"/>
    <n v="0"/>
    <n v="46.72"/>
    <n v="0"/>
    <n v="1"/>
  </r>
  <r>
    <s v="SHP-500012"/>
    <d v="2024-01-02T00:00:00"/>
    <x v="0"/>
    <s v="Q1"/>
    <x v="0"/>
    <x v="3"/>
    <x v="1"/>
    <x v="0"/>
    <x v="1"/>
    <s v="Road"/>
    <x v="0"/>
    <n v="90.7"/>
    <n v="848"/>
    <n v="6"/>
    <n v="6"/>
    <n v="1"/>
    <n v="0"/>
    <n v="50.12"/>
    <n v="0"/>
    <n v="1"/>
  </r>
  <r>
    <s v="SHP-500013"/>
    <d v="2024-01-02T00:00:00"/>
    <x v="0"/>
    <s v="Q1"/>
    <x v="0"/>
    <x v="2"/>
    <x v="2"/>
    <x v="0"/>
    <x v="0"/>
    <s v="Road"/>
    <x v="1"/>
    <n v="3.4"/>
    <n v="943"/>
    <n v="4"/>
    <n v="4"/>
    <n v="1"/>
    <n v="0"/>
    <n v="18.3"/>
    <n v="0"/>
    <n v="1"/>
  </r>
  <r>
    <s v="SHP-500014"/>
    <d v="2024-01-02T00:00:00"/>
    <x v="0"/>
    <s v="Q1"/>
    <x v="0"/>
    <x v="0"/>
    <x v="1"/>
    <x v="4"/>
    <x v="0"/>
    <s v="Road"/>
    <x v="1"/>
    <n v="10.3"/>
    <n v="1101"/>
    <n v="5"/>
    <n v="5"/>
    <n v="1"/>
    <n v="0"/>
    <n v="26.19"/>
    <n v="0"/>
    <n v="1"/>
  </r>
  <r>
    <s v="SHP-500015"/>
    <d v="2024-01-02T00:00:00"/>
    <x v="0"/>
    <s v="Q1"/>
    <x v="0"/>
    <x v="3"/>
    <x v="1"/>
    <x v="0"/>
    <x v="0"/>
    <s v="Road"/>
    <x v="1"/>
    <n v="7.2"/>
    <n v="985"/>
    <n v="4"/>
    <n v="4"/>
    <n v="1"/>
    <n v="0"/>
    <n v="26.26"/>
    <n v="0"/>
    <n v="1"/>
  </r>
  <r>
    <s v="SHP-500016"/>
    <d v="2024-01-02T00:00:00"/>
    <x v="0"/>
    <s v="Q1"/>
    <x v="0"/>
    <x v="4"/>
    <x v="2"/>
    <x v="1"/>
    <x v="0"/>
    <s v="Road"/>
    <x v="0"/>
    <n v="43.2"/>
    <n v="283"/>
    <n v="3"/>
    <n v="2"/>
    <n v="1"/>
    <n v="0"/>
    <n v="32.89"/>
    <n v="0"/>
    <n v="1"/>
  </r>
  <r>
    <s v="SHP-500017"/>
    <d v="2024-01-03T00:00:00"/>
    <x v="0"/>
    <s v="Q1"/>
    <x v="0"/>
    <x v="3"/>
    <x v="2"/>
    <x v="0"/>
    <x v="0"/>
    <s v="Road"/>
    <x v="1"/>
    <n v="1.2"/>
    <n v="1053"/>
    <n v="4"/>
    <n v="6"/>
    <n v="0"/>
    <n v="2"/>
    <n v="20.260000000000002"/>
    <n v="0"/>
    <n v="1"/>
  </r>
  <r>
    <s v="SHP-500018"/>
    <d v="2024-01-03T00:00:00"/>
    <x v="0"/>
    <s v="Q1"/>
    <x v="0"/>
    <x v="0"/>
    <x v="1"/>
    <x v="0"/>
    <x v="0"/>
    <s v="Road"/>
    <x v="1"/>
    <n v="12.9"/>
    <n v="691"/>
    <n v="4"/>
    <n v="4"/>
    <n v="1"/>
    <n v="0"/>
    <n v="20.8"/>
    <n v="0"/>
    <n v="1"/>
  </r>
  <r>
    <s v="SHP-500019"/>
    <d v="2024-01-03T00:00:00"/>
    <x v="0"/>
    <s v="Q1"/>
    <x v="0"/>
    <x v="4"/>
    <x v="1"/>
    <x v="1"/>
    <x v="1"/>
    <s v="Road"/>
    <x v="1"/>
    <n v="3.6"/>
    <n v="313"/>
    <n v="5"/>
    <n v="4"/>
    <n v="1"/>
    <n v="0"/>
    <n v="8.56"/>
    <n v="0"/>
    <n v="1"/>
  </r>
  <r>
    <s v="SHP-500020"/>
    <d v="2024-01-03T00:00:00"/>
    <x v="0"/>
    <s v="Q1"/>
    <x v="0"/>
    <x v="4"/>
    <x v="2"/>
    <x v="0"/>
    <x v="0"/>
    <s v="Road"/>
    <x v="0"/>
    <n v="94.9"/>
    <n v="947"/>
    <n v="4"/>
    <n v="4"/>
    <n v="1"/>
    <n v="0"/>
    <n v="58.37"/>
    <n v="0"/>
    <n v="1"/>
  </r>
  <r>
    <s v="SHP-500021"/>
    <d v="2024-01-03T00:00:00"/>
    <x v="0"/>
    <s v="Q1"/>
    <x v="0"/>
    <x v="3"/>
    <x v="2"/>
    <x v="0"/>
    <x v="0"/>
    <s v="Road"/>
    <x v="1"/>
    <n v="9.5"/>
    <n v="1184"/>
    <n v="4"/>
    <n v="3"/>
    <n v="1"/>
    <n v="0"/>
    <n v="29.94"/>
    <n v="0"/>
    <n v="1"/>
  </r>
  <r>
    <s v="SHP-500022"/>
    <d v="2024-01-04T00:00:00"/>
    <x v="0"/>
    <s v="Q1"/>
    <x v="0"/>
    <x v="1"/>
    <x v="2"/>
    <x v="3"/>
    <x v="0"/>
    <s v="Road"/>
    <x v="1"/>
    <n v="2.2000000000000002"/>
    <n v="497"/>
    <n v="4"/>
    <n v="6"/>
    <n v="0"/>
    <n v="2"/>
    <n v="14.74"/>
    <n v="0"/>
    <n v="1"/>
  </r>
  <r>
    <s v="SHP-500023"/>
    <d v="2024-01-04T00:00:00"/>
    <x v="0"/>
    <s v="Q1"/>
    <x v="0"/>
    <x v="1"/>
    <x v="0"/>
    <x v="3"/>
    <x v="0"/>
    <s v="Road"/>
    <x v="1"/>
    <n v="13.6"/>
    <n v="535"/>
    <n v="4"/>
    <n v="4"/>
    <n v="1"/>
    <n v="0"/>
    <n v="20.83"/>
    <n v="0"/>
    <n v="1"/>
  </r>
  <r>
    <s v="SHP-500024"/>
    <d v="2024-01-04T00:00:00"/>
    <x v="0"/>
    <s v="Q1"/>
    <x v="0"/>
    <x v="3"/>
    <x v="1"/>
    <x v="4"/>
    <x v="0"/>
    <s v="Road"/>
    <x v="0"/>
    <n v="57.6"/>
    <n v="713"/>
    <n v="5"/>
    <n v="5"/>
    <n v="1"/>
    <n v="0"/>
    <n v="45.58"/>
    <n v="0"/>
    <n v="1"/>
  </r>
  <r>
    <s v="SHP-500025"/>
    <d v="2024-01-04T00:00:00"/>
    <x v="0"/>
    <s v="Q1"/>
    <x v="0"/>
    <x v="1"/>
    <x v="0"/>
    <x v="2"/>
    <x v="1"/>
    <s v="Road"/>
    <x v="0"/>
    <n v="36.299999999999997"/>
    <n v="1005"/>
    <n v="7"/>
    <n v="6"/>
    <n v="1"/>
    <n v="0"/>
    <n v="27.62"/>
    <n v="0"/>
    <n v="1"/>
  </r>
  <r>
    <s v="SHP-500026"/>
    <d v="2024-01-04T00:00:00"/>
    <x v="0"/>
    <s v="Q1"/>
    <x v="0"/>
    <x v="2"/>
    <x v="1"/>
    <x v="0"/>
    <x v="0"/>
    <s v="Road"/>
    <x v="1"/>
    <n v="4.5"/>
    <n v="860"/>
    <n v="4"/>
    <n v="4"/>
    <n v="1"/>
    <n v="0"/>
    <n v="15.31"/>
    <n v="0"/>
    <n v="1"/>
  </r>
  <r>
    <s v="SHP-500027"/>
    <d v="2024-01-04T00:00:00"/>
    <x v="0"/>
    <s v="Q1"/>
    <x v="0"/>
    <x v="2"/>
    <x v="0"/>
    <x v="1"/>
    <x v="1"/>
    <s v="Road"/>
    <x v="1"/>
    <n v="2.9"/>
    <n v="267"/>
    <n v="5"/>
    <n v="5"/>
    <n v="1"/>
    <n v="0"/>
    <n v="6.83"/>
    <n v="0"/>
    <n v="1"/>
  </r>
  <r>
    <s v="SHP-500028"/>
    <d v="2024-01-04T00:00:00"/>
    <x v="0"/>
    <s v="Q1"/>
    <x v="0"/>
    <x v="2"/>
    <x v="1"/>
    <x v="1"/>
    <x v="0"/>
    <s v="Road"/>
    <x v="1"/>
    <n v="4.9000000000000004"/>
    <n v="218"/>
    <n v="3"/>
    <n v="2"/>
    <n v="1"/>
    <n v="0"/>
    <n v="11.59"/>
    <n v="0"/>
    <n v="1"/>
  </r>
  <r>
    <s v="SHP-500029"/>
    <d v="2024-01-04T00:00:00"/>
    <x v="0"/>
    <s v="Q1"/>
    <x v="0"/>
    <x v="1"/>
    <x v="2"/>
    <x v="0"/>
    <x v="0"/>
    <s v="Road"/>
    <x v="1"/>
    <n v="1.7"/>
    <n v="1005"/>
    <n v="4"/>
    <n v="4"/>
    <n v="1"/>
    <n v="0"/>
    <n v="21.08"/>
    <n v="0"/>
    <n v="1"/>
  </r>
  <r>
    <s v="SHP-500030"/>
    <d v="2024-01-04T00:00:00"/>
    <x v="0"/>
    <s v="Q1"/>
    <x v="0"/>
    <x v="2"/>
    <x v="1"/>
    <x v="3"/>
    <x v="2"/>
    <s v="Road"/>
    <x v="1"/>
    <n v="8.6"/>
    <n v="495"/>
    <n v="2"/>
    <n v="6"/>
    <n v="0"/>
    <n v="4"/>
    <n v="27.32"/>
    <n v="0"/>
    <n v="1"/>
  </r>
  <r>
    <s v="SHP-500031"/>
    <d v="2024-01-05T00:00:00"/>
    <x v="0"/>
    <s v="Q1"/>
    <x v="0"/>
    <x v="3"/>
    <x v="2"/>
    <x v="3"/>
    <x v="0"/>
    <s v="Road"/>
    <x v="0"/>
    <n v="147.4"/>
    <n v="368"/>
    <n v="4"/>
    <n v="4"/>
    <n v="1"/>
    <n v="0"/>
    <n v="81.03"/>
    <n v="0"/>
    <n v="1"/>
  </r>
  <r>
    <s v="SHP-500032"/>
    <d v="2024-01-05T00:00:00"/>
    <x v="0"/>
    <s v="Q1"/>
    <x v="0"/>
    <x v="4"/>
    <x v="1"/>
    <x v="0"/>
    <x v="2"/>
    <s v="Air"/>
    <x v="1"/>
    <n v="13.9"/>
    <n v="1038"/>
    <n v="2"/>
    <n v="2"/>
    <n v="1"/>
    <n v="0"/>
    <n v="83.56"/>
    <n v="0"/>
    <n v="1"/>
  </r>
  <r>
    <s v="SHP-500033"/>
    <d v="2024-01-05T00:00:00"/>
    <x v="0"/>
    <s v="Q1"/>
    <x v="0"/>
    <x v="1"/>
    <x v="2"/>
    <x v="0"/>
    <x v="2"/>
    <s v="Air"/>
    <x v="1"/>
    <n v="4.8"/>
    <n v="996"/>
    <n v="2"/>
    <n v="2"/>
    <n v="1"/>
    <n v="0"/>
    <n v="70.94"/>
    <n v="0"/>
    <n v="1"/>
  </r>
  <r>
    <s v="SHP-500034"/>
    <d v="2024-01-05T00:00:00"/>
    <x v="0"/>
    <s v="Q1"/>
    <x v="0"/>
    <x v="2"/>
    <x v="2"/>
    <x v="1"/>
    <x v="2"/>
    <s v="Road"/>
    <x v="1"/>
    <n v="7.1"/>
    <n v="323"/>
    <n v="1"/>
    <n v="1"/>
    <n v="1"/>
    <n v="0"/>
    <n v="23.39"/>
    <n v="0"/>
    <n v="1"/>
  </r>
  <r>
    <s v="SHP-500035"/>
    <d v="2024-01-05T00:00:00"/>
    <x v="0"/>
    <s v="Q1"/>
    <x v="0"/>
    <x v="4"/>
    <x v="0"/>
    <x v="2"/>
    <x v="0"/>
    <s v="Road"/>
    <x v="1"/>
    <n v="1.5"/>
    <n v="965"/>
    <n v="5"/>
    <n v="5"/>
    <n v="1"/>
    <n v="0"/>
    <n v="17.79"/>
    <n v="0"/>
    <n v="1"/>
  </r>
  <r>
    <s v="SHP-500036"/>
    <d v="2024-01-05T00:00:00"/>
    <x v="0"/>
    <s v="Q1"/>
    <x v="0"/>
    <x v="4"/>
    <x v="1"/>
    <x v="1"/>
    <x v="0"/>
    <s v="Road"/>
    <x v="1"/>
    <n v="3.9"/>
    <n v="221"/>
    <n v="3"/>
    <n v="4"/>
    <n v="0"/>
    <n v="1"/>
    <n v="11.45"/>
    <n v="0"/>
    <n v="1"/>
  </r>
  <r>
    <s v="SHP-500037"/>
    <d v="2024-01-05T00:00:00"/>
    <x v="0"/>
    <s v="Q1"/>
    <x v="0"/>
    <x v="1"/>
    <x v="2"/>
    <x v="3"/>
    <x v="0"/>
    <s v="Road"/>
    <x v="0"/>
    <n v="99.2"/>
    <n v="529"/>
    <n v="4"/>
    <n v="3"/>
    <n v="1"/>
    <n v="0"/>
    <n v="59.41"/>
    <n v="0"/>
    <n v="1"/>
  </r>
  <r>
    <s v="SHP-500038"/>
    <d v="2024-01-05T00:00:00"/>
    <x v="0"/>
    <s v="Q1"/>
    <x v="0"/>
    <x v="4"/>
    <x v="2"/>
    <x v="4"/>
    <x v="0"/>
    <s v="Road"/>
    <x v="0"/>
    <n v="46.4"/>
    <n v="1089"/>
    <n v="5"/>
    <n v="4"/>
    <n v="1"/>
    <n v="0"/>
    <n v="42.49"/>
    <n v="1"/>
    <n v="1"/>
  </r>
  <r>
    <s v="SHP-500039"/>
    <d v="2024-01-05T00:00:00"/>
    <x v="0"/>
    <s v="Q1"/>
    <x v="0"/>
    <x v="4"/>
    <x v="1"/>
    <x v="3"/>
    <x v="0"/>
    <s v="Road"/>
    <x v="1"/>
    <n v="12"/>
    <n v="453"/>
    <n v="4"/>
    <n v="3"/>
    <n v="1"/>
    <n v="0"/>
    <n v="19.45"/>
    <n v="0"/>
    <n v="1"/>
  </r>
  <r>
    <s v="SHP-500040"/>
    <d v="2024-01-06T00:00:00"/>
    <x v="0"/>
    <s v="Q1"/>
    <x v="0"/>
    <x v="0"/>
    <x v="2"/>
    <x v="3"/>
    <x v="1"/>
    <s v="Road"/>
    <x v="1"/>
    <n v="17.100000000000001"/>
    <n v="380"/>
    <n v="6"/>
    <n v="7"/>
    <n v="0"/>
    <n v="1"/>
    <n v="16.09"/>
    <n v="0"/>
    <n v="1"/>
  </r>
  <r>
    <s v="SHP-500041"/>
    <d v="2024-01-06T00:00:00"/>
    <x v="0"/>
    <s v="Q1"/>
    <x v="0"/>
    <x v="2"/>
    <x v="1"/>
    <x v="4"/>
    <x v="2"/>
    <s v="Air"/>
    <x v="1"/>
    <n v="14.7"/>
    <n v="1094"/>
    <n v="3"/>
    <n v="3"/>
    <n v="1"/>
    <n v="0"/>
    <n v="70.2"/>
    <n v="0"/>
    <n v="1"/>
  </r>
  <r>
    <s v="SHP-500042"/>
    <d v="2024-01-07T00:00:00"/>
    <x v="0"/>
    <s v="Q1"/>
    <x v="0"/>
    <x v="3"/>
    <x v="0"/>
    <x v="0"/>
    <x v="0"/>
    <s v="Road"/>
    <x v="0"/>
    <n v="80.900000000000006"/>
    <n v="1123"/>
    <n v="4"/>
    <n v="4"/>
    <n v="1"/>
    <n v="0"/>
    <n v="62"/>
    <n v="0"/>
    <n v="1"/>
  </r>
  <r>
    <s v="SHP-500043"/>
    <d v="2024-01-07T00:00:00"/>
    <x v="0"/>
    <s v="Q1"/>
    <x v="0"/>
    <x v="4"/>
    <x v="1"/>
    <x v="2"/>
    <x v="1"/>
    <s v="Road"/>
    <x v="0"/>
    <n v="60"/>
    <n v="1025"/>
    <n v="7"/>
    <n v="7"/>
    <n v="1"/>
    <n v="0"/>
    <n v="31.62"/>
    <n v="0"/>
    <n v="1"/>
  </r>
  <r>
    <s v="SHP-500044"/>
    <d v="2024-01-07T00:00:00"/>
    <x v="0"/>
    <s v="Q1"/>
    <x v="0"/>
    <x v="4"/>
    <x v="1"/>
    <x v="1"/>
    <x v="0"/>
    <s v="Road"/>
    <x v="0"/>
    <n v="105.5"/>
    <n v="312"/>
    <n v="3"/>
    <n v="3"/>
    <n v="1"/>
    <n v="0"/>
    <n v="62.66"/>
    <n v="0"/>
    <n v="1"/>
  </r>
  <r>
    <s v="SHP-500045"/>
    <d v="2024-01-08T00:00:00"/>
    <x v="0"/>
    <s v="Q1"/>
    <x v="0"/>
    <x v="3"/>
    <x v="0"/>
    <x v="4"/>
    <x v="0"/>
    <s v="Road"/>
    <x v="1"/>
    <n v="18.600000000000001"/>
    <n v="1306"/>
    <n v="5"/>
    <n v="5"/>
    <n v="1"/>
    <n v="0"/>
    <n v="35.33"/>
    <n v="0"/>
    <n v="1"/>
  </r>
  <r>
    <s v="SHP-500046"/>
    <d v="2024-01-08T00:00:00"/>
    <x v="0"/>
    <s v="Q1"/>
    <x v="0"/>
    <x v="2"/>
    <x v="0"/>
    <x v="2"/>
    <x v="0"/>
    <s v="Road"/>
    <x v="1"/>
    <n v="5"/>
    <n v="1078"/>
    <n v="5"/>
    <n v="5"/>
    <n v="1"/>
    <n v="0"/>
    <n v="18.440000000000001"/>
    <n v="0"/>
    <n v="1"/>
  </r>
  <r>
    <s v="SHP-500047"/>
    <d v="2024-01-08T00:00:00"/>
    <x v="0"/>
    <s v="Q1"/>
    <x v="0"/>
    <x v="1"/>
    <x v="0"/>
    <x v="4"/>
    <x v="0"/>
    <s v="Road"/>
    <x v="1"/>
    <n v="7.7"/>
    <n v="696"/>
    <n v="5"/>
    <n v="5"/>
    <n v="1"/>
    <n v="0"/>
    <n v="20.43"/>
    <n v="0"/>
    <n v="1"/>
  </r>
  <r>
    <s v="SHP-500048"/>
    <d v="2024-01-08T00:00:00"/>
    <x v="0"/>
    <s v="Q1"/>
    <x v="0"/>
    <x v="3"/>
    <x v="0"/>
    <x v="2"/>
    <x v="2"/>
    <s v="Air"/>
    <x v="0"/>
    <n v="10.5"/>
    <n v="911"/>
    <n v="3"/>
    <n v="4"/>
    <n v="0"/>
    <n v="1"/>
    <n v="79.180000000000007"/>
    <n v="0"/>
    <n v="1"/>
  </r>
  <r>
    <s v="SHP-500049"/>
    <d v="2024-01-08T00:00:00"/>
    <x v="0"/>
    <s v="Q1"/>
    <x v="0"/>
    <x v="3"/>
    <x v="2"/>
    <x v="1"/>
    <x v="2"/>
    <s v="Road"/>
    <x v="0"/>
    <n v="57.5"/>
    <n v="270"/>
    <n v="1"/>
    <n v="4"/>
    <n v="0"/>
    <n v="3"/>
    <n v="82.84"/>
    <n v="0"/>
    <n v="1"/>
  </r>
  <r>
    <s v="SHP-500050"/>
    <d v="2024-01-08T00:00:00"/>
    <x v="0"/>
    <s v="Q1"/>
    <x v="0"/>
    <x v="3"/>
    <x v="2"/>
    <x v="4"/>
    <x v="2"/>
    <s v="Air"/>
    <x v="1"/>
    <n v="13.5"/>
    <n v="891"/>
    <n v="3"/>
    <n v="2"/>
    <n v="1"/>
    <n v="0"/>
    <n v="85.95"/>
    <n v="0"/>
    <n v="1"/>
  </r>
  <r>
    <s v="SHP-500051"/>
    <d v="2024-01-08T00:00:00"/>
    <x v="0"/>
    <s v="Q1"/>
    <x v="0"/>
    <x v="3"/>
    <x v="1"/>
    <x v="0"/>
    <x v="2"/>
    <s v="Air"/>
    <x v="0"/>
    <n v="69.400000000000006"/>
    <n v="969"/>
    <n v="2"/>
    <n v="2"/>
    <n v="1"/>
    <n v="0"/>
    <n v="161.26"/>
    <n v="0"/>
    <n v="1"/>
  </r>
  <r>
    <s v="SHP-500052"/>
    <d v="2024-01-08T00:00:00"/>
    <x v="0"/>
    <s v="Q1"/>
    <x v="0"/>
    <x v="2"/>
    <x v="1"/>
    <x v="0"/>
    <x v="0"/>
    <s v="Road"/>
    <x v="1"/>
    <n v="1.9"/>
    <n v="1230"/>
    <n v="4"/>
    <n v="6"/>
    <n v="0"/>
    <n v="2"/>
    <n v="20.52"/>
    <n v="0"/>
    <n v="1"/>
  </r>
  <r>
    <s v="SHP-500053"/>
    <d v="2024-01-09T00:00:00"/>
    <x v="0"/>
    <s v="Q1"/>
    <x v="0"/>
    <x v="0"/>
    <x v="2"/>
    <x v="3"/>
    <x v="2"/>
    <s v="Road"/>
    <x v="0"/>
    <n v="162.19999999999999"/>
    <n v="588"/>
    <n v="2"/>
    <n v="1"/>
    <n v="1"/>
    <n v="0"/>
    <n v="163.33000000000001"/>
    <n v="0"/>
    <n v="1"/>
  </r>
  <r>
    <s v="SHP-500054"/>
    <d v="2024-01-09T00:00:00"/>
    <x v="0"/>
    <s v="Q1"/>
    <x v="0"/>
    <x v="0"/>
    <x v="2"/>
    <x v="1"/>
    <x v="1"/>
    <s v="Road"/>
    <x v="0"/>
    <n v="43.1"/>
    <n v="248"/>
    <n v="5"/>
    <n v="5"/>
    <n v="1"/>
    <n v="0"/>
    <n v="21.33"/>
    <n v="0"/>
    <n v="1"/>
  </r>
  <r>
    <s v="SHP-500055"/>
    <d v="2024-01-09T00:00:00"/>
    <x v="0"/>
    <s v="Q1"/>
    <x v="0"/>
    <x v="2"/>
    <x v="2"/>
    <x v="0"/>
    <x v="2"/>
    <s v="Air"/>
    <x v="0"/>
    <n v="114.2"/>
    <n v="859"/>
    <n v="2"/>
    <n v="1"/>
    <n v="1"/>
    <n v="0"/>
    <n v="163.59"/>
    <n v="0"/>
    <n v="1"/>
  </r>
  <r>
    <s v="SHP-500056"/>
    <d v="2024-01-09T00:00:00"/>
    <x v="0"/>
    <s v="Q1"/>
    <x v="0"/>
    <x v="4"/>
    <x v="0"/>
    <x v="1"/>
    <x v="2"/>
    <s v="Road"/>
    <x v="1"/>
    <n v="3.8"/>
    <n v="293"/>
    <n v="1"/>
    <n v="1"/>
    <n v="1"/>
    <n v="0"/>
    <n v="22.26"/>
    <n v="0"/>
    <n v="1"/>
  </r>
  <r>
    <s v="SHP-500057"/>
    <d v="2024-01-09T00:00:00"/>
    <x v="0"/>
    <s v="Q1"/>
    <x v="0"/>
    <x v="3"/>
    <x v="1"/>
    <x v="0"/>
    <x v="0"/>
    <s v="Road"/>
    <x v="1"/>
    <n v="7.6"/>
    <n v="874"/>
    <n v="4"/>
    <n v="4"/>
    <n v="1"/>
    <n v="0"/>
    <n v="22.85"/>
    <n v="0"/>
    <n v="1"/>
  </r>
  <r>
    <s v="SHP-500058"/>
    <d v="2024-01-09T00:00:00"/>
    <x v="0"/>
    <s v="Q1"/>
    <x v="0"/>
    <x v="2"/>
    <x v="0"/>
    <x v="0"/>
    <x v="2"/>
    <s v="Air"/>
    <x v="1"/>
    <n v="2.6"/>
    <n v="830"/>
    <n v="2"/>
    <n v="4"/>
    <n v="0"/>
    <n v="2"/>
    <n v="49.91"/>
    <n v="0"/>
    <n v="1"/>
  </r>
  <r>
    <s v="SHP-500059"/>
    <d v="2024-01-10T00:00:00"/>
    <x v="0"/>
    <s v="Q1"/>
    <x v="0"/>
    <x v="0"/>
    <x v="1"/>
    <x v="1"/>
    <x v="0"/>
    <s v="Road"/>
    <x v="0"/>
    <n v="103.2"/>
    <n v="228"/>
    <n v="3"/>
    <n v="3"/>
    <n v="1"/>
    <n v="0"/>
    <n v="51.91"/>
    <n v="0"/>
    <n v="1"/>
  </r>
  <r>
    <s v="SHP-500060"/>
    <d v="2024-01-10T00:00:00"/>
    <x v="0"/>
    <s v="Q1"/>
    <x v="0"/>
    <x v="3"/>
    <x v="0"/>
    <x v="4"/>
    <x v="0"/>
    <s v="Road"/>
    <x v="0"/>
    <n v="64.400000000000006"/>
    <n v="1073"/>
    <n v="5"/>
    <n v="10"/>
    <n v="0"/>
    <n v="5"/>
    <n v="54.99"/>
    <n v="0"/>
    <n v="1"/>
  </r>
  <r>
    <s v="SHP-500061"/>
    <d v="2024-01-10T00:00:00"/>
    <x v="0"/>
    <s v="Q1"/>
    <x v="0"/>
    <x v="3"/>
    <x v="0"/>
    <x v="3"/>
    <x v="2"/>
    <s v="Road"/>
    <x v="1"/>
    <n v="2"/>
    <n v="527"/>
    <n v="2"/>
    <n v="2"/>
    <n v="1"/>
    <n v="0"/>
    <n v="28.92"/>
    <n v="0"/>
    <n v="1"/>
  </r>
  <r>
    <s v="SHP-500062"/>
    <d v="2024-01-10T00:00:00"/>
    <x v="0"/>
    <s v="Q1"/>
    <x v="0"/>
    <x v="4"/>
    <x v="2"/>
    <x v="4"/>
    <x v="2"/>
    <s v="Air"/>
    <x v="0"/>
    <n v="178.7"/>
    <n v="1261"/>
    <n v="3"/>
    <n v="3"/>
    <n v="1"/>
    <n v="0"/>
    <n v="267.24"/>
    <n v="0"/>
    <n v="1"/>
  </r>
  <r>
    <s v="SHP-500063"/>
    <d v="2024-01-10T00:00:00"/>
    <x v="0"/>
    <s v="Q1"/>
    <x v="0"/>
    <x v="2"/>
    <x v="2"/>
    <x v="0"/>
    <x v="1"/>
    <s v="Road"/>
    <x v="1"/>
    <n v="10.7"/>
    <n v="784"/>
    <n v="6"/>
    <n v="8"/>
    <n v="0"/>
    <n v="2"/>
    <n v="14.72"/>
    <n v="0"/>
    <n v="1"/>
  </r>
  <r>
    <s v="SHP-500064"/>
    <d v="2024-01-10T00:00:00"/>
    <x v="0"/>
    <s v="Q1"/>
    <x v="0"/>
    <x v="2"/>
    <x v="0"/>
    <x v="4"/>
    <x v="1"/>
    <s v="Road"/>
    <x v="1"/>
    <n v="1.2"/>
    <n v="876"/>
    <n v="7"/>
    <n v="7"/>
    <n v="1"/>
    <n v="0"/>
    <n v="11.3"/>
    <n v="0"/>
    <n v="1"/>
  </r>
  <r>
    <s v="SHP-500065"/>
    <d v="2024-01-10T00:00:00"/>
    <x v="0"/>
    <s v="Q1"/>
    <x v="0"/>
    <x v="4"/>
    <x v="1"/>
    <x v="1"/>
    <x v="1"/>
    <s v="Road"/>
    <x v="0"/>
    <n v="97"/>
    <n v="253"/>
    <n v="5"/>
    <n v="5"/>
    <n v="1"/>
    <n v="0"/>
    <n v="42.16"/>
    <n v="0"/>
    <n v="1"/>
  </r>
  <r>
    <s v="SHP-500066"/>
    <d v="2024-01-10T00:00:00"/>
    <x v="0"/>
    <s v="Q1"/>
    <x v="0"/>
    <x v="2"/>
    <x v="0"/>
    <x v="1"/>
    <x v="1"/>
    <s v="Road"/>
    <x v="1"/>
    <n v="7.4"/>
    <n v="312"/>
    <n v="5"/>
    <n v="5"/>
    <n v="1"/>
    <n v="0"/>
    <n v="8.9700000000000006"/>
    <n v="0"/>
    <n v="1"/>
  </r>
  <r>
    <s v="SHP-500067"/>
    <d v="2024-01-11T00:00:00"/>
    <x v="0"/>
    <s v="Q1"/>
    <x v="0"/>
    <x v="4"/>
    <x v="2"/>
    <x v="1"/>
    <x v="0"/>
    <s v="Road"/>
    <x v="1"/>
    <n v="9"/>
    <n v="218"/>
    <n v="3"/>
    <n v="3"/>
    <n v="1"/>
    <n v="0"/>
    <n v="13.87"/>
    <n v="0"/>
    <n v="1"/>
  </r>
  <r>
    <s v="SHP-500068"/>
    <d v="2024-01-11T00:00:00"/>
    <x v="0"/>
    <s v="Q1"/>
    <x v="0"/>
    <x v="2"/>
    <x v="1"/>
    <x v="3"/>
    <x v="0"/>
    <s v="Road"/>
    <x v="0"/>
    <n v="80.7"/>
    <n v="498"/>
    <n v="4"/>
    <n v="4"/>
    <n v="1"/>
    <n v="0"/>
    <n v="38.119999999999997"/>
    <n v="0"/>
    <n v="1"/>
  </r>
  <r>
    <s v="SHP-500069"/>
    <d v="2024-01-11T00:00:00"/>
    <x v="0"/>
    <s v="Q1"/>
    <x v="0"/>
    <x v="2"/>
    <x v="2"/>
    <x v="1"/>
    <x v="0"/>
    <s v="Road"/>
    <x v="1"/>
    <n v="0.9"/>
    <n v="285"/>
    <n v="3"/>
    <n v="3"/>
    <n v="1"/>
    <n v="0"/>
    <n v="9.27"/>
    <n v="0"/>
    <n v="1"/>
  </r>
  <r>
    <s v="SHP-500070"/>
    <d v="2024-01-12T00:00:00"/>
    <x v="0"/>
    <s v="Q1"/>
    <x v="0"/>
    <x v="0"/>
    <x v="1"/>
    <x v="4"/>
    <x v="2"/>
    <s v="Air"/>
    <x v="1"/>
    <n v="2.2000000000000002"/>
    <n v="999"/>
    <n v="3"/>
    <n v="3"/>
    <n v="1"/>
    <n v="0"/>
    <n v="58.95"/>
    <n v="0"/>
    <n v="1"/>
  </r>
  <r>
    <s v="SHP-500071"/>
    <d v="2024-01-12T00:00:00"/>
    <x v="0"/>
    <s v="Q1"/>
    <x v="0"/>
    <x v="2"/>
    <x v="1"/>
    <x v="1"/>
    <x v="0"/>
    <s v="Road"/>
    <x v="1"/>
    <n v="1.7"/>
    <n v="198"/>
    <n v="3"/>
    <n v="2"/>
    <n v="1"/>
    <n v="0"/>
    <n v="9.1999999999999993"/>
    <n v="0"/>
    <n v="1"/>
  </r>
  <r>
    <s v="SHP-500072"/>
    <d v="2024-01-12T00:00:00"/>
    <x v="0"/>
    <s v="Q1"/>
    <x v="0"/>
    <x v="4"/>
    <x v="2"/>
    <x v="3"/>
    <x v="0"/>
    <s v="Road"/>
    <x v="1"/>
    <n v="4.7"/>
    <n v="320"/>
    <n v="4"/>
    <n v="4"/>
    <n v="1"/>
    <n v="0"/>
    <n v="13.85"/>
    <n v="0"/>
    <n v="1"/>
  </r>
  <r>
    <s v="SHP-500073"/>
    <d v="2024-01-13T00:00:00"/>
    <x v="0"/>
    <s v="Q1"/>
    <x v="0"/>
    <x v="4"/>
    <x v="1"/>
    <x v="1"/>
    <x v="1"/>
    <s v="Road"/>
    <x v="1"/>
    <n v="5"/>
    <n v="205"/>
    <n v="5"/>
    <n v="4"/>
    <n v="1"/>
    <n v="0"/>
    <n v="7.42"/>
    <n v="0"/>
    <n v="1"/>
  </r>
  <r>
    <s v="SHP-500074"/>
    <d v="2024-01-13T00:00:00"/>
    <x v="0"/>
    <s v="Q1"/>
    <x v="0"/>
    <x v="3"/>
    <x v="1"/>
    <x v="1"/>
    <x v="0"/>
    <s v="Road"/>
    <x v="0"/>
    <n v="82.8"/>
    <n v="257"/>
    <n v="3"/>
    <n v="3"/>
    <n v="1"/>
    <n v="0"/>
    <n v="56.51"/>
    <n v="0"/>
    <n v="1"/>
  </r>
  <r>
    <s v="SHP-500075"/>
    <d v="2024-01-13T00:00:00"/>
    <x v="0"/>
    <s v="Q1"/>
    <x v="0"/>
    <x v="1"/>
    <x v="2"/>
    <x v="0"/>
    <x v="0"/>
    <s v="Road"/>
    <x v="1"/>
    <n v="6.4"/>
    <n v="919"/>
    <n v="4"/>
    <n v="3"/>
    <n v="1"/>
    <n v="0"/>
    <n v="23.37"/>
    <n v="0"/>
    <n v="1"/>
  </r>
  <r>
    <s v="SHP-500076"/>
    <d v="2024-01-14T00:00:00"/>
    <x v="0"/>
    <s v="Q1"/>
    <x v="0"/>
    <x v="2"/>
    <x v="2"/>
    <x v="4"/>
    <x v="1"/>
    <s v="Road"/>
    <x v="0"/>
    <n v="106.1"/>
    <n v="1131"/>
    <n v="7"/>
    <n v="7"/>
    <n v="1"/>
    <n v="0"/>
    <n v="39.96"/>
    <n v="0"/>
    <n v="1"/>
  </r>
  <r>
    <s v="SHP-500077"/>
    <d v="2024-01-14T00:00:00"/>
    <x v="0"/>
    <s v="Q1"/>
    <x v="0"/>
    <x v="0"/>
    <x v="1"/>
    <x v="3"/>
    <x v="0"/>
    <s v="Road"/>
    <x v="1"/>
    <n v="9"/>
    <n v="415"/>
    <n v="4"/>
    <n v="4"/>
    <n v="1"/>
    <n v="0"/>
    <n v="15.88"/>
    <n v="0"/>
    <n v="1"/>
  </r>
  <r>
    <s v="SHP-500078"/>
    <d v="2024-01-15T00:00:00"/>
    <x v="0"/>
    <s v="Q1"/>
    <x v="0"/>
    <x v="4"/>
    <x v="2"/>
    <x v="2"/>
    <x v="1"/>
    <s v="Road"/>
    <x v="1"/>
    <n v="13"/>
    <n v="1268"/>
    <n v="7"/>
    <n v="6"/>
    <n v="1"/>
    <n v="0"/>
    <n v="19.86"/>
    <n v="0"/>
    <n v="1"/>
  </r>
  <r>
    <s v="SHP-500079"/>
    <d v="2024-01-15T00:00:00"/>
    <x v="0"/>
    <s v="Q1"/>
    <x v="0"/>
    <x v="3"/>
    <x v="1"/>
    <x v="1"/>
    <x v="1"/>
    <s v="Road"/>
    <x v="1"/>
    <n v="1.1000000000000001"/>
    <n v="177"/>
    <n v="5"/>
    <n v="5"/>
    <n v="1"/>
    <n v="0"/>
    <n v="7.13"/>
    <n v="0"/>
    <n v="1"/>
  </r>
  <r>
    <s v="SHP-500080"/>
    <d v="2024-01-15T00:00:00"/>
    <x v="0"/>
    <s v="Q1"/>
    <x v="0"/>
    <x v="2"/>
    <x v="0"/>
    <x v="3"/>
    <x v="0"/>
    <s v="Road"/>
    <x v="0"/>
    <n v="283.2"/>
    <n v="293"/>
    <n v="4"/>
    <n v="4"/>
    <n v="1"/>
    <n v="0"/>
    <n v="106.32"/>
    <n v="0"/>
    <n v="1"/>
  </r>
  <r>
    <s v="SHP-500081"/>
    <d v="2024-01-15T00:00:00"/>
    <x v="0"/>
    <s v="Q1"/>
    <x v="0"/>
    <x v="3"/>
    <x v="2"/>
    <x v="1"/>
    <x v="2"/>
    <s v="Road"/>
    <x v="0"/>
    <n v="211.3"/>
    <n v="325"/>
    <n v="1"/>
    <n v="1"/>
    <n v="1"/>
    <n v="0"/>
    <n v="190.2"/>
    <n v="0"/>
    <n v="1"/>
  </r>
  <r>
    <s v="SHP-500082"/>
    <d v="2024-01-15T00:00:00"/>
    <x v="0"/>
    <s v="Q1"/>
    <x v="0"/>
    <x v="2"/>
    <x v="2"/>
    <x v="2"/>
    <x v="2"/>
    <s v="Air"/>
    <x v="0"/>
    <n v="275.10000000000002"/>
    <n v="1122"/>
    <n v="3"/>
    <n v="2"/>
    <n v="1"/>
    <n v="0"/>
    <n v="385.15"/>
    <n v="0"/>
    <n v="1"/>
  </r>
  <r>
    <s v="SHP-500083"/>
    <d v="2024-01-15T00:00:00"/>
    <x v="0"/>
    <s v="Q1"/>
    <x v="0"/>
    <x v="1"/>
    <x v="0"/>
    <x v="0"/>
    <x v="2"/>
    <s v="Air"/>
    <x v="1"/>
    <n v="4.0999999999999996"/>
    <n v="843"/>
    <n v="2"/>
    <n v="2"/>
    <n v="1"/>
    <n v="0"/>
    <n v="58.05"/>
    <n v="0"/>
    <n v="1"/>
  </r>
  <r>
    <s v="SHP-500084"/>
    <d v="2024-01-16T00:00:00"/>
    <x v="0"/>
    <s v="Q1"/>
    <x v="0"/>
    <x v="0"/>
    <x v="0"/>
    <x v="3"/>
    <x v="2"/>
    <s v="Road"/>
    <x v="0"/>
    <n v="135.6"/>
    <n v="435"/>
    <n v="2"/>
    <n v="6"/>
    <n v="0"/>
    <n v="4"/>
    <n v="129.01"/>
    <n v="0"/>
    <n v="1"/>
  </r>
  <r>
    <s v="SHP-500085"/>
    <d v="2024-01-16T00:00:00"/>
    <x v="0"/>
    <s v="Q1"/>
    <x v="0"/>
    <x v="1"/>
    <x v="1"/>
    <x v="1"/>
    <x v="1"/>
    <s v="Road"/>
    <x v="1"/>
    <n v="1.8"/>
    <n v="256"/>
    <n v="5"/>
    <n v="9"/>
    <n v="0"/>
    <n v="4"/>
    <n v="8.1"/>
    <n v="0"/>
    <n v="1"/>
  </r>
  <r>
    <s v="SHP-500086"/>
    <d v="2024-01-16T00:00:00"/>
    <x v="0"/>
    <s v="Q1"/>
    <x v="0"/>
    <x v="3"/>
    <x v="2"/>
    <x v="1"/>
    <x v="1"/>
    <s v="Road"/>
    <x v="0"/>
    <n v="71.5"/>
    <n v="310"/>
    <n v="5"/>
    <n v="5"/>
    <n v="1"/>
    <n v="0"/>
    <n v="38.299999999999997"/>
    <n v="0"/>
    <n v="1"/>
  </r>
  <r>
    <s v="SHP-500087"/>
    <d v="2024-01-17T00:00:00"/>
    <x v="0"/>
    <s v="Q1"/>
    <x v="0"/>
    <x v="4"/>
    <x v="1"/>
    <x v="0"/>
    <x v="2"/>
    <s v="Air"/>
    <x v="1"/>
    <n v="7.7"/>
    <n v="1293"/>
    <n v="2"/>
    <n v="1"/>
    <n v="1"/>
    <n v="0"/>
    <n v="82.52"/>
    <n v="0"/>
    <n v="1"/>
  </r>
  <r>
    <s v="SHP-500088"/>
    <d v="2024-01-17T00:00:00"/>
    <x v="0"/>
    <s v="Q1"/>
    <x v="0"/>
    <x v="2"/>
    <x v="0"/>
    <x v="1"/>
    <x v="0"/>
    <s v="Road"/>
    <x v="1"/>
    <n v="11.3"/>
    <n v="231"/>
    <n v="3"/>
    <n v="2"/>
    <n v="1"/>
    <n v="0"/>
    <n v="15.38"/>
    <n v="0"/>
    <n v="1"/>
  </r>
  <r>
    <s v="SHP-500089"/>
    <d v="2024-01-17T00:00:00"/>
    <x v="0"/>
    <s v="Q1"/>
    <x v="0"/>
    <x v="2"/>
    <x v="2"/>
    <x v="0"/>
    <x v="1"/>
    <s v="Road"/>
    <x v="1"/>
    <n v="4.8"/>
    <n v="886"/>
    <n v="6"/>
    <n v="9"/>
    <n v="0"/>
    <n v="3"/>
    <n v="12.55"/>
    <n v="0"/>
    <n v="1"/>
  </r>
  <r>
    <s v="SHP-500090"/>
    <d v="2024-01-17T00:00:00"/>
    <x v="0"/>
    <s v="Q1"/>
    <x v="0"/>
    <x v="2"/>
    <x v="2"/>
    <x v="4"/>
    <x v="1"/>
    <s v="Road"/>
    <x v="1"/>
    <n v="6.2"/>
    <n v="1009"/>
    <n v="7"/>
    <n v="7"/>
    <n v="1"/>
    <n v="0"/>
    <n v="12.68"/>
    <n v="0"/>
    <n v="1"/>
  </r>
  <r>
    <s v="SHP-500091"/>
    <d v="2024-01-17T00:00:00"/>
    <x v="0"/>
    <s v="Q1"/>
    <x v="0"/>
    <x v="2"/>
    <x v="2"/>
    <x v="0"/>
    <x v="0"/>
    <s v="Road"/>
    <x v="0"/>
    <n v="127.4"/>
    <n v="782"/>
    <n v="4"/>
    <n v="3"/>
    <n v="1"/>
    <n v="0"/>
    <n v="65.97"/>
    <n v="0"/>
    <n v="1"/>
  </r>
  <r>
    <s v="SHP-500092"/>
    <d v="2024-01-17T00:00:00"/>
    <x v="0"/>
    <s v="Q1"/>
    <x v="0"/>
    <x v="2"/>
    <x v="0"/>
    <x v="3"/>
    <x v="1"/>
    <s v="Road"/>
    <x v="1"/>
    <n v="2.4"/>
    <n v="519"/>
    <n v="6"/>
    <n v="6"/>
    <n v="1"/>
    <n v="0"/>
    <n v="9.14"/>
    <n v="0"/>
    <n v="1"/>
  </r>
  <r>
    <s v="SHP-500093"/>
    <d v="2024-01-17T00:00:00"/>
    <x v="0"/>
    <s v="Q1"/>
    <x v="0"/>
    <x v="4"/>
    <x v="0"/>
    <x v="0"/>
    <x v="2"/>
    <s v="Air"/>
    <x v="1"/>
    <n v="2.2000000000000002"/>
    <n v="896"/>
    <n v="2"/>
    <n v="4"/>
    <n v="0"/>
    <n v="2"/>
    <n v="59.42"/>
    <n v="0"/>
    <n v="1"/>
  </r>
  <r>
    <s v="SHP-500094"/>
    <d v="2024-01-17T00:00:00"/>
    <x v="0"/>
    <s v="Q1"/>
    <x v="0"/>
    <x v="4"/>
    <x v="1"/>
    <x v="1"/>
    <x v="0"/>
    <s v="Road"/>
    <x v="1"/>
    <n v="6.1"/>
    <n v="186"/>
    <n v="3"/>
    <n v="3"/>
    <n v="1"/>
    <n v="0"/>
    <n v="12.65"/>
    <n v="0"/>
    <n v="1"/>
  </r>
  <r>
    <s v="SHP-500095"/>
    <d v="2024-01-18T00:00:00"/>
    <x v="0"/>
    <s v="Q1"/>
    <x v="0"/>
    <x v="2"/>
    <x v="0"/>
    <x v="2"/>
    <x v="0"/>
    <s v="Road"/>
    <x v="1"/>
    <n v="2.4"/>
    <n v="872"/>
    <n v="5"/>
    <n v="5"/>
    <n v="1"/>
    <n v="0"/>
    <n v="15.02"/>
    <n v="0"/>
    <n v="1"/>
  </r>
  <r>
    <s v="SHP-500096"/>
    <d v="2024-01-18T00:00:00"/>
    <x v="0"/>
    <s v="Q1"/>
    <x v="0"/>
    <x v="3"/>
    <x v="2"/>
    <x v="3"/>
    <x v="0"/>
    <s v="Road"/>
    <x v="0"/>
    <n v="41.3"/>
    <n v="517"/>
    <n v="4"/>
    <n v="3"/>
    <n v="1"/>
    <n v="0"/>
    <n v="34.76"/>
    <n v="0"/>
    <n v="1"/>
  </r>
  <r>
    <s v="SHP-500097"/>
    <d v="2024-01-18T00:00:00"/>
    <x v="0"/>
    <s v="Q1"/>
    <x v="0"/>
    <x v="4"/>
    <x v="1"/>
    <x v="3"/>
    <x v="0"/>
    <s v="Road"/>
    <x v="1"/>
    <n v="4.4000000000000004"/>
    <n v="476"/>
    <n v="4"/>
    <n v="4"/>
    <n v="1"/>
    <n v="0"/>
    <n v="15.19"/>
    <n v="0"/>
    <n v="1"/>
  </r>
  <r>
    <s v="SHP-500098"/>
    <d v="2024-01-18T00:00:00"/>
    <x v="0"/>
    <s v="Q1"/>
    <x v="0"/>
    <x v="0"/>
    <x v="0"/>
    <x v="2"/>
    <x v="1"/>
    <s v="Road"/>
    <x v="1"/>
    <n v="2.6"/>
    <n v="1071"/>
    <n v="7"/>
    <n v="8"/>
    <n v="0"/>
    <n v="1"/>
    <n v="14.82"/>
    <n v="0"/>
    <n v="1"/>
  </r>
  <r>
    <s v="SHP-500099"/>
    <d v="2024-01-18T00:00:00"/>
    <x v="0"/>
    <s v="Q1"/>
    <x v="0"/>
    <x v="3"/>
    <x v="2"/>
    <x v="3"/>
    <x v="0"/>
    <s v="Road"/>
    <x v="1"/>
    <n v="3.3"/>
    <n v="371"/>
    <n v="4"/>
    <n v="4"/>
    <n v="1"/>
    <n v="0"/>
    <n v="15.32"/>
    <n v="0"/>
    <n v="1"/>
  </r>
  <r>
    <s v="SHP-500100"/>
    <d v="2024-01-18T00:00:00"/>
    <x v="0"/>
    <s v="Q1"/>
    <x v="0"/>
    <x v="3"/>
    <x v="1"/>
    <x v="0"/>
    <x v="1"/>
    <s v="Road"/>
    <x v="1"/>
    <n v="9.1999999999999993"/>
    <n v="887"/>
    <n v="6"/>
    <n v="5"/>
    <n v="1"/>
    <n v="0"/>
    <n v="19.190000000000001"/>
    <n v="0"/>
    <n v="1"/>
  </r>
  <r>
    <s v="SHP-500101"/>
    <d v="2024-01-18T00:00:00"/>
    <x v="0"/>
    <s v="Q1"/>
    <x v="0"/>
    <x v="0"/>
    <x v="1"/>
    <x v="0"/>
    <x v="0"/>
    <s v="Road"/>
    <x v="0"/>
    <n v="107.2"/>
    <n v="801"/>
    <n v="4"/>
    <n v="4"/>
    <n v="1"/>
    <n v="0"/>
    <n v="66.16"/>
    <n v="0"/>
    <n v="1"/>
  </r>
  <r>
    <s v="SHP-500102"/>
    <d v="2024-01-19T00:00:00"/>
    <x v="0"/>
    <s v="Q1"/>
    <x v="0"/>
    <x v="0"/>
    <x v="0"/>
    <x v="0"/>
    <x v="0"/>
    <s v="Road"/>
    <x v="1"/>
    <n v="3.5"/>
    <n v="833"/>
    <n v="4"/>
    <n v="4"/>
    <n v="1"/>
    <n v="0"/>
    <n v="18.87"/>
    <n v="0"/>
    <n v="1"/>
  </r>
  <r>
    <s v="SHP-500103"/>
    <d v="2024-01-19T00:00:00"/>
    <x v="0"/>
    <s v="Q1"/>
    <x v="0"/>
    <x v="0"/>
    <x v="2"/>
    <x v="0"/>
    <x v="1"/>
    <s v="Road"/>
    <x v="1"/>
    <n v="2"/>
    <n v="926"/>
    <n v="6"/>
    <n v="6"/>
    <n v="1"/>
    <n v="0"/>
    <n v="13.71"/>
    <n v="0"/>
    <n v="1"/>
  </r>
  <r>
    <s v="SHP-500104"/>
    <d v="2024-01-19T00:00:00"/>
    <x v="0"/>
    <s v="Q1"/>
    <x v="0"/>
    <x v="2"/>
    <x v="1"/>
    <x v="3"/>
    <x v="0"/>
    <s v="Road"/>
    <x v="0"/>
    <n v="221.6"/>
    <n v="553"/>
    <n v="4"/>
    <n v="3"/>
    <n v="1"/>
    <n v="0"/>
    <n v="85.76"/>
    <n v="0"/>
    <n v="1"/>
  </r>
  <r>
    <s v="SHP-500105"/>
    <d v="2024-01-19T00:00:00"/>
    <x v="0"/>
    <s v="Q1"/>
    <x v="0"/>
    <x v="3"/>
    <x v="2"/>
    <x v="1"/>
    <x v="1"/>
    <s v="Road"/>
    <x v="1"/>
    <n v="4.7"/>
    <n v="244"/>
    <n v="5"/>
    <n v="5"/>
    <n v="1"/>
    <n v="0"/>
    <n v="10.36"/>
    <n v="0"/>
    <n v="1"/>
  </r>
  <r>
    <s v="SHP-500106"/>
    <d v="2024-01-19T00:00:00"/>
    <x v="0"/>
    <s v="Q1"/>
    <x v="0"/>
    <x v="4"/>
    <x v="0"/>
    <x v="3"/>
    <x v="0"/>
    <s v="Road"/>
    <x v="0"/>
    <n v="197.8"/>
    <n v="505"/>
    <n v="4"/>
    <n v="4"/>
    <n v="1"/>
    <n v="0"/>
    <n v="90.1"/>
    <n v="0"/>
    <n v="1"/>
  </r>
  <r>
    <s v="SHP-500107"/>
    <d v="2024-01-19T00:00:00"/>
    <x v="0"/>
    <s v="Q1"/>
    <x v="0"/>
    <x v="0"/>
    <x v="1"/>
    <x v="4"/>
    <x v="0"/>
    <s v="Road"/>
    <x v="1"/>
    <n v="2.4"/>
    <n v="1345"/>
    <n v="5"/>
    <n v="4"/>
    <n v="1"/>
    <n v="0"/>
    <n v="22.29"/>
    <n v="0"/>
    <n v="1"/>
  </r>
  <r>
    <s v="SHP-500108"/>
    <d v="2024-01-19T00:00:00"/>
    <x v="0"/>
    <s v="Q1"/>
    <x v="0"/>
    <x v="2"/>
    <x v="2"/>
    <x v="2"/>
    <x v="1"/>
    <s v="Road"/>
    <x v="1"/>
    <n v="1"/>
    <n v="1030"/>
    <n v="7"/>
    <n v="7"/>
    <n v="1"/>
    <n v="0"/>
    <n v="12.85"/>
    <n v="0"/>
    <n v="1"/>
  </r>
  <r>
    <s v="SHP-500109"/>
    <d v="2024-01-20T00:00:00"/>
    <x v="0"/>
    <s v="Q1"/>
    <x v="0"/>
    <x v="4"/>
    <x v="2"/>
    <x v="3"/>
    <x v="2"/>
    <s v="Road"/>
    <x v="0"/>
    <n v="151.80000000000001"/>
    <n v="305"/>
    <n v="2"/>
    <n v="1"/>
    <n v="1"/>
    <n v="0"/>
    <n v="131.59"/>
    <n v="0"/>
    <n v="1"/>
  </r>
  <r>
    <s v="SHP-500110"/>
    <d v="2024-01-20T00:00:00"/>
    <x v="0"/>
    <s v="Q1"/>
    <x v="0"/>
    <x v="2"/>
    <x v="2"/>
    <x v="0"/>
    <x v="0"/>
    <s v="Road"/>
    <x v="1"/>
    <n v="6.8"/>
    <n v="967"/>
    <n v="4"/>
    <n v="5"/>
    <n v="0"/>
    <n v="1"/>
    <n v="20.37"/>
    <n v="0"/>
    <n v="1"/>
  </r>
  <r>
    <s v="SHP-500111"/>
    <d v="2024-01-20T00:00:00"/>
    <x v="0"/>
    <s v="Q1"/>
    <x v="0"/>
    <x v="2"/>
    <x v="1"/>
    <x v="4"/>
    <x v="1"/>
    <s v="Road"/>
    <x v="0"/>
    <n v="72.7"/>
    <n v="972"/>
    <n v="7"/>
    <n v="8"/>
    <n v="0"/>
    <n v="1"/>
    <n v="34.200000000000003"/>
    <n v="0"/>
    <n v="1"/>
  </r>
  <r>
    <s v="SHP-500112"/>
    <d v="2024-01-20T00:00:00"/>
    <x v="0"/>
    <s v="Q1"/>
    <x v="0"/>
    <x v="1"/>
    <x v="1"/>
    <x v="1"/>
    <x v="2"/>
    <s v="Road"/>
    <x v="0"/>
    <n v="210.6"/>
    <n v="253"/>
    <n v="1"/>
    <n v="1"/>
    <n v="1"/>
    <n v="0"/>
    <n v="208.76"/>
    <n v="0"/>
    <n v="1"/>
  </r>
  <r>
    <s v="SHP-500113"/>
    <d v="2024-01-21T00:00:00"/>
    <x v="0"/>
    <s v="Q1"/>
    <x v="0"/>
    <x v="3"/>
    <x v="0"/>
    <x v="3"/>
    <x v="1"/>
    <s v="Road"/>
    <x v="0"/>
    <n v="54.5"/>
    <n v="460"/>
    <n v="6"/>
    <n v="5"/>
    <n v="1"/>
    <n v="0"/>
    <n v="29.53"/>
    <n v="0"/>
    <n v="1"/>
  </r>
  <r>
    <s v="SHP-500114"/>
    <d v="2024-01-21T00:00:00"/>
    <x v="0"/>
    <s v="Q1"/>
    <x v="0"/>
    <x v="2"/>
    <x v="1"/>
    <x v="0"/>
    <x v="0"/>
    <s v="Road"/>
    <x v="0"/>
    <n v="107.8"/>
    <n v="1018"/>
    <n v="4"/>
    <n v="4"/>
    <n v="1"/>
    <n v="0"/>
    <n v="59.54"/>
    <n v="0"/>
    <n v="1"/>
  </r>
  <r>
    <s v="SHP-500115"/>
    <d v="2024-01-21T00:00:00"/>
    <x v="0"/>
    <s v="Q1"/>
    <x v="0"/>
    <x v="0"/>
    <x v="2"/>
    <x v="1"/>
    <x v="2"/>
    <s v="Road"/>
    <x v="1"/>
    <n v="10.6"/>
    <n v="198"/>
    <n v="1"/>
    <n v="3"/>
    <n v="0"/>
    <n v="2"/>
    <n v="29.29"/>
    <n v="0"/>
    <n v="1"/>
  </r>
  <r>
    <s v="SHP-500116"/>
    <d v="2024-01-22T00:00:00"/>
    <x v="0"/>
    <s v="Q1"/>
    <x v="0"/>
    <x v="3"/>
    <x v="1"/>
    <x v="3"/>
    <x v="1"/>
    <s v="Road"/>
    <x v="0"/>
    <n v="133.4"/>
    <n v="424"/>
    <n v="6"/>
    <n v="6"/>
    <n v="1"/>
    <n v="0"/>
    <n v="55.1"/>
    <n v="0"/>
    <n v="1"/>
  </r>
  <r>
    <s v="SHP-500117"/>
    <d v="2024-01-22T00:00:00"/>
    <x v="0"/>
    <s v="Q1"/>
    <x v="0"/>
    <x v="2"/>
    <x v="2"/>
    <x v="2"/>
    <x v="2"/>
    <s v="Air"/>
    <x v="0"/>
    <n v="148.4"/>
    <n v="1108"/>
    <n v="3"/>
    <n v="3"/>
    <n v="1"/>
    <n v="0"/>
    <n v="228.46"/>
    <n v="0"/>
    <n v="1"/>
  </r>
  <r>
    <s v="SHP-500118"/>
    <d v="2024-01-22T00:00:00"/>
    <x v="0"/>
    <s v="Q1"/>
    <x v="0"/>
    <x v="2"/>
    <x v="1"/>
    <x v="0"/>
    <x v="2"/>
    <s v="Air"/>
    <x v="0"/>
    <n v="58.5"/>
    <n v="668"/>
    <n v="2"/>
    <n v="2"/>
    <n v="1"/>
    <n v="0"/>
    <n v="132.83000000000001"/>
    <n v="0"/>
    <n v="1"/>
  </r>
  <r>
    <s v="SHP-500119"/>
    <d v="2024-01-22T00:00:00"/>
    <x v="0"/>
    <s v="Q1"/>
    <x v="0"/>
    <x v="4"/>
    <x v="1"/>
    <x v="0"/>
    <x v="0"/>
    <s v="Road"/>
    <x v="1"/>
    <n v="4.4000000000000004"/>
    <n v="961"/>
    <n v="4"/>
    <n v="3"/>
    <n v="1"/>
    <n v="0"/>
    <n v="22.52"/>
    <n v="0"/>
    <n v="1"/>
  </r>
  <r>
    <s v="SHP-500120"/>
    <d v="2024-01-22T00:00:00"/>
    <x v="0"/>
    <s v="Q1"/>
    <x v="0"/>
    <x v="4"/>
    <x v="0"/>
    <x v="0"/>
    <x v="1"/>
    <s v="Road"/>
    <x v="1"/>
    <n v="4.9000000000000004"/>
    <n v="957"/>
    <n v="6"/>
    <n v="6"/>
    <n v="1"/>
    <n v="0"/>
    <n v="14.64"/>
    <n v="0"/>
    <n v="1"/>
  </r>
  <r>
    <s v="SHP-500121"/>
    <d v="2024-01-22T00:00:00"/>
    <x v="0"/>
    <s v="Q1"/>
    <x v="0"/>
    <x v="2"/>
    <x v="2"/>
    <x v="3"/>
    <x v="1"/>
    <s v="Road"/>
    <x v="1"/>
    <n v="17"/>
    <n v="511"/>
    <n v="6"/>
    <n v="8"/>
    <n v="0"/>
    <n v="2"/>
    <n v="13.18"/>
    <n v="0"/>
    <n v="1"/>
  </r>
  <r>
    <s v="SHP-500122"/>
    <d v="2024-01-22T00:00:00"/>
    <x v="0"/>
    <s v="Q1"/>
    <x v="0"/>
    <x v="1"/>
    <x v="2"/>
    <x v="2"/>
    <x v="0"/>
    <s v="Road"/>
    <x v="1"/>
    <n v="2.5"/>
    <n v="1170"/>
    <n v="5"/>
    <n v="4"/>
    <n v="1"/>
    <n v="0"/>
    <n v="22.76"/>
    <n v="0"/>
    <n v="1"/>
  </r>
  <r>
    <s v="SHP-500123"/>
    <d v="2024-01-22T00:00:00"/>
    <x v="0"/>
    <s v="Q1"/>
    <x v="0"/>
    <x v="4"/>
    <x v="2"/>
    <x v="1"/>
    <x v="1"/>
    <s v="Road"/>
    <x v="0"/>
    <n v="42.9"/>
    <n v="202"/>
    <n v="5"/>
    <n v="5"/>
    <n v="1"/>
    <n v="0"/>
    <n v="22.13"/>
    <n v="0"/>
    <n v="1"/>
  </r>
  <r>
    <s v="SHP-500124"/>
    <d v="2024-01-22T00:00:00"/>
    <x v="0"/>
    <s v="Q1"/>
    <x v="0"/>
    <x v="0"/>
    <x v="2"/>
    <x v="1"/>
    <x v="0"/>
    <s v="Road"/>
    <x v="1"/>
    <n v="2.6"/>
    <n v="272"/>
    <n v="3"/>
    <n v="3"/>
    <n v="1"/>
    <n v="0"/>
    <n v="10.86"/>
    <n v="0"/>
    <n v="1"/>
  </r>
  <r>
    <s v="SHP-500125"/>
    <d v="2024-01-23T00:00:00"/>
    <x v="0"/>
    <s v="Q1"/>
    <x v="0"/>
    <x v="2"/>
    <x v="2"/>
    <x v="3"/>
    <x v="2"/>
    <s v="Road"/>
    <x v="0"/>
    <n v="219.6"/>
    <n v="477"/>
    <n v="2"/>
    <n v="3"/>
    <n v="0"/>
    <n v="1"/>
    <n v="178.05"/>
    <n v="0"/>
    <n v="1"/>
  </r>
  <r>
    <s v="SHP-500126"/>
    <d v="2024-01-23T00:00:00"/>
    <x v="0"/>
    <s v="Q1"/>
    <x v="0"/>
    <x v="4"/>
    <x v="1"/>
    <x v="0"/>
    <x v="0"/>
    <s v="Road"/>
    <x v="1"/>
    <n v="3.2"/>
    <n v="862"/>
    <n v="4"/>
    <n v="4"/>
    <n v="1"/>
    <n v="0"/>
    <n v="18.440000000000001"/>
    <n v="0"/>
    <n v="1"/>
  </r>
  <r>
    <s v="SHP-500127"/>
    <d v="2024-01-23T00:00:00"/>
    <x v="0"/>
    <s v="Q1"/>
    <x v="0"/>
    <x v="0"/>
    <x v="0"/>
    <x v="0"/>
    <x v="2"/>
    <s v="Air"/>
    <x v="0"/>
    <n v="114.7"/>
    <n v="868"/>
    <n v="2"/>
    <n v="2"/>
    <n v="1"/>
    <n v="0"/>
    <n v="193.52"/>
    <n v="0"/>
    <n v="1"/>
  </r>
  <r>
    <s v="SHP-500128"/>
    <d v="2024-01-23T00:00:00"/>
    <x v="0"/>
    <s v="Q1"/>
    <x v="0"/>
    <x v="2"/>
    <x v="1"/>
    <x v="3"/>
    <x v="1"/>
    <s v="Road"/>
    <x v="0"/>
    <n v="124.2"/>
    <n v="438"/>
    <n v="6"/>
    <n v="6"/>
    <n v="1"/>
    <n v="0"/>
    <n v="39.53"/>
    <n v="0"/>
    <n v="1"/>
  </r>
  <r>
    <s v="SHP-500129"/>
    <d v="2024-01-23T00:00:00"/>
    <x v="0"/>
    <s v="Q1"/>
    <x v="0"/>
    <x v="0"/>
    <x v="2"/>
    <x v="3"/>
    <x v="0"/>
    <s v="Road"/>
    <x v="1"/>
    <n v="4.9000000000000004"/>
    <n v="544"/>
    <n v="4"/>
    <n v="3"/>
    <n v="1"/>
    <n v="0"/>
    <n v="15.78"/>
    <n v="0"/>
    <n v="1"/>
  </r>
  <r>
    <s v="SHP-500130"/>
    <d v="2024-01-23T00:00:00"/>
    <x v="0"/>
    <s v="Q1"/>
    <x v="0"/>
    <x v="4"/>
    <x v="1"/>
    <x v="3"/>
    <x v="0"/>
    <s v="Road"/>
    <x v="1"/>
    <n v="2.1"/>
    <n v="531"/>
    <n v="4"/>
    <n v="3"/>
    <n v="1"/>
    <n v="0"/>
    <n v="13.89"/>
    <n v="0"/>
    <n v="1"/>
  </r>
  <r>
    <s v="SHP-500131"/>
    <d v="2024-01-23T00:00:00"/>
    <x v="0"/>
    <s v="Q1"/>
    <x v="0"/>
    <x v="0"/>
    <x v="1"/>
    <x v="1"/>
    <x v="2"/>
    <s v="Road"/>
    <x v="1"/>
    <n v="4.9000000000000004"/>
    <n v="194"/>
    <n v="1"/>
    <n v="1"/>
    <n v="1"/>
    <n v="0"/>
    <n v="20.52"/>
    <n v="0"/>
    <n v="1"/>
  </r>
  <r>
    <s v="SHP-500132"/>
    <d v="2024-01-23T00:00:00"/>
    <x v="0"/>
    <s v="Q1"/>
    <x v="0"/>
    <x v="3"/>
    <x v="2"/>
    <x v="0"/>
    <x v="0"/>
    <s v="Road"/>
    <x v="1"/>
    <n v="5.3"/>
    <n v="1007"/>
    <n v="4"/>
    <n v="4"/>
    <n v="1"/>
    <n v="0"/>
    <n v="23.22"/>
    <n v="0"/>
    <n v="1"/>
  </r>
  <r>
    <s v="SHP-500133"/>
    <d v="2024-01-23T00:00:00"/>
    <x v="0"/>
    <s v="Q1"/>
    <x v="0"/>
    <x v="4"/>
    <x v="2"/>
    <x v="3"/>
    <x v="0"/>
    <s v="Road"/>
    <x v="0"/>
    <n v="39.200000000000003"/>
    <n v="428"/>
    <n v="4"/>
    <n v="6"/>
    <n v="0"/>
    <n v="2"/>
    <n v="29.29"/>
    <n v="0"/>
    <n v="1"/>
  </r>
  <r>
    <s v="SHP-500134"/>
    <d v="2024-01-23T00:00:00"/>
    <x v="0"/>
    <s v="Q1"/>
    <x v="0"/>
    <x v="4"/>
    <x v="0"/>
    <x v="0"/>
    <x v="1"/>
    <s v="Road"/>
    <x v="0"/>
    <n v="65"/>
    <n v="954"/>
    <n v="6"/>
    <n v="7"/>
    <n v="0"/>
    <n v="1"/>
    <n v="35.08"/>
    <n v="0"/>
    <n v="1"/>
  </r>
  <r>
    <s v="SHP-500135"/>
    <d v="2024-01-23T00:00:00"/>
    <x v="0"/>
    <s v="Q1"/>
    <x v="0"/>
    <x v="0"/>
    <x v="2"/>
    <x v="3"/>
    <x v="1"/>
    <s v="Road"/>
    <x v="1"/>
    <n v="5.0999999999999996"/>
    <n v="494"/>
    <n v="6"/>
    <n v="7"/>
    <n v="0"/>
    <n v="1"/>
    <n v="10.61"/>
    <n v="0"/>
    <n v="1"/>
  </r>
  <r>
    <s v="SHP-500136"/>
    <d v="2024-01-24T00:00:00"/>
    <x v="0"/>
    <s v="Q1"/>
    <x v="0"/>
    <x v="0"/>
    <x v="1"/>
    <x v="0"/>
    <x v="1"/>
    <s v="Road"/>
    <x v="1"/>
    <n v="4.4000000000000004"/>
    <n v="1099"/>
    <n v="6"/>
    <n v="9"/>
    <n v="0"/>
    <n v="3"/>
    <n v="16.34"/>
    <n v="0"/>
    <n v="1"/>
  </r>
  <r>
    <s v="SHP-500137"/>
    <d v="2024-01-24T00:00:00"/>
    <x v="0"/>
    <s v="Q1"/>
    <x v="0"/>
    <x v="0"/>
    <x v="1"/>
    <x v="2"/>
    <x v="2"/>
    <s v="Air"/>
    <x v="0"/>
    <n v="105.3"/>
    <n v="1027"/>
    <n v="3"/>
    <n v="2"/>
    <n v="1"/>
    <n v="0"/>
    <n v="184.49"/>
    <n v="0"/>
    <n v="1"/>
  </r>
  <r>
    <s v="SHP-500138"/>
    <d v="2024-01-24T00:00:00"/>
    <x v="0"/>
    <s v="Q1"/>
    <x v="0"/>
    <x v="2"/>
    <x v="0"/>
    <x v="1"/>
    <x v="2"/>
    <s v="Road"/>
    <x v="0"/>
    <n v="92.2"/>
    <n v="245"/>
    <n v="1"/>
    <n v="1"/>
    <n v="1"/>
    <n v="0"/>
    <n v="88.81"/>
    <n v="0"/>
    <n v="1"/>
  </r>
  <r>
    <s v="SHP-500139"/>
    <d v="2024-01-24T00:00:00"/>
    <x v="0"/>
    <s v="Q1"/>
    <x v="0"/>
    <x v="3"/>
    <x v="0"/>
    <x v="4"/>
    <x v="0"/>
    <s v="Road"/>
    <x v="0"/>
    <n v="102"/>
    <n v="1197"/>
    <n v="5"/>
    <n v="5"/>
    <n v="1"/>
    <n v="0"/>
    <n v="64.290000000000006"/>
    <n v="0"/>
    <n v="1"/>
  </r>
  <r>
    <s v="SHP-500140"/>
    <d v="2024-01-24T00:00:00"/>
    <x v="0"/>
    <s v="Q1"/>
    <x v="0"/>
    <x v="2"/>
    <x v="0"/>
    <x v="4"/>
    <x v="1"/>
    <s v="Road"/>
    <x v="0"/>
    <n v="91.7"/>
    <n v="946"/>
    <n v="7"/>
    <n v="7"/>
    <n v="1"/>
    <n v="0"/>
    <n v="31.4"/>
    <n v="0"/>
    <n v="1"/>
  </r>
  <r>
    <s v="SHP-500141"/>
    <d v="2024-01-25T00:00:00"/>
    <x v="0"/>
    <s v="Q1"/>
    <x v="0"/>
    <x v="0"/>
    <x v="0"/>
    <x v="0"/>
    <x v="0"/>
    <s v="Road"/>
    <x v="0"/>
    <n v="520.29999999999995"/>
    <n v="814"/>
    <n v="4"/>
    <n v="7"/>
    <n v="0"/>
    <n v="3"/>
    <n v="195.94"/>
    <n v="0"/>
    <n v="1"/>
  </r>
  <r>
    <s v="SHP-500142"/>
    <d v="2024-01-25T00:00:00"/>
    <x v="0"/>
    <s v="Q1"/>
    <x v="0"/>
    <x v="4"/>
    <x v="1"/>
    <x v="3"/>
    <x v="1"/>
    <s v="Road"/>
    <x v="1"/>
    <n v="2.2999999999999998"/>
    <n v="408"/>
    <n v="6"/>
    <n v="6"/>
    <n v="1"/>
    <n v="0"/>
    <n v="9.32"/>
    <n v="0"/>
    <n v="1"/>
  </r>
  <r>
    <s v="SHP-500143"/>
    <d v="2024-01-25T00:00:00"/>
    <x v="0"/>
    <s v="Q1"/>
    <x v="0"/>
    <x v="1"/>
    <x v="1"/>
    <x v="1"/>
    <x v="0"/>
    <s v="Road"/>
    <x v="1"/>
    <n v="12.6"/>
    <n v="226"/>
    <n v="3"/>
    <n v="3"/>
    <n v="1"/>
    <n v="0"/>
    <n v="18.55"/>
    <n v="0"/>
    <n v="1"/>
  </r>
  <r>
    <s v="SHP-500144"/>
    <d v="2024-01-25T00:00:00"/>
    <x v="0"/>
    <s v="Q1"/>
    <x v="0"/>
    <x v="3"/>
    <x v="2"/>
    <x v="3"/>
    <x v="0"/>
    <s v="Road"/>
    <x v="0"/>
    <n v="247.1"/>
    <n v="442"/>
    <n v="4"/>
    <n v="4"/>
    <n v="1"/>
    <n v="0"/>
    <n v="119.05"/>
    <n v="0"/>
    <n v="1"/>
  </r>
  <r>
    <s v="SHP-500145"/>
    <d v="2024-01-25T00:00:00"/>
    <x v="0"/>
    <s v="Q1"/>
    <x v="0"/>
    <x v="4"/>
    <x v="0"/>
    <x v="3"/>
    <x v="1"/>
    <s v="Road"/>
    <x v="0"/>
    <n v="67.3"/>
    <n v="503"/>
    <n v="6"/>
    <n v="5"/>
    <n v="1"/>
    <n v="0"/>
    <n v="31.13"/>
    <n v="0"/>
    <n v="1"/>
  </r>
  <r>
    <s v="SHP-500146"/>
    <d v="2024-01-25T00:00:00"/>
    <x v="0"/>
    <s v="Q1"/>
    <x v="0"/>
    <x v="3"/>
    <x v="2"/>
    <x v="0"/>
    <x v="0"/>
    <s v="Road"/>
    <x v="1"/>
    <n v="1.8"/>
    <n v="771"/>
    <n v="4"/>
    <n v="4"/>
    <n v="1"/>
    <n v="0"/>
    <n v="18.600000000000001"/>
    <n v="0"/>
    <n v="1"/>
  </r>
  <r>
    <s v="SHP-500147"/>
    <d v="2024-01-25T00:00:00"/>
    <x v="0"/>
    <s v="Q1"/>
    <x v="0"/>
    <x v="4"/>
    <x v="1"/>
    <x v="3"/>
    <x v="2"/>
    <s v="Road"/>
    <x v="0"/>
    <n v="26.6"/>
    <n v="345"/>
    <n v="2"/>
    <n v="2"/>
    <n v="1"/>
    <n v="0"/>
    <n v="47.05"/>
    <n v="0"/>
    <n v="1"/>
  </r>
  <r>
    <s v="SHP-500148"/>
    <d v="2024-01-25T00:00:00"/>
    <x v="0"/>
    <s v="Q1"/>
    <x v="0"/>
    <x v="2"/>
    <x v="0"/>
    <x v="0"/>
    <x v="0"/>
    <s v="Road"/>
    <x v="1"/>
    <n v="10.9"/>
    <n v="1034"/>
    <n v="4"/>
    <n v="7"/>
    <n v="0"/>
    <n v="3"/>
    <n v="22.68"/>
    <n v="0"/>
    <n v="1"/>
  </r>
  <r>
    <s v="SHP-500149"/>
    <d v="2024-01-25T00:00:00"/>
    <x v="0"/>
    <s v="Q1"/>
    <x v="0"/>
    <x v="3"/>
    <x v="0"/>
    <x v="1"/>
    <x v="1"/>
    <s v="Road"/>
    <x v="0"/>
    <n v="131"/>
    <n v="258"/>
    <n v="5"/>
    <n v="4"/>
    <n v="1"/>
    <n v="0"/>
    <n v="55.53"/>
    <n v="0"/>
    <n v="1"/>
  </r>
  <r>
    <s v="SHP-500150"/>
    <d v="2024-01-25T00:00:00"/>
    <x v="0"/>
    <s v="Q1"/>
    <x v="0"/>
    <x v="4"/>
    <x v="2"/>
    <x v="0"/>
    <x v="0"/>
    <s v="Road"/>
    <x v="0"/>
    <n v="51.6"/>
    <n v="876"/>
    <n v="4"/>
    <n v="3"/>
    <n v="1"/>
    <n v="0"/>
    <n v="45.5"/>
    <n v="0"/>
    <n v="1"/>
  </r>
  <r>
    <s v="SHP-500151"/>
    <d v="2024-01-25T00:00:00"/>
    <x v="0"/>
    <s v="Q1"/>
    <x v="0"/>
    <x v="1"/>
    <x v="2"/>
    <x v="4"/>
    <x v="0"/>
    <s v="Road"/>
    <x v="1"/>
    <n v="12.3"/>
    <n v="1265"/>
    <n v="5"/>
    <n v="5"/>
    <n v="1"/>
    <n v="0"/>
    <n v="32.33"/>
    <n v="0"/>
    <n v="1"/>
  </r>
  <r>
    <s v="SHP-500152"/>
    <d v="2024-01-26T00:00:00"/>
    <x v="0"/>
    <s v="Q1"/>
    <x v="0"/>
    <x v="3"/>
    <x v="0"/>
    <x v="3"/>
    <x v="1"/>
    <s v="Road"/>
    <x v="1"/>
    <n v="11.1"/>
    <n v="397"/>
    <n v="6"/>
    <n v="6"/>
    <n v="1"/>
    <n v="0"/>
    <n v="13.95"/>
    <n v="0"/>
    <n v="1"/>
  </r>
  <r>
    <s v="SHP-500153"/>
    <d v="2024-01-26T00:00:00"/>
    <x v="0"/>
    <s v="Q1"/>
    <x v="0"/>
    <x v="4"/>
    <x v="2"/>
    <x v="3"/>
    <x v="0"/>
    <s v="Road"/>
    <x v="0"/>
    <n v="249.2"/>
    <n v="460"/>
    <n v="4"/>
    <n v="4"/>
    <n v="1"/>
    <n v="0"/>
    <n v="97.75"/>
    <n v="0"/>
    <n v="1"/>
  </r>
  <r>
    <s v="SHP-500154"/>
    <d v="2024-01-26T00:00:00"/>
    <x v="0"/>
    <s v="Q1"/>
    <x v="0"/>
    <x v="0"/>
    <x v="2"/>
    <x v="1"/>
    <x v="1"/>
    <s v="Road"/>
    <x v="0"/>
    <n v="29"/>
    <n v="242"/>
    <n v="5"/>
    <n v="4"/>
    <n v="1"/>
    <n v="0"/>
    <n v="17.38"/>
    <n v="0"/>
    <n v="1"/>
  </r>
  <r>
    <s v="SHP-500155"/>
    <d v="2024-01-26T00:00:00"/>
    <x v="0"/>
    <s v="Q1"/>
    <x v="0"/>
    <x v="2"/>
    <x v="2"/>
    <x v="4"/>
    <x v="0"/>
    <s v="Road"/>
    <x v="1"/>
    <n v="13.5"/>
    <n v="1170"/>
    <n v="5"/>
    <n v="8"/>
    <n v="0"/>
    <n v="3"/>
    <n v="26.52"/>
    <n v="0"/>
    <n v="1"/>
  </r>
  <r>
    <s v="SHP-500156"/>
    <d v="2024-01-26T00:00:00"/>
    <x v="0"/>
    <s v="Q1"/>
    <x v="0"/>
    <x v="4"/>
    <x v="2"/>
    <x v="2"/>
    <x v="1"/>
    <s v="Road"/>
    <x v="0"/>
    <n v="36"/>
    <n v="1197"/>
    <n v="7"/>
    <n v="7"/>
    <n v="1"/>
    <n v="0"/>
    <n v="26.14"/>
    <n v="0"/>
    <n v="1"/>
  </r>
  <r>
    <s v="SHP-500157"/>
    <d v="2024-01-26T00:00:00"/>
    <x v="0"/>
    <s v="Q1"/>
    <x v="0"/>
    <x v="3"/>
    <x v="1"/>
    <x v="0"/>
    <x v="0"/>
    <s v="Road"/>
    <x v="0"/>
    <n v="269"/>
    <n v="775"/>
    <n v="4"/>
    <n v="3"/>
    <n v="1"/>
    <n v="0"/>
    <n v="135.49"/>
    <n v="0"/>
    <n v="1"/>
  </r>
  <r>
    <s v="SHP-500158"/>
    <d v="2024-01-26T00:00:00"/>
    <x v="0"/>
    <s v="Q1"/>
    <x v="0"/>
    <x v="4"/>
    <x v="1"/>
    <x v="2"/>
    <x v="2"/>
    <s v="Air"/>
    <x v="0"/>
    <n v="67.7"/>
    <n v="1082"/>
    <n v="3"/>
    <n v="3"/>
    <n v="1"/>
    <n v="0"/>
    <n v="157.19999999999999"/>
    <n v="0"/>
    <n v="1"/>
  </r>
  <r>
    <s v="SHP-500159"/>
    <d v="2024-01-26T00:00:00"/>
    <x v="0"/>
    <s v="Q1"/>
    <x v="0"/>
    <x v="2"/>
    <x v="1"/>
    <x v="2"/>
    <x v="0"/>
    <s v="Road"/>
    <x v="0"/>
    <n v="30.5"/>
    <n v="1049"/>
    <n v="5"/>
    <n v="8"/>
    <n v="0"/>
    <n v="3"/>
    <n v="32.01"/>
    <n v="0"/>
    <n v="1"/>
  </r>
  <r>
    <s v="SHP-500160"/>
    <d v="2024-01-26T00:00:00"/>
    <x v="0"/>
    <s v="Q1"/>
    <x v="0"/>
    <x v="0"/>
    <x v="2"/>
    <x v="0"/>
    <x v="2"/>
    <s v="Air"/>
    <x v="1"/>
    <n v="17.5"/>
    <n v="1009"/>
    <n v="2"/>
    <n v="2"/>
    <n v="1"/>
    <n v="0"/>
    <n v="82.98"/>
    <n v="0"/>
    <n v="1"/>
  </r>
  <r>
    <s v="SHP-500161"/>
    <d v="2024-01-27T00:00:00"/>
    <x v="0"/>
    <s v="Q1"/>
    <x v="0"/>
    <x v="3"/>
    <x v="2"/>
    <x v="1"/>
    <x v="0"/>
    <s v="Road"/>
    <x v="0"/>
    <n v="110.2"/>
    <n v="275"/>
    <n v="3"/>
    <n v="3"/>
    <n v="1"/>
    <n v="0"/>
    <n v="64.81"/>
    <n v="0"/>
    <n v="1"/>
  </r>
  <r>
    <s v="SHP-500162"/>
    <d v="2024-01-27T00:00:00"/>
    <x v="0"/>
    <s v="Q1"/>
    <x v="0"/>
    <x v="1"/>
    <x v="2"/>
    <x v="4"/>
    <x v="0"/>
    <s v="Road"/>
    <x v="1"/>
    <n v="3.5"/>
    <n v="853"/>
    <n v="5"/>
    <n v="6"/>
    <n v="0"/>
    <n v="1"/>
    <n v="20.94"/>
    <n v="0"/>
    <n v="1"/>
  </r>
  <r>
    <s v="SHP-500163"/>
    <d v="2024-01-28T00:00:00"/>
    <x v="0"/>
    <s v="Q1"/>
    <x v="0"/>
    <x v="0"/>
    <x v="1"/>
    <x v="0"/>
    <x v="2"/>
    <s v="Air"/>
    <x v="0"/>
    <n v="51.2"/>
    <n v="1198"/>
    <n v="2"/>
    <n v="2"/>
    <n v="1"/>
    <n v="0"/>
    <n v="132.58000000000001"/>
    <n v="0"/>
    <n v="1"/>
  </r>
  <r>
    <s v="SHP-500164"/>
    <d v="2024-01-28T00:00:00"/>
    <x v="0"/>
    <s v="Q1"/>
    <x v="0"/>
    <x v="2"/>
    <x v="2"/>
    <x v="0"/>
    <x v="1"/>
    <s v="Road"/>
    <x v="1"/>
    <n v="1.8"/>
    <n v="739"/>
    <n v="6"/>
    <n v="5"/>
    <n v="1"/>
    <n v="0"/>
    <n v="11.39"/>
    <n v="0"/>
    <n v="1"/>
  </r>
  <r>
    <s v="SHP-500165"/>
    <d v="2024-01-28T00:00:00"/>
    <x v="0"/>
    <s v="Q1"/>
    <x v="0"/>
    <x v="2"/>
    <x v="1"/>
    <x v="3"/>
    <x v="2"/>
    <s v="Road"/>
    <x v="0"/>
    <n v="29.5"/>
    <n v="512"/>
    <n v="2"/>
    <n v="2"/>
    <n v="1"/>
    <n v="0"/>
    <n v="44.49"/>
    <n v="0"/>
    <n v="1"/>
  </r>
  <r>
    <s v="SHP-500166"/>
    <d v="2024-01-28T00:00:00"/>
    <x v="0"/>
    <s v="Q1"/>
    <x v="0"/>
    <x v="1"/>
    <x v="1"/>
    <x v="0"/>
    <x v="2"/>
    <s v="Air"/>
    <x v="1"/>
    <n v="9.6999999999999993"/>
    <n v="1035"/>
    <n v="2"/>
    <n v="2"/>
    <n v="1"/>
    <n v="0"/>
    <n v="68.78"/>
    <n v="0"/>
    <n v="1"/>
  </r>
  <r>
    <s v="SHP-500167"/>
    <d v="2024-01-28T00:00:00"/>
    <x v="0"/>
    <s v="Q1"/>
    <x v="0"/>
    <x v="4"/>
    <x v="1"/>
    <x v="0"/>
    <x v="2"/>
    <s v="Air"/>
    <x v="1"/>
    <n v="8.1"/>
    <n v="674"/>
    <n v="2"/>
    <n v="2"/>
    <n v="1"/>
    <n v="0"/>
    <n v="58.65"/>
    <n v="0"/>
    <n v="1"/>
  </r>
  <r>
    <s v="SHP-500168"/>
    <d v="2024-01-28T00:00:00"/>
    <x v="0"/>
    <s v="Q1"/>
    <x v="0"/>
    <x v="1"/>
    <x v="0"/>
    <x v="3"/>
    <x v="1"/>
    <s v="Road"/>
    <x v="1"/>
    <n v="1.7"/>
    <n v="520"/>
    <n v="6"/>
    <n v="5"/>
    <n v="1"/>
    <n v="0"/>
    <n v="9.57"/>
    <n v="0"/>
    <n v="1"/>
  </r>
  <r>
    <s v="SHP-500169"/>
    <d v="2024-01-28T00:00:00"/>
    <x v="0"/>
    <s v="Q1"/>
    <x v="0"/>
    <x v="1"/>
    <x v="2"/>
    <x v="2"/>
    <x v="0"/>
    <s v="Road"/>
    <x v="1"/>
    <n v="6.5"/>
    <n v="771"/>
    <n v="5"/>
    <n v="7"/>
    <n v="0"/>
    <n v="2"/>
    <n v="23.31"/>
    <n v="0"/>
    <n v="1"/>
  </r>
  <r>
    <s v="SHP-500170"/>
    <d v="2024-01-28T00:00:00"/>
    <x v="0"/>
    <s v="Q1"/>
    <x v="0"/>
    <x v="3"/>
    <x v="2"/>
    <x v="3"/>
    <x v="1"/>
    <s v="Road"/>
    <x v="1"/>
    <n v="0.8"/>
    <n v="473"/>
    <n v="6"/>
    <n v="6"/>
    <n v="1"/>
    <n v="0"/>
    <n v="9.92"/>
    <n v="0"/>
    <n v="1"/>
  </r>
  <r>
    <s v="SHP-500171"/>
    <d v="2024-01-28T00:00:00"/>
    <x v="0"/>
    <s v="Q1"/>
    <x v="0"/>
    <x v="2"/>
    <x v="2"/>
    <x v="3"/>
    <x v="2"/>
    <s v="Road"/>
    <x v="1"/>
    <n v="3.9"/>
    <n v="564"/>
    <n v="2"/>
    <n v="2"/>
    <n v="1"/>
    <n v="0"/>
    <n v="24.72"/>
    <n v="0"/>
    <n v="1"/>
  </r>
  <r>
    <s v="SHP-500172"/>
    <d v="2024-01-29T00:00:00"/>
    <x v="0"/>
    <s v="Q1"/>
    <x v="0"/>
    <x v="0"/>
    <x v="2"/>
    <x v="0"/>
    <x v="0"/>
    <s v="Road"/>
    <x v="1"/>
    <n v="17.5"/>
    <n v="1080"/>
    <n v="4"/>
    <n v="4"/>
    <n v="1"/>
    <n v="0"/>
    <n v="31.49"/>
    <n v="0"/>
    <n v="1"/>
  </r>
  <r>
    <s v="SHP-500173"/>
    <d v="2024-01-29T00:00:00"/>
    <x v="0"/>
    <s v="Q1"/>
    <x v="0"/>
    <x v="1"/>
    <x v="2"/>
    <x v="2"/>
    <x v="0"/>
    <s v="Road"/>
    <x v="1"/>
    <n v="4.9000000000000004"/>
    <n v="1159"/>
    <n v="5"/>
    <n v="4"/>
    <n v="1"/>
    <n v="0"/>
    <n v="26.49"/>
    <n v="0"/>
    <n v="1"/>
  </r>
  <r>
    <s v="SHP-500174"/>
    <d v="2024-01-29T00:00:00"/>
    <x v="0"/>
    <s v="Q1"/>
    <x v="0"/>
    <x v="2"/>
    <x v="1"/>
    <x v="2"/>
    <x v="0"/>
    <s v="Road"/>
    <x v="0"/>
    <n v="51.1"/>
    <n v="877"/>
    <n v="5"/>
    <n v="5"/>
    <n v="1"/>
    <n v="0"/>
    <n v="35.51"/>
    <n v="0"/>
    <n v="1"/>
  </r>
  <r>
    <s v="SHP-500175"/>
    <d v="2024-01-29T00:00:00"/>
    <x v="0"/>
    <s v="Q1"/>
    <x v="0"/>
    <x v="1"/>
    <x v="0"/>
    <x v="3"/>
    <x v="2"/>
    <s v="Road"/>
    <x v="1"/>
    <n v="6"/>
    <n v="497"/>
    <n v="2"/>
    <n v="2"/>
    <n v="1"/>
    <n v="0"/>
    <n v="33.11"/>
    <n v="0"/>
    <n v="1"/>
  </r>
  <r>
    <s v="SHP-500176"/>
    <d v="2024-01-29T00:00:00"/>
    <x v="0"/>
    <s v="Q1"/>
    <x v="0"/>
    <x v="0"/>
    <x v="1"/>
    <x v="1"/>
    <x v="2"/>
    <s v="Road"/>
    <x v="0"/>
    <n v="113.6"/>
    <n v="265"/>
    <n v="1"/>
    <n v="1"/>
    <n v="1"/>
    <n v="0"/>
    <n v="109.37"/>
    <n v="0"/>
    <n v="1"/>
  </r>
  <r>
    <s v="SHP-500177"/>
    <d v="2024-01-29T00:00:00"/>
    <x v="0"/>
    <s v="Q1"/>
    <x v="0"/>
    <x v="2"/>
    <x v="2"/>
    <x v="1"/>
    <x v="0"/>
    <s v="Road"/>
    <x v="0"/>
    <n v="81.5"/>
    <n v="230"/>
    <n v="3"/>
    <n v="6"/>
    <n v="0"/>
    <n v="3"/>
    <n v="41.09"/>
    <n v="0"/>
    <n v="1"/>
  </r>
  <r>
    <s v="SHP-500178"/>
    <d v="2024-01-29T00:00:00"/>
    <x v="0"/>
    <s v="Q1"/>
    <x v="0"/>
    <x v="0"/>
    <x v="2"/>
    <x v="4"/>
    <x v="0"/>
    <s v="Road"/>
    <x v="1"/>
    <n v="5.3"/>
    <n v="1138"/>
    <n v="5"/>
    <n v="4"/>
    <n v="1"/>
    <n v="0"/>
    <n v="21.88"/>
    <n v="0"/>
    <n v="1"/>
  </r>
  <r>
    <s v="SHP-500179"/>
    <d v="2024-01-29T00:00:00"/>
    <x v="0"/>
    <s v="Q1"/>
    <x v="0"/>
    <x v="4"/>
    <x v="1"/>
    <x v="2"/>
    <x v="0"/>
    <s v="Road"/>
    <x v="0"/>
    <n v="165.8"/>
    <n v="1119"/>
    <n v="5"/>
    <n v="5"/>
    <n v="1"/>
    <n v="0"/>
    <n v="97.57"/>
    <n v="0"/>
    <n v="1"/>
  </r>
  <r>
    <s v="SHP-500180"/>
    <d v="2024-01-29T00:00:00"/>
    <x v="0"/>
    <s v="Q1"/>
    <x v="0"/>
    <x v="2"/>
    <x v="2"/>
    <x v="4"/>
    <x v="0"/>
    <s v="Road"/>
    <x v="0"/>
    <n v="200.9"/>
    <n v="1116"/>
    <n v="5"/>
    <n v="5"/>
    <n v="1"/>
    <n v="0"/>
    <n v="89.4"/>
    <n v="0"/>
    <n v="1"/>
  </r>
  <r>
    <s v="SHP-500181"/>
    <d v="2024-01-29T00:00:00"/>
    <x v="0"/>
    <s v="Q1"/>
    <x v="0"/>
    <x v="1"/>
    <x v="2"/>
    <x v="4"/>
    <x v="2"/>
    <s v="Air"/>
    <x v="1"/>
    <n v="6.6"/>
    <n v="1096"/>
    <n v="3"/>
    <n v="3"/>
    <n v="1"/>
    <n v="0"/>
    <n v="73.13"/>
    <n v="0"/>
    <n v="1"/>
  </r>
  <r>
    <s v="SHP-500182"/>
    <d v="2024-01-30T00:00:00"/>
    <x v="0"/>
    <s v="Q1"/>
    <x v="0"/>
    <x v="2"/>
    <x v="1"/>
    <x v="1"/>
    <x v="0"/>
    <s v="Road"/>
    <x v="1"/>
    <n v="3.9"/>
    <n v="276"/>
    <n v="3"/>
    <n v="3"/>
    <n v="1"/>
    <n v="0"/>
    <n v="11.42"/>
    <n v="0"/>
    <n v="1"/>
  </r>
  <r>
    <s v="SHP-500183"/>
    <d v="2024-01-30T00:00:00"/>
    <x v="0"/>
    <s v="Q1"/>
    <x v="0"/>
    <x v="3"/>
    <x v="2"/>
    <x v="2"/>
    <x v="0"/>
    <s v="Road"/>
    <x v="0"/>
    <n v="133.5"/>
    <n v="1050"/>
    <n v="5"/>
    <n v="8"/>
    <n v="0"/>
    <n v="3"/>
    <n v="82.46"/>
    <n v="0"/>
    <n v="1"/>
  </r>
  <r>
    <s v="SHP-500184"/>
    <d v="2024-01-30T00:00:00"/>
    <x v="0"/>
    <s v="Q1"/>
    <x v="0"/>
    <x v="1"/>
    <x v="0"/>
    <x v="0"/>
    <x v="0"/>
    <s v="Road"/>
    <x v="1"/>
    <n v="4.9000000000000004"/>
    <n v="977"/>
    <n v="4"/>
    <n v="4"/>
    <n v="1"/>
    <n v="0"/>
    <n v="21.52"/>
    <n v="0"/>
    <n v="1"/>
  </r>
  <r>
    <s v="SHP-500185"/>
    <d v="2024-01-30T00:00:00"/>
    <x v="0"/>
    <s v="Q1"/>
    <x v="0"/>
    <x v="3"/>
    <x v="0"/>
    <x v="2"/>
    <x v="0"/>
    <s v="Road"/>
    <x v="1"/>
    <n v="17"/>
    <n v="1098"/>
    <n v="5"/>
    <n v="4"/>
    <n v="1"/>
    <n v="0"/>
    <n v="31.75"/>
    <n v="0"/>
    <n v="1"/>
  </r>
  <r>
    <s v="SHP-500186"/>
    <d v="2024-01-30T00:00:00"/>
    <x v="0"/>
    <s v="Q1"/>
    <x v="0"/>
    <x v="3"/>
    <x v="2"/>
    <x v="2"/>
    <x v="0"/>
    <s v="Road"/>
    <x v="0"/>
    <n v="69.2"/>
    <n v="1272"/>
    <n v="5"/>
    <n v="8"/>
    <n v="0"/>
    <n v="3"/>
    <n v="54.47"/>
    <n v="0"/>
    <n v="1"/>
  </r>
  <r>
    <s v="SHP-500187"/>
    <d v="2024-01-30T00:00:00"/>
    <x v="0"/>
    <s v="Q1"/>
    <x v="0"/>
    <x v="0"/>
    <x v="0"/>
    <x v="0"/>
    <x v="1"/>
    <s v="Road"/>
    <x v="1"/>
    <n v="7.7"/>
    <n v="982"/>
    <n v="6"/>
    <n v="5"/>
    <n v="1"/>
    <n v="0"/>
    <n v="16.16"/>
    <n v="0"/>
    <n v="1"/>
  </r>
  <r>
    <s v="SHP-500188"/>
    <d v="2024-01-31T00:00:00"/>
    <x v="0"/>
    <s v="Q1"/>
    <x v="0"/>
    <x v="3"/>
    <x v="2"/>
    <x v="3"/>
    <x v="2"/>
    <s v="Road"/>
    <x v="1"/>
    <n v="11.7"/>
    <n v="501"/>
    <n v="2"/>
    <n v="2"/>
    <n v="1"/>
    <n v="0"/>
    <n v="41.82"/>
    <n v="0"/>
    <n v="1"/>
  </r>
  <r>
    <s v="SHP-500189"/>
    <d v="2024-01-31T00:00:00"/>
    <x v="0"/>
    <s v="Q1"/>
    <x v="0"/>
    <x v="1"/>
    <x v="2"/>
    <x v="0"/>
    <x v="1"/>
    <s v="Road"/>
    <x v="1"/>
    <n v="5.2"/>
    <n v="1175"/>
    <n v="6"/>
    <n v="6"/>
    <n v="1"/>
    <n v="0"/>
    <n v="17.78"/>
    <n v="0"/>
    <n v="1"/>
  </r>
  <r>
    <s v="SHP-500190"/>
    <d v="2024-01-31T00:00:00"/>
    <x v="0"/>
    <s v="Q1"/>
    <x v="0"/>
    <x v="3"/>
    <x v="1"/>
    <x v="0"/>
    <x v="2"/>
    <s v="Air"/>
    <x v="1"/>
    <n v="6.6"/>
    <n v="661"/>
    <n v="2"/>
    <n v="5"/>
    <n v="0"/>
    <n v="3"/>
    <n v="62.98"/>
    <n v="0"/>
    <n v="1"/>
  </r>
  <r>
    <s v="SHP-500191"/>
    <d v="2024-01-31T00:00:00"/>
    <x v="0"/>
    <s v="Q1"/>
    <x v="0"/>
    <x v="2"/>
    <x v="1"/>
    <x v="1"/>
    <x v="2"/>
    <s v="Road"/>
    <x v="1"/>
    <n v="1.6"/>
    <n v="280"/>
    <n v="1"/>
    <n v="4"/>
    <n v="0"/>
    <n v="3"/>
    <n v="16.75"/>
    <n v="0"/>
    <n v="1"/>
  </r>
  <r>
    <s v="SHP-500192"/>
    <d v="2024-01-31T00:00:00"/>
    <x v="0"/>
    <s v="Q1"/>
    <x v="0"/>
    <x v="4"/>
    <x v="0"/>
    <x v="4"/>
    <x v="2"/>
    <s v="Air"/>
    <x v="0"/>
    <n v="344.2"/>
    <n v="1061"/>
    <n v="3"/>
    <n v="2"/>
    <n v="1"/>
    <n v="0"/>
    <n v="423.85"/>
    <n v="0"/>
    <n v="1"/>
  </r>
  <r>
    <s v="SHP-500193"/>
    <d v="2024-01-31T00:00:00"/>
    <x v="0"/>
    <s v="Q1"/>
    <x v="0"/>
    <x v="3"/>
    <x v="2"/>
    <x v="3"/>
    <x v="0"/>
    <s v="Road"/>
    <x v="1"/>
    <n v="0.8"/>
    <n v="487"/>
    <n v="4"/>
    <n v="4"/>
    <n v="1"/>
    <n v="0"/>
    <n v="13.27"/>
    <n v="0"/>
    <n v="1"/>
  </r>
  <r>
    <s v="SHP-500194"/>
    <d v="2024-01-31T00:00:00"/>
    <x v="0"/>
    <s v="Q1"/>
    <x v="0"/>
    <x v="2"/>
    <x v="1"/>
    <x v="4"/>
    <x v="0"/>
    <s v="Road"/>
    <x v="1"/>
    <n v="2.2000000000000002"/>
    <n v="862"/>
    <n v="5"/>
    <n v="9"/>
    <n v="0"/>
    <n v="4"/>
    <n v="15.97"/>
    <n v="0"/>
    <n v="1"/>
  </r>
  <r>
    <s v="SHP-500195"/>
    <d v="2024-01-31T00:00:00"/>
    <x v="0"/>
    <s v="Q1"/>
    <x v="0"/>
    <x v="2"/>
    <x v="1"/>
    <x v="3"/>
    <x v="1"/>
    <s v="Road"/>
    <x v="0"/>
    <n v="50.2"/>
    <n v="351"/>
    <n v="6"/>
    <n v="6"/>
    <n v="1"/>
    <n v="0"/>
    <n v="22.68"/>
    <n v="0"/>
    <n v="1"/>
  </r>
  <r>
    <s v="SHP-500196"/>
    <d v="2024-01-31T00:00:00"/>
    <x v="0"/>
    <s v="Q1"/>
    <x v="0"/>
    <x v="3"/>
    <x v="2"/>
    <x v="2"/>
    <x v="0"/>
    <s v="Road"/>
    <x v="0"/>
    <n v="42.9"/>
    <n v="1123"/>
    <n v="5"/>
    <n v="5"/>
    <n v="1"/>
    <n v="0"/>
    <n v="44.17"/>
    <n v="0"/>
    <n v="1"/>
  </r>
  <r>
    <s v="SHP-500197"/>
    <d v="2024-01-31T00:00:00"/>
    <x v="0"/>
    <s v="Q1"/>
    <x v="0"/>
    <x v="3"/>
    <x v="2"/>
    <x v="1"/>
    <x v="0"/>
    <s v="Road"/>
    <x v="1"/>
    <n v="1.6"/>
    <n v="283"/>
    <n v="3"/>
    <n v="3"/>
    <n v="1"/>
    <n v="0"/>
    <n v="10.31"/>
    <n v="0"/>
    <n v="1"/>
  </r>
  <r>
    <s v="SHP-500198"/>
    <d v="2024-01-31T00:00:00"/>
    <x v="0"/>
    <s v="Q1"/>
    <x v="0"/>
    <x v="0"/>
    <x v="1"/>
    <x v="3"/>
    <x v="0"/>
    <s v="Road"/>
    <x v="0"/>
    <n v="123.3"/>
    <n v="424"/>
    <n v="4"/>
    <n v="4"/>
    <n v="1"/>
    <n v="0"/>
    <n v="63.44"/>
    <n v="0"/>
    <n v="1"/>
  </r>
  <r>
    <s v="SHP-500199"/>
    <d v="2024-02-01T00:00:00"/>
    <x v="0"/>
    <s v="Q1"/>
    <x v="1"/>
    <x v="2"/>
    <x v="0"/>
    <x v="0"/>
    <x v="2"/>
    <s v="Air"/>
    <x v="0"/>
    <n v="119.8"/>
    <n v="1023"/>
    <n v="2"/>
    <n v="2"/>
    <n v="1"/>
    <n v="0"/>
    <n v="205.57"/>
    <n v="0"/>
    <n v="1"/>
  </r>
  <r>
    <s v="SHP-500200"/>
    <d v="2024-02-01T00:00:00"/>
    <x v="0"/>
    <s v="Q1"/>
    <x v="1"/>
    <x v="4"/>
    <x v="0"/>
    <x v="3"/>
    <x v="1"/>
    <s v="Road"/>
    <x v="1"/>
    <n v="12.5"/>
    <n v="485"/>
    <n v="6"/>
    <n v="6"/>
    <n v="1"/>
    <n v="0"/>
    <n v="14.08"/>
    <n v="0"/>
    <n v="1"/>
  </r>
  <r>
    <s v="SHP-500201"/>
    <d v="2024-02-01T00:00:00"/>
    <x v="0"/>
    <s v="Q1"/>
    <x v="1"/>
    <x v="0"/>
    <x v="1"/>
    <x v="1"/>
    <x v="0"/>
    <s v="Road"/>
    <x v="1"/>
    <n v="2.6"/>
    <n v="307"/>
    <n v="3"/>
    <n v="3"/>
    <n v="1"/>
    <n v="0"/>
    <n v="11.05"/>
    <n v="0"/>
    <n v="1"/>
  </r>
  <r>
    <s v="SHP-500202"/>
    <d v="2024-02-01T00:00:00"/>
    <x v="0"/>
    <s v="Q1"/>
    <x v="1"/>
    <x v="3"/>
    <x v="2"/>
    <x v="3"/>
    <x v="1"/>
    <s v="Road"/>
    <x v="0"/>
    <n v="141.19999999999999"/>
    <n v="402"/>
    <n v="6"/>
    <n v="5"/>
    <n v="1"/>
    <n v="0"/>
    <n v="54.94"/>
    <n v="0"/>
    <n v="1"/>
  </r>
  <r>
    <s v="SHP-500203"/>
    <d v="2024-02-01T00:00:00"/>
    <x v="0"/>
    <s v="Q1"/>
    <x v="1"/>
    <x v="3"/>
    <x v="2"/>
    <x v="1"/>
    <x v="0"/>
    <s v="Road"/>
    <x v="0"/>
    <n v="93.3"/>
    <n v="247"/>
    <n v="3"/>
    <n v="3"/>
    <n v="1"/>
    <n v="0"/>
    <n v="53.78"/>
    <n v="0"/>
    <n v="1"/>
  </r>
  <r>
    <s v="SHP-500204"/>
    <d v="2024-02-01T00:00:00"/>
    <x v="0"/>
    <s v="Q1"/>
    <x v="1"/>
    <x v="1"/>
    <x v="0"/>
    <x v="1"/>
    <x v="1"/>
    <s v="Road"/>
    <x v="1"/>
    <n v="5.8"/>
    <n v="246"/>
    <n v="5"/>
    <n v="5"/>
    <n v="1"/>
    <n v="0"/>
    <n v="10.57"/>
    <n v="0"/>
    <n v="1"/>
  </r>
  <r>
    <s v="SHP-500205"/>
    <d v="2024-02-01T00:00:00"/>
    <x v="0"/>
    <s v="Q1"/>
    <x v="1"/>
    <x v="2"/>
    <x v="1"/>
    <x v="1"/>
    <x v="1"/>
    <s v="Road"/>
    <x v="1"/>
    <n v="8.4"/>
    <n v="318"/>
    <n v="5"/>
    <n v="4"/>
    <n v="1"/>
    <n v="0"/>
    <n v="10.48"/>
    <n v="0"/>
    <n v="1"/>
  </r>
  <r>
    <s v="SHP-500206"/>
    <d v="2024-02-01T00:00:00"/>
    <x v="0"/>
    <s v="Q1"/>
    <x v="1"/>
    <x v="3"/>
    <x v="2"/>
    <x v="2"/>
    <x v="0"/>
    <s v="Road"/>
    <x v="1"/>
    <n v="1.9"/>
    <n v="1211"/>
    <n v="5"/>
    <n v="5"/>
    <n v="1"/>
    <n v="0"/>
    <n v="23.23"/>
    <n v="0"/>
    <n v="1"/>
  </r>
  <r>
    <s v="SHP-500207"/>
    <d v="2024-02-02T00:00:00"/>
    <x v="0"/>
    <s v="Q1"/>
    <x v="1"/>
    <x v="2"/>
    <x v="2"/>
    <x v="1"/>
    <x v="0"/>
    <s v="Road"/>
    <x v="1"/>
    <n v="6.2"/>
    <n v="263"/>
    <n v="3"/>
    <n v="3"/>
    <n v="1"/>
    <n v="0"/>
    <n v="11.54"/>
    <n v="0"/>
    <n v="1"/>
  </r>
  <r>
    <s v="SHP-500208"/>
    <d v="2024-02-02T00:00:00"/>
    <x v="0"/>
    <s v="Q1"/>
    <x v="1"/>
    <x v="2"/>
    <x v="2"/>
    <x v="0"/>
    <x v="0"/>
    <s v="Road"/>
    <x v="0"/>
    <n v="57"/>
    <n v="728"/>
    <n v="4"/>
    <n v="4"/>
    <n v="1"/>
    <n v="0"/>
    <n v="34.94"/>
    <n v="0"/>
    <n v="1"/>
  </r>
  <r>
    <s v="SHP-500209"/>
    <d v="2024-02-02T00:00:00"/>
    <x v="0"/>
    <s v="Q1"/>
    <x v="1"/>
    <x v="3"/>
    <x v="1"/>
    <x v="3"/>
    <x v="0"/>
    <s v="Road"/>
    <x v="0"/>
    <n v="150.5"/>
    <n v="485"/>
    <n v="4"/>
    <n v="4"/>
    <n v="1"/>
    <n v="0"/>
    <n v="86.61"/>
    <n v="0"/>
    <n v="1"/>
  </r>
  <r>
    <s v="SHP-500210"/>
    <d v="2024-02-02T00:00:00"/>
    <x v="0"/>
    <s v="Q1"/>
    <x v="1"/>
    <x v="0"/>
    <x v="0"/>
    <x v="2"/>
    <x v="0"/>
    <s v="Road"/>
    <x v="1"/>
    <n v="3.5"/>
    <n v="1319"/>
    <n v="5"/>
    <n v="7"/>
    <n v="0"/>
    <n v="2"/>
    <n v="23.52"/>
    <n v="0"/>
    <n v="1"/>
  </r>
  <r>
    <s v="SHP-500211"/>
    <d v="2024-02-02T00:00:00"/>
    <x v="0"/>
    <s v="Q1"/>
    <x v="1"/>
    <x v="2"/>
    <x v="0"/>
    <x v="4"/>
    <x v="0"/>
    <s v="Road"/>
    <x v="1"/>
    <n v="1.2"/>
    <n v="875"/>
    <n v="5"/>
    <n v="5"/>
    <n v="1"/>
    <n v="0"/>
    <n v="14.94"/>
    <n v="0"/>
    <n v="1"/>
  </r>
  <r>
    <s v="SHP-500212"/>
    <d v="2024-02-02T00:00:00"/>
    <x v="0"/>
    <s v="Q1"/>
    <x v="1"/>
    <x v="1"/>
    <x v="1"/>
    <x v="0"/>
    <x v="2"/>
    <s v="Air"/>
    <x v="1"/>
    <n v="5.4"/>
    <n v="978"/>
    <n v="2"/>
    <n v="1"/>
    <n v="1"/>
    <n v="0"/>
    <n v="73.86"/>
    <n v="0"/>
    <n v="1"/>
  </r>
  <r>
    <s v="SHP-500213"/>
    <d v="2024-02-02T00:00:00"/>
    <x v="0"/>
    <s v="Q1"/>
    <x v="1"/>
    <x v="2"/>
    <x v="2"/>
    <x v="2"/>
    <x v="0"/>
    <s v="Road"/>
    <x v="0"/>
    <n v="67.2"/>
    <n v="1218"/>
    <n v="5"/>
    <n v="8"/>
    <n v="0"/>
    <n v="3"/>
    <n v="47.14"/>
    <n v="0"/>
    <n v="1"/>
  </r>
  <r>
    <s v="SHP-500214"/>
    <d v="2024-02-03T00:00:00"/>
    <x v="0"/>
    <s v="Q1"/>
    <x v="1"/>
    <x v="1"/>
    <x v="0"/>
    <x v="1"/>
    <x v="0"/>
    <s v="Road"/>
    <x v="0"/>
    <n v="63.3"/>
    <n v="236"/>
    <n v="3"/>
    <n v="2"/>
    <n v="1"/>
    <n v="0"/>
    <n v="42.13"/>
    <n v="0"/>
    <n v="1"/>
  </r>
  <r>
    <s v="SHP-500215"/>
    <d v="2024-02-04T00:00:00"/>
    <x v="0"/>
    <s v="Q1"/>
    <x v="1"/>
    <x v="0"/>
    <x v="1"/>
    <x v="3"/>
    <x v="1"/>
    <s v="Road"/>
    <x v="0"/>
    <n v="233.7"/>
    <n v="473"/>
    <n v="6"/>
    <n v="6"/>
    <n v="1"/>
    <n v="0"/>
    <n v="72.930000000000007"/>
    <n v="0"/>
    <n v="1"/>
  </r>
  <r>
    <s v="SHP-500216"/>
    <d v="2024-02-04T00:00:00"/>
    <x v="0"/>
    <s v="Q1"/>
    <x v="1"/>
    <x v="3"/>
    <x v="2"/>
    <x v="1"/>
    <x v="0"/>
    <s v="Road"/>
    <x v="1"/>
    <n v="5.6"/>
    <n v="292"/>
    <n v="3"/>
    <n v="3"/>
    <n v="1"/>
    <n v="0"/>
    <n v="14.57"/>
    <n v="0"/>
    <n v="1"/>
  </r>
  <r>
    <s v="SHP-500217"/>
    <d v="2024-02-04T00:00:00"/>
    <x v="0"/>
    <s v="Q1"/>
    <x v="1"/>
    <x v="4"/>
    <x v="2"/>
    <x v="4"/>
    <x v="0"/>
    <s v="Road"/>
    <x v="1"/>
    <n v="10.3"/>
    <n v="803"/>
    <n v="5"/>
    <n v="4"/>
    <n v="1"/>
    <n v="0"/>
    <n v="21.2"/>
    <n v="0"/>
    <n v="1"/>
  </r>
  <r>
    <s v="SHP-500218"/>
    <d v="2024-02-04T00:00:00"/>
    <x v="0"/>
    <s v="Q1"/>
    <x v="1"/>
    <x v="3"/>
    <x v="1"/>
    <x v="1"/>
    <x v="2"/>
    <s v="Road"/>
    <x v="1"/>
    <n v="6.5"/>
    <n v="233"/>
    <n v="1"/>
    <n v="1"/>
    <n v="1"/>
    <n v="0"/>
    <n v="28.22"/>
    <n v="0"/>
    <n v="1"/>
  </r>
  <r>
    <s v="SHP-500219"/>
    <d v="2024-02-04T00:00:00"/>
    <x v="0"/>
    <s v="Q1"/>
    <x v="1"/>
    <x v="4"/>
    <x v="2"/>
    <x v="0"/>
    <x v="0"/>
    <s v="Road"/>
    <x v="1"/>
    <n v="3.2"/>
    <n v="839"/>
    <n v="4"/>
    <n v="4"/>
    <n v="1"/>
    <n v="0"/>
    <n v="17.5"/>
    <n v="0"/>
    <n v="1"/>
  </r>
  <r>
    <s v="SHP-500220"/>
    <d v="2024-02-05T00:00:00"/>
    <x v="0"/>
    <s v="Q1"/>
    <x v="1"/>
    <x v="2"/>
    <x v="2"/>
    <x v="3"/>
    <x v="0"/>
    <s v="Road"/>
    <x v="0"/>
    <n v="81.599999999999994"/>
    <n v="445"/>
    <n v="4"/>
    <n v="3"/>
    <n v="1"/>
    <n v="0"/>
    <n v="42.14"/>
    <n v="0"/>
    <n v="1"/>
  </r>
  <r>
    <s v="SHP-500221"/>
    <d v="2024-02-05T00:00:00"/>
    <x v="0"/>
    <s v="Q1"/>
    <x v="1"/>
    <x v="2"/>
    <x v="2"/>
    <x v="2"/>
    <x v="1"/>
    <s v="Road"/>
    <x v="1"/>
    <n v="8.1999999999999993"/>
    <n v="1366"/>
    <n v="7"/>
    <n v="9"/>
    <n v="0"/>
    <n v="2"/>
    <n v="17.260000000000002"/>
    <n v="0"/>
    <n v="1"/>
  </r>
  <r>
    <s v="SHP-500222"/>
    <d v="2024-02-05T00:00:00"/>
    <x v="0"/>
    <s v="Q1"/>
    <x v="1"/>
    <x v="4"/>
    <x v="0"/>
    <x v="1"/>
    <x v="0"/>
    <s v="Road"/>
    <x v="1"/>
    <n v="12.2"/>
    <n v="242"/>
    <n v="3"/>
    <n v="3"/>
    <n v="1"/>
    <n v="0"/>
    <n v="14.96"/>
    <n v="0"/>
    <n v="1"/>
  </r>
  <r>
    <s v="SHP-500223"/>
    <d v="2024-02-05T00:00:00"/>
    <x v="0"/>
    <s v="Q1"/>
    <x v="1"/>
    <x v="2"/>
    <x v="2"/>
    <x v="0"/>
    <x v="2"/>
    <s v="Air"/>
    <x v="0"/>
    <n v="131.1"/>
    <n v="496"/>
    <n v="2"/>
    <n v="2"/>
    <n v="1"/>
    <n v="0"/>
    <n v="177.9"/>
    <n v="0"/>
    <n v="1"/>
  </r>
  <r>
    <s v="SHP-500224"/>
    <d v="2024-02-05T00:00:00"/>
    <x v="0"/>
    <s v="Q1"/>
    <x v="1"/>
    <x v="3"/>
    <x v="2"/>
    <x v="0"/>
    <x v="0"/>
    <s v="Road"/>
    <x v="1"/>
    <n v="2.6"/>
    <n v="696"/>
    <n v="4"/>
    <n v="4"/>
    <n v="1"/>
    <n v="0"/>
    <n v="18.21"/>
    <n v="0"/>
    <n v="1"/>
  </r>
  <r>
    <s v="SHP-500225"/>
    <d v="2024-02-05T00:00:00"/>
    <x v="0"/>
    <s v="Q1"/>
    <x v="1"/>
    <x v="4"/>
    <x v="2"/>
    <x v="1"/>
    <x v="1"/>
    <s v="Road"/>
    <x v="1"/>
    <n v="9.1999999999999993"/>
    <n v="302"/>
    <n v="5"/>
    <n v="4"/>
    <n v="1"/>
    <n v="0"/>
    <n v="11.35"/>
    <n v="0"/>
    <n v="1"/>
  </r>
  <r>
    <s v="SHP-500226"/>
    <d v="2024-02-05T00:00:00"/>
    <x v="0"/>
    <s v="Q1"/>
    <x v="1"/>
    <x v="0"/>
    <x v="0"/>
    <x v="0"/>
    <x v="2"/>
    <s v="Air"/>
    <x v="0"/>
    <n v="145.1"/>
    <n v="917"/>
    <n v="2"/>
    <n v="1"/>
    <n v="1"/>
    <n v="0"/>
    <n v="240.56"/>
    <n v="0"/>
    <n v="1"/>
  </r>
  <r>
    <s v="SHP-500227"/>
    <d v="2024-02-05T00:00:00"/>
    <x v="0"/>
    <s v="Q1"/>
    <x v="1"/>
    <x v="2"/>
    <x v="2"/>
    <x v="1"/>
    <x v="0"/>
    <s v="Road"/>
    <x v="1"/>
    <n v="6.1"/>
    <n v="207"/>
    <n v="3"/>
    <n v="3"/>
    <n v="1"/>
    <n v="0"/>
    <n v="10.88"/>
    <n v="0"/>
    <n v="1"/>
  </r>
  <r>
    <s v="SHP-500228"/>
    <d v="2024-02-06T00:00:00"/>
    <x v="0"/>
    <s v="Q1"/>
    <x v="1"/>
    <x v="4"/>
    <x v="2"/>
    <x v="3"/>
    <x v="0"/>
    <s v="Road"/>
    <x v="0"/>
    <n v="161.6"/>
    <n v="474"/>
    <n v="4"/>
    <n v="4"/>
    <n v="1"/>
    <n v="0"/>
    <n v="76.06"/>
    <n v="0"/>
    <n v="1"/>
  </r>
  <r>
    <s v="SHP-500229"/>
    <d v="2024-02-06T00:00:00"/>
    <x v="0"/>
    <s v="Q1"/>
    <x v="1"/>
    <x v="4"/>
    <x v="1"/>
    <x v="2"/>
    <x v="0"/>
    <s v="Road"/>
    <x v="0"/>
    <n v="144"/>
    <n v="963"/>
    <n v="5"/>
    <n v="4"/>
    <n v="1"/>
    <n v="0"/>
    <n v="76.489999999999995"/>
    <n v="0"/>
    <n v="1"/>
  </r>
  <r>
    <s v="SHP-500230"/>
    <d v="2024-02-06T00:00:00"/>
    <x v="0"/>
    <s v="Q1"/>
    <x v="1"/>
    <x v="3"/>
    <x v="1"/>
    <x v="2"/>
    <x v="0"/>
    <s v="Road"/>
    <x v="0"/>
    <n v="112.3"/>
    <n v="819"/>
    <n v="5"/>
    <n v="4"/>
    <n v="1"/>
    <n v="0"/>
    <n v="69.17"/>
    <n v="0"/>
    <n v="1"/>
  </r>
  <r>
    <s v="SHP-500231"/>
    <d v="2024-02-06T00:00:00"/>
    <x v="0"/>
    <s v="Q1"/>
    <x v="1"/>
    <x v="4"/>
    <x v="1"/>
    <x v="0"/>
    <x v="0"/>
    <s v="Road"/>
    <x v="1"/>
    <n v="15.7"/>
    <n v="743"/>
    <n v="4"/>
    <n v="4"/>
    <n v="1"/>
    <n v="0"/>
    <n v="25.77"/>
    <n v="0"/>
    <n v="1"/>
  </r>
  <r>
    <s v="SHP-500232"/>
    <d v="2024-02-06T00:00:00"/>
    <x v="0"/>
    <s v="Q1"/>
    <x v="1"/>
    <x v="4"/>
    <x v="1"/>
    <x v="1"/>
    <x v="2"/>
    <s v="Road"/>
    <x v="0"/>
    <n v="113.3"/>
    <n v="248"/>
    <n v="1"/>
    <n v="1"/>
    <n v="1"/>
    <n v="0"/>
    <n v="104.43"/>
    <n v="0"/>
    <n v="1"/>
  </r>
  <r>
    <s v="SHP-500233"/>
    <d v="2024-02-06T00:00:00"/>
    <x v="0"/>
    <s v="Q1"/>
    <x v="1"/>
    <x v="0"/>
    <x v="2"/>
    <x v="0"/>
    <x v="0"/>
    <s v="Road"/>
    <x v="1"/>
    <n v="9.1"/>
    <n v="589"/>
    <n v="4"/>
    <n v="4"/>
    <n v="1"/>
    <n v="0"/>
    <n v="20.59"/>
    <n v="0"/>
    <n v="1"/>
  </r>
  <r>
    <s v="SHP-500234"/>
    <d v="2024-02-06T00:00:00"/>
    <x v="0"/>
    <s v="Q1"/>
    <x v="1"/>
    <x v="4"/>
    <x v="1"/>
    <x v="0"/>
    <x v="0"/>
    <s v="Road"/>
    <x v="0"/>
    <n v="56.9"/>
    <n v="934"/>
    <n v="4"/>
    <n v="4"/>
    <n v="1"/>
    <n v="0"/>
    <n v="48.73"/>
    <n v="0"/>
    <n v="1"/>
  </r>
  <r>
    <s v="SHP-500235"/>
    <d v="2024-02-06T00:00:00"/>
    <x v="0"/>
    <s v="Q1"/>
    <x v="1"/>
    <x v="2"/>
    <x v="0"/>
    <x v="1"/>
    <x v="2"/>
    <s v="Road"/>
    <x v="1"/>
    <n v="12"/>
    <n v="191"/>
    <n v="1"/>
    <n v="1"/>
    <n v="1"/>
    <n v="0"/>
    <n v="26.56"/>
    <n v="0"/>
    <n v="1"/>
  </r>
  <r>
    <s v="SHP-500236"/>
    <d v="2024-02-07T00:00:00"/>
    <x v="0"/>
    <s v="Q1"/>
    <x v="1"/>
    <x v="4"/>
    <x v="2"/>
    <x v="2"/>
    <x v="1"/>
    <s v="Road"/>
    <x v="1"/>
    <n v="4"/>
    <n v="1261"/>
    <n v="7"/>
    <n v="7"/>
    <n v="1"/>
    <n v="0"/>
    <n v="15.8"/>
    <n v="0"/>
    <n v="1"/>
  </r>
  <r>
    <s v="SHP-500237"/>
    <d v="2024-02-07T00:00:00"/>
    <x v="0"/>
    <s v="Q1"/>
    <x v="1"/>
    <x v="3"/>
    <x v="0"/>
    <x v="3"/>
    <x v="0"/>
    <s v="Road"/>
    <x v="0"/>
    <n v="266.39999999999998"/>
    <n v="488"/>
    <n v="4"/>
    <n v="4"/>
    <n v="1"/>
    <n v="0"/>
    <n v="141.34"/>
    <n v="0"/>
    <n v="1"/>
  </r>
  <r>
    <s v="SHP-500238"/>
    <d v="2024-02-07T00:00:00"/>
    <x v="0"/>
    <s v="Q1"/>
    <x v="1"/>
    <x v="3"/>
    <x v="2"/>
    <x v="0"/>
    <x v="1"/>
    <s v="Road"/>
    <x v="1"/>
    <n v="5.3"/>
    <n v="840"/>
    <n v="6"/>
    <n v="6"/>
    <n v="1"/>
    <n v="0"/>
    <n v="16.010000000000002"/>
    <n v="0"/>
    <n v="1"/>
  </r>
  <r>
    <s v="SHP-500239"/>
    <d v="2024-02-07T00:00:00"/>
    <x v="0"/>
    <s v="Q1"/>
    <x v="1"/>
    <x v="2"/>
    <x v="0"/>
    <x v="1"/>
    <x v="0"/>
    <s v="Road"/>
    <x v="1"/>
    <n v="5.8"/>
    <n v="280"/>
    <n v="3"/>
    <n v="5"/>
    <n v="0"/>
    <n v="2"/>
    <n v="11.96"/>
    <n v="0"/>
    <n v="1"/>
  </r>
  <r>
    <s v="SHP-500240"/>
    <d v="2024-02-07T00:00:00"/>
    <x v="0"/>
    <s v="Q1"/>
    <x v="1"/>
    <x v="3"/>
    <x v="0"/>
    <x v="0"/>
    <x v="0"/>
    <s v="Road"/>
    <x v="1"/>
    <n v="9"/>
    <n v="827"/>
    <n v="4"/>
    <n v="4"/>
    <n v="1"/>
    <n v="0"/>
    <n v="25.52"/>
    <n v="0"/>
    <n v="1"/>
  </r>
  <r>
    <s v="SHP-500241"/>
    <d v="2024-02-08T00:00:00"/>
    <x v="0"/>
    <s v="Q1"/>
    <x v="1"/>
    <x v="2"/>
    <x v="2"/>
    <x v="1"/>
    <x v="0"/>
    <s v="Road"/>
    <x v="0"/>
    <n v="49.5"/>
    <n v="251"/>
    <n v="3"/>
    <n v="4"/>
    <n v="0"/>
    <n v="1"/>
    <n v="26.09"/>
    <n v="0"/>
    <n v="1"/>
  </r>
  <r>
    <s v="SHP-500242"/>
    <d v="2024-02-08T00:00:00"/>
    <x v="0"/>
    <s v="Q1"/>
    <x v="1"/>
    <x v="4"/>
    <x v="2"/>
    <x v="1"/>
    <x v="0"/>
    <s v="Road"/>
    <x v="0"/>
    <n v="174.1"/>
    <n v="229"/>
    <n v="3"/>
    <n v="3"/>
    <n v="1"/>
    <n v="0"/>
    <n v="76.849999999999994"/>
    <n v="0"/>
    <n v="1"/>
  </r>
  <r>
    <s v="SHP-500243"/>
    <d v="2024-02-08T00:00:00"/>
    <x v="0"/>
    <s v="Q1"/>
    <x v="1"/>
    <x v="2"/>
    <x v="1"/>
    <x v="3"/>
    <x v="0"/>
    <s v="Road"/>
    <x v="0"/>
    <n v="29.1"/>
    <n v="483"/>
    <n v="4"/>
    <n v="4"/>
    <n v="1"/>
    <n v="0"/>
    <n v="23.48"/>
    <n v="0"/>
    <n v="1"/>
  </r>
  <r>
    <s v="SHP-500244"/>
    <d v="2024-02-08T00:00:00"/>
    <x v="0"/>
    <s v="Q1"/>
    <x v="1"/>
    <x v="0"/>
    <x v="2"/>
    <x v="0"/>
    <x v="0"/>
    <s v="Road"/>
    <x v="1"/>
    <n v="6.2"/>
    <n v="999"/>
    <n v="4"/>
    <n v="3"/>
    <n v="1"/>
    <n v="0"/>
    <n v="22.29"/>
    <n v="0"/>
    <n v="1"/>
  </r>
  <r>
    <s v="SHP-500245"/>
    <d v="2024-02-08T00:00:00"/>
    <x v="0"/>
    <s v="Q1"/>
    <x v="1"/>
    <x v="1"/>
    <x v="2"/>
    <x v="0"/>
    <x v="2"/>
    <s v="Air"/>
    <x v="0"/>
    <n v="193.6"/>
    <n v="961"/>
    <n v="2"/>
    <n v="1"/>
    <n v="1"/>
    <n v="0"/>
    <n v="303.7"/>
    <n v="0"/>
    <n v="1"/>
  </r>
  <r>
    <s v="SHP-500246"/>
    <d v="2024-02-08T00:00:00"/>
    <x v="0"/>
    <s v="Q1"/>
    <x v="1"/>
    <x v="2"/>
    <x v="2"/>
    <x v="2"/>
    <x v="0"/>
    <s v="Road"/>
    <x v="0"/>
    <n v="52.2"/>
    <n v="1225"/>
    <n v="5"/>
    <n v="8"/>
    <n v="0"/>
    <n v="3"/>
    <n v="38.57"/>
    <n v="0"/>
    <n v="1"/>
  </r>
  <r>
    <s v="SHP-500247"/>
    <d v="2024-02-08T00:00:00"/>
    <x v="0"/>
    <s v="Q1"/>
    <x v="1"/>
    <x v="0"/>
    <x v="1"/>
    <x v="3"/>
    <x v="0"/>
    <s v="Road"/>
    <x v="0"/>
    <n v="125.6"/>
    <n v="474"/>
    <n v="4"/>
    <n v="4"/>
    <n v="1"/>
    <n v="0"/>
    <n v="68.78"/>
    <n v="0"/>
    <n v="1"/>
  </r>
  <r>
    <s v="SHP-500248"/>
    <d v="2024-02-08T00:00:00"/>
    <x v="0"/>
    <s v="Q1"/>
    <x v="1"/>
    <x v="2"/>
    <x v="1"/>
    <x v="1"/>
    <x v="2"/>
    <s v="Road"/>
    <x v="1"/>
    <n v="2.2999999999999998"/>
    <n v="202"/>
    <n v="1"/>
    <n v="1"/>
    <n v="1"/>
    <n v="0"/>
    <n v="16.53"/>
    <n v="0"/>
    <n v="1"/>
  </r>
  <r>
    <s v="SHP-500249"/>
    <d v="2024-02-08T00:00:00"/>
    <x v="0"/>
    <s v="Q1"/>
    <x v="1"/>
    <x v="3"/>
    <x v="1"/>
    <x v="0"/>
    <x v="0"/>
    <s v="Road"/>
    <x v="1"/>
    <n v="0.7"/>
    <n v="1003"/>
    <n v="4"/>
    <n v="3"/>
    <n v="1"/>
    <n v="0"/>
    <n v="20.7"/>
    <n v="0"/>
    <n v="1"/>
  </r>
  <r>
    <s v="SHP-500250"/>
    <d v="2024-02-09T00:00:00"/>
    <x v="0"/>
    <s v="Q1"/>
    <x v="1"/>
    <x v="3"/>
    <x v="2"/>
    <x v="0"/>
    <x v="0"/>
    <s v="Road"/>
    <x v="1"/>
    <n v="3"/>
    <n v="979"/>
    <n v="4"/>
    <n v="4"/>
    <n v="1"/>
    <n v="0"/>
    <n v="23.03"/>
    <n v="0"/>
    <n v="1"/>
  </r>
  <r>
    <s v="SHP-500251"/>
    <d v="2024-02-09T00:00:00"/>
    <x v="0"/>
    <s v="Q1"/>
    <x v="1"/>
    <x v="1"/>
    <x v="2"/>
    <x v="1"/>
    <x v="0"/>
    <s v="Road"/>
    <x v="1"/>
    <n v="12.2"/>
    <n v="266"/>
    <n v="3"/>
    <n v="2"/>
    <n v="1"/>
    <n v="0"/>
    <n v="17.75"/>
    <n v="0"/>
    <n v="1"/>
  </r>
  <r>
    <s v="SHP-500252"/>
    <d v="2024-02-09T00:00:00"/>
    <x v="0"/>
    <s v="Q1"/>
    <x v="1"/>
    <x v="4"/>
    <x v="1"/>
    <x v="2"/>
    <x v="2"/>
    <s v="Air"/>
    <x v="1"/>
    <n v="25.8"/>
    <n v="1197"/>
    <n v="3"/>
    <n v="2"/>
    <n v="1"/>
    <n v="0"/>
    <n v="105.95"/>
    <n v="0"/>
    <n v="1"/>
  </r>
  <r>
    <s v="SHP-500253"/>
    <d v="2024-02-09T00:00:00"/>
    <x v="0"/>
    <s v="Q1"/>
    <x v="1"/>
    <x v="2"/>
    <x v="1"/>
    <x v="0"/>
    <x v="2"/>
    <s v="Air"/>
    <x v="1"/>
    <n v="4.7"/>
    <n v="1134"/>
    <n v="2"/>
    <n v="1"/>
    <n v="1"/>
    <n v="0"/>
    <n v="55.48"/>
    <n v="0"/>
    <n v="1"/>
  </r>
  <r>
    <s v="SHP-500254"/>
    <d v="2024-02-09T00:00:00"/>
    <x v="0"/>
    <s v="Q1"/>
    <x v="1"/>
    <x v="1"/>
    <x v="1"/>
    <x v="0"/>
    <x v="2"/>
    <s v="Air"/>
    <x v="0"/>
    <n v="135.69999999999999"/>
    <n v="690"/>
    <n v="2"/>
    <n v="2"/>
    <n v="1"/>
    <n v="0"/>
    <n v="210.06"/>
    <n v="0"/>
    <n v="1"/>
  </r>
  <r>
    <s v="SHP-500255"/>
    <d v="2024-02-09T00:00:00"/>
    <x v="0"/>
    <s v="Q1"/>
    <x v="1"/>
    <x v="3"/>
    <x v="1"/>
    <x v="1"/>
    <x v="2"/>
    <s v="Road"/>
    <x v="0"/>
    <n v="300.2"/>
    <n v="253"/>
    <n v="1"/>
    <n v="1"/>
    <n v="1"/>
    <n v="0"/>
    <n v="258.3"/>
    <n v="0"/>
    <n v="1"/>
  </r>
  <r>
    <s v="SHP-500256"/>
    <d v="2024-02-10T00:00:00"/>
    <x v="0"/>
    <s v="Q1"/>
    <x v="1"/>
    <x v="1"/>
    <x v="0"/>
    <x v="1"/>
    <x v="0"/>
    <s v="Road"/>
    <x v="1"/>
    <n v="9.9"/>
    <n v="236"/>
    <n v="3"/>
    <n v="3"/>
    <n v="1"/>
    <n v="0"/>
    <n v="16.91"/>
    <n v="0"/>
    <n v="1"/>
  </r>
  <r>
    <s v="SHP-500257"/>
    <d v="2024-02-10T00:00:00"/>
    <x v="0"/>
    <s v="Q1"/>
    <x v="1"/>
    <x v="3"/>
    <x v="2"/>
    <x v="1"/>
    <x v="2"/>
    <s v="Road"/>
    <x v="1"/>
    <n v="7.5"/>
    <n v="309"/>
    <n v="1"/>
    <n v="1"/>
    <n v="1"/>
    <n v="0"/>
    <n v="31.6"/>
    <n v="0"/>
    <n v="1"/>
  </r>
  <r>
    <s v="SHP-500258"/>
    <d v="2024-02-10T00:00:00"/>
    <x v="0"/>
    <s v="Q1"/>
    <x v="1"/>
    <x v="1"/>
    <x v="1"/>
    <x v="0"/>
    <x v="2"/>
    <s v="Air"/>
    <x v="1"/>
    <n v="11.8"/>
    <n v="781"/>
    <n v="2"/>
    <n v="2"/>
    <n v="1"/>
    <n v="0"/>
    <n v="68.92"/>
    <n v="0"/>
    <n v="1"/>
  </r>
  <r>
    <s v="SHP-500259"/>
    <d v="2024-02-10T00:00:00"/>
    <x v="0"/>
    <s v="Q1"/>
    <x v="1"/>
    <x v="3"/>
    <x v="2"/>
    <x v="1"/>
    <x v="0"/>
    <s v="Road"/>
    <x v="0"/>
    <n v="58.4"/>
    <n v="214"/>
    <n v="3"/>
    <n v="3"/>
    <n v="1"/>
    <n v="0"/>
    <n v="41.39"/>
    <n v="0"/>
    <n v="1"/>
  </r>
  <r>
    <s v="SHP-500260"/>
    <d v="2024-02-11T00:00:00"/>
    <x v="0"/>
    <s v="Q1"/>
    <x v="1"/>
    <x v="1"/>
    <x v="2"/>
    <x v="4"/>
    <x v="2"/>
    <s v="Air"/>
    <x v="1"/>
    <n v="3.4"/>
    <n v="1263"/>
    <n v="3"/>
    <n v="3"/>
    <n v="1"/>
    <n v="0"/>
    <n v="73.599999999999994"/>
    <n v="0"/>
    <n v="1"/>
  </r>
  <r>
    <s v="SHP-500261"/>
    <d v="2024-02-11T00:00:00"/>
    <x v="0"/>
    <s v="Q1"/>
    <x v="1"/>
    <x v="4"/>
    <x v="1"/>
    <x v="0"/>
    <x v="2"/>
    <s v="Air"/>
    <x v="1"/>
    <n v="3.7"/>
    <n v="952"/>
    <n v="2"/>
    <n v="7"/>
    <n v="0"/>
    <n v="5"/>
    <n v="55.69"/>
    <n v="0"/>
    <n v="1"/>
  </r>
  <r>
    <s v="SHP-500262"/>
    <d v="2024-02-11T00:00:00"/>
    <x v="0"/>
    <s v="Q1"/>
    <x v="1"/>
    <x v="0"/>
    <x v="1"/>
    <x v="3"/>
    <x v="2"/>
    <s v="Road"/>
    <x v="1"/>
    <n v="3.5"/>
    <n v="389"/>
    <n v="2"/>
    <n v="2"/>
    <n v="1"/>
    <n v="0"/>
    <n v="26.53"/>
    <n v="0"/>
    <n v="1"/>
  </r>
  <r>
    <s v="SHP-500263"/>
    <d v="2024-02-12T00:00:00"/>
    <x v="0"/>
    <s v="Q1"/>
    <x v="1"/>
    <x v="0"/>
    <x v="1"/>
    <x v="0"/>
    <x v="0"/>
    <s v="Road"/>
    <x v="1"/>
    <n v="12.9"/>
    <n v="865"/>
    <n v="4"/>
    <n v="4"/>
    <n v="1"/>
    <n v="0"/>
    <n v="20.25"/>
    <n v="0"/>
    <n v="1"/>
  </r>
  <r>
    <s v="SHP-500264"/>
    <d v="2024-02-12T00:00:00"/>
    <x v="0"/>
    <s v="Q1"/>
    <x v="1"/>
    <x v="2"/>
    <x v="1"/>
    <x v="1"/>
    <x v="0"/>
    <s v="Road"/>
    <x v="1"/>
    <n v="11.3"/>
    <n v="274"/>
    <n v="3"/>
    <n v="4"/>
    <n v="0"/>
    <n v="1"/>
    <n v="13.85"/>
    <n v="0"/>
    <n v="1"/>
  </r>
  <r>
    <s v="SHP-500265"/>
    <d v="2024-02-12T00:00:00"/>
    <x v="0"/>
    <s v="Q1"/>
    <x v="1"/>
    <x v="0"/>
    <x v="1"/>
    <x v="0"/>
    <x v="1"/>
    <s v="Road"/>
    <x v="1"/>
    <n v="2.5"/>
    <n v="721"/>
    <n v="6"/>
    <n v="5"/>
    <n v="1"/>
    <n v="0"/>
    <n v="12.58"/>
    <n v="0"/>
    <n v="1"/>
  </r>
  <r>
    <s v="SHP-500266"/>
    <d v="2024-02-12T00:00:00"/>
    <x v="0"/>
    <s v="Q1"/>
    <x v="1"/>
    <x v="1"/>
    <x v="0"/>
    <x v="2"/>
    <x v="0"/>
    <s v="Road"/>
    <x v="1"/>
    <n v="7.2"/>
    <n v="951"/>
    <n v="5"/>
    <n v="5"/>
    <n v="1"/>
    <n v="0"/>
    <n v="22.95"/>
    <n v="0"/>
    <n v="1"/>
  </r>
  <r>
    <s v="SHP-500267"/>
    <d v="2024-02-12T00:00:00"/>
    <x v="0"/>
    <s v="Q1"/>
    <x v="1"/>
    <x v="4"/>
    <x v="0"/>
    <x v="1"/>
    <x v="1"/>
    <s v="Road"/>
    <x v="0"/>
    <n v="326.8"/>
    <n v="289"/>
    <n v="5"/>
    <n v="4"/>
    <n v="1"/>
    <n v="0"/>
    <n v="101.17"/>
    <n v="0"/>
    <n v="1"/>
  </r>
  <r>
    <s v="SHP-500268"/>
    <d v="2024-02-12T00:00:00"/>
    <x v="0"/>
    <s v="Q1"/>
    <x v="1"/>
    <x v="3"/>
    <x v="1"/>
    <x v="0"/>
    <x v="2"/>
    <s v="Air"/>
    <x v="1"/>
    <n v="1.9"/>
    <n v="901"/>
    <n v="2"/>
    <n v="2"/>
    <n v="1"/>
    <n v="0"/>
    <n v="67.02"/>
    <n v="0"/>
    <n v="1"/>
  </r>
  <r>
    <s v="SHP-500269"/>
    <d v="2024-02-12T00:00:00"/>
    <x v="0"/>
    <s v="Q1"/>
    <x v="1"/>
    <x v="2"/>
    <x v="0"/>
    <x v="0"/>
    <x v="2"/>
    <s v="Air"/>
    <x v="0"/>
    <n v="103.1"/>
    <n v="962"/>
    <n v="2"/>
    <n v="2"/>
    <n v="1"/>
    <n v="0"/>
    <n v="182.32"/>
    <n v="0"/>
    <n v="1"/>
  </r>
  <r>
    <s v="SHP-500270"/>
    <d v="2024-02-12T00:00:00"/>
    <x v="0"/>
    <s v="Q1"/>
    <x v="1"/>
    <x v="0"/>
    <x v="2"/>
    <x v="0"/>
    <x v="2"/>
    <s v="Air"/>
    <x v="0"/>
    <n v="58.4"/>
    <n v="980"/>
    <n v="2"/>
    <n v="1"/>
    <n v="1"/>
    <n v="0"/>
    <n v="135.85"/>
    <n v="0"/>
    <n v="1"/>
  </r>
  <r>
    <s v="SHP-500271"/>
    <d v="2024-02-12T00:00:00"/>
    <x v="0"/>
    <s v="Q1"/>
    <x v="1"/>
    <x v="0"/>
    <x v="1"/>
    <x v="0"/>
    <x v="0"/>
    <s v="Road"/>
    <x v="1"/>
    <n v="10.199999999999999"/>
    <n v="921"/>
    <n v="4"/>
    <n v="4"/>
    <n v="1"/>
    <n v="0"/>
    <n v="21.15"/>
    <n v="0"/>
    <n v="1"/>
  </r>
  <r>
    <s v="SHP-500272"/>
    <d v="2024-02-12T00:00:00"/>
    <x v="0"/>
    <s v="Q1"/>
    <x v="1"/>
    <x v="3"/>
    <x v="2"/>
    <x v="2"/>
    <x v="0"/>
    <s v="Road"/>
    <x v="1"/>
    <n v="3.3"/>
    <n v="913"/>
    <n v="5"/>
    <n v="5"/>
    <n v="1"/>
    <n v="0"/>
    <n v="21.26"/>
    <n v="0"/>
    <n v="1"/>
  </r>
  <r>
    <s v="SHP-500273"/>
    <d v="2024-02-12T00:00:00"/>
    <x v="0"/>
    <s v="Q1"/>
    <x v="1"/>
    <x v="0"/>
    <x v="1"/>
    <x v="1"/>
    <x v="0"/>
    <s v="Road"/>
    <x v="1"/>
    <n v="9.1"/>
    <n v="282"/>
    <n v="3"/>
    <n v="2"/>
    <n v="1"/>
    <n v="0"/>
    <n v="14.89"/>
    <n v="0"/>
    <n v="1"/>
  </r>
  <r>
    <s v="SHP-500274"/>
    <d v="2024-02-12T00:00:00"/>
    <x v="0"/>
    <s v="Q1"/>
    <x v="1"/>
    <x v="2"/>
    <x v="0"/>
    <x v="3"/>
    <x v="0"/>
    <s v="Road"/>
    <x v="0"/>
    <n v="21.6"/>
    <n v="568"/>
    <n v="4"/>
    <n v="4"/>
    <n v="1"/>
    <n v="0"/>
    <n v="23.38"/>
    <n v="0"/>
    <n v="1"/>
  </r>
  <r>
    <s v="SHP-500275"/>
    <d v="2024-02-12T00:00:00"/>
    <x v="0"/>
    <s v="Q1"/>
    <x v="1"/>
    <x v="3"/>
    <x v="0"/>
    <x v="1"/>
    <x v="1"/>
    <s v="Road"/>
    <x v="1"/>
    <n v="5.2"/>
    <n v="232"/>
    <n v="5"/>
    <n v="5"/>
    <n v="1"/>
    <n v="0"/>
    <n v="10.71"/>
    <n v="0"/>
    <n v="1"/>
  </r>
  <r>
    <s v="SHP-500276"/>
    <d v="2024-02-12T00:00:00"/>
    <x v="0"/>
    <s v="Q1"/>
    <x v="1"/>
    <x v="2"/>
    <x v="1"/>
    <x v="3"/>
    <x v="1"/>
    <s v="Road"/>
    <x v="0"/>
    <n v="227.1"/>
    <n v="533"/>
    <n v="6"/>
    <n v="8"/>
    <n v="0"/>
    <n v="2"/>
    <n v="59.95"/>
    <n v="0"/>
    <n v="1"/>
  </r>
  <r>
    <s v="SHP-500277"/>
    <d v="2024-02-13T00:00:00"/>
    <x v="0"/>
    <s v="Q1"/>
    <x v="1"/>
    <x v="3"/>
    <x v="2"/>
    <x v="0"/>
    <x v="1"/>
    <s v="Road"/>
    <x v="1"/>
    <n v="2.1"/>
    <n v="692"/>
    <n v="6"/>
    <n v="6"/>
    <n v="1"/>
    <n v="0"/>
    <n v="13.32"/>
    <n v="0"/>
    <n v="1"/>
  </r>
  <r>
    <s v="SHP-500278"/>
    <d v="2024-02-13T00:00:00"/>
    <x v="0"/>
    <s v="Q1"/>
    <x v="1"/>
    <x v="0"/>
    <x v="0"/>
    <x v="0"/>
    <x v="0"/>
    <s v="Road"/>
    <x v="1"/>
    <n v="4.5999999999999996"/>
    <n v="787"/>
    <n v="4"/>
    <n v="3"/>
    <n v="1"/>
    <n v="0"/>
    <n v="17.53"/>
    <n v="0"/>
    <n v="1"/>
  </r>
  <r>
    <s v="SHP-500279"/>
    <d v="2024-02-13T00:00:00"/>
    <x v="0"/>
    <s v="Q1"/>
    <x v="1"/>
    <x v="4"/>
    <x v="2"/>
    <x v="3"/>
    <x v="0"/>
    <s v="Road"/>
    <x v="1"/>
    <n v="13.7"/>
    <n v="462"/>
    <n v="4"/>
    <n v="4"/>
    <n v="1"/>
    <n v="0"/>
    <n v="18.940000000000001"/>
    <n v="0"/>
    <n v="1"/>
  </r>
  <r>
    <s v="SHP-500280"/>
    <d v="2024-02-13T00:00:00"/>
    <x v="0"/>
    <s v="Q1"/>
    <x v="1"/>
    <x v="4"/>
    <x v="2"/>
    <x v="3"/>
    <x v="2"/>
    <s v="Road"/>
    <x v="0"/>
    <n v="58.9"/>
    <n v="417"/>
    <n v="2"/>
    <n v="2"/>
    <n v="1"/>
    <n v="0"/>
    <n v="74.069999999999993"/>
    <n v="0"/>
    <n v="1"/>
  </r>
  <r>
    <s v="SHP-500281"/>
    <d v="2024-02-13T00:00:00"/>
    <x v="0"/>
    <s v="Q1"/>
    <x v="1"/>
    <x v="3"/>
    <x v="2"/>
    <x v="2"/>
    <x v="2"/>
    <s v="Air"/>
    <x v="1"/>
    <n v="3.4"/>
    <n v="1009"/>
    <n v="3"/>
    <n v="3"/>
    <n v="1"/>
    <n v="0"/>
    <n v="70.23"/>
    <n v="0"/>
    <n v="1"/>
  </r>
  <r>
    <s v="SHP-500282"/>
    <d v="2024-02-13T00:00:00"/>
    <x v="0"/>
    <s v="Q1"/>
    <x v="1"/>
    <x v="2"/>
    <x v="1"/>
    <x v="0"/>
    <x v="1"/>
    <s v="Road"/>
    <x v="1"/>
    <n v="3"/>
    <n v="1018"/>
    <n v="6"/>
    <n v="6"/>
    <n v="1"/>
    <n v="0"/>
    <n v="12.44"/>
    <n v="0"/>
    <n v="1"/>
  </r>
  <r>
    <s v="SHP-500283"/>
    <d v="2024-02-13T00:00:00"/>
    <x v="0"/>
    <s v="Q1"/>
    <x v="1"/>
    <x v="3"/>
    <x v="2"/>
    <x v="2"/>
    <x v="1"/>
    <s v="Road"/>
    <x v="1"/>
    <n v="14.7"/>
    <n v="1073"/>
    <n v="7"/>
    <n v="6"/>
    <n v="1"/>
    <n v="0"/>
    <n v="22.55"/>
    <n v="0"/>
    <n v="1"/>
  </r>
  <r>
    <s v="SHP-500284"/>
    <d v="2024-02-13T00:00:00"/>
    <x v="0"/>
    <s v="Q1"/>
    <x v="1"/>
    <x v="2"/>
    <x v="1"/>
    <x v="4"/>
    <x v="0"/>
    <s v="Road"/>
    <x v="1"/>
    <n v="5.7"/>
    <n v="969"/>
    <n v="5"/>
    <n v="4"/>
    <n v="1"/>
    <n v="0"/>
    <n v="17.73"/>
    <n v="0"/>
    <n v="1"/>
  </r>
  <r>
    <s v="SHP-500285"/>
    <d v="2024-02-14T00:00:00"/>
    <x v="0"/>
    <s v="Q1"/>
    <x v="1"/>
    <x v="1"/>
    <x v="0"/>
    <x v="0"/>
    <x v="1"/>
    <s v="Road"/>
    <x v="1"/>
    <n v="6.7"/>
    <n v="878"/>
    <n v="6"/>
    <n v="6"/>
    <n v="1"/>
    <n v="0"/>
    <n v="17.079999999999998"/>
    <n v="0"/>
    <n v="1"/>
  </r>
  <r>
    <s v="SHP-500286"/>
    <d v="2024-02-14T00:00:00"/>
    <x v="0"/>
    <s v="Q1"/>
    <x v="1"/>
    <x v="1"/>
    <x v="2"/>
    <x v="0"/>
    <x v="1"/>
    <s v="Road"/>
    <x v="1"/>
    <n v="6.3"/>
    <n v="874"/>
    <n v="6"/>
    <n v="6"/>
    <n v="1"/>
    <n v="0"/>
    <n v="15.88"/>
    <n v="0"/>
    <n v="1"/>
  </r>
  <r>
    <s v="SHP-500287"/>
    <d v="2024-02-14T00:00:00"/>
    <x v="0"/>
    <s v="Q1"/>
    <x v="1"/>
    <x v="3"/>
    <x v="2"/>
    <x v="1"/>
    <x v="0"/>
    <s v="Road"/>
    <x v="1"/>
    <n v="18.3"/>
    <n v="275"/>
    <n v="3"/>
    <n v="2"/>
    <n v="1"/>
    <n v="0"/>
    <n v="22.83"/>
    <n v="0"/>
    <n v="1"/>
  </r>
  <r>
    <s v="SHP-500288"/>
    <d v="2024-02-14T00:00:00"/>
    <x v="0"/>
    <s v="Q1"/>
    <x v="1"/>
    <x v="4"/>
    <x v="0"/>
    <x v="2"/>
    <x v="0"/>
    <s v="Road"/>
    <x v="0"/>
    <n v="104"/>
    <n v="1205"/>
    <n v="5"/>
    <n v="5"/>
    <n v="1"/>
    <n v="0"/>
    <n v="71.95"/>
    <n v="0"/>
    <n v="1"/>
  </r>
  <r>
    <s v="SHP-500289"/>
    <d v="2024-02-14T00:00:00"/>
    <x v="0"/>
    <s v="Q1"/>
    <x v="1"/>
    <x v="3"/>
    <x v="2"/>
    <x v="0"/>
    <x v="2"/>
    <s v="Air"/>
    <x v="0"/>
    <n v="254.5"/>
    <n v="878"/>
    <n v="2"/>
    <n v="1"/>
    <n v="1"/>
    <n v="0"/>
    <n v="380.29"/>
    <n v="0"/>
    <n v="1"/>
  </r>
  <r>
    <s v="SHP-500290"/>
    <d v="2024-02-14T00:00:00"/>
    <x v="0"/>
    <s v="Q1"/>
    <x v="1"/>
    <x v="3"/>
    <x v="2"/>
    <x v="1"/>
    <x v="0"/>
    <s v="Road"/>
    <x v="0"/>
    <n v="82.2"/>
    <n v="310"/>
    <n v="3"/>
    <n v="3"/>
    <n v="1"/>
    <n v="0"/>
    <n v="53.14"/>
    <n v="0"/>
    <n v="1"/>
  </r>
  <r>
    <s v="SHP-500291"/>
    <d v="2024-02-14T00:00:00"/>
    <x v="0"/>
    <s v="Q1"/>
    <x v="1"/>
    <x v="2"/>
    <x v="2"/>
    <x v="0"/>
    <x v="0"/>
    <s v="Road"/>
    <x v="1"/>
    <n v="8"/>
    <n v="770"/>
    <n v="4"/>
    <n v="4"/>
    <n v="1"/>
    <n v="0"/>
    <n v="16.82"/>
    <n v="0"/>
    <n v="1"/>
  </r>
  <r>
    <s v="SHP-500292"/>
    <d v="2024-02-14T00:00:00"/>
    <x v="0"/>
    <s v="Q1"/>
    <x v="1"/>
    <x v="4"/>
    <x v="1"/>
    <x v="0"/>
    <x v="0"/>
    <s v="Road"/>
    <x v="0"/>
    <n v="59.3"/>
    <n v="907"/>
    <n v="4"/>
    <n v="4"/>
    <n v="1"/>
    <n v="0"/>
    <n v="44.49"/>
    <n v="0"/>
    <n v="1"/>
  </r>
  <r>
    <s v="SHP-500293"/>
    <d v="2024-02-14T00:00:00"/>
    <x v="0"/>
    <s v="Q1"/>
    <x v="1"/>
    <x v="3"/>
    <x v="1"/>
    <x v="2"/>
    <x v="0"/>
    <s v="Road"/>
    <x v="0"/>
    <n v="39.700000000000003"/>
    <n v="907"/>
    <n v="5"/>
    <n v="5"/>
    <n v="1"/>
    <n v="0"/>
    <n v="41.78"/>
    <n v="0"/>
    <n v="1"/>
  </r>
  <r>
    <s v="SHP-500294"/>
    <d v="2024-02-15T00:00:00"/>
    <x v="0"/>
    <s v="Q1"/>
    <x v="1"/>
    <x v="1"/>
    <x v="2"/>
    <x v="3"/>
    <x v="0"/>
    <s v="Road"/>
    <x v="0"/>
    <n v="115.1"/>
    <n v="584"/>
    <n v="4"/>
    <n v="4"/>
    <n v="1"/>
    <n v="0"/>
    <n v="70.27"/>
    <n v="0"/>
    <n v="1"/>
  </r>
  <r>
    <s v="SHP-500295"/>
    <d v="2024-02-15T00:00:00"/>
    <x v="0"/>
    <s v="Q1"/>
    <x v="1"/>
    <x v="3"/>
    <x v="2"/>
    <x v="2"/>
    <x v="2"/>
    <s v="Air"/>
    <x v="0"/>
    <n v="152.9"/>
    <n v="1340"/>
    <n v="3"/>
    <n v="3"/>
    <n v="1"/>
    <n v="0"/>
    <n v="322.56"/>
    <n v="0"/>
    <n v="1"/>
  </r>
  <r>
    <s v="SHP-500296"/>
    <d v="2024-02-15T00:00:00"/>
    <x v="0"/>
    <s v="Q1"/>
    <x v="1"/>
    <x v="1"/>
    <x v="2"/>
    <x v="1"/>
    <x v="2"/>
    <s v="Road"/>
    <x v="1"/>
    <n v="3.4"/>
    <n v="279"/>
    <n v="1"/>
    <n v="1"/>
    <n v="1"/>
    <n v="0"/>
    <n v="27.18"/>
    <n v="0"/>
    <n v="1"/>
  </r>
  <r>
    <s v="SHP-500297"/>
    <d v="2024-02-15T00:00:00"/>
    <x v="0"/>
    <s v="Q1"/>
    <x v="1"/>
    <x v="0"/>
    <x v="1"/>
    <x v="4"/>
    <x v="1"/>
    <s v="Road"/>
    <x v="0"/>
    <n v="254.3"/>
    <n v="902"/>
    <n v="7"/>
    <n v="7"/>
    <n v="1"/>
    <n v="0"/>
    <n v="88.3"/>
    <n v="0"/>
    <n v="1"/>
  </r>
  <r>
    <s v="SHP-500298"/>
    <d v="2024-02-15T00:00:00"/>
    <x v="0"/>
    <s v="Q1"/>
    <x v="1"/>
    <x v="3"/>
    <x v="2"/>
    <x v="2"/>
    <x v="0"/>
    <s v="Road"/>
    <x v="1"/>
    <n v="6.9"/>
    <n v="1258"/>
    <n v="5"/>
    <n v="5"/>
    <n v="1"/>
    <n v="0"/>
    <n v="31.69"/>
    <n v="0"/>
    <n v="1"/>
  </r>
  <r>
    <s v="SHP-500299"/>
    <d v="2024-02-16T00:00:00"/>
    <x v="0"/>
    <s v="Q1"/>
    <x v="1"/>
    <x v="1"/>
    <x v="0"/>
    <x v="1"/>
    <x v="1"/>
    <s v="Road"/>
    <x v="0"/>
    <n v="29.8"/>
    <n v="254"/>
    <n v="5"/>
    <n v="5"/>
    <n v="1"/>
    <n v="0"/>
    <n v="20.23"/>
    <n v="0"/>
    <n v="1"/>
  </r>
  <r>
    <s v="SHP-500300"/>
    <d v="2024-02-16T00:00:00"/>
    <x v="0"/>
    <s v="Q1"/>
    <x v="1"/>
    <x v="4"/>
    <x v="1"/>
    <x v="3"/>
    <x v="2"/>
    <s v="Road"/>
    <x v="0"/>
    <n v="99.4"/>
    <n v="480"/>
    <n v="2"/>
    <n v="2"/>
    <n v="1"/>
    <n v="0"/>
    <n v="115.09"/>
    <n v="0"/>
    <n v="1"/>
  </r>
  <r>
    <s v="SHP-500301"/>
    <d v="2024-02-16T00:00:00"/>
    <x v="0"/>
    <s v="Q1"/>
    <x v="1"/>
    <x v="0"/>
    <x v="1"/>
    <x v="2"/>
    <x v="0"/>
    <s v="Road"/>
    <x v="0"/>
    <n v="101.2"/>
    <n v="1149"/>
    <n v="5"/>
    <n v="5"/>
    <n v="1"/>
    <n v="0"/>
    <n v="63.31"/>
    <n v="0"/>
    <n v="1"/>
  </r>
  <r>
    <s v="SHP-500302"/>
    <d v="2024-02-16T00:00:00"/>
    <x v="0"/>
    <s v="Q1"/>
    <x v="1"/>
    <x v="1"/>
    <x v="1"/>
    <x v="1"/>
    <x v="0"/>
    <s v="Road"/>
    <x v="1"/>
    <n v="7.2"/>
    <n v="270"/>
    <n v="3"/>
    <n v="3"/>
    <n v="1"/>
    <n v="0"/>
    <n v="16.11"/>
    <n v="0"/>
    <n v="1"/>
  </r>
  <r>
    <s v="SHP-500303"/>
    <d v="2024-02-16T00:00:00"/>
    <x v="0"/>
    <s v="Q1"/>
    <x v="1"/>
    <x v="2"/>
    <x v="2"/>
    <x v="4"/>
    <x v="0"/>
    <s v="Road"/>
    <x v="1"/>
    <n v="0.6"/>
    <n v="948"/>
    <n v="5"/>
    <n v="5"/>
    <n v="1"/>
    <n v="0"/>
    <n v="13.52"/>
    <n v="0"/>
    <n v="1"/>
  </r>
  <r>
    <s v="SHP-500304"/>
    <d v="2024-02-16T00:00:00"/>
    <x v="0"/>
    <s v="Q1"/>
    <x v="1"/>
    <x v="3"/>
    <x v="0"/>
    <x v="1"/>
    <x v="0"/>
    <s v="Road"/>
    <x v="1"/>
    <n v="1.8"/>
    <n v="233"/>
    <n v="3"/>
    <n v="3"/>
    <n v="1"/>
    <n v="0"/>
    <n v="9.56"/>
    <n v="0"/>
    <n v="1"/>
  </r>
  <r>
    <s v="SHP-500305"/>
    <d v="2024-02-16T00:00:00"/>
    <x v="0"/>
    <s v="Q1"/>
    <x v="1"/>
    <x v="3"/>
    <x v="0"/>
    <x v="1"/>
    <x v="2"/>
    <s v="Road"/>
    <x v="1"/>
    <n v="10.3"/>
    <n v="280"/>
    <n v="1"/>
    <n v="1"/>
    <n v="1"/>
    <n v="0"/>
    <n v="33.22"/>
    <n v="0"/>
    <n v="1"/>
  </r>
  <r>
    <s v="SHP-500306"/>
    <d v="2024-02-17T00:00:00"/>
    <x v="0"/>
    <s v="Q1"/>
    <x v="1"/>
    <x v="3"/>
    <x v="1"/>
    <x v="0"/>
    <x v="0"/>
    <s v="Road"/>
    <x v="1"/>
    <n v="0.9"/>
    <n v="711"/>
    <n v="4"/>
    <n v="4"/>
    <n v="1"/>
    <n v="0"/>
    <n v="17.190000000000001"/>
    <n v="0"/>
    <n v="1"/>
  </r>
  <r>
    <s v="SHP-500307"/>
    <d v="2024-02-17T00:00:00"/>
    <x v="0"/>
    <s v="Q1"/>
    <x v="1"/>
    <x v="3"/>
    <x v="2"/>
    <x v="1"/>
    <x v="0"/>
    <s v="Road"/>
    <x v="1"/>
    <n v="7.5"/>
    <n v="250"/>
    <n v="3"/>
    <n v="2"/>
    <n v="1"/>
    <n v="0"/>
    <n v="17.43"/>
    <n v="0"/>
    <n v="1"/>
  </r>
  <r>
    <s v="SHP-500308"/>
    <d v="2024-02-17T00:00:00"/>
    <x v="0"/>
    <s v="Q1"/>
    <x v="1"/>
    <x v="3"/>
    <x v="2"/>
    <x v="0"/>
    <x v="1"/>
    <s v="Road"/>
    <x v="0"/>
    <n v="213"/>
    <n v="924"/>
    <n v="6"/>
    <n v="6"/>
    <n v="1"/>
    <n v="0"/>
    <n v="77.91"/>
    <n v="0"/>
    <n v="1"/>
  </r>
  <r>
    <s v="SHP-500309"/>
    <d v="2024-02-17T00:00:00"/>
    <x v="0"/>
    <s v="Q1"/>
    <x v="1"/>
    <x v="3"/>
    <x v="2"/>
    <x v="3"/>
    <x v="1"/>
    <s v="Road"/>
    <x v="1"/>
    <n v="16"/>
    <n v="583"/>
    <n v="6"/>
    <n v="6"/>
    <n v="1"/>
    <n v="0"/>
    <n v="17.579999999999998"/>
    <n v="0"/>
    <n v="1"/>
  </r>
  <r>
    <s v="SHP-500310"/>
    <d v="2024-02-18T00:00:00"/>
    <x v="0"/>
    <s v="Q1"/>
    <x v="1"/>
    <x v="2"/>
    <x v="1"/>
    <x v="0"/>
    <x v="2"/>
    <s v="Air"/>
    <x v="0"/>
    <n v="52.1"/>
    <n v="844"/>
    <n v="2"/>
    <n v="1"/>
    <n v="1"/>
    <n v="0"/>
    <n v="97.21"/>
    <n v="0"/>
    <n v="1"/>
  </r>
  <r>
    <s v="SHP-500311"/>
    <d v="2024-02-19T00:00:00"/>
    <x v="0"/>
    <s v="Q1"/>
    <x v="1"/>
    <x v="4"/>
    <x v="0"/>
    <x v="3"/>
    <x v="2"/>
    <s v="Road"/>
    <x v="1"/>
    <n v="3.7"/>
    <n v="536"/>
    <n v="2"/>
    <n v="2"/>
    <n v="1"/>
    <n v="0"/>
    <n v="29.89"/>
    <n v="0"/>
    <n v="1"/>
  </r>
  <r>
    <s v="SHP-500312"/>
    <d v="2024-02-19T00:00:00"/>
    <x v="0"/>
    <s v="Q1"/>
    <x v="1"/>
    <x v="2"/>
    <x v="1"/>
    <x v="2"/>
    <x v="1"/>
    <s v="Road"/>
    <x v="1"/>
    <n v="1.9"/>
    <n v="1320"/>
    <n v="7"/>
    <n v="7"/>
    <n v="1"/>
    <n v="0"/>
    <n v="14.6"/>
    <n v="0"/>
    <n v="1"/>
  </r>
  <r>
    <s v="SHP-500313"/>
    <d v="2024-02-19T00:00:00"/>
    <x v="0"/>
    <s v="Q1"/>
    <x v="1"/>
    <x v="4"/>
    <x v="2"/>
    <x v="3"/>
    <x v="2"/>
    <s v="Road"/>
    <x v="1"/>
    <n v="7.3"/>
    <n v="516"/>
    <n v="2"/>
    <n v="2"/>
    <n v="1"/>
    <n v="0"/>
    <n v="31.7"/>
    <n v="0"/>
    <n v="1"/>
  </r>
  <r>
    <s v="SHP-500314"/>
    <d v="2024-02-19T00:00:00"/>
    <x v="0"/>
    <s v="Q1"/>
    <x v="1"/>
    <x v="1"/>
    <x v="1"/>
    <x v="1"/>
    <x v="0"/>
    <s v="Road"/>
    <x v="1"/>
    <n v="7.1"/>
    <n v="243"/>
    <n v="3"/>
    <n v="2"/>
    <n v="1"/>
    <n v="0"/>
    <n v="14"/>
    <n v="0"/>
    <n v="1"/>
  </r>
  <r>
    <s v="SHP-500315"/>
    <d v="2024-02-19T00:00:00"/>
    <x v="0"/>
    <s v="Q1"/>
    <x v="1"/>
    <x v="0"/>
    <x v="2"/>
    <x v="1"/>
    <x v="2"/>
    <s v="Road"/>
    <x v="1"/>
    <n v="4.2"/>
    <n v="261"/>
    <n v="1"/>
    <n v="1"/>
    <n v="1"/>
    <n v="0"/>
    <n v="23.47"/>
    <n v="0"/>
    <n v="1"/>
  </r>
  <r>
    <s v="SHP-500316"/>
    <d v="2024-02-19T00:00:00"/>
    <x v="0"/>
    <s v="Q1"/>
    <x v="1"/>
    <x v="0"/>
    <x v="1"/>
    <x v="1"/>
    <x v="1"/>
    <s v="Road"/>
    <x v="0"/>
    <n v="508.3"/>
    <n v="314"/>
    <n v="5"/>
    <n v="5"/>
    <n v="1"/>
    <n v="0"/>
    <n v="144.25"/>
    <n v="0"/>
    <n v="1"/>
  </r>
  <r>
    <s v="SHP-500317"/>
    <d v="2024-02-20T00:00:00"/>
    <x v="0"/>
    <s v="Q1"/>
    <x v="1"/>
    <x v="4"/>
    <x v="1"/>
    <x v="3"/>
    <x v="0"/>
    <s v="Road"/>
    <x v="1"/>
    <n v="10.1"/>
    <n v="379"/>
    <n v="4"/>
    <n v="6"/>
    <n v="0"/>
    <n v="2"/>
    <n v="18.010000000000002"/>
    <n v="0"/>
    <n v="1"/>
  </r>
  <r>
    <s v="SHP-500318"/>
    <d v="2024-02-20T00:00:00"/>
    <x v="0"/>
    <s v="Q1"/>
    <x v="1"/>
    <x v="2"/>
    <x v="1"/>
    <x v="2"/>
    <x v="0"/>
    <s v="Road"/>
    <x v="1"/>
    <n v="9"/>
    <n v="1344"/>
    <n v="5"/>
    <n v="5"/>
    <n v="1"/>
    <n v="0"/>
    <n v="22.26"/>
    <n v="0"/>
    <n v="1"/>
  </r>
  <r>
    <s v="SHP-500319"/>
    <d v="2024-02-20T00:00:00"/>
    <x v="0"/>
    <s v="Q1"/>
    <x v="1"/>
    <x v="1"/>
    <x v="1"/>
    <x v="1"/>
    <x v="0"/>
    <s v="Road"/>
    <x v="1"/>
    <n v="4.5999999999999996"/>
    <n v="264"/>
    <n v="3"/>
    <n v="3"/>
    <n v="1"/>
    <n v="0"/>
    <n v="11.71"/>
    <n v="0"/>
    <n v="1"/>
  </r>
  <r>
    <s v="SHP-500320"/>
    <d v="2024-02-20T00:00:00"/>
    <x v="0"/>
    <s v="Q1"/>
    <x v="1"/>
    <x v="1"/>
    <x v="2"/>
    <x v="2"/>
    <x v="0"/>
    <s v="Road"/>
    <x v="0"/>
    <n v="156.1"/>
    <n v="1067"/>
    <n v="5"/>
    <n v="5"/>
    <n v="1"/>
    <n v="0"/>
    <n v="87.11"/>
    <n v="0"/>
    <n v="1"/>
  </r>
  <r>
    <s v="SHP-500321"/>
    <d v="2024-02-20T00:00:00"/>
    <x v="0"/>
    <s v="Q1"/>
    <x v="1"/>
    <x v="3"/>
    <x v="1"/>
    <x v="1"/>
    <x v="0"/>
    <s v="Road"/>
    <x v="1"/>
    <n v="10.6"/>
    <n v="297"/>
    <n v="3"/>
    <n v="3"/>
    <n v="1"/>
    <n v="0"/>
    <n v="17.25"/>
    <n v="0"/>
    <n v="1"/>
  </r>
  <r>
    <s v="SHP-500322"/>
    <d v="2024-02-20T00:00:00"/>
    <x v="0"/>
    <s v="Q1"/>
    <x v="1"/>
    <x v="2"/>
    <x v="2"/>
    <x v="4"/>
    <x v="1"/>
    <s v="Road"/>
    <x v="1"/>
    <n v="10.3"/>
    <n v="1071"/>
    <n v="7"/>
    <n v="7"/>
    <n v="1"/>
    <n v="0"/>
    <n v="16.670000000000002"/>
    <n v="0"/>
    <n v="1"/>
  </r>
  <r>
    <s v="SHP-500323"/>
    <d v="2024-02-20T00:00:00"/>
    <x v="0"/>
    <s v="Q1"/>
    <x v="1"/>
    <x v="3"/>
    <x v="2"/>
    <x v="1"/>
    <x v="0"/>
    <s v="Road"/>
    <x v="1"/>
    <n v="3.6"/>
    <n v="200"/>
    <n v="3"/>
    <n v="2"/>
    <n v="1"/>
    <n v="0"/>
    <n v="13"/>
    <n v="0"/>
    <n v="1"/>
  </r>
  <r>
    <s v="SHP-500324"/>
    <d v="2024-02-20T00:00:00"/>
    <x v="0"/>
    <s v="Q1"/>
    <x v="1"/>
    <x v="4"/>
    <x v="0"/>
    <x v="4"/>
    <x v="1"/>
    <s v="Road"/>
    <x v="0"/>
    <n v="97.8"/>
    <n v="1020"/>
    <n v="7"/>
    <n v="7"/>
    <n v="1"/>
    <n v="0"/>
    <n v="42.92"/>
    <n v="0"/>
    <n v="1"/>
  </r>
  <r>
    <s v="SHP-500325"/>
    <d v="2024-02-20T00:00:00"/>
    <x v="0"/>
    <s v="Q1"/>
    <x v="1"/>
    <x v="3"/>
    <x v="1"/>
    <x v="0"/>
    <x v="0"/>
    <s v="Road"/>
    <x v="0"/>
    <n v="119.4"/>
    <n v="774"/>
    <n v="4"/>
    <n v="4"/>
    <n v="1"/>
    <n v="0"/>
    <n v="71.08"/>
    <n v="0"/>
    <n v="1"/>
  </r>
  <r>
    <s v="SHP-500326"/>
    <d v="2024-02-21T00:00:00"/>
    <x v="0"/>
    <s v="Q1"/>
    <x v="1"/>
    <x v="4"/>
    <x v="2"/>
    <x v="4"/>
    <x v="0"/>
    <s v="Road"/>
    <x v="0"/>
    <n v="15.2"/>
    <n v="1322"/>
    <n v="5"/>
    <n v="7"/>
    <n v="0"/>
    <n v="2"/>
    <n v="30.58"/>
    <n v="0"/>
    <n v="1"/>
  </r>
  <r>
    <s v="SHP-500327"/>
    <d v="2024-02-21T00:00:00"/>
    <x v="0"/>
    <s v="Q1"/>
    <x v="1"/>
    <x v="4"/>
    <x v="1"/>
    <x v="1"/>
    <x v="0"/>
    <s v="Road"/>
    <x v="1"/>
    <n v="3.5"/>
    <n v="217"/>
    <n v="3"/>
    <n v="3"/>
    <n v="1"/>
    <n v="0"/>
    <n v="11.14"/>
    <n v="0"/>
    <n v="1"/>
  </r>
  <r>
    <s v="SHP-500328"/>
    <d v="2024-02-21T00:00:00"/>
    <x v="0"/>
    <s v="Q1"/>
    <x v="1"/>
    <x v="3"/>
    <x v="2"/>
    <x v="4"/>
    <x v="1"/>
    <s v="Road"/>
    <x v="0"/>
    <n v="154.4"/>
    <n v="919"/>
    <n v="7"/>
    <n v="7"/>
    <n v="1"/>
    <n v="0"/>
    <n v="60.9"/>
    <n v="0"/>
    <n v="1"/>
  </r>
  <r>
    <s v="SHP-500329"/>
    <d v="2024-02-21T00:00:00"/>
    <x v="0"/>
    <s v="Q1"/>
    <x v="1"/>
    <x v="2"/>
    <x v="2"/>
    <x v="1"/>
    <x v="2"/>
    <s v="Road"/>
    <x v="0"/>
    <n v="184.8"/>
    <n v="205"/>
    <n v="1"/>
    <n v="1"/>
    <n v="1"/>
    <n v="0"/>
    <n v="133.53"/>
    <n v="0"/>
    <n v="1"/>
  </r>
  <r>
    <s v="SHP-500330"/>
    <d v="2024-02-21T00:00:00"/>
    <x v="0"/>
    <s v="Q1"/>
    <x v="1"/>
    <x v="0"/>
    <x v="1"/>
    <x v="2"/>
    <x v="1"/>
    <s v="Road"/>
    <x v="1"/>
    <n v="2.5"/>
    <n v="1154"/>
    <n v="7"/>
    <n v="6"/>
    <n v="1"/>
    <n v="0"/>
    <n v="15.36"/>
    <n v="0"/>
    <n v="1"/>
  </r>
  <r>
    <s v="SHP-500331"/>
    <d v="2024-02-21T00:00:00"/>
    <x v="0"/>
    <s v="Q1"/>
    <x v="1"/>
    <x v="1"/>
    <x v="1"/>
    <x v="0"/>
    <x v="1"/>
    <s v="Road"/>
    <x v="1"/>
    <n v="4.7"/>
    <n v="868"/>
    <n v="6"/>
    <n v="6"/>
    <n v="1"/>
    <n v="0"/>
    <n v="14.81"/>
    <n v="0"/>
    <n v="1"/>
  </r>
  <r>
    <s v="SHP-500332"/>
    <d v="2024-02-21T00:00:00"/>
    <x v="0"/>
    <s v="Q1"/>
    <x v="1"/>
    <x v="3"/>
    <x v="0"/>
    <x v="1"/>
    <x v="1"/>
    <s v="Road"/>
    <x v="1"/>
    <n v="3.9"/>
    <n v="285"/>
    <n v="5"/>
    <n v="5"/>
    <n v="1"/>
    <n v="0"/>
    <n v="9.56"/>
    <n v="0"/>
    <n v="1"/>
  </r>
  <r>
    <s v="SHP-500333"/>
    <d v="2024-02-21T00:00:00"/>
    <x v="0"/>
    <s v="Q1"/>
    <x v="1"/>
    <x v="0"/>
    <x v="2"/>
    <x v="4"/>
    <x v="0"/>
    <s v="Road"/>
    <x v="1"/>
    <n v="5.6"/>
    <n v="961"/>
    <n v="5"/>
    <n v="4"/>
    <n v="1"/>
    <n v="0"/>
    <n v="18.21"/>
    <n v="0"/>
    <n v="1"/>
  </r>
  <r>
    <s v="SHP-500334"/>
    <d v="2024-02-21T00:00:00"/>
    <x v="0"/>
    <s v="Q1"/>
    <x v="1"/>
    <x v="1"/>
    <x v="2"/>
    <x v="1"/>
    <x v="1"/>
    <s v="Road"/>
    <x v="1"/>
    <n v="1.9"/>
    <n v="239"/>
    <n v="5"/>
    <n v="5"/>
    <n v="1"/>
    <n v="0"/>
    <n v="7.27"/>
    <n v="0"/>
    <n v="1"/>
  </r>
  <r>
    <s v="SHP-500335"/>
    <d v="2024-02-21T00:00:00"/>
    <x v="0"/>
    <s v="Q1"/>
    <x v="1"/>
    <x v="1"/>
    <x v="0"/>
    <x v="4"/>
    <x v="0"/>
    <s v="Road"/>
    <x v="0"/>
    <n v="60"/>
    <n v="1044"/>
    <n v="5"/>
    <n v="6"/>
    <n v="0"/>
    <n v="1"/>
    <n v="51.21"/>
    <n v="0"/>
    <n v="1"/>
  </r>
  <r>
    <s v="SHP-500336"/>
    <d v="2024-02-21T00:00:00"/>
    <x v="0"/>
    <s v="Q1"/>
    <x v="1"/>
    <x v="4"/>
    <x v="0"/>
    <x v="0"/>
    <x v="1"/>
    <s v="Road"/>
    <x v="0"/>
    <n v="99.2"/>
    <n v="788"/>
    <n v="6"/>
    <n v="6"/>
    <n v="1"/>
    <n v="0"/>
    <n v="44.89"/>
    <n v="0"/>
    <n v="1"/>
  </r>
  <r>
    <s v="SHP-500337"/>
    <d v="2024-02-22T00:00:00"/>
    <x v="0"/>
    <s v="Q1"/>
    <x v="1"/>
    <x v="3"/>
    <x v="0"/>
    <x v="4"/>
    <x v="2"/>
    <s v="Air"/>
    <x v="1"/>
    <n v="7.5"/>
    <n v="1357"/>
    <n v="3"/>
    <n v="3"/>
    <n v="1"/>
    <n v="0"/>
    <n v="96.43"/>
    <n v="0"/>
    <n v="1"/>
  </r>
  <r>
    <s v="SHP-500338"/>
    <d v="2024-02-22T00:00:00"/>
    <x v="0"/>
    <s v="Q1"/>
    <x v="1"/>
    <x v="3"/>
    <x v="2"/>
    <x v="4"/>
    <x v="0"/>
    <s v="Road"/>
    <x v="1"/>
    <n v="3.3"/>
    <n v="1291"/>
    <n v="5"/>
    <n v="5"/>
    <n v="1"/>
    <n v="0"/>
    <n v="28.1"/>
    <n v="0"/>
    <n v="1"/>
  </r>
  <r>
    <s v="SHP-500339"/>
    <d v="2024-02-22T00:00:00"/>
    <x v="0"/>
    <s v="Q1"/>
    <x v="1"/>
    <x v="3"/>
    <x v="2"/>
    <x v="1"/>
    <x v="2"/>
    <s v="Road"/>
    <x v="1"/>
    <n v="1.8"/>
    <n v="239"/>
    <n v="1"/>
    <n v="1"/>
    <n v="1"/>
    <n v="0"/>
    <n v="20.62"/>
    <n v="0"/>
    <n v="1"/>
  </r>
  <r>
    <s v="SHP-500340"/>
    <d v="2024-02-22T00:00:00"/>
    <x v="0"/>
    <s v="Q1"/>
    <x v="1"/>
    <x v="3"/>
    <x v="1"/>
    <x v="2"/>
    <x v="0"/>
    <s v="Road"/>
    <x v="1"/>
    <n v="6.4"/>
    <n v="1067"/>
    <n v="5"/>
    <n v="5"/>
    <n v="1"/>
    <n v="0"/>
    <n v="28.46"/>
    <n v="0"/>
    <n v="1"/>
  </r>
  <r>
    <s v="SHP-500341"/>
    <d v="2024-02-22T00:00:00"/>
    <x v="0"/>
    <s v="Q1"/>
    <x v="1"/>
    <x v="4"/>
    <x v="2"/>
    <x v="1"/>
    <x v="2"/>
    <s v="Road"/>
    <x v="0"/>
    <n v="13.5"/>
    <n v="195"/>
    <n v="1"/>
    <n v="1"/>
    <n v="1"/>
    <n v="0"/>
    <n v="35.53"/>
    <n v="0"/>
    <n v="1"/>
  </r>
  <r>
    <s v="SHP-500342"/>
    <d v="2024-02-22T00:00:00"/>
    <x v="0"/>
    <s v="Q1"/>
    <x v="1"/>
    <x v="1"/>
    <x v="0"/>
    <x v="4"/>
    <x v="1"/>
    <s v="Road"/>
    <x v="0"/>
    <n v="53.4"/>
    <n v="896"/>
    <n v="7"/>
    <n v="7"/>
    <n v="1"/>
    <n v="0"/>
    <n v="32.86"/>
    <n v="0"/>
    <n v="1"/>
  </r>
  <r>
    <s v="SHP-500343"/>
    <d v="2024-02-22T00:00:00"/>
    <x v="0"/>
    <s v="Q1"/>
    <x v="1"/>
    <x v="4"/>
    <x v="2"/>
    <x v="4"/>
    <x v="0"/>
    <s v="Road"/>
    <x v="1"/>
    <n v="2.9"/>
    <n v="1114"/>
    <n v="5"/>
    <n v="5"/>
    <n v="1"/>
    <n v="0"/>
    <n v="23.44"/>
    <n v="0"/>
    <n v="1"/>
  </r>
  <r>
    <s v="SHP-500344"/>
    <d v="2024-02-22T00:00:00"/>
    <x v="0"/>
    <s v="Q1"/>
    <x v="1"/>
    <x v="3"/>
    <x v="2"/>
    <x v="3"/>
    <x v="0"/>
    <s v="Road"/>
    <x v="1"/>
    <n v="4.0999999999999996"/>
    <n v="471"/>
    <n v="4"/>
    <n v="4"/>
    <n v="1"/>
    <n v="0"/>
    <n v="17.32"/>
    <n v="0"/>
    <n v="1"/>
  </r>
  <r>
    <s v="SHP-500345"/>
    <d v="2024-02-22T00:00:00"/>
    <x v="0"/>
    <s v="Q1"/>
    <x v="1"/>
    <x v="3"/>
    <x v="2"/>
    <x v="4"/>
    <x v="1"/>
    <s v="Road"/>
    <x v="0"/>
    <n v="178.7"/>
    <n v="1141"/>
    <n v="7"/>
    <n v="6"/>
    <n v="1"/>
    <n v="0"/>
    <n v="72.239999999999995"/>
    <n v="0"/>
    <n v="1"/>
  </r>
  <r>
    <s v="SHP-500346"/>
    <d v="2024-02-22T00:00:00"/>
    <x v="0"/>
    <s v="Q1"/>
    <x v="1"/>
    <x v="1"/>
    <x v="2"/>
    <x v="1"/>
    <x v="0"/>
    <s v="Road"/>
    <x v="1"/>
    <n v="3.9"/>
    <n v="244"/>
    <n v="3"/>
    <n v="2"/>
    <n v="1"/>
    <n v="0"/>
    <n v="11.51"/>
    <n v="0"/>
    <n v="1"/>
  </r>
  <r>
    <s v="SHP-500347"/>
    <d v="2024-02-22T00:00:00"/>
    <x v="0"/>
    <s v="Q1"/>
    <x v="1"/>
    <x v="0"/>
    <x v="1"/>
    <x v="1"/>
    <x v="2"/>
    <s v="Road"/>
    <x v="1"/>
    <n v="6.2"/>
    <n v="247"/>
    <n v="1"/>
    <n v="1"/>
    <n v="1"/>
    <n v="0"/>
    <n v="25.76"/>
    <n v="0"/>
    <n v="1"/>
  </r>
  <r>
    <s v="SHP-500348"/>
    <d v="2024-02-23T00:00:00"/>
    <x v="0"/>
    <s v="Q1"/>
    <x v="1"/>
    <x v="0"/>
    <x v="1"/>
    <x v="1"/>
    <x v="0"/>
    <s v="Road"/>
    <x v="1"/>
    <n v="20.399999999999999"/>
    <n v="236"/>
    <n v="3"/>
    <n v="3"/>
    <n v="1"/>
    <n v="0"/>
    <n v="20.13"/>
    <n v="0"/>
    <n v="1"/>
  </r>
  <r>
    <s v="SHP-500349"/>
    <d v="2024-02-23T00:00:00"/>
    <x v="0"/>
    <s v="Q1"/>
    <x v="1"/>
    <x v="1"/>
    <x v="0"/>
    <x v="0"/>
    <x v="1"/>
    <s v="Road"/>
    <x v="0"/>
    <n v="74.7"/>
    <n v="811"/>
    <n v="6"/>
    <n v="5"/>
    <n v="1"/>
    <n v="0"/>
    <n v="38.909999999999997"/>
    <n v="0"/>
    <n v="1"/>
  </r>
  <r>
    <s v="SHP-500350"/>
    <d v="2024-02-23T00:00:00"/>
    <x v="0"/>
    <s v="Q1"/>
    <x v="1"/>
    <x v="4"/>
    <x v="1"/>
    <x v="0"/>
    <x v="0"/>
    <s v="Road"/>
    <x v="0"/>
    <n v="9.1999999999999993"/>
    <n v="859"/>
    <n v="4"/>
    <n v="4"/>
    <n v="1"/>
    <n v="0"/>
    <n v="20.81"/>
    <n v="0"/>
    <n v="1"/>
  </r>
  <r>
    <s v="SHP-500351"/>
    <d v="2024-02-23T00:00:00"/>
    <x v="0"/>
    <s v="Q1"/>
    <x v="1"/>
    <x v="1"/>
    <x v="2"/>
    <x v="1"/>
    <x v="0"/>
    <s v="Road"/>
    <x v="0"/>
    <n v="140.80000000000001"/>
    <n v="245"/>
    <n v="3"/>
    <n v="3"/>
    <n v="1"/>
    <n v="0"/>
    <n v="80.05"/>
    <n v="0"/>
    <n v="1"/>
  </r>
  <r>
    <s v="SHP-500352"/>
    <d v="2024-02-23T00:00:00"/>
    <x v="0"/>
    <s v="Q1"/>
    <x v="1"/>
    <x v="0"/>
    <x v="0"/>
    <x v="4"/>
    <x v="0"/>
    <s v="Road"/>
    <x v="1"/>
    <n v="9.4"/>
    <n v="1220"/>
    <n v="5"/>
    <n v="4"/>
    <n v="1"/>
    <n v="0"/>
    <n v="28.4"/>
    <n v="0"/>
    <n v="1"/>
  </r>
  <r>
    <s v="SHP-500353"/>
    <d v="2024-02-24T00:00:00"/>
    <x v="0"/>
    <s v="Q1"/>
    <x v="1"/>
    <x v="0"/>
    <x v="0"/>
    <x v="2"/>
    <x v="2"/>
    <s v="Air"/>
    <x v="1"/>
    <n v="14.6"/>
    <n v="1257"/>
    <n v="3"/>
    <n v="3"/>
    <n v="1"/>
    <n v="0"/>
    <n v="90.59"/>
    <n v="0"/>
    <n v="1"/>
  </r>
  <r>
    <s v="SHP-500354"/>
    <d v="2024-02-24T00:00:00"/>
    <x v="0"/>
    <s v="Q1"/>
    <x v="1"/>
    <x v="2"/>
    <x v="2"/>
    <x v="1"/>
    <x v="0"/>
    <s v="Road"/>
    <x v="1"/>
    <n v="16.600000000000001"/>
    <n v="284"/>
    <n v="3"/>
    <n v="3"/>
    <n v="1"/>
    <n v="0"/>
    <n v="17.79"/>
    <n v="0"/>
    <n v="1"/>
  </r>
  <r>
    <s v="SHP-500355"/>
    <d v="2024-02-24T00:00:00"/>
    <x v="0"/>
    <s v="Q1"/>
    <x v="1"/>
    <x v="4"/>
    <x v="2"/>
    <x v="0"/>
    <x v="2"/>
    <s v="Air"/>
    <x v="1"/>
    <n v="3.7"/>
    <n v="758"/>
    <n v="2"/>
    <n v="2"/>
    <n v="1"/>
    <n v="0"/>
    <n v="55.81"/>
    <n v="0"/>
    <n v="1"/>
  </r>
  <r>
    <s v="SHP-500356"/>
    <d v="2024-02-24T00:00:00"/>
    <x v="0"/>
    <s v="Q1"/>
    <x v="1"/>
    <x v="0"/>
    <x v="1"/>
    <x v="0"/>
    <x v="0"/>
    <s v="Road"/>
    <x v="0"/>
    <n v="211.5"/>
    <n v="855"/>
    <n v="4"/>
    <n v="5"/>
    <n v="0"/>
    <n v="1"/>
    <n v="104.44"/>
    <n v="0"/>
    <n v="1"/>
  </r>
  <r>
    <s v="SHP-500357"/>
    <d v="2024-02-25T00:00:00"/>
    <x v="0"/>
    <s v="Q1"/>
    <x v="1"/>
    <x v="3"/>
    <x v="0"/>
    <x v="0"/>
    <x v="1"/>
    <s v="Road"/>
    <x v="1"/>
    <n v="2.6"/>
    <n v="848"/>
    <n v="6"/>
    <n v="6"/>
    <n v="1"/>
    <n v="0"/>
    <n v="13.85"/>
    <n v="0"/>
    <n v="1"/>
  </r>
  <r>
    <s v="SHP-500358"/>
    <d v="2024-02-25T00:00:00"/>
    <x v="0"/>
    <s v="Q1"/>
    <x v="1"/>
    <x v="0"/>
    <x v="0"/>
    <x v="1"/>
    <x v="0"/>
    <s v="Road"/>
    <x v="1"/>
    <n v="9.6999999999999993"/>
    <n v="277"/>
    <n v="3"/>
    <n v="3"/>
    <n v="1"/>
    <n v="0"/>
    <n v="15.52"/>
    <n v="0"/>
    <n v="1"/>
  </r>
  <r>
    <s v="SHP-500359"/>
    <d v="2024-02-25T00:00:00"/>
    <x v="0"/>
    <s v="Q1"/>
    <x v="1"/>
    <x v="0"/>
    <x v="0"/>
    <x v="0"/>
    <x v="0"/>
    <s v="Road"/>
    <x v="1"/>
    <n v="3.9"/>
    <n v="1107"/>
    <n v="4"/>
    <n v="4"/>
    <n v="1"/>
    <n v="0"/>
    <n v="18.440000000000001"/>
    <n v="0"/>
    <n v="1"/>
  </r>
  <r>
    <s v="SHP-500360"/>
    <d v="2024-02-25T00:00:00"/>
    <x v="0"/>
    <s v="Q1"/>
    <x v="1"/>
    <x v="4"/>
    <x v="2"/>
    <x v="1"/>
    <x v="1"/>
    <s v="Road"/>
    <x v="0"/>
    <n v="166.6"/>
    <n v="311"/>
    <n v="5"/>
    <n v="4"/>
    <n v="1"/>
    <n v="0"/>
    <n v="57.02"/>
    <n v="0"/>
    <n v="1"/>
  </r>
  <r>
    <s v="SHP-500361"/>
    <d v="2024-02-25T00:00:00"/>
    <x v="0"/>
    <s v="Q1"/>
    <x v="1"/>
    <x v="0"/>
    <x v="1"/>
    <x v="0"/>
    <x v="0"/>
    <s v="Road"/>
    <x v="1"/>
    <n v="3.9"/>
    <n v="776"/>
    <n v="4"/>
    <n v="4"/>
    <n v="1"/>
    <n v="0"/>
    <n v="16.600000000000001"/>
    <n v="0"/>
    <n v="1"/>
  </r>
  <r>
    <s v="SHP-500362"/>
    <d v="2024-02-25T00:00:00"/>
    <x v="0"/>
    <s v="Q1"/>
    <x v="1"/>
    <x v="1"/>
    <x v="2"/>
    <x v="4"/>
    <x v="0"/>
    <s v="Road"/>
    <x v="1"/>
    <n v="20.8"/>
    <n v="961"/>
    <n v="5"/>
    <n v="5"/>
    <n v="1"/>
    <n v="0"/>
    <n v="32.72"/>
    <n v="0"/>
    <n v="1"/>
  </r>
  <r>
    <s v="SHP-500363"/>
    <d v="2024-02-25T00:00:00"/>
    <x v="0"/>
    <s v="Q1"/>
    <x v="1"/>
    <x v="0"/>
    <x v="1"/>
    <x v="3"/>
    <x v="1"/>
    <s v="Road"/>
    <x v="0"/>
    <n v="20.8"/>
    <n v="533"/>
    <n v="6"/>
    <n v="6"/>
    <n v="1"/>
    <n v="0"/>
    <n v="18.32"/>
    <n v="0"/>
    <n v="1"/>
  </r>
  <r>
    <s v="SHP-500364"/>
    <d v="2024-02-25T00:00:00"/>
    <x v="0"/>
    <s v="Q1"/>
    <x v="1"/>
    <x v="3"/>
    <x v="2"/>
    <x v="1"/>
    <x v="0"/>
    <s v="Road"/>
    <x v="1"/>
    <n v="14"/>
    <n v="229"/>
    <n v="3"/>
    <n v="3"/>
    <n v="1"/>
    <n v="0"/>
    <n v="18.43"/>
    <n v="0"/>
    <n v="1"/>
  </r>
  <r>
    <s v="SHP-500365"/>
    <d v="2024-02-26T00:00:00"/>
    <x v="0"/>
    <s v="Q1"/>
    <x v="1"/>
    <x v="2"/>
    <x v="1"/>
    <x v="1"/>
    <x v="1"/>
    <s v="Road"/>
    <x v="1"/>
    <n v="1.6"/>
    <n v="208"/>
    <n v="5"/>
    <n v="4"/>
    <n v="1"/>
    <n v="0"/>
    <n v="6.74"/>
    <n v="0"/>
    <n v="1"/>
  </r>
  <r>
    <s v="SHP-500366"/>
    <d v="2024-02-26T00:00:00"/>
    <x v="0"/>
    <s v="Q1"/>
    <x v="1"/>
    <x v="2"/>
    <x v="2"/>
    <x v="1"/>
    <x v="0"/>
    <s v="Road"/>
    <x v="1"/>
    <n v="7.7"/>
    <n v="296"/>
    <n v="3"/>
    <n v="6"/>
    <n v="0"/>
    <n v="3"/>
    <n v="12.27"/>
    <n v="0"/>
    <n v="1"/>
  </r>
  <r>
    <s v="SHP-500367"/>
    <d v="2024-02-26T00:00:00"/>
    <x v="0"/>
    <s v="Q1"/>
    <x v="1"/>
    <x v="4"/>
    <x v="0"/>
    <x v="0"/>
    <x v="2"/>
    <s v="Air"/>
    <x v="1"/>
    <n v="2.9"/>
    <n v="1013"/>
    <n v="2"/>
    <n v="2"/>
    <n v="1"/>
    <n v="0"/>
    <n v="63.67"/>
    <n v="0"/>
    <n v="1"/>
  </r>
  <r>
    <s v="SHP-500368"/>
    <d v="2024-02-26T00:00:00"/>
    <x v="0"/>
    <s v="Q1"/>
    <x v="1"/>
    <x v="1"/>
    <x v="2"/>
    <x v="4"/>
    <x v="0"/>
    <s v="Road"/>
    <x v="1"/>
    <n v="12.1"/>
    <n v="765"/>
    <n v="5"/>
    <n v="5"/>
    <n v="1"/>
    <n v="0"/>
    <n v="21.03"/>
    <n v="0"/>
    <n v="1"/>
  </r>
  <r>
    <s v="SHP-500369"/>
    <d v="2024-02-26T00:00:00"/>
    <x v="0"/>
    <s v="Q1"/>
    <x v="1"/>
    <x v="2"/>
    <x v="0"/>
    <x v="1"/>
    <x v="0"/>
    <s v="Road"/>
    <x v="1"/>
    <n v="4"/>
    <n v="294"/>
    <n v="3"/>
    <n v="2"/>
    <n v="1"/>
    <n v="0"/>
    <n v="11.74"/>
    <n v="0"/>
    <n v="1"/>
  </r>
  <r>
    <s v="SHP-500370"/>
    <d v="2024-02-26T00:00:00"/>
    <x v="0"/>
    <s v="Q1"/>
    <x v="1"/>
    <x v="1"/>
    <x v="1"/>
    <x v="1"/>
    <x v="2"/>
    <s v="Road"/>
    <x v="1"/>
    <n v="8.6"/>
    <n v="342"/>
    <n v="1"/>
    <n v="1"/>
    <n v="1"/>
    <n v="0"/>
    <n v="30.41"/>
    <n v="0"/>
    <n v="1"/>
  </r>
  <r>
    <s v="SHP-500371"/>
    <d v="2024-02-26T00:00:00"/>
    <x v="0"/>
    <s v="Q1"/>
    <x v="1"/>
    <x v="1"/>
    <x v="1"/>
    <x v="4"/>
    <x v="0"/>
    <s v="Road"/>
    <x v="1"/>
    <n v="4.4000000000000004"/>
    <n v="880"/>
    <n v="5"/>
    <n v="5"/>
    <n v="1"/>
    <n v="0"/>
    <n v="19.399999999999999"/>
    <n v="0"/>
    <n v="1"/>
  </r>
  <r>
    <s v="SHP-500372"/>
    <d v="2024-02-26T00:00:00"/>
    <x v="0"/>
    <s v="Q1"/>
    <x v="1"/>
    <x v="2"/>
    <x v="2"/>
    <x v="0"/>
    <x v="0"/>
    <s v="Road"/>
    <x v="1"/>
    <n v="3.1"/>
    <n v="1047"/>
    <n v="4"/>
    <n v="3"/>
    <n v="1"/>
    <n v="0"/>
    <n v="17.600000000000001"/>
    <n v="0"/>
    <n v="1"/>
  </r>
  <r>
    <s v="SHP-500373"/>
    <d v="2024-02-26T00:00:00"/>
    <x v="0"/>
    <s v="Q1"/>
    <x v="1"/>
    <x v="2"/>
    <x v="1"/>
    <x v="3"/>
    <x v="0"/>
    <s v="Road"/>
    <x v="1"/>
    <n v="13"/>
    <n v="484"/>
    <n v="4"/>
    <n v="4"/>
    <n v="1"/>
    <n v="0"/>
    <n v="16.170000000000002"/>
    <n v="0"/>
    <n v="1"/>
  </r>
  <r>
    <s v="SHP-500374"/>
    <d v="2024-02-26T00:00:00"/>
    <x v="0"/>
    <s v="Q1"/>
    <x v="1"/>
    <x v="0"/>
    <x v="2"/>
    <x v="1"/>
    <x v="0"/>
    <s v="Road"/>
    <x v="0"/>
    <n v="37.700000000000003"/>
    <n v="289"/>
    <n v="3"/>
    <n v="3"/>
    <n v="1"/>
    <n v="0"/>
    <n v="26.9"/>
    <n v="0"/>
    <n v="1"/>
  </r>
  <r>
    <s v="SHP-500375"/>
    <d v="2024-02-27T00:00:00"/>
    <x v="0"/>
    <s v="Q1"/>
    <x v="1"/>
    <x v="4"/>
    <x v="2"/>
    <x v="3"/>
    <x v="1"/>
    <s v="Road"/>
    <x v="1"/>
    <n v="4.9000000000000004"/>
    <n v="466"/>
    <n v="6"/>
    <n v="9"/>
    <n v="0"/>
    <n v="3"/>
    <n v="10.27"/>
    <n v="0"/>
    <n v="1"/>
  </r>
  <r>
    <s v="SHP-500376"/>
    <d v="2024-02-27T00:00:00"/>
    <x v="0"/>
    <s v="Q1"/>
    <x v="1"/>
    <x v="4"/>
    <x v="0"/>
    <x v="4"/>
    <x v="0"/>
    <s v="Road"/>
    <x v="1"/>
    <n v="4.5"/>
    <n v="1209"/>
    <n v="5"/>
    <n v="5"/>
    <n v="1"/>
    <n v="0"/>
    <n v="26.5"/>
    <n v="0"/>
    <n v="1"/>
  </r>
  <r>
    <s v="SHP-500377"/>
    <d v="2024-02-27T00:00:00"/>
    <x v="0"/>
    <s v="Q1"/>
    <x v="1"/>
    <x v="3"/>
    <x v="2"/>
    <x v="2"/>
    <x v="1"/>
    <s v="Road"/>
    <x v="0"/>
    <n v="189"/>
    <n v="1011"/>
    <n v="7"/>
    <n v="7"/>
    <n v="1"/>
    <n v="0"/>
    <n v="84.22"/>
    <n v="0"/>
    <n v="1"/>
  </r>
  <r>
    <s v="SHP-500378"/>
    <d v="2024-02-27T00:00:00"/>
    <x v="0"/>
    <s v="Q1"/>
    <x v="1"/>
    <x v="1"/>
    <x v="1"/>
    <x v="0"/>
    <x v="0"/>
    <s v="Road"/>
    <x v="1"/>
    <n v="7.3"/>
    <n v="1156"/>
    <n v="4"/>
    <n v="4"/>
    <n v="1"/>
    <n v="0"/>
    <n v="27.28"/>
    <n v="0"/>
    <n v="1"/>
  </r>
  <r>
    <s v="SHP-500379"/>
    <d v="2024-02-27T00:00:00"/>
    <x v="0"/>
    <s v="Q1"/>
    <x v="1"/>
    <x v="2"/>
    <x v="2"/>
    <x v="1"/>
    <x v="1"/>
    <s v="Road"/>
    <x v="1"/>
    <n v="4.4000000000000004"/>
    <n v="273"/>
    <n v="5"/>
    <n v="5"/>
    <n v="1"/>
    <n v="0"/>
    <n v="7.73"/>
    <n v="0"/>
    <n v="1"/>
  </r>
  <r>
    <s v="SHP-500380"/>
    <d v="2024-02-28T00:00:00"/>
    <x v="0"/>
    <s v="Q1"/>
    <x v="1"/>
    <x v="4"/>
    <x v="1"/>
    <x v="1"/>
    <x v="0"/>
    <s v="Road"/>
    <x v="1"/>
    <n v="7.7"/>
    <n v="271"/>
    <n v="3"/>
    <n v="3"/>
    <n v="1"/>
    <n v="0"/>
    <n v="14.14"/>
    <n v="0"/>
    <n v="1"/>
  </r>
  <r>
    <s v="SHP-500381"/>
    <d v="2024-02-28T00:00:00"/>
    <x v="0"/>
    <s v="Q1"/>
    <x v="1"/>
    <x v="4"/>
    <x v="2"/>
    <x v="0"/>
    <x v="2"/>
    <s v="Air"/>
    <x v="1"/>
    <n v="11"/>
    <n v="1076"/>
    <n v="2"/>
    <n v="2"/>
    <n v="1"/>
    <n v="0"/>
    <n v="75.69"/>
    <n v="0"/>
    <n v="1"/>
  </r>
  <r>
    <s v="SHP-500382"/>
    <d v="2024-02-28T00:00:00"/>
    <x v="0"/>
    <s v="Q1"/>
    <x v="1"/>
    <x v="1"/>
    <x v="1"/>
    <x v="1"/>
    <x v="1"/>
    <s v="Road"/>
    <x v="0"/>
    <n v="34.299999999999997"/>
    <n v="206"/>
    <n v="5"/>
    <n v="5"/>
    <n v="1"/>
    <n v="0"/>
    <n v="20.78"/>
    <n v="0"/>
    <n v="1"/>
  </r>
  <r>
    <s v="SHP-500383"/>
    <d v="2024-02-28T00:00:00"/>
    <x v="0"/>
    <s v="Q1"/>
    <x v="1"/>
    <x v="3"/>
    <x v="2"/>
    <x v="2"/>
    <x v="1"/>
    <s v="Road"/>
    <x v="1"/>
    <n v="6.1"/>
    <n v="1233"/>
    <n v="7"/>
    <n v="7"/>
    <n v="1"/>
    <n v="0"/>
    <n v="20.010000000000002"/>
    <n v="0"/>
    <n v="1"/>
  </r>
  <r>
    <s v="SHP-500384"/>
    <d v="2024-02-28T00:00:00"/>
    <x v="0"/>
    <s v="Q1"/>
    <x v="1"/>
    <x v="0"/>
    <x v="2"/>
    <x v="1"/>
    <x v="0"/>
    <s v="Road"/>
    <x v="0"/>
    <n v="178.9"/>
    <n v="211"/>
    <n v="3"/>
    <n v="3"/>
    <n v="1"/>
    <n v="0"/>
    <n v="80.53"/>
    <n v="0"/>
    <n v="1"/>
  </r>
  <r>
    <s v="SHP-500385"/>
    <d v="2024-02-28T00:00:00"/>
    <x v="0"/>
    <s v="Q1"/>
    <x v="1"/>
    <x v="1"/>
    <x v="1"/>
    <x v="4"/>
    <x v="0"/>
    <s v="Road"/>
    <x v="0"/>
    <n v="212.3"/>
    <n v="894"/>
    <n v="5"/>
    <n v="5"/>
    <n v="1"/>
    <n v="0"/>
    <n v="113.84"/>
    <n v="0"/>
    <n v="1"/>
  </r>
  <r>
    <s v="SHP-500386"/>
    <d v="2024-02-29T00:00:00"/>
    <x v="0"/>
    <s v="Q1"/>
    <x v="1"/>
    <x v="4"/>
    <x v="1"/>
    <x v="4"/>
    <x v="0"/>
    <s v="Road"/>
    <x v="0"/>
    <n v="132.4"/>
    <n v="839"/>
    <n v="5"/>
    <n v="5"/>
    <n v="1"/>
    <n v="0"/>
    <n v="72.900000000000006"/>
    <n v="0"/>
    <n v="1"/>
  </r>
  <r>
    <s v="SHP-500387"/>
    <d v="2024-02-29T00:00:00"/>
    <x v="0"/>
    <s v="Q1"/>
    <x v="1"/>
    <x v="4"/>
    <x v="2"/>
    <x v="0"/>
    <x v="1"/>
    <s v="Road"/>
    <x v="0"/>
    <n v="166.1"/>
    <n v="829"/>
    <n v="6"/>
    <n v="6"/>
    <n v="1"/>
    <n v="0"/>
    <n v="65.099999999999994"/>
    <n v="0"/>
    <n v="1"/>
  </r>
  <r>
    <s v="SHP-500388"/>
    <d v="2024-02-29T00:00:00"/>
    <x v="0"/>
    <s v="Q1"/>
    <x v="1"/>
    <x v="0"/>
    <x v="2"/>
    <x v="1"/>
    <x v="0"/>
    <s v="Road"/>
    <x v="1"/>
    <n v="7.6"/>
    <n v="252"/>
    <n v="3"/>
    <n v="3"/>
    <n v="1"/>
    <n v="0"/>
    <n v="13.73"/>
    <n v="0"/>
    <n v="1"/>
  </r>
  <r>
    <s v="SHP-500389"/>
    <d v="2024-02-29T00:00:00"/>
    <x v="0"/>
    <s v="Q1"/>
    <x v="1"/>
    <x v="1"/>
    <x v="2"/>
    <x v="1"/>
    <x v="1"/>
    <s v="Road"/>
    <x v="1"/>
    <n v="19.3"/>
    <n v="228"/>
    <n v="5"/>
    <n v="5"/>
    <n v="1"/>
    <n v="0"/>
    <n v="15.03"/>
    <n v="0"/>
    <n v="1"/>
  </r>
  <r>
    <s v="SHP-500390"/>
    <d v="2024-02-29T00:00:00"/>
    <x v="0"/>
    <s v="Q1"/>
    <x v="1"/>
    <x v="1"/>
    <x v="2"/>
    <x v="1"/>
    <x v="0"/>
    <s v="Road"/>
    <x v="0"/>
    <n v="229.4"/>
    <n v="244"/>
    <n v="3"/>
    <n v="3"/>
    <n v="1"/>
    <n v="0"/>
    <n v="90.85"/>
    <n v="0"/>
    <n v="1"/>
  </r>
  <r>
    <s v="SHP-500391"/>
    <d v="2024-02-29T00:00:00"/>
    <x v="0"/>
    <s v="Q1"/>
    <x v="1"/>
    <x v="1"/>
    <x v="0"/>
    <x v="0"/>
    <x v="1"/>
    <s v="Road"/>
    <x v="0"/>
    <n v="89.4"/>
    <n v="873"/>
    <n v="6"/>
    <n v="5"/>
    <n v="1"/>
    <n v="0"/>
    <n v="41.95"/>
    <n v="0"/>
    <n v="1"/>
  </r>
  <r>
    <s v="SHP-500392"/>
    <d v="2024-02-29T00:00:00"/>
    <x v="0"/>
    <s v="Q1"/>
    <x v="1"/>
    <x v="0"/>
    <x v="1"/>
    <x v="0"/>
    <x v="0"/>
    <s v="Road"/>
    <x v="0"/>
    <n v="53.1"/>
    <n v="1019"/>
    <n v="4"/>
    <n v="4"/>
    <n v="1"/>
    <n v="0"/>
    <n v="43.16"/>
    <n v="0"/>
    <n v="1"/>
  </r>
  <r>
    <s v="SHP-500393"/>
    <d v="2024-02-29T00:00:00"/>
    <x v="0"/>
    <s v="Q1"/>
    <x v="1"/>
    <x v="1"/>
    <x v="0"/>
    <x v="1"/>
    <x v="1"/>
    <s v="Road"/>
    <x v="0"/>
    <n v="75.599999999999994"/>
    <n v="226"/>
    <n v="5"/>
    <n v="4"/>
    <n v="1"/>
    <n v="0"/>
    <n v="33.49"/>
    <n v="0"/>
    <n v="1"/>
  </r>
  <r>
    <s v="SHP-500394"/>
    <d v="2024-03-01T00:00:00"/>
    <x v="0"/>
    <s v="Q1"/>
    <x v="2"/>
    <x v="0"/>
    <x v="2"/>
    <x v="4"/>
    <x v="1"/>
    <s v="Road"/>
    <x v="1"/>
    <n v="6.5"/>
    <n v="1078"/>
    <n v="7"/>
    <n v="7"/>
    <n v="1"/>
    <n v="0"/>
    <n v="15.3"/>
    <n v="0"/>
    <n v="1"/>
  </r>
  <r>
    <s v="SHP-500395"/>
    <d v="2024-03-01T00:00:00"/>
    <x v="0"/>
    <s v="Q1"/>
    <x v="2"/>
    <x v="2"/>
    <x v="2"/>
    <x v="4"/>
    <x v="0"/>
    <s v="Road"/>
    <x v="0"/>
    <n v="225.8"/>
    <n v="1347"/>
    <n v="5"/>
    <n v="9"/>
    <n v="0"/>
    <n v="4"/>
    <n v="96.64"/>
    <n v="0"/>
    <n v="1"/>
  </r>
  <r>
    <s v="SHP-500396"/>
    <d v="2024-03-01T00:00:00"/>
    <x v="0"/>
    <s v="Q1"/>
    <x v="2"/>
    <x v="2"/>
    <x v="2"/>
    <x v="0"/>
    <x v="0"/>
    <s v="Road"/>
    <x v="0"/>
    <n v="40.200000000000003"/>
    <n v="724"/>
    <n v="4"/>
    <n v="4"/>
    <n v="1"/>
    <n v="0"/>
    <n v="32.04"/>
    <n v="0"/>
    <n v="1"/>
  </r>
  <r>
    <s v="SHP-500397"/>
    <d v="2024-03-01T00:00:00"/>
    <x v="0"/>
    <s v="Q1"/>
    <x v="2"/>
    <x v="4"/>
    <x v="0"/>
    <x v="4"/>
    <x v="0"/>
    <s v="Road"/>
    <x v="0"/>
    <n v="73.900000000000006"/>
    <n v="1184"/>
    <n v="5"/>
    <n v="4"/>
    <n v="1"/>
    <n v="0"/>
    <n v="56.9"/>
    <n v="0"/>
    <n v="1"/>
  </r>
  <r>
    <s v="SHP-500398"/>
    <d v="2024-03-02T00:00:00"/>
    <x v="0"/>
    <s v="Q1"/>
    <x v="2"/>
    <x v="3"/>
    <x v="2"/>
    <x v="4"/>
    <x v="0"/>
    <s v="Road"/>
    <x v="0"/>
    <n v="118.5"/>
    <n v="961"/>
    <n v="5"/>
    <n v="5"/>
    <n v="1"/>
    <n v="0"/>
    <n v="77.459999999999994"/>
    <n v="0"/>
    <n v="1"/>
  </r>
  <r>
    <s v="SHP-500399"/>
    <d v="2024-03-02T00:00:00"/>
    <x v="0"/>
    <s v="Q1"/>
    <x v="2"/>
    <x v="1"/>
    <x v="0"/>
    <x v="4"/>
    <x v="1"/>
    <s v="Road"/>
    <x v="1"/>
    <n v="2.2000000000000002"/>
    <n v="1146"/>
    <n v="7"/>
    <n v="6"/>
    <n v="1"/>
    <n v="0"/>
    <n v="15.72"/>
    <n v="0"/>
    <n v="1"/>
  </r>
  <r>
    <s v="SHP-500400"/>
    <d v="2024-03-02T00:00:00"/>
    <x v="0"/>
    <s v="Q1"/>
    <x v="2"/>
    <x v="3"/>
    <x v="2"/>
    <x v="0"/>
    <x v="2"/>
    <s v="Air"/>
    <x v="1"/>
    <n v="0.9"/>
    <n v="817"/>
    <n v="2"/>
    <n v="2"/>
    <n v="1"/>
    <n v="0"/>
    <n v="58.65"/>
    <n v="0"/>
    <n v="1"/>
  </r>
  <r>
    <s v="SHP-500401"/>
    <d v="2024-03-02T00:00:00"/>
    <x v="0"/>
    <s v="Q1"/>
    <x v="2"/>
    <x v="3"/>
    <x v="1"/>
    <x v="3"/>
    <x v="0"/>
    <s v="Road"/>
    <x v="1"/>
    <n v="2.7"/>
    <n v="529"/>
    <n v="4"/>
    <n v="4"/>
    <n v="1"/>
    <n v="0"/>
    <n v="16.79"/>
    <n v="0"/>
    <n v="1"/>
  </r>
  <r>
    <s v="SHP-500402"/>
    <d v="2024-03-03T00:00:00"/>
    <x v="0"/>
    <s v="Q1"/>
    <x v="2"/>
    <x v="2"/>
    <x v="1"/>
    <x v="4"/>
    <x v="0"/>
    <s v="Road"/>
    <x v="1"/>
    <n v="3.9"/>
    <n v="1124"/>
    <n v="5"/>
    <n v="7"/>
    <n v="0"/>
    <n v="2"/>
    <n v="17.809999999999999"/>
    <n v="0"/>
    <n v="1"/>
  </r>
  <r>
    <s v="SHP-500403"/>
    <d v="2024-03-03T00:00:00"/>
    <x v="0"/>
    <s v="Q1"/>
    <x v="2"/>
    <x v="2"/>
    <x v="2"/>
    <x v="1"/>
    <x v="0"/>
    <s v="Road"/>
    <x v="1"/>
    <n v="4"/>
    <n v="249"/>
    <n v="3"/>
    <n v="2"/>
    <n v="1"/>
    <n v="0"/>
    <n v="10.81"/>
    <n v="0"/>
    <n v="1"/>
  </r>
  <r>
    <s v="SHP-500404"/>
    <d v="2024-03-03T00:00:00"/>
    <x v="0"/>
    <s v="Q1"/>
    <x v="2"/>
    <x v="1"/>
    <x v="0"/>
    <x v="0"/>
    <x v="1"/>
    <s v="Road"/>
    <x v="1"/>
    <n v="6"/>
    <n v="841"/>
    <n v="6"/>
    <n v="6"/>
    <n v="1"/>
    <n v="0"/>
    <n v="16.260000000000002"/>
    <n v="0"/>
    <n v="1"/>
  </r>
  <r>
    <s v="SHP-500405"/>
    <d v="2024-03-04T00:00:00"/>
    <x v="0"/>
    <s v="Q1"/>
    <x v="2"/>
    <x v="0"/>
    <x v="1"/>
    <x v="1"/>
    <x v="0"/>
    <s v="Road"/>
    <x v="1"/>
    <n v="1.1000000000000001"/>
    <n v="241"/>
    <n v="3"/>
    <n v="3"/>
    <n v="1"/>
    <n v="0"/>
    <n v="8.43"/>
    <n v="0"/>
    <n v="1"/>
  </r>
  <r>
    <s v="SHP-500406"/>
    <d v="2024-03-04T00:00:00"/>
    <x v="0"/>
    <s v="Q1"/>
    <x v="2"/>
    <x v="2"/>
    <x v="2"/>
    <x v="1"/>
    <x v="0"/>
    <s v="Road"/>
    <x v="0"/>
    <n v="161.19999999999999"/>
    <n v="274"/>
    <n v="3"/>
    <n v="7"/>
    <n v="0"/>
    <n v="4"/>
    <n v="61.4"/>
    <n v="0"/>
    <n v="1"/>
  </r>
  <r>
    <s v="SHP-500407"/>
    <d v="2024-03-04T00:00:00"/>
    <x v="0"/>
    <s v="Q1"/>
    <x v="2"/>
    <x v="0"/>
    <x v="2"/>
    <x v="0"/>
    <x v="0"/>
    <s v="Road"/>
    <x v="0"/>
    <n v="218.4"/>
    <n v="860"/>
    <n v="4"/>
    <n v="4"/>
    <n v="1"/>
    <n v="0"/>
    <n v="104.26"/>
    <n v="0"/>
    <n v="1"/>
  </r>
  <r>
    <s v="SHP-500408"/>
    <d v="2024-03-04T00:00:00"/>
    <x v="0"/>
    <s v="Q1"/>
    <x v="2"/>
    <x v="3"/>
    <x v="2"/>
    <x v="1"/>
    <x v="0"/>
    <s v="Road"/>
    <x v="1"/>
    <n v="2.7"/>
    <n v="276"/>
    <n v="3"/>
    <n v="3"/>
    <n v="1"/>
    <n v="0"/>
    <n v="13.6"/>
    <n v="0"/>
    <n v="1"/>
  </r>
  <r>
    <s v="SHP-500409"/>
    <d v="2024-03-05T00:00:00"/>
    <x v="0"/>
    <s v="Q1"/>
    <x v="2"/>
    <x v="0"/>
    <x v="2"/>
    <x v="1"/>
    <x v="0"/>
    <s v="Road"/>
    <x v="1"/>
    <n v="15.5"/>
    <n v="222"/>
    <n v="3"/>
    <n v="2"/>
    <n v="1"/>
    <n v="0"/>
    <n v="17.88"/>
    <n v="0"/>
    <n v="1"/>
  </r>
  <r>
    <s v="SHP-500410"/>
    <d v="2024-03-05T00:00:00"/>
    <x v="0"/>
    <s v="Q1"/>
    <x v="2"/>
    <x v="2"/>
    <x v="1"/>
    <x v="1"/>
    <x v="0"/>
    <s v="Road"/>
    <x v="0"/>
    <n v="42.8"/>
    <n v="225"/>
    <n v="3"/>
    <n v="2"/>
    <n v="1"/>
    <n v="0"/>
    <n v="27.19"/>
    <n v="0"/>
    <n v="1"/>
  </r>
  <r>
    <s v="SHP-500411"/>
    <d v="2024-03-05T00:00:00"/>
    <x v="0"/>
    <s v="Q1"/>
    <x v="2"/>
    <x v="3"/>
    <x v="2"/>
    <x v="3"/>
    <x v="1"/>
    <s v="Road"/>
    <x v="0"/>
    <n v="81.900000000000006"/>
    <n v="530"/>
    <n v="6"/>
    <n v="6"/>
    <n v="1"/>
    <n v="0"/>
    <n v="39.479999999999997"/>
    <n v="0"/>
    <n v="1"/>
  </r>
  <r>
    <s v="SHP-500412"/>
    <d v="2024-03-05T00:00:00"/>
    <x v="0"/>
    <s v="Q1"/>
    <x v="2"/>
    <x v="2"/>
    <x v="0"/>
    <x v="0"/>
    <x v="0"/>
    <s v="Road"/>
    <x v="0"/>
    <n v="160.9"/>
    <n v="1140"/>
    <n v="4"/>
    <n v="4"/>
    <n v="1"/>
    <n v="0"/>
    <n v="78.38"/>
    <n v="0"/>
    <n v="1"/>
  </r>
  <r>
    <s v="SHP-500413"/>
    <d v="2024-03-05T00:00:00"/>
    <x v="0"/>
    <s v="Q1"/>
    <x v="2"/>
    <x v="3"/>
    <x v="2"/>
    <x v="1"/>
    <x v="1"/>
    <s v="Road"/>
    <x v="0"/>
    <n v="142.80000000000001"/>
    <n v="292"/>
    <n v="5"/>
    <n v="5"/>
    <n v="1"/>
    <n v="0"/>
    <n v="55.66"/>
    <n v="0"/>
    <n v="1"/>
  </r>
  <r>
    <s v="SHP-500414"/>
    <d v="2024-03-05T00:00:00"/>
    <x v="0"/>
    <s v="Q1"/>
    <x v="2"/>
    <x v="3"/>
    <x v="1"/>
    <x v="4"/>
    <x v="1"/>
    <s v="Road"/>
    <x v="1"/>
    <n v="1.3"/>
    <n v="849"/>
    <n v="7"/>
    <n v="6"/>
    <n v="1"/>
    <n v="0"/>
    <n v="13.21"/>
    <n v="0"/>
    <n v="1"/>
  </r>
  <r>
    <s v="SHP-500415"/>
    <d v="2024-03-05T00:00:00"/>
    <x v="0"/>
    <s v="Q1"/>
    <x v="2"/>
    <x v="0"/>
    <x v="1"/>
    <x v="4"/>
    <x v="0"/>
    <s v="Road"/>
    <x v="1"/>
    <n v="7.5"/>
    <n v="647"/>
    <n v="5"/>
    <n v="5"/>
    <n v="1"/>
    <n v="0"/>
    <n v="16.11"/>
    <n v="0"/>
    <n v="1"/>
  </r>
  <r>
    <s v="SHP-500416"/>
    <d v="2024-03-06T00:00:00"/>
    <x v="0"/>
    <s v="Q1"/>
    <x v="2"/>
    <x v="2"/>
    <x v="2"/>
    <x v="1"/>
    <x v="2"/>
    <s v="Road"/>
    <x v="1"/>
    <n v="7.9"/>
    <n v="294"/>
    <n v="1"/>
    <n v="1"/>
    <n v="1"/>
    <n v="0"/>
    <n v="23.78"/>
    <n v="0"/>
    <n v="1"/>
  </r>
  <r>
    <s v="SHP-500417"/>
    <d v="2024-03-06T00:00:00"/>
    <x v="0"/>
    <s v="Q1"/>
    <x v="2"/>
    <x v="2"/>
    <x v="1"/>
    <x v="1"/>
    <x v="2"/>
    <s v="Road"/>
    <x v="0"/>
    <n v="13.3"/>
    <n v="155"/>
    <n v="1"/>
    <n v="2"/>
    <n v="0"/>
    <n v="1"/>
    <n v="26.8"/>
    <n v="0"/>
    <n v="1"/>
  </r>
  <r>
    <s v="SHP-500418"/>
    <d v="2024-03-06T00:00:00"/>
    <x v="0"/>
    <s v="Q1"/>
    <x v="2"/>
    <x v="2"/>
    <x v="1"/>
    <x v="0"/>
    <x v="0"/>
    <s v="Road"/>
    <x v="1"/>
    <n v="15.9"/>
    <n v="871"/>
    <n v="4"/>
    <n v="3"/>
    <n v="1"/>
    <n v="0"/>
    <n v="22.48"/>
    <n v="0"/>
    <n v="1"/>
  </r>
  <r>
    <s v="SHP-500419"/>
    <d v="2024-03-06T00:00:00"/>
    <x v="0"/>
    <s v="Q1"/>
    <x v="2"/>
    <x v="0"/>
    <x v="2"/>
    <x v="2"/>
    <x v="0"/>
    <s v="Road"/>
    <x v="0"/>
    <n v="123.4"/>
    <n v="1431"/>
    <n v="5"/>
    <n v="5"/>
    <n v="1"/>
    <n v="0"/>
    <n v="71.760000000000005"/>
    <n v="0"/>
    <n v="1"/>
  </r>
  <r>
    <s v="SHP-500420"/>
    <d v="2024-03-06T00:00:00"/>
    <x v="0"/>
    <s v="Q1"/>
    <x v="2"/>
    <x v="3"/>
    <x v="1"/>
    <x v="4"/>
    <x v="1"/>
    <s v="Road"/>
    <x v="1"/>
    <n v="1.8"/>
    <n v="920"/>
    <n v="7"/>
    <n v="7"/>
    <n v="1"/>
    <n v="0"/>
    <n v="14.97"/>
    <n v="0"/>
    <n v="1"/>
  </r>
  <r>
    <s v="SHP-500421"/>
    <d v="2024-03-06T00:00:00"/>
    <x v="0"/>
    <s v="Q1"/>
    <x v="2"/>
    <x v="2"/>
    <x v="0"/>
    <x v="3"/>
    <x v="0"/>
    <s v="Road"/>
    <x v="0"/>
    <n v="164.4"/>
    <n v="412"/>
    <n v="4"/>
    <n v="4"/>
    <n v="1"/>
    <n v="0"/>
    <n v="71.319999999999993"/>
    <n v="0"/>
    <n v="1"/>
  </r>
  <r>
    <s v="SHP-500422"/>
    <d v="2024-03-06T00:00:00"/>
    <x v="0"/>
    <s v="Q1"/>
    <x v="2"/>
    <x v="3"/>
    <x v="0"/>
    <x v="1"/>
    <x v="1"/>
    <s v="Road"/>
    <x v="0"/>
    <n v="195.8"/>
    <n v="228"/>
    <n v="5"/>
    <n v="5"/>
    <n v="1"/>
    <n v="0"/>
    <n v="74.489999999999995"/>
    <n v="0"/>
    <n v="1"/>
  </r>
  <r>
    <s v="SHP-500423"/>
    <d v="2024-03-06T00:00:00"/>
    <x v="0"/>
    <s v="Q1"/>
    <x v="2"/>
    <x v="4"/>
    <x v="2"/>
    <x v="0"/>
    <x v="2"/>
    <s v="Air"/>
    <x v="1"/>
    <n v="1.7"/>
    <n v="937"/>
    <n v="2"/>
    <n v="2"/>
    <n v="1"/>
    <n v="0"/>
    <n v="53.28"/>
    <n v="0"/>
    <n v="1"/>
  </r>
  <r>
    <s v="SHP-500424"/>
    <d v="2024-03-07T00:00:00"/>
    <x v="0"/>
    <s v="Q1"/>
    <x v="2"/>
    <x v="2"/>
    <x v="2"/>
    <x v="4"/>
    <x v="1"/>
    <s v="Road"/>
    <x v="1"/>
    <n v="12.6"/>
    <n v="868"/>
    <n v="7"/>
    <n v="9"/>
    <n v="0"/>
    <n v="2"/>
    <n v="15.59"/>
    <n v="0"/>
    <n v="1"/>
  </r>
  <r>
    <s v="SHP-500425"/>
    <d v="2024-03-07T00:00:00"/>
    <x v="0"/>
    <s v="Q1"/>
    <x v="2"/>
    <x v="4"/>
    <x v="2"/>
    <x v="4"/>
    <x v="0"/>
    <s v="Road"/>
    <x v="1"/>
    <n v="3.3"/>
    <n v="1125"/>
    <n v="5"/>
    <n v="4"/>
    <n v="1"/>
    <n v="0"/>
    <n v="21.65"/>
    <n v="0"/>
    <n v="1"/>
  </r>
  <r>
    <s v="SHP-500426"/>
    <d v="2024-03-07T00:00:00"/>
    <x v="0"/>
    <s v="Q1"/>
    <x v="2"/>
    <x v="3"/>
    <x v="1"/>
    <x v="0"/>
    <x v="0"/>
    <s v="Road"/>
    <x v="1"/>
    <n v="4.8"/>
    <n v="975"/>
    <n v="4"/>
    <n v="3"/>
    <n v="1"/>
    <n v="0"/>
    <n v="23.31"/>
    <n v="0"/>
    <n v="1"/>
  </r>
  <r>
    <s v="SHP-500427"/>
    <d v="2024-03-07T00:00:00"/>
    <x v="0"/>
    <s v="Q1"/>
    <x v="2"/>
    <x v="2"/>
    <x v="0"/>
    <x v="1"/>
    <x v="0"/>
    <s v="Road"/>
    <x v="0"/>
    <n v="24.5"/>
    <n v="223"/>
    <n v="3"/>
    <n v="6"/>
    <n v="0"/>
    <n v="3"/>
    <n v="17.690000000000001"/>
    <n v="0"/>
    <n v="1"/>
  </r>
  <r>
    <s v="SHP-500428"/>
    <d v="2024-03-07T00:00:00"/>
    <x v="0"/>
    <s v="Q1"/>
    <x v="2"/>
    <x v="4"/>
    <x v="2"/>
    <x v="1"/>
    <x v="1"/>
    <s v="Road"/>
    <x v="1"/>
    <n v="8.1999999999999993"/>
    <n v="305"/>
    <n v="5"/>
    <n v="5"/>
    <n v="1"/>
    <n v="0"/>
    <n v="11.15"/>
    <n v="0"/>
    <n v="1"/>
  </r>
  <r>
    <s v="SHP-500429"/>
    <d v="2024-03-07T00:00:00"/>
    <x v="0"/>
    <s v="Q1"/>
    <x v="2"/>
    <x v="2"/>
    <x v="0"/>
    <x v="1"/>
    <x v="0"/>
    <s v="Road"/>
    <x v="1"/>
    <n v="2.2000000000000002"/>
    <n v="217"/>
    <n v="3"/>
    <n v="3"/>
    <n v="1"/>
    <n v="0"/>
    <n v="8.6"/>
    <n v="0"/>
    <n v="1"/>
  </r>
  <r>
    <s v="SHP-500430"/>
    <d v="2024-03-07T00:00:00"/>
    <x v="0"/>
    <s v="Q1"/>
    <x v="2"/>
    <x v="1"/>
    <x v="2"/>
    <x v="3"/>
    <x v="0"/>
    <s v="Road"/>
    <x v="1"/>
    <n v="8.6"/>
    <n v="480"/>
    <n v="4"/>
    <n v="3"/>
    <n v="1"/>
    <n v="0"/>
    <n v="18.399999999999999"/>
    <n v="0"/>
    <n v="1"/>
  </r>
  <r>
    <s v="SHP-500431"/>
    <d v="2024-03-08T00:00:00"/>
    <x v="0"/>
    <s v="Q1"/>
    <x v="2"/>
    <x v="3"/>
    <x v="0"/>
    <x v="0"/>
    <x v="0"/>
    <s v="Road"/>
    <x v="1"/>
    <n v="5.8"/>
    <n v="780"/>
    <n v="4"/>
    <n v="4"/>
    <n v="1"/>
    <n v="0"/>
    <n v="17.72"/>
    <n v="0"/>
    <n v="1"/>
  </r>
  <r>
    <s v="SHP-500432"/>
    <d v="2024-03-08T00:00:00"/>
    <x v="0"/>
    <s v="Q1"/>
    <x v="2"/>
    <x v="1"/>
    <x v="0"/>
    <x v="3"/>
    <x v="0"/>
    <s v="Road"/>
    <x v="1"/>
    <n v="2.6"/>
    <n v="414"/>
    <n v="4"/>
    <n v="4"/>
    <n v="1"/>
    <n v="0"/>
    <n v="13.91"/>
    <n v="0"/>
    <n v="1"/>
  </r>
  <r>
    <s v="SHP-500433"/>
    <d v="2024-03-08T00:00:00"/>
    <x v="0"/>
    <s v="Q1"/>
    <x v="2"/>
    <x v="1"/>
    <x v="0"/>
    <x v="0"/>
    <x v="2"/>
    <s v="Air"/>
    <x v="1"/>
    <n v="8.4"/>
    <n v="891"/>
    <n v="2"/>
    <n v="4"/>
    <n v="0"/>
    <n v="2"/>
    <n v="69.7"/>
    <n v="0"/>
    <n v="1"/>
  </r>
  <r>
    <s v="SHP-500434"/>
    <d v="2024-03-08T00:00:00"/>
    <x v="0"/>
    <s v="Q1"/>
    <x v="2"/>
    <x v="0"/>
    <x v="0"/>
    <x v="1"/>
    <x v="0"/>
    <s v="Road"/>
    <x v="0"/>
    <n v="165.7"/>
    <n v="198"/>
    <n v="3"/>
    <n v="2"/>
    <n v="1"/>
    <n v="0"/>
    <n v="69.19"/>
    <n v="0"/>
    <n v="1"/>
  </r>
  <r>
    <s v="SHP-500435"/>
    <d v="2024-03-08T00:00:00"/>
    <x v="0"/>
    <s v="Q1"/>
    <x v="2"/>
    <x v="1"/>
    <x v="2"/>
    <x v="2"/>
    <x v="0"/>
    <s v="Road"/>
    <x v="1"/>
    <n v="15.7"/>
    <n v="1071"/>
    <n v="5"/>
    <n v="6"/>
    <n v="0"/>
    <n v="1"/>
    <n v="31.2"/>
    <n v="0"/>
    <n v="1"/>
  </r>
  <r>
    <s v="SHP-500436"/>
    <d v="2024-03-08T00:00:00"/>
    <x v="0"/>
    <s v="Q1"/>
    <x v="2"/>
    <x v="3"/>
    <x v="2"/>
    <x v="1"/>
    <x v="0"/>
    <s v="Road"/>
    <x v="0"/>
    <n v="317.60000000000002"/>
    <n v="198"/>
    <n v="3"/>
    <n v="3"/>
    <n v="1"/>
    <n v="0"/>
    <n v="121.79"/>
    <n v="0"/>
    <n v="1"/>
  </r>
  <r>
    <s v="SHP-500437"/>
    <d v="2024-03-08T00:00:00"/>
    <x v="0"/>
    <s v="Q1"/>
    <x v="2"/>
    <x v="2"/>
    <x v="2"/>
    <x v="1"/>
    <x v="1"/>
    <s v="Road"/>
    <x v="1"/>
    <n v="7.2"/>
    <n v="236"/>
    <n v="5"/>
    <n v="9"/>
    <n v="0"/>
    <n v="4"/>
    <n v="8.2200000000000006"/>
    <n v="0"/>
    <n v="1"/>
  </r>
  <r>
    <s v="SHP-500438"/>
    <d v="2024-03-09T00:00:00"/>
    <x v="0"/>
    <s v="Q1"/>
    <x v="2"/>
    <x v="3"/>
    <x v="0"/>
    <x v="4"/>
    <x v="2"/>
    <s v="Air"/>
    <x v="0"/>
    <n v="20.8"/>
    <n v="1242"/>
    <n v="3"/>
    <n v="3"/>
    <n v="1"/>
    <n v="0"/>
    <n v="126.63"/>
    <n v="0"/>
    <n v="1"/>
  </r>
  <r>
    <s v="SHP-500439"/>
    <d v="2024-03-09T00:00:00"/>
    <x v="0"/>
    <s v="Q1"/>
    <x v="2"/>
    <x v="3"/>
    <x v="2"/>
    <x v="1"/>
    <x v="1"/>
    <s v="Road"/>
    <x v="0"/>
    <n v="283.89999999999998"/>
    <n v="181"/>
    <n v="5"/>
    <n v="5"/>
    <n v="1"/>
    <n v="0"/>
    <n v="86.41"/>
    <n v="0"/>
    <n v="1"/>
  </r>
  <r>
    <s v="SHP-500440"/>
    <d v="2024-03-09T00:00:00"/>
    <x v="0"/>
    <s v="Q1"/>
    <x v="2"/>
    <x v="2"/>
    <x v="0"/>
    <x v="1"/>
    <x v="1"/>
    <s v="Road"/>
    <x v="0"/>
    <n v="419.9"/>
    <n v="218"/>
    <n v="5"/>
    <n v="4"/>
    <n v="1"/>
    <n v="0"/>
    <n v="103.34"/>
    <n v="0"/>
    <n v="1"/>
  </r>
  <r>
    <s v="SHP-500441"/>
    <d v="2024-03-09T00:00:00"/>
    <x v="0"/>
    <s v="Q1"/>
    <x v="2"/>
    <x v="4"/>
    <x v="2"/>
    <x v="0"/>
    <x v="2"/>
    <s v="Air"/>
    <x v="1"/>
    <n v="1.8"/>
    <n v="1036"/>
    <n v="2"/>
    <n v="2"/>
    <n v="1"/>
    <n v="0"/>
    <n v="58.6"/>
    <n v="0"/>
    <n v="1"/>
  </r>
  <r>
    <s v="SHP-500442"/>
    <d v="2024-03-09T00:00:00"/>
    <x v="0"/>
    <s v="Q1"/>
    <x v="2"/>
    <x v="3"/>
    <x v="0"/>
    <x v="3"/>
    <x v="0"/>
    <s v="Road"/>
    <x v="1"/>
    <n v="13.9"/>
    <n v="437"/>
    <n v="4"/>
    <n v="3"/>
    <n v="1"/>
    <n v="0"/>
    <n v="22.75"/>
    <n v="0"/>
    <n v="1"/>
  </r>
  <r>
    <s v="SHP-500443"/>
    <d v="2024-03-10T00:00:00"/>
    <x v="0"/>
    <s v="Q1"/>
    <x v="2"/>
    <x v="2"/>
    <x v="2"/>
    <x v="1"/>
    <x v="2"/>
    <s v="Road"/>
    <x v="1"/>
    <n v="6.1"/>
    <n v="283"/>
    <n v="1"/>
    <n v="1"/>
    <n v="1"/>
    <n v="0"/>
    <n v="22.84"/>
    <n v="0"/>
    <n v="1"/>
  </r>
  <r>
    <s v="SHP-500444"/>
    <d v="2024-03-10T00:00:00"/>
    <x v="0"/>
    <s v="Q1"/>
    <x v="2"/>
    <x v="3"/>
    <x v="0"/>
    <x v="3"/>
    <x v="0"/>
    <s v="Road"/>
    <x v="0"/>
    <n v="95.7"/>
    <n v="412"/>
    <n v="4"/>
    <n v="4"/>
    <n v="1"/>
    <n v="0"/>
    <n v="60.33"/>
    <n v="0"/>
    <n v="1"/>
  </r>
  <r>
    <s v="SHP-500445"/>
    <d v="2024-03-10T00:00:00"/>
    <x v="0"/>
    <s v="Q1"/>
    <x v="2"/>
    <x v="3"/>
    <x v="2"/>
    <x v="1"/>
    <x v="0"/>
    <s v="Road"/>
    <x v="0"/>
    <n v="141.5"/>
    <n v="263"/>
    <n v="3"/>
    <n v="3"/>
    <n v="1"/>
    <n v="0"/>
    <n v="82.42"/>
    <n v="0"/>
    <n v="1"/>
  </r>
  <r>
    <s v="SHP-500446"/>
    <d v="2024-03-10T00:00:00"/>
    <x v="0"/>
    <s v="Q1"/>
    <x v="2"/>
    <x v="4"/>
    <x v="1"/>
    <x v="2"/>
    <x v="0"/>
    <s v="Road"/>
    <x v="0"/>
    <n v="188.8"/>
    <n v="1156"/>
    <n v="5"/>
    <n v="5"/>
    <n v="1"/>
    <n v="0"/>
    <n v="88.72"/>
    <n v="0"/>
    <n v="1"/>
  </r>
  <r>
    <s v="SHP-500447"/>
    <d v="2024-03-11T00:00:00"/>
    <x v="0"/>
    <s v="Q1"/>
    <x v="2"/>
    <x v="0"/>
    <x v="2"/>
    <x v="3"/>
    <x v="0"/>
    <s v="Road"/>
    <x v="1"/>
    <n v="6.8"/>
    <n v="408"/>
    <n v="4"/>
    <n v="3"/>
    <n v="1"/>
    <n v="0"/>
    <n v="15.53"/>
    <n v="0"/>
    <n v="1"/>
  </r>
  <r>
    <s v="SHP-500448"/>
    <d v="2024-03-11T00:00:00"/>
    <x v="0"/>
    <s v="Q1"/>
    <x v="2"/>
    <x v="0"/>
    <x v="1"/>
    <x v="0"/>
    <x v="1"/>
    <s v="Road"/>
    <x v="1"/>
    <n v="12"/>
    <n v="986"/>
    <n v="6"/>
    <n v="6"/>
    <n v="1"/>
    <n v="0"/>
    <n v="16.63"/>
    <n v="0"/>
    <n v="1"/>
  </r>
  <r>
    <s v="SHP-500449"/>
    <d v="2024-03-11T00:00:00"/>
    <x v="0"/>
    <s v="Q1"/>
    <x v="2"/>
    <x v="2"/>
    <x v="0"/>
    <x v="1"/>
    <x v="1"/>
    <s v="Road"/>
    <x v="1"/>
    <n v="1.4"/>
    <n v="234"/>
    <n v="5"/>
    <n v="4"/>
    <n v="1"/>
    <n v="0"/>
    <n v="5.99"/>
    <n v="0"/>
    <n v="1"/>
  </r>
  <r>
    <s v="SHP-500450"/>
    <d v="2024-03-11T00:00:00"/>
    <x v="0"/>
    <s v="Q1"/>
    <x v="2"/>
    <x v="3"/>
    <x v="2"/>
    <x v="0"/>
    <x v="1"/>
    <s v="Road"/>
    <x v="1"/>
    <n v="7.1"/>
    <n v="981"/>
    <n v="6"/>
    <n v="6"/>
    <n v="1"/>
    <n v="0"/>
    <n v="18.350000000000001"/>
    <n v="0"/>
    <n v="1"/>
  </r>
  <r>
    <s v="SHP-500451"/>
    <d v="2024-03-11T00:00:00"/>
    <x v="0"/>
    <s v="Q1"/>
    <x v="2"/>
    <x v="2"/>
    <x v="0"/>
    <x v="0"/>
    <x v="1"/>
    <s v="Road"/>
    <x v="1"/>
    <n v="5"/>
    <n v="893"/>
    <n v="6"/>
    <n v="6"/>
    <n v="1"/>
    <n v="0"/>
    <n v="12.3"/>
    <n v="0"/>
    <n v="1"/>
  </r>
  <r>
    <s v="SHP-500452"/>
    <d v="2024-03-11T00:00:00"/>
    <x v="0"/>
    <s v="Q1"/>
    <x v="2"/>
    <x v="4"/>
    <x v="1"/>
    <x v="2"/>
    <x v="1"/>
    <s v="Road"/>
    <x v="1"/>
    <n v="7.3"/>
    <n v="1214"/>
    <n v="7"/>
    <n v="7"/>
    <n v="1"/>
    <n v="0"/>
    <n v="17.46"/>
    <n v="0"/>
    <n v="1"/>
  </r>
  <r>
    <s v="SHP-500453"/>
    <d v="2024-03-11T00:00:00"/>
    <x v="0"/>
    <s v="Q1"/>
    <x v="2"/>
    <x v="0"/>
    <x v="2"/>
    <x v="3"/>
    <x v="1"/>
    <s v="Road"/>
    <x v="1"/>
    <n v="4.5999999999999996"/>
    <n v="413"/>
    <n v="6"/>
    <n v="8"/>
    <n v="0"/>
    <n v="2"/>
    <n v="9.23"/>
    <n v="0"/>
    <n v="1"/>
  </r>
  <r>
    <s v="SHP-500454"/>
    <d v="2024-03-11T00:00:00"/>
    <x v="0"/>
    <s v="Q1"/>
    <x v="2"/>
    <x v="3"/>
    <x v="0"/>
    <x v="3"/>
    <x v="0"/>
    <s v="Road"/>
    <x v="1"/>
    <n v="1.9"/>
    <n v="603"/>
    <n v="4"/>
    <n v="4"/>
    <n v="1"/>
    <n v="0"/>
    <n v="18.27"/>
    <n v="0"/>
    <n v="1"/>
  </r>
  <r>
    <s v="SHP-500455"/>
    <d v="2024-03-11T00:00:00"/>
    <x v="0"/>
    <s v="Q1"/>
    <x v="2"/>
    <x v="4"/>
    <x v="1"/>
    <x v="2"/>
    <x v="1"/>
    <s v="Road"/>
    <x v="0"/>
    <n v="118.1"/>
    <n v="1172"/>
    <n v="7"/>
    <n v="7"/>
    <n v="1"/>
    <n v="0"/>
    <n v="53.37"/>
    <n v="0"/>
    <n v="1"/>
  </r>
  <r>
    <s v="SHP-500456"/>
    <d v="2024-03-11T00:00:00"/>
    <x v="0"/>
    <s v="Q1"/>
    <x v="2"/>
    <x v="1"/>
    <x v="1"/>
    <x v="3"/>
    <x v="0"/>
    <s v="Road"/>
    <x v="1"/>
    <n v="10.199999999999999"/>
    <n v="533"/>
    <n v="4"/>
    <n v="4"/>
    <n v="1"/>
    <n v="0"/>
    <n v="20.36"/>
    <n v="0"/>
    <n v="1"/>
  </r>
  <r>
    <s v="SHP-500457"/>
    <d v="2024-03-11T00:00:00"/>
    <x v="0"/>
    <s v="Q1"/>
    <x v="2"/>
    <x v="3"/>
    <x v="2"/>
    <x v="4"/>
    <x v="0"/>
    <s v="Road"/>
    <x v="0"/>
    <n v="168.2"/>
    <n v="964"/>
    <n v="5"/>
    <n v="4"/>
    <n v="1"/>
    <n v="0"/>
    <n v="98.68"/>
    <n v="0"/>
    <n v="1"/>
  </r>
  <r>
    <s v="SHP-500458"/>
    <d v="2024-03-12T00:00:00"/>
    <x v="0"/>
    <s v="Q1"/>
    <x v="2"/>
    <x v="0"/>
    <x v="1"/>
    <x v="1"/>
    <x v="0"/>
    <s v="Road"/>
    <x v="1"/>
    <n v="2.4"/>
    <n v="253"/>
    <n v="3"/>
    <n v="5"/>
    <n v="0"/>
    <n v="2"/>
    <n v="9.8000000000000007"/>
    <n v="0"/>
    <n v="1"/>
  </r>
  <r>
    <s v="SHP-500459"/>
    <d v="2024-03-12T00:00:00"/>
    <x v="0"/>
    <s v="Q1"/>
    <x v="2"/>
    <x v="3"/>
    <x v="1"/>
    <x v="0"/>
    <x v="0"/>
    <s v="Road"/>
    <x v="0"/>
    <n v="194.3"/>
    <n v="915"/>
    <n v="4"/>
    <n v="4"/>
    <n v="1"/>
    <n v="0"/>
    <n v="105.26"/>
    <n v="0"/>
    <n v="1"/>
  </r>
  <r>
    <s v="SHP-500460"/>
    <d v="2024-03-12T00:00:00"/>
    <x v="0"/>
    <s v="Q1"/>
    <x v="2"/>
    <x v="1"/>
    <x v="2"/>
    <x v="0"/>
    <x v="1"/>
    <s v="Road"/>
    <x v="0"/>
    <n v="64.900000000000006"/>
    <n v="838"/>
    <n v="6"/>
    <n v="6"/>
    <n v="1"/>
    <n v="0"/>
    <n v="35.51"/>
    <n v="0"/>
    <n v="1"/>
  </r>
  <r>
    <s v="SHP-500461"/>
    <d v="2024-03-12T00:00:00"/>
    <x v="0"/>
    <s v="Q1"/>
    <x v="2"/>
    <x v="3"/>
    <x v="2"/>
    <x v="1"/>
    <x v="0"/>
    <s v="Road"/>
    <x v="0"/>
    <n v="25.2"/>
    <n v="263"/>
    <n v="3"/>
    <n v="3"/>
    <n v="1"/>
    <n v="0"/>
    <n v="24.53"/>
    <n v="0"/>
    <n v="1"/>
  </r>
  <r>
    <s v="SHP-500462"/>
    <d v="2024-03-12T00:00:00"/>
    <x v="0"/>
    <s v="Q1"/>
    <x v="2"/>
    <x v="3"/>
    <x v="1"/>
    <x v="1"/>
    <x v="1"/>
    <s v="Road"/>
    <x v="1"/>
    <n v="0.8"/>
    <n v="188"/>
    <n v="5"/>
    <n v="5"/>
    <n v="1"/>
    <n v="0"/>
    <n v="7.72"/>
    <n v="0"/>
    <n v="1"/>
  </r>
  <r>
    <s v="SHP-500463"/>
    <d v="2024-03-12T00:00:00"/>
    <x v="0"/>
    <s v="Q1"/>
    <x v="2"/>
    <x v="3"/>
    <x v="0"/>
    <x v="0"/>
    <x v="0"/>
    <s v="Road"/>
    <x v="1"/>
    <n v="2.2999999999999998"/>
    <n v="878"/>
    <n v="4"/>
    <n v="4"/>
    <n v="1"/>
    <n v="0"/>
    <n v="16.649999999999999"/>
    <n v="0"/>
    <n v="1"/>
  </r>
  <r>
    <s v="SHP-500464"/>
    <d v="2024-03-12T00:00:00"/>
    <x v="0"/>
    <s v="Q1"/>
    <x v="2"/>
    <x v="0"/>
    <x v="2"/>
    <x v="0"/>
    <x v="0"/>
    <s v="Road"/>
    <x v="1"/>
    <n v="11.6"/>
    <n v="871"/>
    <n v="4"/>
    <n v="4"/>
    <n v="1"/>
    <n v="0"/>
    <n v="23.04"/>
    <n v="0"/>
    <n v="1"/>
  </r>
  <r>
    <s v="SHP-500465"/>
    <d v="2024-03-12T00:00:00"/>
    <x v="0"/>
    <s v="Q1"/>
    <x v="2"/>
    <x v="0"/>
    <x v="0"/>
    <x v="1"/>
    <x v="2"/>
    <s v="Road"/>
    <x v="1"/>
    <n v="3.2"/>
    <n v="253"/>
    <n v="1"/>
    <n v="1"/>
    <n v="1"/>
    <n v="0"/>
    <n v="22.29"/>
    <n v="0"/>
    <n v="1"/>
  </r>
  <r>
    <s v="SHP-500466"/>
    <d v="2024-03-12T00:00:00"/>
    <x v="0"/>
    <s v="Q1"/>
    <x v="2"/>
    <x v="4"/>
    <x v="2"/>
    <x v="1"/>
    <x v="0"/>
    <s v="Road"/>
    <x v="1"/>
    <n v="7.3"/>
    <n v="220"/>
    <n v="3"/>
    <n v="3"/>
    <n v="1"/>
    <n v="0"/>
    <n v="13.61"/>
    <n v="0"/>
    <n v="1"/>
  </r>
  <r>
    <s v="SHP-500467"/>
    <d v="2024-03-12T00:00:00"/>
    <x v="0"/>
    <s v="Q1"/>
    <x v="2"/>
    <x v="4"/>
    <x v="1"/>
    <x v="1"/>
    <x v="0"/>
    <s v="Road"/>
    <x v="1"/>
    <n v="1.4"/>
    <n v="215"/>
    <n v="3"/>
    <n v="3"/>
    <n v="1"/>
    <n v="0"/>
    <n v="10.19"/>
    <n v="0"/>
    <n v="1"/>
  </r>
  <r>
    <s v="SHP-500468"/>
    <d v="2024-03-12T00:00:00"/>
    <x v="0"/>
    <s v="Q1"/>
    <x v="2"/>
    <x v="0"/>
    <x v="2"/>
    <x v="3"/>
    <x v="1"/>
    <s v="Road"/>
    <x v="1"/>
    <n v="8.4"/>
    <n v="525"/>
    <n v="6"/>
    <n v="5"/>
    <n v="1"/>
    <n v="0"/>
    <n v="12.88"/>
    <n v="0"/>
    <n v="1"/>
  </r>
  <r>
    <s v="SHP-500469"/>
    <d v="2024-03-13T00:00:00"/>
    <x v="0"/>
    <s v="Q1"/>
    <x v="2"/>
    <x v="3"/>
    <x v="0"/>
    <x v="3"/>
    <x v="1"/>
    <s v="Road"/>
    <x v="1"/>
    <n v="4.5"/>
    <n v="510"/>
    <n v="6"/>
    <n v="8"/>
    <n v="0"/>
    <n v="2"/>
    <n v="13.41"/>
    <n v="0"/>
    <n v="1"/>
  </r>
  <r>
    <s v="SHP-500470"/>
    <d v="2024-03-13T00:00:00"/>
    <x v="0"/>
    <s v="Q1"/>
    <x v="2"/>
    <x v="0"/>
    <x v="1"/>
    <x v="0"/>
    <x v="0"/>
    <s v="Road"/>
    <x v="0"/>
    <n v="64.3"/>
    <n v="1000"/>
    <n v="4"/>
    <n v="4"/>
    <n v="1"/>
    <n v="0"/>
    <n v="50.53"/>
    <n v="0"/>
    <n v="1"/>
  </r>
  <r>
    <s v="SHP-500471"/>
    <d v="2024-03-13T00:00:00"/>
    <x v="0"/>
    <s v="Q1"/>
    <x v="2"/>
    <x v="2"/>
    <x v="2"/>
    <x v="1"/>
    <x v="1"/>
    <s v="Road"/>
    <x v="1"/>
    <n v="4.7"/>
    <n v="227"/>
    <n v="5"/>
    <n v="5"/>
    <n v="1"/>
    <n v="0"/>
    <n v="7.04"/>
    <n v="0"/>
    <n v="1"/>
  </r>
  <r>
    <s v="SHP-500472"/>
    <d v="2024-03-13T00:00:00"/>
    <x v="0"/>
    <s v="Q1"/>
    <x v="2"/>
    <x v="3"/>
    <x v="2"/>
    <x v="0"/>
    <x v="0"/>
    <s v="Road"/>
    <x v="0"/>
    <n v="57.1"/>
    <n v="803"/>
    <n v="4"/>
    <n v="3"/>
    <n v="1"/>
    <n v="0"/>
    <n v="46.44"/>
    <n v="0"/>
    <n v="1"/>
  </r>
  <r>
    <s v="SHP-500473"/>
    <d v="2024-03-14T00:00:00"/>
    <x v="0"/>
    <s v="Q1"/>
    <x v="2"/>
    <x v="1"/>
    <x v="2"/>
    <x v="3"/>
    <x v="0"/>
    <s v="Road"/>
    <x v="1"/>
    <n v="8.1"/>
    <n v="630"/>
    <n v="4"/>
    <n v="7"/>
    <n v="0"/>
    <n v="3"/>
    <n v="22.07"/>
    <n v="0"/>
    <n v="1"/>
  </r>
  <r>
    <s v="SHP-500474"/>
    <d v="2024-03-14T00:00:00"/>
    <x v="0"/>
    <s v="Q1"/>
    <x v="2"/>
    <x v="3"/>
    <x v="2"/>
    <x v="1"/>
    <x v="2"/>
    <s v="Road"/>
    <x v="1"/>
    <n v="2.2999999999999998"/>
    <n v="277"/>
    <n v="1"/>
    <n v="1"/>
    <n v="1"/>
    <n v="0"/>
    <n v="23.87"/>
    <n v="0"/>
    <n v="1"/>
  </r>
  <r>
    <s v="SHP-500475"/>
    <d v="2024-03-14T00:00:00"/>
    <x v="0"/>
    <s v="Q1"/>
    <x v="2"/>
    <x v="1"/>
    <x v="2"/>
    <x v="4"/>
    <x v="0"/>
    <s v="Road"/>
    <x v="1"/>
    <n v="12.1"/>
    <n v="1176"/>
    <n v="5"/>
    <n v="6"/>
    <n v="0"/>
    <n v="1"/>
    <n v="27.13"/>
    <n v="0"/>
    <n v="1"/>
  </r>
  <r>
    <s v="SHP-500476"/>
    <d v="2024-03-14T00:00:00"/>
    <x v="0"/>
    <s v="Q1"/>
    <x v="2"/>
    <x v="2"/>
    <x v="0"/>
    <x v="3"/>
    <x v="0"/>
    <s v="Road"/>
    <x v="1"/>
    <n v="8.1999999999999993"/>
    <n v="551"/>
    <n v="4"/>
    <n v="5"/>
    <n v="0"/>
    <n v="1"/>
    <n v="15.84"/>
    <n v="0"/>
    <n v="1"/>
  </r>
  <r>
    <s v="SHP-500477"/>
    <d v="2024-03-14T00:00:00"/>
    <x v="0"/>
    <s v="Q1"/>
    <x v="2"/>
    <x v="2"/>
    <x v="1"/>
    <x v="1"/>
    <x v="0"/>
    <s v="Road"/>
    <x v="0"/>
    <n v="33.9"/>
    <n v="221"/>
    <n v="3"/>
    <n v="3"/>
    <n v="1"/>
    <n v="0"/>
    <n v="21.84"/>
    <n v="0"/>
    <n v="1"/>
  </r>
  <r>
    <s v="SHP-500478"/>
    <d v="2024-03-14T00:00:00"/>
    <x v="0"/>
    <s v="Q1"/>
    <x v="2"/>
    <x v="2"/>
    <x v="2"/>
    <x v="0"/>
    <x v="1"/>
    <s v="Road"/>
    <x v="1"/>
    <n v="3.8"/>
    <n v="1047"/>
    <n v="6"/>
    <n v="5"/>
    <n v="1"/>
    <n v="0"/>
    <n v="11.97"/>
    <n v="0"/>
    <n v="1"/>
  </r>
  <r>
    <s v="SHP-500479"/>
    <d v="2024-03-14T00:00:00"/>
    <x v="0"/>
    <s v="Q1"/>
    <x v="2"/>
    <x v="2"/>
    <x v="2"/>
    <x v="4"/>
    <x v="0"/>
    <s v="Road"/>
    <x v="0"/>
    <n v="98.3"/>
    <n v="1023"/>
    <n v="5"/>
    <n v="5"/>
    <n v="1"/>
    <n v="0"/>
    <n v="52.78"/>
    <n v="0"/>
    <n v="1"/>
  </r>
  <r>
    <s v="SHP-500480"/>
    <d v="2024-03-14T00:00:00"/>
    <x v="0"/>
    <s v="Q1"/>
    <x v="2"/>
    <x v="0"/>
    <x v="1"/>
    <x v="3"/>
    <x v="0"/>
    <s v="Road"/>
    <x v="0"/>
    <n v="30.5"/>
    <n v="448"/>
    <n v="4"/>
    <n v="3"/>
    <n v="1"/>
    <n v="0"/>
    <n v="23.87"/>
    <n v="0"/>
    <n v="1"/>
  </r>
  <r>
    <s v="SHP-500481"/>
    <d v="2024-03-14T00:00:00"/>
    <x v="0"/>
    <s v="Q1"/>
    <x v="2"/>
    <x v="3"/>
    <x v="2"/>
    <x v="4"/>
    <x v="0"/>
    <s v="Road"/>
    <x v="1"/>
    <n v="8.6"/>
    <n v="1091"/>
    <n v="5"/>
    <n v="5"/>
    <n v="1"/>
    <n v="0"/>
    <n v="29.17"/>
    <n v="0"/>
    <n v="1"/>
  </r>
  <r>
    <s v="SHP-500482"/>
    <d v="2024-03-14T00:00:00"/>
    <x v="0"/>
    <s v="Q1"/>
    <x v="2"/>
    <x v="0"/>
    <x v="0"/>
    <x v="2"/>
    <x v="2"/>
    <s v="Air"/>
    <x v="0"/>
    <n v="128.19999999999999"/>
    <n v="1025"/>
    <n v="3"/>
    <n v="3"/>
    <n v="1"/>
    <n v="0"/>
    <n v="214.62"/>
    <n v="0"/>
    <n v="1"/>
  </r>
  <r>
    <s v="SHP-500483"/>
    <d v="2024-03-14T00:00:00"/>
    <x v="0"/>
    <s v="Q1"/>
    <x v="2"/>
    <x v="1"/>
    <x v="2"/>
    <x v="0"/>
    <x v="1"/>
    <s v="Road"/>
    <x v="1"/>
    <n v="8.1999999999999993"/>
    <n v="902"/>
    <n v="6"/>
    <n v="6"/>
    <n v="1"/>
    <n v="0"/>
    <n v="16.93"/>
    <n v="0"/>
    <n v="1"/>
  </r>
  <r>
    <s v="SHP-500484"/>
    <d v="2024-03-14T00:00:00"/>
    <x v="0"/>
    <s v="Q1"/>
    <x v="2"/>
    <x v="0"/>
    <x v="0"/>
    <x v="3"/>
    <x v="0"/>
    <s v="Road"/>
    <x v="1"/>
    <n v="6.6"/>
    <n v="467"/>
    <n v="4"/>
    <n v="4"/>
    <n v="1"/>
    <n v="0"/>
    <n v="14.91"/>
    <n v="0"/>
    <n v="1"/>
  </r>
  <r>
    <s v="SHP-500485"/>
    <d v="2024-03-15T00:00:00"/>
    <x v="0"/>
    <s v="Q1"/>
    <x v="2"/>
    <x v="2"/>
    <x v="1"/>
    <x v="4"/>
    <x v="0"/>
    <s v="Road"/>
    <x v="0"/>
    <n v="97.9"/>
    <n v="838"/>
    <n v="5"/>
    <n v="4"/>
    <n v="1"/>
    <n v="0"/>
    <n v="54.5"/>
    <n v="0"/>
    <n v="1"/>
  </r>
  <r>
    <s v="SHP-500486"/>
    <d v="2024-03-15T00:00:00"/>
    <x v="0"/>
    <s v="Q1"/>
    <x v="2"/>
    <x v="4"/>
    <x v="2"/>
    <x v="4"/>
    <x v="2"/>
    <s v="Air"/>
    <x v="1"/>
    <n v="3"/>
    <n v="1034"/>
    <n v="3"/>
    <n v="3"/>
    <n v="1"/>
    <n v="0"/>
    <n v="58.82"/>
    <n v="0"/>
    <n v="1"/>
  </r>
  <r>
    <s v="SHP-500487"/>
    <d v="2024-03-15T00:00:00"/>
    <x v="0"/>
    <s v="Q1"/>
    <x v="2"/>
    <x v="3"/>
    <x v="2"/>
    <x v="0"/>
    <x v="2"/>
    <s v="Air"/>
    <x v="1"/>
    <n v="7.5"/>
    <n v="998"/>
    <n v="2"/>
    <n v="2"/>
    <n v="1"/>
    <n v="0"/>
    <n v="76.12"/>
    <n v="0"/>
    <n v="1"/>
  </r>
  <r>
    <s v="SHP-500488"/>
    <d v="2024-03-16T00:00:00"/>
    <x v="0"/>
    <s v="Q1"/>
    <x v="2"/>
    <x v="0"/>
    <x v="1"/>
    <x v="0"/>
    <x v="1"/>
    <s v="Road"/>
    <x v="1"/>
    <n v="12.1"/>
    <n v="940"/>
    <n v="6"/>
    <n v="6"/>
    <n v="1"/>
    <n v="0"/>
    <n v="16.78"/>
    <n v="0"/>
    <n v="1"/>
  </r>
  <r>
    <s v="SHP-500489"/>
    <d v="2024-03-16T00:00:00"/>
    <x v="0"/>
    <s v="Q1"/>
    <x v="2"/>
    <x v="2"/>
    <x v="1"/>
    <x v="3"/>
    <x v="0"/>
    <s v="Road"/>
    <x v="1"/>
    <n v="5.8"/>
    <n v="392"/>
    <n v="4"/>
    <n v="4"/>
    <n v="1"/>
    <n v="0"/>
    <n v="12.06"/>
    <n v="0"/>
    <n v="1"/>
  </r>
  <r>
    <s v="SHP-500490"/>
    <d v="2024-03-16T00:00:00"/>
    <x v="0"/>
    <s v="Q1"/>
    <x v="2"/>
    <x v="0"/>
    <x v="0"/>
    <x v="0"/>
    <x v="0"/>
    <s v="Road"/>
    <x v="0"/>
    <n v="91.4"/>
    <n v="881"/>
    <n v="4"/>
    <n v="4"/>
    <n v="1"/>
    <n v="0"/>
    <n v="59.46"/>
    <n v="0"/>
    <n v="1"/>
  </r>
  <r>
    <s v="SHP-500491"/>
    <d v="2024-03-16T00:00:00"/>
    <x v="0"/>
    <s v="Q1"/>
    <x v="2"/>
    <x v="1"/>
    <x v="2"/>
    <x v="1"/>
    <x v="0"/>
    <s v="Road"/>
    <x v="1"/>
    <n v="1.9"/>
    <n v="235"/>
    <n v="3"/>
    <n v="4"/>
    <n v="0"/>
    <n v="1"/>
    <n v="11.71"/>
    <n v="0"/>
    <n v="1"/>
  </r>
  <r>
    <s v="SHP-500492"/>
    <d v="2024-03-17T00:00:00"/>
    <x v="0"/>
    <s v="Q1"/>
    <x v="2"/>
    <x v="3"/>
    <x v="0"/>
    <x v="3"/>
    <x v="2"/>
    <s v="Road"/>
    <x v="1"/>
    <n v="6.8"/>
    <n v="540"/>
    <n v="2"/>
    <n v="2"/>
    <n v="1"/>
    <n v="0"/>
    <n v="33.78"/>
    <n v="0"/>
    <n v="1"/>
  </r>
  <r>
    <s v="SHP-500493"/>
    <d v="2024-03-17T00:00:00"/>
    <x v="0"/>
    <s v="Q1"/>
    <x v="2"/>
    <x v="3"/>
    <x v="2"/>
    <x v="0"/>
    <x v="1"/>
    <s v="Road"/>
    <x v="0"/>
    <n v="168.6"/>
    <n v="1094"/>
    <n v="6"/>
    <n v="6"/>
    <n v="1"/>
    <n v="0"/>
    <n v="73.27"/>
    <n v="0"/>
    <n v="1"/>
  </r>
  <r>
    <s v="SHP-500494"/>
    <d v="2024-03-17T00:00:00"/>
    <x v="0"/>
    <s v="Q1"/>
    <x v="2"/>
    <x v="0"/>
    <x v="1"/>
    <x v="4"/>
    <x v="2"/>
    <s v="Air"/>
    <x v="0"/>
    <n v="145.6"/>
    <n v="1243"/>
    <n v="3"/>
    <n v="3"/>
    <n v="1"/>
    <n v="0"/>
    <n v="237.65"/>
    <n v="0"/>
    <n v="1"/>
  </r>
  <r>
    <s v="SHP-500495"/>
    <d v="2024-03-18T00:00:00"/>
    <x v="0"/>
    <s v="Q1"/>
    <x v="2"/>
    <x v="1"/>
    <x v="1"/>
    <x v="3"/>
    <x v="1"/>
    <s v="Road"/>
    <x v="0"/>
    <n v="35.799999999999997"/>
    <n v="451"/>
    <n v="6"/>
    <n v="6"/>
    <n v="1"/>
    <n v="0"/>
    <n v="25.01"/>
    <n v="0"/>
    <n v="1"/>
  </r>
  <r>
    <s v="SHP-500496"/>
    <d v="2024-03-18T00:00:00"/>
    <x v="0"/>
    <s v="Q1"/>
    <x v="2"/>
    <x v="1"/>
    <x v="2"/>
    <x v="1"/>
    <x v="2"/>
    <s v="Road"/>
    <x v="1"/>
    <n v="8.1"/>
    <n v="320"/>
    <n v="1"/>
    <n v="1"/>
    <n v="1"/>
    <n v="0"/>
    <n v="31.54"/>
    <n v="0"/>
    <n v="1"/>
  </r>
  <r>
    <s v="SHP-500497"/>
    <d v="2024-03-18T00:00:00"/>
    <x v="0"/>
    <s v="Q1"/>
    <x v="2"/>
    <x v="2"/>
    <x v="2"/>
    <x v="1"/>
    <x v="0"/>
    <s v="Road"/>
    <x v="0"/>
    <n v="104.7"/>
    <n v="216"/>
    <n v="3"/>
    <n v="5"/>
    <n v="0"/>
    <n v="2"/>
    <n v="47.93"/>
    <n v="0"/>
    <n v="1"/>
  </r>
  <r>
    <s v="SHP-500498"/>
    <d v="2024-03-18T00:00:00"/>
    <x v="0"/>
    <s v="Q1"/>
    <x v="2"/>
    <x v="4"/>
    <x v="1"/>
    <x v="3"/>
    <x v="0"/>
    <s v="Road"/>
    <x v="0"/>
    <n v="82.9"/>
    <n v="467"/>
    <n v="4"/>
    <n v="3"/>
    <n v="1"/>
    <n v="0"/>
    <n v="49.08"/>
    <n v="0"/>
    <n v="1"/>
  </r>
  <r>
    <s v="SHP-500499"/>
    <d v="2024-03-18T00:00:00"/>
    <x v="0"/>
    <s v="Q1"/>
    <x v="2"/>
    <x v="1"/>
    <x v="0"/>
    <x v="0"/>
    <x v="0"/>
    <s v="Road"/>
    <x v="0"/>
    <n v="33.1"/>
    <n v="962"/>
    <n v="4"/>
    <n v="3"/>
    <n v="1"/>
    <n v="0"/>
    <n v="38.33"/>
    <n v="0"/>
    <n v="1"/>
  </r>
  <r>
    <s v="SHP-500500"/>
    <d v="2024-03-18T00:00:00"/>
    <x v="0"/>
    <s v="Q1"/>
    <x v="2"/>
    <x v="0"/>
    <x v="1"/>
    <x v="2"/>
    <x v="1"/>
    <s v="Road"/>
    <x v="1"/>
    <n v="1.5"/>
    <n v="1201"/>
    <n v="7"/>
    <n v="6"/>
    <n v="1"/>
    <n v="0"/>
    <n v="16.38"/>
    <n v="0"/>
    <n v="1"/>
  </r>
  <r>
    <s v="SHP-500501"/>
    <d v="2024-03-18T00:00:00"/>
    <x v="0"/>
    <s v="Q1"/>
    <x v="2"/>
    <x v="1"/>
    <x v="2"/>
    <x v="0"/>
    <x v="1"/>
    <s v="Road"/>
    <x v="0"/>
    <n v="121"/>
    <n v="887"/>
    <n v="6"/>
    <n v="6"/>
    <n v="1"/>
    <n v="0"/>
    <n v="52.47"/>
    <n v="0"/>
    <n v="1"/>
  </r>
  <r>
    <s v="SHP-500502"/>
    <d v="2024-03-18T00:00:00"/>
    <x v="0"/>
    <s v="Q1"/>
    <x v="2"/>
    <x v="4"/>
    <x v="1"/>
    <x v="0"/>
    <x v="0"/>
    <s v="Road"/>
    <x v="0"/>
    <n v="80.599999999999994"/>
    <n v="483"/>
    <n v="4"/>
    <n v="4"/>
    <n v="1"/>
    <n v="0"/>
    <n v="46.17"/>
    <n v="0"/>
    <n v="1"/>
  </r>
  <r>
    <s v="SHP-500503"/>
    <d v="2024-03-18T00:00:00"/>
    <x v="0"/>
    <s v="Q1"/>
    <x v="2"/>
    <x v="2"/>
    <x v="2"/>
    <x v="4"/>
    <x v="0"/>
    <s v="Road"/>
    <x v="1"/>
    <n v="8.3000000000000007"/>
    <n v="834"/>
    <n v="5"/>
    <n v="8"/>
    <n v="0"/>
    <n v="3"/>
    <n v="19.91"/>
    <n v="0"/>
    <n v="1"/>
  </r>
  <r>
    <s v="SHP-500504"/>
    <d v="2024-03-18T00:00:00"/>
    <x v="0"/>
    <s v="Q1"/>
    <x v="2"/>
    <x v="1"/>
    <x v="2"/>
    <x v="2"/>
    <x v="1"/>
    <s v="Road"/>
    <x v="0"/>
    <n v="6"/>
    <n v="1058"/>
    <n v="7"/>
    <n v="7"/>
    <n v="1"/>
    <n v="0"/>
    <n v="16.829999999999998"/>
    <n v="0"/>
    <n v="1"/>
  </r>
  <r>
    <s v="SHP-500505"/>
    <d v="2024-03-18T00:00:00"/>
    <x v="0"/>
    <s v="Q1"/>
    <x v="2"/>
    <x v="4"/>
    <x v="1"/>
    <x v="1"/>
    <x v="0"/>
    <s v="Road"/>
    <x v="0"/>
    <n v="74.8"/>
    <n v="286"/>
    <n v="3"/>
    <n v="2"/>
    <n v="1"/>
    <n v="0"/>
    <n v="43.13"/>
    <n v="0"/>
    <n v="1"/>
  </r>
  <r>
    <s v="SHP-500506"/>
    <d v="2024-03-19T00:00:00"/>
    <x v="0"/>
    <s v="Q1"/>
    <x v="2"/>
    <x v="0"/>
    <x v="0"/>
    <x v="4"/>
    <x v="0"/>
    <s v="Road"/>
    <x v="0"/>
    <n v="194.2"/>
    <n v="1046"/>
    <n v="5"/>
    <n v="5"/>
    <n v="1"/>
    <n v="0"/>
    <n v="92.22"/>
    <n v="0"/>
    <n v="1"/>
  </r>
  <r>
    <s v="SHP-500507"/>
    <d v="2024-03-19T00:00:00"/>
    <x v="0"/>
    <s v="Q1"/>
    <x v="2"/>
    <x v="4"/>
    <x v="1"/>
    <x v="0"/>
    <x v="1"/>
    <s v="Road"/>
    <x v="0"/>
    <n v="124.9"/>
    <n v="1042"/>
    <n v="6"/>
    <n v="6"/>
    <n v="1"/>
    <n v="0"/>
    <n v="53.99"/>
    <n v="0"/>
    <n v="1"/>
  </r>
  <r>
    <s v="SHP-500508"/>
    <d v="2024-03-19T00:00:00"/>
    <x v="0"/>
    <s v="Q1"/>
    <x v="2"/>
    <x v="4"/>
    <x v="1"/>
    <x v="3"/>
    <x v="2"/>
    <s v="Road"/>
    <x v="1"/>
    <n v="1.1000000000000001"/>
    <n v="542"/>
    <n v="2"/>
    <n v="2"/>
    <n v="1"/>
    <n v="0"/>
    <n v="25.15"/>
    <n v="0"/>
    <n v="1"/>
  </r>
  <r>
    <s v="SHP-500509"/>
    <d v="2024-03-19T00:00:00"/>
    <x v="0"/>
    <s v="Q1"/>
    <x v="2"/>
    <x v="3"/>
    <x v="2"/>
    <x v="4"/>
    <x v="0"/>
    <s v="Road"/>
    <x v="1"/>
    <n v="4.3"/>
    <n v="1145"/>
    <n v="5"/>
    <n v="4"/>
    <n v="1"/>
    <n v="0"/>
    <n v="28.18"/>
    <n v="0"/>
    <n v="1"/>
  </r>
  <r>
    <s v="SHP-500510"/>
    <d v="2024-03-19T00:00:00"/>
    <x v="0"/>
    <s v="Q1"/>
    <x v="2"/>
    <x v="4"/>
    <x v="0"/>
    <x v="1"/>
    <x v="0"/>
    <s v="Road"/>
    <x v="1"/>
    <n v="14.1"/>
    <n v="155"/>
    <n v="3"/>
    <n v="2"/>
    <n v="1"/>
    <n v="0"/>
    <n v="16.22"/>
    <n v="0"/>
    <n v="1"/>
  </r>
  <r>
    <s v="SHP-500511"/>
    <d v="2024-03-19T00:00:00"/>
    <x v="0"/>
    <s v="Q1"/>
    <x v="2"/>
    <x v="2"/>
    <x v="2"/>
    <x v="1"/>
    <x v="0"/>
    <s v="Road"/>
    <x v="1"/>
    <n v="5.2"/>
    <n v="326"/>
    <n v="3"/>
    <n v="3"/>
    <n v="1"/>
    <n v="0"/>
    <n v="11.93"/>
    <n v="0"/>
    <n v="1"/>
  </r>
  <r>
    <s v="SHP-500512"/>
    <d v="2024-03-19T00:00:00"/>
    <x v="0"/>
    <s v="Q1"/>
    <x v="2"/>
    <x v="3"/>
    <x v="2"/>
    <x v="0"/>
    <x v="1"/>
    <s v="Road"/>
    <x v="1"/>
    <n v="10.8"/>
    <n v="722"/>
    <n v="6"/>
    <n v="6"/>
    <n v="1"/>
    <n v="0"/>
    <n v="17.14"/>
    <n v="0"/>
    <n v="1"/>
  </r>
  <r>
    <s v="SHP-500513"/>
    <d v="2024-03-19T00:00:00"/>
    <x v="0"/>
    <s v="Q1"/>
    <x v="2"/>
    <x v="4"/>
    <x v="1"/>
    <x v="3"/>
    <x v="0"/>
    <s v="Road"/>
    <x v="1"/>
    <n v="4.9000000000000004"/>
    <n v="420"/>
    <n v="4"/>
    <n v="3"/>
    <n v="1"/>
    <n v="0"/>
    <n v="13.12"/>
    <n v="0"/>
    <n v="1"/>
  </r>
  <r>
    <s v="SHP-500514"/>
    <d v="2024-03-19T00:00:00"/>
    <x v="0"/>
    <s v="Q1"/>
    <x v="2"/>
    <x v="1"/>
    <x v="0"/>
    <x v="0"/>
    <x v="2"/>
    <s v="Air"/>
    <x v="0"/>
    <n v="42.7"/>
    <n v="860"/>
    <n v="2"/>
    <n v="2"/>
    <n v="1"/>
    <n v="0"/>
    <n v="117.76"/>
    <n v="1"/>
    <n v="1"/>
  </r>
  <r>
    <s v="SHP-500515"/>
    <d v="2024-03-19T00:00:00"/>
    <x v="0"/>
    <s v="Q1"/>
    <x v="2"/>
    <x v="2"/>
    <x v="2"/>
    <x v="3"/>
    <x v="0"/>
    <s v="Road"/>
    <x v="0"/>
    <n v="204.1"/>
    <n v="527"/>
    <n v="4"/>
    <n v="4"/>
    <n v="1"/>
    <n v="0"/>
    <n v="84.17"/>
    <n v="0"/>
    <n v="1"/>
  </r>
  <r>
    <s v="SHP-500516"/>
    <d v="2024-03-20T00:00:00"/>
    <x v="0"/>
    <s v="Q1"/>
    <x v="2"/>
    <x v="4"/>
    <x v="2"/>
    <x v="3"/>
    <x v="2"/>
    <s v="Road"/>
    <x v="0"/>
    <n v="124.3"/>
    <n v="376"/>
    <n v="2"/>
    <n v="1"/>
    <n v="1"/>
    <n v="0"/>
    <n v="114.26"/>
    <n v="0"/>
    <n v="1"/>
  </r>
  <r>
    <s v="SHP-500517"/>
    <d v="2024-03-20T00:00:00"/>
    <x v="0"/>
    <s v="Q1"/>
    <x v="2"/>
    <x v="3"/>
    <x v="1"/>
    <x v="0"/>
    <x v="0"/>
    <s v="Road"/>
    <x v="0"/>
    <n v="44"/>
    <n v="1032"/>
    <n v="4"/>
    <n v="4"/>
    <n v="1"/>
    <n v="0"/>
    <n v="47.23"/>
    <n v="0"/>
    <n v="1"/>
  </r>
  <r>
    <s v="SHP-500518"/>
    <d v="2024-03-21T00:00:00"/>
    <x v="0"/>
    <s v="Q1"/>
    <x v="2"/>
    <x v="3"/>
    <x v="0"/>
    <x v="2"/>
    <x v="0"/>
    <s v="Road"/>
    <x v="1"/>
    <n v="4.3"/>
    <n v="926"/>
    <n v="5"/>
    <n v="4"/>
    <n v="1"/>
    <n v="0"/>
    <n v="23.48"/>
    <n v="0"/>
    <n v="1"/>
  </r>
  <r>
    <s v="SHP-500519"/>
    <d v="2024-03-21T00:00:00"/>
    <x v="0"/>
    <s v="Q1"/>
    <x v="2"/>
    <x v="4"/>
    <x v="0"/>
    <x v="1"/>
    <x v="0"/>
    <s v="Road"/>
    <x v="1"/>
    <n v="2.2000000000000002"/>
    <n v="337"/>
    <n v="3"/>
    <n v="2"/>
    <n v="1"/>
    <n v="0"/>
    <n v="10.58"/>
    <n v="0"/>
    <n v="1"/>
  </r>
  <r>
    <s v="SHP-500520"/>
    <d v="2024-03-21T00:00:00"/>
    <x v="0"/>
    <s v="Q1"/>
    <x v="2"/>
    <x v="3"/>
    <x v="2"/>
    <x v="3"/>
    <x v="1"/>
    <s v="Road"/>
    <x v="1"/>
    <n v="2.2999999999999998"/>
    <n v="468"/>
    <n v="6"/>
    <n v="6"/>
    <n v="1"/>
    <n v="0"/>
    <n v="10.52"/>
    <n v="0"/>
    <n v="1"/>
  </r>
  <r>
    <s v="SHP-500521"/>
    <d v="2024-03-21T00:00:00"/>
    <x v="0"/>
    <s v="Q1"/>
    <x v="2"/>
    <x v="4"/>
    <x v="1"/>
    <x v="0"/>
    <x v="1"/>
    <s v="Road"/>
    <x v="1"/>
    <n v="9.1"/>
    <n v="715"/>
    <n v="6"/>
    <n v="7"/>
    <n v="0"/>
    <n v="1"/>
    <n v="14.63"/>
    <n v="0"/>
    <n v="1"/>
  </r>
  <r>
    <s v="SHP-500522"/>
    <d v="2024-03-21T00:00:00"/>
    <x v="0"/>
    <s v="Q1"/>
    <x v="2"/>
    <x v="4"/>
    <x v="1"/>
    <x v="0"/>
    <x v="2"/>
    <s v="Air"/>
    <x v="0"/>
    <n v="57.6"/>
    <n v="623"/>
    <n v="2"/>
    <n v="2"/>
    <n v="1"/>
    <n v="0"/>
    <n v="135.65"/>
    <n v="0"/>
    <n v="1"/>
  </r>
  <r>
    <s v="SHP-500523"/>
    <d v="2024-03-22T00:00:00"/>
    <x v="0"/>
    <s v="Q1"/>
    <x v="2"/>
    <x v="3"/>
    <x v="0"/>
    <x v="1"/>
    <x v="0"/>
    <s v="Road"/>
    <x v="1"/>
    <n v="3.3"/>
    <n v="208"/>
    <n v="3"/>
    <n v="5"/>
    <n v="0"/>
    <n v="2"/>
    <n v="12.63"/>
    <n v="0"/>
    <n v="1"/>
  </r>
  <r>
    <s v="SHP-500524"/>
    <d v="2024-03-22T00:00:00"/>
    <x v="0"/>
    <s v="Q1"/>
    <x v="2"/>
    <x v="2"/>
    <x v="2"/>
    <x v="0"/>
    <x v="0"/>
    <s v="Road"/>
    <x v="0"/>
    <n v="123.3"/>
    <n v="765"/>
    <n v="4"/>
    <n v="4"/>
    <n v="1"/>
    <n v="0"/>
    <n v="62.42"/>
    <n v="0"/>
    <n v="1"/>
  </r>
  <r>
    <s v="SHP-500525"/>
    <d v="2024-03-22T00:00:00"/>
    <x v="0"/>
    <s v="Q1"/>
    <x v="2"/>
    <x v="3"/>
    <x v="0"/>
    <x v="1"/>
    <x v="0"/>
    <s v="Road"/>
    <x v="0"/>
    <n v="133.30000000000001"/>
    <n v="220"/>
    <n v="3"/>
    <n v="3"/>
    <n v="1"/>
    <n v="0"/>
    <n v="67.64"/>
    <n v="0"/>
    <n v="1"/>
  </r>
  <r>
    <s v="SHP-500526"/>
    <d v="2024-03-22T00:00:00"/>
    <x v="0"/>
    <s v="Q1"/>
    <x v="2"/>
    <x v="3"/>
    <x v="0"/>
    <x v="4"/>
    <x v="0"/>
    <s v="Road"/>
    <x v="1"/>
    <n v="3.6"/>
    <n v="1164"/>
    <n v="5"/>
    <n v="4"/>
    <n v="1"/>
    <n v="0"/>
    <n v="24.8"/>
    <n v="0"/>
    <n v="1"/>
  </r>
  <r>
    <s v="SHP-500527"/>
    <d v="2024-03-22T00:00:00"/>
    <x v="0"/>
    <s v="Q1"/>
    <x v="2"/>
    <x v="0"/>
    <x v="2"/>
    <x v="4"/>
    <x v="0"/>
    <s v="Road"/>
    <x v="1"/>
    <n v="2.5"/>
    <n v="814"/>
    <n v="5"/>
    <n v="9"/>
    <n v="0"/>
    <n v="4"/>
    <n v="17.62"/>
    <n v="0"/>
    <n v="1"/>
  </r>
  <r>
    <s v="SHP-500528"/>
    <d v="2024-03-22T00:00:00"/>
    <x v="0"/>
    <s v="Q1"/>
    <x v="2"/>
    <x v="1"/>
    <x v="2"/>
    <x v="1"/>
    <x v="2"/>
    <s v="Road"/>
    <x v="0"/>
    <n v="53.9"/>
    <n v="266"/>
    <n v="1"/>
    <n v="1"/>
    <n v="1"/>
    <n v="0"/>
    <n v="69.989999999999995"/>
    <n v="0"/>
    <n v="1"/>
  </r>
  <r>
    <s v="SHP-500529"/>
    <d v="2024-03-22T00:00:00"/>
    <x v="0"/>
    <s v="Q1"/>
    <x v="2"/>
    <x v="3"/>
    <x v="0"/>
    <x v="1"/>
    <x v="0"/>
    <s v="Road"/>
    <x v="0"/>
    <n v="169.8"/>
    <n v="190"/>
    <n v="3"/>
    <n v="3"/>
    <n v="1"/>
    <n v="0"/>
    <n v="93.1"/>
    <n v="0"/>
    <n v="1"/>
  </r>
  <r>
    <s v="SHP-500530"/>
    <d v="2024-03-22T00:00:00"/>
    <x v="0"/>
    <s v="Q1"/>
    <x v="2"/>
    <x v="2"/>
    <x v="1"/>
    <x v="1"/>
    <x v="1"/>
    <s v="Road"/>
    <x v="1"/>
    <n v="3.9"/>
    <n v="290"/>
    <n v="5"/>
    <n v="8"/>
    <n v="0"/>
    <n v="3"/>
    <n v="7.33"/>
    <n v="0"/>
    <n v="1"/>
  </r>
  <r>
    <s v="SHP-500531"/>
    <d v="2024-03-23T00:00:00"/>
    <x v="0"/>
    <s v="Q1"/>
    <x v="2"/>
    <x v="0"/>
    <x v="0"/>
    <x v="1"/>
    <x v="1"/>
    <s v="Road"/>
    <x v="1"/>
    <n v="6.6"/>
    <n v="257"/>
    <n v="5"/>
    <n v="5"/>
    <n v="1"/>
    <n v="0"/>
    <n v="10.19"/>
    <n v="0"/>
    <n v="1"/>
  </r>
  <r>
    <s v="SHP-500532"/>
    <d v="2024-03-23T00:00:00"/>
    <x v="0"/>
    <s v="Q1"/>
    <x v="2"/>
    <x v="4"/>
    <x v="0"/>
    <x v="0"/>
    <x v="2"/>
    <s v="Air"/>
    <x v="0"/>
    <n v="56.4"/>
    <n v="916"/>
    <n v="2"/>
    <n v="2"/>
    <n v="1"/>
    <n v="0"/>
    <n v="141.03"/>
    <n v="1"/>
    <n v="1"/>
  </r>
  <r>
    <s v="SHP-500533"/>
    <d v="2024-03-23T00:00:00"/>
    <x v="0"/>
    <s v="Q1"/>
    <x v="2"/>
    <x v="3"/>
    <x v="0"/>
    <x v="1"/>
    <x v="0"/>
    <s v="Road"/>
    <x v="0"/>
    <n v="70.099999999999994"/>
    <n v="225"/>
    <n v="3"/>
    <n v="3"/>
    <n v="1"/>
    <n v="0"/>
    <n v="42.56"/>
    <n v="0"/>
    <n v="1"/>
  </r>
  <r>
    <s v="SHP-500534"/>
    <d v="2024-03-23T00:00:00"/>
    <x v="0"/>
    <s v="Q1"/>
    <x v="2"/>
    <x v="4"/>
    <x v="2"/>
    <x v="0"/>
    <x v="2"/>
    <s v="Air"/>
    <x v="0"/>
    <n v="95.1"/>
    <n v="776"/>
    <n v="2"/>
    <n v="2"/>
    <n v="1"/>
    <n v="0"/>
    <n v="176.02"/>
    <n v="0"/>
    <n v="1"/>
  </r>
  <r>
    <s v="SHP-500535"/>
    <d v="2024-03-23T00:00:00"/>
    <x v="0"/>
    <s v="Q1"/>
    <x v="2"/>
    <x v="4"/>
    <x v="2"/>
    <x v="3"/>
    <x v="2"/>
    <s v="Road"/>
    <x v="1"/>
    <n v="7.5"/>
    <n v="476"/>
    <n v="2"/>
    <n v="2"/>
    <n v="1"/>
    <n v="0"/>
    <n v="33.21"/>
    <n v="0"/>
    <n v="1"/>
  </r>
  <r>
    <s v="SHP-500536"/>
    <d v="2024-03-24T00:00:00"/>
    <x v="0"/>
    <s v="Q1"/>
    <x v="2"/>
    <x v="2"/>
    <x v="1"/>
    <x v="2"/>
    <x v="1"/>
    <s v="Road"/>
    <x v="1"/>
    <n v="4.7"/>
    <n v="967"/>
    <n v="7"/>
    <n v="7"/>
    <n v="1"/>
    <n v="0"/>
    <n v="12.84"/>
    <n v="0"/>
    <n v="1"/>
  </r>
  <r>
    <s v="SHP-500537"/>
    <d v="2024-03-24T00:00:00"/>
    <x v="0"/>
    <s v="Q1"/>
    <x v="2"/>
    <x v="0"/>
    <x v="2"/>
    <x v="1"/>
    <x v="0"/>
    <s v="Road"/>
    <x v="1"/>
    <n v="1.7"/>
    <n v="237"/>
    <n v="3"/>
    <n v="3"/>
    <n v="1"/>
    <n v="0"/>
    <n v="9.52"/>
    <n v="0"/>
    <n v="1"/>
  </r>
  <r>
    <s v="SHP-500538"/>
    <d v="2024-03-25T00:00:00"/>
    <x v="0"/>
    <s v="Q1"/>
    <x v="2"/>
    <x v="2"/>
    <x v="2"/>
    <x v="4"/>
    <x v="1"/>
    <s v="Road"/>
    <x v="1"/>
    <n v="1.3"/>
    <n v="1010"/>
    <n v="7"/>
    <n v="7"/>
    <n v="1"/>
    <n v="0"/>
    <n v="12.52"/>
    <n v="0"/>
    <n v="1"/>
  </r>
  <r>
    <s v="SHP-500539"/>
    <d v="2024-03-25T00:00:00"/>
    <x v="0"/>
    <s v="Q1"/>
    <x v="2"/>
    <x v="3"/>
    <x v="1"/>
    <x v="0"/>
    <x v="2"/>
    <s v="Air"/>
    <x v="1"/>
    <n v="17.2"/>
    <n v="905"/>
    <n v="2"/>
    <n v="2"/>
    <n v="1"/>
    <n v="0"/>
    <n v="95.95"/>
    <n v="0"/>
    <n v="1"/>
  </r>
  <r>
    <s v="SHP-500540"/>
    <d v="2024-03-25T00:00:00"/>
    <x v="0"/>
    <s v="Q1"/>
    <x v="2"/>
    <x v="3"/>
    <x v="1"/>
    <x v="2"/>
    <x v="1"/>
    <s v="Road"/>
    <x v="1"/>
    <n v="8.3000000000000007"/>
    <n v="1451"/>
    <n v="7"/>
    <n v="7"/>
    <n v="1"/>
    <n v="0"/>
    <n v="21.23"/>
    <n v="0"/>
    <n v="1"/>
  </r>
  <r>
    <s v="SHP-500541"/>
    <d v="2024-03-25T00:00:00"/>
    <x v="0"/>
    <s v="Q1"/>
    <x v="2"/>
    <x v="4"/>
    <x v="2"/>
    <x v="1"/>
    <x v="0"/>
    <s v="Road"/>
    <x v="1"/>
    <n v="3.1"/>
    <n v="278"/>
    <n v="3"/>
    <n v="2"/>
    <n v="1"/>
    <n v="0"/>
    <n v="12.22"/>
    <n v="0"/>
    <n v="1"/>
  </r>
  <r>
    <s v="SHP-500542"/>
    <d v="2024-03-25T00:00:00"/>
    <x v="0"/>
    <s v="Q1"/>
    <x v="2"/>
    <x v="4"/>
    <x v="1"/>
    <x v="3"/>
    <x v="0"/>
    <s v="Road"/>
    <x v="1"/>
    <n v="15.2"/>
    <n v="483"/>
    <n v="4"/>
    <n v="4"/>
    <n v="1"/>
    <n v="0"/>
    <n v="19.54"/>
    <n v="0"/>
    <n v="1"/>
  </r>
  <r>
    <s v="SHP-500543"/>
    <d v="2024-03-25T00:00:00"/>
    <x v="0"/>
    <s v="Q1"/>
    <x v="2"/>
    <x v="1"/>
    <x v="2"/>
    <x v="1"/>
    <x v="1"/>
    <s v="Road"/>
    <x v="0"/>
    <n v="161.1"/>
    <n v="233"/>
    <n v="5"/>
    <n v="4"/>
    <n v="1"/>
    <n v="0"/>
    <n v="56.41"/>
    <n v="0"/>
    <n v="1"/>
  </r>
  <r>
    <s v="SHP-500544"/>
    <d v="2024-03-25T00:00:00"/>
    <x v="0"/>
    <s v="Q1"/>
    <x v="2"/>
    <x v="4"/>
    <x v="1"/>
    <x v="1"/>
    <x v="1"/>
    <s v="Road"/>
    <x v="1"/>
    <n v="7.1"/>
    <n v="225"/>
    <n v="5"/>
    <n v="5"/>
    <n v="1"/>
    <n v="0"/>
    <n v="10.050000000000001"/>
    <n v="1"/>
    <n v="1"/>
  </r>
  <r>
    <s v="SHP-500545"/>
    <d v="2024-03-25T00:00:00"/>
    <x v="0"/>
    <s v="Q1"/>
    <x v="2"/>
    <x v="0"/>
    <x v="1"/>
    <x v="2"/>
    <x v="1"/>
    <s v="Road"/>
    <x v="1"/>
    <n v="8.9"/>
    <n v="1093"/>
    <n v="7"/>
    <n v="6"/>
    <n v="1"/>
    <n v="0"/>
    <n v="16.649999999999999"/>
    <n v="0"/>
    <n v="1"/>
  </r>
  <r>
    <s v="SHP-500546"/>
    <d v="2024-03-25T00:00:00"/>
    <x v="0"/>
    <s v="Q1"/>
    <x v="2"/>
    <x v="1"/>
    <x v="0"/>
    <x v="0"/>
    <x v="2"/>
    <s v="Air"/>
    <x v="0"/>
    <n v="66.599999999999994"/>
    <n v="837"/>
    <n v="2"/>
    <n v="1"/>
    <n v="1"/>
    <n v="0"/>
    <n v="155.26"/>
    <n v="0"/>
    <n v="1"/>
  </r>
  <r>
    <s v="SHP-500547"/>
    <d v="2024-03-25T00:00:00"/>
    <x v="0"/>
    <s v="Q1"/>
    <x v="2"/>
    <x v="4"/>
    <x v="0"/>
    <x v="4"/>
    <x v="0"/>
    <s v="Road"/>
    <x v="0"/>
    <n v="127.3"/>
    <n v="1013"/>
    <n v="5"/>
    <n v="5"/>
    <n v="1"/>
    <n v="0"/>
    <n v="77.42"/>
    <n v="0"/>
    <n v="1"/>
  </r>
  <r>
    <s v="SHP-500548"/>
    <d v="2024-03-25T00:00:00"/>
    <x v="0"/>
    <s v="Q1"/>
    <x v="2"/>
    <x v="4"/>
    <x v="2"/>
    <x v="0"/>
    <x v="0"/>
    <s v="Road"/>
    <x v="1"/>
    <n v="2.9"/>
    <n v="923"/>
    <n v="4"/>
    <n v="4"/>
    <n v="1"/>
    <n v="0"/>
    <n v="20.7"/>
    <n v="0"/>
    <n v="1"/>
  </r>
  <r>
    <s v="SHP-500549"/>
    <d v="2024-03-26T00:00:00"/>
    <x v="0"/>
    <s v="Q1"/>
    <x v="2"/>
    <x v="4"/>
    <x v="1"/>
    <x v="0"/>
    <x v="0"/>
    <s v="Road"/>
    <x v="1"/>
    <n v="11.8"/>
    <n v="794"/>
    <n v="4"/>
    <n v="4"/>
    <n v="1"/>
    <n v="0"/>
    <n v="20.89"/>
    <n v="0"/>
    <n v="1"/>
  </r>
  <r>
    <s v="SHP-500550"/>
    <d v="2024-03-26T00:00:00"/>
    <x v="0"/>
    <s v="Q1"/>
    <x v="2"/>
    <x v="2"/>
    <x v="1"/>
    <x v="1"/>
    <x v="2"/>
    <s v="Road"/>
    <x v="1"/>
    <n v="6.3"/>
    <n v="269"/>
    <n v="1"/>
    <n v="1"/>
    <n v="1"/>
    <n v="0"/>
    <n v="20.29"/>
    <n v="0"/>
    <n v="1"/>
  </r>
  <r>
    <s v="SHP-500551"/>
    <d v="2024-03-26T00:00:00"/>
    <x v="0"/>
    <s v="Q1"/>
    <x v="2"/>
    <x v="3"/>
    <x v="0"/>
    <x v="3"/>
    <x v="1"/>
    <s v="Road"/>
    <x v="0"/>
    <n v="44.3"/>
    <n v="589"/>
    <n v="6"/>
    <n v="6"/>
    <n v="1"/>
    <n v="0"/>
    <n v="29.78"/>
    <n v="0"/>
    <n v="1"/>
  </r>
  <r>
    <s v="SHP-500552"/>
    <d v="2024-03-26T00:00:00"/>
    <x v="0"/>
    <s v="Q1"/>
    <x v="2"/>
    <x v="3"/>
    <x v="1"/>
    <x v="0"/>
    <x v="2"/>
    <s v="Air"/>
    <x v="1"/>
    <n v="8.4"/>
    <n v="875"/>
    <n v="2"/>
    <n v="2"/>
    <n v="1"/>
    <n v="0"/>
    <n v="74.11"/>
    <n v="0"/>
    <n v="1"/>
  </r>
  <r>
    <s v="SHP-500553"/>
    <d v="2024-03-26T00:00:00"/>
    <x v="0"/>
    <s v="Q1"/>
    <x v="2"/>
    <x v="3"/>
    <x v="1"/>
    <x v="1"/>
    <x v="1"/>
    <s v="Road"/>
    <x v="1"/>
    <n v="7.6"/>
    <n v="219"/>
    <n v="5"/>
    <n v="5"/>
    <n v="1"/>
    <n v="0"/>
    <n v="10.81"/>
    <n v="0"/>
    <n v="1"/>
  </r>
  <r>
    <s v="SHP-500554"/>
    <d v="2024-03-26T00:00:00"/>
    <x v="0"/>
    <s v="Q1"/>
    <x v="2"/>
    <x v="3"/>
    <x v="2"/>
    <x v="3"/>
    <x v="2"/>
    <s v="Road"/>
    <x v="1"/>
    <n v="5"/>
    <n v="616"/>
    <n v="2"/>
    <n v="2"/>
    <n v="1"/>
    <n v="0"/>
    <n v="37.18"/>
    <n v="0"/>
    <n v="1"/>
  </r>
  <r>
    <s v="SHP-500555"/>
    <d v="2024-03-26T00:00:00"/>
    <x v="0"/>
    <s v="Q1"/>
    <x v="2"/>
    <x v="0"/>
    <x v="2"/>
    <x v="3"/>
    <x v="1"/>
    <s v="Road"/>
    <x v="0"/>
    <n v="52.8"/>
    <n v="561"/>
    <n v="6"/>
    <n v="6"/>
    <n v="1"/>
    <n v="0"/>
    <n v="26.19"/>
    <n v="0"/>
    <n v="1"/>
  </r>
  <r>
    <s v="SHP-500556"/>
    <d v="2024-03-26T00:00:00"/>
    <x v="0"/>
    <s v="Q1"/>
    <x v="2"/>
    <x v="0"/>
    <x v="1"/>
    <x v="0"/>
    <x v="2"/>
    <s v="Air"/>
    <x v="1"/>
    <n v="15.6"/>
    <n v="708"/>
    <n v="2"/>
    <n v="2"/>
    <n v="1"/>
    <n v="0"/>
    <n v="65.680000000000007"/>
    <n v="0"/>
    <n v="1"/>
  </r>
  <r>
    <s v="SHP-500557"/>
    <d v="2024-03-26T00:00:00"/>
    <x v="0"/>
    <s v="Q1"/>
    <x v="2"/>
    <x v="3"/>
    <x v="2"/>
    <x v="1"/>
    <x v="1"/>
    <s v="Road"/>
    <x v="1"/>
    <n v="2.1"/>
    <n v="235"/>
    <n v="5"/>
    <n v="5"/>
    <n v="1"/>
    <n v="0"/>
    <n v="8.24"/>
    <n v="0"/>
    <n v="1"/>
  </r>
  <r>
    <s v="SHP-500558"/>
    <d v="2024-03-26T00:00:00"/>
    <x v="0"/>
    <s v="Q1"/>
    <x v="2"/>
    <x v="0"/>
    <x v="0"/>
    <x v="3"/>
    <x v="2"/>
    <s v="Road"/>
    <x v="0"/>
    <n v="101.9"/>
    <n v="445"/>
    <n v="2"/>
    <n v="5"/>
    <n v="0"/>
    <n v="3"/>
    <n v="106.18"/>
    <n v="0"/>
    <n v="1"/>
  </r>
  <r>
    <s v="SHP-500559"/>
    <d v="2024-03-27T00:00:00"/>
    <x v="0"/>
    <s v="Q1"/>
    <x v="2"/>
    <x v="4"/>
    <x v="2"/>
    <x v="4"/>
    <x v="0"/>
    <s v="Road"/>
    <x v="0"/>
    <n v="8.5"/>
    <n v="1257"/>
    <n v="5"/>
    <n v="5"/>
    <n v="1"/>
    <n v="0"/>
    <n v="25.9"/>
    <n v="0"/>
    <n v="1"/>
  </r>
  <r>
    <s v="SHP-500560"/>
    <d v="2024-03-27T00:00:00"/>
    <x v="0"/>
    <s v="Q1"/>
    <x v="2"/>
    <x v="1"/>
    <x v="0"/>
    <x v="1"/>
    <x v="0"/>
    <s v="Road"/>
    <x v="1"/>
    <n v="13"/>
    <n v="311"/>
    <n v="3"/>
    <n v="2"/>
    <n v="1"/>
    <n v="0"/>
    <n v="19.329999999999998"/>
    <n v="0"/>
    <n v="1"/>
  </r>
  <r>
    <s v="SHP-500561"/>
    <d v="2024-03-27T00:00:00"/>
    <x v="0"/>
    <s v="Q1"/>
    <x v="2"/>
    <x v="0"/>
    <x v="1"/>
    <x v="3"/>
    <x v="2"/>
    <s v="Road"/>
    <x v="0"/>
    <n v="102.8"/>
    <n v="490"/>
    <n v="2"/>
    <n v="2"/>
    <n v="1"/>
    <n v="0"/>
    <n v="112"/>
    <n v="0"/>
    <n v="1"/>
  </r>
  <r>
    <s v="SHP-500562"/>
    <d v="2024-03-27T00:00:00"/>
    <x v="0"/>
    <s v="Q1"/>
    <x v="2"/>
    <x v="0"/>
    <x v="2"/>
    <x v="3"/>
    <x v="0"/>
    <s v="Road"/>
    <x v="0"/>
    <n v="292.3"/>
    <n v="404"/>
    <n v="4"/>
    <n v="4"/>
    <n v="1"/>
    <n v="0"/>
    <n v="125.96"/>
    <n v="0"/>
    <n v="1"/>
  </r>
  <r>
    <s v="SHP-500563"/>
    <d v="2024-03-27T00:00:00"/>
    <x v="0"/>
    <s v="Q1"/>
    <x v="2"/>
    <x v="3"/>
    <x v="1"/>
    <x v="0"/>
    <x v="0"/>
    <s v="Road"/>
    <x v="0"/>
    <n v="33.4"/>
    <n v="1079"/>
    <n v="4"/>
    <n v="4"/>
    <n v="1"/>
    <n v="0"/>
    <n v="39.11"/>
    <n v="0"/>
    <n v="1"/>
  </r>
  <r>
    <s v="SHP-500564"/>
    <d v="2024-03-27T00:00:00"/>
    <x v="0"/>
    <s v="Q1"/>
    <x v="2"/>
    <x v="4"/>
    <x v="2"/>
    <x v="1"/>
    <x v="1"/>
    <s v="Road"/>
    <x v="1"/>
    <n v="8.1999999999999993"/>
    <n v="246"/>
    <n v="5"/>
    <n v="5"/>
    <n v="1"/>
    <n v="0"/>
    <n v="10.33"/>
    <n v="0"/>
    <n v="1"/>
  </r>
  <r>
    <s v="SHP-500565"/>
    <d v="2024-03-27T00:00:00"/>
    <x v="0"/>
    <s v="Q1"/>
    <x v="2"/>
    <x v="1"/>
    <x v="0"/>
    <x v="1"/>
    <x v="0"/>
    <s v="Road"/>
    <x v="1"/>
    <n v="8.6999999999999993"/>
    <n v="220"/>
    <n v="3"/>
    <n v="3"/>
    <n v="1"/>
    <n v="0"/>
    <n v="16.32"/>
    <n v="0"/>
    <n v="1"/>
  </r>
  <r>
    <s v="SHP-500566"/>
    <d v="2024-03-27T00:00:00"/>
    <x v="0"/>
    <s v="Q1"/>
    <x v="2"/>
    <x v="1"/>
    <x v="2"/>
    <x v="1"/>
    <x v="2"/>
    <s v="Road"/>
    <x v="1"/>
    <n v="6.5"/>
    <n v="255"/>
    <n v="1"/>
    <n v="1"/>
    <n v="1"/>
    <n v="0"/>
    <n v="26.39"/>
    <n v="0"/>
    <n v="1"/>
  </r>
  <r>
    <s v="SHP-500567"/>
    <d v="2024-03-27T00:00:00"/>
    <x v="0"/>
    <s v="Q1"/>
    <x v="2"/>
    <x v="4"/>
    <x v="2"/>
    <x v="0"/>
    <x v="1"/>
    <s v="Road"/>
    <x v="0"/>
    <n v="183.2"/>
    <n v="892"/>
    <n v="6"/>
    <n v="5"/>
    <n v="1"/>
    <n v="0"/>
    <n v="65.010000000000005"/>
    <n v="0"/>
    <n v="1"/>
  </r>
  <r>
    <s v="SHP-500568"/>
    <d v="2024-03-27T00:00:00"/>
    <x v="0"/>
    <s v="Q1"/>
    <x v="2"/>
    <x v="3"/>
    <x v="1"/>
    <x v="3"/>
    <x v="0"/>
    <s v="Road"/>
    <x v="0"/>
    <n v="94"/>
    <n v="440"/>
    <n v="4"/>
    <n v="4"/>
    <n v="1"/>
    <n v="0"/>
    <n v="60.88"/>
    <n v="0"/>
    <n v="1"/>
  </r>
  <r>
    <s v="SHP-500569"/>
    <d v="2024-03-27T00:00:00"/>
    <x v="0"/>
    <s v="Q1"/>
    <x v="2"/>
    <x v="3"/>
    <x v="0"/>
    <x v="4"/>
    <x v="1"/>
    <s v="Road"/>
    <x v="0"/>
    <n v="68.900000000000006"/>
    <n v="863"/>
    <n v="7"/>
    <n v="7"/>
    <n v="1"/>
    <n v="0"/>
    <n v="39.07"/>
    <n v="0"/>
    <n v="1"/>
  </r>
  <r>
    <s v="SHP-500570"/>
    <d v="2024-03-27T00:00:00"/>
    <x v="0"/>
    <s v="Q1"/>
    <x v="2"/>
    <x v="1"/>
    <x v="1"/>
    <x v="0"/>
    <x v="0"/>
    <s v="Road"/>
    <x v="1"/>
    <n v="5.2"/>
    <n v="912"/>
    <n v="4"/>
    <n v="4"/>
    <n v="1"/>
    <n v="0"/>
    <n v="22.87"/>
    <n v="0"/>
    <n v="1"/>
  </r>
  <r>
    <s v="SHP-500571"/>
    <d v="2024-03-27T00:00:00"/>
    <x v="0"/>
    <s v="Q1"/>
    <x v="2"/>
    <x v="4"/>
    <x v="2"/>
    <x v="0"/>
    <x v="0"/>
    <s v="Road"/>
    <x v="0"/>
    <n v="93.9"/>
    <n v="923"/>
    <n v="4"/>
    <n v="4"/>
    <n v="1"/>
    <n v="0"/>
    <n v="60.12"/>
    <n v="0"/>
    <n v="1"/>
  </r>
  <r>
    <s v="SHP-500572"/>
    <d v="2024-03-27T00:00:00"/>
    <x v="0"/>
    <s v="Q1"/>
    <x v="2"/>
    <x v="4"/>
    <x v="2"/>
    <x v="1"/>
    <x v="0"/>
    <s v="Road"/>
    <x v="1"/>
    <n v="21.7"/>
    <n v="189"/>
    <n v="3"/>
    <n v="2"/>
    <n v="1"/>
    <n v="0"/>
    <n v="24.12"/>
    <n v="0"/>
    <n v="1"/>
  </r>
  <r>
    <s v="SHP-500573"/>
    <d v="2024-03-28T00:00:00"/>
    <x v="0"/>
    <s v="Q1"/>
    <x v="2"/>
    <x v="3"/>
    <x v="1"/>
    <x v="1"/>
    <x v="0"/>
    <s v="Road"/>
    <x v="0"/>
    <n v="29.4"/>
    <n v="318"/>
    <n v="3"/>
    <n v="2"/>
    <n v="1"/>
    <n v="0"/>
    <n v="28.65"/>
    <n v="0"/>
    <n v="1"/>
  </r>
  <r>
    <s v="SHP-500574"/>
    <d v="2024-03-28T00:00:00"/>
    <x v="0"/>
    <s v="Q1"/>
    <x v="2"/>
    <x v="0"/>
    <x v="2"/>
    <x v="0"/>
    <x v="0"/>
    <s v="Road"/>
    <x v="1"/>
    <n v="3.1"/>
    <n v="1030"/>
    <n v="4"/>
    <n v="3"/>
    <n v="1"/>
    <n v="0"/>
    <n v="21.08"/>
    <n v="0"/>
    <n v="1"/>
  </r>
  <r>
    <s v="SHP-500575"/>
    <d v="2024-03-28T00:00:00"/>
    <x v="0"/>
    <s v="Q1"/>
    <x v="2"/>
    <x v="2"/>
    <x v="0"/>
    <x v="3"/>
    <x v="1"/>
    <s v="Road"/>
    <x v="0"/>
    <n v="122.2"/>
    <n v="474"/>
    <n v="6"/>
    <n v="6"/>
    <n v="1"/>
    <n v="0"/>
    <n v="42.35"/>
    <n v="0"/>
    <n v="1"/>
  </r>
  <r>
    <s v="SHP-500576"/>
    <d v="2024-03-28T00:00:00"/>
    <x v="0"/>
    <s v="Q1"/>
    <x v="2"/>
    <x v="2"/>
    <x v="2"/>
    <x v="0"/>
    <x v="1"/>
    <s v="Road"/>
    <x v="1"/>
    <n v="11.4"/>
    <n v="905"/>
    <n v="6"/>
    <n v="7"/>
    <n v="0"/>
    <n v="1"/>
    <n v="15.19"/>
    <n v="0"/>
    <n v="1"/>
  </r>
  <r>
    <s v="SHP-500577"/>
    <d v="2024-03-28T00:00:00"/>
    <x v="0"/>
    <s v="Q1"/>
    <x v="2"/>
    <x v="3"/>
    <x v="1"/>
    <x v="4"/>
    <x v="2"/>
    <s v="Air"/>
    <x v="1"/>
    <n v="5.9"/>
    <n v="1114"/>
    <n v="3"/>
    <n v="3"/>
    <n v="1"/>
    <n v="0"/>
    <n v="75.66"/>
    <n v="0"/>
    <n v="1"/>
  </r>
  <r>
    <s v="SHP-500578"/>
    <d v="2024-03-28T00:00:00"/>
    <x v="0"/>
    <s v="Q1"/>
    <x v="2"/>
    <x v="1"/>
    <x v="2"/>
    <x v="2"/>
    <x v="1"/>
    <s v="Road"/>
    <x v="0"/>
    <n v="12.7"/>
    <n v="1015"/>
    <n v="7"/>
    <n v="7"/>
    <n v="1"/>
    <n v="0"/>
    <n v="19.46"/>
    <n v="0"/>
    <n v="1"/>
  </r>
  <r>
    <s v="SHP-500579"/>
    <d v="2024-03-28T00:00:00"/>
    <x v="0"/>
    <s v="Q1"/>
    <x v="2"/>
    <x v="2"/>
    <x v="1"/>
    <x v="1"/>
    <x v="2"/>
    <s v="Road"/>
    <x v="0"/>
    <n v="116.2"/>
    <n v="239"/>
    <n v="1"/>
    <n v="1"/>
    <n v="1"/>
    <n v="0"/>
    <n v="91.35"/>
    <n v="0"/>
    <n v="1"/>
  </r>
  <r>
    <s v="SHP-500580"/>
    <d v="2024-03-28T00:00:00"/>
    <x v="0"/>
    <s v="Q1"/>
    <x v="2"/>
    <x v="1"/>
    <x v="1"/>
    <x v="1"/>
    <x v="2"/>
    <s v="Road"/>
    <x v="0"/>
    <n v="183.1"/>
    <n v="252"/>
    <n v="1"/>
    <n v="1"/>
    <n v="1"/>
    <n v="0"/>
    <n v="184.72"/>
    <n v="0"/>
    <n v="1"/>
  </r>
  <r>
    <s v="SHP-500581"/>
    <d v="2024-03-28T00:00:00"/>
    <x v="0"/>
    <s v="Q1"/>
    <x v="2"/>
    <x v="2"/>
    <x v="0"/>
    <x v="1"/>
    <x v="0"/>
    <s v="Road"/>
    <x v="1"/>
    <n v="1.3"/>
    <n v="185"/>
    <n v="3"/>
    <n v="4"/>
    <n v="0"/>
    <n v="1"/>
    <n v="7.93"/>
    <n v="0"/>
    <n v="1"/>
  </r>
  <r>
    <s v="SHP-500582"/>
    <d v="2024-03-28T00:00:00"/>
    <x v="0"/>
    <s v="Q1"/>
    <x v="2"/>
    <x v="1"/>
    <x v="2"/>
    <x v="2"/>
    <x v="1"/>
    <s v="Road"/>
    <x v="1"/>
    <n v="4.2"/>
    <n v="1020"/>
    <n v="7"/>
    <n v="8"/>
    <n v="0"/>
    <n v="1"/>
    <n v="17.760000000000002"/>
    <n v="0"/>
    <n v="1"/>
  </r>
  <r>
    <s v="SHP-500583"/>
    <d v="2024-03-28T00:00:00"/>
    <x v="0"/>
    <s v="Q1"/>
    <x v="2"/>
    <x v="2"/>
    <x v="0"/>
    <x v="4"/>
    <x v="0"/>
    <s v="Road"/>
    <x v="1"/>
    <n v="5.4"/>
    <n v="1077"/>
    <n v="5"/>
    <n v="6"/>
    <n v="0"/>
    <n v="1"/>
    <n v="17.07"/>
    <n v="0"/>
    <n v="1"/>
  </r>
  <r>
    <s v="SHP-500584"/>
    <d v="2024-03-28T00:00:00"/>
    <x v="0"/>
    <s v="Q1"/>
    <x v="2"/>
    <x v="3"/>
    <x v="1"/>
    <x v="4"/>
    <x v="2"/>
    <s v="Air"/>
    <x v="0"/>
    <n v="136.9"/>
    <n v="1324"/>
    <n v="3"/>
    <n v="3"/>
    <n v="1"/>
    <n v="0"/>
    <n v="246.21"/>
    <n v="0"/>
    <n v="1"/>
  </r>
  <r>
    <s v="SHP-500585"/>
    <d v="2024-03-29T00:00:00"/>
    <x v="0"/>
    <s v="Q1"/>
    <x v="2"/>
    <x v="3"/>
    <x v="1"/>
    <x v="3"/>
    <x v="0"/>
    <s v="Road"/>
    <x v="1"/>
    <n v="17.399999999999999"/>
    <n v="502"/>
    <n v="4"/>
    <n v="4"/>
    <n v="1"/>
    <n v="0"/>
    <n v="24.81"/>
    <n v="0"/>
    <n v="1"/>
  </r>
  <r>
    <s v="SHP-500586"/>
    <d v="2024-03-29T00:00:00"/>
    <x v="0"/>
    <s v="Q1"/>
    <x v="2"/>
    <x v="0"/>
    <x v="1"/>
    <x v="1"/>
    <x v="0"/>
    <s v="Road"/>
    <x v="0"/>
    <n v="83.2"/>
    <n v="312"/>
    <n v="3"/>
    <n v="2"/>
    <n v="1"/>
    <n v="0"/>
    <n v="45.74"/>
    <n v="0"/>
    <n v="1"/>
  </r>
  <r>
    <s v="SHP-500587"/>
    <d v="2024-03-29T00:00:00"/>
    <x v="0"/>
    <s v="Q1"/>
    <x v="2"/>
    <x v="0"/>
    <x v="1"/>
    <x v="1"/>
    <x v="1"/>
    <s v="Road"/>
    <x v="1"/>
    <n v="2.1"/>
    <n v="282"/>
    <n v="5"/>
    <n v="5"/>
    <n v="1"/>
    <n v="0"/>
    <n v="8.02"/>
    <n v="0"/>
    <n v="1"/>
  </r>
  <r>
    <s v="SHP-500588"/>
    <d v="2024-03-29T00:00:00"/>
    <x v="0"/>
    <s v="Q1"/>
    <x v="2"/>
    <x v="3"/>
    <x v="0"/>
    <x v="4"/>
    <x v="0"/>
    <s v="Road"/>
    <x v="1"/>
    <n v="1"/>
    <n v="1173"/>
    <n v="5"/>
    <n v="4"/>
    <n v="1"/>
    <n v="0"/>
    <n v="23.76"/>
    <n v="0"/>
    <n v="1"/>
  </r>
  <r>
    <s v="SHP-500589"/>
    <d v="2024-03-29T00:00:00"/>
    <x v="0"/>
    <s v="Q1"/>
    <x v="2"/>
    <x v="3"/>
    <x v="2"/>
    <x v="0"/>
    <x v="1"/>
    <s v="Road"/>
    <x v="0"/>
    <n v="119.8"/>
    <n v="864"/>
    <n v="6"/>
    <n v="5"/>
    <n v="1"/>
    <n v="0"/>
    <n v="57.31"/>
    <n v="0"/>
    <n v="1"/>
  </r>
  <r>
    <s v="SHP-500590"/>
    <d v="2024-03-29T00:00:00"/>
    <x v="0"/>
    <s v="Q1"/>
    <x v="2"/>
    <x v="2"/>
    <x v="0"/>
    <x v="1"/>
    <x v="0"/>
    <s v="Road"/>
    <x v="1"/>
    <n v="8.6"/>
    <n v="306"/>
    <n v="3"/>
    <n v="2"/>
    <n v="1"/>
    <n v="0"/>
    <n v="13.24"/>
    <n v="0"/>
    <n v="1"/>
  </r>
  <r>
    <s v="SHP-500591"/>
    <d v="2024-03-29T00:00:00"/>
    <x v="0"/>
    <s v="Q1"/>
    <x v="2"/>
    <x v="2"/>
    <x v="0"/>
    <x v="4"/>
    <x v="1"/>
    <s v="Road"/>
    <x v="0"/>
    <n v="56.4"/>
    <n v="1011"/>
    <n v="7"/>
    <n v="7"/>
    <n v="1"/>
    <n v="0"/>
    <n v="27.2"/>
    <n v="0"/>
    <n v="1"/>
  </r>
  <r>
    <s v="SHP-500592"/>
    <d v="2024-03-29T00:00:00"/>
    <x v="0"/>
    <s v="Q1"/>
    <x v="2"/>
    <x v="2"/>
    <x v="2"/>
    <x v="1"/>
    <x v="0"/>
    <s v="Road"/>
    <x v="1"/>
    <n v="5.5"/>
    <n v="200"/>
    <n v="3"/>
    <n v="3"/>
    <n v="1"/>
    <n v="0"/>
    <n v="10.8"/>
    <n v="0"/>
    <n v="1"/>
  </r>
  <r>
    <s v="SHP-500593"/>
    <d v="2024-03-29T00:00:00"/>
    <x v="0"/>
    <s v="Q1"/>
    <x v="2"/>
    <x v="1"/>
    <x v="1"/>
    <x v="1"/>
    <x v="0"/>
    <s v="Road"/>
    <x v="1"/>
    <n v="4.5999999999999996"/>
    <n v="296"/>
    <n v="3"/>
    <n v="3"/>
    <n v="1"/>
    <n v="0"/>
    <n v="13.09"/>
    <n v="0"/>
    <n v="1"/>
  </r>
  <r>
    <s v="SHP-500594"/>
    <d v="2024-03-29T00:00:00"/>
    <x v="0"/>
    <s v="Q1"/>
    <x v="2"/>
    <x v="1"/>
    <x v="2"/>
    <x v="1"/>
    <x v="1"/>
    <s v="Road"/>
    <x v="1"/>
    <n v="9.9"/>
    <n v="258"/>
    <n v="5"/>
    <n v="5"/>
    <n v="1"/>
    <n v="0"/>
    <n v="11.22"/>
    <n v="0"/>
    <n v="1"/>
  </r>
  <r>
    <s v="SHP-500595"/>
    <d v="2024-03-29T00:00:00"/>
    <x v="0"/>
    <s v="Q1"/>
    <x v="2"/>
    <x v="3"/>
    <x v="1"/>
    <x v="1"/>
    <x v="0"/>
    <s v="Road"/>
    <x v="1"/>
    <n v="6.7"/>
    <n v="366"/>
    <n v="3"/>
    <n v="3"/>
    <n v="1"/>
    <n v="0"/>
    <n v="16.47"/>
    <n v="0"/>
    <n v="1"/>
  </r>
  <r>
    <s v="SHP-500596"/>
    <d v="2024-03-30T00:00:00"/>
    <x v="0"/>
    <s v="Q1"/>
    <x v="2"/>
    <x v="4"/>
    <x v="2"/>
    <x v="3"/>
    <x v="0"/>
    <s v="Road"/>
    <x v="1"/>
    <n v="12.5"/>
    <n v="410"/>
    <n v="4"/>
    <n v="4"/>
    <n v="1"/>
    <n v="0"/>
    <n v="18.59"/>
    <n v="0"/>
    <n v="1"/>
  </r>
  <r>
    <s v="SHP-500597"/>
    <d v="2024-03-30T00:00:00"/>
    <x v="0"/>
    <s v="Q1"/>
    <x v="2"/>
    <x v="2"/>
    <x v="1"/>
    <x v="1"/>
    <x v="0"/>
    <s v="Road"/>
    <x v="0"/>
    <n v="231.3"/>
    <n v="294"/>
    <n v="3"/>
    <n v="6"/>
    <n v="0"/>
    <n v="3"/>
    <n v="83.38"/>
    <n v="0"/>
    <n v="1"/>
  </r>
  <r>
    <s v="SHP-500598"/>
    <d v="2024-03-30T00:00:00"/>
    <x v="0"/>
    <s v="Q1"/>
    <x v="2"/>
    <x v="1"/>
    <x v="0"/>
    <x v="3"/>
    <x v="1"/>
    <s v="Road"/>
    <x v="0"/>
    <n v="263.8"/>
    <n v="523"/>
    <n v="6"/>
    <n v="6"/>
    <n v="1"/>
    <n v="0"/>
    <n v="92.68"/>
    <n v="0"/>
    <n v="1"/>
  </r>
  <r>
    <s v="SHP-500599"/>
    <d v="2024-03-30T00:00:00"/>
    <x v="0"/>
    <s v="Q1"/>
    <x v="2"/>
    <x v="2"/>
    <x v="1"/>
    <x v="0"/>
    <x v="0"/>
    <s v="Road"/>
    <x v="1"/>
    <n v="8"/>
    <n v="1095"/>
    <n v="4"/>
    <n v="5"/>
    <n v="0"/>
    <n v="1"/>
    <n v="19.57"/>
    <n v="0"/>
    <n v="1"/>
  </r>
  <r>
    <s v="SHP-500600"/>
    <d v="2024-03-31T00:00:00"/>
    <x v="0"/>
    <s v="Q1"/>
    <x v="2"/>
    <x v="2"/>
    <x v="0"/>
    <x v="4"/>
    <x v="2"/>
    <s v="Air"/>
    <x v="0"/>
    <n v="43.4"/>
    <n v="1353"/>
    <n v="3"/>
    <n v="3"/>
    <n v="1"/>
    <n v="0"/>
    <n v="122.74"/>
    <n v="0"/>
    <n v="1"/>
  </r>
  <r>
    <s v="SHP-500601"/>
    <d v="2024-03-31T00:00:00"/>
    <x v="0"/>
    <s v="Q1"/>
    <x v="2"/>
    <x v="0"/>
    <x v="2"/>
    <x v="3"/>
    <x v="0"/>
    <s v="Road"/>
    <x v="1"/>
    <n v="5.9"/>
    <n v="419"/>
    <n v="4"/>
    <n v="4"/>
    <n v="1"/>
    <n v="0"/>
    <n v="15.24"/>
    <n v="0"/>
    <n v="1"/>
  </r>
  <r>
    <s v="SHP-500602"/>
    <d v="2024-03-31T00:00:00"/>
    <x v="0"/>
    <s v="Q1"/>
    <x v="2"/>
    <x v="3"/>
    <x v="0"/>
    <x v="4"/>
    <x v="1"/>
    <s v="Road"/>
    <x v="0"/>
    <n v="22"/>
    <n v="841"/>
    <n v="7"/>
    <n v="8"/>
    <n v="0"/>
    <n v="1"/>
    <n v="21.01"/>
    <n v="0"/>
    <n v="1"/>
  </r>
  <r>
    <s v="SHP-500603"/>
    <d v="2024-03-31T00:00:00"/>
    <x v="0"/>
    <s v="Q1"/>
    <x v="2"/>
    <x v="4"/>
    <x v="1"/>
    <x v="1"/>
    <x v="0"/>
    <s v="Road"/>
    <x v="1"/>
    <n v="6.1"/>
    <n v="189"/>
    <n v="3"/>
    <n v="3"/>
    <n v="1"/>
    <n v="0"/>
    <n v="13.01"/>
    <n v="0"/>
    <n v="1"/>
  </r>
  <r>
    <s v="SHP-500604"/>
    <d v="2024-03-31T00:00:00"/>
    <x v="0"/>
    <s v="Q1"/>
    <x v="2"/>
    <x v="1"/>
    <x v="2"/>
    <x v="4"/>
    <x v="0"/>
    <s v="Road"/>
    <x v="0"/>
    <n v="86.8"/>
    <n v="1155"/>
    <n v="5"/>
    <n v="4"/>
    <n v="1"/>
    <n v="0"/>
    <n v="73.150000000000006"/>
    <n v="0"/>
    <n v="1"/>
  </r>
  <r>
    <s v="SHP-500605"/>
    <d v="2024-04-01T00:00:00"/>
    <x v="0"/>
    <s v="Q2"/>
    <x v="3"/>
    <x v="2"/>
    <x v="2"/>
    <x v="4"/>
    <x v="2"/>
    <s v="Air"/>
    <x v="0"/>
    <n v="77.2"/>
    <n v="954"/>
    <n v="3"/>
    <n v="2"/>
    <n v="1"/>
    <n v="0"/>
    <n v="145.34"/>
    <n v="0"/>
    <n v="1"/>
  </r>
  <r>
    <s v="SHP-500606"/>
    <d v="2024-04-01T00:00:00"/>
    <x v="0"/>
    <s v="Q2"/>
    <x v="3"/>
    <x v="0"/>
    <x v="2"/>
    <x v="0"/>
    <x v="0"/>
    <s v="Road"/>
    <x v="1"/>
    <n v="3.7"/>
    <n v="1043"/>
    <n v="4"/>
    <n v="4"/>
    <n v="1"/>
    <n v="0"/>
    <n v="19.32"/>
    <n v="0"/>
    <n v="1"/>
  </r>
  <r>
    <s v="SHP-500607"/>
    <d v="2024-04-01T00:00:00"/>
    <x v="0"/>
    <s v="Q2"/>
    <x v="3"/>
    <x v="2"/>
    <x v="2"/>
    <x v="1"/>
    <x v="1"/>
    <s v="Road"/>
    <x v="1"/>
    <n v="4.8"/>
    <n v="290"/>
    <n v="5"/>
    <n v="5"/>
    <n v="1"/>
    <n v="0"/>
    <n v="7.62"/>
    <n v="0"/>
    <n v="1"/>
  </r>
  <r>
    <s v="SHP-500608"/>
    <d v="2024-04-01T00:00:00"/>
    <x v="0"/>
    <s v="Q2"/>
    <x v="3"/>
    <x v="0"/>
    <x v="2"/>
    <x v="1"/>
    <x v="0"/>
    <s v="Road"/>
    <x v="0"/>
    <n v="18.100000000000001"/>
    <n v="259"/>
    <n v="3"/>
    <n v="3"/>
    <n v="1"/>
    <n v="0"/>
    <n v="18.63"/>
    <n v="0"/>
    <n v="1"/>
  </r>
  <r>
    <s v="SHP-500609"/>
    <d v="2024-04-02T00:00:00"/>
    <x v="0"/>
    <s v="Q2"/>
    <x v="3"/>
    <x v="1"/>
    <x v="2"/>
    <x v="3"/>
    <x v="0"/>
    <s v="Road"/>
    <x v="1"/>
    <n v="1.9"/>
    <n v="617"/>
    <n v="4"/>
    <n v="4"/>
    <n v="1"/>
    <n v="0"/>
    <n v="13.58"/>
    <n v="0"/>
    <n v="1"/>
  </r>
  <r>
    <s v="SHP-500610"/>
    <d v="2024-04-02T00:00:00"/>
    <x v="0"/>
    <s v="Q2"/>
    <x v="3"/>
    <x v="4"/>
    <x v="1"/>
    <x v="0"/>
    <x v="2"/>
    <s v="Air"/>
    <x v="0"/>
    <n v="467.9"/>
    <n v="1092"/>
    <n v="2"/>
    <n v="1"/>
    <n v="1"/>
    <n v="0"/>
    <n v="619.15"/>
    <n v="0"/>
    <n v="1"/>
  </r>
  <r>
    <s v="SHP-500611"/>
    <d v="2024-04-02T00:00:00"/>
    <x v="0"/>
    <s v="Q2"/>
    <x v="3"/>
    <x v="4"/>
    <x v="1"/>
    <x v="1"/>
    <x v="1"/>
    <s v="Road"/>
    <x v="1"/>
    <n v="12.5"/>
    <n v="284"/>
    <n v="5"/>
    <n v="5"/>
    <n v="1"/>
    <n v="0"/>
    <n v="12.67"/>
    <n v="0"/>
    <n v="1"/>
  </r>
  <r>
    <s v="SHP-500612"/>
    <d v="2024-04-02T00:00:00"/>
    <x v="0"/>
    <s v="Q2"/>
    <x v="3"/>
    <x v="3"/>
    <x v="2"/>
    <x v="3"/>
    <x v="0"/>
    <s v="Road"/>
    <x v="0"/>
    <n v="225.7"/>
    <n v="535"/>
    <n v="4"/>
    <n v="4"/>
    <n v="1"/>
    <n v="0"/>
    <n v="123.1"/>
    <n v="0"/>
    <n v="1"/>
  </r>
  <r>
    <s v="SHP-500613"/>
    <d v="2024-04-02T00:00:00"/>
    <x v="0"/>
    <s v="Q2"/>
    <x v="3"/>
    <x v="1"/>
    <x v="1"/>
    <x v="2"/>
    <x v="2"/>
    <s v="Air"/>
    <x v="0"/>
    <n v="48.9"/>
    <n v="996"/>
    <n v="3"/>
    <n v="3"/>
    <n v="1"/>
    <n v="0"/>
    <n v="130.57"/>
    <n v="0"/>
    <n v="1"/>
  </r>
  <r>
    <s v="SHP-500614"/>
    <d v="2024-04-02T00:00:00"/>
    <x v="0"/>
    <s v="Q2"/>
    <x v="3"/>
    <x v="0"/>
    <x v="2"/>
    <x v="0"/>
    <x v="1"/>
    <s v="Road"/>
    <x v="1"/>
    <n v="7.6"/>
    <n v="798"/>
    <n v="6"/>
    <n v="6"/>
    <n v="1"/>
    <n v="0"/>
    <n v="13.39"/>
    <n v="0"/>
    <n v="1"/>
  </r>
  <r>
    <s v="SHP-500615"/>
    <d v="2024-04-02T00:00:00"/>
    <x v="0"/>
    <s v="Q2"/>
    <x v="3"/>
    <x v="0"/>
    <x v="2"/>
    <x v="1"/>
    <x v="2"/>
    <s v="Road"/>
    <x v="0"/>
    <n v="111.8"/>
    <n v="266"/>
    <n v="1"/>
    <n v="1"/>
    <n v="1"/>
    <n v="0"/>
    <n v="104.79"/>
    <n v="0"/>
    <n v="1"/>
  </r>
  <r>
    <s v="SHP-500616"/>
    <d v="2024-04-02T00:00:00"/>
    <x v="0"/>
    <s v="Q2"/>
    <x v="3"/>
    <x v="2"/>
    <x v="2"/>
    <x v="2"/>
    <x v="1"/>
    <s v="Road"/>
    <x v="1"/>
    <n v="1.9"/>
    <n v="1231"/>
    <n v="7"/>
    <n v="7"/>
    <n v="1"/>
    <n v="0"/>
    <n v="13.4"/>
    <n v="0"/>
    <n v="1"/>
  </r>
  <r>
    <s v="SHP-500617"/>
    <d v="2024-04-02T00:00:00"/>
    <x v="0"/>
    <s v="Q2"/>
    <x v="3"/>
    <x v="3"/>
    <x v="2"/>
    <x v="1"/>
    <x v="0"/>
    <s v="Road"/>
    <x v="1"/>
    <n v="18.7"/>
    <n v="191"/>
    <n v="3"/>
    <n v="3"/>
    <n v="1"/>
    <n v="0"/>
    <n v="20.91"/>
    <n v="0"/>
    <n v="1"/>
  </r>
  <r>
    <s v="SHP-500618"/>
    <d v="2024-04-03T00:00:00"/>
    <x v="0"/>
    <s v="Q2"/>
    <x v="3"/>
    <x v="3"/>
    <x v="1"/>
    <x v="0"/>
    <x v="0"/>
    <s v="Road"/>
    <x v="0"/>
    <n v="182.9"/>
    <n v="1028"/>
    <n v="4"/>
    <n v="3"/>
    <n v="1"/>
    <n v="0"/>
    <n v="100.61"/>
    <n v="0"/>
    <n v="1"/>
  </r>
  <r>
    <s v="SHP-500619"/>
    <d v="2024-04-03T00:00:00"/>
    <x v="0"/>
    <s v="Q2"/>
    <x v="3"/>
    <x v="4"/>
    <x v="2"/>
    <x v="3"/>
    <x v="0"/>
    <s v="Road"/>
    <x v="0"/>
    <n v="161.9"/>
    <n v="379"/>
    <n v="4"/>
    <n v="4"/>
    <n v="1"/>
    <n v="0"/>
    <n v="84.59"/>
    <n v="0"/>
    <n v="1"/>
  </r>
  <r>
    <s v="SHP-500620"/>
    <d v="2024-04-03T00:00:00"/>
    <x v="0"/>
    <s v="Q2"/>
    <x v="3"/>
    <x v="3"/>
    <x v="2"/>
    <x v="1"/>
    <x v="1"/>
    <s v="Road"/>
    <x v="0"/>
    <n v="59.1"/>
    <n v="292"/>
    <n v="5"/>
    <n v="5"/>
    <n v="1"/>
    <n v="0"/>
    <n v="30.75"/>
    <n v="0"/>
    <n v="1"/>
  </r>
  <r>
    <s v="SHP-500621"/>
    <d v="2024-04-03T00:00:00"/>
    <x v="0"/>
    <s v="Q2"/>
    <x v="3"/>
    <x v="4"/>
    <x v="1"/>
    <x v="0"/>
    <x v="1"/>
    <s v="Road"/>
    <x v="0"/>
    <n v="78.7"/>
    <n v="1060"/>
    <n v="6"/>
    <n v="6"/>
    <n v="1"/>
    <n v="0"/>
    <n v="40.99"/>
    <n v="0"/>
    <n v="1"/>
  </r>
  <r>
    <s v="SHP-500622"/>
    <d v="2024-04-03T00:00:00"/>
    <x v="0"/>
    <s v="Q2"/>
    <x v="3"/>
    <x v="3"/>
    <x v="2"/>
    <x v="1"/>
    <x v="2"/>
    <s v="Road"/>
    <x v="1"/>
    <n v="6.1"/>
    <n v="180"/>
    <n v="1"/>
    <n v="1"/>
    <n v="1"/>
    <n v="0"/>
    <n v="26.29"/>
    <n v="0"/>
    <n v="1"/>
  </r>
  <r>
    <s v="SHP-500623"/>
    <d v="2024-04-03T00:00:00"/>
    <x v="0"/>
    <s v="Q2"/>
    <x v="3"/>
    <x v="1"/>
    <x v="2"/>
    <x v="0"/>
    <x v="0"/>
    <s v="Road"/>
    <x v="1"/>
    <n v="3.4"/>
    <n v="1029"/>
    <n v="4"/>
    <n v="3"/>
    <n v="1"/>
    <n v="0"/>
    <n v="23.39"/>
    <n v="0"/>
    <n v="1"/>
  </r>
  <r>
    <s v="SHP-500624"/>
    <d v="2024-04-03T00:00:00"/>
    <x v="0"/>
    <s v="Q2"/>
    <x v="3"/>
    <x v="1"/>
    <x v="0"/>
    <x v="1"/>
    <x v="0"/>
    <s v="Road"/>
    <x v="0"/>
    <n v="28.3"/>
    <n v="247"/>
    <n v="3"/>
    <n v="2"/>
    <n v="1"/>
    <n v="0"/>
    <n v="26.39"/>
    <n v="0"/>
    <n v="1"/>
  </r>
  <r>
    <s v="SHP-500625"/>
    <d v="2024-04-03T00:00:00"/>
    <x v="0"/>
    <s v="Q2"/>
    <x v="3"/>
    <x v="3"/>
    <x v="2"/>
    <x v="1"/>
    <x v="2"/>
    <s v="Road"/>
    <x v="0"/>
    <n v="77.2"/>
    <n v="272"/>
    <n v="1"/>
    <n v="1"/>
    <n v="1"/>
    <n v="0"/>
    <n v="100.19"/>
    <n v="0"/>
    <n v="1"/>
  </r>
  <r>
    <s v="SHP-500626"/>
    <d v="2024-04-04T00:00:00"/>
    <x v="0"/>
    <s v="Q2"/>
    <x v="3"/>
    <x v="4"/>
    <x v="2"/>
    <x v="1"/>
    <x v="0"/>
    <s v="Road"/>
    <x v="1"/>
    <n v="3.6"/>
    <n v="270"/>
    <n v="3"/>
    <n v="3"/>
    <n v="1"/>
    <n v="0"/>
    <n v="11.28"/>
    <n v="0"/>
    <n v="1"/>
  </r>
  <r>
    <s v="SHP-500627"/>
    <d v="2024-04-04T00:00:00"/>
    <x v="0"/>
    <s v="Q2"/>
    <x v="3"/>
    <x v="3"/>
    <x v="2"/>
    <x v="3"/>
    <x v="1"/>
    <s v="Road"/>
    <x v="1"/>
    <n v="5.5"/>
    <n v="504"/>
    <n v="6"/>
    <n v="6"/>
    <n v="1"/>
    <n v="0"/>
    <n v="12.58"/>
    <n v="0"/>
    <n v="1"/>
  </r>
  <r>
    <s v="SHP-500628"/>
    <d v="2024-04-04T00:00:00"/>
    <x v="0"/>
    <s v="Q2"/>
    <x v="3"/>
    <x v="0"/>
    <x v="2"/>
    <x v="4"/>
    <x v="0"/>
    <s v="Road"/>
    <x v="1"/>
    <n v="18.2"/>
    <n v="907"/>
    <n v="5"/>
    <n v="8"/>
    <n v="0"/>
    <n v="3"/>
    <n v="26.34"/>
    <n v="0"/>
    <n v="1"/>
  </r>
  <r>
    <s v="SHP-500629"/>
    <d v="2024-04-04T00:00:00"/>
    <x v="0"/>
    <s v="Q2"/>
    <x v="3"/>
    <x v="1"/>
    <x v="1"/>
    <x v="0"/>
    <x v="1"/>
    <s v="Road"/>
    <x v="1"/>
    <n v="2.8"/>
    <n v="734"/>
    <n v="6"/>
    <n v="5"/>
    <n v="1"/>
    <n v="0"/>
    <n v="13.16"/>
    <n v="0"/>
    <n v="1"/>
  </r>
  <r>
    <s v="SHP-500630"/>
    <d v="2024-04-04T00:00:00"/>
    <x v="0"/>
    <s v="Q2"/>
    <x v="3"/>
    <x v="2"/>
    <x v="2"/>
    <x v="3"/>
    <x v="0"/>
    <s v="Road"/>
    <x v="1"/>
    <n v="4.4000000000000004"/>
    <n v="455"/>
    <n v="4"/>
    <n v="4"/>
    <n v="1"/>
    <n v="0"/>
    <n v="13.86"/>
    <n v="0"/>
    <n v="1"/>
  </r>
  <r>
    <s v="SHP-500631"/>
    <d v="2024-04-04T00:00:00"/>
    <x v="0"/>
    <s v="Q2"/>
    <x v="3"/>
    <x v="2"/>
    <x v="2"/>
    <x v="0"/>
    <x v="1"/>
    <s v="Road"/>
    <x v="1"/>
    <n v="9.5"/>
    <n v="865"/>
    <n v="6"/>
    <n v="6"/>
    <n v="1"/>
    <n v="0"/>
    <n v="13.98"/>
    <n v="0"/>
    <n v="1"/>
  </r>
  <r>
    <s v="SHP-500632"/>
    <d v="2024-04-04T00:00:00"/>
    <x v="0"/>
    <s v="Q2"/>
    <x v="3"/>
    <x v="1"/>
    <x v="1"/>
    <x v="2"/>
    <x v="2"/>
    <s v="Air"/>
    <x v="0"/>
    <n v="87.2"/>
    <n v="1038"/>
    <n v="3"/>
    <n v="3"/>
    <n v="1"/>
    <n v="0"/>
    <n v="199.67"/>
    <n v="0"/>
    <n v="1"/>
  </r>
  <r>
    <s v="SHP-500633"/>
    <d v="2024-04-05T00:00:00"/>
    <x v="0"/>
    <s v="Q2"/>
    <x v="3"/>
    <x v="2"/>
    <x v="2"/>
    <x v="3"/>
    <x v="1"/>
    <s v="Road"/>
    <x v="0"/>
    <n v="126.5"/>
    <n v="475"/>
    <n v="6"/>
    <n v="6"/>
    <n v="1"/>
    <n v="0"/>
    <n v="41.42"/>
    <n v="0"/>
    <n v="1"/>
  </r>
  <r>
    <s v="SHP-500634"/>
    <d v="2024-04-05T00:00:00"/>
    <x v="0"/>
    <s v="Q2"/>
    <x v="3"/>
    <x v="4"/>
    <x v="0"/>
    <x v="3"/>
    <x v="0"/>
    <s v="Road"/>
    <x v="0"/>
    <n v="35.200000000000003"/>
    <n v="408"/>
    <n v="4"/>
    <n v="4"/>
    <n v="1"/>
    <n v="0"/>
    <n v="29.3"/>
    <n v="0"/>
    <n v="1"/>
  </r>
  <r>
    <s v="SHP-500635"/>
    <d v="2024-04-05T00:00:00"/>
    <x v="0"/>
    <s v="Q2"/>
    <x v="3"/>
    <x v="0"/>
    <x v="1"/>
    <x v="1"/>
    <x v="2"/>
    <s v="Road"/>
    <x v="1"/>
    <n v="4.7"/>
    <n v="281"/>
    <n v="1"/>
    <n v="1"/>
    <n v="1"/>
    <n v="0"/>
    <n v="25.21"/>
    <n v="0"/>
    <n v="1"/>
  </r>
  <r>
    <s v="SHP-500636"/>
    <d v="2024-04-05T00:00:00"/>
    <x v="0"/>
    <s v="Q2"/>
    <x v="3"/>
    <x v="0"/>
    <x v="1"/>
    <x v="2"/>
    <x v="2"/>
    <s v="Air"/>
    <x v="0"/>
    <n v="223.9"/>
    <n v="1132"/>
    <n v="3"/>
    <n v="3"/>
    <n v="1"/>
    <n v="0"/>
    <n v="319.08999999999997"/>
    <n v="0"/>
    <n v="1"/>
  </r>
  <r>
    <s v="SHP-500637"/>
    <d v="2024-04-05T00:00:00"/>
    <x v="0"/>
    <s v="Q2"/>
    <x v="3"/>
    <x v="2"/>
    <x v="0"/>
    <x v="1"/>
    <x v="0"/>
    <s v="Road"/>
    <x v="1"/>
    <n v="1.5"/>
    <n v="305"/>
    <n v="3"/>
    <n v="2"/>
    <n v="1"/>
    <n v="0"/>
    <n v="9.0299999999999994"/>
    <n v="0"/>
    <n v="1"/>
  </r>
  <r>
    <s v="SHP-500638"/>
    <d v="2024-04-05T00:00:00"/>
    <x v="0"/>
    <s v="Q2"/>
    <x v="3"/>
    <x v="0"/>
    <x v="2"/>
    <x v="3"/>
    <x v="0"/>
    <s v="Road"/>
    <x v="1"/>
    <n v="10"/>
    <n v="549"/>
    <n v="4"/>
    <n v="4"/>
    <n v="1"/>
    <n v="0"/>
    <n v="16.88"/>
    <n v="0"/>
    <n v="1"/>
  </r>
  <r>
    <s v="SHP-500639"/>
    <d v="2024-04-05T00:00:00"/>
    <x v="0"/>
    <s v="Q2"/>
    <x v="3"/>
    <x v="0"/>
    <x v="2"/>
    <x v="0"/>
    <x v="2"/>
    <s v="Air"/>
    <x v="1"/>
    <n v="11.7"/>
    <n v="1093"/>
    <n v="2"/>
    <n v="2"/>
    <n v="1"/>
    <n v="0"/>
    <n v="78.98"/>
    <n v="0"/>
    <n v="1"/>
  </r>
  <r>
    <s v="SHP-500640"/>
    <d v="2024-04-06T00:00:00"/>
    <x v="0"/>
    <s v="Q2"/>
    <x v="3"/>
    <x v="4"/>
    <x v="0"/>
    <x v="2"/>
    <x v="0"/>
    <s v="Road"/>
    <x v="0"/>
    <n v="57.6"/>
    <n v="1364"/>
    <n v="5"/>
    <n v="6"/>
    <n v="0"/>
    <n v="1"/>
    <n v="48.95"/>
    <n v="0"/>
    <n v="1"/>
  </r>
  <r>
    <s v="SHP-500641"/>
    <d v="2024-04-07T00:00:00"/>
    <x v="0"/>
    <s v="Q2"/>
    <x v="3"/>
    <x v="3"/>
    <x v="0"/>
    <x v="4"/>
    <x v="2"/>
    <s v="Air"/>
    <x v="0"/>
    <n v="234.9"/>
    <n v="941"/>
    <n v="3"/>
    <n v="2"/>
    <n v="1"/>
    <n v="0"/>
    <n v="342.28"/>
    <n v="0"/>
    <n v="1"/>
  </r>
  <r>
    <s v="SHP-500642"/>
    <d v="2024-04-07T00:00:00"/>
    <x v="0"/>
    <s v="Q2"/>
    <x v="3"/>
    <x v="4"/>
    <x v="2"/>
    <x v="3"/>
    <x v="0"/>
    <s v="Road"/>
    <x v="0"/>
    <n v="65.7"/>
    <n v="376"/>
    <n v="4"/>
    <n v="6"/>
    <n v="0"/>
    <n v="2"/>
    <n v="41.37"/>
    <n v="0"/>
    <n v="1"/>
  </r>
  <r>
    <s v="SHP-500643"/>
    <d v="2024-04-07T00:00:00"/>
    <x v="0"/>
    <s v="Q2"/>
    <x v="3"/>
    <x v="2"/>
    <x v="2"/>
    <x v="1"/>
    <x v="2"/>
    <s v="Road"/>
    <x v="0"/>
    <n v="26.1"/>
    <n v="284"/>
    <n v="1"/>
    <n v="1"/>
    <n v="1"/>
    <n v="0"/>
    <n v="38.090000000000003"/>
    <n v="0"/>
    <n v="1"/>
  </r>
  <r>
    <s v="SHP-500644"/>
    <d v="2024-04-07T00:00:00"/>
    <x v="0"/>
    <s v="Q2"/>
    <x v="3"/>
    <x v="4"/>
    <x v="0"/>
    <x v="0"/>
    <x v="0"/>
    <s v="Road"/>
    <x v="0"/>
    <n v="96.6"/>
    <n v="987"/>
    <n v="4"/>
    <n v="4"/>
    <n v="1"/>
    <n v="0"/>
    <n v="66.430000000000007"/>
    <n v="0"/>
    <n v="1"/>
  </r>
  <r>
    <s v="SHP-500645"/>
    <d v="2024-04-07T00:00:00"/>
    <x v="0"/>
    <s v="Q2"/>
    <x v="3"/>
    <x v="1"/>
    <x v="2"/>
    <x v="3"/>
    <x v="0"/>
    <s v="Road"/>
    <x v="0"/>
    <n v="130.9"/>
    <n v="291"/>
    <n v="4"/>
    <n v="4"/>
    <n v="1"/>
    <n v="0"/>
    <n v="70.459999999999994"/>
    <n v="0"/>
    <n v="1"/>
  </r>
  <r>
    <s v="SHP-500646"/>
    <d v="2024-04-07T00:00:00"/>
    <x v="0"/>
    <s v="Q2"/>
    <x v="3"/>
    <x v="2"/>
    <x v="2"/>
    <x v="1"/>
    <x v="0"/>
    <s v="Road"/>
    <x v="1"/>
    <n v="4.0999999999999996"/>
    <n v="209"/>
    <n v="3"/>
    <n v="3"/>
    <n v="1"/>
    <n v="0"/>
    <n v="10.31"/>
    <n v="0"/>
    <n v="1"/>
  </r>
  <r>
    <s v="SHP-500647"/>
    <d v="2024-04-08T00:00:00"/>
    <x v="0"/>
    <s v="Q2"/>
    <x v="3"/>
    <x v="0"/>
    <x v="1"/>
    <x v="3"/>
    <x v="0"/>
    <s v="Road"/>
    <x v="1"/>
    <n v="1.9"/>
    <n v="445"/>
    <n v="4"/>
    <n v="4"/>
    <n v="1"/>
    <n v="0"/>
    <n v="11.64"/>
    <n v="0"/>
    <n v="1"/>
  </r>
  <r>
    <s v="SHP-500648"/>
    <d v="2024-04-08T00:00:00"/>
    <x v="0"/>
    <s v="Q2"/>
    <x v="3"/>
    <x v="0"/>
    <x v="2"/>
    <x v="1"/>
    <x v="0"/>
    <s v="Road"/>
    <x v="1"/>
    <n v="4.9000000000000004"/>
    <n v="256"/>
    <n v="3"/>
    <n v="2"/>
    <n v="1"/>
    <n v="0"/>
    <n v="12.38"/>
    <n v="0"/>
    <n v="1"/>
  </r>
  <r>
    <s v="SHP-500649"/>
    <d v="2024-04-08T00:00:00"/>
    <x v="0"/>
    <s v="Q2"/>
    <x v="3"/>
    <x v="3"/>
    <x v="2"/>
    <x v="0"/>
    <x v="1"/>
    <s v="Road"/>
    <x v="1"/>
    <n v="5.9"/>
    <n v="761"/>
    <n v="6"/>
    <n v="9"/>
    <n v="0"/>
    <n v="3"/>
    <n v="16"/>
    <n v="0"/>
    <n v="1"/>
  </r>
  <r>
    <s v="SHP-500650"/>
    <d v="2024-04-08T00:00:00"/>
    <x v="0"/>
    <s v="Q2"/>
    <x v="3"/>
    <x v="3"/>
    <x v="1"/>
    <x v="3"/>
    <x v="2"/>
    <s v="Road"/>
    <x v="1"/>
    <n v="8.1"/>
    <n v="509"/>
    <n v="2"/>
    <n v="1"/>
    <n v="1"/>
    <n v="0"/>
    <n v="38.42"/>
    <n v="0"/>
    <n v="1"/>
  </r>
  <r>
    <s v="SHP-500651"/>
    <d v="2024-04-08T00:00:00"/>
    <x v="0"/>
    <s v="Q2"/>
    <x v="3"/>
    <x v="2"/>
    <x v="2"/>
    <x v="0"/>
    <x v="0"/>
    <s v="Road"/>
    <x v="0"/>
    <n v="62.9"/>
    <n v="1076"/>
    <n v="4"/>
    <n v="4"/>
    <n v="1"/>
    <n v="0"/>
    <n v="46.33"/>
    <n v="0"/>
    <n v="1"/>
  </r>
  <r>
    <s v="SHP-500652"/>
    <d v="2024-04-08T00:00:00"/>
    <x v="0"/>
    <s v="Q2"/>
    <x v="3"/>
    <x v="0"/>
    <x v="1"/>
    <x v="1"/>
    <x v="1"/>
    <s v="Road"/>
    <x v="1"/>
    <n v="20.5"/>
    <n v="299"/>
    <n v="5"/>
    <n v="5"/>
    <n v="1"/>
    <n v="0"/>
    <n v="15.47"/>
    <n v="0"/>
    <n v="1"/>
  </r>
  <r>
    <s v="SHP-500653"/>
    <d v="2024-04-08T00:00:00"/>
    <x v="0"/>
    <s v="Q2"/>
    <x v="3"/>
    <x v="3"/>
    <x v="0"/>
    <x v="1"/>
    <x v="0"/>
    <s v="Road"/>
    <x v="0"/>
    <n v="96.8"/>
    <n v="222"/>
    <n v="3"/>
    <n v="3"/>
    <n v="1"/>
    <n v="0"/>
    <n v="62.09"/>
    <n v="0"/>
    <n v="1"/>
  </r>
  <r>
    <s v="SHP-500654"/>
    <d v="2024-04-08T00:00:00"/>
    <x v="0"/>
    <s v="Q2"/>
    <x v="3"/>
    <x v="2"/>
    <x v="1"/>
    <x v="1"/>
    <x v="1"/>
    <s v="Road"/>
    <x v="1"/>
    <n v="1.9"/>
    <n v="318"/>
    <n v="5"/>
    <n v="5"/>
    <n v="1"/>
    <n v="0"/>
    <n v="6.47"/>
    <n v="0"/>
    <n v="1"/>
  </r>
  <r>
    <s v="SHP-500655"/>
    <d v="2024-04-08T00:00:00"/>
    <x v="0"/>
    <s v="Q2"/>
    <x v="3"/>
    <x v="4"/>
    <x v="2"/>
    <x v="1"/>
    <x v="0"/>
    <s v="Road"/>
    <x v="1"/>
    <n v="10.4"/>
    <n v="231"/>
    <n v="3"/>
    <n v="7"/>
    <n v="0"/>
    <n v="4"/>
    <n v="13.97"/>
    <n v="0"/>
    <n v="1"/>
  </r>
  <r>
    <s v="SHP-500656"/>
    <d v="2024-04-08T00:00:00"/>
    <x v="0"/>
    <s v="Q2"/>
    <x v="3"/>
    <x v="2"/>
    <x v="2"/>
    <x v="0"/>
    <x v="0"/>
    <s v="Road"/>
    <x v="1"/>
    <n v="5.2"/>
    <n v="792"/>
    <n v="4"/>
    <n v="4"/>
    <n v="1"/>
    <n v="0"/>
    <n v="17.12"/>
    <n v="0"/>
    <n v="1"/>
  </r>
  <r>
    <s v="SHP-500657"/>
    <d v="2024-04-08T00:00:00"/>
    <x v="0"/>
    <s v="Q2"/>
    <x v="3"/>
    <x v="0"/>
    <x v="2"/>
    <x v="0"/>
    <x v="0"/>
    <s v="Road"/>
    <x v="0"/>
    <n v="240.8"/>
    <n v="712"/>
    <n v="4"/>
    <n v="3"/>
    <n v="1"/>
    <n v="0"/>
    <n v="117.34"/>
    <n v="0"/>
    <n v="1"/>
  </r>
  <r>
    <s v="SHP-500658"/>
    <d v="2024-04-08T00:00:00"/>
    <x v="0"/>
    <s v="Q2"/>
    <x v="3"/>
    <x v="3"/>
    <x v="1"/>
    <x v="3"/>
    <x v="0"/>
    <s v="Road"/>
    <x v="1"/>
    <n v="2.4"/>
    <n v="373"/>
    <n v="4"/>
    <n v="4"/>
    <n v="1"/>
    <n v="0"/>
    <n v="12.83"/>
    <n v="0"/>
    <n v="1"/>
  </r>
  <r>
    <s v="SHP-500659"/>
    <d v="2024-04-08T00:00:00"/>
    <x v="0"/>
    <s v="Q2"/>
    <x v="3"/>
    <x v="1"/>
    <x v="2"/>
    <x v="3"/>
    <x v="0"/>
    <s v="Road"/>
    <x v="0"/>
    <n v="23.6"/>
    <n v="433"/>
    <n v="4"/>
    <n v="6"/>
    <n v="0"/>
    <n v="2"/>
    <n v="24.58"/>
    <n v="0"/>
    <n v="1"/>
  </r>
  <r>
    <s v="SHP-500660"/>
    <d v="2024-04-09T00:00:00"/>
    <x v="0"/>
    <s v="Q2"/>
    <x v="3"/>
    <x v="4"/>
    <x v="1"/>
    <x v="2"/>
    <x v="0"/>
    <s v="Road"/>
    <x v="0"/>
    <n v="150.1"/>
    <n v="1087"/>
    <n v="5"/>
    <n v="5"/>
    <n v="1"/>
    <n v="0"/>
    <n v="79.599999999999994"/>
    <n v="0"/>
    <n v="1"/>
  </r>
  <r>
    <s v="SHP-500661"/>
    <d v="2024-04-09T00:00:00"/>
    <x v="0"/>
    <s v="Q2"/>
    <x v="3"/>
    <x v="1"/>
    <x v="1"/>
    <x v="3"/>
    <x v="1"/>
    <s v="Road"/>
    <x v="1"/>
    <n v="3.2"/>
    <n v="520"/>
    <n v="6"/>
    <n v="6"/>
    <n v="1"/>
    <n v="0"/>
    <n v="10.66"/>
    <n v="0"/>
    <n v="1"/>
  </r>
  <r>
    <s v="SHP-500662"/>
    <d v="2024-04-09T00:00:00"/>
    <x v="0"/>
    <s v="Q2"/>
    <x v="3"/>
    <x v="3"/>
    <x v="0"/>
    <x v="3"/>
    <x v="1"/>
    <s v="Road"/>
    <x v="1"/>
    <n v="3.3"/>
    <n v="519"/>
    <n v="6"/>
    <n v="6"/>
    <n v="1"/>
    <n v="0"/>
    <n v="11.02"/>
    <n v="0"/>
    <n v="1"/>
  </r>
  <r>
    <s v="SHP-500663"/>
    <d v="2024-04-09T00:00:00"/>
    <x v="0"/>
    <s v="Q2"/>
    <x v="3"/>
    <x v="3"/>
    <x v="0"/>
    <x v="0"/>
    <x v="0"/>
    <s v="Road"/>
    <x v="1"/>
    <n v="7.9"/>
    <n v="943"/>
    <n v="4"/>
    <n v="3"/>
    <n v="1"/>
    <n v="0"/>
    <n v="25.42"/>
    <n v="0"/>
    <n v="1"/>
  </r>
  <r>
    <s v="SHP-500664"/>
    <d v="2024-04-09T00:00:00"/>
    <x v="0"/>
    <s v="Q2"/>
    <x v="3"/>
    <x v="3"/>
    <x v="1"/>
    <x v="0"/>
    <x v="1"/>
    <s v="Road"/>
    <x v="1"/>
    <n v="6.8"/>
    <n v="997"/>
    <n v="6"/>
    <n v="6"/>
    <n v="1"/>
    <n v="0"/>
    <n v="19.84"/>
    <n v="0"/>
    <n v="1"/>
  </r>
  <r>
    <s v="SHP-500665"/>
    <d v="2024-04-09T00:00:00"/>
    <x v="0"/>
    <s v="Q2"/>
    <x v="3"/>
    <x v="0"/>
    <x v="1"/>
    <x v="4"/>
    <x v="2"/>
    <s v="Air"/>
    <x v="1"/>
    <n v="2.2999999999999998"/>
    <n v="1094"/>
    <n v="3"/>
    <n v="3"/>
    <n v="1"/>
    <n v="0"/>
    <n v="67.53"/>
    <n v="0"/>
    <n v="1"/>
  </r>
  <r>
    <s v="SHP-500666"/>
    <d v="2024-04-09T00:00:00"/>
    <x v="0"/>
    <s v="Q2"/>
    <x v="3"/>
    <x v="2"/>
    <x v="2"/>
    <x v="1"/>
    <x v="0"/>
    <s v="Road"/>
    <x v="0"/>
    <n v="80.3"/>
    <n v="192"/>
    <n v="3"/>
    <n v="3"/>
    <n v="1"/>
    <n v="0"/>
    <n v="39.409999999999997"/>
    <n v="0"/>
    <n v="1"/>
  </r>
  <r>
    <s v="SHP-500667"/>
    <d v="2024-04-10T00:00:00"/>
    <x v="0"/>
    <s v="Q2"/>
    <x v="3"/>
    <x v="1"/>
    <x v="2"/>
    <x v="1"/>
    <x v="2"/>
    <s v="Road"/>
    <x v="1"/>
    <n v="20.6"/>
    <n v="239"/>
    <n v="1"/>
    <n v="1"/>
    <n v="1"/>
    <n v="0"/>
    <n v="44.3"/>
    <n v="0"/>
    <n v="1"/>
  </r>
  <r>
    <s v="SHP-500668"/>
    <d v="2024-04-10T00:00:00"/>
    <x v="0"/>
    <s v="Q2"/>
    <x v="3"/>
    <x v="2"/>
    <x v="1"/>
    <x v="0"/>
    <x v="1"/>
    <s v="Road"/>
    <x v="0"/>
    <n v="55.8"/>
    <n v="738"/>
    <n v="6"/>
    <n v="6"/>
    <n v="1"/>
    <n v="0"/>
    <n v="24.79"/>
    <n v="0"/>
    <n v="1"/>
  </r>
  <r>
    <s v="SHP-500669"/>
    <d v="2024-04-10T00:00:00"/>
    <x v="0"/>
    <s v="Q2"/>
    <x v="3"/>
    <x v="0"/>
    <x v="2"/>
    <x v="1"/>
    <x v="2"/>
    <s v="Road"/>
    <x v="1"/>
    <n v="1"/>
    <n v="229"/>
    <n v="1"/>
    <n v="1"/>
    <n v="1"/>
    <n v="0"/>
    <n v="18.309999999999999"/>
    <n v="0"/>
    <n v="1"/>
  </r>
  <r>
    <s v="SHP-500670"/>
    <d v="2024-04-10T00:00:00"/>
    <x v="0"/>
    <s v="Q2"/>
    <x v="3"/>
    <x v="1"/>
    <x v="1"/>
    <x v="1"/>
    <x v="0"/>
    <s v="Road"/>
    <x v="1"/>
    <n v="5.0999999999999996"/>
    <n v="306"/>
    <n v="3"/>
    <n v="3"/>
    <n v="1"/>
    <n v="0"/>
    <n v="13.38"/>
    <n v="0"/>
    <n v="1"/>
  </r>
  <r>
    <s v="SHP-500671"/>
    <d v="2024-04-10T00:00:00"/>
    <x v="0"/>
    <s v="Q2"/>
    <x v="3"/>
    <x v="1"/>
    <x v="2"/>
    <x v="3"/>
    <x v="0"/>
    <s v="Road"/>
    <x v="1"/>
    <n v="9.1"/>
    <n v="589"/>
    <n v="4"/>
    <n v="4"/>
    <n v="1"/>
    <n v="0"/>
    <n v="18.91"/>
    <n v="0"/>
    <n v="1"/>
  </r>
  <r>
    <s v="SHP-500672"/>
    <d v="2024-04-10T00:00:00"/>
    <x v="0"/>
    <s v="Q2"/>
    <x v="3"/>
    <x v="2"/>
    <x v="2"/>
    <x v="1"/>
    <x v="0"/>
    <s v="Road"/>
    <x v="1"/>
    <n v="1.7"/>
    <n v="276"/>
    <n v="3"/>
    <n v="4"/>
    <n v="0"/>
    <n v="1"/>
    <n v="9.61"/>
    <n v="0"/>
    <n v="1"/>
  </r>
  <r>
    <s v="SHP-500673"/>
    <d v="2024-04-10T00:00:00"/>
    <x v="0"/>
    <s v="Q2"/>
    <x v="3"/>
    <x v="0"/>
    <x v="2"/>
    <x v="4"/>
    <x v="1"/>
    <s v="Road"/>
    <x v="0"/>
    <n v="127.2"/>
    <n v="1041"/>
    <n v="7"/>
    <n v="7"/>
    <n v="1"/>
    <n v="0"/>
    <n v="54.13"/>
    <n v="0"/>
    <n v="1"/>
  </r>
  <r>
    <s v="SHP-500674"/>
    <d v="2024-04-10T00:00:00"/>
    <x v="0"/>
    <s v="Q2"/>
    <x v="3"/>
    <x v="4"/>
    <x v="1"/>
    <x v="1"/>
    <x v="0"/>
    <s v="Road"/>
    <x v="0"/>
    <n v="60.5"/>
    <n v="277"/>
    <n v="3"/>
    <n v="3"/>
    <n v="1"/>
    <n v="0"/>
    <n v="37.51"/>
    <n v="0"/>
    <n v="1"/>
  </r>
  <r>
    <s v="SHP-500675"/>
    <d v="2024-04-10T00:00:00"/>
    <x v="0"/>
    <s v="Q2"/>
    <x v="3"/>
    <x v="3"/>
    <x v="0"/>
    <x v="4"/>
    <x v="0"/>
    <s v="Road"/>
    <x v="1"/>
    <n v="4.9000000000000004"/>
    <n v="955"/>
    <n v="5"/>
    <n v="5"/>
    <n v="1"/>
    <n v="0"/>
    <n v="22.83"/>
    <n v="0"/>
    <n v="1"/>
  </r>
  <r>
    <s v="SHP-500676"/>
    <d v="2024-04-11T00:00:00"/>
    <x v="0"/>
    <s v="Q2"/>
    <x v="3"/>
    <x v="3"/>
    <x v="2"/>
    <x v="1"/>
    <x v="0"/>
    <s v="Road"/>
    <x v="0"/>
    <n v="324.7"/>
    <n v="254"/>
    <n v="3"/>
    <n v="2"/>
    <n v="1"/>
    <n v="0"/>
    <n v="128.72"/>
    <n v="0"/>
    <n v="1"/>
  </r>
  <r>
    <s v="SHP-500677"/>
    <d v="2024-04-11T00:00:00"/>
    <x v="0"/>
    <s v="Q2"/>
    <x v="3"/>
    <x v="1"/>
    <x v="2"/>
    <x v="3"/>
    <x v="0"/>
    <s v="Road"/>
    <x v="1"/>
    <n v="10.8"/>
    <n v="552"/>
    <n v="4"/>
    <n v="4"/>
    <n v="1"/>
    <n v="0"/>
    <n v="19.559999999999999"/>
    <n v="0"/>
    <n v="1"/>
  </r>
  <r>
    <s v="SHP-500678"/>
    <d v="2024-04-11T00:00:00"/>
    <x v="0"/>
    <s v="Q2"/>
    <x v="3"/>
    <x v="1"/>
    <x v="1"/>
    <x v="1"/>
    <x v="1"/>
    <s v="Road"/>
    <x v="1"/>
    <n v="3.3"/>
    <n v="226"/>
    <n v="5"/>
    <n v="5"/>
    <n v="1"/>
    <n v="0"/>
    <n v="7.86"/>
    <n v="0"/>
    <n v="1"/>
  </r>
  <r>
    <s v="SHP-500679"/>
    <d v="2024-04-11T00:00:00"/>
    <x v="0"/>
    <s v="Q2"/>
    <x v="3"/>
    <x v="3"/>
    <x v="0"/>
    <x v="3"/>
    <x v="1"/>
    <s v="Road"/>
    <x v="0"/>
    <n v="49.2"/>
    <n v="433"/>
    <n v="6"/>
    <n v="5"/>
    <n v="1"/>
    <n v="0"/>
    <n v="29.84"/>
    <n v="0"/>
    <n v="1"/>
  </r>
  <r>
    <s v="SHP-500680"/>
    <d v="2024-04-11T00:00:00"/>
    <x v="0"/>
    <s v="Q2"/>
    <x v="3"/>
    <x v="4"/>
    <x v="2"/>
    <x v="3"/>
    <x v="0"/>
    <s v="Road"/>
    <x v="1"/>
    <n v="16.100000000000001"/>
    <n v="466"/>
    <n v="4"/>
    <n v="6"/>
    <n v="0"/>
    <n v="2"/>
    <n v="21.24"/>
    <n v="0"/>
    <n v="1"/>
  </r>
  <r>
    <s v="SHP-500681"/>
    <d v="2024-04-11T00:00:00"/>
    <x v="0"/>
    <s v="Q2"/>
    <x v="3"/>
    <x v="1"/>
    <x v="0"/>
    <x v="1"/>
    <x v="1"/>
    <s v="Road"/>
    <x v="1"/>
    <n v="3.6"/>
    <n v="267"/>
    <n v="5"/>
    <n v="5"/>
    <n v="1"/>
    <n v="0"/>
    <n v="9.5"/>
    <n v="0"/>
    <n v="1"/>
  </r>
  <r>
    <s v="SHP-500682"/>
    <d v="2024-04-12T00:00:00"/>
    <x v="0"/>
    <s v="Q2"/>
    <x v="3"/>
    <x v="3"/>
    <x v="2"/>
    <x v="3"/>
    <x v="0"/>
    <s v="Road"/>
    <x v="0"/>
    <n v="122.9"/>
    <n v="512"/>
    <n v="4"/>
    <n v="4"/>
    <n v="1"/>
    <n v="0"/>
    <n v="73.510000000000005"/>
    <n v="0"/>
    <n v="1"/>
  </r>
  <r>
    <s v="SHP-500683"/>
    <d v="2024-04-12T00:00:00"/>
    <x v="0"/>
    <s v="Q2"/>
    <x v="3"/>
    <x v="4"/>
    <x v="0"/>
    <x v="1"/>
    <x v="0"/>
    <s v="Road"/>
    <x v="1"/>
    <n v="8.4"/>
    <n v="221"/>
    <n v="3"/>
    <n v="3"/>
    <n v="1"/>
    <n v="0"/>
    <n v="15.05"/>
    <n v="0"/>
    <n v="1"/>
  </r>
  <r>
    <s v="SHP-500684"/>
    <d v="2024-04-12T00:00:00"/>
    <x v="0"/>
    <s v="Q2"/>
    <x v="3"/>
    <x v="3"/>
    <x v="1"/>
    <x v="1"/>
    <x v="1"/>
    <s v="Road"/>
    <x v="1"/>
    <n v="12.8"/>
    <n v="227"/>
    <n v="5"/>
    <n v="4"/>
    <n v="1"/>
    <n v="0"/>
    <n v="12.13"/>
    <n v="0"/>
    <n v="1"/>
  </r>
  <r>
    <s v="SHP-500685"/>
    <d v="2024-04-12T00:00:00"/>
    <x v="0"/>
    <s v="Q2"/>
    <x v="3"/>
    <x v="1"/>
    <x v="1"/>
    <x v="0"/>
    <x v="2"/>
    <s v="Air"/>
    <x v="0"/>
    <n v="19.600000000000001"/>
    <n v="757"/>
    <n v="2"/>
    <n v="1"/>
    <n v="1"/>
    <n v="0"/>
    <n v="89.41"/>
    <n v="0"/>
    <n v="1"/>
  </r>
  <r>
    <s v="SHP-500686"/>
    <d v="2024-04-12T00:00:00"/>
    <x v="0"/>
    <s v="Q2"/>
    <x v="3"/>
    <x v="4"/>
    <x v="2"/>
    <x v="1"/>
    <x v="0"/>
    <s v="Road"/>
    <x v="0"/>
    <n v="399.5"/>
    <n v="199"/>
    <n v="3"/>
    <n v="3"/>
    <n v="1"/>
    <n v="0"/>
    <n v="161.96"/>
    <n v="0"/>
    <n v="1"/>
  </r>
  <r>
    <s v="SHP-500687"/>
    <d v="2024-04-12T00:00:00"/>
    <x v="0"/>
    <s v="Q2"/>
    <x v="3"/>
    <x v="4"/>
    <x v="2"/>
    <x v="0"/>
    <x v="0"/>
    <s v="Road"/>
    <x v="1"/>
    <n v="14.8"/>
    <n v="922"/>
    <n v="4"/>
    <n v="3"/>
    <n v="1"/>
    <n v="0"/>
    <n v="27.73"/>
    <n v="0"/>
    <n v="1"/>
  </r>
  <r>
    <s v="SHP-500688"/>
    <d v="2024-04-12T00:00:00"/>
    <x v="0"/>
    <s v="Q2"/>
    <x v="3"/>
    <x v="2"/>
    <x v="2"/>
    <x v="3"/>
    <x v="0"/>
    <s v="Road"/>
    <x v="0"/>
    <n v="62.7"/>
    <n v="404"/>
    <n v="4"/>
    <n v="4"/>
    <n v="1"/>
    <n v="0"/>
    <n v="34.71"/>
    <n v="0"/>
    <n v="1"/>
  </r>
  <r>
    <s v="SHP-500689"/>
    <d v="2024-04-13T00:00:00"/>
    <x v="0"/>
    <s v="Q2"/>
    <x v="3"/>
    <x v="2"/>
    <x v="2"/>
    <x v="4"/>
    <x v="1"/>
    <s v="Road"/>
    <x v="0"/>
    <n v="119.7"/>
    <n v="1045"/>
    <n v="7"/>
    <n v="7"/>
    <n v="1"/>
    <n v="0"/>
    <n v="46.48"/>
    <n v="0"/>
    <n v="1"/>
  </r>
  <r>
    <s v="SHP-500690"/>
    <d v="2024-04-13T00:00:00"/>
    <x v="0"/>
    <s v="Q2"/>
    <x v="3"/>
    <x v="3"/>
    <x v="1"/>
    <x v="3"/>
    <x v="0"/>
    <s v="Road"/>
    <x v="0"/>
    <n v="66.3"/>
    <n v="422"/>
    <n v="4"/>
    <n v="4"/>
    <n v="1"/>
    <n v="0"/>
    <n v="46.07"/>
    <n v="0"/>
    <n v="1"/>
  </r>
  <r>
    <s v="SHP-500691"/>
    <d v="2024-04-13T00:00:00"/>
    <x v="0"/>
    <s v="Q2"/>
    <x v="3"/>
    <x v="3"/>
    <x v="1"/>
    <x v="1"/>
    <x v="0"/>
    <s v="Road"/>
    <x v="1"/>
    <n v="7.3"/>
    <n v="250"/>
    <n v="3"/>
    <n v="3"/>
    <n v="1"/>
    <n v="0"/>
    <n v="15.36"/>
    <n v="0"/>
    <n v="1"/>
  </r>
  <r>
    <s v="SHP-500692"/>
    <d v="2024-04-14T00:00:00"/>
    <x v="0"/>
    <s v="Q2"/>
    <x v="3"/>
    <x v="3"/>
    <x v="2"/>
    <x v="1"/>
    <x v="1"/>
    <s v="Road"/>
    <x v="1"/>
    <n v="6.5"/>
    <n v="249"/>
    <n v="5"/>
    <n v="4"/>
    <n v="1"/>
    <n v="0"/>
    <n v="10.62"/>
    <n v="0"/>
    <n v="1"/>
  </r>
  <r>
    <s v="SHP-500693"/>
    <d v="2024-04-14T00:00:00"/>
    <x v="0"/>
    <s v="Q2"/>
    <x v="3"/>
    <x v="3"/>
    <x v="2"/>
    <x v="0"/>
    <x v="0"/>
    <s v="Road"/>
    <x v="0"/>
    <n v="131.4"/>
    <n v="962"/>
    <n v="4"/>
    <n v="4"/>
    <n v="1"/>
    <n v="0"/>
    <n v="75.349999999999994"/>
    <n v="0"/>
    <n v="1"/>
  </r>
  <r>
    <s v="SHP-500694"/>
    <d v="2024-04-14T00:00:00"/>
    <x v="0"/>
    <s v="Q2"/>
    <x v="3"/>
    <x v="2"/>
    <x v="2"/>
    <x v="3"/>
    <x v="1"/>
    <s v="Road"/>
    <x v="0"/>
    <n v="203.4"/>
    <n v="451"/>
    <n v="6"/>
    <n v="6"/>
    <n v="1"/>
    <n v="0"/>
    <n v="56.87"/>
    <n v="0"/>
    <n v="1"/>
  </r>
  <r>
    <s v="SHP-500695"/>
    <d v="2024-04-15T00:00:00"/>
    <x v="0"/>
    <s v="Q2"/>
    <x v="3"/>
    <x v="2"/>
    <x v="0"/>
    <x v="0"/>
    <x v="1"/>
    <s v="Road"/>
    <x v="1"/>
    <n v="3.8"/>
    <n v="903"/>
    <n v="6"/>
    <n v="6"/>
    <n v="1"/>
    <n v="0"/>
    <n v="11.23"/>
    <n v="0"/>
    <n v="1"/>
  </r>
  <r>
    <s v="SHP-500696"/>
    <d v="2024-04-15T00:00:00"/>
    <x v="0"/>
    <s v="Q2"/>
    <x v="3"/>
    <x v="4"/>
    <x v="2"/>
    <x v="3"/>
    <x v="0"/>
    <s v="Road"/>
    <x v="0"/>
    <n v="66.400000000000006"/>
    <n v="598"/>
    <n v="4"/>
    <n v="4"/>
    <n v="1"/>
    <n v="0"/>
    <n v="44.39"/>
    <n v="0"/>
    <n v="1"/>
  </r>
  <r>
    <s v="SHP-500697"/>
    <d v="2024-04-15T00:00:00"/>
    <x v="0"/>
    <s v="Q2"/>
    <x v="3"/>
    <x v="2"/>
    <x v="0"/>
    <x v="3"/>
    <x v="0"/>
    <s v="Road"/>
    <x v="0"/>
    <n v="119.5"/>
    <n v="382"/>
    <n v="4"/>
    <n v="4"/>
    <n v="1"/>
    <n v="0"/>
    <n v="50.75"/>
    <n v="0"/>
    <n v="1"/>
  </r>
  <r>
    <s v="SHP-500698"/>
    <d v="2024-04-15T00:00:00"/>
    <x v="0"/>
    <s v="Q2"/>
    <x v="3"/>
    <x v="3"/>
    <x v="2"/>
    <x v="1"/>
    <x v="0"/>
    <s v="Road"/>
    <x v="0"/>
    <n v="91.8"/>
    <n v="245"/>
    <n v="3"/>
    <n v="3"/>
    <n v="1"/>
    <n v="0"/>
    <n v="60.57"/>
    <n v="0"/>
    <n v="1"/>
  </r>
  <r>
    <s v="SHP-500699"/>
    <d v="2024-04-15T00:00:00"/>
    <x v="0"/>
    <s v="Q2"/>
    <x v="3"/>
    <x v="4"/>
    <x v="0"/>
    <x v="0"/>
    <x v="0"/>
    <s v="Road"/>
    <x v="0"/>
    <n v="103.1"/>
    <n v="870"/>
    <n v="4"/>
    <n v="4"/>
    <n v="1"/>
    <n v="0"/>
    <n v="67.81"/>
    <n v="0"/>
    <n v="1"/>
  </r>
  <r>
    <s v="SHP-500700"/>
    <d v="2024-04-15T00:00:00"/>
    <x v="0"/>
    <s v="Q2"/>
    <x v="3"/>
    <x v="1"/>
    <x v="2"/>
    <x v="0"/>
    <x v="1"/>
    <s v="Road"/>
    <x v="0"/>
    <n v="285.10000000000002"/>
    <n v="1113"/>
    <n v="6"/>
    <n v="7"/>
    <n v="0"/>
    <n v="1"/>
    <n v="98.7"/>
    <n v="0"/>
    <n v="1"/>
  </r>
  <r>
    <s v="SHP-500701"/>
    <d v="2024-04-15T00:00:00"/>
    <x v="0"/>
    <s v="Q2"/>
    <x v="3"/>
    <x v="0"/>
    <x v="1"/>
    <x v="2"/>
    <x v="2"/>
    <s v="Air"/>
    <x v="1"/>
    <n v="7.5"/>
    <n v="1168"/>
    <n v="3"/>
    <n v="3"/>
    <n v="1"/>
    <n v="0"/>
    <n v="68.39"/>
    <n v="0"/>
    <n v="1"/>
  </r>
  <r>
    <s v="SHP-500702"/>
    <d v="2024-04-16T00:00:00"/>
    <x v="0"/>
    <s v="Q2"/>
    <x v="3"/>
    <x v="3"/>
    <x v="1"/>
    <x v="1"/>
    <x v="0"/>
    <s v="Road"/>
    <x v="0"/>
    <n v="215"/>
    <n v="261"/>
    <n v="3"/>
    <n v="3"/>
    <n v="1"/>
    <n v="0"/>
    <n v="110.29"/>
    <n v="0"/>
    <n v="1"/>
  </r>
  <r>
    <s v="SHP-500703"/>
    <d v="2024-04-16T00:00:00"/>
    <x v="0"/>
    <s v="Q2"/>
    <x v="3"/>
    <x v="3"/>
    <x v="1"/>
    <x v="1"/>
    <x v="0"/>
    <s v="Road"/>
    <x v="1"/>
    <n v="5.8"/>
    <n v="246"/>
    <n v="3"/>
    <n v="3"/>
    <n v="1"/>
    <n v="0"/>
    <n v="15.09"/>
    <n v="0"/>
    <n v="1"/>
  </r>
  <r>
    <s v="SHP-500704"/>
    <d v="2024-04-16T00:00:00"/>
    <x v="0"/>
    <s v="Q2"/>
    <x v="3"/>
    <x v="2"/>
    <x v="2"/>
    <x v="2"/>
    <x v="1"/>
    <s v="Road"/>
    <x v="1"/>
    <n v="1.2"/>
    <n v="1015"/>
    <n v="7"/>
    <n v="10"/>
    <n v="0"/>
    <n v="3"/>
    <n v="10.73"/>
    <n v="0"/>
    <n v="1"/>
  </r>
  <r>
    <s v="SHP-500705"/>
    <d v="2024-04-16T00:00:00"/>
    <x v="0"/>
    <s v="Q2"/>
    <x v="3"/>
    <x v="0"/>
    <x v="2"/>
    <x v="3"/>
    <x v="2"/>
    <s v="Road"/>
    <x v="1"/>
    <n v="10.5"/>
    <n v="524"/>
    <n v="2"/>
    <n v="2"/>
    <n v="1"/>
    <n v="0"/>
    <n v="40"/>
    <n v="0"/>
    <n v="1"/>
  </r>
  <r>
    <s v="SHP-500706"/>
    <d v="2024-04-16T00:00:00"/>
    <x v="0"/>
    <s v="Q2"/>
    <x v="3"/>
    <x v="4"/>
    <x v="2"/>
    <x v="3"/>
    <x v="2"/>
    <s v="Road"/>
    <x v="1"/>
    <n v="12"/>
    <n v="468"/>
    <n v="2"/>
    <n v="1"/>
    <n v="1"/>
    <n v="0"/>
    <n v="38.869999999999997"/>
    <n v="0"/>
    <n v="1"/>
  </r>
  <r>
    <s v="SHP-500707"/>
    <d v="2024-04-16T00:00:00"/>
    <x v="0"/>
    <s v="Q2"/>
    <x v="3"/>
    <x v="2"/>
    <x v="2"/>
    <x v="1"/>
    <x v="2"/>
    <s v="Road"/>
    <x v="1"/>
    <n v="2"/>
    <n v="179"/>
    <n v="1"/>
    <n v="5"/>
    <n v="0"/>
    <n v="4"/>
    <n v="15.77"/>
    <n v="0"/>
    <n v="1"/>
  </r>
  <r>
    <s v="SHP-500708"/>
    <d v="2024-04-16T00:00:00"/>
    <x v="0"/>
    <s v="Q2"/>
    <x v="3"/>
    <x v="4"/>
    <x v="1"/>
    <x v="1"/>
    <x v="2"/>
    <s v="Road"/>
    <x v="1"/>
    <n v="3.2"/>
    <n v="265"/>
    <n v="1"/>
    <n v="1"/>
    <n v="1"/>
    <n v="0"/>
    <n v="24.21"/>
    <n v="0"/>
    <n v="1"/>
  </r>
  <r>
    <s v="SHP-500709"/>
    <d v="2024-04-16T00:00:00"/>
    <x v="0"/>
    <s v="Q2"/>
    <x v="3"/>
    <x v="4"/>
    <x v="0"/>
    <x v="1"/>
    <x v="0"/>
    <s v="Road"/>
    <x v="1"/>
    <n v="6.3"/>
    <n v="265"/>
    <n v="3"/>
    <n v="3"/>
    <n v="1"/>
    <n v="0"/>
    <n v="13.46"/>
    <n v="0"/>
    <n v="1"/>
  </r>
  <r>
    <s v="SHP-500710"/>
    <d v="2024-04-16T00:00:00"/>
    <x v="0"/>
    <s v="Q2"/>
    <x v="3"/>
    <x v="0"/>
    <x v="2"/>
    <x v="0"/>
    <x v="0"/>
    <s v="Road"/>
    <x v="0"/>
    <n v="150"/>
    <n v="1077"/>
    <n v="4"/>
    <n v="4"/>
    <n v="1"/>
    <n v="0"/>
    <n v="72.930000000000007"/>
    <n v="0"/>
    <n v="1"/>
  </r>
  <r>
    <s v="SHP-500711"/>
    <d v="2024-04-16T00:00:00"/>
    <x v="0"/>
    <s v="Q2"/>
    <x v="3"/>
    <x v="2"/>
    <x v="2"/>
    <x v="3"/>
    <x v="2"/>
    <s v="Road"/>
    <x v="0"/>
    <n v="35.9"/>
    <n v="484"/>
    <n v="2"/>
    <n v="2"/>
    <n v="1"/>
    <n v="0"/>
    <n v="50.89"/>
    <n v="0"/>
    <n v="1"/>
  </r>
  <r>
    <s v="SHP-500712"/>
    <d v="2024-04-16T00:00:00"/>
    <x v="0"/>
    <s v="Q2"/>
    <x v="3"/>
    <x v="2"/>
    <x v="2"/>
    <x v="1"/>
    <x v="0"/>
    <s v="Road"/>
    <x v="1"/>
    <n v="3"/>
    <n v="276"/>
    <n v="3"/>
    <n v="3"/>
    <n v="1"/>
    <n v="0"/>
    <n v="10.43"/>
    <n v="0"/>
    <n v="1"/>
  </r>
  <r>
    <s v="SHP-500713"/>
    <d v="2024-04-16T00:00:00"/>
    <x v="0"/>
    <s v="Q2"/>
    <x v="3"/>
    <x v="4"/>
    <x v="1"/>
    <x v="4"/>
    <x v="1"/>
    <s v="Road"/>
    <x v="0"/>
    <n v="59.4"/>
    <n v="1233"/>
    <n v="7"/>
    <n v="7"/>
    <n v="1"/>
    <n v="0"/>
    <n v="38.549999999999997"/>
    <n v="0"/>
    <n v="1"/>
  </r>
  <r>
    <s v="SHP-500714"/>
    <d v="2024-04-17T00:00:00"/>
    <x v="0"/>
    <s v="Q2"/>
    <x v="3"/>
    <x v="1"/>
    <x v="1"/>
    <x v="3"/>
    <x v="1"/>
    <s v="Road"/>
    <x v="0"/>
    <n v="212.2"/>
    <n v="505"/>
    <n v="6"/>
    <n v="6"/>
    <n v="1"/>
    <n v="0"/>
    <n v="76.36"/>
    <n v="0"/>
    <n v="1"/>
  </r>
  <r>
    <s v="SHP-500715"/>
    <d v="2024-04-17T00:00:00"/>
    <x v="0"/>
    <s v="Q2"/>
    <x v="3"/>
    <x v="0"/>
    <x v="2"/>
    <x v="0"/>
    <x v="1"/>
    <s v="Road"/>
    <x v="1"/>
    <n v="3.6"/>
    <n v="846"/>
    <n v="6"/>
    <n v="6"/>
    <n v="1"/>
    <n v="0"/>
    <n v="13.57"/>
    <n v="0"/>
    <n v="1"/>
  </r>
  <r>
    <s v="SHP-500716"/>
    <d v="2024-04-17T00:00:00"/>
    <x v="0"/>
    <s v="Q2"/>
    <x v="3"/>
    <x v="2"/>
    <x v="2"/>
    <x v="1"/>
    <x v="2"/>
    <s v="Road"/>
    <x v="1"/>
    <n v="12.8"/>
    <n v="257"/>
    <n v="1"/>
    <n v="4"/>
    <n v="0"/>
    <n v="3"/>
    <n v="24.96"/>
    <n v="0"/>
    <n v="1"/>
  </r>
  <r>
    <s v="SHP-500717"/>
    <d v="2024-04-17T00:00:00"/>
    <x v="0"/>
    <s v="Q2"/>
    <x v="3"/>
    <x v="2"/>
    <x v="0"/>
    <x v="0"/>
    <x v="0"/>
    <s v="Road"/>
    <x v="1"/>
    <n v="35.1"/>
    <n v="903"/>
    <n v="4"/>
    <n v="4"/>
    <n v="1"/>
    <n v="0"/>
    <n v="27.92"/>
    <n v="0"/>
    <n v="1"/>
  </r>
  <r>
    <s v="SHP-500718"/>
    <d v="2024-04-17T00:00:00"/>
    <x v="0"/>
    <s v="Q2"/>
    <x v="3"/>
    <x v="0"/>
    <x v="1"/>
    <x v="0"/>
    <x v="0"/>
    <s v="Road"/>
    <x v="0"/>
    <n v="90.8"/>
    <n v="754"/>
    <n v="4"/>
    <n v="3"/>
    <n v="1"/>
    <n v="0"/>
    <n v="52.23"/>
    <n v="0"/>
    <n v="1"/>
  </r>
  <r>
    <s v="SHP-500719"/>
    <d v="2024-04-17T00:00:00"/>
    <x v="0"/>
    <s v="Q2"/>
    <x v="3"/>
    <x v="3"/>
    <x v="2"/>
    <x v="1"/>
    <x v="0"/>
    <s v="Road"/>
    <x v="1"/>
    <n v="4.9000000000000004"/>
    <n v="274"/>
    <n v="3"/>
    <n v="3"/>
    <n v="1"/>
    <n v="0"/>
    <n v="13.91"/>
    <n v="0"/>
    <n v="1"/>
  </r>
  <r>
    <s v="SHP-500720"/>
    <d v="2024-04-17T00:00:00"/>
    <x v="0"/>
    <s v="Q2"/>
    <x v="3"/>
    <x v="4"/>
    <x v="0"/>
    <x v="0"/>
    <x v="0"/>
    <s v="Road"/>
    <x v="1"/>
    <n v="2"/>
    <n v="939"/>
    <n v="4"/>
    <n v="6"/>
    <n v="0"/>
    <n v="2"/>
    <n v="19.8"/>
    <n v="0"/>
    <n v="1"/>
  </r>
  <r>
    <s v="SHP-500721"/>
    <d v="2024-04-18T00:00:00"/>
    <x v="0"/>
    <s v="Q2"/>
    <x v="3"/>
    <x v="0"/>
    <x v="2"/>
    <x v="2"/>
    <x v="2"/>
    <s v="Air"/>
    <x v="1"/>
    <n v="6.8"/>
    <n v="995"/>
    <n v="3"/>
    <n v="3"/>
    <n v="1"/>
    <n v="0"/>
    <n v="64.099999999999994"/>
    <n v="0"/>
    <n v="1"/>
  </r>
  <r>
    <s v="SHP-500722"/>
    <d v="2024-04-18T00:00:00"/>
    <x v="0"/>
    <s v="Q2"/>
    <x v="3"/>
    <x v="3"/>
    <x v="1"/>
    <x v="1"/>
    <x v="2"/>
    <s v="Road"/>
    <x v="1"/>
    <n v="1.9"/>
    <n v="277"/>
    <n v="1"/>
    <n v="1"/>
    <n v="1"/>
    <n v="0"/>
    <n v="24.46"/>
    <n v="0"/>
    <n v="1"/>
  </r>
  <r>
    <s v="SHP-500723"/>
    <d v="2024-04-18T00:00:00"/>
    <x v="0"/>
    <s v="Q2"/>
    <x v="3"/>
    <x v="0"/>
    <x v="2"/>
    <x v="0"/>
    <x v="2"/>
    <s v="Air"/>
    <x v="1"/>
    <n v="9.6999999999999993"/>
    <n v="1082"/>
    <n v="2"/>
    <n v="1"/>
    <n v="1"/>
    <n v="0"/>
    <n v="73.87"/>
    <n v="0"/>
    <n v="1"/>
  </r>
  <r>
    <s v="SHP-500724"/>
    <d v="2024-04-18T00:00:00"/>
    <x v="0"/>
    <s v="Q2"/>
    <x v="3"/>
    <x v="3"/>
    <x v="1"/>
    <x v="1"/>
    <x v="0"/>
    <s v="Road"/>
    <x v="1"/>
    <n v="13"/>
    <n v="301"/>
    <n v="3"/>
    <n v="3"/>
    <n v="1"/>
    <n v="0"/>
    <n v="18.07"/>
    <n v="0"/>
    <n v="1"/>
  </r>
  <r>
    <s v="SHP-500725"/>
    <d v="2024-04-18T00:00:00"/>
    <x v="0"/>
    <s v="Q2"/>
    <x v="3"/>
    <x v="4"/>
    <x v="1"/>
    <x v="2"/>
    <x v="0"/>
    <s v="Road"/>
    <x v="1"/>
    <n v="8.1"/>
    <n v="1301"/>
    <n v="5"/>
    <n v="5"/>
    <n v="1"/>
    <n v="0"/>
    <n v="28.68"/>
    <n v="0"/>
    <n v="1"/>
  </r>
  <r>
    <s v="SHP-500726"/>
    <d v="2024-04-18T00:00:00"/>
    <x v="0"/>
    <s v="Q2"/>
    <x v="3"/>
    <x v="4"/>
    <x v="1"/>
    <x v="0"/>
    <x v="2"/>
    <s v="Air"/>
    <x v="1"/>
    <n v="13.6"/>
    <n v="925"/>
    <n v="2"/>
    <n v="2"/>
    <n v="1"/>
    <n v="0"/>
    <n v="72.12"/>
    <n v="0"/>
    <n v="1"/>
  </r>
  <r>
    <s v="SHP-500727"/>
    <d v="2024-04-18T00:00:00"/>
    <x v="0"/>
    <s v="Q2"/>
    <x v="3"/>
    <x v="4"/>
    <x v="2"/>
    <x v="1"/>
    <x v="1"/>
    <s v="Road"/>
    <x v="1"/>
    <n v="9.6"/>
    <n v="211"/>
    <n v="5"/>
    <n v="9"/>
    <n v="0"/>
    <n v="4"/>
    <n v="11.82"/>
    <n v="0"/>
    <n v="1"/>
  </r>
  <r>
    <s v="SHP-500728"/>
    <d v="2024-04-18T00:00:00"/>
    <x v="0"/>
    <s v="Q2"/>
    <x v="3"/>
    <x v="0"/>
    <x v="1"/>
    <x v="1"/>
    <x v="0"/>
    <s v="Road"/>
    <x v="1"/>
    <n v="4.8"/>
    <n v="212"/>
    <n v="3"/>
    <n v="2"/>
    <n v="1"/>
    <n v="0"/>
    <n v="10.43"/>
    <n v="0"/>
    <n v="1"/>
  </r>
  <r>
    <s v="SHP-500729"/>
    <d v="2024-04-19T00:00:00"/>
    <x v="0"/>
    <s v="Q2"/>
    <x v="3"/>
    <x v="4"/>
    <x v="0"/>
    <x v="4"/>
    <x v="2"/>
    <s v="Air"/>
    <x v="1"/>
    <n v="1.1000000000000001"/>
    <n v="976"/>
    <n v="3"/>
    <n v="3"/>
    <n v="1"/>
    <n v="0"/>
    <n v="59.08"/>
    <n v="0"/>
    <n v="1"/>
  </r>
  <r>
    <s v="SHP-500730"/>
    <d v="2024-04-19T00:00:00"/>
    <x v="0"/>
    <s v="Q2"/>
    <x v="3"/>
    <x v="2"/>
    <x v="2"/>
    <x v="1"/>
    <x v="0"/>
    <s v="Road"/>
    <x v="0"/>
    <n v="158.1"/>
    <n v="219"/>
    <n v="3"/>
    <n v="3"/>
    <n v="1"/>
    <n v="0"/>
    <n v="57.83"/>
    <n v="0"/>
    <n v="1"/>
  </r>
  <r>
    <s v="SHP-500731"/>
    <d v="2024-04-19T00:00:00"/>
    <x v="0"/>
    <s v="Q2"/>
    <x v="3"/>
    <x v="4"/>
    <x v="0"/>
    <x v="1"/>
    <x v="0"/>
    <s v="Road"/>
    <x v="0"/>
    <n v="249.8"/>
    <n v="259"/>
    <n v="3"/>
    <n v="5"/>
    <n v="0"/>
    <n v="2"/>
    <n v="122.47"/>
    <n v="0"/>
    <n v="1"/>
  </r>
  <r>
    <s v="SHP-500732"/>
    <d v="2024-04-19T00:00:00"/>
    <x v="0"/>
    <s v="Q2"/>
    <x v="3"/>
    <x v="1"/>
    <x v="0"/>
    <x v="1"/>
    <x v="0"/>
    <s v="Road"/>
    <x v="1"/>
    <n v="12.5"/>
    <n v="274"/>
    <n v="3"/>
    <n v="3"/>
    <n v="1"/>
    <n v="0"/>
    <n v="18.760000000000002"/>
    <n v="0"/>
    <n v="1"/>
  </r>
  <r>
    <s v="SHP-500733"/>
    <d v="2024-04-19T00:00:00"/>
    <x v="0"/>
    <s v="Q2"/>
    <x v="3"/>
    <x v="0"/>
    <x v="2"/>
    <x v="0"/>
    <x v="0"/>
    <s v="Road"/>
    <x v="0"/>
    <n v="102"/>
    <n v="814"/>
    <n v="4"/>
    <n v="4"/>
    <n v="1"/>
    <n v="0"/>
    <n v="62.1"/>
    <n v="0"/>
    <n v="1"/>
  </r>
  <r>
    <s v="SHP-500734"/>
    <d v="2024-04-19T00:00:00"/>
    <x v="0"/>
    <s v="Q2"/>
    <x v="3"/>
    <x v="4"/>
    <x v="2"/>
    <x v="2"/>
    <x v="2"/>
    <s v="Air"/>
    <x v="0"/>
    <n v="130.9"/>
    <n v="1083"/>
    <n v="3"/>
    <n v="2"/>
    <n v="1"/>
    <n v="0"/>
    <n v="219.17"/>
    <n v="0"/>
    <n v="1"/>
  </r>
  <r>
    <s v="SHP-500735"/>
    <d v="2024-04-20T00:00:00"/>
    <x v="0"/>
    <s v="Q2"/>
    <x v="3"/>
    <x v="1"/>
    <x v="1"/>
    <x v="1"/>
    <x v="2"/>
    <s v="Road"/>
    <x v="0"/>
    <n v="150.80000000000001"/>
    <n v="236"/>
    <n v="1"/>
    <n v="1"/>
    <n v="1"/>
    <n v="0"/>
    <n v="148.41"/>
    <n v="0"/>
    <n v="1"/>
  </r>
  <r>
    <s v="SHP-500736"/>
    <d v="2024-04-20T00:00:00"/>
    <x v="0"/>
    <s v="Q2"/>
    <x v="3"/>
    <x v="1"/>
    <x v="2"/>
    <x v="1"/>
    <x v="0"/>
    <s v="Road"/>
    <x v="0"/>
    <n v="34.799999999999997"/>
    <n v="284"/>
    <n v="3"/>
    <n v="3"/>
    <n v="1"/>
    <n v="0"/>
    <n v="33.26"/>
    <n v="0"/>
    <n v="1"/>
  </r>
  <r>
    <s v="SHP-500737"/>
    <d v="2024-04-20T00:00:00"/>
    <x v="0"/>
    <s v="Q2"/>
    <x v="3"/>
    <x v="3"/>
    <x v="0"/>
    <x v="4"/>
    <x v="2"/>
    <s v="Air"/>
    <x v="1"/>
    <n v="6.1"/>
    <n v="892"/>
    <n v="3"/>
    <n v="3"/>
    <n v="1"/>
    <n v="0"/>
    <n v="68.59"/>
    <n v="0"/>
    <n v="1"/>
  </r>
  <r>
    <s v="SHP-500738"/>
    <d v="2024-04-20T00:00:00"/>
    <x v="0"/>
    <s v="Q2"/>
    <x v="3"/>
    <x v="3"/>
    <x v="2"/>
    <x v="0"/>
    <x v="0"/>
    <s v="Road"/>
    <x v="1"/>
    <n v="1.7"/>
    <n v="866"/>
    <n v="4"/>
    <n v="4"/>
    <n v="1"/>
    <n v="0"/>
    <n v="19.46"/>
    <n v="0"/>
    <n v="1"/>
  </r>
  <r>
    <s v="SHP-500739"/>
    <d v="2024-04-20T00:00:00"/>
    <x v="0"/>
    <s v="Q2"/>
    <x v="3"/>
    <x v="1"/>
    <x v="2"/>
    <x v="1"/>
    <x v="2"/>
    <s v="Road"/>
    <x v="0"/>
    <n v="102.8"/>
    <n v="292"/>
    <n v="1"/>
    <n v="1"/>
    <n v="1"/>
    <n v="0"/>
    <n v="115.3"/>
    <n v="0"/>
    <n v="1"/>
  </r>
  <r>
    <s v="SHP-500740"/>
    <d v="2024-04-21T00:00:00"/>
    <x v="0"/>
    <s v="Q2"/>
    <x v="3"/>
    <x v="4"/>
    <x v="1"/>
    <x v="1"/>
    <x v="2"/>
    <s v="Road"/>
    <x v="1"/>
    <n v="9.6999999999999993"/>
    <n v="224"/>
    <n v="1"/>
    <n v="3"/>
    <n v="0"/>
    <n v="2"/>
    <n v="26.95"/>
    <n v="0"/>
    <n v="1"/>
  </r>
  <r>
    <s v="SHP-500741"/>
    <d v="2024-04-21T00:00:00"/>
    <x v="0"/>
    <s v="Q2"/>
    <x v="3"/>
    <x v="3"/>
    <x v="0"/>
    <x v="0"/>
    <x v="1"/>
    <s v="Road"/>
    <x v="1"/>
    <n v="6.6"/>
    <n v="1197"/>
    <n v="6"/>
    <n v="6"/>
    <n v="1"/>
    <n v="0"/>
    <n v="18"/>
    <n v="0"/>
    <n v="1"/>
  </r>
  <r>
    <s v="SHP-500742"/>
    <d v="2024-04-21T00:00:00"/>
    <x v="0"/>
    <s v="Q2"/>
    <x v="3"/>
    <x v="0"/>
    <x v="1"/>
    <x v="0"/>
    <x v="2"/>
    <s v="Air"/>
    <x v="1"/>
    <n v="15.7"/>
    <n v="828"/>
    <n v="2"/>
    <n v="1"/>
    <n v="1"/>
    <n v="0"/>
    <n v="75.98"/>
    <n v="0"/>
    <n v="1"/>
  </r>
  <r>
    <s v="SHP-500743"/>
    <d v="2024-04-21T00:00:00"/>
    <x v="0"/>
    <s v="Q2"/>
    <x v="3"/>
    <x v="2"/>
    <x v="2"/>
    <x v="2"/>
    <x v="2"/>
    <s v="Air"/>
    <x v="0"/>
    <n v="307.3"/>
    <n v="1310"/>
    <n v="3"/>
    <n v="2"/>
    <n v="1"/>
    <n v="0"/>
    <n v="352.55"/>
    <n v="0"/>
    <n v="1"/>
  </r>
  <r>
    <s v="SHP-500744"/>
    <d v="2024-04-21T00:00:00"/>
    <x v="0"/>
    <s v="Q2"/>
    <x v="3"/>
    <x v="2"/>
    <x v="0"/>
    <x v="4"/>
    <x v="0"/>
    <s v="Road"/>
    <x v="1"/>
    <n v="13.1"/>
    <n v="1117"/>
    <n v="5"/>
    <n v="5"/>
    <n v="1"/>
    <n v="0"/>
    <n v="24.67"/>
    <n v="0"/>
    <n v="1"/>
  </r>
  <r>
    <s v="SHP-500745"/>
    <d v="2024-04-21T00:00:00"/>
    <x v="0"/>
    <s v="Q2"/>
    <x v="3"/>
    <x v="4"/>
    <x v="2"/>
    <x v="0"/>
    <x v="0"/>
    <s v="Road"/>
    <x v="1"/>
    <n v="2.9"/>
    <n v="849"/>
    <n v="4"/>
    <n v="4"/>
    <n v="1"/>
    <n v="0"/>
    <n v="16.829999999999998"/>
    <n v="0"/>
    <n v="1"/>
  </r>
  <r>
    <s v="SHP-500746"/>
    <d v="2024-04-21T00:00:00"/>
    <x v="0"/>
    <s v="Q2"/>
    <x v="3"/>
    <x v="4"/>
    <x v="1"/>
    <x v="0"/>
    <x v="0"/>
    <s v="Road"/>
    <x v="1"/>
    <n v="8.6999999999999993"/>
    <n v="802"/>
    <n v="4"/>
    <n v="4"/>
    <n v="1"/>
    <n v="0"/>
    <n v="22.32"/>
    <n v="0"/>
    <n v="1"/>
  </r>
  <r>
    <s v="SHP-500747"/>
    <d v="2024-04-21T00:00:00"/>
    <x v="0"/>
    <s v="Q2"/>
    <x v="3"/>
    <x v="3"/>
    <x v="2"/>
    <x v="1"/>
    <x v="0"/>
    <s v="Road"/>
    <x v="1"/>
    <n v="9.6999999999999993"/>
    <n v="181"/>
    <n v="3"/>
    <n v="3"/>
    <n v="1"/>
    <n v="0"/>
    <n v="14.75"/>
    <n v="0"/>
    <n v="1"/>
  </r>
  <r>
    <s v="SHP-500748"/>
    <d v="2024-04-21T00:00:00"/>
    <x v="0"/>
    <s v="Q2"/>
    <x v="3"/>
    <x v="3"/>
    <x v="1"/>
    <x v="1"/>
    <x v="1"/>
    <s v="Road"/>
    <x v="0"/>
    <n v="256.7"/>
    <n v="196"/>
    <n v="5"/>
    <n v="5"/>
    <n v="1"/>
    <n v="0"/>
    <n v="91.54"/>
    <n v="0"/>
    <n v="1"/>
  </r>
  <r>
    <s v="SHP-500749"/>
    <d v="2024-04-22T00:00:00"/>
    <x v="0"/>
    <s v="Q2"/>
    <x v="3"/>
    <x v="1"/>
    <x v="2"/>
    <x v="2"/>
    <x v="0"/>
    <s v="Road"/>
    <x v="1"/>
    <n v="13.4"/>
    <n v="1093"/>
    <n v="5"/>
    <n v="5"/>
    <n v="1"/>
    <n v="0"/>
    <n v="29.1"/>
    <n v="0"/>
    <n v="1"/>
  </r>
  <r>
    <s v="SHP-500750"/>
    <d v="2024-04-22T00:00:00"/>
    <x v="0"/>
    <s v="Q2"/>
    <x v="3"/>
    <x v="3"/>
    <x v="1"/>
    <x v="1"/>
    <x v="0"/>
    <s v="Road"/>
    <x v="0"/>
    <n v="674"/>
    <n v="251"/>
    <n v="3"/>
    <n v="3"/>
    <n v="1"/>
    <n v="0"/>
    <n v="287.08"/>
    <n v="0"/>
    <n v="1"/>
  </r>
  <r>
    <s v="SHP-500751"/>
    <d v="2024-04-22T00:00:00"/>
    <x v="0"/>
    <s v="Q2"/>
    <x v="3"/>
    <x v="2"/>
    <x v="1"/>
    <x v="1"/>
    <x v="0"/>
    <s v="Road"/>
    <x v="1"/>
    <n v="3.1"/>
    <n v="239"/>
    <n v="3"/>
    <n v="5"/>
    <n v="0"/>
    <n v="2"/>
    <n v="9.5"/>
    <n v="0"/>
    <n v="1"/>
  </r>
  <r>
    <s v="SHP-500752"/>
    <d v="2024-04-23T00:00:00"/>
    <x v="0"/>
    <s v="Q2"/>
    <x v="3"/>
    <x v="2"/>
    <x v="2"/>
    <x v="1"/>
    <x v="0"/>
    <s v="Road"/>
    <x v="1"/>
    <n v="2.8"/>
    <n v="302"/>
    <n v="3"/>
    <n v="3"/>
    <n v="1"/>
    <n v="0"/>
    <n v="10.42"/>
    <n v="0"/>
    <n v="1"/>
  </r>
  <r>
    <s v="SHP-500753"/>
    <d v="2024-04-23T00:00:00"/>
    <x v="0"/>
    <s v="Q2"/>
    <x v="3"/>
    <x v="2"/>
    <x v="2"/>
    <x v="1"/>
    <x v="2"/>
    <s v="Road"/>
    <x v="1"/>
    <n v="21.2"/>
    <n v="257"/>
    <n v="1"/>
    <n v="1"/>
    <n v="1"/>
    <n v="0"/>
    <n v="35.049999999999997"/>
    <n v="0"/>
    <n v="1"/>
  </r>
  <r>
    <s v="SHP-500754"/>
    <d v="2024-04-23T00:00:00"/>
    <x v="0"/>
    <s v="Q2"/>
    <x v="3"/>
    <x v="1"/>
    <x v="0"/>
    <x v="1"/>
    <x v="0"/>
    <s v="Road"/>
    <x v="1"/>
    <n v="1.9"/>
    <n v="287"/>
    <n v="3"/>
    <n v="3"/>
    <n v="1"/>
    <n v="0"/>
    <n v="11.37"/>
    <n v="0"/>
    <n v="1"/>
  </r>
  <r>
    <s v="SHP-500755"/>
    <d v="2024-04-23T00:00:00"/>
    <x v="0"/>
    <s v="Q2"/>
    <x v="3"/>
    <x v="2"/>
    <x v="2"/>
    <x v="0"/>
    <x v="0"/>
    <s v="Road"/>
    <x v="1"/>
    <n v="3.9"/>
    <n v="884"/>
    <n v="4"/>
    <n v="6"/>
    <n v="0"/>
    <n v="2"/>
    <n v="16.32"/>
    <n v="0"/>
    <n v="1"/>
  </r>
  <r>
    <s v="SHP-500756"/>
    <d v="2024-04-23T00:00:00"/>
    <x v="0"/>
    <s v="Q2"/>
    <x v="3"/>
    <x v="2"/>
    <x v="1"/>
    <x v="0"/>
    <x v="2"/>
    <s v="Air"/>
    <x v="1"/>
    <n v="4"/>
    <n v="683"/>
    <n v="2"/>
    <n v="2"/>
    <n v="1"/>
    <n v="0"/>
    <n v="46.38"/>
    <n v="0"/>
    <n v="1"/>
  </r>
  <r>
    <s v="SHP-500757"/>
    <d v="2024-04-23T00:00:00"/>
    <x v="0"/>
    <s v="Q2"/>
    <x v="3"/>
    <x v="1"/>
    <x v="1"/>
    <x v="2"/>
    <x v="2"/>
    <s v="Air"/>
    <x v="0"/>
    <n v="88.7"/>
    <n v="970"/>
    <n v="3"/>
    <n v="3"/>
    <n v="1"/>
    <n v="0"/>
    <n v="191.01"/>
    <n v="1"/>
    <n v="1"/>
  </r>
  <r>
    <s v="SHP-500758"/>
    <d v="2024-04-23T00:00:00"/>
    <x v="0"/>
    <s v="Q2"/>
    <x v="3"/>
    <x v="3"/>
    <x v="2"/>
    <x v="0"/>
    <x v="0"/>
    <s v="Road"/>
    <x v="1"/>
    <n v="6.1"/>
    <n v="893"/>
    <n v="4"/>
    <n v="4"/>
    <n v="1"/>
    <n v="0"/>
    <n v="22.46"/>
    <n v="0"/>
    <n v="1"/>
  </r>
  <r>
    <s v="SHP-500759"/>
    <d v="2024-04-24T00:00:00"/>
    <x v="0"/>
    <s v="Q2"/>
    <x v="3"/>
    <x v="2"/>
    <x v="1"/>
    <x v="0"/>
    <x v="0"/>
    <s v="Road"/>
    <x v="0"/>
    <n v="38.299999999999997"/>
    <n v="892"/>
    <n v="4"/>
    <n v="4"/>
    <n v="1"/>
    <n v="0"/>
    <n v="34.61"/>
    <n v="0"/>
    <n v="1"/>
  </r>
  <r>
    <s v="SHP-500760"/>
    <d v="2024-04-24T00:00:00"/>
    <x v="0"/>
    <s v="Q2"/>
    <x v="3"/>
    <x v="0"/>
    <x v="1"/>
    <x v="2"/>
    <x v="2"/>
    <s v="Air"/>
    <x v="1"/>
    <n v="2"/>
    <n v="1068"/>
    <n v="3"/>
    <n v="3"/>
    <n v="1"/>
    <n v="0"/>
    <n v="65.989999999999995"/>
    <n v="0"/>
    <n v="1"/>
  </r>
  <r>
    <s v="SHP-500761"/>
    <d v="2024-04-24T00:00:00"/>
    <x v="0"/>
    <s v="Q2"/>
    <x v="3"/>
    <x v="3"/>
    <x v="2"/>
    <x v="3"/>
    <x v="0"/>
    <s v="Road"/>
    <x v="0"/>
    <n v="129.5"/>
    <n v="518"/>
    <n v="4"/>
    <n v="4"/>
    <n v="1"/>
    <n v="0"/>
    <n v="73.25"/>
    <n v="0"/>
    <n v="1"/>
  </r>
  <r>
    <s v="SHP-500762"/>
    <d v="2024-04-24T00:00:00"/>
    <x v="0"/>
    <s v="Q2"/>
    <x v="3"/>
    <x v="2"/>
    <x v="0"/>
    <x v="0"/>
    <x v="0"/>
    <s v="Road"/>
    <x v="1"/>
    <n v="2.4"/>
    <n v="704"/>
    <n v="4"/>
    <n v="3"/>
    <n v="1"/>
    <n v="0"/>
    <n v="12.41"/>
    <n v="0"/>
    <n v="1"/>
  </r>
  <r>
    <s v="SHP-500763"/>
    <d v="2024-04-24T00:00:00"/>
    <x v="0"/>
    <s v="Q2"/>
    <x v="3"/>
    <x v="1"/>
    <x v="0"/>
    <x v="4"/>
    <x v="0"/>
    <s v="Road"/>
    <x v="1"/>
    <n v="15.5"/>
    <n v="1109"/>
    <n v="5"/>
    <n v="5"/>
    <n v="1"/>
    <n v="0"/>
    <n v="27.49"/>
    <n v="0"/>
    <n v="1"/>
  </r>
  <r>
    <s v="SHP-500764"/>
    <d v="2024-04-24T00:00:00"/>
    <x v="0"/>
    <s v="Q2"/>
    <x v="3"/>
    <x v="4"/>
    <x v="0"/>
    <x v="1"/>
    <x v="0"/>
    <s v="Road"/>
    <x v="1"/>
    <n v="3.6"/>
    <n v="271"/>
    <n v="3"/>
    <n v="2"/>
    <n v="1"/>
    <n v="0"/>
    <n v="11.39"/>
    <n v="0"/>
    <n v="1"/>
  </r>
  <r>
    <s v="SHP-500765"/>
    <d v="2024-04-24T00:00:00"/>
    <x v="0"/>
    <s v="Q2"/>
    <x v="3"/>
    <x v="2"/>
    <x v="2"/>
    <x v="3"/>
    <x v="0"/>
    <s v="Road"/>
    <x v="0"/>
    <n v="188.7"/>
    <n v="476"/>
    <n v="4"/>
    <n v="4"/>
    <n v="1"/>
    <n v="0"/>
    <n v="83.26"/>
    <n v="0"/>
    <n v="1"/>
  </r>
  <r>
    <s v="SHP-500766"/>
    <d v="2024-04-24T00:00:00"/>
    <x v="0"/>
    <s v="Q2"/>
    <x v="3"/>
    <x v="4"/>
    <x v="0"/>
    <x v="1"/>
    <x v="0"/>
    <s v="Road"/>
    <x v="1"/>
    <n v="1.9"/>
    <n v="231"/>
    <n v="3"/>
    <n v="3"/>
    <n v="1"/>
    <n v="0"/>
    <n v="10.49"/>
    <n v="0"/>
    <n v="1"/>
  </r>
  <r>
    <s v="SHP-500767"/>
    <d v="2024-04-25T00:00:00"/>
    <x v="0"/>
    <s v="Q2"/>
    <x v="3"/>
    <x v="4"/>
    <x v="1"/>
    <x v="1"/>
    <x v="2"/>
    <s v="Road"/>
    <x v="0"/>
    <n v="17.8"/>
    <n v="240"/>
    <n v="1"/>
    <n v="1"/>
    <n v="1"/>
    <n v="0"/>
    <n v="36.07"/>
    <n v="0"/>
    <n v="1"/>
  </r>
  <r>
    <s v="SHP-500768"/>
    <d v="2024-04-25T00:00:00"/>
    <x v="0"/>
    <s v="Q2"/>
    <x v="3"/>
    <x v="4"/>
    <x v="2"/>
    <x v="4"/>
    <x v="1"/>
    <s v="Road"/>
    <x v="1"/>
    <n v="7.9"/>
    <n v="1282"/>
    <n v="7"/>
    <n v="9"/>
    <n v="0"/>
    <n v="2"/>
    <n v="18.29"/>
    <n v="0"/>
    <n v="1"/>
  </r>
  <r>
    <s v="SHP-500769"/>
    <d v="2024-04-25T00:00:00"/>
    <x v="0"/>
    <s v="Q2"/>
    <x v="3"/>
    <x v="2"/>
    <x v="1"/>
    <x v="0"/>
    <x v="0"/>
    <s v="Road"/>
    <x v="1"/>
    <n v="1.3"/>
    <n v="856"/>
    <n v="4"/>
    <n v="6"/>
    <n v="0"/>
    <n v="2"/>
    <n v="14.49"/>
    <n v="0"/>
    <n v="1"/>
  </r>
  <r>
    <s v="SHP-500770"/>
    <d v="2024-04-25T00:00:00"/>
    <x v="0"/>
    <s v="Q2"/>
    <x v="3"/>
    <x v="4"/>
    <x v="2"/>
    <x v="3"/>
    <x v="0"/>
    <s v="Road"/>
    <x v="0"/>
    <n v="299"/>
    <n v="431"/>
    <n v="4"/>
    <n v="4"/>
    <n v="1"/>
    <n v="0"/>
    <n v="130.76"/>
    <n v="0"/>
    <n v="1"/>
  </r>
  <r>
    <s v="SHP-500771"/>
    <d v="2024-04-25T00:00:00"/>
    <x v="0"/>
    <s v="Q2"/>
    <x v="3"/>
    <x v="2"/>
    <x v="1"/>
    <x v="0"/>
    <x v="0"/>
    <s v="Road"/>
    <x v="0"/>
    <n v="89.3"/>
    <n v="920"/>
    <n v="4"/>
    <n v="4"/>
    <n v="1"/>
    <n v="0"/>
    <n v="49.46"/>
    <n v="0"/>
    <n v="1"/>
  </r>
  <r>
    <s v="SHP-500772"/>
    <d v="2024-04-25T00:00:00"/>
    <x v="0"/>
    <s v="Q2"/>
    <x v="3"/>
    <x v="1"/>
    <x v="2"/>
    <x v="0"/>
    <x v="1"/>
    <s v="Road"/>
    <x v="1"/>
    <n v="6.2"/>
    <n v="907"/>
    <n v="6"/>
    <n v="6"/>
    <n v="1"/>
    <n v="0"/>
    <n v="16.829999999999998"/>
    <n v="0"/>
    <n v="1"/>
  </r>
  <r>
    <s v="SHP-500773"/>
    <d v="2024-04-25T00:00:00"/>
    <x v="0"/>
    <s v="Q2"/>
    <x v="3"/>
    <x v="2"/>
    <x v="2"/>
    <x v="2"/>
    <x v="0"/>
    <s v="Road"/>
    <x v="1"/>
    <n v="27.4"/>
    <n v="1228"/>
    <n v="5"/>
    <n v="5"/>
    <n v="1"/>
    <n v="0"/>
    <n v="30.25"/>
    <n v="0"/>
    <n v="1"/>
  </r>
  <r>
    <s v="SHP-500774"/>
    <d v="2024-04-25T00:00:00"/>
    <x v="0"/>
    <s v="Q2"/>
    <x v="3"/>
    <x v="2"/>
    <x v="2"/>
    <x v="3"/>
    <x v="1"/>
    <s v="Road"/>
    <x v="0"/>
    <n v="72.599999999999994"/>
    <n v="441"/>
    <n v="6"/>
    <n v="9"/>
    <n v="0"/>
    <n v="3"/>
    <n v="28.11"/>
    <n v="0"/>
    <n v="1"/>
  </r>
  <r>
    <s v="SHP-500775"/>
    <d v="2024-04-25T00:00:00"/>
    <x v="0"/>
    <s v="Q2"/>
    <x v="3"/>
    <x v="4"/>
    <x v="1"/>
    <x v="1"/>
    <x v="0"/>
    <s v="Road"/>
    <x v="0"/>
    <n v="144.9"/>
    <n v="299"/>
    <n v="3"/>
    <n v="3"/>
    <n v="1"/>
    <n v="0"/>
    <n v="68.86"/>
    <n v="0"/>
    <n v="1"/>
  </r>
  <r>
    <s v="SHP-500776"/>
    <d v="2024-04-25T00:00:00"/>
    <x v="0"/>
    <s v="Q2"/>
    <x v="3"/>
    <x v="2"/>
    <x v="2"/>
    <x v="1"/>
    <x v="0"/>
    <s v="Road"/>
    <x v="0"/>
    <n v="121.6"/>
    <n v="208"/>
    <n v="3"/>
    <n v="3"/>
    <n v="1"/>
    <n v="0"/>
    <n v="56.28"/>
    <n v="0"/>
    <n v="1"/>
  </r>
  <r>
    <s v="SHP-500777"/>
    <d v="2024-04-26T00:00:00"/>
    <x v="0"/>
    <s v="Q2"/>
    <x v="3"/>
    <x v="1"/>
    <x v="2"/>
    <x v="3"/>
    <x v="0"/>
    <s v="Road"/>
    <x v="1"/>
    <n v="5.3"/>
    <n v="590"/>
    <n v="4"/>
    <n v="4"/>
    <n v="1"/>
    <n v="0"/>
    <n v="16.38"/>
    <n v="0"/>
    <n v="1"/>
  </r>
  <r>
    <s v="SHP-500778"/>
    <d v="2024-04-26T00:00:00"/>
    <x v="0"/>
    <s v="Q2"/>
    <x v="3"/>
    <x v="2"/>
    <x v="0"/>
    <x v="3"/>
    <x v="0"/>
    <s v="Road"/>
    <x v="0"/>
    <n v="253"/>
    <n v="572"/>
    <n v="4"/>
    <n v="4"/>
    <n v="1"/>
    <n v="0"/>
    <n v="91.87"/>
    <n v="0"/>
    <n v="1"/>
  </r>
  <r>
    <s v="SHP-500779"/>
    <d v="2024-04-26T00:00:00"/>
    <x v="0"/>
    <s v="Q2"/>
    <x v="3"/>
    <x v="3"/>
    <x v="2"/>
    <x v="1"/>
    <x v="1"/>
    <s v="Road"/>
    <x v="0"/>
    <n v="106"/>
    <n v="228"/>
    <n v="5"/>
    <n v="5"/>
    <n v="1"/>
    <n v="0"/>
    <n v="45.97"/>
    <n v="0"/>
    <n v="1"/>
  </r>
  <r>
    <s v="SHP-500780"/>
    <d v="2024-04-27T00:00:00"/>
    <x v="0"/>
    <s v="Q2"/>
    <x v="3"/>
    <x v="0"/>
    <x v="1"/>
    <x v="1"/>
    <x v="2"/>
    <s v="Road"/>
    <x v="0"/>
    <n v="276"/>
    <n v="237"/>
    <n v="1"/>
    <n v="3"/>
    <n v="0"/>
    <n v="2"/>
    <n v="213.42"/>
    <n v="0"/>
    <n v="1"/>
  </r>
  <r>
    <s v="SHP-500781"/>
    <d v="2024-04-27T00:00:00"/>
    <x v="0"/>
    <s v="Q2"/>
    <x v="3"/>
    <x v="2"/>
    <x v="2"/>
    <x v="3"/>
    <x v="0"/>
    <s v="Road"/>
    <x v="0"/>
    <n v="61.4"/>
    <n v="483"/>
    <n v="4"/>
    <n v="6"/>
    <n v="0"/>
    <n v="2"/>
    <n v="31.53"/>
    <n v="0"/>
    <n v="1"/>
  </r>
  <r>
    <s v="SHP-500782"/>
    <d v="2024-04-27T00:00:00"/>
    <x v="0"/>
    <s v="Q2"/>
    <x v="3"/>
    <x v="0"/>
    <x v="2"/>
    <x v="0"/>
    <x v="0"/>
    <s v="Road"/>
    <x v="1"/>
    <n v="3"/>
    <n v="1093"/>
    <n v="4"/>
    <n v="4"/>
    <n v="1"/>
    <n v="0"/>
    <n v="21.15"/>
    <n v="0"/>
    <n v="1"/>
  </r>
  <r>
    <s v="SHP-500783"/>
    <d v="2024-04-27T00:00:00"/>
    <x v="0"/>
    <s v="Q2"/>
    <x v="3"/>
    <x v="0"/>
    <x v="1"/>
    <x v="3"/>
    <x v="1"/>
    <s v="Road"/>
    <x v="1"/>
    <n v="7.6"/>
    <n v="458"/>
    <n v="6"/>
    <n v="5"/>
    <n v="1"/>
    <n v="0"/>
    <n v="12.51"/>
    <n v="0"/>
    <n v="1"/>
  </r>
  <r>
    <s v="SHP-500784"/>
    <d v="2024-04-27T00:00:00"/>
    <x v="0"/>
    <s v="Q2"/>
    <x v="3"/>
    <x v="1"/>
    <x v="2"/>
    <x v="0"/>
    <x v="0"/>
    <s v="Road"/>
    <x v="1"/>
    <n v="14.8"/>
    <n v="1030"/>
    <n v="4"/>
    <n v="4"/>
    <n v="1"/>
    <n v="0"/>
    <n v="26.09"/>
    <n v="0"/>
    <n v="1"/>
  </r>
  <r>
    <s v="SHP-500785"/>
    <d v="2024-04-27T00:00:00"/>
    <x v="0"/>
    <s v="Q2"/>
    <x v="3"/>
    <x v="1"/>
    <x v="2"/>
    <x v="2"/>
    <x v="2"/>
    <s v="Air"/>
    <x v="1"/>
    <n v="6.5"/>
    <n v="1196"/>
    <n v="3"/>
    <n v="3"/>
    <n v="1"/>
    <n v="0"/>
    <n v="76.510000000000005"/>
    <n v="0"/>
    <n v="1"/>
  </r>
  <r>
    <s v="SHP-500786"/>
    <d v="2024-04-28T00:00:00"/>
    <x v="0"/>
    <s v="Q2"/>
    <x v="3"/>
    <x v="0"/>
    <x v="1"/>
    <x v="3"/>
    <x v="1"/>
    <s v="Road"/>
    <x v="0"/>
    <n v="197"/>
    <n v="449"/>
    <n v="6"/>
    <n v="6"/>
    <n v="1"/>
    <n v="0"/>
    <n v="72.03"/>
    <n v="0"/>
    <n v="1"/>
  </r>
  <r>
    <s v="SHP-500787"/>
    <d v="2024-04-28T00:00:00"/>
    <x v="0"/>
    <s v="Q2"/>
    <x v="3"/>
    <x v="4"/>
    <x v="2"/>
    <x v="0"/>
    <x v="1"/>
    <s v="Road"/>
    <x v="1"/>
    <n v="8.4"/>
    <n v="839"/>
    <n v="6"/>
    <n v="6"/>
    <n v="1"/>
    <n v="0"/>
    <n v="15.49"/>
    <n v="0"/>
    <n v="1"/>
  </r>
  <r>
    <s v="SHP-500788"/>
    <d v="2024-04-28T00:00:00"/>
    <x v="0"/>
    <s v="Q2"/>
    <x v="3"/>
    <x v="1"/>
    <x v="1"/>
    <x v="1"/>
    <x v="0"/>
    <s v="Road"/>
    <x v="0"/>
    <n v="91"/>
    <n v="283"/>
    <n v="3"/>
    <n v="3"/>
    <n v="1"/>
    <n v="0"/>
    <n v="46.91"/>
    <n v="0"/>
    <n v="1"/>
  </r>
  <r>
    <s v="SHP-500789"/>
    <d v="2024-04-28T00:00:00"/>
    <x v="0"/>
    <s v="Q2"/>
    <x v="3"/>
    <x v="3"/>
    <x v="1"/>
    <x v="3"/>
    <x v="0"/>
    <s v="Road"/>
    <x v="1"/>
    <n v="3.8"/>
    <n v="467"/>
    <n v="4"/>
    <n v="3"/>
    <n v="1"/>
    <n v="0"/>
    <n v="14.7"/>
    <n v="0"/>
    <n v="1"/>
  </r>
  <r>
    <s v="SHP-500790"/>
    <d v="2024-04-28T00:00:00"/>
    <x v="0"/>
    <s v="Q2"/>
    <x v="3"/>
    <x v="0"/>
    <x v="2"/>
    <x v="3"/>
    <x v="0"/>
    <s v="Road"/>
    <x v="1"/>
    <n v="8.1"/>
    <n v="564"/>
    <n v="4"/>
    <n v="4"/>
    <n v="1"/>
    <n v="0"/>
    <n v="17.510000000000002"/>
    <n v="1"/>
    <n v="1"/>
  </r>
  <r>
    <s v="SHP-500791"/>
    <d v="2024-04-28T00:00:00"/>
    <x v="0"/>
    <s v="Q2"/>
    <x v="3"/>
    <x v="3"/>
    <x v="2"/>
    <x v="1"/>
    <x v="2"/>
    <s v="Road"/>
    <x v="0"/>
    <n v="126.4"/>
    <n v="281"/>
    <n v="1"/>
    <n v="1"/>
    <n v="1"/>
    <n v="0"/>
    <n v="134.05000000000001"/>
    <n v="0"/>
    <n v="1"/>
  </r>
  <r>
    <s v="SHP-500792"/>
    <d v="2024-04-28T00:00:00"/>
    <x v="0"/>
    <s v="Q2"/>
    <x v="3"/>
    <x v="3"/>
    <x v="2"/>
    <x v="0"/>
    <x v="2"/>
    <s v="Air"/>
    <x v="1"/>
    <n v="13.3"/>
    <n v="931"/>
    <n v="2"/>
    <n v="2"/>
    <n v="1"/>
    <n v="0"/>
    <n v="86.01"/>
    <n v="0"/>
    <n v="1"/>
  </r>
  <r>
    <s v="SHP-500793"/>
    <d v="2024-04-29T00:00:00"/>
    <x v="0"/>
    <s v="Q2"/>
    <x v="3"/>
    <x v="3"/>
    <x v="2"/>
    <x v="2"/>
    <x v="1"/>
    <s v="Road"/>
    <x v="1"/>
    <n v="10.199999999999999"/>
    <n v="1243"/>
    <n v="7"/>
    <n v="6"/>
    <n v="1"/>
    <n v="0"/>
    <n v="24.03"/>
    <n v="0"/>
    <n v="1"/>
  </r>
  <r>
    <s v="SHP-500794"/>
    <d v="2024-04-29T00:00:00"/>
    <x v="0"/>
    <s v="Q2"/>
    <x v="3"/>
    <x v="3"/>
    <x v="0"/>
    <x v="4"/>
    <x v="0"/>
    <s v="Road"/>
    <x v="1"/>
    <n v="6.1"/>
    <n v="960"/>
    <n v="5"/>
    <n v="6"/>
    <n v="0"/>
    <n v="1"/>
    <n v="25.01"/>
    <n v="0"/>
    <n v="1"/>
  </r>
  <r>
    <s v="SHP-500795"/>
    <d v="2024-04-29T00:00:00"/>
    <x v="0"/>
    <s v="Q2"/>
    <x v="3"/>
    <x v="3"/>
    <x v="2"/>
    <x v="0"/>
    <x v="0"/>
    <s v="Road"/>
    <x v="0"/>
    <n v="110"/>
    <n v="734"/>
    <n v="4"/>
    <n v="4"/>
    <n v="1"/>
    <n v="0"/>
    <n v="71.8"/>
    <n v="0"/>
    <n v="1"/>
  </r>
  <r>
    <s v="SHP-500796"/>
    <d v="2024-04-29T00:00:00"/>
    <x v="0"/>
    <s v="Q2"/>
    <x v="3"/>
    <x v="1"/>
    <x v="1"/>
    <x v="3"/>
    <x v="0"/>
    <s v="Road"/>
    <x v="1"/>
    <n v="5.4"/>
    <n v="327"/>
    <n v="4"/>
    <n v="4"/>
    <n v="1"/>
    <n v="0"/>
    <n v="14.8"/>
    <n v="0"/>
    <n v="1"/>
  </r>
  <r>
    <s v="SHP-500797"/>
    <d v="2024-04-29T00:00:00"/>
    <x v="0"/>
    <s v="Q2"/>
    <x v="3"/>
    <x v="3"/>
    <x v="2"/>
    <x v="2"/>
    <x v="1"/>
    <s v="Road"/>
    <x v="1"/>
    <n v="8"/>
    <n v="1009"/>
    <n v="7"/>
    <n v="7"/>
    <n v="1"/>
    <n v="0"/>
    <n v="18.43"/>
    <n v="0"/>
    <n v="1"/>
  </r>
  <r>
    <s v="SHP-500798"/>
    <d v="2024-04-29T00:00:00"/>
    <x v="0"/>
    <s v="Q2"/>
    <x v="3"/>
    <x v="4"/>
    <x v="2"/>
    <x v="0"/>
    <x v="2"/>
    <s v="Air"/>
    <x v="0"/>
    <n v="164.9"/>
    <n v="1038"/>
    <n v="2"/>
    <n v="2"/>
    <n v="1"/>
    <n v="0"/>
    <n v="255.72"/>
    <n v="0"/>
    <n v="1"/>
  </r>
  <r>
    <s v="SHP-500799"/>
    <d v="2024-04-29T00:00:00"/>
    <x v="0"/>
    <s v="Q2"/>
    <x v="3"/>
    <x v="0"/>
    <x v="1"/>
    <x v="0"/>
    <x v="1"/>
    <s v="Road"/>
    <x v="1"/>
    <n v="6.3"/>
    <n v="802"/>
    <n v="6"/>
    <n v="5"/>
    <n v="1"/>
    <n v="0"/>
    <n v="14.72"/>
    <n v="0"/>
    <n v="1"/>
  </r>
  <r>
    <s v="SHP-500800"/>
    <d v="2024-04-30T00:00:00"/>
    <x v="0"/>
    <s v="Q2"/>
    <x v="3"/>
    <x v="4"/>
    <x v="2"/>
    <x v="1"/>
    <x v="0"/>
    <s v="Road"/>
    <x v="0"/>
    <n v="130.5"/>
    <n v="173"/>
    <n v="3"/>
    <n v="2"/>
    <n v="1"/>
    <n v="0"/>
    <n v="69.12"/>
    <n v="0"/>
    <n v="1"/>
  </r>
  <r>
    <s v="SHP-500801"/>
    <d v="2024-04-30T00:00:00"/>
    <x v="0"/>
    <s v="Q2"/>
    <x v="3"/>
    <x v="3"/>
    <x v="0"/>
    <x v="0"/>
    <x v="2"/>
    <s v="Air"/>
    <x v="1"/>
    <n v="3.5"/>
    <n v="679"/>
    <n v="2"/>
    <n v="1"/>
    <n v="1"/>
    <n v="0"/>
    <n v="57.21"/>
    <n v="0"/>
    <n v="1"/>
  </r>
  <r>
    <s v="SHP-500802"/>
    <d v="2024-04-30T00:00:00"/>
    <x v="0"/>
    <s v="Q2"/>
    <x v="3"/>
    <x v="3"/>
    <x v="1"/>
    <x v="3"/>
    <x v="2"/>
    <s v="Road"/>
    <x v="0"/>
    <n v="16.100000000000001"/>
    <n v="429"/>
    <n v="2"/>
    <n v="2"/>
    <n v="1"/>
    <n v="0"/>
    <n v="47.95"/>
    <n v="0"/>
    <n v="1"/>
  </r>
  <r>
    <s v="SHP-500803"/>
    <d v="2024-04-30T00:00:00"/>
    <x v="0"/>
    <s v="Q2"/>
    <x v="3"/>
    <x v="2"/>
    <x v="0"/>
    <x v="4"/>
    <x v="2"/>
    <s v="Air"/>
    <x v="1"/>
    <n v="1.9"/>
    <n v="1078"/>
    <n v="3"/>
    <n v="3"/>
    <n v="1"/>
    <n v="0"/>
    <n v="52.97"/>
    <n v="0"/>
    <n v="1"/>
  </r>
  <r>
    <s v="SHP-500804"/>
    <d v="2024-04-30T00:00:00"/>
    <x v="0"/>
    <s v="Q2"/>
    <x v="3"/>
    <x v="3"/>
    <x v="1"/>
    <x v="4"/>
    <x v="1"/>
    <s v="Road"/>
    <x v="0"/>
    <n v="138.9"/>
    <n v="970"/>
    <n v="7"/>
    <n v="7"/>
    <n v="1"/>
    <n v="0"/>
    <n v="61.1"/>
    <n v="0"/>
    <n v="1"/>
  </r>
  <r>
    <s v="SHP-500805"/>
    <d v="2024-04-30T00:00:00"/>
    <x v="0"/>
    <s v="Q2"/>
    <x v="3"/>
    <x v="1"/>
    <x v="2"/>
    <x v="2"/>
    <x v="2"/>
    <s v="Air"/>
    <x v="1"/>
    <n v="3.2"/>
    <n v="1436"/>
    <n v="3"/>
    <n v="3"/>
    <n v="1"/>
    <n v="0"/>
    <n v="85.27"/>
    <n v="0"/>
    <n v="1"/>
  </r>
  <r>
    <s v="SHP-500806"/>
    <d v="2024-04-30T00:00:00"/>
    <x v="0"/>
    <s v="Q2"/>
    <x v="3"/>
    <x v="0"/>
    <x v="2"/>
    <x v="0"/>
    <x v="1"/>
    <s v="Road"/>
    <x v="1"/>
    <n v="17.899999999999999"/>
    <n v="848"/>
    <n v="6"/>
    <n v="6"/>
    <n v="1"/>
    <n v="0"/>
    <n v="16.079999999999998"/>
    <n v="0"/>
    <n v="1"/>
  </r>
  <r>
    <s v="SHP-500807"/>
    <d v="2024-04-30T00:00:00"/>
    <x v="0"/>
    <s v="Q2"/>
    <x v="3"/>
    <x v="3"/>
    <x v="1"/>
    <x v="3"/>
    <x v="1"/>
    <s v="Road"/>
    <x v="1"/>
    <n v="1.1000000000000001"/>
    <n v="605"/>
    <n v="6"/>
    <n v="6"/>
    <n v="1"/>
    <n v="0"/>
    <n v="11.5"/>
    <n v="0"/>
    <n v="1"/>
  </r>
  <r>
    <s v="SHP-500808"/>
    <d v="2024-04-30T00:00:00"/>
    <x v="0"/>
    <s v="Q2"/>
    <x v="3"/>
    <x v="3"/>
    <x v="1"/>
    <x v="4"/>
    <x v="2"/>
    <s v="Air"/>
    <x v="1"/>
    <n v="4.8"/>
    <n v="919"/>
    <n v="3"/>
    <n v="3"/>
    <n v="1"/>
    <n v="0"/>
    <n v="75.069999999999993"/>
    <n v="0"/>
    <n v="1"/>
  </r>
  <r>
    <s v="SHP-500809"/>
    <d v="2024-04-30T00:00:00"/>
    <x v="0"/>
    <s v="Q2"/>
    <x v="3"/>
    <x v="1"/>
    <x v="0"/>
    <x v="1"/>
    <x v="1"/>
    <s v="Road"/>
    <x v="1"/>
    <n v="4"/>
    <n v="247"/>
    <n v="5"/>
    <n v="4"/>
    <n v="1"/>
    <n v="0"/>
    <n v="8.66"/>
    <n v="0"/>
    <n v="1"/>
  </r>
  <r>
    <s v="SHP-500810"/>
    <d v="2024-04-30T00:00:00"/>
    <x v="0"/>
    <s v="Q2"/>
    <x v="3"/>
    <x v="3"/>
    <x v="0"/>
    <x v="2"/>
    <x v="1"/>
    <s v="Road"/>
    <x v="1"/>
    <n v="0.7"/>
    <n v="1142"/>
    <n v="7"/>
    <n v="7"/>
    <n v="1"/>
    <n v="0"/>
    <n v="16.64"/>
    <n v="0"/>
    <n v="1"/>
  </r>
  <r>
    <s v="SHP-500811"/>
    <d v="2024-04-30T00:00:00"/>
    <x v="0"/>
    <s v="Q2"/>
    <x v="3"/>
    <x v="4"/>
    <x v="2"/>
    <x v="4"/>
    <x v="1"/>
    <s v="Road"/>
    <x v="1"/>
    <n v="4.9000000000000004"/>
    <n v="1056"/>
    <n v="7"/>
    <n v="7"/>
    <n v="1"/>
    <n v="0"/>
    <n v="17.04"/>
    <n v="0"/>
    <n v="1"/>
  </r>
  <r>
    <s v="SHP-500812"/>
    <d v="2024-04-30T00:00:00"/>
    <x v="0"/>
    <s v="Q2"/>
    <x v="3"/>
    <x v="4"/>
    <x v="1"/>
    <x v="3"/>
    <x v="2"/>
    <s v="Road"/>
    <x v="1"/>
    <n v="1.6"/>
    <n v="515"/>
    <n v="2"/>
    <n v="1"/>
    <n v="1"/>
    <n v="0"/>
    <n v="26.97"/>
    <n v="0"/>
    <n v="1"/>
  </r>
  <r>
    <s v="SHP-500813"/>
    <d v="2024-05-01T00:00:00"/>
    <x v="0"/>
    <s v="Q2"/>
    <x v="4"/>
    <x v="2"/>
    <x v="1"/>
    <x v="1"/>
    <x v="2"/>
    <s v="Road"/>
    <x v="1"/>
    <n v="1.2"/>
    <n v="218"/>
    <n v="1"/>
    <n v="1"/>
    <n v="1"/>
    <n v="0"/>
    <n v="17.239999999999998"/>
    <n v="0"/>
    <n v="1"/>
  </r>
  <r>
    <s v="SHP-500814"/>
    <d v="2024-05-01T00:00:00"/>
    <x v="0"/>
    <s v="Q2"/>
    <x v="4"/>
    <x v="4"/>
    <x v="0"/>
    <x v="0"/>
    <x v="0"/>
    <s v="Road"/>
    <x v="1"/>
    <n v="23.2"/>
    <n v="853"/>
    <n v="4"/>
    <n v="4"/>
    <n v="1"/>
    <n v="0"/>
    <n v="26.29"/>
    <n v="0"/>
    <n v="1"/>
  </r>
  <r>
    <s v="SHP-500815"/>
    <d v="2024-05-01T00:00:00"/>
    <x v="0"/>
    <s v="Q2"/>
    <x v="4"/>
    <x v="2"/>
    <x v="1"/>
    <x v="0"/>
    <x v="2"/>
    <s v="Air"/>
    <x v="0"/>
    <n v="98.5"/>
    <n v="810"/>
    <n v="2"/>
    <n v="4"/>
    <n v="0"/>
    <n v="2"/>
    <n v="165.96"/>
    <n v="0"/>
    <n v="1"/>
  </r>
  <r>
    <s v="SHP-500816"/>
    <d v="2024-05-01T00:00:00"/>
    <x v="0"/>
    <s v="Q2"/>
    <x v="4"/>
    <x v="1"/>
    <x v="2"/>
    <x v="1"/>
    <x v="2"/>
    <s v="Road"/>
    <x v="1"/>
    <n v="0.9"/>
    <n v="208"/>
    <n v="1"/>
    <n v="1"/>
    <n v="1"/>
    <n v="0"/>
    <n v="20.399999999999999"/>
    <n v="0"/>
    <n v="1"/>
  </r>
  <r>
    <s v="SHP-500817"/>
    <d v="2024-05-01T00:00:00"/>
    <x v="0"/>
    <s v="Q2"/>
    <x v="4"/>
    <x v="4"/>
    <x v="2"/>
    <x v="4"/>
    <x v="1"/>
    <s v="Road"/>
    <x v="0"/>
    <n v="121.6"/>
    <n v="1104"/>
    <n v="7"/>
    <n v="8"/>
    <n v="0"/>
    <n v="1"/>
    <n v="51.11"/>
    <n v="0"/>
    <n v="1"/>
  </r>
  <r>
    <s v="SHP-500818"/>
    <d v="2024-05-02T00:00:00"/>
    <x v="0"/>
    <s v="Q2"/>
    <x v="4"/>
    <x v="4"/>
    <x v="2"/>
    <x v="3"/>
    <x v="2"/>
    <s v="Road"/>
    <x v="0"/>
    <n v="249"/>
    <n v="378"/>
    <n v="2"/>
    <n v="2"/>
    <n v="1"/>
    <n v="0"/>
    <n v="225.09"/>
    <n v="0"/>
    <n v="1"/>
  </r>
  <r>
    <s v="SHP-500819"/>
    <d v="2024-05-02T00:00:00"/>
    <x v="0"/>
    <s v="Q2"/>
    <x v="4"/>
    <x v="3"/>
    <x v="2"/>
    <x v="2"/>
    <x v="0"/>
    <s v="Road"/>
    <x v="0"/>
    <n v="85.9"/>
    <n v="1210"/>
    <n v="5"/>
    <n v="5"/>
    <n v="1"/>
    <n v="0"/>
    <n v="59.03"/>
    <n v="0"/>
    <n v="1"/>
  </r>
  <r>
    <s v="SHP-500820"/>
    <d v="2024-05-02T00:00:00"/>
    <x v="0"/>
    <s v="Q2"/>
    <x v="4"/>
    <x v="1"/>
    <x v="0"/>
    <x v="0"/>
    <x v="0"/>
    <s v="Road"/>
    <x v="0"/>
    <n v="139.69999999999999"/>
    <n v="1011"/>
    <n v="4"/>
    <n v="4"/>
    <n v="1"/>
    <n v="0"/>
    <n v="76.61"/>
    <n v="0"/>
    <n v="1"/>
  </r>
  <r>
    <s v="SHP-500821"/>
    <d v="2024-05-02T00:00:00"/>
    <x v="0"/>
    <s v="Q2"/>
    <x v="4"/>
    <x v="1"/>
    <x v="2"/>
    <x v="3"/>
    <x v="0"/>
    <s v="Road"/>
    <x v="1"/>
    <n v="4.4000000000000004"/>
    <n v="479"/>
    <n v="4"/>
    <n v="4"/>
    <n v="1"/>
    <n v="0"/>
    <n v="15.59"/>
    <n v="0"/>
    <n v="1"/>
  </r>
  <r>
    <s v="SHP-500822"/>
    <d v="2024-05-02T00:00:00"/>
    <x v="0"/>
    <s v="Q2"/>
    <x v="4"/>
    <x v="0"/>
    <x v="1"/>
    <x v="2"/>
    <x v="1"/>
    <s v="Road"/>
    <x v="0"/>
    <n v="14.4"/>
    <n v="1091"/>
    <n v="7"/>
    <n v="7"/>
    <n v="1"/>
    <n v="0"/>
    <n v="19.329999999999998"/>
    <n v="0"/>
    <n v="1"/>
  </r>
  <r>
    <s v="SHP-500823"/>
    <d v="2024-05-02T00:00:00"/>
    <x v="0"/>
    <s v="Q2"/>
    <x v="4"/>
    <x v="4"/>
    <x v="1"/>
    <x v="1"/>
    <x v="0"/>
    <s v="Road"/>
    <x v="0"/>
    <n v="61.1"/>
    <n v="210"/>
    <n v="3"/>
    <n v="3"/>
    <n v="1"/>
    <n v="0"/>
    <n v="38.32"/>
    <n v="0"/>
    <n v="1"/>
  </r>
  <r>
    <s v="SHP-500824"/>
    <d v="2024-05-02T00:00:00"/>
    <x v="0"/>
    <s v="Q2"/>
    <x v="4"/>
    <x v="0"/>
    <x v="1"/>
    <x v="0"/>
    <x v="0"/>
    <s v="Road"/>
    <x v="1"/>
    <n v="11.1"/>
    <n v="629"/>
    <n v="4"/>
    <n v="3"/>
    <n v="1"/>
    <n v="0"/>
    <n v="17.88"/>
    <n v="0"/>
    <n v="1"/>
  </r>
  <r>
    <s v="SHP-500825"/>
    <d v="2024-05-02T00:00:00"/>
    <x v="0"/>
    <s v="Q2"/>
    <x v="4"/>
    <x v="2"/>
    <x v="2"/>
    <x v="2"/>
    <x v="0"/>
    <s v="Road"/>
    <x v="1"/>
    <n v="4.9000000000000004"/>
    <n v="1155"/>
    <n v="5"/>
    <n v="5"/>
    <n v="1"/>
    <n v="0"/>
    <n v="19.809999999999999"/>
    <n v="0"/>
    <n v="1"/>
  </r>
  <r>
    <s v="SHP-500826"/>
    <d v="2024-05-02T00:00:00"/>
    <x v="0"/>
    <s v="Q2"/>
    <x v="4"/>
    <x v="0"/>
    <x v="1"/>
    <x v="1"/>
    <x v="0"/>
    <s v="Road"/>
    <x v="0"/>
    <n v="72"/>
    <n v="263"/>
    <n v="3"/>
    <n v="5"/>
    <n v="0"/>
    <n v="2"/>
    <n v="39.07"/>
    <n v="0"/>
    <n v="1"/>
  </r>
  <r>
    <s v="SHP-500827"/>
    <d v="2024-05-02T00:00:00"/>
    <x v="0"/>
    <s v="Q2"/>
    <x v="4"/>
    <x v="2"/>
    <x v="2"/>
    <x v="0"/>
    <x v="1"/>
    <s v="Road"/>
    <x v="1"/>
    <n v="14.5"/>
    <n v="900"/>
    <n v="6"/>
    <n v="6"/>
    <n v="1"/>
    <n v="0"/>
    <n v="16.8"/>
    <n v="0"/>
    <n v="1"/>
  </r>
  <r>
    <s v="SHP-500828"/>
    <d v="2024-05-02T00:00:00"/>
    <x v="0"/>
    <s v="Q2"/>
    <x v="4"/>
    <x v="3"/>
    <x v="0"/>
    <x v="1"/>
    <x v="1"/>
    <s v="Road"/>
    <x v="0"/>
    <n v="223.8"/>
    <n v="194"/>
    <n v="5"/>
    <n v="5"/>
    <n v="1"/>
    <n v="0"/>
    <n v="77.83"/>
    <n v="0"/>
    <n v="1"/>
  </r>
  <r>
    <s v="SHP-500829"/>
    <d v="2024-05-02T00:00:00"/>
    <x v="0"/>
    <s v="Q2"/>
    <x v="4"/>
    <x v="0"/>
    <x v="1"/>
    <x v="0"/>
    <x v="1"/>
    <s v="Road"/>
    <x v="0"/>
    <n v="117.7"/>
    <n v="768"/>
    <n v="6"/>
    <n v="6"/>
    <n v="1"/>
    <n v="0"/>
    <n v="45.52"/>
    <n v="0"/>
    <n v="1"/>
  </r>
  <r>
    <s v="SHP-500830"/>
    <d v="2024-05-03T00:00:00"/>
    <x v="0"/>
    <s v="Q2"/>
    <x v="4"/>
    <x v="3"/>
    <x v="1"/>
    <x v="3"/>
    <x v="0"/>
    <s v="Road"/>
    <x v="1"/>
    <n v="1.5"/>
    <n v="479"/>
    <n v="4"/>
    <n v="3"/>
    <n v="1"/>
    <n v="0"/>
    <n v="14.59"/>
    <n v="0"/>
    <n v="1"/>
  </r>
  <r>
    <s v="SHP-500831"/>
    <d v="2024-05-03T00:00:00"/>
    <x v="0"/>
    <s v="Q2"/>
    <x v="4"/>
    <x v="1"/>
    <x v="2"/>
    <x v="0"/>
    <x v="2"/>
    <s v="Air"/>
    <x v="1"/>
    <n v="8.1"/>
    <n v="1024"/>
    <n v="2"/>
    <n v="1"/>
    <n v="1"/>
    <n v="0"/>
    <n v="79.599999999999994"/>
    <n v="0"/>
    <n v="1"/>
  </r>
  <r>
    <s v="SHP-500832"/>
    <d v="2024-05-03T00:00:00"/>
    <x v="0"/>
    <s v="Q2"/>
    <x v="4"/>
    <x v="2"/>
    <x v="2"/>
    <x v="1"/>
    <x v="1"/>
    <s v="Road"/>
    <x v="1"/>
    <n v="9.1999999999999993"/>
    <n v="209"/>
    <n v="5"/>
    <n v="5"/>
    <n v="1"/>
    <n v="0"/>
    <n v="9.18"/>
    <n v="0"/>
    <n v="1"/>
  </r>
  <r>
    <s v="SHP-500833"/>
    <d v="2024-05-03T00:00:00"/>
    <x v="0"/>
    <s v="Q2"/>
    <x v="4"/>
    <x v="0"/>
    <x v="2"/>
    <x v="0"/>
    <x v="0"/>
    <s v="Road"/>
    <x v="0"/>
    <n v="194"/>
    <n v="1016"/>
    <n v="4"/>
    <n v="4"/>
    <n v="1"/>
    <n v="0"/>
    <n v="97.85"/>
    <n v="0"/>
    <n v="1"/>
  </r>
  <r>
    <s v="SHP-500834"/>
    <d v="2024-05-03T00:00:00"/>
    <x v="0"/>
    <s v="Q2"/>
    <x v="4"/>
    <x v="3"/>
    <x v="2"/>
    <x v="0"/>
    <x v="0"/>
    <s v="Road"/>
    <x v="1"/>
    <n v="4.4000000000000004"/>
    <n v="724"/>
    <n v="4"/>
    <n v="4"/>
    <n v="1"/>
    <n v="0"/>
    <n v="20.49"/>
    <n v="0"/>
    <n v="1"/>
  </r>
  <r>
    <s v="SHP-500835"/>
    <d v="2024-05-03T00:00:00"/>
    <x v="0"/>
    <s v="Q2"/>
    <x v="4"/>
    <x v="4"/>
    <x v="2"/>
    <x v="1"/>
    <x v="0"/>
    <s v="Road"/>
    <x v="0"/>
    <n v="144.80000000000001"/>
    <n v="279"/>
    <n v="3"/>
    <n v="2"/>
    <n v="1"/>
    <n v="0"/>
    <n v="73.88"/>
    <n v="0"/>
    <n v="1"/>
  </r>
  <r>
    <s v="SHP-500836"/>
    <d v="2024-05-03T00:00:00"/>
    <x v="0"/>
    <s v="Q2"/>
    <x v="4"/>
    <x v="4"/>
    <x v="1"/>
    <x v="0"/>
    <x v="0"/>
    <s v="Road"/>
    <x v="1"/>
    <n v="4.0999999999999996"/>
    <n v="773"/>
    <n v="4"/>
    <n v="4"/>
    <n v="1"/>
    <n v="0"/>
    <n v="17.86"/>
    <n v="0"/>
    <n v="1"/>
  </r>
  <r>
    <s v="SHP-500837"/>
    <d v="2024-05-03T00:00:00"/>
    <x v="0"/>
    <s v="Q2"/>
    <x v="4"/>
    <x v="0"/>
    <x v="1"/>
    <x v="3"/>
    <x v="0"/>
    <s v="Road"/>
    <x v="1"/>
    <n v="3.6"/>
    <n v="389"/>
    <n v="4"/>
    <n v="3"/>
    <n v="1"/>
    <n v="0"/>
    <n v="13.49"/>
    <n v="0"/>
    <n v="1"/>
  </r>
  <r>
    <s v="SHP-500838"/>
    <d v="2024-05-03T00:00:00"/>
    <x v="0"/>
    <s v="Q2"/>
    <x v="4"/>
    <x v="3"/>
    <x v="0"/>
    <x v="3"/>
    <x v="0"/>
    <s v="Road"/>
    <x v="0"/>
    <n v="59.8"/>
    <n v="436"/>
    <n v="4"/>
    <n v="4"/>
    <n v="1"/>
    <n v="0"/>
    <n v="42.19"/>
    <n v="0"/>
    <n v="1"/>
  </r>
  <r>
    <s v="SHP-500839"/>
    <d v="2024-05-03T00:00:00"/>
    <x v="0"/>
    <s v="Q2"/>
    <x v="4"/>
    <x v="3"/>
    <x v="1"/>
    <x v="1"/>
    <x v="0"/>
    <s v="Road"/>
    <x v="1"/>
    <n v="14.5"/>
    <n v="305"/>
    <n v="3"/>
    <n v="2"/>
    <n v="1"/>
    <n v="0"/>
    <n v="20.75"/>
    <n v="0"/>
    <n v="1"/>
  </r>
  <r>
    <s v="SHP-500840"/>
    <d v="2024-05-04T00:00:00"/>
    <x v="0"/>
    <s v="Q2"/>
    <x v="4"/>
    <x v="4"/>
    <x v="2"/>
    <x v="2"/>
    <x v="1"/>
    <s v="Road"/>
    <x v="1"/>
    <n v="1.1000000000000001"/>
    <n v="1175"/>
    <n v="7"/>
    <n v="7"/>
    <n v="1"/>
    <n v="0"/>
    <n v="14.03"/>
    <n v="0"/>
    <n v="1"/>
  </r>
  <r>
    <s v="SHP-500841"/>
    <d v="2024-05-04T00:00:00"/>
    <x v="0"/>
    <s v="Q2"/>
    <x v="4"/>
    <x v="3"/>
    <x v="0"/>
    <x v="0"/>
    <x v="0"/>
    <s v="Road"/>
    <x v="1"/>
    <n v="2.1"/>
    <n v="1026"/>
    <n v="4"/>
    <n v="4"/>
    <n v="1"/>
    <n v="0"/>
    <n v="21.65"/>
    <n v="0"/>
    <n v="1"/>
  </r>
  <r>
    <s v="SHP-500842"/>
    <d v="2024-05-04T00:00:00"/>
    <x v="0"/>
    <s v="Q2"/>
    <x v="4"/>
    <x v="3"/>
    <x v="2"/>
    <x v="1"/>
    <x v="0"/>
    <s v="Road"/>
    <x v="1"/>
    <n v="4.3"/>
    <n v="198"/>
    <n v="3"/>
    <n v="3"/>
    <n v="1"/>
    <n v="0"/>
    <n v="13.03"/>
    <n v="0"/>
    <n v="1"/>
  </r>
  <r>
    <s v="SHP-500843"/>
    <d v="2024-05-04T00:00:00"/>
    <x v="0"/>
    <s v="Q2"/>
    <x v="4"/>
    <x v="0"/>
    <x v="2"/>
    <x v="0"/>
    <x v="2"/>
    <s v="Air"/>
    <x v="0"/>
    <n v="74.599999999999994"/>
    <n v="1197"/>
    <n v="2"/>
    <n v="2"/>
    <n v="1"/>
    <n v="0"/>
    <n v="163.66999999999999"/>
    <n v="0"/>
    <n v="1"/>
  </r>
  <r>
    <s v="SHP-500844"/>
    <d v="2024-05-04T00:00:00"/>
    <x v="0"/>
    <s v="Q2"/>
    <x v="4"/>
    <x v="0"/>
    <x v="0"/>
    <x v="1"/>
    <x v="0"/>
    <s v="Road"/>
    <x v="0"/>
    <n v="178.4"/>
    <n v="246"/>
    <n v="3"/>
    <n v="3"/>
    <n v="1"/>
    <n v="0"/>
    <n v="88.83"/>
    <n v="0"/>
    <n v="1"/>
  </r>
  <r>
    <s v="SHP-500845"/>
    <d v="2024-05-04T00:00:00"/>
    <x v="0"/>
    <s v="Q2"/>
    <x v="4"/>
    <x v="0"/>
    <x v="1"/>
    <x v="4"/>
    <x v="0"/>
    <s v="Road"/>
    <x v="1"/>
    <n v="14.7"/>
    <n v="1085"/>
    <n v="5"/>
    <n v="5"/>
    <n v="1"/>
    <n v="0"/>
    <n v="26.56"/>
    <n v="0"/>
    <n v="1"/>
  </r>
  <r>
    <s v="SHP-500846"/>
    <d v="2024-05-04T00:00:00"/>
    <x v="0"/>
    <s v="Q2"/>
    <x v="4"/>
    <x v="2"/>
    <x v="1"/>
    <x v="1"/>
    <x v="1"/>
    <s v="Road"/>
    <x v="1"/>
    <n v="3.8"/>
    <n v="201"/>
    <n v="5"/>
    <n v="4"/>
    <n v="1"/>
    <n v="0"/>
    <n v="6.11"/>
    <n v="0"/>
    <n v="1"/>
  </r>
  <r>
    <s v="SHP-500847"/>
    <d v="2024-05-05T00:00:00"/>
    <x v="0"/>
    <s v="Q2"/>
    <x v="4"/>
    <x v="3"/>
    <x v="2"/>
    <x v="3"/>
    <x v="2"/>
    <s v="Road"/>
    <x v="1"/>
    <n v="1.5"/>
    <n v="419"/>
    <n v="2"/>
    <n v="2"/>
    <n v="1"/>
    <n v="0"/>
    <n v="28.04"/>
    <n v="0"/>
    <n v="1"/>
  </r>
  <r>
    <s v="SHP-500848"/>
    <d v="2024-05-05T00:00:00"/>
    <x v="0"/>
    <s v="Q2"/>
    <x v="4"/>
    <x v="2"/>
    <x v="2"/>
    <x v="0"/>
    <x v="0"/>
    <s v="Road"/>
    <x v="1"/>
    <n v="1.3"/>
    <n v="988"/>
    <n v="4"/>
    <n v="3"/>
    <n v="1"/>
    <n v="0"/>
    <n v="15.83"/>
    <n v="0"/>
    <n v="1"/>
  </r>
  <r>
    <s v="SHP-500849"/>
    <d v="2024-05-06T00:00:00"/>
    <x v="0"/>
    <s v="Q2"/>
    <x v="4"/>
    <x v="3"/>
    <x v="0"/>
    <x v="0"/>
    <x v="0"/>
    <s v="Road"/>
    <x v="1"/>
    <n v="8.1999999999999993"/>
    <n v="831"/>
    <n v="4"/>
    <n v="4"/>
    <n v="1"/>
    <n v="0"/>
    <n v="24.08"/>
    <n v="0"/>
    <n v="1"/>
  </r>
  <r>
    <s v="SHP-500850"/>
    <d v="2024-05-06T00:00:00"/>
    <x v="0"/>
    <s v="Q2"/>
    <x v="4"/>
    <x v="1"/>
    <x v="2"/>
    <x v="4"/>
    <x v="2"/>
    <s v="Air"/>
    <x v="1"/>
    <n v="2"/>
    <n v="1197"/>
    <n v="3"/>
    <n v="6"/>
    <n v="0"/>
    <n v="3"/>
    <n v="64.31"/>
    <n v="0"/>
    <n v="1"/>
  </r>
  <r>
    <s v="SHP-500851"/>
    <d v="2024-05-06T00:00:00"/>
    <x v="0"/>
    <s v="Q2"/>
    <x v="4"/>
    <x v="0"/>
    <x v="2"/>
    <x v="3"/>
    <x v="2"/>
    <s v="Road"/>
    <x v="0"/>
    <n v="29.8"/>
    <n v="458"/>
    <n v="2"/>
    <n v="2"/>
    <n v="1"/>
    <n v="0"/>
    <n v="55.92"/>
    <n v="0"/>
    <n v="1"/>
  </r>
  <r>
    <s v="SHP-500852"/>
    <d v="2024-05-06T00:00:00"/>
    <x v="0"/>
    <s v="Q2"/>
    <x v="4"/>
    <x v="0"/>
    <x v="1"/>
    <x v="3"/>
    <x v="2"/>
    <s v="Road"/>
    <x v="0"/>
    <n v="20.8"/>
    <n v="369"/>
    <n v="2"/>
    <n v="2"/>
    <n v="1"/>
    <n v="0"/>
    <n v="39.700000000000003"/>
    <n v="0"/>
    <n v="1"/>
  </r>
  <r>
    <s v="SHP-500853"/>
    <d v="2024-05-06T00:00:00"/>
    <x v="0"/>
    <s v="Q2"/>
    <x v="4"/>
    <x v="2"/>
    <x v="2"/>
    <x v="0"/>
    <x v="0"/>
    <s v="Road"/>
    <x v="1"/>
    <n v="15.2"/>
    <n v="1104"/>
    <n v="4"/>
    <n v="4"/>
    <n v="1"/>
    <n v="0"/>
    <n v="22.81"/>
    <n v="0"/>
    <n v="1"/>
  </r>
  <r>
    <s v="SHP-500854"/>
    <d v="2024-05-06T00:00:00"/>
    <x v="0"/>
    <s v="Q2"/>
    <x v="4"/>
    <x v="3"/>
    <x v="0"/>
    <x v="1"/>
    <x v="0"/>
    <s v="Road"/>
    <x v="0"/>
    <n v="96.2"/>
    <n v="258"/>
    <n v="3"/>
    <n v="3"/>
    <n v="1"/>
    <n v="0"/>
    <n v="62.23"/>
    <n v="0"/>
    <n v="1"/>
  </r>
  <r>
    <s v="SHP-500855"/>
    <d v="2024-05-06T00:00:00"/>
    <x v="0"/>
    <s v="Q2"/>
    <x v="4"/>
    <x v="4"/>
    <x v="2"/>
    <x v="0"/>
    <x v="0"/>
    <s v="Road"/>
    <x v="1"/>
    <n v="9.1"/>
    <n v="1258"/>
    <n v="4"/>
    <n v="4"/>
    <n v="1"/>
    <n v="0"/>
    <n v="25.88"/>
    <n v="0"/>
    <n v="1"/>
  </r>
  <r>
    <s v="SHP-500856"/>
    <d v="2024-05-07T00:00:00"/>
    <x v="0"/>
    <s v="Q2"/>
    <x v="4"/>
    <x v="3"/>
    <x v="0"/>
    <x v="1"/>
    <x v="0"/>
    <s v="Road"/>
    <x v="1"/>
    <n v="3.2"/>
    <n v="269"/>
    <n v="3"/>
    <n v="2"/>
    <n v="1"/>
    <n v="0"/>
    <n v="13.87"/>
    <n v="0"/>
    <n v="1"/>
  </r>
  <r>
    <s v="SHP-500857"/>
    <d v="2024-05-07T00:00:00"/>
    <x v="0"/>
    <s v="Q2"/>
    <x v="4"/>
    <x v="3"/>
    <x v="2"/>
    <x v="1"/>
    <x v="0"/>
    <s v="Road"/>
    <x v="1"/>
    <n v="2.6"/>
    <n v="311"/>
    <n v="3"/>
    <n v="2"/>
    <n v="1"/>
    <n v="0"/>
    <n v="13.97"/>
    <n v="0"/>
    <n v="1"/>
  </r>
  <r>
    <s v="SHP-500858"/>
    <d v="2024-05-07T00:00:00"/>
    <x v="0"/>
    <s v="Q2"/>
    <x v="4"/>
    <x v="0"/>
    <x v="2"/>
    <x v="0"/>
    <x v="0"/>
    <s v="Road"/>
    <x v="1"/>
    <n v="1.7"/>
    <n v="811"/>
    <n v="4"/>
    <n v="4"/>
    <n v="1"/>
    <n v="0"/>
    <n v="16.88"/>
    <n v="0"/>
    <n v="1"/>
  </r>
  <r>
    <s v="SHP-500859"/>
    <d v="2024-05-07T00:00:00"/>
    <x v="0"/>
    <s v="Q2"/>
    <x v="4"/>
    <x v="1"/>
    <x v="2"/>
    <x v="1"/>
    <x v="1"/>
    <s v="Road"/>
    <x v="0"/>
    <n v="115.6"/>
    <n v="214"/>
    <n v="5"/>
    <n v="4"/>
    <n v="1"/>
    <n v="0"/>
    <n v="47.99"/>
    <n v="0"/>
    <n v="1"/>
  </r>
  <r>
    <s v="SHP-500860"/>
    <d v="2024-05-07T00:00:00"/>
    <x v="0"/>
    <s v="Q2"/>
    <x v="4"/>
    <x v="2"/>
    <x v="1"/>
    <x v="2"/>
    <x v="1"/>
    <s v="Road"/>
    <x v="1"/>
    <n v="2.5"/>
    <n v="1276"/>
    <n v="7"/>
    <n v="7"/>
    <n v="1"/>
    <n v="0"/>
    <n v="13.35"/>
    <n v="0"/>
    <n v="1"/>
  </r>
  <r>
    <s v="SHP-500861"/>
    <d v="2024-05-07T00:00:00"/>
    <x v="0"/>
    <s v="Q2"/>
    <x v="4"/>
    <x v="2"/>
    <x v="2"/>
    <x v="0"/>
    <x v="2"/>
    <s v="Air"/>
    <x v="1"/>
    <n v="16.3"/>
    <n v="991"/>
    <n v="2"/>
    <n v="4"/>
    <n v="0"/>
    <n v="2"/>
    <n v="72.77"/>
    <n v="0"/>
    <n v="1"/>
  </r>
  <r>
    <s v="SHP-500862"/>
    <d v="2024-05-07T00:00:00"/>
    <x v="0"/>
    <s v="Q2"/>
    <x v="4"/>
    <x v="4"/>
    <x v="2"/>
    <x v="0"/>
    <x v="1"/>
    <s v="Road"/>
    <x v="0"/>
    <n v="13.4"/>
    <n v="847"/>
    <n v="6"/>
    <n v="6"/>
    <n v="1"/>
    <n v="0"/>
    <n v="15.62"/>
    <n v="0"/>
    <n v="1"/>
  </r>
  <r>
    <s v="SHP-500863"/>
    <d v="2024-05-08T00:00:00"/>
    <x v="0"/>
    <s v="Q2"/>
    <x v="4"/>
    <x v="2"/>
    <x v="1"/>
    <x v="0"/>
    <x v="0"/>
    <s v="Road"/>
    <x v="1"/>
    <n v="11.8"/>
    <n v="937"/>
    <n v="4"/>
    <n v="4"/>
    <n v="1"/>
    <n v="0"/>
    <n v="20.05"/>
    <n v="0"/>
    <n v="1"/>
  </r>
  <r>
    <s v="SHP-500864"/>
    <d v="2024-05-08T00:00:00"/>
    <x v="0"/>
    <s v="Q2"/>
    <x v="4"/>
    <x v="1"/>
    <x v="0"/>
    <x v="1"/>
    <x v="2"/>
    <s v="Road"/>
    <x v="0"/>
    <n v="233.6"/>
    <n v="165"/>
    <n v="1"/>
    <n v="1"/>
    <n v="1"/>
    <n v="0"/>
    <n v="204.93"/>
    <n v="1"/>
    <n v="1"/>
  </r>
  <r>
    <s v="SHP-500865"/>
    <d v="2024-05-08T00:00:00"/>
    <x v="0"/>
    <s v="Q2"/>
    <x v="4"/>
    <x v="3"/>
    <x v="1"/>
    <x v="2"/>
    <x v="2"/>
    <s v="Air"/>
    <x v="1"/>
    <n v="2.5"/>
    <n v="1230"/>
    <n v="3"/>
    <n v="6"/>
    <n v="0"/>
    <n v="3"/>
    <n v="87.28"/>
    <n v="0"/>
    <n v="1"/>
  </r>
  <r>
    <s v="SHP-500866"/>
    <d v="2024-05-08T00:00:00"/>
    <x v="0"/>
    <s v="Q2"/>
    <x v="4"/>
    <x v="4"/>
    <x v="2"/>
    <x v="4"/>
    <x v="0"/>
    <s v="Road"/>
    <x v="1"/>
    <n v="7.6"/>
    <n v="1275"/>
    <n v="5"/>
    <n v="6"/>
    <n v="0"/>
    <n v="1"/>
    <n v="27.81"/>
    <n v="0"/>
    <n v="1"/>
  </r>
  <r>
    <s v="SHP-500867"/>
    <d v="2024-05-08T00:00:00"/>
    <x v="0"/>
    <s v="Q2"/>
    <x v="4"/>
    <x v="0"/>
    <x v="1"/>
    <x v="4"/>
    <x v="0"/>
    <s v="Road"/>
    <x v="1"/>
    <n v="7.5"/>
    <n v="917"/>
    <n v="5"/>
    <n v="7"/>
    <n v="0"/>
    <n v="2"/>
    <n v="20.54"/>
    <n v="0"/>
    <n v="1"/>
  </r>
  <r>
    <s v="SHP-500868"/>
    <d v="2024-05-09T00:00:00"/>
    <x v="0"/>
    <s v="Q2"/>
    <x v="4"/>
    <x v="2"/>
    <x v="1"/>
    <x v="2"/>
    <x v="2"/>
    <s v="Air"/>
    <x v="1"/>
    <n v="1.5"/>
    <n v="1102"/>
    <n v="3"/>
    <n v="3"/>
    <n v="1"/>
    <n v="0"/>
    <n v="50.74"/>
    <n v="0"/>
    <n v="1"/>
  </r>
  <r>
    <s v="SHP-500869"/>
    <d v="2024-05-09T00:00:00"/>
    <x v="0"/>
    <s v="Q2"/>
    <x v="4"/>
    <x v="4"/>
    <x v="2"/>
    <x v="3"/>
    <x v="0"/>
    <s v="Road"/>
    <x v="0"/>
    <n v="153"/>
    <n v="460"/>
    <n v="4"/>
    <n v="7"/>
    <n v="0"/>
    <n v="3"/>
    <n v="81.63"/>
    <n v="0"/>
    <n v="1"/>
  </r>
  <r>
    <s v="SHP-500870"/>
    <d v="2024-05-09T00:00:00"/>
    <x v="0"/>
    <s v="Q2"/>
    <x v="4"/>
    <x v="2"/>
    <x v="1"/>
    <x v="4"/>
    <x v="0"/>
    <s v="Road"/>
    <x v="0"/>
    <n v="171.6"/>
    <n v="1159"/>
    <n v="5"/>
    <n v="4"/>
    <n v="1"/>
    <n v="0"/>
    <n v="80.83"/>
    <n v="0"/>
    <n v="1"/>
  </r>
  <r>
    <s v="SHP-500871"/>
    <d v="2024-05-09T00:00:00"/>
    <x v="0"/>
    <s v="Q2"/>
    <x v="4"/>
    <x v="4"/>
    <x v="1"/>
    <x v="2"/>
    <x v="0"/>
    <s v="Road"/>
    <x v="1"/>
    <n v="4.5999999999999996"/>
    <n v="1321"/>
    <n v="5"/>
    <n v="5"/>
    <n v="1"/>
    <n v="0"/>
    <n v="26.55"/>
    <n v="0"/>
    <n v="1"/>
  </r>
  <r>
    <s v="SHP-500872"/>
    <d v="2024-05-09T00:00:00"/>
    <x v="0"/>
    <s v="Q2"/>
    <x v="4"/>
    <x v="0"/>
    <x v="0"/>
    <x v="3"/>
    <x v="2"/>
    <s v="Road"/>
    <x v="0"/>
    <n v="121.2"/>
    <n v="358"/>
    <n v="2"/>
    <n v="2"/>
    <n v="1"/>
    <n v="0"/>
    <n v="124.1"/>
    <n v="0"/>
    <n v="1"/>
  </r>
  <r>
    <s v="SHP-500873"/>
    <d v="2024-05-09T00:00:00"/>
    <x v="0"/>
    <s v="Q2"/>
    <x v="4"/>
    <x v="3"/>
    <x v="2"/>
    <x v="3"/>
    <x v="1"/>
    <s v="Road"/>
    <x v="1"/>
    <n v="2.4"/>
    <n v="627"/>
    <n v="6"/>
    <n v="6"/>
    <n v="1"/>
    <n v="0"/>
    <n v="12.95"/>
    <n v="0"/>
    <n v="1"/>
  </r>
  <r>
    <s v="SHP-500874"/>
    <d v="2024-05-09T00:00:00"/>
    <x v="0"/>
    <s v="Q2"/>
    <x v="4"/>
    <x v="4"/>
    <x v="1"/>
    <x v="3"/>
    <x v="0"/>
    <s v="Road"/>
    <x v="1"/>
    <n v="6.2"/>
    <n v="401"/>
    <n v="4"/>
    <n v="4"/>
    <n v="1"/>
    <n v="0"/>
    <n v="14.94"/>
    <n v="0"/>
    <n v="1"/>
  </r>
  <r>
    <s v="SHP-500875"/>
    <d v="2024-05-09T00:00:00"/>
    <x v="0"/>
    <s v="Q2"/>
    <x v="4"/>
    <x v="3"/>
    <x v="2"/>
    <x v="1"/>
    <x v="1"/>
    <s v="Road"/>
    <x v="1"/>
    <n v="7"/>
    <n v="338"/>
    <n v="5"/>
    <n v="5"/>
    <n v="1"/>
    <n v="0"/>
    <n v="11.82"/>
    <n v="0"/>
    <n v="1"/>
  </r>
  <r>
    <s v="SHP-500876"/>
    <d v="2024-05-09T00:00:00"/>
    <x v="0"/>
    <s v="Q2"/>
    <x v="4"/>
    <x v="3"/>
    <x v="2"/>
    <x v="1"/>
    <x v="0"/>
    <s v="Road"/>
    <x v="1"/>
    <n v="3.3"/>
    <n v="278"/>
    <n v="3"/>
    <n v="3"/>
    <n v="1"/>
    <n v="0"/>
    <n v="13.78"/>
    <n v="0"/>
    <n v="1"/>
  </r>
  <r>
    <s v="SHP-500877"/>
    <d v="2024-05-09T00:00:00"/>
    <x v="0"/>
    <s v="Q2"/>
    <x v="4"/>
    <x v="3"/>
    <x v="2"/>
    <x v="0"/>
    <x v="0"/>
    <s v="Road"/>
    <x v="1"/>
    <n v="5"/>
    <n v="915"/>
    <n v="4"/>
    <n v="4"/>
    <n v="1"/>
    <n v="0"/>
    <n v="23.14"/>
    <n v="0"/>
    <n v="1"/>
  </r>
  <r>
    <s v="SHP-500878"/>
    <d v="2024-05-09T00:00:00"/>
    <x v="0"/>
    <s v="Q2"/>
    <x v="4"/>
    <x v="3"/>
    <x v="2"/>
    <x v="3"/>
    <x v="0"/>
    <s v="Road"/>
    <x v="1"/>
    <n v="11.6"/>
    <n v="401"/>
    <n v="4"/>
    <n v="3"/>
    <n v="1"/>
    <n v="0"/>
    <n v="19.55"/>
    <n v="0"/>
    <n v="1"/>
  </r>
  <r>
    <s v="SHP-500879"/>
    <d v="2024-05-10T00:00:00"/>
    <x v="0"/>
    <s v="Q2"/>
    <x v="4"/>
    <x v="1"/>
    <x v="1"/>
    <x v="0"/>
    <x v="2"/>
    <s v="Air"/>
    <x v="1"/>
    <n v="3.6"/>
    <n v="791"/>
    <n v="2"/>
    <n v="1"/>
    <n v="1"/>
    <n v="0"/>
    <n v="61.46"/>
    <n v="0"/>
    <n v="1"/>
  </r>
  <r>
    <s v="SHP-500880"/>
    <d v="2024-05-10T00:00:00"/>
    <x v="0"/>
    <s v="Q2"/>
    <x v="4"/>
    <x v="4"/>
    <x v="0"/>
    <x v="2"/>
    <x v="0"/>
    <s v="Road"/>
    <x v="0"/>
    <n v="97.8"/>
    <n v="1180"/>
    <n v="5"/>
    <n v="4"/>
    <n v="1"/>
    <n v="0"/>
    <n v="62.52"/>
    <n v="0"/>
    <n v="1"/>
  </r>
  <r>
    <s v="SHP-500881"/>
    <d v="2024-05-10T00:00:00"/>
    <x v="0"/>
    <s v="Q2"/>
    <x v="4"/>
    <x v="2"/>
    <x v="0"/>
    <x v="2"/>
    <x v="2"/>
    <s v="Air"/>
    <x v="0"/>
    <n v="248.7"/>
    <n v="1088"/>
    <n v="3"/>
    <n v="3"/>
    <n v="1"/>
    <n v="0"/>
    <n v="323.17"/>
    <n v="0"/>
    <n v="1"/>
  </r>
  <r>
    <s v="SHP-500882"/>
    <d v="2024-05-10T00:00:00"/>
    <x v="0"/>
    <s v="Q2"/>
    <x v="4"/>
    <x v="2"/>
    <x v="1"/>
    <x v="3"/>
    <x v="2"/>
    <s v="Road"/>
    <x v="1"/>
    <n v="26.5"/>
    <n v="523"/>
    <n v="2"/>
    <n v="1"/>
    <n v="1"/>
    <n v="0"/>
    <n v="44.19"/>
    <n v="0"/>
    <n v="1"/>
  </r>
  <r>
    <s v="SHP-500883"/>
    <d v="2024-05-10T00:00:00"/>
    <x v="0"/>
    <s v="Q2"/>
    <x v="4"/>
    <x v="3"/>
    <x v="2"/>
    <x v="0"/>
    <x v="2"/>
    <s v="Air"/>
    <x v="0"/>
    <n v="38.9"/>
    <n v="769"/>
    <n v="2"/>
    <n v="2"/>
    <n v="1"/>
    <n v="0"/>
    <n v="110.08"/>
    <n v="0"/>
    <n v="1"/>
  </r>
  <r>
    <s v="SHP-500884"/>
    <d v="2024-05-11T00:00:00"/>
    <x v="0"/>
    <s v="Q2"/>
    <x v="4"/>
    <x v="2"/>
    <x v="2"/>
    <x v="0"/>
    <x v="1"/>
    <s v="Road"/>
    <x v="0"/>
    <n v="262"/>
    <n v="714"/>
    <n v="6"/>
    <n v="6"/>
    <n v="1"/>
    <n v="0"/>
    <n v="75.09"/>
    <n v="0"/>
    <n v="1"/>
  </r>
  <r>
    <s v="SHP-500885"/>
    <d v="2024-05-11T00:00:00"/>
    <x v="0"/>
    <s v="Q2"/>
    <x v="4"/>
    <x v="1"/>
    <x v="1"/>
    <x v="1"/>
    <x v="0"/>
    <s v="Road"/>
    <x v="1"/>
    <n v="3.4"/>
    <n v="280"/>
    <n v="3"/>
    <n v="3"/>
    <n v="1"/>
    <n v="0"/>
    <n v="13.01"/>
    <n v="0"/>
    <n v="1"/>
  </r>
  <r>
    <s v="SHP-500886"/>
    <d v="2024-05-11T00:00:00"/>
    <x v="0"/>
    <s v="Q2"/>
    <x v="4"/>
    <x v="2"/>
    <x v="1"/>
    <x v="2"/>
    <x v="0"/>
    <s v="Road"/>
    <x v="1"/>
    <n v="3.7"/>
    <n v="1207"/>
    <n v="5"/>
    <n v="7"/>
    <n v="0"/>
    <n v="2"/>
    <n v="21.75"/>
    <n v="0"/>
    <n v="1"/>
  </r>
  <r>
    <s v="SHP-500887"/>
    <d v="2024-05-11T00:00:00"/>
    <x v="0"/>
    <s v="Q2"/>
    <x v="4"/>
    <x v="3"/>
    <x v="0"/>
    <x v="1"/>
    <x v="1"/>
    <s v="Road"/>
    <x v="0"/>
    <n v="71.2"/>
    <n v="292"/>
    <n v="5"/>
    <n v="5"/>
    <n v="1"/>
    <n v="0"/>
    <n v="34.97"/>
    <n v="0"/>
    <n v="1"/>
  </r>
  <r>
    <s v="SHP-500888"/>
    <d v="2024-05-12T00:00:00"/>
    <x v="0"/>
    <s v="Q2"/>
    <x v="4"/>
    <x v="2"/>
    <x v="2"/>
    <x v="1"/>
    <x v="2"/>
    <s v="Road"/>
    <x v="0"/>
    <n v="73.400000000000006"/>
    <n v="316"/>
    <n v="1"/>
    <n v="1"/>
    <n v="1"/>
    <n v="0"/>
    <n v="65.84"/>
    <n v="0"/>
    <n v="1"/>
  </r>
  <r>
    <s v="SHP-500889"/>
    <d v="2024-05-12T00:00:00"/>
    <x v="0"/>
    <s v="Q2"/>
    <x v="4"/>
    <x v="3"/>
    <x v="1"/>
    <x v="4"/>
    <x v="2"/>
    <s v="Air"/>
    <x v="1"/>
    <n v="5.8"/>
    <n v="1310"/>
    <n v="3"/>
    <n v="2"/>
    <n v="1"/>
    <n v="0"/>
    <n v="90.13"/>
    <n v="0"/>
    <n v="1"/>
  </r>
  <r>
    <s v="SHP-500890"/>
    <d v="2024-05-12T00:00:00"/>
    <x v="0"/>
    <s v="Q2"/>
    <x v="4"/>
    <x v="2"/>
    <x v="0"/>
    <x v="4"/>
    <x v="0"/>
    <s v="Road"/>
    <x v="1"/>
    <n v="3.6"/>
    <n v="1183"/>
    <n v="5"/>
    <n v="5"/>
    <n v="1"/>
    <n v="0"/>
    <n v="18.28"/>
    <n v="0"/>
    <n v="1"/>
  </r>
  <r>
    <s v="SHP-500891"/>
    <d v="2024-05-12T00:00:00"/>
    <x v="0"/>
    <s v="Q2"/>
    <x v="4"/>
    <x v="4"/>
    <x v="1"/>
    <x v="1"/>
    <x v="0"/>
    <s v="Road"/>
    <x v="0"/>
    <n v="74.5"/>
    <n v="226"/>
    <n v="3"/>
    <n v="3"/>
    <n v="1"/>
    <n v="0"/>
    <n v="41.03"/>
    <n v="0"/>
    <n v="1"/>
  </r>
  <r>
    <s v="SHP-500892"/>
    <d v="2024-05-12T00:00:00"/>
    <x v="0"/>
    <s v="Q2"/>
    <x v="4"/>
    <x v="1"/>
    <x v="2"/>
    <x v="2"/>
    <x v="0"/>
    <s v="Road"/>
    <x v="1"/>
    <n v="12.5"/>
    <n v="1058"/>
    <n v="5"/>
    <n v="5"/>
    <n v="1"/>
    <n v="0"/>
    <n v="27.49"/>
    <n v="0"/>
    <n v="1"/>
  </r>
  <r>
    <s v="SHP-500893"/>
    <d v="2024-05-13T00:00:00"/>
    <x v="0"/>
    <s v="Q2"/>
    <x v="4"/>
    <x v="3"/>
    <x v="1"/>
    <x v="2"/>
    <x v="0"/>
    <s v="Road"/>
    <x v="1"/>
    <n v="8.8000000000000007"/>
    <n v="1158"/>
    <n v="5"/>
    <n v="5"/>
    <n v="1"/>
    <n v="0"/>
    <n v="27.48"/>
    <n v="0"/>
    <n v="1"/>
  </r>
  <r>
    <s v="SHP-500894"/>
    <d v="2024-05-13T00:00:00"/>
    <x v="0"/>
    <s v="Q2"/>
    <x v="4"/>
    <x v="4"/>
    <x v="2"/>
    <x v="0"/>
    <x v="0"/>
    <s v="Road"/>
    <x v="0"/>
    <n v="139.9"/>
    <n v="620"/>
    <n v="4"/>
    <n v="4"/>
    <n v="1"/>
    <n v="0"/>
    <n v="79.12"/>
    <n v="0"/>
    <n v="1"/>
  </r>
  <r>
    <s v="SHP-500895"/>
    <d v="2024-05-13T00:00:00"/>
    <x v="0"/>
    <s v="Q2"/>
    <x v="4"/>
    <x v="1"/>
    <x v="0"/>
    <x v="3"/>
    <x v="0"/>
    <s v="Road"/>
    <x v="1"/>
    <n v="11.3"/>
    <n v="566"/>
    <n v="4"/>
    <n v="4"/>
    <n v="1"/>
    <n v="0"/>
    <n v="21.74"/>
    <n v="0"/>
    <n v="1"/>
  </r>
  <r>
    <s v="SHP-500896"/>
    <d v="2024-05-13T00:00:00"/>
    <x v="0"/>
    <s v="Q2"/>
    <x v="4"/>
    <x v="1"/>
    <x v="2"/>
    <x v="0"/>
    <x v="0"/>
    <s v="Road"/>
    <x v="1"/>
    <n v="5.4"/>
    <n v="947"/>
    <n v="4"/>
    <n v="4"/>
    <n v="1"/>
    <n v="0"/>
    <n v="20.94"/>
    <n v="0"/>
    <n v="1"/>
  </r>
  <r>
    <s v="SHP-500897"/>
    <d v="2024-05-13T00:00:00"/>
    <x v="0"/>
    <s v="Q2"/>
    <x v="4"/>
    <x v="0"/>
    <x v="0"/>
    <x v="3"/>
    <x v="1"/>
    <s v="Road"/>
    <x v="1"/>
    <n v="8.9"/>
    <n v="434"/>
    <n v="6"/>
    <n v="6"/>
    <n v="1"/>
    <n v="0"/>
    <n v="12.62"/>
    <n v="0"/>
    <n v="1"/>
  </r>
  <r>
    <s v="SHP-500898"/>
    <d v="2024-05-13T00:00:00"/>
    <x v="0"/>
    <s v="Q2"/>
    <x v="4"/>
    <x v="4"/>
    <x v="2"/>
    <x v="2"/>
    <x v="0"/>
    <s v="Road"/>
    <x v="1"/>
    <n v="3.4"/>
    <n v="746"/>
    <n v="5"/>
    <n v="4"/>
    <n v="1"/>
    <n v="0"/>
    <n v="18.350000000000001"/>
    <n v="0"/>
    <n v="1"/>
  </r>
  <r>
    <s v="SHP-500899"/>
    <d v="2024-05-14T00:00:00"/>
    <x v="0"/>
    <s v="Q2"/>
    <x v="4"/>
    <x v="3"/>
    <x v="1"/>
    <x v="3"/>
    <x v="2"/>
    <s v="Road"/>
    <x v="0"/>
    <n v="409.7"/>
    <n v="497"/>
    <n v="2"/>
    <n v="2"/>
    <n v="1"/>
    <n v="0"/>
    <n v="390.1"/>
    <n v="0"/>
    <n v="1"/>
  </r>
  <r>
    <s v="SHP-500900"/>
    <d v="2024-05-14T00:00:00"/>
    <x v="0"/>
    <s v="Q2"/>
    <x v="4"/>
    <x v="1"/>
    <x v="0"/>
    <x v="4"/>
    <x v="1"/>
    <s v="Road"/>
    <x v="0"/>
    <n v="227.5"/>
    <n v="951"/>
    <n v="7"/>
    <n v="6"/>
    <n v="1"/>
    <n v="0"/>
    <n v="85.35"/>
    <n v="0"/>
    <n v="1"/>
  </r>
  <r>
    <s v="SHP-500901"/>
    <d v="2024-05-14T00:00:00"/>
    <x v="0"/>
    <s v="Q2"/>
    <x v="4"/>
    <x v="0"/>
    <x v="1"/>
    <x v="1"/>
    <x v="0"/>
    <s v="Road"/>
    <x v="0"/>
    <n v="109.3"/>
    <n v="263"/>
    <n v="3"/>
    <n v="2"/>
    <n v="1"/>
    <n v="0"/>
    <n v="56.25"/>
    <n v="0"/>
    <n v="1"/>
  </r>
  <r>
    <s v="SHP-500902"/>
    <d v="2024-05-14T00:00:00"/>
    <x v="0"/>
    <s v="Q2"/>
    <x v="4"/>
    <x v="2"/>
    <x v="2"/>
    <x v="3"/>
    <x v="2"/>
    <s v="Road"/>
    <x v="1"/>
    <n v="5.0999999999999996"/>
    <n v="481"/>
    <n v="2"/>
    <n v="1"/>
    <n v="1"/>
    <n v="0"/>
    <n v="23.93"/>
    <n v="0"/>
    <n v="1"/>
  </r>
  <r>
    <s v="SHP-500903"/>
    <d v="2024-05-15T00:00:00"/>
    <x v="0"/>
    <s v="Q2"/>
    <x v="4"/>
    <x v="3"/>
    <x v="0"/>
    <x v="2"/>
    <x v="1"/>
    <s v="Road"/>
    <x v="0"/>
    <n v="45.8"/>
    <n v="1393"/>
    <n v="7"/>
    <n v="6"/>
    <n v="1"/>
    <n v="0"/>
    <n v="36.11"/>
    <n v="0"/>
    <n v="1"/>
  </r>
  <r>
    <s v="SHP-500904"/>
    <d v="2024-05-15T00:00:00"/>
    <x v="0"/>
    <s v="Q2"/>
    <x v="4"/>
    <x v="4"/>
    <x v="2"/>
    <x v="4"/>
    <x v="0"/>
    <s v="Road"/>
    <x v="0"/>
    <n v="347.6"/>
    <n v="944"/>
    <n v="5"/>
    <n v="5"/>
    <n v="1"/>
    <n v="0"/>
    <n v="144.04"/>
    <n v="0"/>
    <n v="1"/>
  </r>
  <r>
    <s v="SHP-500905"/>
    <d v="2024-05-15T00:00:00"/>
    <x v="0"/>
    <s v="Q2"/>
    <x v="4"/>
    <x v="2"/>
    <x v="2"/>
    <x v="3"/>
    <x v="0"/>
    <s v="Road"/>
    <x v="0"/>
    <n v="174.1"/>
    <n v="490"/>
    <n v="4"/>
    <n v="4"/>
    <n v="1"/>
    <n v="0"/>
    <n v="76.790000000000006"/>
    <n v="0"/>
    <n v="1"/>
  </r>
  <r>
    <s v="SHP-500906"/>
    <d v="2024-05-15T00:00:00"/>
    <x v="0"/>
    <s v="Q2"/>
    <x v="4"/>
    <x v="1"/>
    <x v="2"/>
    <x v="4"/>
    <x v="1"/>
    <s v="Road"/>
    <x v="0"/>
    <n v="53.6"/>
    <n v="1073"/>
    <n v="7"/>
    <n v="9"/>
    <n v="0"/>
    <n v="2"/>
    <n v="35.729999999999997"/>
    <n v="0"/>
    <n v="1"/>
  </r>
  <r>
    <s v="SHP-500907"/>
    <d v="2024-05-15T00:00:00"/>
    <x v="0"/>
    <s v="Q2"/>
    <x v="4"/>
    <x v="0"/>
    <x v="0"/>
    <x v="4"/>
    <x v="0"/>
    <s v="Road"/>
    <x v="1"/>
    <n v="6.4"/>
    <n v="1163"/>
    <n v="5"/>
    <n v="5"/>
    <n v="1"/>
    <n v="0"/>
    <n v="20.05"/>
    <n v="0"/>
    <n v="1"/>
  </r>
  <r>
    <s v="SHP-500908"/>
    <d v="2024-05-15T00:00:00"/>
    <x v="0"/>
    <s v="Q2"/>
    <x v="4"/>
    <x v="4"/>
    <x v="1"/>
    <x v="1"/>
    <x v="0"/>
    <s v="Road"/>
    <x v="1"/>
    <n v="9.5"/>
    <n v="235"/>
    <n v="3"/>
    <n v="3"/>
    <n v="1"/>
    <n v="0"/>
    <n v="14.28"/>
    <n v="0"/>
    <n v="1"/>
  </r>
  <r>
    <s v="SHP-500909"/>
    <d v="2024-05-15T00:00:00"/>
    <x v="0"/>
    <s v="Q2"/>
    <x v="4"/>
    <x v="3"/>
    <x v="0"/>
    <x v="1"/>
    <x v="0"/>
    <s v="Road"/>
    <x v="0"/>
    <n v="28.5"/>
    <n v="257"/>
    <n v="3"/>
    <n v="3"/>
    <n v="1"/>
    <n v="0"/>
    <n v="28.24"/>
    <n v="0"/>
    <n v="1"/>
  </r>
  <r>
    <s v="SHP-500910"/>
    <d v="2024-05-15T00:00:00"/>
    <x v="0"/>
    <s v="Q2"/>
    <x v="4"/>
    <x v="3"/>
    <x v="2"/>
    <x v="1"/>
    <x v="1"/>
    <s v="Road"/>
    <x v="0"/>
    <n v="51.4"/>
    <n v="297"/>
    <n v="5"/>
    <n v="5"/>
    <n v="1"/>
    <n v="0"/>
    <n v="28.57"/>
    <n v="0"/>
    <n v="1"/>
  </r>
  <r>
    <s v="SHP-500911"/>
    <d v="2024-05-15T00:00:00"/>
    <x v="0"/>
    <s v="Q2"/>
    <x v="4"/>
    <x v="4"/>
    <x v="2"/>
    <x v="3"/>
    <x v="2"/>
    <s v="Road"/>
    <x v="1"/>
    <n v="5.4"/>
    <n v="488"/>
    <n v="2"/>
    <n v="2"/>
    <n v="1"/>
    <n v="0"/>
    <n v="29.65"/>
    <n v="0"/>
    <n v="1"/>
  </r>
  <r>
    <s v="SHP-500912"/>
    <d v="2024-05-16T00:00:00"/>
    <x v="0"/>
    <s v="Q2"/>
    <x v="4"/>
    <x v="1"/>
    <x v="1"/>
    <x v="4"/>
    <x v="0"/>
    <s v="Road"/>
    <x v="0"/>
    <n v="64.900000000000006"/>
    <n v="864"/>
    <n v="5"/>
    <n v="5"/>
    <n v="1"/>
    <n v="0"/>
    <n v="50.1"/>
    <n v="0"/>
    <n v="1"/>
  </r>
  <r>
    <s v="SHP-500913"/>
    <d v="2024-05-16T00:00:00"/>
    <x v="0"/>
    <s v="Q2"/>
    <x v="4"/>
    <x v="4"/>
    <x v="2"/>
    <x v="4"/>
    <x v="1"/>
    <s v="Road"/>
    <x v="1"/>
    <n v="9.5"/>
    <n v="898"/>
    <n v="7"/>
    <n v="9"/>
    <n v="0"/>
    <n v="2"/>
    <n v="15.41"/>
    <n v="0"/>
    <n v="1"/>
  </r>
  <r>
    <s v="SHP-500914"/>
    <d v="2024-05-16T00:00:00"/>
    <x v="0"/>
    <s v="Q2"/>
    <x v="4"/>
    <x v="2"/>
    <x v="2"/>
    <x v="2"/>
    <x v="2"/>
    <s v="Air"/>
    <x v="0"/>
    <n v="129.9"/>
    <n v="951"/>
    <n v="3"/>
    <n v="2"/>
    <n v="1"/>
    <n v="0"/>
    <n v="191.98"/>
    <n v="0"/>
    <n v="1"/>
  </r>
  <r>
    <s v="SHP-500915"/>
    <d v="2024-05-16T00:00:00"/>
    <x v="0"/>
    <s v="Q2"/>
    <x v="4"/>
    <x v="4"/>
    <x v="2"/>
    <x v="2"/>
    <x v="0"/>
    <s v="Road"/>
    <x v="1"/>
    <n v="11.7"/>
    <n v="1011"/>
    <n v="5"/>
    <n v="5"/>
    <n v="1"/>
    <n v="0"/>
    <n v="25"/>
    <n v="0"/>
    <n v="1"/>
  </r>
  <r>
    <s v="SHP-500916"/>
    <d v="2024-05-16T00:00:00"/>
    <x v="0"/>
    <s v="Q2"/>
    <x v="4"/>
    <x v="3"/>
    <x v="0"/>
    <x v="3"/>
    <x v="1"/>
    <s v="Road"/>
    <x v="0"/>
    <n v="127.2"/>
    <n v="366"/>
    <n v="6"/>
    <n v="6"/>
    <n v="1"/>
    <n v="0"/>
    <n v="61.23"/>
    <n v="0"/>
    <n v="1"/>
  </r>
  <r>
    <s v="SHP-500917"/>
    <d v="2024-05-16T00:00:00"/>
    <x v="0"/>
    <s v="Q2"/>
    <x v="4"/>
    <x v="4"/>
    <x v="2"/>
    <x v="0"/>
    <x v="0"/>
    <s v="Road"/>
    <x v="1"/>
    <n v="5.2"/>
    <n v="730"/>
    <n v="4"/>
    <n v="4"/>
    <n v="1"/>
    <n v="0"/>
    <n v="18.98"/>
    <n v="0"/>
    <n v="1"/>
  </r>
  <r>
    <s v="SHP-500918"/>
    <d v="2024-05-16T00:00:00"/>
    <x v="0"/>
    <s v="Q2"/>
    <x v="4"/>
    <x v="4"/>
    <x v="1"/>
    <x v="1"/>
    <x v="0"/>
    <s v="Road"/>
    <x v="0"/>
    <n v="280"/>
    <n v="201"/>
    <n v="3"/>
    <n v="3"/>
    <n v="1"/>
    <n v="0"/>
    <n v="117.83"/>
    <n v="0"/>
    <n v="1"/>
  </r>
  <r>
    <s v="SHP-500919"/>
    <d v="2024-05-16T00:00:00"/>
    <x v="0"/>
    <s v="Q2"/>
    <x v="4"/>
    <x v="3"/>
    <x v="2"/>
    <x v="4"/>
    <x v="0"/>
    <s v="Road"/>
    <x v="1"/>
    <n v="2.4"/>
    <n v="1078"/>
    <n v="5"/>
    <n v="5"/>
    <n v="1"/>
    <n v="0"/>
    <n v="21.45"/>
    <n v="0"/>
    <n v="1"/>
  </r>
  <r>
    <s v="SHP-500920"/>
    <d v="2024-05-16T00:00:00"/>
    <x v="0"/>
    <s v="Q2"/>
    <x v="4"/>
    <x v="1"/>
    <x v="1"/>
    <x v="1"/>
    <x v="0"/>
    <s v="Road"/>
    <x v="1"/>
    <n v="3.7"/>
    <n v="305"/>
    <n v="3"/>
    <n v="3"/>
    <n v="1"/>
    <n v="0"/>
    <n v="13.3"/>
    <n v="0"/>
    <n v="1"/>
  </r>
  <r>
    <s v="SHP-500921"/>
    <d v="2024-05-16T00:00:00"/>
    <x v="0"/>
    <s v="Q2"/>
    <x v="4"/>
    <x v="2"/>
    <x v="2"/>
    <x v="1"/>
    <x v="2"/>
    <s v="Road"/>
    <x v="1"/>
    <n v="11.2"/>
    <n v="216"/>
    <n v="1"/>
    <n v="1"/>
    <n v="1"/>
    <n v="0"/>
    <n v="25.26"/>
    <n v="0"/>
    <n v="1"/>
  </r>
  <r>
    <s v="SHP-500922"/>
    <d v="2024-05-16T00:00:00"/>
    <x v="0"/>
    <s v="Q2"/>
    <x v="4"/>
    <x v="4"/>
    <x v="1"/>
    <x v="1"/>
    <x v="0"/>
    <s v="Road"/>
    <x v="1"/>
    <n v="10.6"/>
    <n v="227"/>
    <n v="3"/>
    <n v="4"/>
    <n v="0"/>
    <n v="1"/>
    <n v="15.11"/>
    <n v="0"/>
    <n v="1"/>
  </r>
  <r>
    <s v="SHP-500923"/>
    <d v="2024-05-17T00:00:00"/>
    <x v="0"/>
    <s v="Q2"/>
    <x v="4"/>
    <x v="3"/>
    <x v="0"/>
    <x v="0"/>
    <x v="0"/>
    <s v="Road"/>
    <x v="1"/>
    <n v="3.7"/>
    <n v="1023"/>
    <n v="4"/>
    <n v="3"/>
    <n v="1"/>
    <n v="0"/>
    <n v="22.51"/>
    <n v="0"/>
    <n v="1"/>
  </r>
  <r>
    <s v="SHP-500924"/>
    <d v="2024-05-17T00:00:00"/>
    <x v="0"/>
    <s v="Q2"/>
    <x v="4"/>
    <x v="2"/>
    <x v="2"/>
    <x v="3"/>
    <x v="1"/>
    <s v="Road"/>
    <x v="0"/>
    <n v="99.5"/>
    <n v="437"/>
    <n v="6"/>
    <n v="6"/>
    <n v="1"/>
    <n v="0"/>
    <n v="33.72"/>
    <n v="0"/>
    <n v="1"/>
  </r>
  <r>
    <s v="SHP-500925"/>
    <d v="2024-05-17T00:00:00"/>
    <x v="0"/>
    <s v="Q2"/>
    <x v="4"/>
    <x v="3"/>
    <x v="1"/>
    <x v="0"/>
    <x v="0"/>
    <s v="Road"/>
    <x v="0"/>
    <n v="86"/>
    <n v="876"/>
    <n v="4"/>
    <n v="4"/>
    <n v="1"/>
    <n v="0"/>
    <n v="60.04"/>
    <n v="0"/>
    <n v="1"/>
  </r>
  <r>
    <s v="SHP-500926"/>
    <d v="2024-05-17T00:00:00"/>
    <x v="0"/>
    <s v="Q2"/>
    <x v="4"/>
    <x v="2"/>
    <x v="0"/>
    <x v="1"/>
    <x v="1"/>
    <s v="Road"/>
    <x v="1"/>
    <n v="0.8"/>
    <n v="257"/>
    <n v="5"/>
    <n v="5"/>
    <n v="1"/>
    <n v="0"/>
    <n v="5.8"/>
    <n v="0"/>
    <n v="1"/>
  </r>
  <r>
    <s v="SHP-500927"/>
    <d v="2024-05-17T00:00:00"/>
    <x v="0"/>
    <s v="Q2"/>
    <x v="4"/>
    <x v="4"/>
    <x v="2"/>
    <x v="1"/>
    <x v="0"/>
    <s v="Road"/>
    <x v="1"/>
    <n v="7.9"/>
    <n v="229"/>
    <n v="3"/>
    <n v="3"/>
    <n v="1"/>
    <n v="0"/>
    <n v="13.64"/>
    <n v="0"/>
    <n v="1"/>
  </r>
  <r>
    <s v="SHP-500928"/>
    <d v="2024-05-17T00:00:00"/>
    <x v="0"/>
    <s v="Q2"/>
    <x v="4"/>
    <x v="4"/>
    <x v="2"/>
    <x v="2"/>
    <x v="0"/>
    <s v="Road"/>
    <x v="0"/>
    <n v="74.5"/>
    <n v="1143"/>
    <n v="5"/>
    <n v="5"/>
    <n v="1"/>
    <n v="0"/>
    <n v="50.37"/>
    <n v="0"/>
    <n v="1"/>
  </r>
  <r>
    <s v="SHP-500929"/>
    <d v="2024-05-17T00:00:00"/>
    <x v="0"/>
    <s v="Q2"/>
    <x v="4"/>
    <x v="3"/>
    <x v="2"/>
    <x v="0"/>
    <x v="2"/>
    <s v="Air"/>
    <x v="1"/>
    <n v="2.8"/>
    <n v="530"/>
    <n v="2"/>
    <n v="2"/>
    <n v="1"/>
    <n v="0"/>
    <n v="51.1"/>
    <n v="0"/>
    <n v="1"/>
  </r>
  <r>
    <s v="SHP-500930"/>
    <d v="2024-05-17T00:00:00"/>
    <x v="0"/>
    <s v="Q2"/>
    <x v="4"/>
    <x v="0"/>
    <x v="0"/>
    <x v="3"/>
    <x v="1"/>
    <s v="Road"/>
    <x v="1"/>
    <n v="7.1"/>
    <n v="464"/>
    <n v="6"/>
    <n v="5"/>
    <n v="1"/>
    <n v="0"/>
    <n v="12"/>
    <n v="0"/>
    <n v="1"/>
  </r>
  <r>
    <s v="SHP-500931"/>
    <d v="2024-05-17T00:00:00"/>
    <x v="0"/>
    <s v="Q2"/>
    <x v="4"/>
    <x v="2"/>
    <x v="1"/>
    <x v="1"/>
    <x v="0"/>
    <s v="Road"/>
    <x v="1"/>
    <n v="4.2"/>
    <n v="206"/>
    <n v="3"/>
    <n v="3"/>
    <n v="1"/>
    <n v="0"/>
    <n v="9.39"/>
    <n v="0"/>
    <n v="1"/>
  </r>
  <r>
    <s v="SHP-500932"/>
    <d v="2024-05-17T00:00:00"/>
    <x v="0"/>
    <s v="Q2"/>
    <x v="4"/>
    <x v="2"/>
    <x v="0"/>
    <x v="4"/>
    <x v="0"/>
    <s v="Road"/>
    <x v="1"/>
    <n v="2.5"/>
    <n v="1054"/>
    <n v="5"/>
    <n v="4"/>
    <n v="1"/>
    <n v="0"/>
    <n v="18.37"/>
    <n v="0"/>
    <n v="1"/>
  </r>
  <r>
    <s v="SHP-500933"/>
    <d v="2024-05-18T00:00:00"/>
    <x v="0"/>
    <s v="Q2"/>
    <x v="4"/>
    <x v="1"/>
    <x v="1"/>
    <x v="2"/>
    <x v="0"/>
    <s v="Road"/>
    <x v="1"/>
    <n v="1.5"/>
    <n v="1170"/>
    <n v="5"/>
    <n v="5"/>
    <n v="1"/>
    <n v="0"/>
    <n v="22.3"/>
    <n v="0"/>
    <n v="1"/>
  </r>
  <r>
    <s v="SHP-500934"/>
    <d v="2024-05-18T00:00:00"/>
    <x v="0"/>
    <s v="Q2"/>
    <x v="4"/>
    <x v="0"/>
    <x v="1"/>
    <x v="2"/>
    <x v="0"/>
    <s v="Road"/>
    <x v="0"/>
    <n v="108.7"/>
    <n v="1554"/>
    <n v="5"/>
    <n v="5"/>
    <n v="1"/>
    <n v="0"/>
    <n v="70.349999999999994"/>
    <n v="0"/>
    <n v="1"/>
  </r>
  <r>
    <s v="SHP-500935"/>
    <d v="2024-05-18T00:00:00"/>
    <x v="0"/>
    <s v="Q2"/>
    <x v="4"/>
    <x v="3"/>
    <x v="1"/>
    <x v="1"/>
    <x v="0"/>
    <s v="Road"/>
    <x v="0"/>
    <n v="25.1"/>
    <n v="180"/>
    <n v="3"/>
    <n v="3"/>
    <n v="1"/>
    <n v="0"/>
    <n v="26.6"/>
    <n v="0"/>
    <n v="1"/>
  </r>
  <r>
    <s v="SHP-500936"/>
    <d v="2024-05-18T00:00:00"/>
    <x v="0"/>
    <s v="Q2"/>
    <x v="4"/>
    <x v="1"/>
    <x v="2"/>
    <x v="2"/>
    <x v="1"/>
    <s v="Road"/>
    <x v="0"/>
    <n v="69.099999999999994"/>
    <n v="1213"/>
    <n v="7"/>
    <n v="8"/>
    <n v="0"/>
    <n v="1"/>
    <n v="41.94"/>
    <n v="0"/>
    <n v="1"/>
  </r>
  <r>
    <s v="SHP-500937"/>
    <d v="2024-05-19T00:00:00"/>
    <x v="0"/>
    <s v="Q2"/>
    <x v="4"/>
    <x v="4"/>
    <x v="1"/>
    <x v="2"/>
    <x v="0"/>
    <s v="Road"/>
    <x v="1"/>
    <n v="11.9"/>
    <n v="1146"/>
    <n v="5"/>
    <n v="5"/>
    <n v="1"/>
    <n v="0"/>
    <n v="25.44"/>
    <n v="0"/>
    <n v="1"/>
  </r>
  <r>
    <s v="SHP-500938"/>
    <d v="2024-05-19T00:00:00"/>
    <x v="0"/>
    <s v="Q2"/>
    <x v="4"/>
    <x v="1"/>
    <x v="2"/>
    <x v="1"/>
    <x v="0"/>
    <s v="Road"/>
    <x v="1"/>
    <n v="8.1999999999999993"/>
    <n v="228"/>
    <n v="3"/>
    <n v="3"/>
    <n v="1"/>
    <n v="0"/>
    <n v="14.92"/>
    <n v="0"/>
    <n v="1"/>
  </r>
  <r>
    <s v="SHP-500939"/>
    <d v="2024-05-19T00:00:00"/>
    <x v="0"/>
    <s v="Q2"/>
    <x v="4"/>
    <x v="3"/>
    <x v="0"/>
    <x v="2"/>
    <x v="0"/>
    <s v="Road"/>
    <x v="1"/>
    <n v="3.9"/>
    <n v="876"/>
    <n v="5"/>
    <n v="5"/>
    <n v="1"/>
    <n v="0"/>
    <n v="23.99"/>
    <n v="0"/>
    <n v="1"/>
  </r>
  <r>
    <s v="SHP-500940"/>
    <d v="2024-05-20T00:00:00"/>
    <x v="0"/>
    <s v="Q2"/>
    <x v="4"/>
    <x v="1"/>
    <x v="1"/>
    <x v="3"/>
    <x v="0"/>
    <s v="Road"/>
    <x v="0"/>
    <n v="224.3"/>
    <n v="312"/>
    <n v="4"/>
    <n v="4"/>
    <n v="1"/>
    <n v="0"/>
    <n v="111.64"/>
    <n v="0"/>
    <n v="1"/>
  </r>
  <r>
    <s v="SHP-500941"/>
    <d v="2024-05-20T00:00:00"/>
    <x v="0"/>
    <s v="Q2"/>
    <x v="4"/>
    <x v="0"/>
    <x v="2"/>
    <x v="4"/>
    <x v="1"/>
    <s v="Road"/>
    <x v="0"/>
    <n v="34.9"/>
    <n v="957"/>
    <n v="7"/>
    <n v="7"/>
    <n v="1"/>
    <n v="0"/>
    <n v="24.2"/>
    <n v="0"/>
    <n v="1"/>
  </r>
  <r>
    <s v="SHP-500942"/>
    <d v="2024-05-20T00:00:00"/>
    <x v="0"/>
    <s v="Q2"/>
    <x v="4"/>
    <x v="2"/>
    <x v="1"/>
    <x v="1"/>
    <x v="0"/>
    <s v="Road"/>
    <x v="1"/>
    <n v="2.8"/>
    <n v="274"/>
    <n v="3"/>
    <n v="3"/>
    <n v="1"/>
    <n v="0"/>
    <n v="9.4700000000000006"/>
    <n v="0"/>
    <n v="1"/>
  </r>
  <r>
    <s v="SHP-500943"/>
    <d v="2024-05-20T00:00:00"/>
    <x v="0"/>
    <s v="Q2"/>
    <x v="4"/>
    <x v="0"/>
    <x v="2"/>
    <x v="4"/>
    <x v="2"/>
    <s v="Air"/>
    <x v="1"/>
    <n v="13.9"/>
    <n v="1057"/>
    <n v="3"/>
    <n v="3"/>
    <n v="1"/>
    <n v="0"/>
    <n v="82.36"/>
    <n v="0"/>
    <n v="1"/>
  </r>
  <r>
    <s v="SHP-500944"/>
    <d v="2024-05-20T00:00:00"/>
    <x v="0"/>
    <s v="Q2"/>
    <x v="4"/>
    <x v="2"/>
    <x v="2"/>
    <x v="4"/>
    <x v="0"/>
    <s v="Road"/>
    <x v="1"/>
    <n v="25.2"/>
    <n v="1186"/>
    <n v="5"/>
    <n v="5"/>
    <n v="1"/>
    <n v="0"/>
    <n v="31.21"/>
    <n v="0"/>
    <n v="1"/>
  </r>
  <r>
    <s v="SHP-500945"/>
    <d v="2024-05-20T00:00:00"/>
    <x v="0"/>
    <s v="Q2"/>
    <x v="4"/>
    <x v="1"/>
    <x v="1"/>
    <x v="2"/>
    <x v="2"/>
    <s v="Air"/>
    <x v="0"/>
    <n v="30.7"/>
    <n v="1374"/>
    <n v="3"/>
    <n v="3"/>
    <n v="1"/>
    <n v="0"/>
    <n v="129.04"/>
    <n v="0"/>
    <n v="1"/>
  </r>
  <r>
    <s v="SHP-500946"/>
    <d v="2024-05-20T00:00:00"/>
    <x v="0"/>
    <s v="Q2"/>
    <x v="4"/>
    <x v="3"/>
    <x v="2"/>
    <x v="2"/>
    <x v="0"/>
    <s v="Road"/>
    <x v="1"/>
    <n v="11.5"/>
    <n v="1347"/>
    <n v="5"/>
    <n v="5"/>
    <n v="1"/>
    <n v="0"/>
    <n v="33.950000000000003"/>
    <n v="0"/>
    <n v="1"/>
  </r>
  <r>
    <s v="SHP-500947"/>
    <d v="2024-05-20T00:00:00"/>
    <x v="0"/>
    <s v="Q2"/>
    <x v="4"/>
    <x v="4"/>
    <x v="2"/>
    <x v="1"/>
    <x v="0"/>
    <s v="Road"/>
    <x v="0"/>
    <n v="38.9"/>
    <n v="224"/>
    <n v="3"/>
    <n v="3"/>
    <n v="1"/>
    <n v="0"/>
    <n v="30.63"/>
    <n v="0"/>
    <n v="1"/>
  </r>
  <r>
    <s v="SHP-500948"/>
    <d v="2024-05-21T00:00:00"/>
    <x v="0"/>
    <s v="Q2"/>
    <x v="4"/>
    <x v="4"/>
    <x v="2"/>
    <x v="3"/>
    <x v="2"/>
    <s v="Road"/>
    <x v="1"/>
    <n v="17.7"/>
    <n v="594"/>
    <n v="2"/>
    <n v="1"/>
    <n v="1"/>
    <n v="0"/>
    <n v="47.49"/>
    <n v="0"/>
    <n v="1"/>
  </r>
  <r>
    <s v="SHP-500949"/>
    <d v="2024-05-21T00:00:00"/>
    <x v="0"/>
    <s v="Q2"/>
    <x v="4"/>
    <x v="0"/>
    <x v="2"/>
    <x v="2"/>
    <x v="1"/>
    <s v="Road"/>
    <x v="1"/>
    <n v="7.9"/>
    <n v="1298"/>
    <n v="7"/>
    <n v="7"/>
    <n v="1"/>
    <n v="0"/>
    <n v="19.18"/>
    <n v="0"/>
    <n v="1"/>
  </r>
  <r>
    <s v="SHP-500950"/>
    <d v="2024-05-21T00:00:00"/>
    <x v="0"/>
    <s v="Q2"/>
    <x v="4"/>
    <x v="0"/>
    <x v="2"/>
    <x v="0"/>
    <x v="2"/>
    <s v="Air"/>
    <x v="1"/>
    <n v="6.3"/>
    <n v="783"/>
    <n v="2"/>
    <n v="1"/>
    <n v="1"/>
    <n v="0"/>
    <n v="51.92"/>
    <n v="0"/>
    <n v="1"/>
  </r>
  <r>
    <s v="SHP-500951"/>
    <d v="2024-05-21T00:00:00"/>
    <x v="0"/>
    <s v="Q2"/>
    <x v="4"/>
    <x v="3"/>
    <x v="0"/>
    <x v="0"/>
    <x v="1"/>
    <s v="Road"/>
    <x v="0"/>
    <n v="9"/>
    <n v="660"/>
    <n v="6"/>
    <n v="5"/>
    <n v="1"/>
    <n v="0"/>
    <n v="17.739999999999998"/>
    <n v="0"/>
    <n v="1"/>
  </r>
  <r>
    <s v="SHP-500952"/>
    <d v="2024-05-21T00:00:00"/>
    <x v="0"/>
    <s v="Q2"/>
    <x v="4"/>
    <x v="2"/>
    <x v="2"/>
    <x v="2"/>
    <x v="2"/>
    <s v="Air"/>
    <x v="1"/>
    <n v="2.7"/>
    <n v="1104"/>
    <n v="3"/>
    <n v="7"/>
    <n v="0"/>
    <n v="4"/>
    <n v="54.57"/>
    <n v="0"/>
    <n v="1"/>
  </r>
  <r>
    <s v="SHP-500953"/>
    <d v="2024-05-21T00:00:00"/>
    <x v="0"/>
    <s v="Q2"/>
    <x v="4"/>
    <x v="1"/>
    <x v="1"/>
    <x v="1"/>
    <x v="0"/>
    <s v="Road"/>
    <x v="1"/>
    <n v="3.3"/>
    <n v="315"/>
    <n v="3"/>
    <n v="2"/>
    <n v="1"/>
    <n v="0"/>
    <n v="12.8"/>
    <n v="0"/>
    <n v="1"/>
  </r>
  <r>
    <s v="SHP-500954"/>
    <d v="2024-05-21T00:00:00"/>
    <x v="0"/>
    <s v="Q2"/>
    <x v="4"/>
    <x v="4"/>
    <x v="2"/>
    <x v="2"/>
    <x v="1"/>
    <s v="Road"/>
    <x v="1"/>
    <n v="1"/>
    <n v="1253"/>
    <n v="7"/>
    <n v="7"/>
    <n v="1"/>
    <n v="0"/>
    <n v="16.079999999999998"/>
    <n v="0"/>
    <n v="1"/>
  </r>
  <r>
    <s v="SHP-500955"/>
    <d v="2024-05-21T00:00:00"/>
    <x v="0"/>
    <s v="Q2"/>
    <x v="4"/>
    <x v="0"/>
    <x v="2"/>
    <x v="3"/>
    <x v="2"/>
    <s v="Road"/>
    <x v="1"/>
    <n v="1.4"/>
    <n v="442"/>
    <n v="2"/>
    <n v="3"/>
    <n v="0"/>
    <n v="1"/>
    <n v="23.73"/>
    <n v="0"/>
    <n v="1"/>
  </r>
  <r>
    <s v="SHP-500956"/>
    <d v="2024-05-22T00:00:00"/>
    <x v="0"/>
    <s v="Q2"/>
    <x v="4"/>
    <x v="1"/>
    <x v="2"/>
    <x v="3"/>
    <x v="0"/>
    <s v="Road"/>
    <x v="1"/>
    <n v="6.5"/>
    <n v="468"/>
    <n v="4"/>
    <n v="3"/>
    <n v="1"/>
    <n v="0"/>
    <n v="17.149999999999999"/>
    <n v="0"/>
    <n v="1"/>
  </r>
  <r>
    <s v="SHP-500957"/>
    <d v="2024-05-22T00:00:00"/>
    <x v="0"/>
    <s v="Q2"/>
    <x v="4"/>
    <x v="1"/>
    <x v="0"/>
    <x v="1"/>
    <x v="0"/>
    <s v="Road"/>
    <x v="0"/>
    <n v="227.6"/>
    <n v="277"/>
    <n v="3"/>
    <n v="3"/>
    <n v="1"/>
    <n v="0"/>
    <n v="97.84"/>
    <n v="0"/>
    <n v="1"/>
  </r>
  <r>
    <s v="SHP-500958"/>
    <d v="2024-05-22T00:00:00"/>
    <x v="0"/>
    <s v="Q2"/>
    <x v="4"/>
    <x v="3"/>
    <x v="1"/>
    <x v="4"/>
    <x v="0"/>
    <s v="Road"/>
    <x v="1"/>
    <n v="8.5"/>
    <n v="778"/>
    <n v="5"/>
    <n v="5"/>
    <n v="1"/>
    <n v="0"/>
    <n v="22.72"/>
    <n v="0"/>
    <n v="1"/>
  </r>
  <r>
    <s v="SHP-500959"/>
    <d v="2024-05-23T00:00:00"/>
    <x v="0"/>
    <s v="Q2"/>
    <x v="4"/>
    <x v="4"/>
    <x v="2"/>
    <x v="3"/>
    <x v="2"/>
    <s v="Road"/>
    <x v="0"/>
    <n v="48.7"/>
    <n v="512"/>
    <n v="2"/>
    <n v="2"/>
    <n v="1"/>
    <n v="0"/>
    <n v="70.349999999999994"/>
    <n v="0"/>
    <n v="1"/>
  </r>
  <r>
    <s v="SHP-500960"/>
    <d v="2024-05-23T00:00:00"/>
    <x v="0"/>
    <s v="Q2"/>
    <x v="4"/>
    <x v="1"/>
    <x v="1"/>
    <x v="0"/>
    <x v="0"/>
    <s v="Road"/>
    <x v="0"/>
    <n v="12.7"/>
    <n v="795"/>
    <n v="4"/>
    <n v="3"/>
    <n v="1"/>
    <n v="0"/>
    <n v="24.62"/>
    <n v="0"/>
    <n v="1"/>
  </r>
  <r>
    <s v="SHP-500961"/>
    <d v="2024-05-23T00:00:00"/>
    <x v="0"/>
    <s v="Q2"/>
    <x v="4"/>
    <x v="0"/>
    <x v="2"/>
    <x v="0"/>
    <x v="0"/>
    <s v="Road"/>
    <x v="0"/>
    <n v="56.1"/>
    <n v="601"/>
    <n v="4"/>
    <n v="4"/>
    <n v="1"/>
    <n v="0"/>
    <n v="38.53"/>
    <n v="0"/>
    <n v="1"/>
  </r>
  <r>
    <s v="SHP-500962"/>
    <d v="2024-05-23T00:00:00"/>
    <x v="0"/>
    <s v="Q2"/>
    <x v="4"/>
    <x v="3"/>
    <x v="2"/>
    <x v="1"/>
    <x v="0"/>
    <s v="Road"/>
    <x v="0"/>
    <n v="145.30000000000001"/>
    <n v="324"/>
    <n v="3"/>
    <n v="2"/>
    <n v="1"/>
    <n v="0"/>
    <n v="72.91"/>
    <n v="0"/>
    <n v="1"/>
  </r>
  <r>
    <s v="SHP-500963"/>
    <d v="2024-05-23T00:00:00"/>
    <x v="0"/>
    <s v="Q2"/>
    <x v="4"/>
    <x v="1"/>
    <x v="1"/>
    <x v="1"/>
    <x v="0"/>
    <s v="Road"/>
    <x v="0"/>
    <n v="105.8"/>
    <n v="223"/>
    <n v="3"/>
    <n v="3"/>
    <n v="1"/>
    <n v="0"/>
    <n v="58.19"/>
    <n v="0"/>
    <n v="1"/>
  </r>
  <r>
    <s v="SHP-500964"/>
    <d v="2024-05-23T00:00:00"/>
    <x v="0"/>
    <s v="Q2"/>
    <x v="4"/>
    <x v="3"/>
    <x v="2"/>
    <x v="2"/>
    <x v="1"/>
    <s v="Road"/>
    <x v="1"/>
    <n v="2"/>
    <n v="969"/>
    <n v="7"/>
    <n v="7"/>
    <n v="1"/>
    <n v="0"/>
    <n v="14.92"/>
    <n v="0"/>
    <n v="1"/>
  </r>
  <r>
    <s v="SHP-500965"/>
    <d v="2024-05-23T00:00:00"/>
    <x v="0"/>
    <s v="Q2"/>
    <x v="4"/>
    <x v="3"/>
    <x v="1"/>
    <x v="0"/>
    <x v="2"/>
    <s v="Air"/>
    <x v="1"/>
    <n v="14.6"/>
    <n v="790"/>
    <n v="2"/>
    <n v="2"/>
    <n v="1"/>
    <n v="0"/>
    <n v="84.81"/>
    <n v="0"/>
    <n v="1"/>
  </r>
  <r>
    <s v="SHP-500966"/>
    <d v="2024-05-23T00:00:00"/>
    <x v="0"/>
    <s v="Q2"/>
    <x v="4"/>
    <x v="4"/>
    <x v="0"/>
    <x v="2"/>
    <x v="0"/>
    <s v="Road"/>
    <x v="1"/>
    <n v="3.7"/>
    <n v="1061"/>
    <n v="5"/>
    <n v="5"/>
    <n v="1"/>
    <n v="0"/>
    <n v="24.18"/>
    <n v="0"/>
    <n v="1"/>
  </r>
  <r>
    <s v="SHP-500967"/>
    <d v="2024-05-24T00:00:00"/>
    <x v="0"/>
    <s v="Q2"/>
    <x v="4"/>
    <x v="0"/>
    <x v="2"/>
    <x v="3"/>
    <x v="0"/>
    <s v="Road"/>
    <x v="1"/>
    <n v="3.4"/>
    <n v="515"/>
    <n v="4"/>
    <n v="4"/>
    <n v="1"/>
    <n v="0"/>
    <n v="14.93"/>
    <n v="0"/>
    <n v="1"/>
  </r>
  <r>
    <s v="SHP-500968"/>
    <d v="2024-05-24T00:00:00"/>
    <x v="0"/>
    <s v="Q2"/>
    <x v="4"/>
    <x v="0"/>
    <x v="1"/>
    <x v="3"/>
    <x v="1"/>
    <s v="Road"/>
    <x v="1"/>
    <n v="12.1"/>
    <n v="515"/>
    <n v="6"/>
    <n v="11"/>
    <n v="0"/>
    <n v="5"/>
    <n v="11.93"/>
    <n v="0"/>
    <n v="1"/>
  </r>
  <r>
    <s v="SHP-500969"/>
    <d v="2024-05-24T00:00:00"/>
    <x v="0"/>
    <s v="Q2"/>
    <x v="4"/>
    <x v="4"/>
    <x v="2"/>
    <x v="0"/>
    <x v="2"/>
    <s v="Air"/>
    <x v="1"/>
    <n v="5.0999999999999996"/>
    <n v="1038"/>
    <n v="2"/>
    <n v="2"/>
    <n v="1"/>
    <n v="0"/>
    <n v="73.64"/>
    <n v="0"/>
    <n v="1"/>
  </r>
  <r>
    <s v="SHP-500970"/>
    <d v="2024-05-24T00:00:00"/>
    <x v="0"/>
    <s v="Q2"/>
    <x v="4"/>
    <x v="1"/>
    <x v="2"/>
    <x v="3"/>
    <x v="0"/>
    <s v="Road"/>
    <x v="1"/>
    <n v="6.2"/>
    <n v="488"/>
    <n v="4"/>
    <n v="4"/>
    <n v="1"/>
    <n v="0"/>
    <n v="15.97"/>
    <n v="0"/>
    <n v="1"/>
  </r>
  <r>
    <s v="SHP-500971"/>
    <d v="2024-05-24T00:00:00"/>
    <x v="0"/>
    <s v="Q2"/>
    <x v="4"/>
    <x v="1"/>
    <x v="1"/>
    <x v="3"/>
    <x v="1"/>
    <s v="Road"/>
    <x v="1"/>
    <n v="1.5"/>
    <n v="664"/>
    <n v="6"/>
    <n v="5"/>
    <n v="1"/>
    <n v="0"/>
    <n v="10.76"/>
    <n v="0"/>
    <n v="1"/>
  </r>
  <r>
    <s v="SHP-500972"/>
    <d v="2024-05-24T00:00:00"/>
    <x v="0"/>
    <s v="Q2"/>
    <x v="4"/>
    <x v="0"/>
    <x v="1"/>
    <x v="3"/>
    <x v="0"/>
    <s v="Road"/>
    <x v="1"/>
    <n v="2.4"/>
    <n v="362"/>
    <n v="4"/>
    <n v="4"/>
    <n v="1"/>
    <n v="0"/>
    <n v="11.97"/>
    <n v="0"/>
    <n v="1"/>
  </r>
  <r>
    <s v="SHP-500973"/>
    <d v="2024-05-24T00:00:00"/>
    <x v="0"/>
    <s v="Q2"/>
    <x v="4"/>
    <x v="0"/>
    <x v="1"/>
    <x v="4"/>
    <x v="0"/>
    <s v="Road"/>
    <x v="0"/>
    <n v="237.7"/>
    <n v="1216"/>
    <n v="5"/>
    <n v="5"/>
    <n v="1"/>
    <n v="0"/>
    <n v="116.27"/>
    <n v="0"/>
    <n v="1"/>
  </r>
  <r>
    <s v="SHP-500974"/>
    <d v="2024-05-24T00:00:00"/>
    <x v="0"/>
    <s v="Q2"/>
    <x v="4"/>
    <x v="1"/>
    <x v="2"/>
    <x v="2"/>
    <x v="0"/>
    <s v="Road"/>
    <x v="1"/>
    <n v="14.8"/>
    <n v="1333"/>
    <n v="5"/>
    <n v="5"/>
    <n v="1"/>
    <n v="0"/>
    <n v="31.78"/>
    <n v="0"/>
    <n v="1"/>
  </r>
  <r>
    <s v="SHP-500975"/>
    <d v="2024-05-24T00:00:00"/>
    <x v="0"/>
    <s v="Q2"/>
    <x v="4"/>
    <x v="0"/>
    <x v="2"/>
    <x v="1"/>
    <x v="0"/>
    <s v="Road"/>
    <x v="1"/>
    <n v="7.9"/>
    <n v="257"/>
    <n v="3"/>
    <n v="3"/>
    <n v="1"/>
    <n v="0"/>
    <n v="14.74"/>
    <n v="0"/>
    <n v="1"/>
  </r>
  <r>
    <s v="SHP-500976"/>
    <d v="2024-05-25T00:00:00"/>
    <x v="0"/>
    <s v="Q2"/>
    <x v="4"/>
    <x v="0"/>
    <x v="2"/>
    <x v="0"/>
    <x v="2"/>
    <s v="Air"/>
    <x v="0"/>
    <n v="147.69999999999999"/>
    <n v="921"/>
    <n v="2"/>
    <n v="2"/>
    <n v="1"/>
    <n v="0"/>
    <n v="245.03"/>
    <n v="0"/>
    <n v="1"/>
  </r>
  <r>
    <s v="SHP-500977"/>
    <d v="2024-05-25T00:00:00"/>
    <x v="0"/>
    <s v="Q2"/>
    <x v="4"/>
    <x v="0"/>
    <x v="2"/>
    <x v="1"/>
    <x v="2"/>
    <s v="Road"/>
    <x v="1"/>
    <n v="6.8"/>
    <n v="210"/>
    <n v="1"/>
    <n v="1"/>
    <n v="1"/>
    <n v="0"/>
    <n v="21.47"/>
    <n v="0"/>
    <n v="1"/>
  </r>
  <r>
    <s v="SHP-500978"/>
    <d v="2024-05-25T00:00:00"/>
    <x v="0"/>
    <s v="Q2"/>
    <x v="4"/>
    <x v="2"/>
    <x v="1"/>
    <x v="3"/>
    <x v="0"/>
    <s v="Road"/>
    <x v="1"/>
    <n v="11.4"/>
    <n v="459"/>
    <n v="4"/>
    <n v="4"/>
    <n v="1"/>
    <n v="0"/>
    <n v="15.59"/>
    <n v="0"/>
    <n v="1"/>
  </r>
  <r>
    <s v="SHP-500979"/>
    <d v="2024-05-25T00:00:00"/>
    <x v="0"/>
    <s v="Q2"/>
    <x v="4"/>
    <x v="0"/>
    <x v="0"/>
    <x v="4"/>
    <x v="2"/>
    <s v="Air"/>
    <x v="0"/>
    <n v="20.7"/>
    <n v="878"/>
    <n v="3"/>
    <n v="3"/>
    <n v="1"/>
    <n v="0"/>
    <n v="87.92"/>
    <n v="0"/>
    <n v="1"/>
  </r>
  <r>
    <s v="SHP-500980"/>
    <d v="2024-05-26T00:00:00"/>
    <x v="0"/>
    <s v="Q2"/>
    <x v="4"/>
    <x v="3"/>
    <x v="1"/>
    <x v="2"/>
    <x v="0"/>
    <s v="Road"/>
    <x v="0"/>
    <n v="232.7"/>
    <n v="1443"/>
    <n v="5"/>
    <n v="5"/>
    <n v="1"/>
    <n v="0"/>
    <n v="122.77"/>
    <n v="0"/>
    <n v="1"/>
  </r>
  <r>
    <s v="SHP-500981"/>
    <d v="2024-05-26T00:00:00"/>
    <x v="0"/>
    <s v="Q2"/>
    <x v="4"/>
    <x v="3"/>
    <x v="0"/>
    <x v="1"/>
    <x v="1"/>
    <s v="Road"/>
    <x v="0"/>
    <n v="246.8"/>
    <n v="262"/>
    <n v="5"/>
    <n v="5"/>
    <n v="1"/>
    <n v="0"/>
    <n v="90.58"/>
    <n v="0"/>
    <n v="1"/>
  </r>
  <r>
    <s v="SHP-500982"/>
    <d v="2024-05-26T00:00:00"/>
    <x v="0"/>
    <s v="Q2"/>
    <x v="4"/>
    <x v="4"/>
    <x v="1"/>
    <x v="4"/>
    <x v="0"/>
    <s v="Road"/>
    <x v="0"/>
    <n v="190.7"/>
    <n v="789"/>
    <n v="5"/>
    <n v="8"/>
    <n v="0"/>
    <n v="3"/>
    <n v="105.58"/>
    <n v="0"/>
    <n v="1"/>
  </r>
  <r>
    <s v="SHP-500983"/>
    <d v="2024-05-26T00:00:00"/>
    <x v="0"/>
    <s v="Q2"/>
    <x v="4"/>
    <x v="3"/>
    <x v="2"/>
    <x v="1"/>
    <x v="0"/>
    <s v="Road"/>
    <x v="0"/>
    <n v="178.5"/>
    <n v="249"/>
    <n v="3"/>
    <n v="3"/>
    <n v="1"/>
    <n v="0"/>
    <n v="88.43"/>
    <n v="0"/>
    <n v="1"/>
  </r>
  <r>
    <s v="SHP-500984"/>
    <d v="2024-05-27T00:00:00"/>
    <x v="0"/>
    <s v="Q2"/>
    <x v="4"/>
    <x v="2"/>
    <x v="1"/>
    <x v="1"/>
    <x v="1"/>
    <s v="Road"/>
    <x v="1"/>
    <n v="12.5"/>
    <n v="263"/>
    <n v="5"/>
    <n v="9"/>
    <n v="0"/>
    <n v="4"/>
    <n v="10.84"/>
    <n v="0"/>
    <n v="1"/>
  </r>
  <r>
    <s v="SHP-500985"/>
    <d v="2024-05-27T00:00:00"/>
    <x v="0"/>
    <s v="Q2"/>
    <x v="4"/>
    <x v="0"/>
    <x v="2"/>
    <x v="1"/>
    <x v="0"/>
    <s v="Road"/>
    <x v="1"/>
    <n v="5.8"/>
    <n v="294"/>
    <n v="3"/>
    <n v="2"/>
    <n v="1"/>
    <n v="0"/>
    <n v="12.81"/>
    <n v="0"/>
    <n v="1"/>
  </r>
  <r>
    <s v="SHP-500986"/>
    <d v="2024-05-27T00:00:00"/>
    <x v="0"/>
    <s v="Q2"/>
    <x v="4"/>
    <x v="3"/>
    <x v="1"/>
    <x v="1"/>
    <x v="2"/>
    <s v="Road"/>
    <x v="1"/>
    <n v="8.6999999999999993"/>
    <n v="178"/>
    <n v="1"/>
    <n v="1"/>
    <n v="1"/>
    <n v="0"/>
    <n v="29.5"/>
    <n v="0"/>
    <n v="1"/>
  </r>
  <r>
    <s v="SHP-500987"/>
    <d v="2024-05-27T00:00:00"/>
    <x v="0"/>
    <s v="Q2"/>
    <x v="4"/>
    <x v="4"/>
    <x v="2"/>
    <x v="0"/>
    <x v="1"/>
    <s v="Road"/>
    <x v="1"/>
    <n v="2"/>
    <n v="961"/>
    <n v="6"/>
    <n v="6"/>
    <n v="1"/>
    <n v="0"/>
    <n v="14.48"/>
    <n v="0"/>
    <n v="1"/>
  </r>
  <r>
    <s v="SHP-500988"/>
    <d v="2024-05-27T00:00:00"/>
    <x v="0"/>
    <s v="Q2"/>
    <x v="4"/>
    <x v="4"/>
    <x v="2"/>
    <x v="0"/>
    <x v="1"/>
    <s v="Road"/>
    <x v="1"/>
    <n v="14.6"/>
    <n v="1119"/>
    <n v="6"/>
    <n v="6"/>
    <n v="1"/>
    <n v="0"/>
    <n v="20.39"/>
    <n v="0"/>
    <n v="1"/>
  </r>
  <r>
    <s v="SHP-500989"/>
    <d v="2024-05-27T00:00:00"/>
    <x v="0"/>
    <s v="Q2"/>
    <x v="4"/>
    <x v="4"/>
    <x v="2"/>
    <x v="2"/>
    <x v="2"/>
    <s v="Air"/>
    <x v="1"/>
    <n v="13.5"/>
    <n v="903"/>
    <n v="3"/>
    <n v="3"/>
    <n v="1"/>
    <n v="0"/>
    <n v="74.099999999999994"/>
    <n v="0"/>
    <n v="1"/>
  </r>
  <r>
    <s v="SHP-500990"/>
    <d v="2024-05-27T00:00:00"/>
    <x v="0"/>
    <s v="Q2"/>
    <x v="4"/>
    <x v="1"/>
    <x v="1"/>
    <x v="0"/>
    <x v="1"/>
    <s v="Road"/>
    <x v="1"/>
    <n v="0.7"/>
    <n v="743"/>
    <n v="6"/>
    <n v="6"/>
    <n v="1"/>
    <n v="0"/>
    <n v="11.15"/>
    <n v="0"/>
    <n v="1"/>
  </r>
  <r>
    <s v="SHP-500991"/>
    <d v="2024-05-27T00:00:00"/>
    <x v="0"/>
    <s v="Q2"/>
    <x v="4"/>
    <x v="2"/>
    <x v="2"/>
    <x v="0"/>
    <x v="2"/>
    <s v="Air"/>
    <x v="1"/>
    <n v="8.1999999999999993"/>
    <n v="828"/>
    <n v="2"/>
    <n v="1"/>
    <n v="1"/>
    <n v="0"/>
    <n v="56.38"/>
    <n v="0"/>
    <n v="1"/>
  </r>
  <r>
    <s v="SHP-500992"/>
    <d v="2024-05-27T00:00:00"/>
    <x v="0"/>
    <s v="Q2"/>
    <x v="4"/>
    <x v="0"/>
    <x v="0"/>
    <x v="2"/>
    <x v="0"/>
    <s v="Road"/>
    <x v="1"/>
    <n v="10.3"/>
    <n v="1310"/>
    <n v="5"/>
    <n v="5"/>
    <n v="1"/>
    <n v="0"/>
    <n v="28.07"/>
    <n v="0"/>
    <n v="1"/>
  </r>
  <r>
    <s v="SHP-500993"/>
    <d v="2024-05-27T00:00:00"/>
    <x v="0"/>
    <s v="Q2"/>
    <x v="4"/>
    <x v="0"/>
    <x v="2"/>
    <x v="1"/>
    <x v="1"/>
    <s v="Road"/>
    <x v="1"/>
    <n v="4.0999999999999996"/>
    <n v="228"/>
    <n v="5"/>
    <n v="5"/>
    <n v="1"/>
    <n v="0"/>
    <n v="9.7100000000000009"/>
    <n v="0"/>
    <n v="1"/>
  </r>
  <r>
    <s v="SHP-500994"/>
    <d v="2024-05-27T00:00:00"/>
    <x v="0"/>
    <s v="Q2"/>
    <x v="4"/>
    <x v="3"/>
    <x v="2"/>
    <x v="1"/>
    <x v="1"/>
    <s v="Road"/>
    <x v="1"/>
    <n v="10.199999999999999"/>
    <n v="275"/>
    <n v="5"/>
    <n v="5"/>
    <n v="1"/>
    <n v="0"/>
    <n v="13.16"/>
    <n v="0"/>
    <n v="1"/>
  </r>
  <r>
    <s v="SHP-500995"/>
    <d v="2024-05-27T00:00:00"/>
    <x v="0"/>
    <s v="Q2"/>
    <x v="4"/>
    <x v="1"/>
    <x v="2"/>
    <x v="4"/>
    <x v="0"/>
    <s v="Road"/>
    <x v="0"/>
    <n v="31.7"/>
    <n v="806"/>
    <n v="5"/>
    <n v="5"/>
    <n v="1"/>
    <n v="0"/>
    <n v="31.59"/>
    <n v="0"/>
    <n v="1"/>
  </r>
  <r>
    <s v="SHP-500996"/>
    <d v="2024-05-28T00:00:00"/>
    <x v="0"/>
    <s v="Q2"/>
    <x v="4"/>
    <x v="2"/>
    <x v="1"/>
    <x v="3"/>
    <x v="2"/>
    <s v="Road"/>
    <x v="0"/>
    <n v="83.8"/>
    <n v="428"/>
    <n v="2"/>
    <n v="1"/>
    <n v="1"/>
    <n v="0"/>
    <n v="84.6"/>
    <n v="0"/>
    <n v="1"/>
  </r>
  <r>
    <s v="SHP-500997"/>
    <d v="2024-05-28T00:00:00"/>
    <x v="0"/>
    <s v="Q2"/>
    <x v="4"/>
    <x v="3"/>
    <x v="2"/>
    <x v="4"/>
    <x v="2"/>
    <s v="Air"/>
    <x v="0"/>
    <n v="18.899999999999999"/>
    <n v="971"/>
    <n v="3"/>
    <n v="3"/>
    <n v="1"/>
    <n v="0"/>
    <n v="96.87"/>
    <n v="0"/>
    <n v="1"/>
  </r>
  <r>
    <s v="SHP-500998"/>
    <d v="2024-05-28T00:00:00"/>
    <x v="0"/>
    <s v="Q2"/>
    <x v="4"/>
    <x v="1"/>
    <x v="2"/>
    <x v="3"/>
    <x v="0"/>
    <s v="Road"/>
    <x v="1"/>
    <n v="14.4"/>
    <n v="459"/>
    <n v="4"/>
    <n v="5"/>
    <n v="0"/>
    <n v="1"/>
    <n v="21.75"/>
    <n v="0"/>
    <n v="1"/>
  </r>
  <r>
    <s v="SHP-500999"/>
    <d v="2024-05-28T00:00:00"/>
    <x v="0"/>
    <s v="Q2"/>
    <x v="4"/>
    <x v="0"/>
    <x v="1"/>
    <x v="3"/>
    <x v="0"/>
    <s v="Road"/>
    <x v="1"/>
    <n v="6.8"/>
    <n v="414"/>
    <n v="4"/>
    <n v="4"/>
    <n v="1"/>
    <n v="0"/>
    <n v="14.72"/>
    <n v="0"/>
    <n v="1"/>
  </r>
  <r>
    <s v="SHP-501000"/>
    <d v="2024-05-28T00:00:00"/>
    <x v="0"/>
    <s v="Q2"/>
    <x v="4"/>
    <x v="1"/>
    <x v="0"/>
    <x v="1"/>
    <x v="0"/>
    <s v="Road"/>
    <x v="1"/>
    <n v="8.4"/>
    <n v="258"/>
    <n v="3"/>
    <n v="5"/>
    <n v="0"/>
    <n v="2"/>
    <n v="15.74"/>
    <n v="0"/>
    <n v="1"/>
  </r>
  <r>
    <s v="SHP-501001"/>
    <d v="2024-05-28T00:00:00"/>
    <x v="0"/>
    <s v="Q2"/>
    <x v="4"/>
    <x v="1"/>
    <x v="2"/>
    <x v="4"/>
    <x v="0"/>
    <s v="Road"/>
    <x v="1"/>
    <n v="1.5"/>
    <n v="1282"/>
    <n v="5"/>
    <n v="6"/>
    <n v="0"/>
    <n v="1"/>
    <n v="21.34"/>
    <n v="0"/>
    <n v="1"/>
  </r>
  <r>
    <s v="SHP-501002"/>
    <d v="2024-05-28T00:00:00"/>
    <x v="0"/>
    <s v="Q2"/>
    <x v="4"/>
    <x v="1"/>
    <x v="1"/>
    <x v="2"/>
    <x v="1"/>
    <s v="Road"/>
    <x v="1"/>
    <n v="16.8"/>
    <n v="1451"/>
    <n v="7"/>
    <n v="7"/>
    <n v="1"/>
    <n v="0"/>
    <n v="27.15"/>
    <n v="0"/>
    <n v="1"/>
  </r>
  <r>
    <s v="SHP-501003"/>
    <d v="2024-05-28T00:00:00"/>
    <x v="0"/>
    <s v="Q2"/>
    <x v="4"/>
    <x v="2"/>
    <x v="0"/>
    <x v="2"/>
    <x v="1"/>
    <s v="Road"/>
    <x v="0"/>
    <n v="195.3"/>
    <n v="772"/>
    <n v="7"/>
    <n v="7"/>
    <n v="1"/>
    <n v="0"/>
    <n v="60.8"/>
    <n v="0"/>
    <n v="1"/>
  </r>
  <r>
    <s v="SHP-501004"/>
    <d v="2024-05-28T00:00:00"/>
    <x v="0"/>
    <s v="Q2"/>
    <x v="4"/>
    <x v="3"/>
    <x v="2"/>
    <x v="1"/>
    <x v="0"/>
    <s v="Road"/>
    <x v="1"/>
    <n v="12"/>
    <n v="235"/>
    <n v="3"/>
    <n v="2"/>
    <n v="1"/>
    <n v="0"/>
    <n v="18.04"/>
    <n v="0"/>
    <n v="1"/>
  </r>
  <r>
    <s v="SHP-501005"/>
    <d v="2024-05-28T00:00:00"/>
    <x v="0"/>
    <s v="Q2"/>
    <x v="4"/>
    <x v="4"/>
    <x v="2"/>
    <x v="0"/>
    <x v="0"/>
    <s v="Road"/>
    <x v="1"/>
    <n v="16.399999999999999"/>
    <n v="895"/>
    <n v="4"/>
    <n v="4"/>
    <n v="1"/>
    <n v="0"/>
    <n v="26.12"/>
    <n v="0"/>
    <n v="1"/>
  </r>
  <r>
    <s v="SHP-501006"/>
    <d v="2024-05-29T00:00:00"/>
    <x v="0"/>
    <s v="Q2"/>
    <x v="4"/>
    <x v="3"/>
    <x v="1"/>
    <x v="3"/>
    <x v="0"/>
    <s v="Road"/>
    <x v="0"/>
    <n v="205.2"/>
    <n v="471"/>
    <n v="4"/>
    <n v="4"/>
    <n v="1"/>
    <n v="0"/>
    <n v="105.45"/>
    <n v="0"/>
    <n v="1"/>
  </r>
  <r>
    <s v="SHP-501007"/>
    <d v="2024-05-29T00:00:00"/>
    <x v="0"/>
    <s v="Q2"/>
    <x v="4"/>
    <x v="2"/>
    <x v="2"/>
    <x v="3"/>
    <x v="0"/>
    <s v="Road"/>
    <x v="1"/>
    <n v="19.8"/>
    <n v="420"/>
    <n v="4"/>
    <n v="4"/>
    <n v="1"/>
    <n v="0"/>
    <n v="18.16"/>
    <n v="0"/>
    <n v="1"/>
  </r>
  <r>
    <s v="SHP-501008"/>
    <d v="2024-05-29T00:00:00"/>
    <x v="0"/>
    <s v="Q2"/>
    <x v="4"/>
    <x v="1"/>
    <x v="2"/>
    <x v="1"/>
    <x v="0"/>
    <s v="Road"/>
    <x v="1"/>
    <n v="1.6"/>
    <n v="225"/>
    <n v="3"/>
    <n v="3"/>
    <n v="1"/>
    <n v="0"/>
    <n v="11.38"/>
    <n v="0"/>
    <n v="1"/>
  </r>
  <r>
    <s v="SHP-501009"/>
    <d v="2024-05-29T00:00:00"/>
    <x v="0"/>
    <s v="Q2"/>
    <x v="4"/>
    <x v="3"/>
    <x v="2"/>
    <x v="1"/>
    <x v="2"/>
    <s v="Road"/>
    <x v="1"/>
    <n v="10.9"/>
    <n v="269"/>
    <n v="1"/>
    <n v="1"/>
    <n v="1"/>
    <n v="0"/>
    <n v="36.47"/>
    <n v="0"/>
    <n v="1"/>
  </r>
  <r>
    <s v="SHP-501010"/>
    <d v="2024-05-29T00:00:00"/>
    <x v="0"/>
    <s v="Q2"/>
    <x v="4"/>
    <x v="4"/>
    <x v="1"/>
    <x v="0"/>
    <x v="2"/>
    <s v="Air"/>
    <x v="0"/>
    <n v="139.69999999999999"/>
    <n v="971"/>
    <n v="2"/>
    <n v="2"/>
    <n v="1"/>
    <n v="0"/>
    <n v="218.86"/>
    <n v="0"/>
    <n v="1"/>
  </r>
  <r>
    <s v="SHP-501011"/>
    <d v="2024-05-29T00:00:00"/>
    <x v="0"/>
    <s v="Q2"/>
    <x v="4"/>
    <x v="1"/>
    <x v="2"/>
    <x v="2"/>
    <x v="0"/>
    <s v="Road"/>
    <x v="0"/>
    <n v="62.8"/>
    <n v="1084"/>
    <n v="5"/>
    <n v="5"/>
    <n v="1"/>
    <n v="0"/>
    <n v="50.92"/>
    <n v="0"/>
    <n v="1"/>
  </r>
  <r>
    <s v="SHP-501012"/>
    <d v="2024-05-29T00:00:00"/>
    <x v="0"/>
    <s v="Q2"/>
    <x v="4"/>
    <x v="3"/>
    <x v="2"/>
    <x v="0"/>
    <x v="1"/>
    <s v="Road"/>
    <x v="1"/>
    <n v="7.3"/>
    <n v="778"/>
    <n v="6"/>
    <n v="6"/>
    <n v="1"/>
    <n v="0"/>
    <n v="16.25"/>
    <n v="0"/>
    <n v="1"/>
  </r>
  <r>
    <s v="SHP-501013"/>
    <d v="2024-05-29T00:00:00"/>
    <x v="0"/>
    <s v="Q2"/>
    <x v="4"/>
    <x v="3"/>
    <x v="2"/>
    <x v="2"/>
    <x v="1"/>
    <s v="Road"/>
    <x v="0"/>
    <n v="44.6"/>
    <n v="1194"/>
    <n v="7"/>
    <n v="7"/>
    <n v="1"/>
    <n v="0"/>
    <n v="31.69"/>
    <n v="0"/>
    <n v="1"/>
  </r>
  <r>
    <s v="SHP-501014"/>
    <d v="2024-05-30T00:00:00"/>
    <x v="0"/>
    <s v="Q2"/>
    <x v="4"/>
    <x v="2"/>
    <x v="1"/>
    <x v="0"/>
    <x v="0"/>
    <s v="Road"/>
    <x v="1"/>
    <n v="3"/>
    <n v="872"/>
    <n v="4"/>
    <n v="6"/>
    <n v="0"/>
    <n v="2"/>
    <n v="15.03"/>
    <n v="0"/>
    <n v="1"/>
  </r>
  <r>
    <s v="SHP-501015"/>
    <d v="2024-05-30T00:00:00"/>
    <x v="0"/>
    <s v="Q2"/>
    <x v="4"/>
    <x v="3"/>
    <x v="0"/>
    <x v="1"/>
    <x v="0"/>
    <s v="Road"/>
    <x v="1"/>
    <n v="8.6999999999999993"/>
    <n v="218"/>
    <n v="3"/>
    <n v="3"/>
    <n v="1"/>
    <n v="0"/>
    <n v="17.23"/>
    <n v="0"/>
    <n v="1"/>
  </r>
  <r>
    <s v="SHP-501016"/>
    <d v="2024-05-30T00:00:00"/>
    <x v="0"/>
    <s v="Q2"/>
    <x v="4"/>
    <x v="3"/>
    <x v="0"/>
    <x v="1"/>
    <x v="0"/>
    <s v="Road"/>
    <x v="1"/>
    <n v="12.6"/>
    <n v="266"/>
    <n v="3"/>
    <n v="3"/>
    <n v="1"/>
    <n v="0"/>
    <n v="19.39"/>
    <n v="0"/>
    <n v="1"/>
  </r>
  <r>
    <s v="SHP-501017"/>
    <d v="2024-05-30T00:00:00"/>
    <x v="0"/>
    <s v="Q2"/>
    <x v="4"/>
    <x v="0"/>
    <x v="2"/>
    <x v="3"/>
    <x v="1"/>
    <s v="Road"/>
    <x v="1"/>
    <n v="12.9"/>
    <n v="368"/>
    <n v="6"/>
    <n v="6"/>
    <n v="1"/>
    <n v="0"/>
    <n v="14.79"/>
    <n v="0"/>
    <n v="1"/>
  </r>
  <r>
    <s v="SHP-501018"/>
    <d v="2024-05-30T00:00:00"/>
    <x v="0"/>
    <s v="Q2"/>
    <x v="4"/>
    <x v="3"/>
    <x v="2"/>
    <x v="2"/>
    <x v="0"/>
    <s v="Road"/>
    <x v="0"/>
    <n v="162.1"/>
    <n v="1034"/>
    <n v="5"/>
    <n v="5"/>
    <n v="1"/>
    <n v="0"/>
    <n v="90.11"/>
    <n v="0"/>
    <n v="1"/>
  </r>
  <r>
    <s v="SHP-501019"/>
    <d v="2024-05-30T00:00:00"/>
    <x v="0"/>
    <s v="Q2"/>
    <x v="4"/>
    <x v="4"/>
    <x v="1"/>
    <x v="0"/>
    <x v="0"/>
    <s v="Road"/>
    <x v="1"/>
    <n v="3.8"/>
    <n v="883"/>
    <n v="4"/>
    <n v="4"/>
    <n v="1"/>
    <n v="0"/>
    <n v="18.16"/>
    <n v="0"/>
    <n v="1"/>
  </r>
  <r>
    <s v="SHP-501020"/>
    <d v="2024-05-30T00:00:00"/>
    <x v="0"/>
    <s v="Q2"/>
    <x v="4"/>
    <x v="0"/>
    <x v="0"/>
    <x v="1"/>
    <x v="0"/>
    <s v="Road"/>
    <x v="1"/>
    <n v="1.4"/>
    <n v="269"/>
    <n v="3"/>
    <n v="3"/>
    <n v="1"/>
    <n v="0"/>
    <n v="9.06"/>
    <n v="0"/>
    <n v="1"/>
  </r>
  <r>
    <s v="SHP-501021"/>
    <d v="2024-05-30T00:00:00"/>
    <x v="0"/>
    <s v="Q2"/>
    <x v="4"/>
    <x v="1"/>
    <x v="1"/>
    <x v="1"/>
    <x v="1"/>
    <s v="Road"/>
    <x v="0"/>
    <n v="219.7"/>
    <n v="281"/>
    <n v="5"/>
    <n v="4"/>
    <n v="1"/>
    <n v="0"/>
    <n v="75.930000000000007"/>
    <n v="0"/>
    <n v="1"/>
  </r>
  <r>
    <s v="SHP-501022"/>
    <d v="2024-05-30T00:00:00"/>
    <x v="0"/>
    <s v="Q2"/>
    <x v="4"/>
    <x v="4"/>
    <x v="1"/>
    <x v="2"/>
    <x v="0"/>
    <s v="Road"/>
    <x v="1"/>
    <n v="1.3"/>
    <n v="1210"/>
    <n v="5"/>
    <n v="5"/>
    <n v="1"/>
    <n v="0"/>
    <n v="21.43"/>
    <n v="0"/>
    <n v="1"/>
  </r>
  <r>
    <s v="SHP-501023"/>
    <d v="2024-05-30T00:00:00"/>
    <x v="0"/>
    <s v="Q2"/>
    <x v="4"/>
    <x v="4"/>
    <x v="2"/>
    <x v="1"/>
    <x v="2"/>
    <s v="Road"/>
    <x v="0"/>
    <n v="18.5"/>
    <n v="268"/>
    <n v="1"/>
    <n v="1"/>
    <n v="1"/>
    <n v="0"/>
    <n v="38.64"/>
    <n v="0"/>
    <n v="1"/>
  </r>
  <r>
    <s v="SHP-501024"/>
    <d v="2024-05-30T00:00:00"/>
    <x v="0"/>
    <s v="Q2"/>
    <x v="4"/>
    <x v="1"/>
    <x v="1"/>
    <x v="2"/>
    <x v="0"/>
    <s v="Road"/>
    <x v="1"/>
    <n v="2.2999999999999998"/>
    <n v="1028"/>
    <n v="5"/>
    <n v="5"/>
    <n v="1"/>
    <n v="0"/>
    <n v="22.87"/>
    <n v="0"/>
    <n v="1"/>
  </r>
  <r>
    <s v="SHP-501025"/>
    <d v="2024-05-31T00:00:00"/>
    <x v="0"/>
    <s v="Q2"/>
    <x v="4"/>
    <x v="0"/>
    <x v="1"/>
    <x v="0"/>
    <x v="1"/>
    <s v="Road"/>
    <x v="0"/>
    <n v="163.9"/>
    <n v="926"/>
    <n v="6"/>
    <n v="6"/>
    <n v="1"/>
    <n v="0"/>
    <n v="57.7"/>
    <n v="0"/>
    <n v="1"/>
  </r>
  <r>
    <s v="SHP-501026"/>
    <d v="2024-05-31T00:00:00"/>
    <x v="0"/>
    <s v="Q2"/>
    <x v="4"/>
    <x v="1"/>
    <x v="2"/>
    <x v="3"/>
    <x v="0"/>
    <s v="Road"/>
    <x v="0"/>
    <n v="145.6"/>
    <n v="486"/>
    <n v="4"/>
    <n v="4"/>
    <n v="1"/>
    <n v="0"/>
    <n v="71.94"/>
    <n v="0"/>
    <n v="1"/>
  </r>
  <r>
    <s v="SHP-501027"/>
    <d v="2024-05-31T00:00:00"/>
    <x v="0"/>
    <s v="Q2"/>
    <x v="4"/>
    <x v="1"/>
    <x v="2"/>
    <x v="3"/>
    <x v="0"/>
    <s v="Road"/>
    <x v="1"/>
    <n v="11.3"/>
    <n v="521"/>
    <n v="4"/>
    <n v="4"/>
    <n v="1"/>
    <n v="0"/>
    <n v="20.95"/>
    <n v="0"/>
    <n v="1"/>
  </r>
  <r>
    <s v="SHP-501028"/>
    <d v="2024-05-31T00:00:00"/>
    <x v="0"/>
    <s v="Q2"/>
    <x v="4"/>
    <x v="1"/>
    <x v="1"/>
    <x v="0"/>
    <x v="0"/>
    <s v="Road"/>
    <x v="0"/>
    <n v="106.3"/>
    <n v="950"/>
    <n v="4"/>
    <n v="7"/>
    <n v="0"/>
    <n v="3"/>
    <n v="66.27"/>
    <n v="0"/>
    <n v="1"/>
  </r>
  <r>
    <s v="SHP-501029"/>
    <d v="2024-05-31T00:00:00"/>
    <x v="0"/>
    <s v="Q2"/>
    <x v="4"/>
    <x v="0"/>
    <x v="1"/>
    <x v="0"/>
    <x v="0"/>
    <s v="Road"/>
    <x v="0"/>
    <n v="61.9"/>
    <n v="1169"/>
    <n v="4"/>
    <n v="3"/>
    <n v="1"/>
    <n v="0"/>
    <n v="47.87"/>
    <n v="0"/>
    <n v="1"/>
  </r>
  <r>
    <s v="SHP-501030"/>
    <d v="2024-05-31T00:00:00"/>
    <x v="0"/>
    <s v="Q2"/>
    <x v="4"/>
    <x v="2"/>
    <x v="0"/>
    <x v="2"/>
    <x v="0"/>
    <s v="Road"/>
    <x v="0"/>
    <n v="135"/>
    <n v="1206"/>
    <n v="5"/>
    <n v="4"/>
    <n v="1"/>
    <n v="0"/>
    <n v="74.25"/>
    <n v="0"/>
    <n v="1"/>
  </r>
  <r>
    <s v="SHP-501031"/>
    <d v="2024-05-31T00:00:00"/>
    <x v="0"/>
    <s v="Q2"/>
    <x v="4"/>
    <x v="0"/>
    <x v="2"/>
    <x v="3"/>
    <x v="1"/>
    <s v="Road"/>
    <x v="1"/>
    <n v="6.5"/>
    <n v="443"/>
    <n v="6"/>
    <n v="10"/>
    <n v="0"/>
    <n v="4"/>
    <n v="10.94"/>
    <n v="0"/>
    <n v="1"/>
  </r>
  <r>
    <s v="SHP-501032"/>
    <d v="2024-06-01T00:00:00"/>
    <x v="0"/>
    <s v="Q2"/>
    <x v="5"/>
    <x v="2"/>
    <x v="0"/>
    <x v="1"/>
    <x v="0"/>
    <s v="Road"/>
    <x v="0"/>
    <n v="248"/>
    <n v="281"/>
    <n v="3"/>
    <n v="3"/>
    <n v="1"/>
    <n v="0"/>
    <n v="90.63"/>
    <n v="0"/>
    <n v="1"/>
  </r>
  <r>
    <s v="SHP-501033"/>
    <d v="2024-06-02T00:00:00"/>
    <x v="0"/>
    <s v="Q2"/>
    <x v="5"/>
    <x v="4"/>
    <x v="1"/>
    <x v="0"/>
    <x v="2"/>
    <s v="Air"/>
    <x v="1"/>
    <n v="10"/>
    <n v="948"/>
    <n v="2"/>
    <n v="2"/>
    <n v="1"/>
    <n v="0"/>
    <n v="71.599999999999994"/>
    <n v="0"/>
    <n v="1"/>
  </r>
  <r>
    <s v="SHP-501034"/>
    <d v="2024-06-02T00:00:00"/>
    <x v="0"/>
    <s v="Q2"/>
    <x v="5"/>
    <x v="2"/>
    <x v="2"/>
    <x v="0"/>
    <x v="1"/>
    <s v="Road"/>
    <x v="0"/>
    <n v="98.6"/>
    <n v="712"/>
    <n v="6"/>
    <n v="6"/>
    <n v="1"/>
    <n v="0"/>
    <n v="37.74"/>
    <n v="0"/>
    <n v="1"/>
  </r>
  <r>
    <s v="SHP-501035"/>
    <d v="2024-06-03T00:00:00"/>
    <x v="0"/>
    <s v="Q2"/>
    <x v="5"/>
    <x v="1"/>
    <x v="2"/>
    <x v="3"/>
    <x v="1"/>
    <s v="Road"/>
    <x v="0"/>
    <n v="37.5"/>
    <n v="538"/>
    <n v="6"/>
    <n v="6"/>
    <n v="1"/>
    <n v="0"/>
    <n v="22.62"/>
    <n v="0"/>
    <n v="1"/>
  </r>
  <r>
    <s v="SHP-501036"/>
    <d v="2024-06-03T00:00:00"/>
    <x v="0"/>
    <s v="Q2"/>
    <x v="5"/>
    <x v="1"/>
    <x v="1"/>
    <x v="3"/>
    <x v="0"/>
    <s v="Road"/>
    <x v="1"/>
    <n v="20.9"/>
    <n v="436"/>
    <n v="4"/>
    <n v="4"/>
    <n v="1"/>
    <n v="0"/>
    <n v="26.98"/>
    <n v="0"/>
    <n v="1"/>
  </r>
  <r>
    <s v="SHP-501037"/>
    <d v="2024-06-03T00:00:00"/>
    <x v="0"/>
    <s v="Q2"/>
    <x v="5"/>
    <x v="0"/>
    <x v="1"/>
    <x v="3"/>
    <x v="1"/>
    <s v="Road"/>
    <x v="1"/>
    <n v="6.1"/>
    <n v="432"/>
    <n v="6"/>
    <n v="5"/>
    <n v="1"/>
    <n v="0"/>
    <n v="11.23"/>
    <n v="0"/>
    <n v="1"/>
  </r>
  <r>
    <s v="SHP-501038"/>
    <d v="2024-06-03T00:00:00"/>
    <x v="0"/>
    <s v="Q2"/>
    <x v="5"/>
    <x v="3"/>
    <x v="2"/>
    <x v="0"/>
    <x v="2"/>
    <s v="Air"/>
    <x v="1"/>
    <n v="3.2"/>
    <n v="844"/>
    <n v="2"/>
    <n v="2"/>
    <n v="1"/>
    <n v="0"/>
    <n v="68.44"/>
    <n v="0"/>
    <n v="1"/>
  </r>
  <r>
    <s v="SHP-501039"/>
    <d v="2024-06-03T00:00:00"/>
    <x v="0"/>
    <s v="Q2"/>
    <x v="5"/>
    <x v="3"/>
    <x v="0"/>
    <x v="4"/>
    <x v="0"/>
    <s v="Road"/>
    <x v="1"/>
    <n v="11.8"/>
    <n v="1139"/>
    <n v="5"/>
    <n v="5"/>
    <n v="1"/>
    <n v="0"/>
    <n v="31.23"/>
    <n v="0"/>
    <n v="1"/>
  </r>
  <r>
    <s v="SHP-501040"/>
    <d v="2024-06-03T00:00:00"/>
    <x v="0"/>
    <s v="Q2"/>
    <x v="5"/>
    <x v="2"/>
    <x v="2"/>
    <x v="0"/>
    <x v="2"/>
    <s v="Air"/>
    <x v="0"/>
    <n v="123.8"/>
    <n v="1108"/>
    <n v="2"/>
    <n v="1"/>
    <n v="1"/>
    <n v="0"/>
    <n v="201.31"/>
    <n v="0"/>
    <n v="1"/>
  </r>
  <r>
    <s v="SHP-501041"/>
    <d v="2024-06-03T00:00:00"/>
    <x v="0"/>
    <s v="Q2"/>
    <x v="5"/>
    <x v="2"/>
    <x v="1"/>
    <x v="1"/>
    <x v="1"/>
    <s v="Road"/>
    <x v="1"/>
    <n v="13.5"/>
    <n v="264"/>
    <n v="5"/>
    <n v="5"/>
    <n v="1"/>
    <n v="0"/>
    <n v="11.62"/>
    <n v="0"/>
    <n v="1"/>
  </r>
  <r>
    <s v="SHP-501042"/>
    <d v="2024-06-03T00:00:00"/>
    <x v="0"/>
    <s v="Q2"/>
    <x v="5"/>
    <x v="4"/>
    <x v="1"/>
    <x v="1"/>
    <x v="1"/>
    <s v="Road"/>
    <x v="1"/>
    <n v="3.2"/>
    <n v="282"/>
    <n v="5"/>
    <n v="6"/>
    <n v="0"/>
    <n v="1"/>
    <n v="8.2799999999999994"/>
    <n v="0"/>
    <n v="1"/>
  </r>
  <r>
    <s v="SHP-501043"/>
    <d v="2024-06-03T00:00:00"/>
    <x v="0"/>
    <s v="Q2"/>
    <x v="5"/>
    <x v="3"/>
    <x v="1"/>
    <x v="2"/>
    <x v="0"/>
    <s v="Road"/>
    <x v="0"/>
    <n v="50.2"/>
    <n v="944"/>
    <n v="5"/>
    <n v="5"/>
    <n v="1"/>
    <n v="0"/>
    <n v="51.19"/>
    <n v="0"/>
    <n v="1"/>
  </r>
  <r>
    <s v="SHP-501044"/>
    <d v="2024-06-03T00:00:00"/>
    <x v="0"/>
    <s v="Q2"/>
    <x v="5"/>
    <x v="2"/>
    <x v="1"/>
    <x v="2"/>
    <x v="0"/>
    <s v="Road"/>
    <x v="1"/>
    <n v="10.1"/>
    <n v="1256"/>
    <n v="5"/>
    <n v="5"/>
    <n v="1"/>
    <n v="0"/>
    <n v="26.45"/>
    <n v="0"/>
    <n v="1"/>
  </r>
  <r>
    <s v="SHP-501045"/>
    <d v="2024-06-03T00:00:00"/>
    <x v="0"/>
    <s v="Q2"/>
    <x v="5"/>
    <x v="3"/>
    <x v="2"/>
    <x v="3"/>
    <x v="0"/>
    <s v="Road"/>
    <x v="0"/>
    <n v="137"/>
    <n v="492"/>
    <n v="4"/>
    <n v="4"/>
    <n v="1"/>
    <n v="0"/>
    <n v="79.31"/>
    <n v="0"/>
    <n v="1"/>
  </r>
  <r>
    <s v="SHP-501046"/>
    <d v="2024-06-03T00:00:00"/>
    <x v="0"/>
    <s v="Q2"/>
    <x v="5"/>
    <x v="3"/>
    <x v="2"/>
    <x v="3"/>
    <x v="2"/>
    <s v="Road"/>
    <x v="1"/>
    <n v="1.4"/>
    <n v="489"/>
    <n v="2"/>
    <n v="2"/>
    <n v="1"/>
    <n v="0"/>
    <n v="25.36"/>
    <n v="0"/>
    <n v="1"/>
  </r>
  <r>
    <s v="SHP-501047"/>
    <d v="2024-06-03T00:00:00"/>
    <x v="0"/>
    <s v="Q2"/>
    <x v="5"/>
    <x v="4"/>
    <x v="2"/>
    <x v="1"/>
    <x v="1"/>
    <s v="Road"/>
    <x v="1"/>
    <n v="12.7"/>
    <n v="265"/>
    <n v="5"/>
    <n v="5"/>
    <n v="1"/>
    <n v="0"/>
    <n v="13.93"/>
    <n v="0"/>
    <n v="1"/>
  </r>
  <r>
    <s v="SHP-501048"/>
    <d v="2024-06-03T00:00:00"/>
    <x v="0"/>
    <s v="Q2"/>
    <x v="5"/>
    <x v="3"/>
    <x v="1"/>
    <x v="1"/>
    <x v="2"/>
    <s v="Road"/>
    <x v="1"/>
    <n v="9.4"/>
    <n v="174"/>
    <n v="1"/>
    <n v="1"/>
    <n v="1"/>
    <n v="0"/>
    <n v="28.08"/>
    <n v="0"/>
    <n v="1"/>
  </r>
  <r>
    <s v="SHP-501049"/>
    <d v="2024-06-04T00:00:00"/>
    <x v="0"/>
    <s v="Q2"/>
    <x v="5"/>
    <x v="4"/>
    <x v="2"/>
    <x v="3"/>
    <x v="1"/>
    <s v="Road"/>
    <x v="1"/>
    <n v="6.9"/>
    <n v="585"/>
    <n v="6"/>
    <n v="6"/>
    <n v="1"/>
    <n v="0"/>
    <n v="13.18"/>
    <n v="0"/>
    <n v="1"/>
  </r>
  <r>
    <s v="SHP-501050"/>
    <d v="2024-06-04T00:00:00"/>
    <x v="0"/>
    <s v="Q2"/>
    <x v="5"/>
    <x v="0"/>
    <x v="2"/>
    <x v="3"/>
    <x v="0"/>
    <s v="Road"/>
    <x v="1"/>
    <n v="4.2"/>
    <n v="430"/>
    <n v="4"/>
    <n v="4"/>
    <n v="1"/>
    <n v="0"/>
    <n v="14.19"/>
    <n v="0"/>
    <n v="1"/>
  </r>
  <r>
    <s v="SHP-501051"/>
    <d v="2024-06-04T00:00:00"/>
    <x v="0"/>
    <s v="Q2"/>
    <x v="5"/>
    <x v="4"/>
    <x v="1"/>
    <x v="1"/>
    <x v="0"/>
    <s v="Road"/>
    <x v="1"/>
    <n v="8.5"/>
    <n v="243"/>
    <n v="3"/>
    <n v="3"/>
    <n v="1"/>
    <n v="0"/>
    <n v="13.45"/>
    <n v="0"/>
    <n v="1"/>
  </r>
  <r>
    <s v="SHP-501052"/>
    <d v="2024-06-04T00:00:00"/>
    <x v="0"/>
    <s v="Q2"/>
    <x v="5"/>
    <x v="4"/>
    <x v="2"/>
    <x v="3"/>
    <x v="0"/>
    <s v="Road"/>
    <x v="0"/>
    <n v="82.5"/>
    <n v="438"/>
    <n v="4"/>
    <n v="5"/>
    <n v="0"/>
    <n v="1"/>
    <n v="47.24"/>
    <n v="0"/>
    <n v="1"/>
  </r>
  <r>
    <s v="SHP-501053"/>
    <d v="2024-06-05T00:00:00"/>
    <x v="0"/>
    <s v="Q2"/>
    <x v="5"/>
    <x v="2"/>
    <x v="1"/>
    <x v="1"/>
    <x v="0"/>
    <s v="Road"/>
    <x v="0"/>
    <n v="36.299999999999997"/>
    <n v="294"/>
    <n v="3"/>
    <n v="2"/>
    <n v="1"/>
    <n v="0"/>
    <n v="25.83"/>
    <n v="0"/>
    <n v="1"/>
  </r>
  <r>
    <s v="SHP-501054"/>
    <d v="2024-06-05T00:00:00"/>
    <x v="0"/>
    <s v="Q2"/>
    <x v="5"/>
    <x v="0"/>
    <x v="0"/>
    <x v="1"/>
    <x v="0"/>
    <s v="Road"/>
    <x v="0"/>
    <n v="132.6"/>
    <n v="268"/>
    <n v="3"/>
    <n v="2"/>
    <n v="1"/>
    <n v="0"/>
    <n v="64.41"/>
    <n v="0"/>
    <n v="1"/>
  </r>
  <r>
    <s v="SHP-501055"/>
    <d v="2024-06-05T00:00:00"/>
    <x v="0"/>
    <s v="Q2"/>
    <x v="5"/>
    <x v="2"/>
    <x v="1"/>
    <x v="1"/>
    <x v="2"/>
    <s v="Road"/>
    <x v="1"/>
    <n v="3.3"/>
    <n v="233"/>
    <n v="1"/>
    <n v="1"/>
    <n v="1"/>
    <n v="0"/>
    <n v="17.260000000000002"/>
    <n v="0"/>
    <n v="1"/>
  </r>
  <r>
    <s v="SHP-501056"/>
    <d v="2024-06-05T00:00:00"/>
    <x v="0"/>
    <s v="Q2"/>
    <x v="5"/>
    <x v="4"/>
    <x v="2"/>
    <x v="3"/>
    <x v="0"/>
    <s v="Road"/>
    <x v="1"/>
    <n v="17.100000000000001"/>
    <n v="465"/>
    <n v="4"/>
    <n v="4"/>
    <n v="1"/>
    <n v="0"/>
    <n v="20.83"/>
    <n v="0"/>
    <n v="1"/>
  </r>
  <r>
    <s v="SHP-501057"/>
    <d v="2024-06-05T00:00:00"/>
    <x v="0"/>
    <s v="Q2"/>
    <x v="5"/>
    <x v="3"/>
    <x v="2"/>
    <x v="1"/>
    <x v="2"/>
    <s v="Road"/>
    <x v="0"/>
    <n v="23.2"/>
    <n v="231"/>
    <n v="1"/>
    <n v="1"/>
    <n v="1"/>
    <n v="0"/>
    <n v="49.3"/>
    <n v="0"/>
    <n v="1"/>
  </r>
  <r>
    <s v="SHP-501058"/>
    <d v="2024-06-05T00:00:00"/>
    <x v="0"/>
    <s v="Q2"/>
    <x v="5"/>
    <x v="3"/>
    <x v="0"/>
    <x v="4"/>
    <x v="0"/>
    <s v="Road"/>
    <x v="0"/>
    <n v="76.2"/>
    <n v="956"/>
    <n v="5"/>
    <n v="5"/>
    <n v="1"/>
    <n v="0"/>
    <n v="58.08"/>
    <n v="0"/>
    <n v="1"/>
  </r>
  <r>
    <s v="SHP-501059"/>
    <d v="2024-06-05T00:00:00"/>
    <x v="0"/>
    <s v="Q2"/>
    <x v="5"/>
    <x v="4"/>
    <x v="2"/>
    <x v="1"/>
    <x v="0"/>
    <s v="Road"/>
    <x v="0"/>
    <n v="106.8"/>
    <n v="289"/>
    <n v="3"/>
    <n v="3"/>
    <n v="1"/>
    <n v="0"/>
    <n v="61.58"/>
    <n v="0"/>
    <n v="1"/>
  </r>
  <r>
    <s v="SHP-501060"/>
    <d v="2024-06-05T00:00:00"/>
    <x v="0"/>
    <s v="Q2"/>
    <x v="5"/>
    <x v="1"/>
    <x v="2"/>
    <x v="0"/>
    <x v="0"/>
    <s v="Road"/>
    <x v="1"/>
    <n v="14.5"/>
    <n v="691"/>
    <n v="4"/>
    <n v="3"/>
    <n v="1"/>
    <n v="0"/>
    <n v="27.24"/>
    <n v="0"/>
    <n v="1"/>
  </r>
  <r>
    <s v="SHP-501061"/>
    <d v="2024-06-05T00:00:00"/>
    <x v="0"/>
    <s v="Q2"/>
    <x v="5"/>
    <x v="3"/>
    <x v="0"/>
    <x v="3"/>
    <x v="0"/>
    <s v="Road"/>
    <x v="1"/>
    <n v="3.8"/>
    <n v="552"/>
    <n v="4"/>
    <n v="4"/>
    <n v="1"/>
    <n v="0"/>
    <n v="19.18"/>
    <n v="0"/>
    <n v="1"/>
  </r>
  <r>
    <s v="SHP-501062"/>
    <d v="2024-06-05T00:00:00"/>
    <x v="0"/>
    <s v="Q2"/>
    <x v="5"/>
    <x v="0"/>
    <x v="1"/>
    <x v="3"/>
    <x v="0"/>
    <s v="Road"/>
    <x v="0"/>
    <n v="8.9"/>
    <n v="442"/>
    <n v="4"/>
    <n v="4"/>
    <n v="1"/>
    <n v="0"/>
    <n v="17.12"/>
    <n v="0"/>
    <n v="1"/>
  </r>
  <r>
    <s v="SHP-501063"/>
    <d v="2024-06-05T00:00:00"/>
    <x v="0"/>
    <s v="Q2"/>
    <x v="5"/>
    <x v="3"/>
    <x v="0"/>
    <x v="1"/>
    <x v="0"/>
    <s v="Road"/>
    <x v="1"/>
    <n v="3.1"/>
    <n v="231"/>
    <n v="3"/>
    <n v="2"/>
    <n v="1"/>
    <n v="0"/>
    <n v="12.35"/>
    <n v="0"/>
    <n v="1"/>
  </r>
  <r>
    <s v="SHP-501064"/>
    <d v="2024-06-06T00:00:00"/>
    <x v="0"/>
    <s v="Q2"/>
    <x v="5"/>
    <x v="1"/>
    <x v="0"/>
    <x v="4"/>
    <x v="1"/>
    <s v="Road"/>
    <x v="1"/>
    <n v="4.3"/>
    <n v="945"/>
    <n v="7"/>
    <n v="6"/>
    <n v="1"/>
    <n v="0"/>
    <n v="15.55"/>
    <n v="0"/>
    <n v="1"/>
  </r>
  <r>
    <s v="SHP-501065"/>
    <d v="2024-06-06T00:00:00"/>
    <x v="0"/>
    <s v="Q2"/>
    <x v="5"/>
    <x v="1"/>
    <x v="2"/>
    <x v="4"/>
    <x v="0"/>
    <s v="Road"/>
    <x v="0"/>
    <n v="243.9"/>
    <n v="1395"/>
    <n v="5"/>
    <n v="5"/>
    <n v="1"/>
    <n v="0"/>
    <n v="123.92"/>
    <n v="0"/>
    <n v="1"/>
  </r>
  <r>
    <s v="SHP-501066"/>
    <d v="2024-06-06T00:00:00"/>
    <x v="0"/>
    <s v="Q2"/>
    <x v="5"/>
    <x v="4"/>
    <x v="2"/>
    <x v="3"/>
    <x v="2"/>
    <s v="Road"/>
    <x v="0"/>
    <n v="92.5"/>
    <n v="452"/>
    <n v="2"/>
    <n v="2"/>
    <n v="1"/>
    <n v="0"/>
    <n v="100.64"/>
    <n v="0"/>
    <n v="1"/>
  </r>
  <r>
    <s v="SHP-501067"/>
    <d v="2024-06-06T00:00:00"/>
    <x v="0"/>
    <s v="Q2"/>
    <x v="5"/>
    <x v="1"/>
    <x v="2"/>
    <x v="4"/>
    <x v="0"/>
    <s v="Road"/>
    <x v="1"/>
    <n v="1.7"/>
    <n v="1028"/>
    <n v="5"/>
    <n v="5"/>
    <n v="1"/>
    <n v="0"/>
    <n v="21.32"/>
    <n v="0"/>
    <n v="1"/>
  </r>
  <r>
    <s v="SHP-501068"/>
    <d v="2024-06-06T00:00:00"/>
    <x v="0"/>
    <s v="Q2"/>
    <x v="5"/>
    <x v="4"/>
    <x v="2"/>
    <x v="1"/>
    <x v="0"/>
    <s v="Road"/>
    <x v="0"/>
    <n v="178.6"/>
    <n v="211"/>
    <n v="3"/>
    <n v="6"/>
    <n v="0"/>
    <n v="3"/>
    <n v="78.41"/>
    <n v="0"/>
    <n v="1"/>
  </r>
  <r>
    <s v="SHP-501069"/>
    <d v="2024-06-06T00:00:00"/>
    <x v="0"/>
    <s v="Q2"/>
    <x v="5"/>
    <x v="2"/>
    <x v="1"/>
    <x v="3"/>
    <x v="0"/>
    <s v="Road"/>
    <x v="1"/>
    <n v="3.1"/>
    <n v="446"/>
    <n v="4"/>
    <n v="5"/>
    <n v="0"/>
    <n v="1"/>
    <n v="11.01"/>
    <n v="0"/>
    <n v="1"/>
  </r>
  <r>
    <s v="SHP-501070"/>
    <d v="2024-06-06T00:00:00"/>
    <x v="0"/>
    <s v="Q2"/>
    <x v="5"/>
    <x v="4"/>
    <x v="2"/>
    <x v="3"/>
    <x v="0"/>
    <s v="Road"/>
    <x v="1"/>
    <n v="10.5"/>
    <n v="406"/>
    <n v="4"/>
    <n v="3"/>
    <n v="1"/>
    <n v="0"/>
    <n v="17.43"/>
    <n v="0"/>
    <n v="1"/>
  </r>
  <r>
    <s v="SHP-501071"/>
    <d v="2024-06-07T00:00:00"/>
    <x v="0"/>
    <s v="Q2"/>
    <x v="5"/>
    <x v="0"/>
    <x v="2"/>
    <x v="1"/>
    <x v="0"/>
    <s v="Road"/>
    <x v="1"/>
    <n v="5.3"/>
    <n v="254"/>
    <n v="3"/>
    <n v="3"/>
    <n v="1"/>
    <n v="0"/>
    <n v="12.35"/>
    <n v="0"/>
    <n v="1"/>
  </r>
  <r>
    <s v="SHP-501072"/>
    <d v="2024-06-07T00:00:00"/>
    <x v="0"/>
    <s v="Q2"/>
    <x v="5"/>
    <x v="3"/>
    <x v="2"/>
    <x v="0"/>
    <x v="1"/>
    <s v="Road"/>
    <x v="0"/>
    <n v="64.8"/>
    <n v="621"/>
    <n v="6"/>
    <n v="6"/>
    <n v="1"/>
    <n v="0"/>
    <n v="34.35"/>
    <n v="0"/>
    <n v="1"/>
  </r>
  <r>
    <s v="SHP-501073"/>
    <d v="2024-06-07T00:00:00"/>
    <x v="0"/>
    <s v="Q2"/>
    <x v="5"/>
    <x v="3"/>
    <x v="0"/>
    <x v="0"/>
    <x v="2"/>
    <s v="Air"/>
    <x v="0"/>
    <n v="53.3"/>
    <n v="720"/>
    <n v="2"/>
    <n v="2"/>
    <n v="1"/>
    <n v="0"/>
    <n v="135.72"/>
    <n v="0"/>
    <n v="1"/>
  </r>
  <r>
    <s v="SHP-501074"/>
    <d v="2024-06-08T00:00:00"/>
    <x v="0"/>
    <s v="Q2"/>
    <x v="5"/>
    <x v="1"/>
    <x v="1"/>
    <x v="4"/>
    <x v="0"/>
    <s v="Road"/>
    <x v="0"/>
    <n v="84"/>
    <n v="1047"/>
    <n v="5"/>
    <n v="4"/>
    <n v="1"/>
    <n v="0"/>
    <n v="58.29"/>
    <n v="0"/>
    <n v="1"/>
  </r>
  <r>
    <s v="SHP-501075"/>
    <d v="2024-06-08T00:00:00"/>
    <x v="0"/>
    <s v="Q2"/>
    <x v="5"/>
    <x v="4"/>
    <x v="0"/>
    <x v="3"/>
    <x v="1"/>
    <s v="Road"/>
    <x v="1"/>
    <n v="13.6"/>
    <n v="527"/>
    <n v="6"/>
    <n v="11"/>
    <n v="0"/>
    <n v="5"/>
    <n v="14.65"/>
    <n v="0"/>
    <n v="1"/>
  </r>
  <r>
    <s v="SHP-501076"/>
    <d v="2024-06-08T00:00:00"/>
    <x v="0"/>
    <s v="Q2"/>
    <x v="5"/>
    <x v="3"/>
    <x v="1"/>
    <x v="0"/>
    <x v="2"/>
    <s v="Air"/>
    <x v="0"/>
    <n v="76.8"/>
    <n v="604"/>
    <n v="2"/>
    <n v="1"/>
    <n v="1"/>
    <n v="0"/>
    <n v="163.82"/>
    <n v="0"/>
    <n v="1"/>
  </r>
  <r>
    <s v="SHP-501077"/>
    <d v="2024-06-08T00:00:00"/>
    <x v="0"/>
    <s v="Q2"/>
    <x v="5"/>
    <x v="4"/>
    <x v="0"/>
    <x v="1"/>
    <x v="0"/>
    <s v="Road"/>
    <x v="1"/>
    <n v="2.5"/>
    <n v="273"/>
    <n v="3"/>
    <n v="2"/>
    <n v="1"/>
    <n v="0"/>
    <n v="11.99"/>
    <n v="0"/>
    <n v="1"/>
  </r>
  <r>
    <s v="SHP-501078"/>
    <d v="2024-06-09T00:00:00"/>
    <x v="0"/>
    <s v="Q2"/>
    <x v="5"/>
    <x v="4"/>
    <x v="0"/>
    <x v="1"/>
    <x v="1"/>
    <s v="Road"/>
    <x v="1"/>
    <n v="11.9"/>
    <n v="202"/>
    <n v="5"/>
    <n v="5"/>
    <n v="1"/>
    <n v="0"/>
    <n v="10.77"/>
    <n v="0"/>
    <n v="1"/>
  </r>
  <r>
    <s v="SHP-501079"/>
    <d v="2024-06-09T00:00:00"/>
    <x v="0"/>
    <s v="Q2"/>
    <x v="5"/>
    <x v="2"/>
    <x v="2"/>
    <x v="0"/>
    <x v="0"/>
    <s v="Road"/>
    <x v="1"/>
    <n v="4.8"/>
    <n v="1013"/>
    <n v="4"/>
    <n v="4"/>
    <n v="1"/>
    <n v="0"/>
    <n v="18.739999999999998"/>
    <n v="0"/>
    <n v="1"/>
  </r>
  <r>
    <s v="SHP-501080"/>
    <d v="2024-06-09T00:00:00"/>
    <x v="0"/>
    <s v="Q2"/>
    <x v="5"/>
    <x v="4"/>
    <x v="0"/>
    <x v="1"/>
    <x v="0"/>
    <s v="Road"/>
    <x v="0"/>
    <n v="163.1"/>
    <n v="200"/>
    <n v="3"/>
    <n v="2"/>
    <n v="1"/>
    <n v="0"/>
    <n v="74.91"/>
    <n v="0"/>
    <n v="1"/>
  </r>
  <r>
    <s v="SHP-501081"/>
    <d v="2024-06-10T00:00:00"/>
    <x v="0"/>
    <s v="Q2"/>
    <x v="5"/>
    <x v="3"/>
    <x v="2"/>
    <x v="3"/>
    <x v="0"/>
    <s v="Road"/>
    <x v="0"/>
    <n v="89"/>
    <n v="488"/>
    <n v="4"/>
    <n v="3"/>
    <n v="1"/>
    <n v="0"/>
    <n v="53.65"/>
    <n v="0"/>
    <n v="1"/>
  </r>
  <r>
    <s v="SHP-501082"/>
    <d v="2024-06-10T00:00:00"/>
    <x v="0"/>
    <s v="Q2"/>
    <x v="5"/>
    <x v="4"/>
    <x v="1"/>
    <x v="3"/>
    <x v="0"/>
    <s v="Road"/>
    <x v="1"/>
    <n v="6.6"/>
    <n v="301"/>
    <n v="4"/>
    <n v="4"/>
    <n v="1"/>
    <n v="0"/>
    <n v="14.23"/>
    <n v="0"/>
    <n v="1"/>
  </r>
  <r>
    <s v="SHP-501083"/>
    <d v="2024-06-10T00:00:00"/>
    <x v="0"/>
    <s v="Q2"/>
    <x v="5"/>
    <x v="0"/>
    <x v="2"/>
    <x v="4"/>
    <x v="1"/>
    <s v="Road"/>
    <x v="1"/>
    <n v="14.3"/>
    <n v="1316"/>
    <n v="7"/>
    <n v="7"/>
    <n v="1"/>
    <n v="0"/>
    <n v="21.39"/>
    <n v="0"/>
    <n v="1"/>
  </r>
  <r>
    <s v="SHP-501084"/>
    <d v="2024-06-10T00:00:00"/>
    <x v="0"/>
    <s v="Q2"/>
    <x v="5"/>
    <x v="4"/>
    <x v="2"/>
    <x v="4"/>
    <x v="2"/>
    <s v="Air"/>
    <x v="0"/>
    <n v="69.900000000000006"/>
    <n v="1139"/>
    <n v="3"/>
    <n v="3"/>
    <n v="1"/>
    <n v="0"/>
    <n v="148.55000000000001"/>
    <n v="0"/>
    <n v="1"/>
  </r>
  <r>
    <s v="SHP-501085"/>
    <d v="2024-06-10T00:00:00"/>
    <x v="0"/>
    <s v="Q2"/>
    <x v="5"/>
    <x v="1"/>
    <x v="0"/>
    <x v="0"/>
    <x v="1"/>
    <s v="Road"/>
    <x v="1"/>
    <n v="21.3"/>
    <n v="1030"/>
    <n v="6"/>
    <n v="6"/>
    <n v="1"/>
    <n v="0"/>
    <n v="23.98"/>
    <n v="0"/>
    <n v="1"/>
  </r>
  <r>
    <s v="SHP-501086"/>
    <d v="2024-06-10T00:00:00"/>
    <x v="0"/>
    <s v="Q2"/>
    <x v="5"/>
    <x v="1"/>
    <x v="2"/>
    <x v="3"/>
    <x v="0"/>
    <s v="Road"/>
    <x v="0"/>
    <n v="174.9"/>
    <n v="497"/>
    <n v="4"/>
    <n v="3"/>
    <n v="1"/>
    <n v="0"/>
    <n v="85.21"/>
    <n v="0"/>
    <n v="1"/>
  </r>
  <r>
    <s v="SHP-501087"/>
    <d v="2024-06-10T00:00:00"/>
    <x v="0"/>
    <s v="Q2"/>
    <x v="5"/>
    <x v="0"/>
    <x v="0"/>
    <x v="1"/>
    <x v="1"/>
    <s v="Road"/>
    <x v="1"/>
    <n v="3.4"/>
    <n v="275"/>
    <n v="5"/>
    <n v="4"/>
    <n v="1"/>
    <n v="0"/>
    <n v="8.08"/>
    <n v="0"/>
    <n v="1"/>
  </r>
  <r>
    <s v="SHP-501088"/>
    <d v="2024-06-11T00:00:00"/>
    <x v="0"/>
    <s v="Q2"/>
    <x v="5"/>
    <x v="2"/>
    <x v="0"/>
    <x v="1"/>
    <x v="2"/>
    <s v="Road"/>
    <x v="0"/>
    <n v="187.4"/>
    <n v="282"/>
    <n v="1"/>
    <n v="2"/>
    <n v="0"/>
    <n v="1"/>
    <n v="143.1"/>
    <n v="0"/>
    <n v="1"/>
  </r>
  <r>
    <s v="SHP-501089"/>
    <d v="2024-06-11T00:00:00"/>
    <x v="0"/>
    <s v="Q2"/>
    <x v="5"/>
    <x v="1"/>
    <x v="2"/>
    <x v="3"/>
    <x v="0"/>
    <s v="Road"/>
    <x v="1"/>
    <n v="15"/>
    <n v="391"/>
    <n v="4"/>
    <n v="4"/>
    <n v="1"/>
    <n v="0"/>
    <n v="19.670000000000002"/>
    <n v="0"/>
    <n v="1"/>
  </r>
  <r>
    <s v="SHP-501090"/>
    <d v="2024-06-11T00:00:00"/>
    <x v="0"/>
    <s v="Q2"/>
    <x v="5"/>
    <x v="4"/>
    <x v="1"/>
    <x v="0"/>
    <x v="0"/>
    <s v="Road"/>
    <x v="0"/>
    <n v="62.5"/>
    <n v="998"/>
    <n v="4"/>
    <n v="4"/>
    <n v="1"/>
    <n v="0"/>
    <n v="44.69"/>
    <n v="0"/>
    <n v="1"/>
  </r>
  <r>
    <s v="SHP-501091"/>
    <d v="2024-06-11T00:00:00"/>
    <x v="0"/>
    <s v="Q2"/>
    <x v="5"/>
    <x v="1"/>
    <x v="0"/>
    <x v="2"/>
    <x v="1"/>
    <s v="Road"/>
    <x v="1"/>
    <n v="7.3"/>
    <n v="1464"/>
    <n v="7"/>
    <n v="7"/>
    <n v="1"/>
    <n v="0"/>
    <n v="21.12"/>
    <n v="0"/>
    <n v="1"/>
  </r>
  <r>
    <s v="SHP-501092"/>
    <d v="2024-06-11T00:00:00"/>
    <x v="0"/>
    <s v="Q2"/>
    <x v="5"/>
    <x v="4"/>
    <x v="2"/>
    <x v="0"/>
    <x v="0"/>
    <s v="Road"/>
    <x v="1"/>
    <n v="18.8"/>
    <n v="741"/>
    <n v="4"/>
    <n v="4"/>
    <n v="1"/>
    <n v="0"/>
    <n v="26.53"/>
    <n v="0"/>
    <n v="1"/>
  </r>
  <r>
    <s v="SHP-501093"/>
    <d v="2024-06-11T00:00:00"/>
    <x v="0"/>
    <s v="Q2"/>
    <x v="5"/>
    <x v="3"/>
    <x v="2"/>
    <x v="0"/>
    <x v="0"/>
    <s v="Road"/>
    <x v="0"/>
    <n v="88.5"/>
    <n v="785"/>
    <n v="4"/>
    <n v="4"/>
    <n v="1"/>
    <n v="0"/>
    <n v="61.98"/>
    <n v="0"/>
    <n v="1"/>
  </r>
  <r>
    <s v="SHP-501094"/>
    <d v="2024-06-11T00:00:00"/>
    <x v="0"/>
    <s v="Q2"/>
    <x v="5"/>
    <x v="1"/>
    <x v="0"/>
    <x v="1"/>
    <x v="2"/>
    <s v="Road"/>
    <x v="0"/>
    <n v="67.099999999999994"/>
    <n v="316"/>
    <n v="1"/>
    <n v="2"/>
    <n v="0"/>
    <n v="1"/>
    <n v="86.97"/>
    <n v="0"/>
    <n v="1"/>
  </r>
  <r>
    <s v="SHP-501095"/>
    <d v="2024-06-11T00:00:00"/>
    <x v="0"/>
    <s v="Q2"/>
    <x v="5"/>
    <x v="4"/>
    <x v="1"/>
    <x v="0"/>
    <x v="1"/>
    <s v="Road"/>
    <x v="0"/>
    <n v="144.1"/>
    <n v="984"/>
    <n v="6"/>
    <n v="6"/>
    <n v="1"/>
    <n v="0"/>
    <n v="53.58"/>
    <n v="0"/>
    <n v="1"/>
  </r>
  <r>
    <s v="SHP-501096"/>
    <d v="2024-06-11T00:00:00"/>
    <x v="0"/>
    <s v="Q2"/>
    <x v="5"/>
    <x v="2"/>
    <x v="1"/>
    <x v="0"/>
    <x v="0"/>
    <s v="Road"/>
    <x v="1"/>
    <n v="14.2"/>
    <n v="579"/>
    <n v="4"/>
    <n v="5"/>
    <n v="0"/>
    <n v="1"/>
    <n v="18.73"/>
    <n v="0"/>
    <n v="1"/>
  </r>
  <r>
    <s v="SHP-501097"/>
    <d v="2024-06-11T00:00:00"/>
    <x v="0"/>
    <s v="Q2"/>
    <x v="5"/>
    <x v="4"/>
    <x v="2"/>
    <x v="1"/>
    <x v="2"/>
    <s v="Road"/>
    <x v="0"/>
    <n v="382"/>
    <n v="262"/>
    <n v="1"/>
    <n v="1"/>
    <n v="1"/>
    <n v="0"/>
    <n v="295.19"/>
    <n v="0"/>
    <n v="1"/>
  </r>
  <r>
    <s v="SHP-501098"/>
    <d v="2024-06-11T00:00:00"/>
    <x v="0"/>
    <s v="Q2"/>
    <x v="5"/>
    <x v="1"/>
    <x v="1"/>
    <x v="4"/>
    <x v="1"/>
    <s v="Road"/>
    <x v="1"/>
    <n v="12.7"/>
    <n v="1002"/>
    <n v="7"/>
    <n v="7"/>
    <n v="1"/>
    <n v="0"/>
    <n v="18.28"/>
    <n v="0"/>
    <n v="1"/>
  </r>
  <r>
    <s v="SHP-501099"/>
    <d v="2024-06-12T00:00:00"/>
    <x v="0"/>
    <s v="Q2"/>
    <x v="5"/>
    <x v="1"/>
    <x v="2"/>
    <x v="3"/>
    <x v="0"/>
    <s v="Road"/>
    <x v="1"/>
    <n v="3.7"/>
    <n v="494"/>
    <n v="4"/>
    <n v="4"/>
    <n v="1"/>
    <n v="0"/>
    <n v="15.13"/>
    <n v="0"/>
    <n v="1"/>
  </r>
  <r>
    <s v="SHP-501100"/>
    <d v="2024-06-12T00:00:00"/>
    <x v="0"/>
    <s v="Q2"/>
    <x v="5"/>
    <x v="4"/>
    <x v="1"/>
    <x v="2"/>
    <x v="0"/>
    <s v="Road"/>
    <x v="0"/>
    <n v="147.9"/>
    <n v="1627"/>
    <n v="5"/>
    <n v="5"/>
    <n v="1"/>
    <n v="0"/>
    <n v="92.62"/>
    <n v="0"/>
    <n v="1"/>
  </r>
  <r>
    <s v="SHP-501101"/>
    <d v="2024-06-12T00:00:00"/>
    <x v="0"/>
    <s v="Q2"/>
    <x v="5"/>
    <x v="3"/>
    <x v="2"/>
    <x v="3"/>
    <x v="1"/>
    <s v="Road"/>
    <x v="1"/>
    <n v="8.3000000000000007"/>
    <n v="489"/>
    <n v="6"/>
    <n v="7"/>
    <n v="0"/>
    <n v="1"/>
    <n v="15.44"/>
    <n v="0"/>
    <n v="1"/>
  </r>
  <r>
    <s v="SHP-501102"/>
    <d v="2024-06-12T00:00:00"/>
    <x v="0"/>
    <s v="Q2"/>
    <x v="5"/>
    <x v="4"/>
    <x v="2"/>
    <x v="1"/>
    <x v="2"/>
    <s v="Road"/>
    <x v="1"/>
    <n v="13.4"/>
    <n v="186"/>
    <n v="1"/>
    <n v="1"/>
    <n v="1"/>
    <n v="0"/>
    <n v="29.73"/>
    <n v="0"/>
    <n v="1"/>
  </r>
  <r>
    <s v="SHP-501103"/>
    <d v="2024-06-12T00:00:00"/>
    <x v="0"/>
    <s v="Q2"/>
    <x v="5"/>
    <x v="1"/>
    <x v="2"/>
    <x v="4"/>
    <x v="0"/>
    <s v="Road"/>
    <x v="1"/>
    <n v="4.4000000000000004"/>
    <n v="1096"/>
    <n v="5"/>
    <n v="5"/>
    <n v="1"/>
    <n v="0"/>
    <n v="23.27"/>
    <n v="0"/>
    <n v="1"/>
  </r>
  <r>
    <s v="SHP-501104"/>
    <d v="2024-06-13T00:00:00"/>
    <x v="0"/>
    <s v="Q2"/>
    <x v="5"/>
    <x v="0"/>
    <x v="1"/>
    <x v="1"/>
    <x v="2"/>
    <s v="Road"/>
    <x v="1"/>
    <n v="1.3"/>
    <n v="184"/>
    <n v="1"/>
    <n v="1"/>
    <n v="1"/>
    <n v="0"/>
    <n v="17.54"/>
    <n v="0"/>
    <n v="1"/>
  </r>
  <r>
    <s v="SHP-501105"/>
    <d v="2024-06-13T00:00:00"/>
    <x v="0"/>
    <s v="Q2"/>
    <x v="5"/>
    <x v="1"/>
    <x v="0"/>
    <x v="4"/>
    <x v="0"/>
    <s v="Road"/>
    <x v="1"/>
    <n v="8.1999999999999993"/>
    <n v="1161"/>
    <n v="5"/>
    <n v="5"/>
    <n v="1"/>
    <n v="0"/>
    <n v="25.69"/>
    <n v="0"/>
    <n v="1"/>
  </r>
  <r>
    <s v="SHP-501106"/>
    <d v="2024-06-13T00:00:00"/>
    <x v="0"/>
    <s v="Q2"/>
    <x v="5"/>
    <x v="2"/>
    <x v="2"/>
    <x v="2"/>
    <x v="0"/>
    <s v="Road"/>
    <x v="1"/>
    <n v="1.9"/>
    <n v="1273"/>
    <n v="5"/>
    <n v="5"/>
    <n v="1"/>
    <n v="0"/>
    <n v="20.8"/>
    <n v="0"/>
    <n v="1"/>
  </r>
  <r>
    <s v="SHP-501107"/>
    <d v="2024-06-13T00:00:00"/>
    <x v="0"/>
    <s v="Q2"/>
    <x v="5"/>
    <x v="3"/>
    <x v="0"/>
    <x v="2"/>
    <x v="0"/>
    <s v="Road"/>
    <x v="1"/>
    <n v="2.4"/>
    <n v="1039"/>
    <n v="5"/>
    <n v="5"/>
    <n v="1"/>
    <n v="0"/>
    <n v="22.47"/>
    <n v="0"/>
    <n v="1"/>
  </r>
  <r>
    <s v="SHP-501108"/>
    <d v="2024-06-13T00:00:00"/>
    <x v="0"/>
    <s v="Q2"/>
    <x v="5"/>
    <x v="2"/>
    <x v="2"/>
    <x v="2"/>
    <x v="0"/>
    <s v="Road"/>
    <x v="0"/>
    <n v="86.7"/>
    <n v="864"/>
    <n v="5"/>
    <n v="4"/>
    <n v="1"/>
    <n v="0"/>
    <n v="48.53"/>
    <n v="0"/>
    <n v="1"/>
  </r>
  <r>
    <s v="SHP-501109"/>
    <d v="2024-06-13T00:00:00"/>
    <x v="0"/>
    <s v="Q2"/>
    <x v="5"/>
    <x v="2"/>
    <x v="2"/>
    <x v="3"/>
    <x v="0"/>
    <s v="Road"/>
    <x v="1"/>
    <n v="3.7"/>
    <n v="516"/>
    <n v="4"/>
    <n v="4"/>
    <n v="1"/>
    <n v="0"/>
    <n v="10.72"/>
    <n v="0"/>
    <n v="1"/>
  </r>
  <r>
    <s v="SHP-501110"/>
    <d v="2024-06-13T00:00:00"/>
    <x v="0"/>
    <s v="Q2"/>
    <x v="5"/>
    <x v="1"/>
    <x v="0"/>
    <x v="3"/>
    <x v="0"/>
    <s v="Road"/>
    <x v="1"/>
    <n v="9.4"/>
    <n v="463"/>
    <n v="4"/>
    <n v="7"/>
    <n v="0"/>
    <n v="3"/>
    <n v="18.829999999999998"/>
    <n v="0"/>
    <n v="1"/>
  </r>
  <r>
    <s v="SHP-501111"/>
    <d v="2024-06-13T00:00:00"/>
    <x v="0"/>
    <s v="Q2"/>
    <x v="5"/>
    <x v="4"/>
    <x v="1"/>
    <x v="2"/>
    <x v="2"/>
    <s v="Air"/>
    <x v="0"/>
    <n v="52.3"/>
    <n v="1284"/>
    <n v="3"/>
    <n v="2"/>
    <n v="1"/>
    <n v="0"/>
    <n v="147.30000000000001"/>
    <n v="0"/>
    <n v="1"/>
  </r>
  <r>
    <s v="SHP-501112"/>
    <d v="2024-06-14T00:00:00"/>
    <x v="0"/>
    <s v="Q2"/>
    <x v="5"/>
    <x v="3"/>
    <x v="2"/>
    <x v="1"/>
    <x v="2"/>
    <s v="Road"/>
    <x v="0"/>
    <n v="69.2"/>
    <n v="263"/>
    <n v="1"/>
    <n v="1"/>
    <n v="1"/>
    <n v="0"/>
    <n v="83.07"/>
    <n v="0"/>
    <n v="1"/>
  </r>
  <r>
    <s v="SHP-501113"/>
    <d v="2024-06-14T00:00:00"/>
    <x v="0"/>
    <s v="Q2"/>
    <x v="5"/>
    <x v="2"/>
    <x v="2"/>
    <x v="1"/>
    <x v="2"/>
    <s v="Road"/>
    <x v="1"/>
    <n v="6.1"/>
    <n v="274"/>
    <n v="1"/>
    <n v="1"/>
    <n v="1"/>
    <n v="0"/>
    <n v="21.35"/>
    <n v="0"/>
    <n v="1"/>
  </r>
  <r>
    <s v="SHP-501114"/>
    <d v="2024-06-14T00:00:00"/>
    <x v="0"/>
    <s v="Q2"/>
    <x v="5"/>
    <x v="0"/>
    <x v="2"/>
    <x v="3"/>
    <x v="0"/>
    <s v="Road"/>
    <x v="1"/>
    <n v="1.2"/>
    <n v="603"/>
    <n v="4"/>
    <n v="3"/>
    <n v="1"/>
    <n v="0"/>
    <n v="12.4"/>
    <n v="0"/>
    <n v="1"/>
  </r>
  <r>
    <s v="SHP-501115"/>
    <d v="2024-06-14T00:00:00"/>
    <x v="0"/>
    <s v="Q2"/>
    <x v="5"/>
    <x v="3"/>
    <x v="1"/>
    <x v="0"/>
    <x v="0"/>
    <s v="Road"/>
    <x v="0"/>
    <n v="11.4"/>
    <n v="1093"/>
    <n v="4"/>
    <n v="4"/>
    <n v="1"/>
    <n v="0"/>
    <n v="27.04"/>
    <n v="0"/>
    <n v="1"/>
  </r>
  <r>
    <s v="SHP-501116"/>
    <d v="2024-06-14T00:00:00"/>
    <x v="0"/>
    <s v="Q2"/>
    <x v="5"/>
    <x v="3"/>
    <x v="2"/>
    <x v="3"/>
    <x v="1"/>
    <s v="Road"/>
    <x v="1"/>
    <n v="6.1"/>
    <n v="462"/>
    <n v="6"/>
    <n v="5"/>
    <n v="1"/>
    <n v="0"/>
    <n v="11.47"/>
    <n v="0"/>
    <n v="1"/>
  </r>
  <r>
    <s v="SHP-501117"/>
    <d v="2024-06-14T00:00:00"/>
    <x v="0"/>
    <s v="Q2"/>
    <x v="5"/>
    <x v="4"/>
    <x v="1"/>
    <x v="1"/>
    <x v="2"/>
    <s v="Road"/>
    <x v="0"/>
    <n v="104.1"/>
    <n v="179"/>
    <n v="1"/>
    <n v="3"/>
    <n v="0"/>
    <n v="2"/>
    <n v="106.34"/>
    <n v="0"/>
    <n v="1"/>
  </r>
  <r>
    <s v="SHP-501118"/>
    <d v="2024-06-15T00:00:00"/>
    <x v="0"/>
    <s v="Q2"/>
    <x v="5"/>
    <x v="3"/>
    <x v="0"/>
    <x v="2"/>
    <x v="0"/>
    <s v="Road"/>
    <x v="1"/>
    <n v="20.9"/>
    <n v="1410"/>
    <n v="5"/>
    <n v="5"/>
    <n v="1"/>
    <n v="0"/>
    <n v="41.19"/>
    <n v="0"/>
    <n v="1"/>
  </r>
  <r>
    <s v="SHP-501119"/>
    <d v="2024-06-15T00:00:00"/>
    <x v="0"/>
    <s v="Q2"/>
    <x v="5"/>
    <x v="1"/>
    <x v="2"/>
    <x v="2"/>
    <x v="2"/>
    <s v="Air"/>
    <x v="0"/>
    <n v="37.700000000000003"/>
    <n v="1088"/>
    <n v="3"/>
    <n v="2"/>
    <n v="1"/>
    <n v="0"/>
    <n v="108.49"/>
    <n v="0"/>
    <n v="1"/>
  </r>
  <r>
    <s v="SHP-501120"/>
    <d v="2024-06-15T00:00:00"/>
    <x v="0"/>
    <s v="Q2"/>
    <x v="5"/>
    <x v="3"/>
    <x v="1"/>
    <x v="1"/>
    <x v="0"/>
    <s v="Road"/>
    <x v="1"/>
    <n v="1.5"/>
    <n v="228"/>
    <n v="3"/>
    <n v="3"/>
    <n v="1"/>
    <n v="0"/>
    <n v="10.220000000000001"/>
    <n v="0"/>
    <n v="1"/>
  </r>
  <r>
    <s v="SHP-501121"/>
    <d v="2024-06-15T00:00:00"/>
    <x v="0"/>
    <s v="Q2"/>
    <x v="5"/>
    <x v="4"/>
    <x v="0"/>
    <x v="1"/>
    <x v="1"/>
    <s v="Road"/>
    <x v="1"/>
    <n v="15.1"/>
    <n v="331"/>
    <n v="5"/>
    <n v="5"/>
    <n v="1"/>
    <n v="0"/>
    <n v="13.28"/>
    <n v="0"/>
    <n v="1"/>
  </r>
  <r>
    <s v="SHP-501122"/>
    <d v="2024-06-16T00:00:00"/>
    <x v="0"/>
    <s v="Q2"/>
    <x v="5"/>
    <x v="3"/>
    <x v="1"/>
    <x v="4"/>
    <x v="1"/>
    <s v="Road"/>
    <x v="0"/>
    <n v="305.10000000000002"/>
    <n v="925"/>
    <n v="7"/>
    <n v="7"/>
    <n v="1"/>
    <n v="0"/>
    <n v="112.57"/>
    <n v="0"/>
    <n v="1"/>
  </r>
  <r>
    <s v="SHP-501123"/>
    <d v="2024-06-17T00:00:00"/>
    <x v="0"/>
    <s v="Q2"/>
    <x v="5"/>
    <x v="3"/>
    <x v="0"/>
    <x v="3"/>
    <x v="1"/>
    <s v="Road"/>
    <x v="1"/>
    <n v="11"/>
    <n v="543"/>
    <n v="6"/>
    <n v="5"/>
    <n v="1"/>
    <n v="0"/>
    <n v="15.66"/>
    <n v="0"/>
    <n v="1"/>
  </r>
  <r>
    <s v="SHP-501124"/>
    <d v="2024-06-17T00:00:00"/>
    <x v="0"/>
    <s v="Q2"/>
    <x v="5"/>
    <x v="2"/>
    <x v="1"/>
    <x v="3"/>
    <x v="0"/>
    <s v="Road"/>
    <x v="1"/>
    <n v="1.3"/>
    <n v="417"/>
    <n v="4"/>
    <n v="7"/>
    <n v="0"/>
    <n v="3"/>
    <n v="10.79"/>
    <n v="0"/>
    <n v="1"/>
  </r>
  <r>
    <s v="SHP-501125"/>
    <d v="2024-06-17T00:00:00"/>
    <x v="0"/>
    <s v="Q2"/>
    <x v="5"/>
    <x v="3"/>
    <x v="0"/>
    <x v="1"/>
    <x v="2"/>
    <s v="Road"/>
    <x v="0"/>
    <n v="35.5"/>
    <n v="285"/>
    <n v="1"/>
    <n v="2"/>
    <n v="0"/>
    <n v="1"/>
    <n v="68.040000000000006"/>
    <n v="0"/>
    <n v="1"/>
  </r>
  <r>
    <s v="SHP-501126"/>
    <d v="2024-06-17T00:00:00"/>
    <x v="0"/>
    <s v="Q2"/>
    <x v="5"/>
    <x v="2"/>
    <x v="2"/>
    <x v="3"/>
    <x v="0"/>
    <s v="Road"/>
    <x v="0"/>
    <n v="53.2"/>
    <n v="335"/>
    <n v="4"/>
    <n v="4"/>
    <n v="1"/>
    <n v="0"/>
    <n v="29.24"/>
    <n v="0"/>
    <n v="1"/>
  </r>
  <r>
    <s v="SHP-501127"/>
    <d v="2024-06-17T00:00:00"/>
    <x v="0"/>
    <s v="Q2"/>
    <x v="5"/>
    <x v="0"/>
    <x v="0"/>
    <x v="1"/>
    <x v="0"/>
    <s v="Road"/>
    <x v="0"/>
    <n v="96.4"/>
    <n v="265"/>
    <n v="3"/>
    <n v="3"/>
    <n v="1"/>
    <n v="0"/>
    <n v="55.76"/>
    <n v="0"/>
    <n v="1"/>
  </r>
  <r>
    <s v="SHP-501128"/>
    <d v="2024-06-17T00:00:00"/>
    <x v="0"/>
    <s v="Q2"/>
    <x v="5"/>
    <x v="4"/>
    <x v="2"/>
    <x v="1"/>
    <x v="1"/>
    <s v="Road"/>
    <x v="0"/>
    <n v="65.5"/>
    <n v="263"/>
    <n v="5"/>
    <n v="5"/>
    <n v="1"/>
    <n v="0"/>
    <n v="32.01"/>
    <n v="0"/>
    <n v="1"/>
  </r>
  <r>
    <s v="SHP-501129"/>
    <d v="2024-06-17T00:00:00"/>
    <x v="0"/>
    <s v="Q2"/>
    <x v="5"/>
    <x v="4"/>
    <x v="2"/>
    <x v="3"/>
    <x v="0"/>
    <s v="Road"/>
    <x v="0"/>
    <n v="23.4"/>
    <n v="432"/>
    <n v="4"/>
    <n v="4"/>
    <n v="1"/>
    <n v="0"/>
    <n v="24.51"/>
    <n v="0"/>
    <n v="1"/>
  </r>
  <r>
    <s v="SHP-501130"/>
    <d v="2024-06-17T00:00:00"/>
    <x v="0"/>
    <s v="Q2"/>
    <x v="5"/>
    <x v="0"/>
    <x v="0"/>
    <x v="2"/>
    <x v="0"/>
    <s v="Road"/>
    <x v="0"/>
    <n v="109.1"/>
    <n v="1208"/>
    <n v="5"/>
    <n v="4"/>
    <n v="1"/>
    <n v="0"/>
    <n v="68.08"/>
    <n v="0"/>
    <n v="1"/>
  </r>
  <r>
    <s v="SHP-501131"/>
    <d v="2024-06-17T00:00:00"/>
    <x v="0"/>
    <s v="Q2"/>
    <x v="5"/>
    <x v="3"/>
    <x v="1"/>
    <x v="3"/>
    <x v="1"/>
    <s v="Road"/>
    <x v="0"/>
    <n v="131.4"/>
    <n v="354"/>
    <n v="6"/>
    <n v="6"/>
    <n v="1"/>
    <n v="0"/>
    <n v="55.8"/>
    <n v="0"/>
    <n v="1"/>
  </r>
  <r>
    <s v="SHP-501132"/>
    <d v="2024-06-17T00:00:00"/>
    <x v="0"/>
    <s v="Q2"/>
    <x v="5"/>
    <x v="0"/>
    <x v="2"/>
    <x v="2"/>
    <x v="1"/>
    <s v="Road"/>
    <x v="1"/>
    <n v="4"/>
    <n v="1222"/>
    <n v="7"/>
    <n v="7"/>
    <n v="1"/>
    <n v="0"/>
    <n v="16.649999999999999"/>
    <n v="0"/>
    <n v="1"/>
  </r>
  <r>
    <s v="SHP-501133"/>
    <d v="2024-06-17T00:00:00"/>
    <x v="0"/>
    <s v="Q2"/>
    <x v="5"/>
    <x v="2"/>
    <x v="1"/>
    <x v="0"/>
    <x v="0"/>
    <s v="Road"/>
    <x v="0"/>
    <n v="121.4"/>
    <n v="1098"/>
    <n v="4"/>
    <n v="3"/>
    <n v="1"/>
    <n v="0"/>
    <n v="65.92"/>
    <n v="0"/>
    <n v="1"/>
  </r>
  <r>
    <s v="SHP-501134"/>
    <d v="2024-06-18T00:00:00"/>
    <x v="0"/>
    <s v="Q2"/>
    <x v="5"/>
    <x v="2"/>
    <x v="1"/>
    <x v="3"/>
    <x v="1"/>
    <s v="Road"/>
    <x v="1"/>
    <n v="17.8"/>
    <n v="517"/>
    <n v="6"/>
    <n v="5"/>
    <n v="1"/>
    <n v="0"/>
    <n v="14.14"/>
    <n v="0"/>
    <n v="1"/>
  </r>
  <r>
    <s v="SHP-501135"/>
    <d v="2024-06-18T00:00:00"/>
    <x v="0"/>
    <s v="Q2"/>
    <x v="5"/>
    <x v="3"/>
    <x v="0"/>
    <x v="4"/>
    <x v="0"/>
    <s v="Road"/>
    <x v="0"/>
    <n v="104.1"/>
    <n v="823"/>
    <n v="5"/>
    <n v="8"/>
    <n v="0"/>
    <n v="3"/>
    <n v="71.400000000000006"/>
    <n v="0"/>
    <n v="1"/>
  </r>
  <r>
    <s v="SHP-501136"/>
    <d v="2024-06-18T00:00:00"/>
    <x v="0"/>
    <s v="Q2"/>
    <x v="5"/>
    <x v="1"/>
    <x v="1"/>
    <x v="3"/>
    <x v="2"/>
    <s v="Road"/>
    <x v="1"/>
    <n v="3.8"/>
    <n v="439"/>
    <n v="2"/>
    <n v="2"/>
    <n v="1"/>
    <n v="0"/>
    <n v="29.95"/>
    <n v="1"/>
    <n v="1"/>
  </r>
  <r>
    <s v="SHP-501137"/>
    <d v="2024-06-18T00:00:00"/>
    <x v="0"/>
    <s v="Q2"/>
    <x v="5"/>
    <x v="1"/>
    <x v="1"/>
    <x v="4"/>
    <x v="1"/>
    <s v="Road"/>
    <x v="0"/>
    <n v="63.2"/>
    <n v="1106"/>
    <n v="7"/>
    <n v="9"/>
    <n v="0"/>
    <n v="2"/>
    <n v="36.46"/>
    <n v="0"/>
    <n v="1"/>
  </r>
  <r>
    <s v="SHP-501138"/>
    <d v="2024-06-18T00:00:00"/>
    <x v="0"/>
    <s v="Q2"/>
    <x v="5"/>
    <x v="2"/>
    <x v="0"/>
    <x v="1"/>
    <x v="0"/>
    <s v="Road"/>
    <x v="0"/>
    <n v="24.8"/>
    <n v="245"/>
    <n v="3"/>
    <n v="3"/>
    <n v="1"/>
    <n v="0"/>
    <n v="20.83"/>
    <n v="0"/>
    <n v="1"/>
  </r>
  <r>
    <s v="SHP-501139"/>
    <d v="2024-06-18T00:00:00"/>
    <x v="0"/>
    <s v="Q2"/>
    <x v="5"/>
    <x v="0"/>
    <x v="2"/>
    <x v="3"/>
    <x v="2"/>
    <s v="Road"/>
    <x v="1"/>
    <n v="6.3"/>
    <n v="433"/>
    <n v="2"/>
    <n v="2"/>
    <n v="1"/>
    <n v="0"/>
    <n v="27.93"/>
    <n v="0"/>
    <n v="1"/>
  </r>
  <r>
    <s v="SHP-501140"/>
    <d v="2024-06-18T00:00:00"/>
    <x v="0"/>
    <s v="Q2"/>
    <x v="5"/>
    <x v="1"/>
    <x v="2"/>
    <x v="0"/>
    <x v="0"/>
    <s v="Road"/>
    <x v="1"/>
    <n v="5.9"/>
    <n v="998"/>
    <n v="4"/>
    <n v="3"/>
    <n v="1"/>
    <n v="0"/>
    <n v="25.05"/>
    <n v="0"/>
    <n v="1"/>
  </r>
  <r>
    <s v="SHP-501141"/>
    <d v="2024-06-18T00:00:00"/>
    <x v="0"/>
    <s v="Q2"/>
    <x v="5"/>
    <x v="3"/>
    <x v="2"/>
    <x v="1"/>
    <x v="2"/>
    <s v="Road"/>
    <x v="1"/>
    <n v="7.4"/>
    <n v="287"/>
    <n v="1"/>
    <n v="1"/>
    <n v="1"/>
    <n v="0"/>
    <n v="31.17"/>
    <n v="0"/>
    <n v="1"/>
  </r>
  <r>
    <s v="SHP-501142"/>
    <d v="2024-06-19T00:00:00"/>
    <x v="0"/>
    <s v="Q2"/>
    <x v="5"/>
    <x v="3"/>
    <x v="0"/>
    <x v="0"/>
    <x v="0"/>
    <s v="Road"/>
    <x v="1"/>
    <n v="13.4"/>
    <n v="945"/>
    <n v="4"/>
    <n v="4"/>
    <n v="1"/>
    <n v="0"/>
    <n v="29.69"/>
    <n v="0"/>
    <n v="1"/>
  </r>
  <r>
    <s v="SHP-501143"/>
    <d v="2024-06-19T00:00:00"/>
    <x v="0"/>
    <s v="Q2"/>
    <x v="5"/>
    <x v="1"/>
    <x v="2"/>
    <x v="1"/>
    <x v="0"/>
    <s v="Road"/>
    <x v="0"/>
    <n v="198.4"/>
    <n v="223"/>
    <n v="3"/>
    <n v="2"/>
    <n v="1"/>
    <n v="0"/>
    <n v="91.3"/>
    <n v="0"/>
    <n v="1"/>
  </r>
  <r>
    <s v="SHP-501144"/>
    <d v="2024-06-19T00:00:00"/>
    <x v="0"/>
    <s v="Q2"/>
    <x v="5"/>
    <x v="4"/>
    <x v="1"/>
    <x v="1"/>
    <x v="0"/>
    <s v="Road"/>
    <x v="0"/>
    <n v="136.9"/>
    <n v="198"/>
    <n v="3"/>
    <n v="3"/>
    <n v="1"/>
    <n v="0"/>
    <n v="64.28"/>
    <n v="0"/>
    <n v="1"/>
  </r>
  <r>
    <s v="SHP-501145"/>
    <d v="2024-06-19T00:00:00"/>
    <x v="0"/>
    <s v="Q2"/>
    <x v="5"/>
    <x v="2"/>
    <x v="1"/>
    <x v="0"/>
    <x v="1"/>
    <s v="Road"/>
    <x v="1"/>
    <n v="5"/>
    <n v="1123"/>
    <n v="6"/>
    <n v="6"/>
    <n v="1"/>
    <n v="0"/>
    <n v="13.88"/>
    <n v="0"/>
    <n v="1"/>
  </r>
  <r>
    <s v="SHP-501146"/>
    <d v="2024-06-19T00:00:00"/>
    <x v="0"/>
    <s v="Q2"/>
    <x v="5"/>
    <x v="1"/>
    <x v="2"/>
    <x v="1"/>
    <x v="1"/>
    <s v="Road"/>
    <x v="0"/>
    <n v="89.4"/>
    <n v="255"/>
    <n v="5"/>
    <n v="5"/>
    <n v="1"/>
    <n v="0"/>
    <n v="36.299999999999997"/>
    <n v="0"/>
    <n v="1"/>
  </r>
  <r>
    <s v="SHP-501147"/>
    <d v="2024-06-19T00:00:00"/>
    <x v="0"/>
    <s v="Q2"/>
    <x v="5"/>
    <x v="3"/>
    <x v="0"/>
    <x v="1"/>
    <x v="0"/>
    <s v="Road"/>
    <x v="0"/>
    <n v="54.1"/>
    <n v="213"/>
    <n v="3"/>
    <n v="3"/>
    <n v="1"/>
    <n v="0"/>
    <n v="37.86"/>
    <n v="0"/>
    <n v="1"/>
  </r>
  <r>
    <s v="SHP-501148"/>
    <d v="2024-06-19T00:00:00"/>
    <x v="0"/>
    <s v="Q2"/>
    <x v="5"/>
    <x v="3"/>
    <x v="1"/>
    <x v="1"/>
    <x v="0"/>
    <s v="Road"/>
    <x v="1"/>
    <n v="12.5"/>
    <n v="238"/>
    <n v="3"/>
    <n v="2"/>
    <n v="1"/>
    <n v="0"/>
    <n v="18.350000000000001"/>
    <n v="0"/>
    <n v="1"/>
  </r>
  <r>
    <s v="SHP-501149"/>
    <d v="2024-06-19T00:00:00"/>
    <x v="0"/>
    <s v="Q2"/>
    <x v="5"/>
    <x v="4"/>
    <x v="2"/>
    <x v="0"/>
    <x v="0"/>
    <s v="Road"/>
    <x v="0"/>
    <n v="51.7"/>
    <n v="811"/>
    <n v="4"/>
    <n v="3"/>
    <n v="1"/>
    <n v="0"/>
    <n v="40.19"/>
    <n v="0"/>
    <n v="1"/>
  </r>
  <r>
    <s v="SHP-501150"/>
    <d v="2024-06-19T00:00:00"/>
    <x v="0"/>
    <s v="Q2"/>
    <x v="5"/>
    <x v="3"/>
    <x v="1"/>
    <x v="3"/>
    <x v="1"/>
    <s v="Road"/>
    <x v="0"/>
    <n v="323.60000000000002"/>
    <n v="411"/>
    <n v="6"/>
    <n v="6"/>
    <n v="1"/>
    <n v="0"/>
    <n v="117.1"/>
    <n v="0"/>
    <n v="1"/>
  </r>
  <r>
    <s v="SHP-501151"/>
    <d v="2024-06-20T00:00:00"/>
    <x v="0"/>
    <s v="Q2"/>
    <x v="5"/>
    <x v="4"/>
    <x v="1"/>
    <x v="0"/>
    <x v="0"/>
    <s v="Road"/>
    <x v="1"/>
    <n v="3"/>
    <n v="929"/>
    <n v="4"/>
    <n v="4"/>
    <n v="1"/>
    <n v="0"/>
    <n v="19.829999999999998"/>
    <n v="0"/>
    <n v="1"/>
  </r>
  <r>
    <s v="SHP-501152"/>
    <d v="2024-06-20T00:00:00"/>
    <x v="0"/>
    <s v="Q2"/>
    <x v="5"/>
    <x v="3"/>
    <x v="1"/>
    <x v="3"/>
    <x v="2"/>
    <s v="Road"/>
    <x v="1"/>
    <n v="9.3000000000000007"/>
    <n v="465"/>
    <n v="2"/>
    <n v="2"/>
    <n v="1"/>
    <n v="0"/>
    <n v="35.93"/>
    <n v="0"/>
    <n v="1"/>
  </r>
  <r>
    <s v="SHP-501153"/>
    <d v="2024-06-20T00:00:00"/>
    <x v="0"/>
    <s v="Q2"/>
    <x v="5"/>
    <x v="3"/>
    <x v="1"/>
    <x v="1"/>
    <x v="0"/>
    <s v="Road"/>
    <x v="1"/>
    <n v="4.3"/>
    <n v="228"/>
    <n v="3"/>
    <n v="3"/>
    <n v="1"/>
    <n v="0"/>
    <n v="12.5"/>
    <n v="0"/>
    <n v="1"/>
  </r>
  <r>
    <s v="SHP-501154"/>
    <d v="2024-06-20T00:00:00"/>
    <x v="0"/>
    <s v="Q2"/>
    <x v="5"/>
    <x v="1"/>
    <x v="2"/>
    <x v="2"/>
    <x v="0"/>
    <s v="Road"/>
    <x v="1"/>
    <n v="8.6999999999999993"/>
    <n v="985"/>
    <n v="5"/>
    <n v="4"/>
    <n v="1"/>
    <n v="0"/>
    <n v="26.27"/>
    <n v="0"/>
    <n v="1"/>
  </r>
  <r>
    <s v="SHP-501155"/>
    <d v="2024-06-21T00:00:00"/>
    <x v="0"/>
    <s v="Q2"/>
    <x v="5"/>
    <x v="3"/>
    <x v="1"/>
    <x v="4"/>
    <x v="2"/>
    <s v="Air"/>
    <x v="1"/>
    <n v="1.2"/>
    <n v="1236"/>
    <n v="3"/>
    <n v="3"/>
    <n v="1"/>
    <n v="0"/>
    <n v="78.53"/>
    <n v="0"/>
    <n v="1"/>
  </r>
  <r>
    <s v="SHP-501156"/>
    <d v="2024-06-21T00:00:00"/>
    <x v="0"/>
    <s v="Q2"/>
    <x v="5"/>
    <x v="2"/>
    <x v="1"/>
    <x v="0"/>
    <x v="0"/>
    <s v="Road"/>
    <x v="1"/>
    <n v="1.4"/>
    <n v="746"/>
    <n v="4"/>
    <n v="4"/>
    <n v="1"/>
    <n v="0"/>
    <n v="13.67"/>
    <n v="0"/>
    <n v="1"/>
  </r>
  <r>
    <s v="SHP-501157"/>
    <d v="2024-06-21T00:00:00"/>
    <x v="0"/>
    <s v="Q2"/>
    <x v="5"/>
    <x v="3"/>
    <x v="0"/>
    <x v="3"/>
    <x v="0"/>
    <s v="Road"/>
    <x v="0"/>
    <n v="92.6"/>
    <n v="539"/>
    <n v="4"/>
    <n v="4"/>
    <n v="1"/>
    <n v="0"/>
    <n v="64.22"/>
    <n v="0"/>
    <n v="1"/>
  </r>
  <r>
    <s v="SHP-501158"/>
    <d v="2024-06-21T00:00:00"/>
    <x v="0"/>
    <s v="Q2"/>
    <x v="5"/>
    <x v="3"/>
    <x v="1"/>
    <x v="1"/>
    <x v="0"/>
    <s v="Road"/>
    <x v="1"/>
    <n v="10.6"/>
    <n v="250"/>
    <n v="3"/>
    <n v="3"/>
    <n v="1"/>
    <n v="0"/>
    <n v="17.600000000000001"/>
    <n v="0"/>
    <n v="1"/>
  </r>
  <r>
    <s v="SHP-501159"/>
    <d v="2024-06-21T00:00:00"/>
    <x v="0"/>
    <s v="Q2"/>
    <x v="5"/>
    <x v="2"/>
    <x v="1"/>
    <x v="0"/>
    <x v="0"/>
    <s v="Road"/>
    <x v="1"/>
    <n v="4.3"/>
    <n v="880"/>
    <n v="4"/>
    <n v="4"/>
    <n v="1"/>
    <n v="0"/>
    <n v="15.57"/>
    <n v="0"/>
    <n v="1"/>
  </r>
  <r>
    <s v="SHP-501160"/>
    <d v="2024-06-21T00:00:00"/>
    <x v="0"/>
    <s v="Q2"/>
    <x v="5"/>
    <x v="0"/>
    <x v="0"/>
    <x v="0"/>
    <x v="0"/>
    <s v="Road"/>
    <x v="1"/>
    <n v="5.4"/>
    <n v="895"/>
    <n v="4"/>
    <n v="3"/>
    <n v="1"/>
    <n v="0"/>
    <n v="17.649999999999999"/>
    <n v="0"/>
    <n v="1"/>
  </r>
  <r>
    <s v="SHP-501161"/>
    <d v="2024-06-21T00:00:00"/>
    <x v="0"/>
    <s v="Q2"/>
    <x v="5"/>
    <x v="0"/>
    <x v="2"/>
    <x v="0"/>
    <x v="0"/>
    <s v="Road"/>
    <x v="1"/>
    <n v="4"/>
    <n v="996"/>
    <n v="4"/>
    <n v="3"/>
    <n v="1"/>
    <n v="0"/>
    <n v="17.63"/>
    <n v="0"/>
    <n v="1"/>
  </r>
  <r>
    <s v="SHP-501162"/>
    <d v="2024-06-22T00:00:00"/>
    <x v="0"/>
    <s v="Q2"/>
    <x v="5"/>
    <x v="2"/>
    <x v="0"/>
    <x v="4"/>
    <x v="1"/>
    <s v="Road"/>
    <x v="1"/>
    <n v="3"/>
    <n v="1178"/>
    <n v="7"/>
    <n v="6"/>
    <n v="1"/>
    <n v="0"/>
    <n v="14.12"/>
    <n v="0"/>
    <n v="1"/>
  </r>
  <r>
    <s v="SHP-501163"/>
    <d v="2024-06-22T00:00:00"/>
    <x v="0"/>
    <s v="Q2"/>
    <x v="5"/>
    <x v="2"/>
    <x v="0"/>
    <x v="3"/>
    <x v="0"/>
    <s v="Road"/>
    <x v="0"/>
    <n v="126.8"/>
    <n v="359"/>
    <n v="4"/>
    <n v="6"/>
    <n v="0"/>
    <n v="2"/>
    <n v="56.31"/>
    <n v="0"/>
    <n v="1"/>
  </r>
  <r>
    <s v="SHP-501164"/>
    <d v="2024-06-23T00:00:00"/>
    <x v="0"/>
    <s v="Q2"/>
    <x v="5"/>
    <x v="3"/>
    <x v="0"/>
    <x v="0"/>
    <x v="0"/>
    <s v="Road"/>
    <x v="0"/>
    <n v="39.700000000000003"/>
    <n v="1010"/>
    <n v="4"/>
    <n v="4"/>
    <n v="1"/>
    <n v="0"/>
    <n v="42.87"/>
    <n v="0"/>
    <n v="1"/>
  </r>
  <r>
    <s v="SHP-501165"/>
    <d v="2024-06-23T00:00:00"/>
    <x v="0"/>
    <s v="Q2"/>
    <x v="5"/>
    <x v="3"/>
    <x v="0"/>
    <x v="3"/>
    <x v="0"/>
    <s v="Road"/>
    <x v="0"/>
    <n v="38.299999999999997"/>
    <n v="523"/>
    <n v="4"/>
    <n v="4"/>
    <n v="1"/>
    <n v="0"/>
    <n v="36.99"/>
    <n v="0"/>
    <n v="1"/>
  </r>
  <r>
    <s v="SHP-501166"/>
    <d v="2024-06-23T00:00:00"/>
    <x v="0"/>
    <s v="Q2"/>
    <x v="5"/>
    <x v="1"/>
    <x v="0"/>
    <x v="3"/>
    <x v="2"/>
    <s v="Road"/>
    <x v="0"/>
    <n v="266.39999999999998"/>
    <n v="420"/>
    <n v="2"/>
    <n v="5"/>
    <n v="0"/>
    <n v="3"/>
    <n v="237.13"/>
    <n v="0"/>
    <n v="1"/>
  </r>
  <r>
    <s v="SHP-501167"/>
    <d v="2024-06-24T00:00:00"/>
    <x v="0"/>
    <s v="Q2"/>
    <x v="5"/>
    <x v="2"/>
    <x v="1"/>
    <x v="0"/>
    <x v="0"/>
    <s v="Road"/>
    <x v="0"/>
    <n v="136"/>
    <n v="1089"/>
    <n v="4"/>
    <n v="4"/>
    <n v="1"/>
    <n v="0"/>
    <n v="70.05"/>
    <n v="0"/>
    <n v="1"/>
  </r>
  <r>
    <s v="SHP-501168"/>
    <d v="2024-06-24T00:00:00"/>
    <x v="0"/>
    <s v="Q2"/>
    <x v="5"/>
    <x v="0"/>
    <x v="2"/>
    <x v="4"/>
    <x v="2"/>
    <s v="Air"/>
    <x v="1"/>
    <n v="10.1"/>
    <n v="1216"/>
    <n v="3"/>
    <n v="3"/>
    <n v="1"/>
    <n v="0"/>
    <n v="82.38"/>
    <n v="0"/>
    <n v="1"/>
  </r>
  <r>
    <s v="SHP-501169"/>
    <d v="2024-06-24T00:00:00"/>
    <x v="0"/>
    <s v="Q2"/>
    <x v="5"/>
    <x v="4"/>
    <x v="1"/>
    <x v="3"/>
    <x v="2"/>
    <s v="Road"/>
    <x v="1"/>
    <n v="1.1000000000000001"/>
    <n v="520"/>
    <n v="2"/>
    <n v="2"/>
    <n v="1"/>
    <n v="0"/>
    <n v="28.6"/>
    <n v="0"/>
    <n v="1"/>
  </r>
  <r>
    <s v="SHP-501170"/>
    <d v="2024-06-25T00:00:00"/>
    <x v="0"/>
    <s v="Q2"/>
    <x v="5"/>
    <x v="4"/>
    <x v="1"/>
    <x v="3"/>
    <x v="2"/>
    <s v="Road"/>
    <x v="1"/>
    <n v="3.1"/>
    <n v="448"/>
    <n v="2"/>
    <n v="2"/>
    <n v="1"/>
    <n v="0"/>
    <n v="27.36"/>
    <n v="0"/>
    <n v="1"/>
  </r>
  <r>
    <s v="SHP-501171"/>
    <d v="2024-06-25T00:00:00"/>
    <x v="0"/>
    <s v="Q2"/>
    <x v="5"/>
    <x v="4"/>
    <x v="2"/>
    <x v="1"/>
    <x v="2"/>
    <s v="Road"/>
    <x v="1"/>
    <n v="3.6"/>
    <n v="243"/>
    <n v="1"/>
    <n v="1"/>
    <n v="1"/>
    <n v="0"/>
    <n v="22.47"/>
    <n v="0"/>
    <n v="1"/>
  </r>
  <r>
    <s v="SHP-501172"/>
    <d v="2024-06-25T00:00:00"/>
    <x v="0"/>
    <s v="Q2"/>
    <x v="5"/>
    <x v="1"/>
    <x v="1"/>
    <x v="2"/>
    <x v="2"/>
    <s v="Air"/>
    <x v="1"/>
    <n v="10.1"/>
    <n v="1232"/>
    <n v="3"/>
    <n v="3"/>
    <n v="1"/>
    <n v="0"/>
    <n v="87.57"/>
    <n v="0"/>
    <n v="1"/>
  </r>
  <r>
    <s v="SHP-501173"/>
    <d v="2024-06-25T00:00:00"/>
    <x v="0"/>
    <s v="Q2"/>
    <x v="5"/>
    <x v="3"/>
    <x v="2"/>
    <x v="1"/>
    <x v="2"/>
    <s v="Road"/>
    <x v="0"/>
    <n v="85"/>
    <n v="293"/>
    <n v="1"/>
    <n v="1"/>
    <n v="1"/>
    <n v="0"/>
    <n v="105.28"/>
    <n v="0"/>
    <n v="1"/>
  </r>
  <r>
    <s v="SHP-501174"/>
    <d v="2024-06-25T00:00:00"/>
    <x v="0"/>
    <s v="Q2"/>
    <x v="5"/>
    <x v="2"/>
    <x v="2"/>
    <x v="1"/>
    <x v="0"/>
    <s v="Road"/>
    <x v="1"/>
    <n v="11.3"/>
    <n v="146"/>
    <n v="3"/>
    <n v="3"/>
    <n v="1"/>
    <n v="0"/>
    <n v="13.1"/>
    <n v="0"/>
    <n v="1"/>
  </r>
  <r>
    <s v="SHP-501175"/>
    <d v="2024-06-25T00:00:00"/>
    <x v="0"/>
    <s v="Q2"/>
    <x v="5"/>
    <x v="4"/>
    <x v="0"/>
    <x v="0"/>
    <x v="0"/>
    <s v="Road"/>
    <x v="1"/>
    <n v="2"/>
    <n v="814"/>
    <n v="4"/>
    <n v="4"/>
    <n v="1"/>
    <n v="0"/>
    <n v="16.3"/>
    <n v="0"/>
    <n v="1"/>
  </r>
  <r>
    <s v="SHP-501176"/>
    <d v="2024-06-25T00:00:00"/>
    <x v="0"/>
    <s v="Q2"/>
    <x v="5"/>
    <x v="3"/>
    <x v="2"/>
    <x v="0"/>
    <x v="0"/>
    <s v="Road"/>
    <x v="1"/>
    <n v="2.8"/>
    <n v="1060"/>
    <n v="4"/>
    <n v="4"/>
    <n v="1"/>
    <n v="0"/>
    <n v="26.4"/>
    <n v="0"/>
    <n v="1"/>
  </r>
  <r>
    <s v="SHP-501177"/>
    <d v="2024-06-25T00:00:00"/>
    <x v="0"/>
    <s v="Q2"/>
    <x v="5"/>
    <x v="3"/>
    <x v="2"/>
    <x v="3"/>
    <x v="1"/>
    <s v="Road"/>
    <x v="0"/>
    <n v="184.6"/>
    <n v="603"/>
    <n v="6"/>
    <n v="6"/>
    <n v="1"/>
    <n v="0"/>
    <n v="69.28"/>
    <n v="0"/>
    <n v="1"/>
  </r>
  <r>
    <s v="SHP-501178"/>
    <d v="2024-06-25T00:00:00"/>
    <x v="0"/>
    <s v="Q2"/>
    <x v="5"/>
    <x v="1"/>
    <x v="2"/>
    <x v="1"/>
    <x v="0"/>
    <s v="Road"/>
    <x v="1"/>
    <n v="0.8"/>
    <n v="255"/>
    <n v="3"/>
    <n v="3"/>
    <n v="1"/>
    <n v="0"/>
    <n v="10.28"/>
    <n v="0"/>
    <n v="1"/>
  </r>
  <r>
    <s v="SHP-501179"/>
    <d v="2024-06-25T00:00:00"/>
    <x v="0"/>
    <s v="Q2"/>
    <x v="5"/>
    <x v="4"/>
    <x v="2"/>
    <x v="1"/>
    <x v="0"/>
    <s v="Road"/>
    <x v="1"/>
    <n v="5.0999999999999996"/>
    <n v="316"/>
    <n v="3"/>
    <n v="3"/>
    <n v="1"/>
    <n v="0"/>
    <n v="14.02"/>
    <n v="1"/>
    <n v="1"/>
  </r>
  <r>
    <s v="SHP-501180"/>
    <d v="2024-06-25T00:00:00"/>
    <x v="0"/>
    <s v="Q2"/>
    <x v="5"/>
    <x v="3"/>
    <x v="0"/>
    <x v="3"/>
    <x v="2"/>
    <s v="Road"/>
    <x v="1"/>
    <n v="12.9"/>
    <n v="523"/>
    <n v="2"/>
    <n v="1"/>
    <n v="1"/>
    <n v="0"/>
    <n v="42.47"/>
    <n v="0"/>
    <n v="1"/>
  </r>
  <r>
    <s v="SHP-501181"/>
    <d v="2024-06-25T00:00:00"/>
    <x v="0"/>
    <s v="Q2"/>
    <x v="5"/>
    <x v="4"/>
    <x v="0"/>
    <x v="0"/>
    <x v="1"/>
    <s v="Road"/>
    <x v="0"/>
    <n v="56.5"/>
    <n v="884"/>
    <n v="6"/>
    <n v="6"/>
    <n v="1"/>
    <n v="0"/>
    <n v="32.229999999999997"/>
    <n v="0"/>
    <n v="1"/>
  </r>
  <r>
    <s v="SHP-501182"/>
    <d v="2024-06-26T00:00:00"/>
    <x v="0"/>
    <s v="Q2"/>
    <x v="5"/>
    <x v="4"/>
    <x v="0"/>
    <x v="4"/>
    <x v="0"/>
    <s v="Road"/>
    <x v="1"/>
    <n v="27.3"/>
    <n v="1018"/>
    <n v="5"/>
    <n v="4"/>
    <n v="1"/>
    <n v="0"/>
    <n v="29.87"/>
    <n v="0"/>
    <n v="1"/>
  </r>
  <r>
    <s v="SHP-501183"/>
    <d v="2024-06-26T00:00:00"/>
    <x v="0"/>
    <s v="Q2"/>
    <x v="5"/>
    <x v="3"/>
    <x v="2"/>
    <x v="4"/>
    <x v="0"/>
    <s v="Road"/>
    <x v="0"/>
    <n v="430.9"/>
    <n v="926"/>
    <n v="5"/>
    <n v="5"/>
    <n v="1"/>
    <n v="0"/>
    <n v="192.05"/>
    <n v="0"/>
    <n v="1"/>
  </r>
  <r>
    <s v="SHP-501184"/>
    <d v="2024-06-26T00:00:00"/>
    <x v="0"/>
    <s v="Q2"/>
    <x v="5"/>
    <x v="3"/>
    <x v="0"/>
    <x v="2"/>
    <x v="1"/>
    <s v="Road"/>
    <x v="1"/>
    <n v="5.9"/>
    <n v="1210"/>
    <n v="7"/>
    <n v="7"/>
    <n v="1"/>
    <n v="0"/>
    <n v="20.57"/>
    <n v="0"/>
    <n v="1"/>
  </r>
  <r>
    <s v="SHP-501185"/>
    <d v="2024-06-26T00:00:00"/>
    <x v="0"/>
    <s v="Q2"/>
    <x v="5"/>
    <x v="2"/>
    <x v="2"/>
    <x v="1"/>
    <x v="0"/>
    <s v="Road"/>
    <x v="0"/>
    <n v="219.4"/>
    <n v="271"/>
    <n v="3"/>
    <n v="3"/>
    <n v="1"/>
    <n v="0"/>
    <n v="92"/>
    <n v="0"/>
    <n v="1"/>
  </r>
  <r>
    <s v="SHP-501186"/>
    <d v="2024-06-26T00:00:00"/>
    <x v="0"/>
    <s v="Q2"/>
    <x v="5"/>
    <x v="2"/>
    <x v="1"/>
    <x v="0"/>
    <x v="1"/>
    <s v="Road"/>
    <x v="0"/>
    <n v="244.8"/>
    <n v="1036"/>
    <n v="6"/>
    <n v="5"/>
    <n v="1"/>
    <n v="0"/>
    <n v="73.67"/>
    <n v="0"/>
    <n v="1"/>
  </r>
  <r>
    <s v="SHP-501187"/>
    <d v="2024-06-26T00:00:00"/>
    <x v="0"/>
    <s v="Q2"/>
    <x v="5"/>
    <x v="2"/>
    <x v="0"/>
    <x v="0"/>
    <x v="2"/>
    <s v="Air"/>
    <x v="0"/>
    <n v="186.8"/>
    <n v="958"/>
    <n v="2"/>
    <n v="3"/>
    <n v="0"/>
    <n v="1"/>
    <n v="250.82"/>
    <n v="0"/>
    <n v="1"/>
  </r>
  <r>
    <s v="SHP-501188"/>
    <d v="2024-06-26T00:00:00"/>
    <x v="0"/>
    <s v="Q2"/>
    <x v="5"/>
    <x v="2"/>
    <x v="1"/>
    <x v="3"/>
    <x v="0"/>
    <s v="Road"/>
    <x v="0"/>
    <n v="110"/>
    <n v="563"/>
    <n v="4"/>
    <n v="4"/>
    <n v="1"/>
    <n v="0"/>
    <n v="50.84"/>
    <n v="0"/>
    <n v="1"/>
  </r>
  <r>
    <s v="SHP-501189"/>
    <d v="2024-06-26T00:00:00"/>
    <x v="0"/>
    <s v="Q2"/>
    <x v="5"/>
    <x v="3"/>
    <x v="0"/>
    <x v="0"/>
    <x v="0"/>
    <s v="Road"/>
    <x v="0"/>
    <n v="101"/>
    <n v="917"/>
    <n v="4"/>
    <n v="4"/>
    <n v="1"/>
    <n v="0"/>
    <n v="64.03"/>
    <n v="0"/>
    <n v="1"/>
  </r>
  <r>
    <s v="SHP-501190"/>
    <d v="2024-06-27T00:00:00"/>
    <x v="0"/>
    <s v="Q2"/>
    <x v="5"/>
    <x v="3"/>
    <x v="1"/>
    <x v="1"/>
    <x v="2"/>
    <s v="Road"/>
    <x v="1"/>
    <n v="4.0999999999999996"/>
    <n v="237"/>
    <n v="1"/>
    <n v="1"/>
    <n v="1"/>
    <n v="0"/>
    <n v="24.97"/>
    <n v="0"/>
    <n v="1"/>
  </r>
  <r>
    <s v="SHP-501191"/>
    <d v="2024-06-27T00:00:00"/>
    <x v="0"/>
    <s v="Q2"/>
    <x v="5"/>
    <x v="3"/>
    <x v="1"/>
    <x v="4"/>
    <x v="1"/>
    <s v="Road"/>
    <x v="0"/>
    <n v="54.2"/>
    <n v="734"/>
    <n v="7"/>
    <n v="6"/>
    <n v="1"/>
    <n v="0"/>
    <n v="34.4"/>
    <n v="0"/>
    <n v="1"/>
  </r>
  <r>
    <s v="SHP-501192"/>
    <d v="2024-06-27T00:00:00"/>
    <x v="0"/>
    <s v="Q2"/>
    <x v="5"/>
    <x v="4"/>
    <x v="1"/>
    <x v="3"/>
    <x v="2"/>
    <s v="Road"/>
    <x v="0"/>
    <n v="102.5"/>
    <n v="357"/>
    <n v="2"/>
    <n v="2"/>
    <n v="1"/>
    <n v="0"/>
    <n v="103.06"/>
    <n v="0"/>
    <n v="1"/>
  </r>
  <r>
    <s v="SHP-501193"/>
    <d v="2024-06-27T00:00:00"/>
    <x v="0"/>
    <s v="Q2"/>
    <x v="5"/>
    <x v="4"/>
    <x v="2"/>
    <x v="1"/>
    <x v="0"/>
    <s v="Road"/>
    <x v="1"/>
    <n v="15.2"/>
    <n v="204"/>
    <n v="3"/>
    <n v="3"/>
    <n v="1"/>
    <n v="0"/>
    <n v="19.149999999999999"/>
    <n v="0"/>
    <n v="1"/>
  </r>
  <r>
    <s v="SHP-501194"/>
    <d v="2024-06-27T00:00:00"/>
    <x v="0"/>
    <s v="Q2"/>
    <x v="5"/>
    <x v="4"/>
    <x v="2"/>
    <x v="4"/>
    <x v="0"/>
    <s v="Road"/>
    <x v="1"/>
    <n v="4.5"/>
    <n v="1166"/>
    <n v="5"/>
    <n v="7"/>
    <n v="0"/>
    <n v="2"/>
    <n v="23.95"/>
    <n v="0"/>
    <n v="1"/>
  </r>
  <r>
    <s v="SHP-501195"/>
    <d v="2024-06-27T00:00:00"/>
    <x v="0"/>
    <s v="Q2"/>
    <x v="5"/>
    <x v="2"/>
    <x v="1"/>
    <x v="1"/>
    <x v="0"/>
    <s v="Road"/>
    <x v="0"/>
    <n v="42.2"/>
    <n v="267"/>
    <n v="3"/>
    <n v="3"/>
    <n v="1"/>
    <n v="0"/>
    <n v="24.93"/>
    <n v="0"/>
    <n v="1"/>
  </r>
  <r>
    <s v="SHP-501196"/>
    <d v="2024-06-27T00:00:00"/>
    <x v="0"/>
    <s v="Q2"/>
    <x v="5"/>
    <x v="2"/>
    <x v="2"/>
    <x v="3"/>
    <x v="2"/>
    <s v="Road"/>
    <x v="1"/>
    <n v="5.9"/>
    <n v="379"/>
    <n v="2"/>
    <n v="2"/>
    <n v="1"/>
    <n v="0"/>
    <n v="25.26"/>
    <n v="0"/>
    <n v="1"/>
  </r>
  <r>
    <s v="SHP-501197"/>
    <d v="2024-06-27T00:00:00"/>
    <x v="0"/>
    <s v="Q2"/>
    <x v="5"/>
    <x v="2"/>
    <x v="0"/>
    <x v="0"/>
    <x v="0"/>
    <s v="Road"/>
    <x v="1"/>
    <n v="11.7"/>
    <n v="798"/>
    <n v="4"/>
    <n v="4"/>
    <n v="1"/>
    <n v="0"/>
    <n v="19.559999999999999"/>
    <n v="0"/>
    <n v="1"/>
  </r>
  <r>
    <s v="SHP-501198"/>
    <d v="2024-06-27T00:00:00"/>
    <x v="0"/>
    <s v="Q2"/>
    <x v="5"/>
    <x v="4"/>
    <x v="2"/>
    <x v="3"/>
    <x v="0"/>
    <s v="Road"/>
    <x v="1"/>
    <n v="4.3"/>
    <n v="528"/>
    <n v="4"/>
    <n v="7"/>
    <n v="0"/>
    <n v="3"/>
    <n v="16.07"/>
    <n v="0"/>
    <n v="1"/>
  </r>
  <r>
    <s v="SHP-501199"/>
    <d v="2024-06-27T00:00:00"/>
    <x v="0"/>
    <s v="Q2"/>
    <x v="5"/>
    <x v="3"/>
    <x v="2"/>
    <x v="0"/>
    <x v="1"/>
    <s v="Road"/>
    <x v="1"/>
    <n v="11.9"/>
    <n v="690"/>
    <n v="6"/>
    <n v="6"/>
    <n v="1"/>
    <n v="0"/>
    <n v="17.46"/>
    <n v="0"/>
    <n v="1"/>
  </r>
  <r>
    <s v="SHP-501200"/>
    <d v="2024-06-28T00:00:00"/>
    <x v="0"/>
    <s v="Q2"/>
    <x v="5"/>
    <x v="4"/>
    <x v="2"/>
    <x v="4"/>
    <x v="1"/>
    <s v="Road"/>
    <x v="1"/>
    <n v="9.6"/>
    <n v="869"/>
    <n v="7"/>
    <n v="7"/>
    <n v="1"/>
    <n v="0"/>
    <n v="16.79"/>
    <n v="0"/>
    <n v="1"/>
  </r>
  <r>
    <s v="SHP-501201"/>
    <d v="2024-06-28T00:00:00"/>
    <x v="0"/>
    <s v="Q2"/>
    <x v="5"/>
    <x v="3"/>
    <x v="1"/>
    <x v="3"/>
    <x v="0"/>
    <s v="Road"/>
    <x v="0"/>
    <n v="97.4"/>
    <n v="553"/>
    <n v="4"/>
    <n v="5"/>
    <n v="0"/>
    <n v="1"/>
    <n v="68.069999999999993"/>
    <n v="0"/>
    <n v="1"/>
  </r>
  <r>
    <s v="SHP-501202"/>
    <d v="2024-06-28T00:00:00"/>
    <x v="0"/>
    <s v="Q2"/>
    <x v="5"/>
    <x v="0"/>
    <x v="0"/>
    <x v="1"/>
    <x v="2"/>
    <s v="Road"/>
    <x v="0"/>
    <n v="178.4"/>
    <n v="253"/>
    <n v="1"/>
    <n v="1"/>
    <n v="1"/>
    <n v="0"/>
    <n v="132.63999999999999"/>
    <n v="0"/>
    <n v="1"/>
  </r>
  <r>
    <s v="SHP-501203"/>
    <d v="2024-06-28T00:00:00"/>
    <x v="0"/>
    <s v="Q2"/>
    <x v="5"/>
    <x v="2"/>
    <x v="2"/>
    <x v="1"/>
    <x v="0"/>
    <s v="Road"/>
    <x v="1"/>
    <n v="10.199999999999999"/>
    <n v="219"/>
    <n v="3"/>
    <n v="3"/>
    <n v="1"/>
    <n v="0"/>
    <n v="12.95"/>
    <n v="0"/>
    <n v="1"/>
  </r>
  <r>
    <s v="SHP-501204"/>
    <d v="2024-06-28T00:00:00"/>
    <x v="0"/>
    <s v="Q2"/>
    <x v="5"/>
    <x v="0"/>
    <x v="1"/>
    <x v="0"/>
    <x v="1"/>
    <s v="Road"/>
    <x v="0"/>
    <n v="90.9"/>
    <n v="812"/>
    <n v="6"/>
    <n v="5"/>
    <n v="1"/>
    <n v="0"/>
    <n v="43.98"/>
    <n v="0"/>
    <n v="1"/>
  </r>
  <r>
    <s v="SHP-501205"/>
    <d v="2024-06-28T00:00:00"/>
    <x v="0"/>
    <s v="Q2"/>
    <x v="5"/>
    <x v="0"/>
    <x v="1"/>
    <x v="3"/>
    <x v="0"/>
    <s v="Road"/>
    <x v="1"/>
    <n v="6.4"/>
    <n v="410"/>
    <n v="4"/>
    <n v="3"/>
    <n v="1"/>
    <n v="0"/>
    <n v="13.61"/>
    <n v="0"/>
    <n v="1"/>
  </r>
  <r>
    <s v="SHP-501206"/>
    <d v="2024-06-28T00:00:00"/>
    <x v="0"/>
    <s v="Q2"/>
    <x v="5"/>
    <x v="3"/>
    <x v="1"/>
    <x v="1"/>
    <x v="0"/>
    <s v="Road"/>
    <x v="1"/>
    <n v="1.1000000000000001"/>
    <n v="245"/>
    <n v="3"/>
    <n v="3"/>
    <n v="1"/>
    <n v="0"/>
    <n v="11.75"/>
    <n v="0"/>
    <n v="1"/>
  </r>
  <r>
    <s v="SHP-501207"/>
    <d v="2024-06-29T00:00:00"/>
    <x v="0"/>
    <s v="Q2"/>
    <x v="5"/>
    <x v="4"/>
    <x v="1"/>
    <x v="3"/>
    <x v="1"/>
    <s v="Road"/>
    <x v="1"/>
    <n v="18.399999999999999"/>
    <n v="568"/>
    <n v="6"/>
    <n v="6"/>
    <n v="1"/>
    <n v="0"/>
    <n v="17.079999999999998"/>
    <n v="0"/>
    <n v="1"/>
  </r>
  <r>
    <s v="SHP-501208"/>
    <d v="2024-06-29T00:00:00"/>
    <x v="0"/>
    <s v="Q2"/>
    <x v="5"/>
    <x v="2"/>
    <x v="2"/>
    <x v="2"/>
    <x v="0"/>
    <s v="Road"/>
    <x v="0"/>
    <n v="50.5"/>
    <n v="967"/>
    <n v="5"/>
    <n v="4"/>
    <n v="1"/>
    <n v="0"/>
    <n v="38.409999999999997"/>
    <n v="0"/>
    <n v="1"/>
  </r>
  <r>
    <s v="SHP-501209"/>
    <d v="2024-06-29T00:00:00"/>
    <x v="0"/>
    <s v="Q2"/>
    <x v="5"/>
    <x v="4"/>
    <x v="1"/>
    <x v="1"/>
    <x v="0"/>
    <s v="Road"/>
    <x v="0"/>
    <n v="102.4"/>
    <n v="219"/>
    <n v="3"/>
    <n v="2"/>
    <n v="1"/>
    <n v="0"/>
    <n v="57.22"/>
    <n v="0"/>
    <n v="1"/>
  </r>
  <r>
    <s v="SHP-501210"/>
    <d v="2024-06-30T00:00:00"/>
    <x v="0"/>
    <s v="Q2"/>
    <x v="5"/>
    <x v="0"/>
    <x v="1"/>
    <x v="4"/>
    <x v="2"/>
    <s v="Air"/>
    <x v="1"/>
    <n v="15.7"/>
    <n v="964"/>
    <n v="3"/>
    <n v="6"/>
    <n v="0"/>
    <n v="3"/>
    <n v="72.92"/>
    <n v="0"/>
    <n v="1"/>
  </r>
  <r>
    <s v="SHP-501211"/>
    <d v="2024-06-30T00:00:00"/>
    <x v="0"/>
    <s v="Q2"/>
    <x v="5"/>
    <x v="4"/>
    <x v="0"/>
    <x v="3"/>
    <x v="0"/>
    <s v="Road"/>
    <x v="0"/>
    <n v="5.5"/>
    <n v="570"/>
    <n v="4"/>
    <n v="4"/>
    <n v="1"/>
    <n v="0"/>
    <n v="16.59"/>
    <n v="0"/>
    <n v="1"/>
  </r>
  <r>
    <s v="SHP-501212"/>
    <d v="2024-06-30T00:00:00"/>
    <x v="0"/>
    <s v="Q2"/>
    <x v="5"/>
    <x v="2"/>
    <x v="2"/>
    <x v="0"/>
    <x v="2"/>
    <s v="Air"/>
    <x v="1"/>
    <n v="5.4"/>
    <n v="959"/>
    <n v="2"/>
    <n v="2"/>
    <n v="1"/>
    <n v="0"/>
    <n v="50.38"/>
    <n v="0"/>
    <n v="1"/>
  </r>
  <r>
    <s v="SHP-501213"/>
    <d v="2024-07-01T00:00:00"/>
    <x v="0"/>
    <s v="Q3"/>
    <x v="6"/>
    <x v="2"/>
    <x v="2"/>
    <x v="4"/>
    <x v="0"/>
    <s v="Road"/>
    <x v="1"/>
    <n v="3.7"/>
    <n v="938"/>
    <n v="5"/>
    <n v="7"/>
    <n v="0"/>
    <n v="2"/>
    <n v="17.55"/>
    <n v="0"/>
    <n v="1"/>
  </r>
  <r>
    <s v="SHP-501214"/>
    <d v="2024-07-01T00:00:00"/>
    <x v="0"/>
    <s v="Q3"/>
    <x v="6"/>
    <x v="2"/>
    <x v="2"/>
    <x v="0"/>
    <x v="2"/>
    <s v="Air"/>
    <x v="1"/>
    <n v="6.8"/>
    <n v="919"/>
    <n v="2"/>
    <n v="2"/>
    <n v="1"/>
    <n v="0"/>
    <n v="60.72"/>
    <n v="1"/>
    <n v="1"/>
  </r>
  <r>
    <s v="SHP-501215"/>
    <d v="2024-07-01T00:00:00"/>
    <x v="0"/>
    <s v="Q3"/>
    <x v="6"/>
    <x v="2"/>
    <x v="2"/>
    <x v="2"/>
    <x v="0"/>
    <s v="Road"/>
    <x v="1"/>
    <n v="5.5"/>
    <n v="1253"/>
    <n v="5"/>
    <n v="5"/>
    <n v="1"/>
    <n v="0"/>
    <n v="19.39"/>
    <n v="0"/>
    <n v="1"/>
  </r>
  <r>
    <s v="SHP-501216"/>
    <d v="2024-07-01T00:00:00"/>
    <x v="0"/>
    <s v="Q3"/>
    <x v="6"/>
    <x v="4"/>
    <x v="0"/>
    <x v="0"/>
    <x v="0"/>
    <s v="Road"/>
    <x v="0"/>
    <n v="39.299999999999997"/>
    <n v="722"/>
    <n v="4"/>
    <n v="3"/>
    <n v="1"/>
    <n v="0"/>
    <n v="34.71"/>
    <n v="0"/>
    <n v="1"/>
  </r>
  <r>
    <s v="SHP-501217"/>
    <d v="2024-07-02T00:00:00"/>
    <x v="0"/>
    <s v="Q3"/>
    <x v="6"/>
    <x v="3"/>
    <x v="2"/>
    <x v="3"/>
    <x v="0"/>
    <s v="Road"/>
    <x v="0"/>
    <n v="150.80000000000001"/>
    <n v="555"/>
    <n v="4"/>
    <n v="4"/>
    <n v="1"/>
    <n v="0"/>
    <n v="83.55"/>
    <n v="0"/>
    <n v="1"/>
  </r>
  <r>
    <s v="SHP-501218"/>
    <d v="2024-07-02T00:00:00"/>
    <x v="0"/>
    <s v="Q3"/>
    <x v="6"/>
    <x v="0"/>
    <x v="2"/>
    <x v="1"/>
    <x v="0"/>
    <s v="Road"/>
    <x v="1"/>
    <n v="5.4"/>
    <n v="284"/>
    <n v="3"/>
    <n v="2"/>
    <n v="1"/>
    <n v="0"/>
    <n v="12.95"/>
    <n v="0"/>
    <n v="1"/>
  </r>
  <r>
    <s v="SHP-501219"/>
    <d v="2024-07-02T00:00:00"/>
    <x v="0"/>
    <s v="Q3"/>
    <x v="6"/>
    <x v="0"/>
    <x v="2"/>
    <x v="1"/>
    <x v="1"/>
    <s v="Road"/>
    <x v="1"/>
    <n v="10.7"/>
    <n v="300"/>
    <n v="5"/>
    <n v="5"/>
    <n v="1"/>
    <n v="0"/>
    <n v="10.73"/>
    <n v="0"/>
    <n v="1"/>
  </r>
  <r>
    <s v="SHP-501220"/>
    <d v="2024-07-02T00:00:00"/>
    <x v="0"/>
    <s v="Q3"/>
    <x v="6"/>
    <x v="1"/>
    <x v="2"/>
    <x v="1"/>
    <x v="0"/>
    <s v="Road"/>
    <x v="1"/>
    <n v="5.8"/>
    <n v="200"/>
    <n v="3"/>
    <n v="3"/>
    <n v="1"/>
    <n v="0"/>
    <n v="12.14"/>
    <n v="0"/>
    <n v="1"/>
  </r>
  <r>
    <s v="SHP-501221"/>
    <d v="2024-07-02T00:00:00"/>
    <x v="0"/>
    <s v="Q3"/>
    <x v="6"/>
    <x v="2"/>
    <x v="1"/>
    <x v="1"/>
    <x v="0"/>
    <s v="Road"/>
    <x v="1"/>
    <n v="10.6"/>
    <n v="210"/>
    <n v="3"/>
    <n v="3"/>
    <n v="1"/>
    <n v="0"/>
    <n v="12.44"/>
    <n v="0"/>
    <n v="1"/>
  </r>
  <r>
    <s v="SHP-501222"/>
    <d v="2024-07-02T00:00:00"/>
    <x v="0"/>
    <s v="Q3"/>
    <x v="6"/>
    <x v="3"/>
    <x v="0"/>
    <x v="1"/>
    <x v="2"/>
    <s v="Road"/>
    <x v="1"/>
    <n v="12.9"/>
    <n v="264"/>
    <n v="1"/>
    <n v="1"/>
    <n v="1"/>
    <n v="0"/>
    <n v="34.880000000000003"/>
    <n v="0"/>
    <n v="1"/>
  </r>
  <r>
    <s v="SHP-501223"/>
    <d v="2024-07-03T00:00:00"/>
    <x v="0"/>
    <s v="Q3"/>
    <x v="6"/>
    <x v="0"/>
    <x v="2"/>
    <x v="0"/>
    <x v="0"/>
    <s v="Road"/>
    <x v="0"/>
    <n v="63.6"/>
    <n v="861"/>
    <n v="4"/>
    <n v="3"/>
    <n v="1"/>
    <n v="0"/>
    <n v="46.12"/>
    <n v="0"/>
    <n v="1"/>
  </r>
  <r>
    <s v="SHP-501224"/>
    <d v="2024-07-03T00:00:00"/>
    <x v="0"/>
    <s v="Q3"/>
    <x v="6"/>
    <x v="0"/>
    <x v="2"/>
    <x v="4"/>
    <x v="1"/>
    <s v="Road"/>
    <x v="1"/>
    <n v="5"/>
    <n v="1091"/>
    <n v="7"/>
    <n v="7"/>
    <n v="1"/>
    <n v="0"/>
    <n v="16.25"/>
    <n v="0"/>
    <n v="1"/>
  </r>
  <r>
    <s v="SHP-501225"/>
    <d v="2024-07-03T00:00:00"/>
    <x v="0"/>
    <s v="Q3"/>
    <x v="6"/>
    <x v="3"/>
    <x v="1"/>
    <x v="2"/>
    <x v="0"/>
    <s v="Road"/>
    <x v="1"/>
    <n v="9.6999999999999993"/>
    <n v="1100"/>
    <n v="5"/>
    <n v="7"/>
    <n v="0"/>
    <n v="2"/>
    <n v="28.26"/>
    <n v="0"/>
    <n v="1"/>
  </r>
  <r>
    <s v="SHP-501226"/>
    <d v="2024-07-03T00:00:00"/>
    <x v="0"/>
    <s v="Q3"/>
    <x v="6"/>
    <x v="1"/>
    <x v="0"/>
    <x v="4"/>
    <x v="0"/>
    <s v="Road"/>
    <x v="0"/>
    <n v="210.2"/>
    <n v="1161"/>
    <n v="5"/>
    <n v="5"/>
    <n v="1"/>
    <n v="0"/>
    <n v="107.89"/>
    <n v="0"/>
    <n v="1"/>
  </r>
  <r>
    <s v="SHP-501227"/>
    <d v="2024-07-03T00:00:00"/>
    <x v="0"/>
    <s v="Q3"/>
    <x v="6"/>
    <x v="4"/>
    <x v="1"/>
    <x v="3"/>
    <x v="1"/>
    <s v="Road"/>
    <x v="0"/>
    <n v="38.799999999999997"/>
    <n v="454"/>
    <n v="6"/>
    <n v="6"/>
    <n v="1"/>
    <n v="0"/>
    <n v="21.02"/>
    <n v="0"/>
    <n v="1"/>
  </r>
  <r>
    <s v="SHP-501228"/>
    <d v="2024-07-03T00:00:00"/>
    <x v="0"/>
    <s v="Q3"/>
    <x v="6"/>
    <x v="3"/>
    <x v="1"/>
    <x v="1"/>
    <x v="0"/>
    <s v="Road"/>
    <x v="0"/>
    <n v="18.399999999999999"/>
    <n v="206"/>
    <n v="3"/>
    <n v="3"/>
    <n v="1"/>
    <n v="0"/>
    <n v="20.81"/>
    <n v="0"/>
    <n v="1"/>
  </r>
  <r>
    <s v="SHP-501229"/>
    <d v="2024-07-04T00:00:00"/>
    <x v="0"/>
    <s v="Q3"/>
    <x v="6"/>
    <x v="2"/>
    <x v="1"/>
    <x v="1"/>
    <x v="0"/>
    <s v="Road"/>
    <x v="0"/>
    <n v="102.6"/>
    <n v="274"/>
    <n v="3"/>
    <n v="3"/>
    <n v="1"/>
    <n v="0"/>
    <n v="38.03"/>
    <n v="0"/>
    <n v="1"/>
  </r>
  <r>
    <s v="SHP-501230"/>
    <d v="2024-07-04T00:00:00"/>
    <x v="0"/>
    <s v="Q3"/>
    <x v="6"/>
    <x v="2"/>
    <x v="0"/>
    <x v="4"/>
    <x v="1"/>
    <s v="Road"/>
    <x v="1"/>
    <n v="15"/>
    <n v="1033"/>
    <n v="7"/>
    <n v="7"/>
    <n v="1"/>
    <n v="0"/>
    <n v="16.57"/>
    <n v="0"/>
    <n v="1"/>
  </r>
  <r>
    <s v="SHP-501231"/>
    <d v="2024-07-04T00:00:00"/>
    <x v="0"/>
    <s v="Q3"/>
    <x v="6"/>
    <x v="3"/>
    <x v="2"/>
    <x v="4"/>
    <x v="0"/>
    <s v="Road"/>
    <x v="0"/>
    <n v="123.3"/>
    <n v="1188"/>
    <n v="5"/>
    <n v="5"/>
    <n v="1"/>
    <n v="0"/>
    <n v="84.63"/>
    <n v="0"/>
    <n v="1"/>
  </r>
  <r>
    <s v="SHP-501232"/>
    <d v="2024-07-04T00:00:00"/>
    <x v="0"/>
    <s v="Q3"/>
    <x v="6"/>
    <x v="2"/>
    <x v="2"/>
    <x v="1"/>
    <x v="0"/>
    <s v="Road"/>
    <x v="0"/>
    <n v="149.19999999999999"/>
    <n v="142"/>
    <n v="3"/>
    <n v="3"/>
    <n v="1"/>
    <n v="0"/>
    <n v="61.02"/>
    <n v="0"/>
    <n v="1"/>
  </r>
  <r>
    <s v="SHP-501233"/>
    <d v="2024-07-04T00:00:00"/>
    <x v="0"/>
    <s v="Q3"/>
    <x v="6"/>
    <x v="4"/>
    <x v="0"/>
    <x v="4"/>
    <x v="2"/>
    <s v="Air"/>
    <x v="0"/>
    <n v="15.9"/>
    <n v="1162"/>
    <n v="3"/>
    <n v="3"/>
    <n v="1"/>
    <n v="0"/>
    <n v="93.86"/>
    <n v="0"/>
    <n v="1"/>
  </r>
  <r>
    <s v="SHP-501234"/>
    <d v="2024-07-05T00:00:00"/>
    <x v="0"/>
    <s v="Q3"/>
    <x v="6"/>
    <x v="2"/>
    <x v="1"/>
    <x v="4"/>
    <x v="2"/>
    <s v="Air"/>
    <x v="0"/>
    <n v="92.3"/>
    <n v="1239"/>
    <n v="3"/>
    <n v="4"/>
    <n v="0"/>
    <n v="1"/>
    <n v="181.82"/>
    <n v="0"/>
    <n v="1"/>
  </r>
  <r>
    <s v="SHP-501235"/>
    <d v="2024-07-05T00:00:00"/>
    <x v="0"/>
    <s v="Q3"/>
    <x v="6"/>
    <x v="0"/>
    <x v="1"/>
    <x v="0"/>
    <x v="1"/>
    <s v="Road"/>
    <x v="0"/>
    <n v="61.1"/>
    <n v="916"/>
    <n v="6"/>
    <n v="6"/>
    <n v="1"/>
    <n v="0"/>
    <n v="34.619999999999997"/>
    <n v="0"/>
    <n v="1"/>
  </r>
  <r>
    <s v="SHP-501236"/>
    <d v="2024-07-05T00:00:00"/>
    <x v="0"/>
    <s v="Q3"/>
    <x v="6"/>
    <x v="4"/>
    <x v="2"/>
    <x v="2"/>
    <x v="0"/>
    <s v="Road"/>
    <x v="1"/>
    <n v="3.5"/>
    <n v="1581"/>
    <n v="5"/>
    <n v="5"/>
    <n v="1"/>
    <n v="0"/>
    <n v="27.52"/>
    <n v="0"/>
    <n v="1"/>
  </r>
  <r>
    <s v="SHP-501237"/>
    <d v="2024-07-05T00:00:00"/>
    <x v="0"/>
    <s v="Q3"/>
    <x v="6"/>
    <x v="2"/>
    <x v="2"/>
    <x v="1"/>
    <x v="1"/>
    <s v="Road"/>
    <x v="1"/>
    <n v="2.4"/>
    <n v="244"/>
    <n v="5"/>
    <n v="5"/>
    <n v="1"/>
    <n v="0"/>
    <n v="6.63"/>
    <n v="0"/>
    <n v="1"/>
  </r>
  <r>
    <s v="SHP-501238"/>
    <d v="2024-07-05T00:00:00"/>
    <x v="0"/>
    <s v="Q3"/>
    <x v="6"/>
    <x v="3"/>
    <x v="2"/>
    <x v="0"/>
    <x v="1"/>
    <s v="Road"/>
    <x v="0"/>
    <n v="133.19999999999999"/>
    <n v="1123"/>
    <n v="6"/>
    <n v="5"/>
    <n v="1"/>
    <n v="0"/>
    <n v="60.59"/>
    <n v="0"/>
    <n v="1"/>
  </r>
  <r>
    <s v="SHP-501239"/>
    <d v="2024-07-05T00:00:00"/>
    <x v="0"/>
    <s v="Q3"/>
    <x v="6"/>
    <x v="3"/>
    <x v="1"/>
    <x v="3"/>
    <x v="0"/>
    <s v="Road"/>
    <x v="1"/>
    <n v="0.8"/>
    <n v="725"/>
    <n v="4"/>
    <n v="3"/>
    <n v="1"/>
    <n v="0"/>
    <n v="16.79"/>
    <n v="0"/>
    <n v="1"/>
  </r>
  <r>
    <s v="SHP-501240"/>
    <d v="2024-07-05T00:00:00"/>
    <x v="0"/>
    <s v="Q3"/>
    <x v="6"/>
    <x v="0"/>
    <x v="0"/>
    <x v="2"/>
    <x v="1"/>
    <s v="Road"/>
    <x v="1"/>
    <n v="7.2"/>
    <n v="864"/>
    <n v="7"/>
    <n v="7"/>
    <n v="1"/>
    <n v="0"/>
    <n v="14.46"/>
    <n v="0"/>
    <n v="1"/>
  </r>
  <r>
    <s v="SHP-501241"/>
    <d v="2024-07-05T00:00:00"/>
    <x v="0"/>
    <s v="Q3"/>
    <x v="6"/>
    <x v="2"/>
    <x v="2"/>
    <x v="0"/>
    <x v="1"/>
    <s v="Road"/>
    <x v="1"/>
    <n v="8"/>
    <n v="973"/>
    <n v="6"/>
    <n v="7"/>
    <n v="0"/>
    <n v="1"/>
    <n v="15.48"/>
    <n v="0"/>
    <n v="1"/>
  </r>
  <r>
    <s v="SHP-501242"/>
    <d v="2024-07-06T00:00:00"/>
    <x v="0"/>
    <s v="Q3"/>
    <x v="6"/>
    <x v="4"/>
    <x v="1"/>
    <x v="3"/>
    <x v="2"/>
    <s v="Road"/>
    <x v="0"/>
    <n v="110.9"/>
    <n v="486"/>
    <n v="2"/>
    <n v="2"/>
    <n v="1"/>
    <n v="0"/>
    <n v="122.29"/>
    <n v="0"/>
    <n v="1"/>
  </r>
  <r>
    <s v="SHP-501243"/>
    <d v="2024-07-07T00:00:00"/>
    <x v="0"/>
    <s v="Q3"/>
    <x v="6"/>
    <x v="3"/>
    <x v="0"/>
    <x v="3"/>
    <x v="1"/>
    <s v="Road"/>
    <x v="1"/>
    <n v="4.5999999999999996"/>
    <n v="523"/>
    <n v="6"/>
    <n v="6"/>
    <n v="1"/>
    <n v="0"/>
    <n v="12.52"/>
    <n v="0"/>
    <n v="1"/>
  </r>
  <r>
    <s v="SHP-501244"/>
    <d v="2024-07-08T00:00:00"/>
    <x v="0"/>
    <s v="Q3"/>
    <x v="6"/>
    <x v="3"/>
    <x v="2"/>
    <x v="2"/>
    <x v="0"/>
    <s v="Road"/>
    <x v="0"/>
    <n v="167"/>
    <n v="1218"/>
    <n v="5"/>
    <n v="5"/>
    <n v="1"/>
    <n v="0"/>
    <n v="95.68"/>
    <n v="0"/>
    <n v="1"/>
  </r>
  <r>
    <s v="SHP-501245"/>
    <d v="2024-07-08T00:00:00"/>
    <x v="0"/>
    <s v="Q3"/>
    <x v="6"/>
    <x v="2"/>
    <x v="2"/>
    <x v="0"/>
    <x v="0"/>
    <s v="Road"/>
    <x v="1"/>
    <n v="11.6"/>
    <n v="1054"/>
    <n v="4"/>
    <n v="4"/>
    <n v="1"/>
    <n v="0"/>
    <n v="24.43"/>
    <n v="0"/>
    <n v="1"/>
  </r>
  <r>
    <s v="SHP-501246"/>
    <d v="2024-07-08T00:00:00"/>
    <x v="0"/>
    <s v="Q3"/>
    <x v="6"/>
    <x v="3"/>
    <x v="1"/>
    <x v="0"/>
    <x v="2"/>
    <s v="Air"/>
    <x v="1"/>
    <n v="1.6"/>
    <n v="1153"/>
    <n v="2"/>
    <n v="2"/>
    <n v="1"/>
    <n v="0"/>
    <n v="71.2"/>
    <n v="0"/>
    <n v="1"/>
  </r>
  <r>
    <s v="SHP-501247"/>
    <d v="2024-07-08T00:00:00"/>
    <x v="0"/>
    <s v="Q3"/>
    <x v="6"/>
    <x v="4"/>
    <x v="0"/>
    <x v="2"/>
    <x v="0"/>
    <s v="Road"/>
    <x v="1"/>
    <n v="1.1000000000000001"/>
    <n v="1028"/>
    <n v="5"/>
    <n v="5"/>
    <n v="1"/>
    <n v="0"/>
    <n v="18.96"/>
    <n v="0"/>
    <n v="1"/>
  </r>
  <r>
    <s v="SHP-501248"/>
    <d v="2024-07-08T00:00:00"/>
    <x v="0"/>
    <s v="Q3"/>
    <x v="6"/>
    <x v="1"/>
    <x v="2"/>
    <x v="0"/>
    <x v="2"/>
    <s v="Air"/>
    <x v="1"/>
    <n v="7.2"/>
    <n v="1134"/>
    <n v="2"/>
    <n v="2"/>
    <n v="1"/>
    <n v="0"/>
    <n v="77.89"/>
    <n v="0"/>
    <n v="1"/>
  </r>
  <r>
    <s v="SHP-501249"/>
    <d v="2024-07-08T00:00:00"/>
    <x v="0"/>
    <s v="Q3"/>
    <x v="6"/>
    <x v="4"/>
    <x v="0"/>
    <x v="2"/>
    <x v="0"/>
    <s v="Road"/>
    <x v="0"/>
    <n v="32.700000000000003"/>
    <n v="1227"/>
    <n v="5"/>
    <n v="4"/>
    <n v="1"/>
    <n v="0"/>
    <n v="37.979999999999997"/>
    <n v="0"/>
    <n v="1"/>
  </r>
  <r>
    <s v="SHP-501250"/>
    <d v="2024-07-08T00:00:00"/>
    <x v="0"/>
    <s v="Q3"/>
    <x v="6"/>
    <x v="4"/>
    <x v="1"/>
    <x v="0"/>
    <x v="2"/>
    <s v="Air"/>
    <x v="0"/>
    <n v="12.9"/>
    <n v="898"/>
    <n v="2"/>
    <n v="2"/>
    <n v="1"/>
    <n v="0"/>
    <n v="71.930000000000007"/>
    <n v="0"/>
    <n v="1"/>
  </r>
  <r>
    <s v="SHP-501251"/>
    <d v="2024-07-08T00:00:00"/>
    <x v="0"/>
    <s v="Q3"/>
    <x v="6"/>
    <x v="3"/>
    <x v="2"/>
    <x v="3"/>
    <x v="0"/>
    <s v="Road"/>
    <x v="0"/>
    <n v="237"/>
    <n v="492"/>
    <n v="4"/>
    <n v="4"/>
    <n v="1"/>
    <n v="0"/>
    <n v="116.02"/>
    <n v="0"/>
    <n v="1"/>
  </r>
  <r>
    <s v="SHP-501252"/>
    <d v="2024-07-08T00:00:00"/>
    <x v="0"/>
    <s v="Q3"/>
    <x v="6"/>
    <x v="3"/>
    <x v="0"/>
    <x v="3"/>
    <x v="0"/>
    <s v="Road"/>
    <x v="1"/>
    <n v="6"/>
    <n v="496"/>
    <n v="4"/>
    <n v="5"/>
    <n v="0"/>
    <n v="1"/>
    <n v="19.34"/>
    <n v="0"/>
    <n v="1"/>
  </r>
  <r>
    <s v="SHP-501253"/>
    <d v="2024-07-08T00:00:00"/>
    <x v="0"/>
    <s v="Q3"/>
    <x v="6"/>
    <x v="2"/>
    <x v="1"/>
    <x v="1"/>
    <x v="0"/>
    <s v="Road"/>
    <x v="1"/>
    <n v="4.2"/>
    <n v="265"/>
    <n v="3"/>
    <n v="3"/>
    <n v="1"/>
    <n v="0"/>
    <n v="10.18"/>
    <n v="0"/>
    <n v="1"/>
  </r>
  <r>
    <s v="SHP-501254"/>
    <d v="2024-07-08T00:00:00"/>
    <x v="0"/>
    <s v="Q3"/>
    <x v="6"/>
    <x v="3"/>
    <x v="2"/>
    <x v="1"/>
    <x v="0"/>
    <s v="Road"/>
    <x v="1"/>
    <n v="9.5"/>
    <n v="232"/>
    <n v="3"/>
    <n v="3"/>
    <n v="1"/>
    <n v="0"/>
    <n v="16.89"/>
    <n v="0"/>
    <n v="1"/>
  </r>
  <r>
    <s v="SHP-501255"/>
    <d v="2024-07-08T00:00:00"/>
    <x v="0"/>
    <s v="Q3"/>
    <x v="6"/>
    <x v="3"/>
    <x v="1"/>
    <x v="0"/>
    <x v="1"/>
    <s v="Road"/>
    <x v="0"/>
    <n v="127.4"/>
    <n v="953"/>
    <n v="6"/>
    <n v="5"/>
    <n v="1"/>
    <n v="0"/>
    <n v="60.6"/>
    <n v="0"/>
    <n v="1"/>
  </r>
  <r>
    <s v="SHP-501256"/>
    <d v="2024-07-08T00:00:00"/>
    <x v="0"/>
    <s v="Q3"/>
    <x v="6"/>
    <x v="0"/>
    <x v="0"/>
    <x v="3"/>
    <x v="2"/>
    <s v="Road"/>
    <x v="1"/>
    <n v="6.4"/>
    <n v="512"/>
    <n v="2"/>
    <n v="1"/>
    <n v="1"/>
    <n v="0"/>
    <n v="27.67"/>
    <n v="0"/>
    <n v="1"/>
  </r>
  <r>
    <s v="SHP-501257"/>
    <d v="2024-07-08T00:00:00"/>
    <x v="0"/>
    <s v="Q3"/>
    <x v="6"/>
    <x v="1"/>
    <x v="0"/>
    <x v="0"/>
    <x v="1"/>
    <s v="Road"/>
    <x v="1"/>
    <n v="9"/>
    <n v="1259"/>
    <n v="6"/>
    <n v="5"/>
    <n v="1"/>
    <n v="0"/>
    <n v="17.86"/>
    <n v="0"/>
    <n v="1"/>
  </r>
  <r>
    <s v="SHP-501258"/>
    <d v="2024-07-08T00:00:00"/>
    <x v="0"/>
    <s v="Q3"/>
    <x v="6"/>
    <x v="0"/>
    <x v="0"/>
    <x v="2"/>
    <x v="0"/>
    <s v="Road"/>
    <x v="0"/>
    <n v="44"/>
    <n v="1088"/>
    <n v="5"/>
    <n v="5"/>
    <n v="1"/>
    <n v="0"/>
    <n v="45.34"/>
    <n v="0"/>
    <n v="1"/>
  </r>
  <r>
    <s v="SHP-501259"/>
    <d v="2024-07-08T00:00:00"/>
    <x v="0"/>
    <s v="Q3"/>
    <x v="6"/>
    <x v="3"/>
    <x v="0"/>
    <x v="1"/>
    <x v="2"/>
    <s v="Road"/>
    <x v="1"/>
    <n v="11.9"/>
    <n v="214"/>
    <n v="1"/>
    <n v="1"/>
    <n v="1"/>
    <n v="0"/>
    <n v="28.9"/>
    <n v="0"/>
    <n v="1"/>
  </r>
  <r>
    <s v="SHP-501260"/>
    <d v="2024-07-08T00:00:00"/>
    <x v="0"/>
    <s v="Q3"/>
    <x v="6"/>
    <x v="3"/>
    <x v="2"/>
    <x v="2"/>
    <x v="2"/>
    <s v="Air"/>
    <x v="1"/>
    <n v="1.6"/>
    <n v="997"/>
    <n v="3"/>
    <n v="3"/>
    <n v="1"/>
    <n v="0"/>
    <n v="56.79"/>
    <n v="0"/>
    <n v="1"/>
  </r>
  <r>
    <s v="SHP-501261"/>
    <d v="2024-07-08T00:00:00"/>
    <x v="0"/>
    <s v="Q3"/>
    <x v="6"/>
    <x v="1"/>
    <x v="0"/>
    <x v="0"/>
    <x v="0"/>
    <s v="Road"/>
    <x v="0"/>
    <n v="65.7"/>
    <n v="966"/>
    <n v="4"/>
    <n v="5"/>
    <n v="0"/>
    <n v="1"/>
    <n v="52.39"/>
    <n v="0"/>
    <n v="1"/>
  </r>
  <r>
    <s v="SHP-501262"/>
    <d v="2024-07-08T00:00:00"/>
    <x v="0"/>
    <s v="Q3"/>
    <x v="6"/>
    <x v="1"/>
    <x v="2"/>
    <x v="3"/>
    <x v="0"/>
    <s v="Road"/>
    <x v="0"/>
    <n v="139.30000000000001"/>
    <n v="500"/>
    <n v="4"/>
    <n v="4"/>
    <n v="1"/>
    <n v="0"/>
    <n v="76.19"/>
    <n v="0"/>
    <n v="1"/>
  </r>
  <r>
    <s v="SHP-501263"/>
    <d v="2024-07-08T00:00:00"/>
    <x v="0"/>
    <s v="Q3"/>
    <x v="6"/>
    <x v="0"/>
    <x v="2"/>
    <x v="0"/>
    <x v="0"/>
    <s v="Road"/>
    <x v="1"/>
    <n v="5.0999999999999996"/>
    <n v="818"/>
    <n v="4"/>
    <n v="4"/>
    <n v="1"/>
    <n v="0"/>
    <n v="19.46"/>
    <n v="0"/>
    <n v="1"/>
  </r>
  <r>
    <s v="SHP-501264"/>
    <d v="2024-07-08T00:00:00"/>
    <x v="0"/>
    <s v="Q3"/>
    <x v="6"/>
    <x v="3"/>
    <x v="2"/>
    <x v="3"/>
    <x v="0"/>
    <s v="Road"/>
    <x v="1"/>
    <n v="2"/>
    <n v="545"/>
    <n v="4"/>
    <n v="4"/>
    <n v="1"/>
    <n v="0"/>
    <n v="16.079999999999998"/>
    <n v="0"/>
    <n v="1"/>
  </r>
  <r>
    <s v="SHP-501265"/>
    <d v="2024-07-09T00:00:00"/>
    <x v="0"/>
    <s v="Q3"/>
    <x v="6"/>
    <x v="1"/>
    <x v="2"/>
    <x v="2"/>
    <x v="1"/>
    <s v="Road"/>
    <x v="1"/>
    <n v="1.7"/>
    <n v="1042"/>
    <n v="7"/>
    <n v="7"/>
    <n v="1"/>
    <n v="0"/>
    <n v="14.04"/>
    <n v="0"/>
    <n v="1"/>
  </r>
  <r>
    <s v="SHP-501266"/>
    <d v="2024-07-09T00:00:00"/>
    <x v="0"/>
    <s v="Q3"/>
    <x v="6"/>
    <x v="3"/>
    <x v="1"/>
    <x v="4"/>
    <x v="2"/>
    <s v="Air"/>
    <x v="1"/>
    <n v="9.9"/>
    <n v="1346"/>
    <n v="3"/>
    <n v="3"/>
    <n v="1"/>
    <n v="0"/>
    <n v="88.07"/>
    <n v="0"/>
    <n v="1"/>
  </r>
  <r>
    <s v="SHP-501267"/>
    <d v="2024-07-09T00:00:00"/>
    <x v="0"/>
    <s v="Q3"/>
    <x v="6"/>
    <x v="1"/>
    <x v="1"/>
    <x v="1"/>
    <x v="1"/>
    <s v="Road"/>
    <x v="0"/>
    <n v="159.5"/>
    <n v="252"/>
    <n v="5"/>
    <n v="5"/>
    <n v="1"/>
    <n v="0"/>
    <n v="57.79"/>
    <n v="0"/>
    <n v="1"/>
  </r>
  <r>
    <s v="SHP-501268"/>
    <d v="2024-07-09T00:00:00"/>
    <x v="0"/>
    <s v="Q3"/>
    <x v="6"/>
    <x v="2"/>
    <x v="1"/>
    <x v="0"/>
    <x v="0"/>
    <s v="Road"/>
    <x v="0"/>
    <n v="255.6"/>
    <n v="855"/>
    <n v="4"/>
    <n v="4"/>
    <n v="1"/>
    <n v="0"/>
    <n v="98.89"/>
    <n v="0"/>
    <n v="1"/>
  </r>
  <r>
    <s v="SHP-501269"/>
    <d v="2024-07-09T00:00:00"/>
    <x v="0"/>
    <s v="Q3"/>
    <x v="6"/>
    <x v="0"/>
    <x v="2"/>
    <x v="1"/>
    <x v="1"/>
    <s v="Road"/>
    <x v="1"/>
    <n v="8.4"/>
    <n v="258"/>
    <n v="5"/>
    <n v="4"/>
    <n v="1"/>
    <n v="0"/>
    <n v="9.9600000000000009"/>
    <n v="0"/>
    <n v="1"/>
  </r>
  <r>
    <s v="SHP-501270"/>
    <d v="2024-07-09T00:00:00"/>
    <x v="0"/>
    <s v="Q3"/>
    <x v="6"/>
    <x v="4"/>
    <x v="0"/>
    <x v="2"/>
    <x v="0"/>
    <s v="Road"/>
    <x v="1"/>
    <n v="2.7"/>
    <n v="923"/>
    <n v="5"/>
    <n v="5"/>
    <n v="1"/>
    <n v="0"/>
    <n v="21.18"/>
    <n v="0"/>
    <n v="1"/>
  </r>
  <r>
    <s v="SHP-501271"/>
    <d v="2024-07-10T00:00:00"/>
    <x v="0"/>
    <s v="Q3"/>
    <x v="6"/>
    <x v="4"/>
    <x v="0"/>
    <x v="2"/>
    <x v="1"/>
    <s v="Road"/>
    <x v="1"/>
    <n v="7.4"/>
    <n v="897"/>
    <n v="7"/>
    <n v="7"/>
    <n v="1"/>
    <n v="0"/>
    <n v="16.75"/>
    <n v="0"/>
    <n v="1"/>
  </r>
  <r>
    <s v="SHP-501272"/>
    <d v="2024-07-10T00:00:00"/>
    <x v="0"/>
    <s v="Q3"/>
    <x v="6"/>
    <x v="3"/>
    <x v="0"/>
    <x v="2"/>
    <x v="0"/>
    <s v="Road"/>
    <x v="0"/>
    <n v="42.6"/>
    <n v="1197"/>
    <n v="5"/>
    <n v="5"/>
    <n v="1"/>
    <n v="0"/>
    <n v="45.83"/>
    <n v="0"/>
    <n v="1"/>
  </r>
  <r>
    <s v="SHP-501273"/>
    <d v="2024-07-10T00:00:00"/>
    <x v="0"/>
    <s v="Q3"/>
    <x v="6"/>
    <x v="0"/>
    <x v="1"/>
    <x v="1"/>
    <x v="0"/>
    <s v="Road"/>
    <x v="0"/>
    <n v="119.5"/>
    <n v="326"/>
    <n v="3"/>
    <n v="3"/>
    <n v="1"/>
    <n v="0"/>
    <n v="59.15"/>
    <n v="0"/>
    <n v="1"/>
  </r>
  <r>
    <s v="SHP-501274"/>
    <d v="2024-07-10T00:00:00"/>
    <x v="0"/>
    <s v="Q3"/>
    <x v="6"/>
    <x v="3"/>
    <x v="2"/>
    <x v="3"/>
    <x v="1"/>
    <s v="Road"/>
    <x v="1"/>
    <n v="4"/>
    <n v="245"/>
    <n v="6"/>
    <n v="5"/>
    <n v="1"/>
    <n v="0"/>
    <n v="9.17"/>
    <n v="0"/>
    <n v="1"/>
  </r>
  <r>
    <s v="SHP-501275"/>
    <d v="2024-07-10T00:00:00"/>
    <x v="0"/>
    <s v="Q3"/>
    <x v="6"/>
    <x v="0"/>
    <x v="2"/>
    <x v="1"/>
    <x v="2"/>
    <s v="Road"/>
    <x v="0"/>
    <n v="174.5"/>
    <n v="244"/>
    <n v="1"/>
    <n v="1"/>
    <n v="1"/>
    <n v="0"/>
    <n v="147.61000000000001"/>
    <n v="0"/>
    <n v="1"/>
  </r>
  <r>
    <s v="SHP-501276"/>
    <d v="2024-07-10T00:00:00"/>
    <x v="0"/>
    <s v="Q3"/>
    <x v="6"/>
    <x v="2"/>
    <x v="2"/>
    <x v="1"/>
    <x v="2"/>
    <s v="Road"/>
    <x v="1"/>
    <n v="12.2"/>
    <n v="237"/>
    <n v="1"/>
    <n v="1"/>
    <n v="1"/>
    <n v="0"/>
    <n v="22.77"/>
    <n v="0"/>
    <n v="1"/>
  </r>
  <r>
    <s v="SHP-501277"/>
    <d v="2024-07-10T00:00:00"/>
    <x v="0"/>
    <s v="Q3"/>
    <x v="6"/>
    <x v="1"/>
    <x v="1"/>
    <x v="0"/>
    <x v="0"/>
    <s v="Road"/>
    <x v="1"/>
    <n v="2.1"/>
    <n v="1126"/>
    <n v="4"/>
    <n v="4"/>
    <n v="1"/>
    <n v="0"/>
    <n v="20.65"/>
    <n v="0"/>
    <n v="1"/>
  </r>
  <r>
    <s v="SHP-501278"/>
    <d v="2024-07-10T00:00:00"/>
    <x v="0"/>
    <s v="Q3"/>
    <x v="6"/>
    <x v="2"/>
    <x v="1"/>
    <x v="1"/>
    <x v="0"/>
    <s v="Road"/>
    <x v="0"/>
    <n v="286.3"/>
    <n v="256"/>
    <n v="3"/>
    <n v="6"/>
    <n v="0"/>
    <n v="3"/>
    <n v="99.81"/>
    <n v="0"/>
    <n v="1"/>
  </r>
  <r>
    <s v="SHP-501279"/>
    <d v="2024-07-10T00:00:00"/>
    <x v="0"/>
    <s v="Q3"/>
    <x v="6"/>
    <x v="3"/>
    <x v="1"/>
    <x v="0"/>
    <x v="2"/>
    <s v="Air"/>
    <x v="1"/>
    <n v="10.4"/>
    <n v="922"/>
    <n v="2"/>
    <n v="2"/>
    <n v="1"/>
    <n v="0"/>
    <n v="81.02"/>
    <n v="0"/>
    <n v="1"/>
  </r>
  <r>
    <s v="SHP-501280"/>
    <d v="2024-07-11T00:00:00"/>
    <x v="0"/>
    <s v="Q3"/>
    <x v="6"/>
    <x v="2"/>
    <x v="0"/>
    <x v="0"/>
    <x v="0"/>
    <s v="Road"/>
    <x v="1"/>
    <n v="16.399999999999999"/>
    <n v="1047"/>
    <n v="4"/>
    <n v="4"/>
    <n v="1"/>
    <n v="0"/>
    <n v="27.57"/>
    <n v="0"/>
    <n v="1"/>
  </r>
  <r>
    <s v="SHP-501281"/>
    <d v="2024-07-11T00:00:00"/>
    <x v="0"/>
    <s v="Q3"/>
    <x v="6"/>
    <x v="0"/>
    <x v="2"/>
    <x v="1"/>
    <x v="2"/>
    <s v="Road"/>
    <x v="0"/>
    <n v="46.1"/>
    <n v="185"/>
    <n v="1"/>
    <n v="1"/>
    <n v="1"/>
    <n v="0"/>
    <n v="51.85"/>
    <n v="0"/>
    <n v="1"/>
  </r>
  <r>
    <s v="SHP-501282"/>
    <d v="2024-07-11T00:00:00"/>
    <x v="0"/>
    <s v="Q3"/>
    <x v="6"/>
    <x v="3"/>
    <x v="2"/>
    <x v="0"/>
    <x v="0"/>
    <s v="Road"/>
    <x v="1"/>
    <n v="1.6"/>
    <n v="882"/>
    <n v="4"/>
    <n v="4"/>
    <n v="1"/>
    <n v="0"/>
    <n v="19.64"/>
    <n v="0"/>
    <n v="1"/>
  </r>
  <r>
    <s v="SHP-501283"/>
    <d v="2024-07-11T00:00:00"/>
    <x v="0"/>
    <s v="Q3"/>
    <x v="6"/>
    <x v="0"/>
    <x v="2"/>
    <x v="1"/>
    <x v="0"/>
    <s v="Road"/>
    <x v="0"/>
    <n v="24"/>
    <n v="317"/>
    <n v="3"/>
    <n v="3"/>
    <n v="1"/>
    <n v="0"/>
    <n v="22.6"/>
    <n v="0"/>
    <n v="1"/>
  </r>
  <r>
    <s v="SHP-501284"/>
    <d v="2024-07-12T00:00:00"/>
    <x v="0"/>
    <s v="Q3"/>
    <x v="6"/>
    <x v="4"/>
    <x v="2"/>
    <x v="1"/>
    <x v="0"/>
    <s v="Road"/>
    <x v="0"/>
    <n v="14.9"/>
    <n v="243"/>
    <n v="3"/>
    <n v="2"/>
    <n v="1"/>
    <n v="0"/>
    <n v="18.64"/>
    <n v="0"/>
    <n v="1"/>
  </r>
  <r>
    <s v="SHP-501285"/>
    <d v="2024-07-12T00:00:00"/>
    <x v="0"/>
    <s v="Q3"/>
    <x v="6"/>
    <x v="3"/>
    <x v="0"/>
    <x v="4"/>
    <x v="2"/>
    <s v="Air"/>
    <x v="1"/>
    <n v="2.9"/>
    <n v="1139"/>
    <n v="3"/>
    <n v="2"/>
    <n v="1"/>
    <n v="0"/>
    <n v="78.33"/>
    <n v="0"/>
    <n v="1"/>
  </r>
  <r>
    <s v="SHP-501286"/>
    <d v="2024-07-12T00:00:00"/>
    <x v="0"/>
    <s v="Q3"/>
    <x v="6"/>
    <x v="2"/>
    <x v="2"/>
    <x v="3"/>
    <x v="0"/>
    <s v="Road"/>
    <x v="0"/>
    <n v="8.6999999999999993"/>
    <n v="556"/>
    <n v="4"/>
    <n v="3"/>
    <n v="1"/>
    <n v="0"/>
    <n v="15.56"/>
    <n v="0"/>
    <n v="1"/>
  </r>
  <r>
    <s v="SHP-501287"/>
    <d v="2024-07-12T00:00:00"/>
    <x v="0"/>
    <s v="Q3"/>
    <x v="6"/>
    <x v="2"/>
    <x v="1"/>
    <x v="0"/>
    <x v="0"/>
    <s v="Road"/>
    <x v="1"/>
    <n v="2"/>
    <n v="833"/>
    <n v="4"/>
    <n v="7"/>
    <n v="0"/>
    <n v="3"/>
    <n v="15.18"/>
    <n v="0"/>
    <n v="1"/>
  </r>
  <r>
    <s v="SHP-501288"/>
    <d v="2024-07-12T00:00:00"/>
    <x v="0"/>
    <s v="Q3"/>
    <x v="6"/>
    <x v="4"/>
    <x v="1"/>
    <x v="1"/>
    <x v="0"/>
    <s v="Road"/>
    <x v="1"/>
    <n v="24.2"/>
    <n v="212"/>
    <n v="3"/>
    <n v="3"/>
    <n v="1"/>
    <n v="0"/>
    <n v="21.01"/>
    <n v="0"/>
    <n v="1"/>
  </r>
  <r>
    <s v="SHP-501289"/>
    <d v="2024-07-12T00:00:00"/>
    <x v="0"/>
    <s v="Q3"/>
    <x v="6"/>
    <x v="4"/>
    <x v="2"/>
    <x v="2"/>
    <x v="0"/>
    <s v="Road"/>
    <x v="0"/>
    <n v="45.1"/>
    <n v="932"/>
    <n v="5"/>
    <n v="4"/>
    <n v="1"/>
    <n v="0"/>
    <n v="38.520000000000003"/>
    <n v="0"/>
    <n v="1"/>
  </r>
  <r>
    <s v="SHP-501290"/>
    <d v="2024-07-12T00:00:00"/>
    <x v="0"/>
    <s v="Q3"/>
    <x v="6"/>
    <x v="0"/>
    <x v="1"/>
    <x v="3"/>
    <x v="0"/>
    <s v="Road"/>
    <x v="1"/>
    <n v="0.9"/>
    <n v="551"/>
    <n v="4"/>
    <n v="4"/>
    <n v="1"/>
    <n v="0"/>
    <n v="13.53"/>
    <n v="0"/>
    <n v="1"/>
  </r>
  <r>
    <s v="SHP-501291"/>
    <d v="2024-07-12T00:00:00"/>
    <x v="0"/>
    <s v="Q3"/>
    <x v="6"/>
    <x v="2"/>
    <x v="2"/>
    <x v="3"/>
    <x v="0"/>
    <s v="Road"/>
    <x v="0"/>
    <n v="13.4"/>
    <n v="537"/>
    <n v="4"/>
    <n v="4"/>
    <n v="1"/>
    <n v="0"/>
    <n v="17.96"/>
    <n v="0"/>
    <n v="1"/>
  </r>
  <r>
    <s v="SHP-501292"/>
    <d v="2024-07-12T00:00:00"/>
    <x v="0"/>
    <s v="Q3"/>
    <x v="6"/>
    <x v="3"/>
    <x v="1"/>
    <x v="1"/>
    <x v="2"/>
    <s v="Road"/>
    <x v="1"/>
    <n v="5.7"/>
    <n v="297"/>
    <n v="1"/>
    <n v="1"/>
    <n v="1"/>
    <n v="0"/>
    <n v="27.47"/>
    <n v="0"/>
    <n v="1"/>
  </r>
  <r>
    <s v="SHP-501293"/>
    <d v="2024-07-13T00:00:00"/>
    <x v="0"/>
    <s v="Q3"/>
    <x v="6"/>
    <x v="2"/>
    <x v="0"/>
    <x v="1"/>
    <x v="0"/>
    <s v="Road"/>
    <x v="1"/>
    <n v="6.2"/>
    <n v="214"/>
    <n v="3"/>
    <n v="2"/>
    <n v="1"/>
    <n v="0"/>
    <n v="10.91"/>
    <n v="0"/>
    <n v="1"/>
  </r>
  <r>
    <s v="SHP-501294"/>
    <d v="2024-07-13T00:00:00"/>
    <x v="0"/>
    <s v="Q3"/>
    <x v="6"/>
    <x v="3"/>
    <x v="1"/>
    <x v="0"/>
    <x v="0"/>
    <s v="Road"/>
    <x v="1"/>
    <n v="9.8000000000000007"/>
    <n v="786"/>
    <n v="4"/>
    <n v="4"/>
    <n v="1"/>
    <n v="0"/>
    <n v="25.63"/>
    <n v="0"/>
    <n v="1"/>
  </r>
  <r>
    <s v="SHP-501295"/>
    <d v="2024-07-13T00:00:00"/>
    <x v="0"/>
    <s v="Q3"/>
    <x v="6"/>
    <x v="1"/>
    <x v="0"/>
    <x v="0"/>
    <x v="2"/>
    <s v="Air"/>
    <x v="1"/>
    <n v="2.5"/>
    <n v="1045"/>
    <n v="2"/>
    <n v="2"/>
    <n v="1"/>
    <n v="0"/>
    <n v="67.2"/>
    <n v="0"/>
    <n v="1"/>
  </r>
  <r>
    <s v="SHP-501296"/>
    <d v="2024-07-14T00:00:00"/>
    <x v="0"/>
    <s v="Q3"/>
    <x v="6"/>
    <x v="0"/>
    <x v="0"/>
    <x v="1"/>
    <x v="1"/>
    <s v="Road"/>
    <x v="1"/>
    <n v="8.1"/>
    <n v="253"/>
    <n v="5"/>
    <n v="5"/>
    <n v="1"/>
    <n v="0"/>
    <n v="9.08"/>
    <n v="0"/>
    <n v="1"/>
  </r>
  <r>
    <s v="SHP-501297"/>
    <d v="2024-07-15T00:00:00"/>
    <x v="0"/>
    <s v="Q3"/>
    <x v="6"/>
    <x v="0"/>
    <x v="1"/>
    <x v="2"/>
    <x v="1"/>
    <s v="Road"/>
    <x v="1"/>
    <n v="9.4"/>
    <n v="730"/>
    <n v="7"/>
    <n v="7"/>
    <n v="1"/>
    <n v="0"/>
    <n v="14.5"/>
    <n v="0"/>
    <n v="1"/>
  </r>
  <r>
    <s v="SHP-501298"/>
    <d v="2024-07-15T00:00:00"/>
    <x v="0"/>
    <s v="Q3"/>
    <x v="6"/>
    <x v="2"/>
    <x v="0"/>
    <x v="3"/>
    <x v="0"/>
    <s v="Road"/>
    <x v="0"/>
    <n v="151.80000000000001"/>
    <n v="456"/>
    <n v="4"/>
    <n v="8"/>
    <n v="0"/>
    <n v="4"/>
    <n v="65.59"/>
    <n v="0"/>
    <n v="1"/>
  </r>
  <r>
    <s v="SHP-501299"/>
    <d v="2024-07-15T00:00:00"/>
    <x v="0"/>
    <s v="Q3"/>
    <x v="6"/>
    <x v="2"/>
    <x v="1"/>
    <x v="4"/>
    <x v="1"/>
    <s v="Road"/>
    <x v="1"/>
    <n v="3.4"/>
    <n v="1289"/>
    <n v="7"/>
    <n v="7"/>
    <n v="1"/>
    <n v="0"/>
    <n v="12.94"/>
    <n v="0"/>
    <n v="1"/>
  </r>
  <r>
    <s v="SHP-501300"/>
    <d v="2024-07-15T00:00:00"/>
    <x v="0"/>
    <s v="Q3"/>
    <x v="6"/>
    <x v="2"/>
    <x v="2"/>
    <x v="2"/>
    <x v="0"/>
    <s v="Road"/>
    <x v="0"/>
    <n v="87.5"/>
    <n v="1153"/>
    <n v="5"/>
    <n v="7"/>
    <n v="0"/>
    <n v="2"/>
    <n v="51.54"/>
    <n v="0"/>
    <n v="1"/>
  </r>
  <r>
    <s v="SHP-501301"/>
    <d v="2024-07-15T00:00:00"/>
    <x v="0"/>
    <s v="Q3"/>
    <x v="6"/>
    <x v="1"/>
    <x v="1"/>
    <x v="1"/>
    <x v="0"/>
    <s v="Road"/>
    <x v="1"/>
    <n v="14.3"/>
    <n v="229"/>
    <n v="3"/>
    <n v="3"/>
    <n v="1"/>
    <n v="0"/>
    <n v="18.940000000000001"/>
    <n v="0"/>
    <n v="1"/>
  </r>
  <r>
    <s v="SHP-501302"/>
    <d v="2024-07-15T00:00:00"/>
    <x v="0"/>
    <s v="Q3"/>
    <x v="6"/>
    <x v="4"/>
    <x v="2"/>
    <x v="1"/>
    <x v="2"/>
    <s v="Road"/>
    <x v="0"/>
    <n v="30.6"/>
    <n v="256"/>
    <n v="1"/>
    <n v="1"/>
    <n v="1"/>
    <n v="0"/>
    <n v="50.56"/>
    <n v="0"/>
    <n v="1"/>
  </r>
  <r>
    <s v="SHP-501303"/>
    <d v="2024-07-15T00:00:00"/>
    <x v="0"/>
    <s v="Q3"/>
    <x v="6"/>
    <x v="4"/>
    <x v="0"/>
    <x v="2"/>
    <x v="0"/>
    <s v="Road"/>
    <x v="0"/>
    <n v="198.4"/>
    <n v="1082"/>
    <n v="5"/>
    <n v="4"/>
    <n v="1"/>
    <n v="0"/>
    <n v="101.92"/>
    <n v="0"/>
    <n v="1"/>
  </r>
  <r>
    <s v="SHP-501304"/>
    <d v="2024-07-15T00:00:00"/>
    <x v="0"/>
    <s v="Q3"/>
    <x v="6"/>
    <x v="3"/>
    <x v="1"/>
    <x v="3"/>
    <x v="0"/>
    <s v="Road"/>
    <x v="1"/>
    <n v="6.9"/>
    <n v="478"/>
    <n v="4"/>
    <n v="3"/>
    <n v="1"/>
    <n v="0"/>
    <n v="17.02"/>
    <n v="0"/>
    <n v="1"/>
  </r>
  <r>
    <s v="SHP-501305"/>
    <d v="2024-07-15T00:00:00"/>
    <x v="0"/>
    <s v="Q3"/>
    <x v="6"/>
    <x v="4"/>
    <x v="2"/>
    <x v="4"/>
    <x v="2"/>
    <s v="Air"/>
    <x v="1"/>
    <n v="5.5"/>
    <n v="1253"/>
    <n v="3"/>
    <n v="3"/>
    <n v="1"/>
    <n v="0"/>
    <n v="78.72"/>
    <n v="0"/>
    <n v="1"/>
  </r>
  <r>
    <s v="SHP-501306"/>
    <d v="2024-07-15T00:00:00"/>
    <x v="0"/>
    <s v="Q3"/>
    <x v="6"/>
    <x v="2"/>
    <x v="1"/>
    <x v="3"/>
    <x v="0"/>
    <s v="Road"/>
    <x v="0"/>
    <n v="57.1"/>
    <n v="497"/>
    <n v="4"/>
    <n v="4"/>
    <n v="1"/>
    <n v="0"/>
    <n v="33.72"/>
    <n v="0"/>
    <n v="1"/>
  </r>
  <r>
    <s v="SHP-501307"/>
    <d v="2024-07-16T00:00:00"/>
    <x v="0"/>
    <s v="Q3"/>
    <x v="6"/>
    <x v="4"/>
    <x v="2"/>
    <x v="3"/>
    <x v="0"/>
    <s v="Road"/>
    <x v="0"/>
    <n v="129.4"/>
    <n v="417"/>
    <n v="4"/>
    <n v="4"/>
    <n v="1"/>
    <n v="0"/>
    <n v="67.2"/>
    <n v="0"/>
    <n v="1"/>
  </r>
  <r>
    <s v="SHP-501308"/>
    <d v="2024-07-16T00:00:00"/>
    <x v="0"/>
    <s v="Q3"/>
    <x v="6"/>
    <x v="4"/>
    <x v="2"/>
    <x v="0"/>
    <x v="1"/>
    <s v="Road"/>
    <x v="0"/>
    <n v="30.6"/>
    <n v="871"/>
    <n v="6"/>
    <n v="6"/>
    <n v="1"/>
    <n v="0"/>
    <n v="24.43"/>
    <n v="0"/>
    <n v="1"/>
  </r>
  <r>
    <s v="SHP-501309"/>
    <d v="2024-07-16T00:00:00"/>
    <x v="0"/>
    <s v="Q3"/>
    <x v="6"/>
    <x v="3"/>
    <x v="1"/>
    <x v="1"/>
    <x v="1"/>
    <s v="Road"/>
    <x v="1"/>
    <n v="14.4"/>
    <n v="256"/>
    <n v="5"/>
    <n v="5"/>
    <n v="1"/>
    <n v="0"/>
    <n v="14.77"/>
    <n v="0"/>
    <n v="1"/>
  </r>
  <r>
    <s v="SHP-501310"/>
    <d v="2024-07-16T00:00:00"/>
    <x v="0"/>
    <s v="Q3"/>
    <x v="6"/>
    <x v="2"/>
    <x v="2"/>
    <x v="1"/>
    <x v="0"/>
    <s v="Road"/>
    <x v="1"/>
    <n v="2.9"/>
    <n v="232"/>
    <n v="3"/>
    <n v="3"/>
    <n v="1"/>
    <n v="0"/>
    <n v="9.64"/>
    <n v="0"/>
    <n v="1"/>
  </r>
  <r>
    <s v="SHP-501311"/>
    <d v="2024-07-17T00:00:00"/>
    <x v="0"/>
    <s v="Q3"/>
    <x v="6"/>
    <x v="4"/>
    <x v="1"/>
    <x v="1"/>
    <x v="2"/>
    <s v="Road"/>
    <x v="1"/>
    <n v="3.9"/>
    <n v="308"/>
    <n v="1"/>
    <n v="6"/>
    <n v="0"/>
    <n v="5"/>
    <n v="25.39"/>
    <n v="0"/>
    <n v="1"/>
  </r>
  <r>
    <s v="SHP-501312"/>
    <d v="2024-07-17T00:00:00"/>
    <x v="0"/>
    <s v="Q3"/>
    <x v="6"/>
    <x v="1"/>
    <x v="2"/>
    <x v="0"/>
    <x v="1"/>
    <s v="Road"/>
    <x v="0"/>
    <n v="63.2"/>
    <n v="947"/>
    <n v="6"/>
    <n v="6"/>
    <n v="1"/>
    <n v="0"/>
    <n v="37.75"/>
    <n v="0"/>
    <n v="1"/>
  </r>
  <r>
    <s v="SHP-501313"/>
    <d v="2024-07-17T00:00:00"/>
    <x v="0"/>
    <s v="Q3"/>
    <x v="6"/>
    <x v="0"/>
    <x v="2"/>
    <x v="3"/>
    <x v="0"/>
    <s v="Road"/>
    <x v="1"/>
    <n v="5.5"/>
    <n v="504"/>
    <n v="4"/>
    <n v="5"/>
    <n v="0"/>
    <n v="1"/>
    <n v="16.41"/>
    <n v="0"/>
    <n v="1"/>
  </r>
  <r>
    <s v="SHP-501314"/>
    <d v="2024-07-17T00:00:00"/>
    <x v="0"/>
    <s v="Q3"/>
    <x v="6"/>
    <x v="3"/>
    <x v="1"/>
    <x v="0"/>
    <x v="2"/>
    <s v="Air"/>
    <x v="0"/>
    <n v="456.8"/>
    <n v="784"/>
    <n v="2"/>
    <n v="2"/>
    <n v="1"/>
    <n v="0"/>
    <n v="600.96"/>
    <n v="0"/>
    <n v="1"/>
  </r>
  <r>
    <s v="SHP-501315"/>
    <d v="2024-07-17T00:00:00"/>
    <x v="0"/>
    <s v="Q3"/>
    <x v="6"/>
    <x v="3"/>
    <x v="1"/>
    <x v="0"/>
    <x v="0"/>
    <s v="Road"/>
    <x v="0"/>
    <n v="81.7"/>
    <n v="894"/>
    <n v="4"/>
    <n v="4"/>
    <n v="1"/>
    <n v="0"/>
    <n v="56.21"/>
    <n v="0"/>
    <n v="1"/>
  </r>
  <r>
    <s v="SHP-501316"/>
    <d v="2024-07-17T00:00:00"/>
    <x v="0"/>
    <s v="Q3"/>
    <x v="6"/>
    <x v="3"/>
    <x v="2"/>
    <x v="2"/>
    <x v="2"/>
    <s v="Air"/>
    <x v="1"/>
    <n v="0.9"/>
    <n v="1285"/>
    <n v="3"/>
    <n v="3"/>
    <n v="1"/>
    <n v="0"/>
    <n v="81.03"/>
    <n v="0"/>
    <n v="1"/>
  </r>
  <r>
    <s v="SHP-501317"/>
    <d v="2024-07-17T00:00:00"/>
    <x v="0"/>
    <s v="Q3"/>
    <x v="6"/>
    <x v="0"/>
    <x v="2"/>
    <x v="0"/>
    <x v="2"/>
    <s v="Air"/>
    <x v="1"/>
    <n v="4.3"/>
    <n v="698"/>
    <n v="2"/>
    <n v="2"/>
    <n v="1"/>
    <n v="0"/>
    <n v="54.45"/>
    <n v="0"/>
    <n v="1"/>
  </r>
  <r>
    <s v="SHP-501318"/>
    <d v="2024-07-17T00:00:00"/>
    <x v="0"/>
    <s v="Q3"/>
    <x v="6"/>
    <x v="0"/>
    <x v="2"/>
    <x v="4"/>
    <x v="0"/>
    <s v="Road"/>
    <x v="1"/>
    <n v="1.9"/>
    <n v="1001"/>
    <n v="5"/>
    <n v="5"/>
    <n v="1"/>
    <n v="0"/>
    <n v="20.84"/>
    <n v="0"/>
    <n v="1"/>
  </r>
  <r>
    <s v="SHP-501319"/>
    <d v="2024-07-17T00:00:00"/>
    <x v="0"/>
    <s v="Q3"/>
    <x v="6"/>
    <x v="0"/>
    <x v="2"/>
    <x v="0"/>
    <x v="0"/>
    <s v="Road"/>
    <x v="0"/>
    <n v="114.3"/>
    <n v="937"/>
    <n v="4"/>
    <n v="4"/>
    <n v="1"/>
    <n v="0"/>
    <n v="69.760000000000005"/>
    <n v="0"/>
    <n v="1"/>
  </r>
  <r>
    <s v="SHP-501320"/>
    <d v="2024-07-17T00:00:00"/>
    <x v="0"/>
    <s v="Q3"/>
    <x v="6"/>
    <x v="1"/>
    <x v="0"/>
    <x v="0"/>
    <x v="0"/>
    <s v="Road"/>
    <x v="1"/>
    <n v="7.2"/>
    <n v="876"/>
    <n v="4"/>
    <n v="4"/>
    <n v="1"/>
    <n v="0"/>
    <n v="22.81"/>
    <n v="0"/>
    <n v="1"/>
  </r>
  <r>
    <s v="SHP-501321"/>
    <d v="2024-07-17T00:00:00"/>
    <x v="0"/>
    <s v="Q3"/>
    <x v="6"/>
    <x v="2"/>
    <x v="0"/>
    <x v="1"/>
    <x v="0"/>
    <s v="Road"/>
    <x v="0"/>
    <n v="25.7"/>
    <n v="244"/>
    <n v="3"/>
    <n v="3"/>
    <n v="1"/>
    <n v="0"/>
    <n v="19.95"/>
    <n v="0"/>
    <n v="1"/>
  </r>
  <r>
    <s v="SHP-501322"/>
    <d v="2024-07-18T00:00:00"/>
    <x v="0"/>
    <s v="Q3"/>
    <x v="6"/>
    <x v="3"/>
    <x v="0"/>
    <x v="3"/>
    <x v="0"/>
    <s v="Road"/>
    <x v="0"/>
    <n v="111.9"/>
    <n v="436"/>
    <n v="4"/>
    <n v="4"/>
    <n v="1"/>
    <n v="0"/>
    <n v="60.71"/>
    <n v="0"/>
    <n v="1"/>
  </r>
  <r>
    <s v="SHP-501323"/>
    <d v="2024-07-18T00:00:00"/>
    <x v="0"/>
    <s v="Q3"/>
    <x v="6"/>
    <x v="1"/>
    <x v="1"/>
    <x v="2"/>
    <x v="0"/>
    <s v="Road"/>
    <x v="0"/>
    <n v="143.30000000000001"/>
    <n v="1111"/>
    <n v="5"/>
    <n v="7"/>
    <n v="0"/>
    <n v="2"/>
    <n v="87.4"/>
    <n v="0"/>
    <n v="1"/>
  </r>
  <r>
    <s v="SHP-501324"/>
    <d v="2024-07-19T00:00:00"/>
    <x v="0"/>
    <s v="Q3"/>
    <x v="6"/>
    <x v="2"/>
    <x v="2"/>
    <x v="3"/>
    <x v="0"/>
    <s v="Road"/>
    <x v="0"/>
    <n v="32.9"/>
    <n v="491"/>
    <n v="4"/>
    <n v="4"/>
    <n v="1"/>
    <n v="0"/>
    <n v="25.71"/>
    <n v="1"/>
    <n v="1"/>
  </r>
  <r>
    <s v="SHP-501325"/>
    <d v="2024-07-19T00:00:00"/>
    <x v="0"/>
    <s v="Q3"/>
    <x v="6"/>
    <x v="3"/>
    <x v="0"/>
    <x v="1"/>
    <x v="1"/>
    <s v="Road"/>
    <x v="0"/>
    <n v="217.7"/>
    <n v="210"/>
    <n v="5"/>
    <n v="5"/>
    <n v="1"/>
    <n v="0"/>
    <n v="82.28"/>
    <n v="0"/>
    <n v="1"/>
  </r>
  <r>
    <s v="SHP-501326"/>
    <d v="2024-07-19T00:00:00"/>
    <x v="0"/>
    <s v="Q3"/>
    <x v="6"/>
    <x v="4"/>
    <x v="2"/>
    <x v="0"/>
    <x v="2"/>
    <s v="Air"/>
    <x v="0"/>
    <n v="152.30000000000001"/>
    <n v="911"/>
    <n v="2"/>
    <n v="2"/>
    <n v="1"/>
    <n v="0"/>
    <n v="235.48"/>
    <n v="0"/>
    <n v="1"/>
  </r>
  <r>
    <s v="SHP-501327"/>
    <d v="2024-07-19T00:00:00"/>
    <x v="0"/>
    <s v="Q3"/>
    <x v="6"/>
    <x v="1"/>
    <x v="2"/>
    <x v="0"/>
    <x v="0"/>
    <s v="Road"/>
    <x v="0"/>
    <n v="151.1"/>
    <n v="761"/>
    <n v="4"/>
    <n v="4"/>
    <n v="1"/>
    <n v="0"/>
    <n v="78.290000000000006"/>
    <n v="0"/>
    <n v="1"/>
  </r>
  <r>
    <s v="SHP-501328"/>
    <d v="2024-07-19T00:00:00"/>
    <x v="0"/>
    <s v="Q3"/>
    <x v="6"/>
    <x v="4"/>
    <x v="1"/>
    <x v="1"/>
    <x v="1"/>
    <s v="Road"/>
    <x v="1"/>
    <n v="9.4"/>
    <n v="247"/>
    <n v="5"/>
    <n v="4"/>
    <n v="1"/>
    <n v="0"/>
    <n v="11.12"/>
    <n v="0"/>
    <n v="1"/>
  </r>
  <r>
    <s v="SHP-501329"/>
    <d v="2024-07-19T00:00:00"/>
    <x v="0"/>
    <s v="Q3"/>
    <x v="6"/>
    <x v="3"/>
    <x v="2"/>
    <x v="4"/>
    <x v="0"/>
    <s v="Road"/>
    <x v="0"/>
    <n v="120.4"/>
    <n v="1035"/>
    <n v="5"/>
    <n v="5"/>
    <n v="1"/>
    <n v="0"/>
    <n v="81.77"/>
    <n v="0"/>
    <n v="1"/>
  </r>
  <r>
    <s v="SHP-501330"/>
    <d v="2024-07-19T00:00:00"/>
    <x v="0"/>
    <s v="Q3"/>
    <x v="6"/>
    <x v="1"/>
    <x v="2"/>
    <x v="2"/>
    <x v="0"/>
    <s v="Road"/>
    <x v="0"/>
    <n v="182.9"/>
    <n v="956"/>
    <n v="5"/>
    <n v="5"/>
    <n v="1"/>
    <n v="0"/>
    <n v="86.7"/>
    <n v="0"/>
    <n v="1"/>
  </r>
  <r>
    <s v="SHP-501331"/>
    <d v="2024-07-20T00:00:00"/>
    <x v="0"/>
    <s v="Q3"/>
    <x v="6"/>
    <x v="1"/>
    <x v="0"/>
    <x v="0"/>
    <x v="0"/>
    <s v="Road"/>
    <x v="0"/>
    <n v="156.19999999999999"/>
    <n v="1099"/>
    <n v="4"/>
    <n v="4"/>
    <n v="1"/>
    <n v="0"/>
    <n v="87.48"/>
    <n v="0"/>
    <n v="1"/>
  </r>
  <r>
    <s v="SHP-501332"/>
    <d v="2024-07-20T00:00:00"/>
    <x v="0"/>
    <s v="Q3"/>
    <x v="6"/>
    <x v="0"/>
    <x v="1"/>
    <x v="3"/>
    <x v="0"/>
    <s v="Road"/>
    <x v="0"/>
    <n v="98.5"/>
    <n v="490"/>
    <n v="4"/>
    <n v="7"/>
    <n v="0"/>
    <n v="3"/>
    <n v="53.24"/>
    <n v="0"/>
    <n v="1"/>
  </r>
  <r>
    <s v="SHP-501333"/>
    <d v="2024-07-20T00:00:00"/>
    <x v="0"/>
    <s v="Q3"/>
    <x v="6"/>
    <x v="0"/>
    <x v="1"/>
    <x v="0"/>
    <x v="1"/>
    <s v="Road"/>
    <x v="0"/>
    <n v="56.5"/>
    <n v="1122"/>
    <n v="6"/>
    <n v="6"/>
    <n v="1"/>
    <n v="0"/>
    <n v="31.64"/>
    <n v="0"/>
    <n v="1"/>
  </r>
  <r>
    <s v="SHP-501334"/>
    <d v="2024-07-20T00:00:00"/>
    <x v="0"/>
    <s v="Q3"/>
    <x v="6"/>
    <x v="1"/>
    <x v="2"/>
    <x v="2"/>
    <x v="0"/>
    <s v="Road"/>
    <x v="0"/>
    <n v="59.2"/>
    <n v="982"/>
    <n v="5"/>
    <n v="5"/>
    <n v="1"/>
    <n v="0"/>
    <n v="48.01"/>
    <n v="0"/>
    <n v="1"/>
  </r>
  <r>
    <s v="SHP-501335"/>
    <d v="2024-07-21T00:00:00"/>
    <x v="0"/>
    <s v="Q3"/>
    <x v="6"/>
    <x v="4"/>
    <x v="2"/>
    <x v="1"/>
    <x v="1"/>
    <s v="Road"/>
    <x v="1"/>
    <n v="8.6"/>
    <n v="220"/>
    <n v="5"/>
    <n v="5"/>
    <n v="1"/>
    <n v="0"/>
    <n v="9.94"/>
    <n v="0"/>
    <n v="1"/>
  </r>
  <r>
    <s v="SHP-501336"/>
    <d v="2024-07-21T00:00:00"/>
    <x v="0"/>
    <s v="Q3"/>
    <x v="6"/>
    <x v="4"/>
    <x v="2"/>
    <x v="2"/>
    <x v="0"/>
    <s v="Road"/>
    <x v="1"/>
    <n v="8.6999999999999993"/>
    <n v="1115"/>
    <n v="5"/>
    <n v="4"/>
    <n v="1"/>
    <n v="0"/>
    <n v="24.33"/>
    <n v="0"/>
    <n v="1"/>
  </r>
  <r>
    <s v="SHP-501337"/>
    <d v="2024-07-21T00:00:00"/>
    <x v="0"/>
    <s v="Q3"/>
    <x v="6"/>
    <x v="4"/>
    <x v="2"/>
    <x v="3"/>
    <x v="0"/>
    <s v="Road"/>
    <x v="1"/>
    <n v="3.9"/>
    <n v="372"/>
    <n v="4"/>
    <n v="3"/>
    <n v="1"/>
    <n v="0"/>
    <n v="13.36"/>
    <n v="0"/>
    <n v="1"/>
  </r>
  <r>
    <s v="SHP-501338"/>
    <d v="2024-07-22T00:00:00"/>
    <x v="0"/>
    <s v="Q3"/>
    <x v="6"/>
    <x v="1"/>
    <x v="1"/>
    <x v="1"/>
    <x v="2"/>
    <s v="Road"/>
    <x v="0"/>
    <n v="175.5"/>
    <n v="316"/>
    <n v="1"/>
    <n v="1"/>
    <n v="1"/>
    <n v="0"/>
    <n v="171.53"/>
    <n v="0"/>
    <n v="1"/>
  </r>
  <r>
    <s v="SHP-501339"/>
    <d v="2024-07-22T00:00:00"/>
    <x v="0"/>
    <s v="Q3"/>
    <x v="6"/>
    <x v="4"/>
    <x v="2"/>
    <x v="1"/>
    <x v="0"/>
    <s v="Road"/>
    <x v="1"/>
    <n v="2.4"/>
    <n v="266"/>
    <n v="3"/>
    <n v="3"/>
    <n v="1"/>
    <n v="0"/>
    <n v="11.37"/>
    <n v="0"/>
    <n v="1"/>
  </r>
  <r>
    <s v="SHP-501340"/>
    <d v="2024-07-22T00:00:00"/>
    <x v="0"/>
    <s v="Q3"/>
    <x v="6"/>
    <x v="3"/>
    <x v="2"/>
    <x v="0"/>
    <x v="2"/>
    <s v="Air"/>
    <x v="0"/>
    <n v="98.7"/>
    <n v="675"/>
    <n v="2"/>
    <n v="1"/>
    <n v="1"/>
    <n v="0"/>
    <n v="194.13"/>
    <n v="0"/>
    <n v="1"/>
  </r>
  <r>
    <s v="SHP-501341"/>
    <d v="2024-07-22T00:00:00"/>
    <x v="0"/>
    <s v="Q3"/>
    <x v="6"/>
    <x v="0"/>
    <x v="2"/>
    <x v="3"/>
    <x v="0"/>
    <s v="Road"/>
    <x v="1"/>
    <n v="2"/>
    <n v="534"/>
    <n v="4"/>
    <n v="4"/>
    <n v="1"/>
    <n v="0"/>
    <n v="14.52"/>
    <n v="0"/>
    <n v="1"/>
  </r>
  <r>
    <s v="SHP-501342"/>
    <d v="2024-07-22T00:00:00"/>
    <x v="0"/>
    <s v="Q3"/>
    <x v="6"/>
    <x v="2"/>
    <x v="1"/>
    <x v="1"/>
    <x v="0"/>
    <s v="Road"/>
    <x v="1"/>
    <n v="2.4"/>
    <n v="168"/>
    <n v="3"/>
    <n v="3"/>
    <n v="1"/>
    <n v="0"/>
    <n v="9.1999999999999993"/>
    <n v="0"/>
    <n v="1"/>
  </r>
  <r>
    <s v="SHP-501343"/>
    <d v="2024-07-22T00:00:00"/>
    <x v="0"/>
    <s v="Q3"/>
    <x v="6"/>
    <x v="4"/>
    <x v="2"/>
    <x v="0"/>
    <x v="0"/>
    <s v="Road"/>
    <x v="1"/>
    <n v="4.0999999999999996"/>
    <n v="803"/>
    <n v="4"/>
    <n v="8"/>
    <n v="0"/>
    <n v="4"/>
    <n v="18.350000000000001"/>
    <n v="0"/>
    <n v="1"/>
  </r>
  <r>
    <s v="SHP-501344"/>
    <d v="2024-07-22T00:00:00"/>
    <x v="0"/>
    <s v="Q3"/>
    <x v="6"/>
    <x v="2"/>
    <x v="2"/>
    <x v="0"/>
    <x v="0"/>
    <s v="Road"/>
    <x v="1"/>
    <n v="16.7"/>
    <n v="959"/>
    <n v="4"/>
    <n v="6"/>
    <n v="0"/>
    <n v="2"/>
    <n v="25.59"/>
    <n v="0"/>
    <n v="1"/>
  </r>
  <r>
    <s v="SHP-501345"/>
    <d v="2024-07-22T00:00:00"/>
    <x v="0"/>
    <s v="Q3"/>
    <x v="6"/>
    <x v="3"/>
    <x v="1"/>
    <x v="0"/>
    <x v="2"/>
    <s v="Air"/>
    <x v="0"/>
    <n v="173.3"/>
    <n v="862"/>
    <n v="2"/>
    <n v="2"/>
    <n v="1"/>
    <n v="0"/>
    <n v="314.32"/>
    <n v="0"/>
    <n v="1"/>
  </r>
  <r>
    <s v="SHP-501346"/>
    <d v="2024-07-22T00:00:00"/>
    <x v="0"/>
    <s v="Q3"/>
    <x v="6"/>
    <x v="4"/>
    <x v="2"/>
    <x v="0"/>
    <x v="0"/>
    <s v="Road"/>
    <x v="1"/>
    <n v="1.7"/>
    <n v="1029"/>
    <n v="4"/>
    <n v="4"/>
    <n v="1"/>
    <n v="0"/>
    <n v="19.63"/>
    <n v="0"/>
    <n v="1"/>
  </r>
  <r>
    <s v="SHP-501347"/>
    <d v="2024-07-22T00:00:00"/>
    <x v="0"/>
    <s v="Q3"/>
    <x v="6"/>
    <x v="1"/>
    <x v="2"/>
    <x v="3"/>
    <x v="0"/>
    <s v="Road"/>
    <x v="1"/>
    <n v="5.6"/>
    <n v="478"/>
    <n v="4"/>
    <n v="5"/>
    <n v="0"/>
    <n v="1"/>
    <n v="17.329999999999998"/>
    <n v="0"/>
    <n v="1"/>
  </r>
  <r>
    <s v="SHP-501348"/>
    <d v="2024-07-23T00:00:00"/>
    <x v="0"/>
    <s v="Q3"/>
    <x v="6"/>
    <x v="2"/>
    <x v="0"/>
    <x v="0"/>
    <x v="0"/>
    <s v="Road"/>
    <x v="0"/>
    <n v="12.2"/>
    <n v="980"/>
    <n v="4"/>
    <n v="4"/>
    <n v="1"/>
    <n v="0"/>
    <n v="22.92"/>
    <n v="0"/>
    <n v="1"/>
  </r>
  <r>
    <s v="SHP-501349"/>
    <d v="2024-07-23T00:00:00"/>
    <x v="0"/>
    <s v="Q3"/>
    <x v="6"/>
    <x v="1"/>
    <x v="1"/>
    <x v="3"/>
    <x v="2"/>
    <s v="Road"/>
    <x v="1"/>
    <n v="12.2"/>
    <n v="527"/>
    <n v="2"/>
    <n v="2"/>
    <n v="1"/>
    <n v="0"/>
    <n v="40.43"/>
    <n v="0"/>
    <n v="1"/>
  </r>
  <r>
    <s v="SHP-501350"/>
    <d v="2024-07-23T00:00:00"/>
    <x v="0"/>
    <s v="Q3"/>
    <x v="6"/>
    <x v="2"/>
    <x v="2"/>
    <x v="3"/>
    <x v="2"/>
    <s v="Road"/>
    <x v="1"/>
    <n v="2.1"/>
    <n v="402"/>
    <n v="2"/>
    <n v="1"/>
    <n v="1"/>
    <n v="0"/>
    <n v="21.81"/>
    <n v="0"/>
    <n v="1"/>
  </r>
  <r>
    <s v="SHP-501351"/>
    <d v="2024-07-23T00:00:00"/>
    <x v="0"/>
    <s v="Q3"/>
    <x v="6"/>
    <x v="4"/>
    <x v="2"/>
    <x v="0"/>
    <x v="0"/>
    <s v="Road"/>
    <x v="0"/>
    <n v="83.3"/>
    <n v="663"/>
    <n v="4"/>
    <n v="4"/>
    <n v="1"/>
    <n v="0"/>
    <n v="55.69"/>
    <n v="0"/>
    <n v="1"/>
  </r>
  <r>
    <s v="SHP-501352"/>
    <d v="2024-07-23T00:00:00"/>
    <x v="0"/>
    <s v="Q3"/>
    <x v="6"/>
    <x v="3"/>
    <x v="2"/>
    <x v="1"/>
    <x v="0"/>
    <s v="Road"/>
    <x v="0"/>
    <n v="164.8"/>
    <n v="260"/>
    <n v="3"/>
    <n v="3"/>
    <n v="1"/>
    <n v="0"/>
    <n v="86.21"/>
    <n v="0"/>
    <n v="1"/>
  </r>
  <r>
    <s v="SHP-501353"/>
    <d v="2024-07-23T00:00:00"/>
    <x v="0"/>
    <s v="Q3"/>
    <x v="6"/>
    <x v="2"/>
    <x v="2"/>
    <x v="2"/>
    <x v="2"/>
    <s v="Air"/>
    <x v="0"/>
    <n v="53.2"/>
    <n v="1056"/>
    <n v="3"/>
    <n v="2"/>
    <n v="1"/>
    <n v="0"/>
    <n v="139.88999999999999"/>
    <n v="0"/>
    <n v="1"/>
  </r>
  <r>
    <s v="SHP-501354"/>
    <d v="2024-07-24T00:00:00"/>
    <x v="0"/>
    <s v="Q3"/>
    <x v="6"/>
    <x v="1"/>
    <x v="2"/>
    <x v="4"/>
    <x v="2"/>
    <s v="Air"/>
    <x v="1"/>
    <n v="6.6"/>
    <n v="814"/>
    <n v="3"/>
    <n v="2"/>
    <n v="1"/>
    <n v="0"/>
    <n v="65.66"/>
    <n v="0"/>
    <n v="1"/>
  </r>
  <r>
    <s v="SHP-501355"/>
    <d v="2024-07-24T00:00:00"/>
    <x v="0"/>
    <s v="Q3"/>
    <x v="6"/>
    <x v="1"/>
    <x v="1"/>
    <x v="1"/>
    <x v="2"/>
    <s v="Road"/>
    <x v="0"/>
    <n v="20.5"/>
    <n v="213"/>
    <n v="1"/>
    <n v="1"/>
    <n v="1"/>
    <n v="0"/>
    <n v="37.659999999999997"/>
    <n v="0"/>
    <n v="1"/>
  </r>
  <r>
    <s v="SHP-501356"/>
    <d v="2024-07-24T00:00:00"/>
    <x v="0"/>
    <s v="Q3"/>
    <x v="6"/>
    <x v="2"/>
    <x v="0"/>
    <x v="2"/>
    <x v="0"/>
    <s v="Road"/>
    <x v="1"/>
    <n v="7.1"/>
    <n v="1296"/>
    <n v="5"/>
    <n v="5"/>
    <n v="1"/>
    <n v="0"/>
    <n v="23.23"/>
    <n v="0"/>
    <n v="1"/>
  </r>
  <r>
    <s v="SHP-501357"/>
    <d v="2024-07-24T00:00:00"/>
    <x v="0"/>
    <s v="Q3"/>
    <x v="6"/>
    <x v="4"/>
    <x v="0"/>
    <x v="0"/>
    <x v="1"/>
    <s v="Road"/>
    <x v="0"/>
    <n v="29.9"/>
    <n v="881"/>
    <n v="6"/>
    <n v="6"/>
    <n v="1"/>
    <n v="0"/>
    <n v="22.63"/>
    <n v="0"/>
    <n v="1"/>
  </r>
  <r>
    <s v="SHP-501358"/>
    <d v="2024-07-24T00:00:00"/>
    <x v="0"/>
    <s v="Q3"/>
    <x v="6"/>
    <x v="3"/>
    <x v="1"/>
    <x v="3"/>
    <x v="0"/>
    <s v="Road"/>
    <x v="0"/>
    <n v="277.7"/>
    <n v="403"/>
    <n v="4"/>
    <n v="4"/>
    <n v="1"/>
    <n v="0"/>
    <n v="133.9"/>
    <n v="0"/>
    <n v="1"/>
  </r>
  <r>
    <s v="SHP-501359"/>
    <d v="2024-07-24T00:00:00"/>
    <x v="0"/>
    <s v="Q3"/>
    <x v="6"/>
    <x v="4"/>
    <x v="1"/>
    <x v="1"/>
    <x v="1"/>
    <s v="Road"/>
    <x v="1"/>
    <n v="6"/>
    <n v="199"/>
    <n v="5"/>
    <n v="5"/>
    <n v="1"/>
    <n v="0"/>
    <n v="9.7799999999999994"/>
    <n v="0"/>
    <n v="1"/>
  </r>
  <r>
    <s v="SHP-501360"/>
    <d v="2024-07-25T00:00:00"/>
    <x v="0"/>
    <s v="Q3"/>
    <x v="6"/>
    <x v="4"/>
    <x v="1"/>
    <x v="1"/>
    <x v="0"/>
    <s v="Road"/>
    <x v="1"/>
    <n v="0.7"/>
    <n v="300"/>
    <n v="3"/>
    <n v="3"/>
    <n v="1"/>
    <n v="0"/>
    <n v="9.7100000000000009"/>
    <n v="0"/>
    <n v="1"/>
  </r>
  <r>
    <s v="SHP-501361"/>
    <d v="2024-07-25T00:00:00"/>
    <x v="0"/>
    <s v="Q3"/>
    <x v="6"/>
    <x v="2"/>
    <x v="2"/>
    <x v="1"/>
    <x v="0"/>
    <s v="Road"/>
    <x v="1"/>
    <n v="9.9"/>
    <n v="260"/>
    <n v="3"/>
    <n v="3"/>
    <n v="1"/>
    <n v="0"/>
    <n v="13.26"/>
    <n v="0"/>
    <n v="1"/>
  </r>
  <r>
    <s v="SHP-501362"/>
    <d v="2024-07-25T00:00:00"/>
    <x v="0"/>
    <s v="Q3"/>
    <x v="6"/>
    <x v="2"/>
    <x v="2"/>
    <x v="3"/>
    <x v="1"/>
    <s v="Road"/>
    <x v="0"/>
    <n v="326.5"/>
    <n v="498"/>
    <n v="6"/>
    <n v="8"/>
    <n v="0"/>
    <n v="2"/>
    <n v="83.2"/>
    <n v="0"/>
    <n v="1"/>
  </r>
  <r>
    <s v="SHP-501363"/>
    <d v="2024-07-25T00:00:00"/>
    <x v="0"/>
    <s v="Q3"/>
    <x v="6"/>
    <x v="0"/>
    <x v="1"/>
    <x v="0"/>
    <x v="0"/>
    <s v="Road"/>
    <x v="0"/>
    <n v="84.7"/>
    <n v="1048"/>
    <n v="4"/>
    <n v="3"/>
    <n v="1"/>
    <n v="0"/>
    <n v="52.94"/>
    <n v="0"/>
    <n v="1"/>
  </r>
  <r>
    <s v="SHP-501364"/>
    <d v="2024-07-25T00:00:00"/>
    <x v="0"/>
    <s v="Q3"/>
    <x v="6"/>
    <x v="0"/>
    <x v="2"/>
    <x v="1"/>
    <x v="1"/>
    <s v="Road"/>
    <x v="1"/>
    <n v="4.7"/>
    <n v="325"/>
    <n v="5"/>
    <n v="4"/>
    <n v="1"/>
    <n v="0"/>
    <n v="9.65"/>
    <n v="0"/>
    <n v="1"/>
  </r>
  <r>
    <s v="SHP-501365"/>
    <d v="2024-07-25T00:00:00"/>
    <x v="0"/>
    <s v="Q3"/>
    <x v="6"/>
    <x v="3"/>
    <x v="1"/>
    <x v="2"/>
    <x v="1"/>
    <s v="Road"/>
    <x v="1"/>
    <n v="5.8"/>
    <n v="1441"/>
    <n v="7"/>
    <n v="11"/>
    <n v="0"/>
    <n v="4"/>
    <n v="22.08"/>
    <n v="0"/>
    <n v="1"/>
  </r>
  <r>
    <s v="SHP-501366"/>
    <d v="2024-07-25T00:00:00"/>
    <x v="0"/>
    <s v="Q3"/>
    <x v="6"/>
    <x v="1"/>
    <x v="1"/>
    <x v="4"/>
    <x v="1"/>
    <s v="Road"/>
    <x v="1"/>
    <n v="3.7"/>
    <n v="1018"/>
    <n v="7"/>
    <n v="7"/>
    <n v="1"/>
    <n v="0"/>
    <n v="15.92"/>
    <n v="0"/>
    <n v="1"/>
  </r>
  <r>
    <s v="SHP-501367"/>
    <d v="2024-07-25T00:00:00"/>
    <x v="0"/>
    <s v="Q3"/>
    <x v="6"/>
    <x v="2"/>
    <x v="2"/>
    <x v="3"/>
    <x v="0"/>
    <s v="Road"/>
    <x v="1"/>
    <n v="0.7"/>
    <n v="461"/>
    <n v="4"/>
    <n v="4"/>
    <n v="1"/>
    <n v="0"/>
    <n v="10.36"/>
    <n v="0"/>
    <n v="1"/>
  </r>
  <r>
    <s v="SHP-501368"/>
    <d v="2024-07-25T00:00:00"/>
    <x v="0"/>
    <s v="Q3"/>
    <x v="6"/>
    <x v="1"/>
    <x v="1"/>
    <x v="4"/>
    <x v="0"/>
    <s v="Road"/>
    <x v="0"/>
    <n v="227.1"/>
    <n v="1028"/>
    <n v="5"/>
    <n v="5"/>
    <n v="1"/>
    <n v="0"/>
    <n v="115.56"/>
    <n v="0"/>
    <n v="1"/>
  </r>
  <r>
    <s v="SHP-501369"/>
    <d v="2024-07-26T00:00:00"/>
    <x v="0"/>
    <s v="Q3"/>
    <x v="6"/>
    <x v="3"/>
    <x v="1"/>
    <x v="3"/>
    <x v="0"/>
    <s v="Road"/>
    <x v="0"/>
    <n v="70.900000000000006"/>
    <n v="443"/>
    <n v="4"/>
    <n v="9"/>
    <n v="0"/>
    <n v="5"/>
    <n v="55.39"/>
    <n v="0"/>
    <n v="1"/>
  </r>
  <r>
    <s v="SHP-501370"/>
    <d v="2024-07-26T00:00:00"/>
    <x v="0"/>
    <s v="Q3"/>
    <x v="6"/>
    <x v="1"/>
    <x v="2"/>
    <x v="1"/>
    <x v="0"/>
    <s v="Road"/>
    <x v="0"/>
    <n v="201.4"/>
    <n v="214"/>
    <n v="3"/>
    <n v="2"/>
    <n v="1"/>
    <n v="0"/>
    <n v="94.32"/>
    <n v="0"/>
    <n v="1"/>
  </r>
  <r>
    <s v="SHP-501371"/>
    <d v="2024-07-26T00:00:00"/>
    <x v="0"/>
    <s v="Q3"/>
    <x v="6"/>
    <x v="3"/>
    <x v="1"/>
    <x v="0"/>
    <x v="0"/>
    <s v="Road"/>
    <x v="0"/>
    <n v="305.2"/>
    <n v="878"/>
    <n v="4"/>
    <n v="6"/>
    <n v="0"/>
    <n v="2"/>
    <n v="141.19"/>
    <n v="0"/>
    <n v="1"/>
  </r>
  <r>
    <s v="SHP-501372"/>
    <d v="2024-07-26T00:00:00"/>
    <x v="0"/>
    <s v="Q3"/>
    <x v="6"/>
    <x v="4"/>
    <x v="2"/>
    <x v="1"/>
    <x v="0"/>
    <s v="Road"/>
    <x v="1"/>
    <n v="11.6"/>
    <n v="298"/>
    <n v="3"/>
    <n v="3"/>
    <n v="1"/>
    <n v="0"/>
    <n v="17.809999999999999"/>
    <n v="0"/>
    <n v="1"/>
  </r>
  <r>
    <s v="SHP-501373"/>
    <d v="2024-07-26T00:00:00"/>
    <x v="0"/>
    <s v="Q3"/>
    <x v="6"/>
    <x v="3"/>
    <x v="0"/>
    <x v="3"/>
    <x v="0"/>
    <s v="Road"/>
    <x v="1"/>
    <n v="1.1000000000000001"/>
    <n v="542"/>
    <n v="4"/>
    <n v="4"/>
    <n v="1"/>
    <n v="0"/>
    <n v="14.12"/>
    <n v="0"/>
    <n v="1"/>
  </r>
  <r>
    <s v="SHP-501374"/>
    <d v="2024-07-26T00:00:00"/>
    <x v="0"/>
    <s v="Q3"/>
    <x v="6"/>
    <x v="2"/>
    <x v="2"/>
    <x v="1"/>
    <x v="0"/>
    <s v="Road"/>
    <x v="0"/>
    <n v="146.1"/>
    <n v="296"/>
    <n v="3"/>
    <n v="3"/>
    <n v="1"/>
    <n v="0"/>
    <n v="65.099999999999994"/>
    <n v="0"/>
    <n v="1"/>
  </r>
  <r>
    <s v="SHP-501375"/>
    <d v="2024-07-26T00:00:00"/>
    <x v="0"/>
    <s v="Q3"/>
    <x v="6"/>
    <x v="1"/>
    <x v="2"/>
    <x v="1"/>
    <x v="0"/>
    <s v="Road"/>
    <x v="1"/>
    <n v="16.600000000000001"/>
    <n v="206"/>
    <n v="3"/>
    <n v="3"/>
    <n v="1"/>
    <n v="0"/>
    <n v="18.11"/>
    <n v="0"/>
    <n v="1"/>
  </r>
  <r>
    <s v="SHP-501376"/>
    <d v="2024-07-28T00:00:00"/>
    <x v="0"/>
    <s v="Q3"/>
    <x v="6"/>
    <x v="2"/>
    <x v="0"/>
    <x v="0"/>
    <x v="1"/>
    <s v="Road"/>
    <x v="1"/>
    <n v="4.5999999999999996"/>
    <n v="764"/>
    <n v="6"/>
    <n v="9"/>
    <n v="0"/>
    <n v="3"/>
    <n v="9.91"/>
    <n v="0"/>
    <n v="1"/>
  </r>
  <r>
    <s v="SHP-501377"/>
    <d v="2024-07-28T00:00:00"/>
    <x v="0"/>
    <s v="Q3"/>
    <x v="6"/>
    <x v="4"/>
    <x v="1"/>
    <x v="3"/>
    <x v="0"/>
    <s v="Road"/>
    <x v="1"/>
    <n v="11.1"/>
    <n v="412"/>
    <n v="4"/>
    <n v="4"/>
    <n v="1"/>
    <n v="0"/>
    <n v="18.54"/>
    <n v="0"/>
    <n v="1"/>
  </r>
  <r>
    <s v="SHP-501378"/>
    <d v="2024-07-28T00:00:00"/>
    <x v="0"/>
    <s v="Q3"/>
    <x v="6"/>
    <x v="2"/>
    <x v="1"/>
    <x v="0"/>
    <x v="1"/>
    <s v="Road"/>
    <x v="1"/>
    <n v="9.6"/>
    <n v="1130"/>
    <n v="6"/>
    <n v="6"/>
    <n v="1"/>
    <n v="0"/>
    <n v="16.22"/>
    <n v="0"/>
    <n v="1"/>
  </r>
  <r>
    <s v="SHP-501379"/>
    <d v="2024-07-28T00:00:00"/>
    <x v="0"/>
    <s v="Q3"/>
    <x v="6"/>
    <x v="3"/>
    <x v="1"/>
    <x v="3"/>
    <x v="2"/>
    <s v="Road"/>
    <x v="1"/>
    <n v="2.4"/>
    <n v="403"/>
    <n v="2"/>
    <n v="2"/>
    <n v="1"/>
    <n v="0"/>
    <n v="26.16"/>
    <n v="0"/>
    <n v="1"/>
  </r>
  <r>
    <s v="SHP-501380"/>
    <d v="2024-07-28T00:00:00"/>
    <x v="0"/>
    <s v="Q3"/>
    <x v="6"/>
    <x v="3"/>
    <x v="2"/>
    <x v="4"/>
    <x v="1"/>
    <s v="Road"/>
    <x v="0"/>
    <n v="105.3"/>
    <n v="985"/>
    <n v="7"/>
    <n v="7"/>
    <n v="1"/>
    <n v="0"/>
    <n v="48.72"/>
    <n v="0"/>
    <n v="1"/>
  </r>
  <r>
    <s v="SHP-501381"/>
    <d v="2024-07-28T00:00:00"/>
    <x v="0"/>
    <s v="Q3"/>
    <x v="6"/>
    <x v="2"/>
    <x v="2"/>
    <x v="0"/>
    <x v="0"/>
    <s v="Road"/>
    <x v="0"/>
    <n v="136"/>
    <n v="1074"/>
    <n v="4"/>
    <n v="7"/>
    <n v="0"/>
    <n v="3"/>
    <n v="77.069999999999993"/>
    <n v="0"/>
    <n v="1"/>
  </r>
  <r>
    <s v="SHP-501382"/>
    <d v="2024-07-28T00:00:00"/>
    <x v="0"/>
    <s v="Q3"/>
    <x v="6"/>
    <x v="0"/>
    <x v="2"/>
    <x v="3"/>
    <x v="1"/>
    <s v="Road"/>
    <x v="1"/>
    <n v="4.3"/>
    <n v="483"/>
    <n v="6"/>
    <n v="6"/>
    <n v="1"/>
    <n v="0"/>
    <n v="9.75"/>
    <n v="0"/>
    <n v="1"/>
  </r>
  <r>
    <s v="SHP-501383"/>
    <d v="2024-07-29T00:00:00"/>
    <x v="0"/>
    <s v="Q3"/>
    <x v="6"/>
    <x v="3"/>
    <x v="2"/>
    <x v="3"/>
    <x v="0"/>
    <s v="Road"/>
    <x v="0"/>
    <n v="91.5"/>
    <n v="438"/>
    <n v="4"/>
    <n v="4"/>
    <n v="1"/>
    <n v="0"/>
    <n v="60.47"/>
    <n v="0"/>
    <n v="1"/>
  </r>
  <r>
    <s v="SHP-501384"/>
    <d v="2024-07-29T00:00:00"/>
    <x v="0"/>
    <s v="Q3"/>
    <x v="6"/>
    <x v="2"/>
    <x v="2"/>
    <x v="0"/>
    <x v="2"/>
    <s v="Air"/>
    <x v="1"/>
    <n v="1.7"/>
    <n v="973"/>
    <n v="2"/>
    <n v="3"/>
    <n v="0"/>
    <n v="1"/>
    <n v="50.55"/>
    <n v="0"/>
    <n v="1"/>
  </r>
  <r>
    <s v="SHP-501385"/>
    <d v="2024-07-29T00:00:00"/>
    <x v="0"/>
    <s v="Q3"/>
    <x v="6"/>
    <x v="3"/>
    <x v="2"/>
    <x v="3"/>
    <x v="0"/>
    <s v="Road"/>
    <x v="0"/>
    <n v="45.7"/>
    <n v="331"/>
    <n v="4"/>
    <n v="3"/>
    <n v="1"/>
    <n v="0"/>
    <n v="37.5"/>
    <n v="0"/>
    <n v="1"/>
  </r>
  <r>
    <s v="SHP-501386"/>
    <d v="2024-07-29T00:00:00"/>
    <x v="0"/>
    <s v="Q3"/>
    <x v="6"/>
    <x v="0"/>
    <x v="2"/>
    <x v="3"/>
    <x v="0"/>
    <s v="Road"/>
    <x v="1"/>
    <n v="26.7"/>
    <n v="591"/>
    <n v="4"/>
    <n v="4"/>
    <n v="1"/>
    <n v="0"/>
    <n v="29.35"/>
    <n v="0"/>
    <n v="1"/>
  </r>
  <r>
    <s v="SHP-501387"/>
    <d v="2024-07-29T00:00:00"/>
    <x v="0"/>
    <s v="Q3"/>
    <x v="6"/>
    <x v="3"/>
    <x v="1"/>
    <x v="0"/>
    <x v="0"/>
    <s v="Road"/>
    <x v="0"/>
    <n v="50.7"/>
    <n v="974"/>
    <n v="4"/>
    <n v="4"/>
    <n v="1"/>
    <n v="0"/>
    <n v="47.63"/>
    <n v="0"/>
    <n v="1"/>
  </r>
  <r>
    <s v="SHP-501388"/>
    <d v="2024-07-29T00:00:00"/>
    <x v="0"/>
    <s v="Q3"/>
    <x v="6"/>
    <x v="3"/>
    <x v="1"/>
    <x v="3"/>
    <x v="1"/>
    <s v="Road"/>
    <x v="0"/>
    <n v="64.7"/>
    <n v="455"/>
    <n v="6"/>
    <n v="6"/>
    <n v="1"/>
    <n v="0"/>
    <n v="34.200000000000003"/>
    <n v="0"/>
    <n v="1"/>
  </r>
  <r>
    <s v="SHP-501389"/>
    <d v="2024-07-29T00:00:00"/>
    <x v="0"/>
    <s v="Q3"/>
    <x v="6"/>
    <x v="2"/>
    <x v="2"/>
    <x v="1"/>
    <x v="0"/>
    <s v="Road"/>
    <x v="0"/>
    <n v="238.7"/>
    <n v="194"/>
    <n v="3"/>
    <n v="3"/>
    <n v="1"/>
    <n v="0"/>
    <n v="77.12"/>
    <n v="0"/>
    <n v="1"/>
  </r>
  <r>
    <s v="SHP-501390"/>
    <d v="2024-07-30T00:00:00"/>
    <x v="0"/>
    <s v="Q3"/>
    <x v="6"/>
    <x v="2"/>
    <x v="1"/>
    <x v="2"/>
    <x v="1"/>
    <s v="Road"/>
    <x v="1"/>
    <n v="4"/>
    <n v="1164"/>
    <n v="7"/>
    <n v="6"/>
    <n v="1"/>
    <n v="0"/>
    <n v="12.92"/>
    <n v="0"/>
    <n v="1"/>
  </r>
  <r>
    <s v="SHP-501391"/>
    <d v="2024-07-30T00:00:00"/>
    <x v="0"/>
    <s v="Q3"/>
    <x v="6"/>
    <x v="0"/>
    <x v="2"/>
    <x v="4"/>
    <x v="2"/>
    <s v="Air"/>
    <x v="0"/>
    <n v="95.5"/>
    <n v="989"/>
    <n v="3"/>
    <n v="3"/>
    <n v="1"/>
    <n v="0"/>
    <n v="192.24"/>
    <n v="0"/>
    <n v="1"/>
  </r>
  <r>
    <s v="SHP-501392"/>
    <d v="2024-07-30T00:00:00"/>
    <x v="0"/>
    <s v="Q3"/>
    <x v="6"/>
    <x v="3"/>
    <x v="2"/>
    <x v="0"/>
    <x v="2"/>
    <s v="Air"/>
    <x v="0"/>
    <n v="128.5"/>
    <n v="919"/>
    <n v="2"/>
    <n v="2"/>
    <n v="1"/>
    <n v="0"/>
    <n v="261.36"/>
    <n v="0"/>
    <n v="1"/>
  </r>
  <r>
    <s v="SHP-501393"/>
    <d v="2024-07-30T00:00:00"/>
    <x v="0"/>
    <s v="Q3"/>
    <x v="6"/>
    <x v="1"/>
    <x v="2"/>
    <x v="3"/>
    <x v="0"/>
    <s v="Road"/>
    <x v="0"/>
    <n v="12.3"/>
    <n v="445"/>
    <n v="4"/>
    <n v="4"/>
    <n v="1"/>
    <n v="0"/>
    <n v="20.82"/>
    <n v="0"/>
    <n v="1"/>
  </r>
  <r>
    <s v="SHP-501394"/>
    <d v="2024-07-30T00:00:00"/>
    <x v="0"/>
    <s v="Q3"/>
    <x v="6"/>
    <x v="3"/>
    <x v="1"/>
    <x v="4"/>
    <x v="0"/>
    <s v="Road"/>
    <x v="0"/>
    <n v="13.8"/>
    <n v="1209"/>
    <n v="5"/>
    <n v="6"/>
    <n v="0"/>
    <n v="1"/>
    <n v="30.6"/>
    <n v="0"/>
    <n v="1"/>
  </r>
  <r>
    <s v="SHP-501395"/>
    <d v="2024-07-30T00:00:00"/>
    <x v="0"/>
    <s v="Q3"/>
    <x v="6"/>
    <x v="0"/>
    <x v="2"/>
    <x v="0"/>
    <x v="0"/>
    <s v="Road"/>
    <x v="1"/>
    <n v="4.0999999999999996"/>
    <n v="854"/>
    <n v="4"/>
    <n v="4"/>
    <n v="1"/>
    <n v="0"/>
    <n v="17.28"/>
    <n v="0"/>
    <n v="1"/>
  </r>
  <r>
    <s v="SHP-501396"/>
    <d v="2024-07-30T00:00:00"/>
    <x v="0"/>
    <s v="Q3"/>
    <x v="6"/>
    <x v="2"/>
    <x v="1"/>
    <x v="0"/>
    <x v="1"/>
    <s v="Road"/>
    <x v="1"/>
    <n v="11.8"/>
    <n v="719"/>
    <n v="6"/>
    <n v="6"/>
    <n v="1"/>
    <n v="0"/>
    <n v="13.78"/>
    <n v="0"/>
    <n v="1"/>
  </r>
  <r>
    <s v="SHP-501397"/>
    <d v="2024-07-30T00:00:00"/>
    <x v="0"/>
    <s v="Q3"/>
    <x v="6"/>
    <x v="4"/>
    <x v="0"/>
    <x v="1"/>
    <x v="0"/>
    <s v="Road"/>
    <x v="1"/>
    <n v="3.1"/>
    <n v="255"/>
    <n v="3"/>
    <n v="2"/>
    <n v="1"/>
    <n v="0"/>
    <n v="11.84"/>
    <n v="0"/>
    <n v="1"/>
  </r>
  <r>
    <s v="SHP-501398"/>
    <d v="2024-07-30T00:00:00"/>
    <x v="0"/>
    <s v="Q3"/>
    <x v="6"/>
    <x v="2"/>
    <x v="2"/>
    <x v="3"/>
    <x v="0"/>
    <s v="Road"/>
    <x v="1"/>
    <n v="6.7"/>
    <n v="423"/>
    <n v="4"/>
    <n v="4"/>
    <n v="1"/>
    <n v="0"/>
    <n v="13.81"/>
    <n v="0"/>
    <n v="1"/>
  </r>
  <r>
    <s v="SHP-501399"/>
    <d v="2024-07-31T00:00:00"/>
    <x v="0"/>
    <s v="Q3"/>
    <x v="6"/>
    <x v="1"/>
    <x v="0"/>
    <x v="1"/>
    <x v="0"/>
    <s v="Road"/>
    <x v="0"/>
    <n v="250.3"/>
    <n v="210"/>
    <n v="3"/>
    <n v="2"/>
    <n v="1"/>
    <n v="0"/>
    <n v="108.39"/>
    <n v="0"/>
    <n v="1"/>
  </r>
  <r>
    <s v="SHP-501400"/>
    <d v="2024-07-31T00:00:00"/>
    <x v="0"/>
    <s v="Q3"/>
    <x v="6"/>
    <x v="2"/>
    <x v="1"/>
    <x v="1"/>
    <x v="0"/>
    <s v="Road"/>
    <x v="0"/>
    <n v="113.5"/>
    <n v="247"/>
    <n v="3"/>
    <n v="3"/>
    <n v="1"/>
    <n v="0"/>
    <n v="51.37"/>
    <n v="0"/>
    <n v="1"/>
  </r>
  <r>
    <s v="SHP-501401"/>
    <d v="2024-07-31T00:00:00"/>
    <x v="0"/>
    <s v="Q3"/>
    <x v="6"/>
    <x v="4"/>
    <x v="2"/>
    <x v="4"/>
    <x v="2"/>
    <s v="Air"/>
    <x v="1"/>
    <n v="4.5999999999999996"/>
    <n v="1119"/>
    <n v="3"/>
    <n v="3"/>
    <n v="1"/>
    <n v="0"/>
    <n v="73.25"/>
    <n v="0"/>
    <n v="1"/>
  </r>
  <r>
    <s v="SHP-501402"/>
    <d v="2024-07-31T00:00:00"/>
    <x v="0"/>
    <s v="Q3"/>
    <x v="6"/>
    <x v="0"/>
    <x v="2"/>
    <x v="0"/>
    <x v="0"/>
    <s v="Road"/>
    <x v="1"/>
    <n v="3.1"/>
    <n v="944"/>
    <n v="4"/>
    <n v="4"/>
    <n v="1"/>
    <n v="0"/>
    <n v="18.440000000000001"/>
    <n v="0"/>
    <n v="1"/>
  </r>
  <r>
    <s v="SHP-501403"/>
    <d v="2024-07-31T00:00:00"/>
    <x v="0"/>
    <s v="Q3"/>
    <x v="6"/>
    <x v="3"/>
    <x v="0"/>
    <x v="3"/>
    <x v="0"/>
    <s v="Road"/>
    <x v="0"/>
    <n v="22.4"/>
    <n v="469"/>
    <n v="4"/>
    <n v="4"/>
    <n v="1"/>
    <n v="0"/>
    <n v="28.02"/>
    <n v="0"/>
    <n v="1"/>
  </r>
  <r>
    <s v="SHP-501404"/>
    <d v="2024-08-01T00:00:00"/>
    <x v="0"/>
    <s v="Q3"/>
    <x v="7"/>
    <x v="4"/>
    <x v="1"/>
    <x v="1"/>
    <x v="2"/>
    <s v="Road"/>
    <x v="0"/>
    <n v="8.4"/>
    <n v="225"/>
    <n v="1"/>
    <n v="1"/>
    <n v="1"/>
    <n v="0"/>
    <n v="25.83"/>
    <n v="0"/>
    <n v="1"/>
  </r>
  <r>
    <s v="SHP-501405"/>
    <d v="2024-08-01T00:00:00"/>
    <x v="0"/>
    <s v="Q3"/>
    <x v="7"/>
    <x v="4"/>
    <x v="2"/>
    <x v="4"/>
    <x v="2"/>
    <s v="Air"/>
    <x v="1"/>
    <n v="16.600000000000001"/>
    <n v="1125"/>
    <n v="3"/>
    <n v="3"/>
    <n v="1"/>
    <n v="0"/>
    <n v="84.55"/>
    <n v="0"/>
    <n v="1"/>
  </r>
  <r>
    <s v="SHP-501406"/>
    <d v="2024-08-01T00:00:00"/>
    <x v="0"/>
    <s v="Q3"/>
    <x v="7"/>
    <x v="0"/>
    <x v="1"/>
    <x v="3"/>
    <x v="0"/>
    <s v="Road"/>
    <x v="1"/>
    <n v="1.5"/>
    <n v="436"/>
    <n v="4"/>
    <n v="4"/>
    <n v="1"/>
    <n v="0"/>
    <n v="12.31"/>
    <n v="0"/>
    <n v="1"/>
  </r>
  <r>
    <s v="SHP-501407"/>
    <d v="2024-08-01T00:00:00"/>
    <x v="0"/>
    <s v="Q3"/>
    <x v="7"/>
    <x v="4"/>
    <x v="1"/>
    <x v="1"/>
    <x v="1"/>
    <s v="Road"/>
    <x v="1"/>
    <n v="6.8"/>
    <n v="232"/>
    <n v="5"/>
    <n v="5"/>
    <n v="1"/>
    <n v="0"/>
    <n v="9.7899999999999991"/>
    <n v="0"/>
    <n v="1"/>
  </r>
  <r>
    <s v="SHP-501408"/>
    <d v="2024-08-01T00:00:00"/>
    <x v="0"/>
    <s v="Q3"/>
    <x v="7"/>
    <x v="4"/>
    <x v="2"/>
    <x v="1"/>
    <x v="2"/>
    <s v="Road"/>
    <x v="1"/>
    <n v="20.9"/>
    <n v="212"/>
    <n v="1"/>
    <n v="3"/>
    <n v="0"/>
    <n v="2"/>
    <n v="35.81"/>
    <n v="0"/>
    <n v="1"/>
  </r>
  <r>
    <s v="SHP-501409"/>
    <d v="2024-08-01T00:00:00"/>
    <x v="0"/>
    <s v="Q3"/>
    <x v="7"/>
    <x v="3"/>
    <x v="2"/>
    <x v="1"/>
    <x v="0"/>
    <s v="Road"/>
    <x v="1"/>
    <n v="2.8"/>
    <n v="264"/>
    <n v="3"/>
    <n v="2"/>
    <n v="1"/>
    <n v="0"/>
    <n v="12.54"/>
    <n v="0"/>
    <n v="1"/>
  </r>
  <r>
    <s v="SHP-501410"/>
    <d v="2024-08-01T00:00:00"/>
    <x v="0"/>
    <s v="Q3"/>
    <x v="7"/>
    <x v="2"/>
    <x v="2"/>
    <x v="1"/>
    <x v="2"/>
    <s v="Road"/>
    <x v="0"/>
    <n v="56.1"/>
    <n v="261"/>
    <n v="1"/>
    <n v="1"/>
    <n v="1"/>
    <n v="0"/>
    <n v="63.92"/>
    <n v="0"/>
    <n v="1"/>
  </r>
  <r>
    <s v="SHP-501411"/>
    <d v="2024-08-01T00:00:00"/>
    <x v="0"/>
    <s v="Q3"/>
    <x v="7"/>
    <x v="0"/>
    <x v="1"/>
    <x v="0"/>
    <x v="0"/>
    <s v="Road"/>
    <x v="1"/>
    <n v="7.4"/>
    <n v="981"/>
    <n v="4"/>
    <n v="4"/>
    <n v="1"/>
    <n v="0"/>
    <n v="22.48"/>
    <n v="0"/>
    <n v="1"/>
  </r>
  <r>
    <s v="SHP-501412"/>
    <d v="2024-08-01T00:00:00"/>
    <x v="0"/>
    <s v="Q3"/>
    <x v="7"/>
    <x v="2"/>
    <x v="1"/>
    <x v="4"/>
    <x v="0"/>
    <s v="Road"/>
    <x v="0"/>
    <n v="90.3"/>
    <n v="1175"/>
    <n v="5"/>
    <n v="4"/>
    <n v="1"/>
    <n v="0"/>
    <n v="50.66"/>
    <n v="0"/>
    <n v="1"/>
  </r>
  <r>
    <s v="SHP-501413"/>
    <d v="2024-08-01T00:00:00"/>
    <x v="0"/>
    <s v="Q3"/>
    <x v="7"/>
    <x v="0"/>
    <x v="1"/>
    <x v="4"/>
    <x v="1"/>
    <s v="Road"/>
    <x v="1"/>
    <n v="15"/>
    <n v="1025"/>
    <n v="7"/>
    <n v="7"/>
    <n v="1"/>
    <n v="0"/>
    <n v="20.12"/>
    <n v="0"/>
    <n v="1"/>
  </r>
  <r>
    <s v="SHP-501414"/>
    <d v="2024-08-01T00:00:00"/>
    <x v="0"/>
    <s v="Q3"/>
    <x v="7"/>
    <x v="3"/>
    <x v="2"/>
    <x v="1"/>
    <x v="0"/>
    <s v="Road"/>
    <x v="0"/>
    <n v="182.2"/>
    <n v="293"/>
    <n v="3"/>
    <n v="3"/>
    <n v="1"/>
    <n v="0"/>
    <n v="98.71"/>
    <n v="0"/>
    <n v="1"/>
  </r>
  <r>
    <s v="SHP-501415"/>
    <d v="2024-08-02T00:00:00"/>
    <x v="0"/>
    <s v="Q3"/>
    <x v="7"/>
    <x v="2"/>
    <x v="1"/>
    <x v="3"/>
    <x v="0"/>
    <s v="Road"/>
    <x v="1"/>
    <n v="2"/>
    <n v="532"/>
    <n v="4"/>
    <n v="4"/>
    <n v="1"/>
    <n v="0"/>
    <n v="11.91"/>
    <n v="0"/>
    <n v="1"/>
  </r>
  <r>
    <s v="SHP-501416"/>
    <d v="2024-08-02T00:00:00"/>
    <x v="0"/>
    <s v="Q3"/>
    <x v="7"/>
    <x v="0"/>
    <x v="0"/>
    <x v="3"/>
    <x v="0"/>
    <s v="Road"/>
    <x v="1"/>
    <n v="2.8"/>
    <n v="399"/>
    <n v="4"/>
    <n v="3"/>
    <n v="1"/>
    <n v="0"/>
    <n v="12.29"/>
    <n v="0"/>
    <n v="1"/>
  </r>
  <r>
    <s v="SHP-501417"/>
    <d v="2024-08-02T00:00:00"/>
    <x v="0"/>
    <s v="Q3"/>
    <x v="7"/>
    <x v="3"/>
    <x v="1"/>
    <x v="4"/>
    <x v="0"/>
    <s v="Road"/>
    <x v="1"/>
    <n v="11.1"/>
    <n v="1193"/>
    <n v="5"/>
    <n v="4"/>
    <n v="1"/>
    <n v="0"/>
    <n v="28.49"/>
    <n v="0"/>
    <n v="1"/>
  </r>
  <r>
    <s v="SHP-501418"/>
    <d v="2024-08-02T00:00:00"/>
    <x v="0"/>
    <s v="Q3"/>
    <x v="7"/>
    <x v="4"/>
    <x v="2"/>
    <x v="2"/>
    <x v="1"/>
    <s v="Road"/>
    <x v="1"/>
    <n v="6.1"/>
    <n v="1425"/>
    <n v="7"/>
    <n v="7"/>
    <n v="1"/>
    <n v="0"/>
    <n v="19.54"/>
    <n v="0"/>
    <n v="1"/>
  </r>
  <r>
    <s v="SHP-501419"/>
    <d v="2024-08-02T00:00:00"/>
    <x v="0"/>
    <s v="Q3"/>
    <x v="7"/>
    <x v="3"/>
    <x v="0"/>
    <x v="3"/>
    <x v="0"/>
    <s v="Road"/>
    <x v="1"/>
    <n v="5.8"/>
    <n v="441"/>
    <n v="4"/>
    <n v="4"/>
    <n v="1"/>
    <n v="0"/>
    <n v="18.96"/>
    <n v="0"/>
    <n v="1"/>
  </r>
  <r>
    <s v="SHP-501420"/>
    <d v="2024-08-02T00:00:00"/>
    <x v="0"/>
    <s v="Q3"/>
    <x v="7"/>
    <x v="2"/>
    <x v="2"/>
    <x v="1"/>
    <x v="0"/>
    <s v="Road"/>
    <x v="1"/>
    <n v="8.1999999999999993"/>
    <n v="214"/>
    <n v="3"/>
    <n v="4"/>
    <n v="0"/>
    <n v="1"/>
    <n v="12.58"/>
    <n v="0"/>
    <n v="1"/>
  </r>
  <r>
    <s v="SHP-501421"/>
    <d v="2024-08-02T00:00:00"/>
    <x v="0"/>
    <s v="Q3"/>
    <x v="7"/>
    <x v="3"/>
    <x v="2"/>
    <x v="1"/>
    <x v="1"/>
    <s v="Road"/>
    <x v="0"/>
    <n v="52"/>
    <n v="258"/>
    <n v="5"/>
    <n v="5"/>
    <n v="1"/>
    <n v="0"/>
    <n v="27.02"/>
    <n v="0"/>
    <n v="1"/>
  </r>
  <r>
    <s v="SHP-501422"/>
    <d v="2024-08-03T00:00:00"/>
    <x v="0"/>
    <s v="Q3"/>
    <x v="7"/>
    <x v="4"/>
    <x v="1"/>
    <x v="4"/>
    <x v="0"/>
    <s v="Road"/>
    <x v="1"/>
    <n v="2.7"/>
    <n v="1252"/>
    <n v="5"/>
    <n v="5"/>
    <n v="1"/>
    <n v="0"/>
    <n v="24.09"/>
    <n v="0"/>
    <n v="1"/>
  </r>
  <r>
    <s v="SHP-501423"/>
    <d v="2024-08-03T00:00:00"/>
    <x v="0"/>
    <s v="Q3"/>
    <x v="7"/>
    <x v="1"/>
    <x v="1"/>
    <x v="2"/>
    <x v="1"/>
    <s v="Road"/>
    <x v="1"/>
    <n v="3.5"/>
    <n v="1452"/>
    <n v="7"/>
    <n v="7"/>
    <n v="1"/>
    <n v="0"/>
    <n v="22.22"/>
    <n v="0"/>
    <n v="1"/>
  </r>
  <r>
    <s v="SHP-501424"/>
    <d v="2024-08-03T00:00:00"/>
    <x v="0"/>
    <s v="Q3"/>
    <x v="7"/>
    <x v="4"/>
    <x v="1"/>
    <x v="3"/>
    <x v="2"/>
    <s v="Road"/>
    <x v="1"/>
    <n v="5.3"/>
    <n v="388"/>
    <n v="2"/>
    <n v="2"/>
    <n v="1"/>
    <n v="0"/>
    <n v="26.01"/>
    <n v="0"/>
    <n v="1"/>
  </r>
  <r>
    <s v="SHP-501425"/>
    <d v="2024-08-04T00:00:00"/>
    <x v="0"/>
    <s v="Q3"/>
    <x v="7"/>
    <x v="4"/>
    <x v="1"/>
    <x v="1"/>
    <x v="1"/>
    <s v="Road"/>
    <x v="0"/>
    <n v="69.7"/>
    <n v="281"/>
    <n v="5"/>
    <n v="5"/>
    <n v="1"/>
    <n v="0"/>
    <n v="34.22"/>
    <n v="0"/>
    <n v="1"/>
  </r>
  <r>
    <s v="SHP-501426"/>
    <d v="2024-08-04T00:00:00"/>
    <x v="0"/>
    <s v="Q3"/>
    <x v="7"/>
    <x v="4"/>
    <x v="2"/>
    <x v="3"/>
    <x v="2"/>
    <s v="Road"/>
    <x v="0"/>
    <n v="124.6"/>
    <n v="554"/>
    <n v="2"/>
    <n v="2"/>
    <n v="1"/>
    <n v="0"/>
    <n v="132.97"/>
    <n v="0"/>
    <n v="1"/>
  </r>
  <r>
    <s v="SHP-501427"/>
    <d v="2024-08-04T00:00:00"/>
    <x v="0"/>
    <s v="Q3"/>
    <x v="7"/>
    <x v="2"/>
    <x v="2"/>
    <x v="1"/>
    <x v="0"/>
    <s v="Road"/>
    <x v="1"/>
    <n v="4.7"/>
    <n v="324"/>
    <n v="3"/>
    <n v="2"/>
    <n v="1"/>
    <n v="0"/>
    <n v="10.69"/>
    <n v="0"/>
    <n v="1"/>
  </r>
  <r>
    <s v="SHP-501428"/>
    <d v="2024-08-05T00:00:00"/>
    <x v="0"/>
    <s v="Q3"/>
    <x v="7"/>
    <x v="0"/>
    <x v="2"/>
    <x v="1"/>
    <x v="2"/>
    <s v="Road"/>
    <x v="1"/>
    <n v="1.4"/>
    <n v="177"/>
    <n v="1"/>
    <n v="1"/>
    <n v="1"/>
    <n v="0"/>
    <n v="16.670000000000002"/>
    <n v="0"/>
    <n v="1"/>
  </r>
  <r>
    <s v="SHP-501429"/>
    <d v="2024-08-05T00:00:00"/>
    <x v="0"/>
    <s v="Q3"/>
    <x v="7"/>
    <x v="1"/>
    <x v="2"/>
    <x v="1"/>
    <x v="1"/>
    <s v="Road"/>
    <x v="1"/>
    <n v="2.4"/>
    <n v="228"/>
    <n v="5"/>
    <n v="5"/>
    <n v="1"/>
    <n v="0"/>
    <n v="7.68"/>
    <n v="0"/>
    <n v="1"/>
  </r>
  <r>
    <s v="SHP-501430"/>
    <d v="2024-08-05T00:00:00"/>
    <x v="0"/>
    <s v="Q3"/>
    <x v="7"/>
    <x v="1"/>
    <x v="1"/>
    <x v="0"/>
    <x v="0"/>
    <s v="Road"/>
    <x v="0"/>
    <n v="103.2"/>
    <n v="877"/>
    <n v="4"/>
    <n v="4"/>
    <n v="1"/>
    <n v="0"/>
    <n v="63.34"/>
    <n v="0"/>
    <n v="1"/>
  </r>
  <r>
    <s v="SHP-501431"/>
    <d v="2024-08-05T00:00:00"/>
    <x v="0"/>
    <s v="Q3"/>
    <x v="7"/>
    <x v="2"/>
    <x v="0"/>
    <x v="0"/>
    <x v="0"/>
    <s v="Road"/>
    <x v="0"/>
    <n v="85"/>
    <n v="774"/>
    <n v="4"/>
    <n v="3"/>
    <n v="1"/>
    <n v="0"/>
    <n v="43.16"/>
    <n v="0"/>
    <n v="1"/>
  </r>
  <r>
    <s v="SHP-501432"/>
    <d v="2024-08-05T00:00:00"/>
    <x v="0"/>
    <s v="Q3"/>
    <x v="7"/>
    <x v="3"/>
    <x v="2"/>
    <x v="3"/>
    <x v="0"/>
    <s v="Road"/>
    <x v="0"/>
    <n v="61.4"/>
    <n v="512"/>
    <n v="4"/>
    <n v="8"/>
    <n v="0"/>
    <n v="4"/>
    <n v="46.32"/>
    <n v="0"/>
    <n v="1"/>
  </r>
  <r>
    <s v="SHP-501433"/>
    <d v="2024-08-05T00:00:00"/>
    <x v="0"/>
    <s v="Q3"/>
    <x v="7"/>
    <x v="4"/>
    <x v="0"/>
    <x v="1"/>
    <x v="1"/>
    <s v="Road"/>
    <x v="1"/>
    <n v="12.6"/>
    <n v="264"/>
    <n v="5"/>
    <n v="4"/>
    <n v="1"/>
    <n v="0"/>
    <n v="12.44"/>
    <n v="0"/>
    <n v="1"/>
  </r>
  <r>
    <s v="SHP-501434"/>
    <d v="2024-08-06T00:00:00"/>
    <x v="0"/>
    <s v="Q3"/>
    <x v="7"/>
    <x v="2"/>
    <x v="1"/>
    <x v="1"/>
    <x v="1"/>
    <s v="Road"/>
    <x v="1"/>
    <n v="12.1"/>
    <n v="255"/>
    <n v="5"/>
    <n v="5"/>
    <n v="1"/>
    <n v="0"/>
    <n v="10.31"/>
    <n v="0"/>
    <n v="1"/>
  </r>
  <r>
    <s v="SHP-501435"/>
    <d v="2024-08-06T00:00:00"/>
    <x v="0"/>
    <s v="Q3"/>
    <x v="7"/>
    <x v="2"/>
    <x v="2"/>
    <x v="1"/>
    <x v="2"/>
    <s v="Road"/>
    <x v="1"/>
    <n v="13.5"/>
    <n v="289"/>
    <n v="1"/>
    <n v="1"/>
    <n v="1"/>
    <n v="0"/>
    <n v="29.65"/>
    <n v="0"/>
    <n v="1"/>
  </r>
  <r>
    <s v="SHP-501436"/>
    <d v="2024-08-06T00:00:00"/>
    <x v="0"/>
    <s v="Q3"/>
    <x v="7"/>
    <x v="4"/>
    <x v="0"/>
    <x v="3"/>
    <x v="1"/>
    <s v="Road"/>
    <x v="1"/>
    <n v="2.9"/>
    <n v="511"/>
    <n v="6"/>
    <n v="6"/>
    <n v="1"/>
    <n v="0"/>
    <n v="10.53"/>
    <n v="0"/>
    <n v="1"/>
  </r>
  <r>
    <s v="SHP-501437"/>
    <d v="2024-08-06T00:00:00"/>
    <x v="0"/>
    <s v="Q3"/>
    <x v="7"/>
    <x v="0"/>
    <x v="1"/>
    <x v="1"/>
    <x v="2"/>
    <s v="Road"/>
    <x v="0"/>
    <n v="86.9"/>
    <n v="247"/>
    <n v="1"/>
    <n v="1"/>
    <n v="1"/>
    <n v="0"/>
    <n v="92.2"/>
    <n v="0"/>
    <n v="1"/>
  </r>
  <r>
    <s v="SHP-501438"/>
    <d v="2024-08-06T00:00:00"/>
    <x v="0"/>
    <s v="Q3"/>
    <x v="7"/>
    <x v="1"/>
    <x v="1"/>
    <x v="1"/>
    <x v="2"/>
    <s v="Road"/>
    <x v="1"/>
    <n v="1.8"/>
    <n v="275"/>
    <n v="1"/>
    <n v="1"/>
    <n v="1"/>
    <n v="0"/>
    <n v="20.69"/>
    <n v="0"/>
    <n v="1"/>
  </r>
  <r>
    <s v="SHP-501439"/>
    <d v="2024-08-06T00:00:00"/>
    <x v="0"/>
    <s v="Q3"/>
    <x v="7"/>
    <x v="0"/>
    <x v="1"/>
    <x v="0"/>
    <x v="0"/>
    <s v="Road"/>
    <x v="1"/>
    <n v="10.1"/>
    <n v="627"/>
    <n v="4"/>
    <n v="4"/>
    <n v="1"/>
    <n v="0"/>
    <n v="18.79"/>
    <n v="0"/>
    <n v="1"/>
  </r>
  <r>
    <s v="SHP-501440"/>
    <d v="2024-08-07T00:00:00"/>
    <x v="0"/>
    <s v="Q3"/>
    <x v="7"/>
    <x v="4"/>
    <x v="1"/>
    <x v="3"/>
    <x v="0"/>
    <s v="Road"/>
    <x v="0"/>
    <n v="90.6"/>
    <n v="515"/>
    <n v="4"/>
    <n v="4"/>
    <n v="1"/>
    <n v="0"/>
    <n v="52.5"/>
    <n v="0"/>
    <n v="1"/>
  </r>
  <r>
    <s v="SHP-501441"/>
    <d v="2024-08-07T00:00:00"/>
    <x v="0"/>
    <s v="Q3"/>
    <x v="7"/>
    <x v="1"/>
    <x v="2"/>
    <x v="1"/>
    <x v="0"/>
    <s v="Road"/>
    <x v="1"/>
    <n v="18.3"/>
    <n v="251"/>
    <n v="3"/>
    <n v="3"/>
    <n v="1"/>
    <n v="0"/>
    <n v="21"/>
    <n v="0"/>
    <n v="1"/>
  </r>
  <r>
    <s v="SHP-501442"/>
    <d v="2024-08-07T00:00:00"/>
    <x v="0"/>
    <s v="Q3"/>
    <x v="7"/>
    <x v="1"/>
    <x v="2"/>
    <x v="3"/>
    <x v="1"/>
    <s v="Road"/>
    <x v="1"/>
    <n v="4.5999999999999996"/>
    <n v="426"/>
    <n v="6"/>
    <n v="6"/>
    <n v="1"/>
    <n v="0"/>
    <n v="10.9"/>
    <n v="0"/>
    <n v="1"/>
  </r>
  <r>
    <s v="SHP-501443"/>
    <d v="2024-08-07T00:00:00"/>
    <x v="0"/>
    <s v="Q3"/>
    <x v="7"/>
    <x v="4"/>
    <x v="1"/>
    <x v="3"/>
    <x v="2"/>
    <s v="Road"/>
    <x v="0"/>
    <n v="115"/>
    <n v="505"/>
    <n v="2"/>
    <n v="2"/>
    <n v="1"/>
    <n v="0"/>
    <n v="132.62"/>
    <n v="0"/>
    <n v="1"/>
  </r>
  <r>
    <s v="SHP-501444"/>
    <d v="2024-08-07T00:00:00"/>
    <x v="0"/>
    <s v="Q3"/>
    <x v="7"/>
    <x v="4"/>
    <x v="2"/>
    <x v="3"/>
    <x v="0"/>
    <s v="Road"/>
    <x v="1"/>
    <n v="7.3"/>
    <n v="485"/>
    <n v="4"/>
    <n v="4"/>
    <n v="1"/>
    <n v="0"/>
    <n v="16.239999999999998"/>
    <n v="0"/>
    <n v="1"/>
  </r>
  <r>
    <s v="SHP-501445"/>
    <d v="2024-08-07T00:00:00"/>
    <x v="0"/>
    <s v="Q3"/>
    <x v="7"/>
    <x v="1"/>
    <x v="1"/>
    <x v="2"/>
    <x v="1"/>
    <s v="Road"/>
    <x v="0"/>
    <n v="151.4"/>
    <n v="1497"/>
    <n v="7"/>
    <n v="7"/>
    <n v="1"/>
    <n v="0"/>
    <n v="70.7"/>
    <n v="0"/>
    <n v="1"/>
  </r>
  <r>
    <s v="SHP-501446"/>
    <d v="2024-08-07T00:00:00"/>
    <x v="0"/>
    <s v="Q3"/>
    <x v="7"/>
    <x v="2"/>
    <x v="1"/>
    <x v="4"/>
    <x v="0"/>
    <s v="Road"/>
    <x v="1"/>
    <n v="10.6"/>
    <n v="914"/>
    <n v="5"/>
    <n v="5"/>
    <n v="1"/>
    <n v="0"/>
    <n v="19.68"/>
    <n v="0"/>
    <n v="1"/>
  </r>
  <r>
    <s v="SHP-501447"/>
    <d v="2024-08-07T00:00:00"/>
    <x v="0"/>
    <s v="Q3"/>
    <x v="7"/>
    <x v="2"/>
    <x v="1"/>
    <x v="3"/>
    <x v="0"/>
    <s v="Road"/>
    <x v="0"/>
    <n v="127.1"/>
    <n v="497"/>
    <n v="4"/>
    <n v="4"/>
    <n v="1"/>
    <n v="0"/>
    <n v="53.83"/>
    <n v="0"/>
    <n v="1"/>
  </r>
  <r>
    <s v="SHP-501448"/>
    <d v="2024-08-08T00:00:00"/>
    <x v="0"/>
    <s v="Q3"/>
    <x v="7"/>
    <x v="1"/>
    <x v="1"/>
    <x v="1"/>
    <x v="2"/>
    <s v="Road"/>
    <x v="0"/>
    <n v="57.8"/>
    <n v="306"/>
    <n v="1"/>
    <n v="1"/>
    <n v="1"/>
    <n v="0"/>
    <n v="82.04"/>
    <n v="0"/>
    <n v="1"/>
  </r>
  <r>
    <s v="SHP-501449"/>
    <d v="2024-08-08T00:00:00"/>
    <x v="0"/>
    <s v="Q3"/>
    <x v="7"/>
    <x v="2"/>
    <x v="1"/>
    <x v="1"/>
    <x v="0"/>
    <s v="Road"/>
    <x v="1"/>
    <n v="9.1999999999999993"/>
    <n v="277"/>
    <n v="3"/>
    <n v="3"/>
    <n v="1"/>
    <n v="0"/>
    <n v="12.71"/>
    <n v="0"/>
    <n v="1"/>
  </r>
  <r>
    <s v="SHP-501450"/>
    <d v="2024-08-08T00:00:00"/>
    <x v="0"/>
    <s v="Q3"/>
    <x v="7"/>
    <x v="4"/>
    <x v="1"/>
    <x v="3"/>
    <x v="1"/>
    <s v="Road"/>
    <x v="1"/>
    <n v="4.4000000000000004"/>
    <n v="392"/>
    <n v="6"/>
    <n v="8"/>
    <n v="0"/>
    <n v="2"/>
    <n v="11.08"/>
    <n v="0"/>
    <n v="1"/>
  </r>
  <r>
    <s v="SHP-501451"/>
    <d v="2024-08-08T00:00:00"/>
    <x v="0"/>
    <s v="Q3"/>
    <x v="7"/>
    <x v="0"/>
    <x v="1"/>
    <x v="1"/>
    <x v="0"/>
    <s v="Road"/>
    <x v="1"/>
    <n v="4.5999999999999996"/>
    <n v="253"/>
    <n v="3"/>
    <n v="2"/>
    <n v="1"/>
    <n v="0"/>
    <n v="12.98"/>
    <n v="0"/>
    <n v="1"/>
  </r>
  <r>
    <s v="SHP-501452"/>
    <d v="2024-08-08T00:00:00"/>
    <x v="0"/>
    <s v="Q3"/>
    <x v="7"/>
    <x v="3"/>
    <x v="2"/>
    <x v="4"/>
    <x v="0"/>
    <s v="Road"/>
    <x v="1"/>
    <n v="4.0999999999999996"/>
    <n v="1082"/>
    <n v="5"/>
    <n v="5"/>
    <n v="1"/>
    <n v="0"/>
    <n v="24.86"/>
    <n v="0"/>
    <n v="1"/>
  </r>
  <r>
    <s v="SHP-501453"/>
    <d v="2024-08-08T00:00:00"/>
    <x v="0"/>
    <s v="Q3"/>
    <x v="7"/>
    <x v="3"/>
    <x v="2"/>
    <x v="2"/>
    <x v="0"/>
    <s v="Road"/>
    <x v="1"/>
    <n v="5.0999999999999996"/>
    <n v="1292"/>
    <n v="5"/>
    <n v="4"/>
    <n v="1"/>
    <n v="0"/>
    <n v="30.35"/>
    <n v="0"/>
    <n v="1"/>
  </r>
  <r>
    <s v="SHP-501454"/>
    <d v="2024-08-08T00:00:00"/>
    <x v="0"/>
    <s v="Q3"/>
    <x v="7"/>
    <x v="1"/>
    <x v="2"/>
    <x v="0"/>
    <x v="1"/>
    <s v="Road"/>
    <x v="1"/>
    <n v="7.4"/>
    <n v="668"/>
    <n v="6"/>
    <n v="5"/>
    <n v="1"/>
    <n v="0"/>
    <n v="14.54"/>
    <n v="0"/>
    <n v="1"/>
  </r>
  <r>
    <s v="SHP-501455"/>
    <d v="2024-08-08T00:00:00"/>
    <x v="0"/>
    <s v="Q3"/>
    <x v="7"/>
    <x v="2"/>
    <x v="2"/>
    <x v="2"/>
    <x v="0"/>
    <s v="Road"/>
    <x v="1"/>
    <n v="5.9"/>
    <n v="1242"/>
    <n v="5"/>
    <n v="6"/>
    <n v="0"/>
    <n v="1"/>
    <n v="19.87"/>
    <n v="0"/>
    <n v="1"/>
  </r>
  <r>
    <s v="SHP-501456"/>
    <d v="2024-08-08T00:00:00"/>
    <x v="0"/>
    <s v="Q3"/>
    <x v="7"/>
    <x v="0"/>
    <x v="1"/>
    <x v="3"/>
    <x v="0"/>
    <s v="Road"/>
    <x v="0"/>
    <n v="424.8"/>
    <n v="577"/>
    <n v="4"/>
    <n v="4"/>
    <n v="1"/>
    <n v="0"/>
    <n v="174.97"/>
    <n v="0"/>
    <n v="1"/>
  </r>
  <r>
    <s v="SHP-501457"/>
    <d v="2024-08-08T00:00:00"/>
    <x v="0"/>
    <s v="Q3"/>
    <x v="7"/>
    <x v="2"/>
    <x v="1"/>
    <x v="0"/>
    <x v="2"/>
    <s v="Air"/>
    <x v="1"/>
    <n v="6.3"/>
    <n v="945"/>
    <n v="2"/>
    <n v="4"/>
    <n v="0"/>
    <n v="2"/>
    <n v="52.78"/>
    <n v="0"/>
    <n v="1"/>
  </r>
  <r>
    <s v="SHP-501458"/>
    <d v="2024-08-08T00:00:00"/>
    <x v="0"/>
    <s v="Q3"/>
    <x v="7"/>
    <x v="0"/>
    <x v="1"/>
    <x v="0"/>
    <x v="0"/>
    <s v="Road"/>
    <x v="0"/>
    <n v="89.9"/>
    <n v="729"/>
    <n v="4"/>
    <n v="4"/>
    <n v="1"/>
    <n v="0"/>
    <n v="54.19"/>
    <n v="0"/>
    <n v="1"/>
  </r>
  <r>
    <s v="SHP-501459"/>
    <d v="2024-08-08T00:00:00"/>
    <x v="0"/>
    <s v="Q3"/>
    <x v="7"/>
    <x v="0"/>
    <x v="0"/>
    <x v="1"/>
    <x v="0"/>
    <s v="Road"/>
    <x v="0"/>
    <n v="16.5"/>
    <n v="277"/>
    <n v="3"/>
    <n v="3"/>
    <n v="1"/>
    <n v="0"/>
    <n v="18.190000000000001"/>
    <n v="0"/>
    <n v="1"/>
  </r>
  <r>
    <s v="SHP-501460"/>
    <d v="2024-08-08T00:00:00"/>
    <x v="0"/>
    <s v="Q3"/>
    <x v="7"/>
    <x v="2"/>
    <x v="0"/>
    <x v="1"/>
    <x v="1"/>
    <s v="Road"/>
    <x v="0"/>
    <n v="47.7"/>
    <n v="219"/>
    <n v="5"/>
    <n v="7"/>
    <n v="0"/>
    <n v="2"/>
    <n v="21.45"/>
    <n v="0"/>
    <n v="1"/>
  </r>
  <r>
    <s v="SHP-501461"/>
    <d v="2024-08-09T00:00:00"/>
    <x v="0"/>
    <s v="Q3"/>
    <x v="7"/>
    <x v="2"/>
    <x v="0"/>
    <x v="0"/>
    <x v="0"/>
    <s v="Road"/>
    <x v="1"/>
    <n v="5.2"/>
    <n v="1050"/>
    <n v="4"/>
    <n v="3"/>
    <n v="1"/>
    <n v="0"/>
    <n v="18.36"/>
    <n v="0"/>
    <n v="1"/>
  </r>
  <r>
    <s v="SHP-501462"/>
    <d v="2024-08-09T00:00:00"/>
    <x v="0"/>
    <s v="Q3"/>
    <x v="7"/>
    <x v="4"/>
    <x v="2"/>
    <x v="2"/>
    <x v="0"/>
    <s v="Road"/>
    <x v="0"/>
    <n v="242.9"/>
    <n v="1300"/>
    <n v="5"/>
    <n v="5"/>
    <n v="1"/>
    <n v="0"/>
    <n v="118.5"/>
    <n v="0"/>
    <n v="1"/>
  </r>
  <r>
    <s v="SHP-501463"/>
    <d v="2024-08-09T00:00:00"/>
    <x v="0"/>
    <s v="Q3"/>
    <x v="7"/>
    <x v="3"/>
    <x v="0"/>
    <x v="3"/>
    <x v="1"/>
    <s v="Road"/>
    <x v="1"/>
    <n v="5.2"/>
    <n v="261"/>
    <n v="6"/>
    <n v="5"/>
    <n v="1"/>
    <n v="0"/>
    <n v="10.029999999999999"/>
    <n v="0"/>
    <n v="1"/>
  </r>
  <r>
    <s v="SHP-501464"/>
    <d v="2024-08-09T00:00:00"/>
    <x v="0"/>
    <s v="Q3"/>
    <x v="7"/>
    <x v="1"/>
    <x v="0"/>
    <x v="1"/>
    <x v="1"/>
    <s v="Road"/>
    <x v="0"/>
    <n v="147.69999999999999"/>
    <n v="255"/>
    <n v="5"/>
    <n v="5"/>
    <n v="1"/>
    <n v="0"/>
    <n v="54.37"/>
    <n v="0"/>
    <n v="1"/>
  </r>
  <r>
    <s v="SHP-501465"/>
    <d v="2024-08-09T00:00:00"/>
    <x v="0"/>
    <s v="Q3"/>
    <x v="7"/>
    <x v="2"/>
    <x v="1"/>
    <x v="4"/>
    <x v="0"/>
    <s v="Road"/>
    <x v="0"/>
    <n v="257.60000000000002"/>
    <n v="933"/>
    <n v="5"/>
    <n v="9"/>
    <n v="0"/>
    <n v="4"/>
    <n v="110.52"/>
    <n v="0"/>
    <n v="1"/>
  </r>
  <r>
    <s v="SHP-501466"/>
    <d v="2024-08-09T00:00:00"/>
    <x v="0"/>
    <s v="Q3"/>
    <x v="7"/>
    <x v="1"/>
    <x v="2"/>
    <x v="0"/>
    <x v="0"/>
    <s v="Road"/>
    <x v="0"/>
    <n v="190.8"/>
    <n v="998"/>
    <n v="4"/>
    <n v="4"/>
    <n v="1"/>
    <n v="0"/>
    <n v="91.23"/>
    <n v="0"/>
    <n v="1"/>
  </r>
  <r>
    <s v="SHP-501467"/>
    <d v="2024-08-09T00:00:00"/>
    <x v="0"/>
    <s v="Q3"/>
    <x v="7"/>
    <x v="0"/>
    <x v="2"/>
    <x v="3"/>
    <x v="1"/>
    <s v="Road"/>
    <x v="1"/>
    <n v="2.4"/>
    <n v="462"/>
    <n v="6"/>
    <n v="5"/>
    <n v="1"/>
    <n v="0"/>
    <n v="8.1999999999999993"/>
    <n v="0"/>
    <n v="1"/>
  </r>
  <r>
    <s v="SHP-501468"/>
    <d v="2024-08-10T00:00:00"/>
    <x v="0"/>
    <s v="Q3"/>
    <x v="7"/>
    <x v="3"/>
    <x v="0"/>
    <x v="4"/>
    <x v="1"/>
    <s v="Road"/>
    <x v="1"/>
    <n v="10.1"/>
    <n v="1353"/>
    <n v="7"/>
    <n v="6"/>
    <n v="1"/>
    <n v="0"/>
    <n v="21.56"/>
    <n v="0"/>
    <n v="1"/>
  </r>
  <r>
    <s v="SHP-501469"/>
    <d v="2024-08-11T00:00:00"/>
    <x v="0"/>
    <s v="Q3"/>
    <x v="7"/>
    <x v="3"/>
    <x v="1"/>
    <x v="0"/>
    <x v="0"/>
    <s v="Road"/>
    <x v="1"/>
    <n v="6.7"/>
    <n v="1191"/>
    <n v="4"/>
    <n v="3"/>
    <n v="1"/>
    <n v="0"/>
    <n v="26.02"/>
    <n v="0"/>
    <n v="1"/>
  </r>
  <r>
    <s v="SHP-501470"/>
    <d v="2024-08-11T00:00:00"/>
    <x v="0"/>
    <s v="Q3"/>
    <x v="7"/>
    <x v="0"/>
    <x v="1"/>
    <x v="0"/>
    <x v="2"/>
    <s v="Air"/>
    <x v="0"/>
    <n v="170.6"/>
    <n v="1099"/>
    <n v="2"/>
    <n v="1"/>
    <n v="1"/>
    <n v="0"/>
    <n v="261.05"/>
    <n v="0"/>
    <n v="1"/>
  </r>
  <r>
    <s v="SHP-501471"/>
    <d v="2024-08-11T00:00:00"/>
    <x v="0"/>
    <s v="Q3"/>
    <x v="7"/>
    <x v="0"/>
    <x v="1"/>
    <x v="0"/>
    <x v="2"/>
    <s v="Air"/>
    <x v="1"/>
    <n v="10.7"/>
    <n v="963"/>
    <n v="2"/>
    <n v="2"/>
    <n v="1"/>
    <n v="0"/>
    <n v="74.86"/>
    <n v="0"/>
    <n v="1"/>
  </r>
  <r>
    <s v="SHP-501472"/>
    <d v="2024-08-11T00:00:00"/>
    <x v="0"/>
    <s v="Q3"/>
    <x v="7"/>
    <x v="4"/>
    <x v="2"/>
    <x v="0"/>
    <x v="0"/>
    <s v="Road"/>
    <x v="1"/>
    <n v="5.2"/>
    <n v="900"/>
    <n v="4"/>
    <n v="4"/>
    <n v="1"/>
    <n v="0"/>
    <n v="20.64"/>
    <n v="0"/>
    <n v="1"/>
  </r>
  <r>
    <s v="SHP-501473"/>
    <d v="2024-08-11T00:00:00"/>
    <x v="0"/>
    <s v="Q3"/>
    <x v="7"/>
    <x v="3"/>
    <x v="1"/>
    <x v="1"/>
    <x v="1"/>
    <s v="Road"/>
    <x v="1"/>
    <n v="7.8"/>
    <n v="185"/>
    <n v="5"/>
    <n v="5"/>
    <n v="1"/>
    <n v="0"/>
    <n v="10.48"/>
    <n v="0"/>
    <n v="1"/>
  </r>
  <r>
    <s v="SHP-501474"/>
    <d v="2024-08-12T00:00:00"/>
    <x v="0"/>
    <s v="Q3"/>
    <x v="7"/>
    <x v="4"/>
    <x v="2"/>
    <x v="3"/>
    <x v="0"/>
    <s v="Road"/>
    <x v="1"/>
    <n v="3.5"/>
    <n v="506"/>
    <n v="4"/>
    <n v="4"/>
    <n v="1"/>
    <n v="0"/>
    <n v="13.79"/>
    <n v="0"/>
    <n v="1"/>
  </r>
  <r>
    <s v="SHP-501475"/>
    <d v="2024-08-12T00:00:00"/>
    <x v="0"/>
    <s v="Q3"/>
    <x v="7"/>
    <x v="2"/>
    <x v="2"/>
    <x v="1"/>
    <x v="1"/>
    <s v="Road"/>
    <x v="1"/>
    <n v="3.5"/>
    <n v="276"/>
    <n v="5"/>
    <n v="4"/>
    <n v="1"/>
    <n v="0"/>
    <n v="7.41"/>
    <n v="0"/>
    <n v="1"/>
  </r>
  <r>
    <s v="SHP-501476"/>
    <d v="2024-08-12T00:00:00"/>
    <x v="0"/>
    <s v="Q3"/>
    <x v="7"/>
    <x v="1"/>
    <x v="2"/>
    <x v="0"/>
    <x v="1"/>
    <s v="Road"/>
    <x v="0"/>
    <n v="42.4"/>
    <n v="1034"/>
    <n v="6"/>
    <n v="6"/>
    <n v="1"/>
    <n v="0"/>
    <n v="33.28"/>
    <n v="0"/>
    <n v="1"/>
  </r>
  <r>
    <s v="SHP-501477"/>
    <d v="2024-08-12T00:00:00"/>
    <x v="0"/>
    <s v="Q3"/>
    <x v="7"/>
    <x v="4"/>
    <x v="0"/>
    <x v="1"/>
    <x v="1"/>
    <s v="Road"/>
    <x v="0"/>
    <n v="126"/>
    <n v="282"/>
    <n v="5"/>
    <n v="5"/>
    <n v="1"/>
    <n v="0"/>
    <n v="44.01"/>
    <n v="0"/>
    <n v="1"/>
  </r>
  <r>
    <s v="SHP-501478"/>
    <d v="2024-08-12T00:00:00"/>
    <x v="0"/>
    <s v="Q3"/>
    <x v="7"/>
    <x v="2"/>
    <x v="1"/>
    <x v="3"/>
    <x v="0"/>
    <s v="Road"/>
    <x v="1"/>
    <n v="3.4"/>
    <n v="499"/>
    <n v="4"/>
    <n v="7"/>
    <n v="0"/>
    <n v="3"/>
    <n v="13.55"/>
    <n v="0"/>
    <n v="1"/>
  </r>
  <r>
    <s v="SHP-501479"/>
    <d v="2024-08-12T00:00:00"/>
    <x v="0"/>
    <s v="Q3"/>
    <x v="7"/>
    <x v="4"/>
    <x v="2"/>
    <x v="1"/>
    <x v="2"/>
    <s v="Road"/>
    <x v="1"/>
    <n v="2.5"/>
    <n v="204"/>
    <n v="1"/>
    <n v="1"/>
    <n v="1"/>
    <n v="0"/>
    <n v="20.18"/>
    <n v="0"/>
    <n v="1"/>
  </r>
  <r>
    <s v="SHP-501480"/>
    <d v="2024-08-13T00:00:00"/>
    <x v="0"/>
    <s v="Q3"/>
    <x v="7"/>
    <x v="1"/>
    <x v="2"/>
    <x v="1"/>
    <x v="1"/>
    <s v="Road"/>
    <x v="0"/>
    <n v="72.099999999999994"/>
    <n v="281"/>
    <n v="5"/>
    <n v="5"/>
    <n v="1"/>
    <n v="0"/>
    <n v="33.33"/>
    <n v="0"/>
    <n v="1"/>
  </r>
  <r>
    <s v="SHP-501481"/>
    <d v="2024-08-13T00:00:00"/>
    <x v="0"/>
    <s v="Q3"/>
    <x v="7"/>
    <x v="2"/>
    <x v="0"/>
    <x v="1"/>
    <x v="0"/>
    <s v="Road"/>
    <x v="1"/>
    <n v="3.4"/>
    <n v="289"/>
    <n v="3"/>
    <n v="2"/>
    <n v="1"/>
    <n v="0"/>
    <n v="10.65"/>
    <n v="0"/>
    <n v="1"/>
  </r>
  <r>
    <s v="SHP-501482"/>
    <d v="2024-08-13T00:00:00"/>
    <x v="0"/>
    <s v="Q3"/>
    <x v="7"/>
    <x v="3"/>
    <x v="1"/>
    <x v="3"/>
    <x v="0"/>
    <s v="Road"/>
    <x v="1"/>
    <n v="7"/>
    <n v="667"/>
    <n v="4"/>
    <n v="4"/>
    <n v="1"/>
    <n v="0"/>
    <n v="21.71"/>
    <n v="0"/>
    <n v="1"/>
  </r>
  <r>
    <s v="SHP-501483"/>
    <d v="2024-08-13T00:00:00"/>
    <x v="0"/>
    <s v="Q3"/>
    <x v="7"/>
    <x v="2"/>
    <x v="2"/>
    <x v="3"/>
    <x v="0"/>
    <s v="Road"/>
    <x v="0"/>
    <n v="104.8"/>
    <n v="578"/>
    <n v="4"/>
    <n v="3"/>
    <n v="1"/>
    <n v="0"/>
    <n v="47.43"/>
    <n v="0"/>
    <n v="1"/>
  </r>
  <r>
    <s v="SHP-501484"/>
    <d v="2024-08-13T00:00:00"/>
    <x v="0"/>
    <s v="Q3"/>
    <x v="7"/>
    <x v="2"/>
    <x v="2"/>
    <x v="1"/>
    <x v="1"/>
    <s v="Road"/>
    <x v="0"/>
    <n v="55.2"/>
    <n v="249"/>
    <n v="5"/>
    <n v="7"/>
    <n v="0"/>
    <n v="2"/>
    <n v="22.42"/>
    <n v="0"/>
    <n v="1"/>
  </r>
  <r>
    <s v="SHP-501485"/>
    <d v="2024-08-13T00:00:00"/>
    <x v="0"/>
    <s v="Q3"/>
    <x v="7"/>
    <x v="0"/>
    <x v="2"/>
    <x v="4"/>
    <x v="0"/>
    <s v="Road"/>
    <x v="0"/>
    <n v="54.3"/>
    <n v="919"/>
    <n v="5"/>
    <n v="4"/>
    <n v="1"/>
    <n v="0"/>
    <n v="39.869999999999997"/>
    <n v="0"/>
    <n v="1"/>
  </r>
  <r>
    <s v="SHP-501486"/>
    <d v="2024-08-13T00:00:00"/>
    <x v="0"/>
    <s v="Q3"/>
    <x v="7"/>
    <x v="0"/>
    <x v="2"/>
    <x v="1"/>
    <x v="0"/>
    <s v="Road"/>
    <x v="1"/>
    <n v="3.4"/>
    <n v="278"/>
    <n v="3"/>
    <n v="2"/>
    <n v="1"/>
    <n v="0"/>
    <n v="11.91"/>
    <n v="0"/>
    <n v="1"/>
  </r>
  <r>
    <s v="SHP-501487"/>
    <d v="2024-08-13T00:00:00"/>
    <x v="0"/>
    <s v="Q3"/>
    <x v="7"/>
    <x v="0"/>
    <x v="2"/>
    <x v="0"/>
    <x v="0"/>
    <s v="Road"/>
    <x v="1"/>
    <n v="5.9"/>
    <n v="857"/>
    <n v="4"/>
    <n v="3"/>
    <n v="1"/>
    <n v="0"/>
    <n v="18.47"/>
    <n v="0"/>
    <n v="1"/>
  </r>
  <r>
    <s v="SHP-501488"/>
    <d v="2024-08-13T00:00:00"/>
    <x v="0"/>
    <s v="Q3"/>
    <x v="7"/>
    <x v="1"/>
    <x v="1"/>
    <x v="4"/>
    <x v="1"/>
    <s v="Road"/>
    <x v="0"/>
    <n v="49.5"/>
    <n v="1143"/>
    <n v="7"/>
    <n v="7"/>
    <n v="1"/>
    <n v="0"/>
    <n v="33.450000000000003"/>
    <n v="0"/>
    <n v="1"/>
  </r>
  <r>
    <s v="SHP-501489"/>
    <d v="2024-08-13T00:00:00"/>
    <x v="0"/>
    <s v="Q3"/>
    <x v="7"/>
    <x v="4"/>
    <x v="2"/>
    <x v="1"/>
    <x v="0"/>
    <s v="Road"/>
    <x v="0"/>
    <n v="98"/>
    <n v="261"/>
    <n v="3"/>
    <n v="3"/>
    <n v="1"/>
    <n v="0"/>
    <n v="47.49"/>
    <n v="0"/>
    <n v="1"/>
  </r>
  <r>
    <s v="SHP-501490"/>
    <d v="2024-08-14T00:00:00"/>
    <x v="0"/>
    <s v="Q3"/>
    <x v="7"/>
    <x v="0"/>
    <x v="1"/>
    <x v="0"/>
    <x v="2"/>
    <s v="Air"/>
    <x v="1"/>
    <n v="2.2999999999999998"/>
    <n v="710"/>
    <n v="2"/>
    <n v="3"/>
    <n v="0"/>
    <n v="1"/>
    <n v="47.37"/>
    <n v="0"/>
    <n v="1"/>
  </r>
  <r>
    <s v="SHP-501491"/>
    <d v="2024-08-14T00:00:00"/>
    <x v="0"/>
    <s v="Q3"/>
    <x v="7"/>
    <x v="0"/>
    <x v="1"/>
    <x v="1"/>
    <x v="0"/>
    <s v="Road"/>
    <x v="1"/>
    <n v="4.4000000000000004"/>
    <n v="266"/>
    <n v="3"/>
    <n v="2"/>
    <n v="1"/>
    <n v="0"/>
    <n v="11.04"/>
    <n v="0"/>
    <n v="1"/>
  </r>
  <r>
    <s v="SHP-501492"/>
    <d v="2024-08-14T00:00:00"/>
    <x v="0"/>
    <s v="Q3"/>
    <x v="7"/>
    <x v="2"/>
    <x v="1"/>
    <x v="2"/>
    <x v="1"/>
    <s v="Road"/>
    <x v="1"/>
    <n v="9.1999999999999993"/>
    <n v="1207"/>
    <n v="7"/>
    <n v="7"/>
    <n v="1"/>
    <n v="0"/>
    <n v="16"/>
    <n v="0"/>
    <n v="1"/>
  </r>
  <r>
    <s v="SHP-501493"/>
    <d v="2024-08-14T00:00:00"/>
    <x v="0"/>
    <s v="Q3"/>
    <x v="7"/>
    <x v="2"/>
    <x v="1"/>
    <x v="0"/>
    <x v="0"/>
    <s v="Road"/>
    <x v="1"/>
    <n v="4.2"/>
    <n v="649"/>
    <n v="4"/>
    <n v="7"/>
    <n v="0"/>
    <n v="3"/>
    <n v="13.76"/>
    <n v="0"/>
    <n v="1"/>
  </r>
  <r>
    <s v="SHP-501494"/>
    <d v="2024-08-14T00:00:00"/>
    <x v="0"/>
    <s v="Q3"/>
    <x v="7"/>
    <x v="0"/>
    <x v="2"/>
    <x v="4"/>
    <x v="0"/>
    <s v="Road"/>
    <x v="1"/>
    <n v="5.5"/>
    <n v="971"/>
    <n v="5"/>
    <n v="5"/>
    <n v="1"/>
    <n v="0"/>
    <n v="20.420000000000002"/>
    <n v="0"/>
    <n v="1"/>
  </r>
  <r>
    <s v="SHP-501495"/>
    <d v="2024-08-14T00:00:00"/>
    <x v="0"/>
    <s v="Q3"/>
    <x v="7"/>
    <x v="4"/>
    <x v="2"/>
    <x v="3"/>
    <x v="0"/>
    <s v="Road"/>
    <x v="1"/>
    <n v="2.2999999999999998"/>
    <n v="361"/>
    <n v="4"/>
    <n v="4"/>
    <n v="1"/>
    <n v="0"/>
    <n v="11.3"/>
    <n v="0"/>
    <n v="1"/>
  </r>
  <r>
    <s v="SHP-501496"/>
    <d v="2024-08-14T00:00:00"/>
    <x v="0"/>
    <s v="Q3"/>
    <x v="7"/>
    <x v="4"/>
    <x v="1"/>
    <x v="1"/>
    <x v="0"/>
    <s v="Road"/>
    <x v="1"/>
    <n v="7.2"/>
    <n v="166"/>
    <n v="3"/>
    <n v="2"/>
    <n v="1"/>
    <n v="0"/>
    <n v="13.42"/>
    <n v="0"/>
    <n v="1"/>
  </r>
  <r>
    <s v="SHP-501497"/>
    <d v="2024-08-15T00:00:00"/>
    <x v="0"/>
    <s v="Q3"/>
    <x v="7"/>
    <x v="3"/>
    <x v="2"/>
    <x v="1"/>
    <x v="0"/>
    <s v="Road"/>
    <x v="1"/>
    <n v="10.4"/>
    <n v="188"/>
    <n v="3"/>
    <n v="2"/>
    <n v="1"/>
    <n v="0"/>
    <n v="15.25"/>
    <n v="0"/>
    <n v="1"/>
  </r>
  <r>
    <s v="SHP-501498"/>
    <d v="2024-08-15T00:00:00"/>
    <x v="0"/>
    <s v="Q3"/>
    <x v="7"/>
    <x v="2"/>
    <x v="2"/>
    <x v="3"/>
    <x v="0"/>
    <s v="Road"/>
    <x v="0"/>
    <n v="145.69999999999999"/>
    <n v="415"/>
    <n v="4"/>
    <n v="8"/>
    <n v="0"/>
    <n v="4"/>
    <n v="58.33"/>
    <n v="0"/>
    <n v="1"/>
  </r>
  <r>
    <s v="SHP-501499"/>
    <d v="2024-08-15T00:00:00"/>
    <x v="0"/>
    <s v="Q3"/>
    <x v="7"/>
    <x v="4"/>
    <x v="2"/>
    <x v="4"/>
    <x v="0"/>
    <s v="Road"/>
    <x v="1"/>
    <n v="1.8"/>
    <n v="1007"/>
    <n v="5"/>
    <n v="6"/>
    <n v="0"/>
    <n v="1"/>
    <n v="18.75"/>
    <n v="0"/>
    <n v="1"/>
  </r>
  <r>
    <s v="SHP-501500"/>
    <d v="2024-08-15T00:00:00"/>
    <x v="0"/>
    <s v="Q3"/>
    <x v="7"/>
    <x v="3"/>
    <x v="2"/>
    <x v="1"/>
    <x v="0"/>
    <s v="Road"/>
    <x v="0"/>
    <n v="335"/>
    <n v="279"/>
    <n v="3"/>
    <n v="3"/>
    <n v="1"/>
    <n v="0"/>
    <n v="137.79"/>
    <n v="0"/>
    <n v="1"/>
  </r>
  <r>
    <s v="SHP-501501"/>
    <d v="2024-08-15T00:00:00"/>
    <x v="0"/>
    <s v="Q3"/>
    <x v="7"/>
    <x v="0"/>
    <x v="0"/>
    <x v="0"/>
    <x v="2"/>
    <s v="Air"/>
    <x v="0"/>
    <n v="164.6"/>
    <n v="929"/>
    <n v="2"/>
    <n v="2"/>
    <n v="1"/>
    <n v="0"/>
    <n v="198.46"/>
    <n v="0"/>
    <n v="1"/>
  </r>
  <r>
    <s v="SHP-501502"/>
    <d v="2024-08-15T00:00:00"/>
    <x v="0"/>
    <s v="Q3"/>
    <x v="7"/>
    <x v="4"/>
    <x v="1"/>
    <x v="0"/>
    <x v="0"/>
    <s v="Road"/>
    <x v="1"/>
    <n v="2.1"/>
    <n v="829"/>
    <n v="4"/>
    <n v="4"/>
    <n v="1"/>
    <n v="0"/>
    <n v="20.2"/>
    <n v="0"/>
    <n v="1"/>
  </r>
  <r>
    <s v="SHP-501503"/>
    <d v="2024-08-15T00:00:00"/>
    <x v="0"/>
    <s v="Q3"/>
    <x v="7"/>
    <x v="2"/>
    <x v="2"/>
    <x v="1"/>
    <x v="0"/>
    <s v="Road"/>
    <x v="1"/>
    <n v="6.1"/>
    <n v="297"/>
    <n v="3"/>
    <n v="3"/>
    <n v="1"/>
    <n v="0"/>
    <n v="11.89"/>
    <n v="0"/>
    <n v="1"/>
  </r>
  <r>
    <s v="SHP-501504"/>
    <d v="2024-08-15T00:00:00"/>
    <x v="0"/>
    <s v="Q3"/>
    <x v="7"/>
    <x v="4"/>
    <x v="2"/>
    <x v="1"/>
    <x v="2"/>
    <s v="Road"/>
    <x v="0"/>
    <n v="89"/>
    <n v="255"/>
    <n v="1"/>
    <n v="1"/>
    <n v="1"/>
    <n v="0"/>
    <n v="88.59"/>
    <n v="0"/>
    <n v="1"/>
  </r>
  <r>
    <s v="SHP-501505"/>
    <d v="2024-08-15T00:00:00"/>
    <x v="0"/>
    <s v="Q3"/>
    <x v="7"/>
    <x v="1"/>
    <x v="0"/>
    <x v="3"/>
    <x v="0"/>
    <s v="Road"/>
    <x v="1"/>
    <n v="21.3"/>
    <n v="486"/>
    <n v="4"/>
    <n v="4"/>
    <n v="1"/>
    <n v="0"/>
    <n v="25.29"/>
    <n v="0"/>
    <n v="1"/>
  </r>
  <r>
    <s v="SHP-501506"/>
    <d v="2024-08-16T00:00:00"/>
    <x v="0"/>
    <s v="Q3"/>
    <x v="7"/>
    <x v="3"/>
    <x v="1"/>
    <x v="3"/>
    <x v="0"/>
    <s v="Road"/>
    <x v="1"/>
    <n v="5.4"/>
    <n v="415"/>
    <n v="4"/>
    <n v="4"/>
    <n v="1"/>
    <n v="0"/>
    <n v="17.09"/>
    <n v="0"/>
    <n v="1"/>
  </r>
  <r>
    <s v="SHP-501507"/>
    <d v="2024-08-16T00:00:00"/>
    <x v="0"/>
    <s v="Q3"/>
    <x v="7"/>
    <x v="2"/>
    <x v="0"/>
    <x v="3"/>
    <x v="0"/>
    <s v="Road"/>
    <x v="1"/>
    <n v="6.6"/>
    <n v="565"/>
    <n v="4"/>
    <n v="3"/>
    <n v="1"/>
    <n v="0"/>
    <n v="15.76"/>
    <n v="0"/>
    <n v="1"/>
  </r>
  <r>
    <s v="SHP-501508"/>
    <d v="2024-08-16T00:00:00"/>
    <x v="0"/>
    <s v="Q3"/>
    <x v="7"/>
    <x v="4"/>
    <x v="0"/>
    <x v="2"/>
    <x v="0"/>
    <s v="Road"/>
    <x v="1"/>
    <n v="7.9"/>
    <n v="967"/>
    <n v="5"/>
    <n v="5"/>
    <n v="1"/>
    <n v="0"/>
    <n v="26.64"/>
    <n v="0"/>
    <n v="1"/>
  </r>
  <r>
    <s v="SHP-501509"/>
    <d v="2024-08-16T00:00:00"/>
    <x v="0"/>
    <s v="Q3"/>
    <x v="7"/>
    <x v="0"/>
    <x v="0"/>
    <x v="1"/>
    <x v="0"/>
    <s v="Road"/>
    <x v="0"/>
    <n v="297.10000000000002"/>
    <n v="299"/>
    <n v="3"/>
    <n v="3"/>
    <n v="1"/>
    <n v="0"/>
    <n v="111.19"/>
    <n v="1"/>
    <n v="1"/>
  </r>
  <r>
    <s v="SHP-501510"/>
    <d v="2024-08-16T00:00:00"/>
    <x v="0"/>
    <s v="Q3"/>
    <x v="7"/>
    <x v="2"/>
    <x v="2"/>
    <x v="1"/>
    <x v="0"/>
    <s v="Road"/>
    <x v="1"/>
    <n v="6.5"/>
    <n v="298"/>
    <n v="3"/>
    <n v="3"/>
    <n v="1"/>
    <n v="0"/>
    <n v="11.84"/>
    <n v="0"/>
    <n v="1"/>
  </r>
  <r>
    <s v="SHP-501511"/>
    <d v="2024-08-16T00:00:00"/>
    <x v="0"/>
    <s v="Q3"/>
    <x v="7"/>
    <x v="3"/>
    <x v="0"/>
    <x v="4"/>
    <x v="0"/>
    <s v="Road"/>
    <x v="0"/>
    <n v="46.7"/>
    <n v="1007"/>
    <n v="5"/>
    <n v="7"/>
    <n v="0"/>
    <n v="2"/>
    <n v="45.12"/>
    <n v="0"/>
    <n v="1"/>
  </r>
  <r>
    <s v="SHP-501512"/>
    <d v="2024-08-16T00:00:00"/>
    <x v="0"/>
    <s v="Q3"/>
    <x v="7"/>
    <x v="1"/>
    <x v="2"/>
    <x v="1"/>
    <x v="0"/>
    <s v="Road"/>
    <x v="0"/>
    <n v="181.8"/>
    <n v="188"/>
    <n v="3"/>
    <n v="2"/>
    <n v="1"/>
    <n v="0"/>
    <n v="86.37"/>
    <n v="0"/>
    <n v="1"/>
  </r>
  <r>
    <s v="SHP-501513"/>
    <d v="2024-08-16T00:00:00"/>
    <x v="0"/>
    <s v="Q3"/>
    <x v="7"/>
    <x v="2"/>
    <x v="2"/>
    <x v="4"/>
    <x v="2"/>
    <s v="Air"/>
    <x v="1"/>
    <n v="8.3000000000000007"/>
    <n v="841"/>
    <n v="3"/>
    <n v="3"/>
    <n v="1"/>
    <n v="0"/>
    <n v="59.32"/>
    <n v="0"/>
    <n v="1"/>
  </r>
  <r>
    <s v="SHP-501514"/>
    <d v="2024-08-17T00:00:00"/>
    <x v="0"/>
    <s v="Q3"/>
    <x v="7"/>
    <x v="1"/>
    <x v="1"/>
    <x v="0"/>
    <x v="1"/>
    <s v="Road"/>
    <x v="0"/>
    <n v="56.2"/>
    <n v="795"/>
    <n v="6"/>
    <n v="6"/>
    <n v="1"/>
    <n v="0"/>
    <n v="32.369999999999997"/>
    <n v="0"/>
    <n v="1"/>
  </r>
  <r>
    <s v="SHP-501515"/>
    <d v="2024-08-17T00:00:00"/>
    <x v="0"/>
    <s v="Q3"/>
    <x v="7"/>
    <x v="2"/>
    <x v="1"/>
    <x v="2"/>
    <x v="0"/>
    <s v="Road"/>
    <x v="0"/>
    <n v="42.8"/>
    <n v="1155"/>
    <n v="5"/>
    <n v="4"/>
    <n v="1"/>
    <n v="0"/>
    <n v="34.17"/>
    <n v="0"/>
    <n v="1"/>
  </r>
  <r>
    <s v="SHP-501516"/>
    <d v="2024-08-17T00:00:00"/>
    <x v="0"/>
    <s v="Q3"/>
    <x v="7"/>
    <x v="3"/>
    <x v="0"/>
    <x v="0"/>
    <x v="0"/>
    <s v="Road"/>
    <x v="0"/>
    <n v="60.3"/>
    <n v="866"/>
    <n v="4"/>
    <n v="4"/>
    <n v="1"/>
    <n v="0"/>
    <n v="46.77"/>
    <n v="0"/>
    <n v="1"/>
  </r>
  <r>
    <s v="SHP-501517"/>
    <d v="2024-08-17T00:00:00"/>
    <x v="0"/>
    <s v="Q3"/>
    <x v="7"/>
    <x v="4"/>
    <x v="1"/>
    <x v="0"/>
    <x v="2"/>
    <s v="Air"/>
    <x v="0"/>
    <n v="79.5"/>
    <n v="839"/>
    <n v="2"/>
    <n v="5"/>
    <n v="0"/>
    <n v="3"/>
    <n v="170.32"/>
    <n v="0"/>
    <n v="1"/>
  </r>
  <r>
    <s v="SHP-501518"/>
    <d v="2024-08-18T00:00:00"/>
    <x v="0"/>
    <s v="Q3"/>
    <x v="7"/>
    <x v="1"/>
    <x v="1"/>
    <x v="1"/>
    <x v="2"/>
    <s v="Road"/>
    <x v="1"/>
    <n v="11.7"/>
    <n v="265"/>
    <n v="1"/>
    <n v="1"/>
    <n v="1"/>
    <n v="0"/>
    <n v="29.35"/>
    <n v="0"/>
    <n v="1"/>
  </r>
  <r>
    <s v="SHP-501519"/>
    <d v="2024-08-18T00:00:00"/>
    <x v="0"/>
    <s v="Q3"/>
    <x v="7"/>
    <x v="4"/>
    <x v="0"/>
    <x v="3"/>
    <x v="2"/>
    <s v="Road"/>
    <x v="1"/>
    <n v="6.2"/>
    <n v="463"/>
    <n v="2"/>
    <n v="2"/>
    <n v="1"/>
    <n v="0"/>
    <n v="25.92"/>
    <n v="0"/>
    <n v="1"/>
  </r>
  <r>
    <s v="SHP-501520"/>
    <d v="2024-08-18T00:00:00"/>
    <x v="0"/>
    <s v="Q3"/>
    <x v="7"/>
    <x v="4"/>
    <x v="0"/>
    <x v="4"/>
    <x v="0"/>
    <s v="Road"/>
    <x v="1"/>
    <n v="8"/>
    <n v="1043"/>
    <n v="5"/>
    <n v="5"/>
    <n v="1"/>
    <n v="0"/>
    <n v="24.49"/>
    <n v="0"/>
    <n v="1"/>
  </r>
  <r>
    <s v="SHP-501521"/>
    <d v="2024-08-18T00:00:00"/>
    <x v="0"/>
    <s v="Q3"/>
    <x v="7"/>
    <x v="1"/>
    <x v="2"/>
    <x v="0"/>
    <x v="2"/>
    <s v="Air"/>
    <x v="1"/>
    <n v="5.9"/>
    <n v="1026"/>
    <n v="2"/>
    <n v="2"/>
    <n v="1"/>
    <n v="0"/>
    <n v="69.38"/>
    <n v="0"/>
    <n v="1"/>
  </r>
  <r>
    <s v="SHP-501522"/>
    <d v="2024-08-19T00:00:00"/>
    <x v="0"/>
    <s v="Q3"/>
    <x v="7"/>
    <x v="3"/>
    <x v="0"/>
    <x v="1"/>
    <x v="2"/>
    <s v="Road"/>
    <x v="1"/>
    <n v="7.6"/>
    <n v="246"/>
    <n v="1"/>
    <n v="1"/>
    <n v="1"/>
    <n v="0"/>
    <n v="31.13"/>
    <n v="0"/>
    <n v="1"/>
  </r>
  <r>
    <s v="SHP-501523"/>
    <d v="2024-08-19T00:00:00"/>
    <x v="0"/>
    <s v="Q3"/>
    <x v="7"/>
    <x v="3"/>
    <x v="0"/>
    <x v="3"/>
    <x v="0"/>
    <s v="Road"/>
    <x v="1"/>
    <n v="6.7"/>
    <n v="469"/>
    <n v="4"/>
    <n v="7"/>
    <n v="0"/>
    <n v="3"/>
    <n v="17.14"/>
    <n v="0"/>
    <n v="1"/>
  </r>
  <r>
    <s v="SHP-501524"/>
    <d v="2024-08-19T00:00:00"/>
    <x v="0"/>
    <s v="Q3"/>
    <x v="7"/>
    <x v="2"/>
    <x v="2"/>
    <x v="1"/>
    <x v="1"/>
    <s v="Road"/>
    <x v="0"/>
    <n v="118.2"/>
    <n v="219"/>
    <n v="5"/>
    <n v="8"/>
    <n v="0"/>
    <n v="3"/>
    <n v="38.76"/>
    <n v="0"/>
    <n v="1"/>
  </r>
  <r>
    <s v="SHP-501525"/>
    <d v="2024-08-19T00:00:00"/>
    <x v="0"/>
    <s v="Q3"/>
    <x v="7"/>
    <x v="1"/>
    <x v="0"/>
    <x v="4"/>
    <x v="2"/>
    <s v="Air"/>
    <x v="1"/>
    <n v="9.9"/>
    <n v="1028"/>
    <n v="3"/>
    <n v="3"/>
    <n v="1"/>
    <n v="0"/>
    <n v="69.3"/>
    <n v="0"/>
    <n v="1"/>
  </r>
  <r>
    <s v="SHP-501526"/>
    <d v="2024-08-19T00:00:00"/>
    <x v="0"/>
    <s v="Q3"/>
    <x v="7"/>
    <x v="0"/>
    <x v="2"/>
    <x v="3"/>
    <x v="0"/>
    <s v="Road"/>
    <x v="1"/>
    <n v="3.1"/>
    <n v="517"/>
    <n v="4"/>
    <n v="4"/>
    <n v="1"/>
    <n v="0"/>
    <n v="14.46"/>
    <n v="0"/>
    <n v="1"/>
  </r>
  <r>
    <s v="SHP-501527"/>
    <d v="2024-08-19T00:00:00"/>
    <x v="0"/>
    <s v="Q3"/>
    <x v="7"/>
    <x v="2"/>
    <x v="0"/>
    <x v="1"/>
    <x v="0"/>
    <s v="Road"/>
    <x v="0"/>
    <n v="146.1"/>
    <n v="271"/>
    <n v="3"/>
    <n v="4"/>
    <n v="0"/>
    <n v="1"/>
    <n v="61.44"/>
    <n v="0"/>
    <n v="1"/>
  </r>
  <r>
    <s v="SHP-501528"/>
    <d v="2024-08-20T00:00:00"/>
    <x v="0"/>
    <s v="Q3"/>
    <x v="7"/>
    <x v="4"/>
    <x v="1"/>
    <x v="4"/>
    <x v="0"/>
    <s v="Road"/>
    <x v="1"/>
    <n v="6.1"/>
    <n v="1043"/>
    <n v="5"/>
    <n v="5"/>
    <n v="1"/>
    <n v="0"/>
    <n v="24.45"/>
    <n v="0"/>
    <n v="1"/>
  </r>
  <r>
    <s v="SHP-501529"/>
    <d v="2024-08-20T00:00:00"/>
    <x v="0"/>
    <s v="Q3"/>
    <x v="7"/>
    <x v="3"/>
    <x v="1"/>
    <x v="1"/>
    <x v="2"/>
    <s v="Road"/>
    <x v="1"/>
    <n v="3.9"/>
    <n v="243"/>
    <n v="1"/>
    <n v="1"/>
    <n v="1"/>
    <n v="0"/>
    <n v="23.75"/>
    <n v="0"/>
    <n v="1"/>
  </r>
  <r>
    <s v="SHP-501530"/>
    <d v="2024-08-20T00:00:00"/>
    <x v="0"/>
    <s v="Q3"/>
    <x v="7"/>
    <x v="3"/>
    <x v="1"/>
    <x v="3"/>
    <x v="2"/>
    <s v="Road"/>
    <x v="1"/>
    <n v="0.8"/>
    <n v="400"/>
    <n v="2"/>
    <n v="1"/>
    <n v="1"/>
    <n v="0"/>
    <n v="25.41"/>
    <n v="0"/>
    <n v="1"/>
  </r>
  <r>
    <s v="SHP-501531"/>
    <d v="2024-08-20T00:00:00"/>
    <x v="0"/>
    <s v="Q3"/>
    <x v="7"/>
    <x v="2"/>
    <x v="2"/>
    <x v="1"/>
    <x v="2"/>
    <s v="Road"/>
    <x v="1"/>
    <n v="1.4"/>
    <n v="248"/>
    <n v="1"/>
    <n v="4"/>
    <n v="0"/>
    <n v="3"/>
    <n v="17.739999999999998"/>
    <n v="0"/>
    <n v="1"/>
  </r>
  <r>
    <s v="SHP-501532"/>
    <d v="2024-08-20T00:00:00"/>
    <x v="0"/>
    <s v="Q3"/>
    <x v="7"/>
    <x v="3"/>
    <x v="2"/>
    <x v="1"/>
    <x v="1"/>
    <s v="Road"/>
    <x v="1"/>
    <n v="2.8"/>
    <n v="249"/>
    <n v="5"/>
    <n v="5"/>
    <n v="1"/>
    <n v="0"/>
    <n v="9.08"/>
    <n v="0"/>
    <n v="1"/>
  </r>
  <r>
    <s v="SHP-501533"/>
    <d v="2024-08-20T00:00:00"/>
    <x v="0"/>
    <s v="Q3"/>
    <x v="7"/>
    <x v="3"/>
    <x v="1"/>
    <x v="1"/>
    <x v="2"/>
    <s v="Road"/>
    <x v="1"/>
    <n v="5.9"/>
    <n v="279"/>
    <n v="1"/>
    <n v="1"/>
    <n v="1"/>
    <n v="0"/>
    <n v="26.9"/>
    <n v="0"/>
    <n v="1"/>
  </r>
  <r>
    <s v="SHP-501534"/>
    <d v="2024-08-21T00:00:00"/>
    <x v="0"/>
    <s v="Q3"/>
    <x v="7"/>
    <x v="0"/>
    <x v="2"/>
    <x v="3"/>
    <x v="0"/>
    <s v="Road"/>
    <x v="1"/>
    <n v="10.9"/>
    <n v="420"/>
    <n v="4"/>
    <n v="4"/>
    <n v="1"/>
    <n v="0"/>
    <n v="18.350000000000001"/>
    <n v="0"/>
    <n v="1"/>
  </r>
  <r>
    <s v="SHP-501535"/>
    <d v="2024-08-21T00:00:00"/>
    <x v="0"/>
    <s v="Q3"/>
    <x v="7"/>
    <x v="4"/>
    <x v="0"/>
    <x v="0"/>
    <x v="0"/>
    <s v="Road"/>
    <x v="1"/>
    <n v="5.0999999999999996"/>
    <n v="1064"/>
    <n v="4"/>
    <n v="4"/>
    <n v="1"/>
    <n v="0"/>
    <n v="23.13"/>
    <n v="0"/>
    <n v="1"/>
  </r>
  <r>
    <s v="SHP-501536"/>
    <d v="2024-08-21T00:00:00"/>
    <x v="0"/>
    <s v="Q3"/>
    <x v="7"/>
    <x v="1"/>
    <x v="1"/>
    <x v="1"/>
    <x v="2"/>
    <s v="Road"/>
    <x v="0"/>
    <n v="38.5"/>
    <n v="232"/>
    <n v="1"/>
    <n v="1"/>
    <n v="1"/>
    <n v="0"/>
    <n v="59.05"/>
    <n v="0"/>
    <n v="1"/>
  </r>
  <r>
    <s v="SHP-501537"/>
    <d v="2024-08-21T00:00:00"/>
    <x v="0"/>
    <s v="Q3"/>
    <x v="7"/>
    <x v="4"/>
    <x v="2"/>
    <x v="0"/>
    <x v="0"/>
    <s v="Road"/>
    <x v="0"/>
    <n v="13.2"/>
    <n v="928"/>
    <n v="4"/>
    <n v="4"/>
    <n v="1"/>
    <n v="0"/>
    <n v="24.62"/>
    <n v="0"/>
    <n v="1"/>
  </r>
  <r>
    <s v="SHP-501538"/>
    <d v="2024-08-21T00:00:00"/>
    <x v="0"/>
    <s v="Q3"/>
    <x v="7"/>
    <x v="2"/>
    <x v="2"/>
    <x v="0"/>
    <x v="0"/>
    <s v="Road"/>
    <x v="1"/>
    <n v="1.5"/>
    <n v="865"/>
    <n v="4"/>
    <n v="4"/>
    <n v="1"/>
    <n v="0"/>
    <n v="14.29"/>
    <n v="0"/>
    <n v="1"/>
  </r>
  <r>
    <s v="SHP-501539"/>
    <d v="2024-08-21T00:00:00"/>
    <x v="0"/>
    <s v="Q3"/>
    <x v="7"/>
    <x v="4"/>
    <x v="1"/>
    <x v="4"/>
    <x v="0"/>
    <s v="Road"/>
    <x v="0"/>
    <n v="190.4"/>
    <n v="1027"/>
    <n v="5"/>
    <n v="5"/>
    <n v="1"/>
    <n v="0"/>
    <n v="96.14"/>
    <n v="0"/>
    <n v="1"/>
  </r>
  <r>
    <s v="SHP-501540"/>
    <d v="2024-08-21T00:00:00"/>
    <x v="0"/>
    <s v="Q3"/>
    <x v="7"/>
    <x v="4"/>
    <x v="2"/>
    <x v="1"/>
    <x v="0"/>
    <s v="Road"/>
    <x v="1"/>
    <n v="17.7"/>
    <n v="233"/>
    <n v="3"/>
    <n v="3"/>
    <n v="1"/>
    <n v="0"/>
    <n v="17.920000000000002"/>
    <n v="0"/>
    <n v="1"/>
  </r>
  <r>
    <s v="SHP-501541"/>
    <d v="2024-08-21T00:00:00"/>
    <x v="0"/>
    <s v="Q3"/>
    <x v="7"/>
    <x v="1"/>
    <x v="2"/>
    <x v="0"/>
    <x v="1"/>
    <s v="Road"/>
    <x v="0"/>
    <n v="53.7"/>
    <n v="767"/>
    <n v="6"/>
    <n v="5"/>
    <n v="1"/>
    <n v="0"/>
    <n v="30.08"/>
    <n v="0"/>
    <n v="1"/>
  </r>
  <r>
    <s v="SHP-501542"/>
    <d v="2024-08-21T00:00:00"/>
    <x v="0"/>
    <s v="Q3"/>
    <x v="7"/>
    <x v="2"/>
    <x v="2"/>
    <x v="2"/>
    <x v="0"/>
    <s v="Road"/>
    <x v="1"/>
    <n v="8.3000000000000007"/>
    <n v="1377"/>
    <n v="5"/>
    <n v="5"/>
    <n v="1"/>
    <n v="0"/>
    <n v="22.63"/>
    <n v="0"/>
    <n v="1"/>
  </r>
  <r>
    <s v="SHP-501543"/>
    <d v="2024-08-22T00:00:00"/>
    <x v="0"/>
    <s v="Q3"/>
    <x v="7"/>
    <x v="1"/>
    <x v="2"/>
    <x v="1"/>
    <x v="2"/>
    <s v="Road"/>
    <x v="1"/>
    <n v="1.1000000000000001"/>
    <n v="259"/>
    <n v="1"/>
    <n v="1"/>
    <n v="1"/>
    <n v="0"/>
    <n v="18.54"/>
    <n v="0"/>
    <n v="1"/>
  </r>
  <r>
    <s v="SHP-501544"/>
    <d v="2024-08-22T00:00:00"/>
    <x v="0"/>
    <s v="Q3"/>
    <x v="7"/>
    <x v="2"/>
    <x v="1"/>
    <x v="2"/>
    <x v="1"/>
    <s v="Road"/>
    <x v="0"/>
    <n v="104.4"/>
    <n v="1122"/>
    <n v="7"/>
    <n v="7"/>
    <n v="1"/>
    <n v="0"/>
    <n v="41.5"/>
    <n v="0"/>
    <n v="1"/>
  </r>
  <r>
    <s v="SHP-501545"/>
    <d v="2024-08-22T00:00:00"/>
    <x v="0"/>
    <s v="Q3"/>
    <x v="7"/>
    <x v="4"/>
    <x v="1"/>
    <x v="4"/>
    <x v="1"/>
    <s v="Road"/>
    <x v="1"/>
    <n v="1.9"/>
    <n v="846"/>
    <n v="7"/>
    <n v="7"/>
    <n v="1"/>
    <n v="0"/>
    <n v="12.83"/>
    <n v="0"/>
    <n v="1"/>
  </r>
  <r>
    <s v="SHP-501546"/>
    <d v="2024-08-22T00:00:00"/>
    <x v="0"/>
    <s v="Q3"/>
    <x v="7"/>
    <x v="3"/>
    <x v="2"/>
    <x v="1"/>
    <x v="2"/>
    <s v="Road"/>
    <x v="0"/>
    <n v="143.80000000000001"/>
    <n v="259"/>
    <n v="1"/>
    <n v="1"/>
    <n v="1"/>
    <n v="0"/>
    <n v="157.47999999999999"/>
    <n v="0"/>
    <n v="1"/>
  </r>
  <r>
    <s v="SHP-501547"/>
    <d v="2024-08-22T00:00:00"/>
    <x v="0"/>
    <s v="Q3"/>
    <x v="7"/>
    <x v="2"/>
    <x v="2"/>
    <x v="3"/>
    <x v="1"/>
    <s v="Road"/>
    <x v="1"/>
    <n v="3"/>
    <n v="653"/>
    <n v="6"/>
    <n v="5"/>
    <n v="1"/>
    <n v="0"/>
    <n v="9.89"/>
    <n v="0"/>
    <n v="1"/>
  </r>
  <r>
    <s v="SHP-501548"/>
    <d v="2024-08-22T00:00:00"/>
    <x v="0"/>
    <s v="Q3"/>
    <x v="7"/>
    <x v="1"/>
    <x v="2"/>
    <x v="0"/>
    <x v="0"/>
    <s v="Road"/>
    <x v="1"/>
    <n v="7.9"/>
    <n v="918"/>
    <n v="4"/>
    <n v="6"/>
    <n v="0"/>
    <n v="2"/>
    <n v="24.2"/>
    <n v="0"/>
    <n v="1"/>
  </r>
  <r>
    <s v="SHP-501549"/>
    <d v="2024-08-22T00:00:00"/>
    <x v="0"/>
    <s v="Q3"/>
    <x v="7"/>
    <x v="4"/>
    <x v="2"/>
    <x v="1"/>
    <x v="1"/>
    <s v="Road"/>
    <x v="1"/>
    <n v="6"/>
    <n v="260"/>
    <n v="5"/>
    <n v="4"/>
    <n v="1"/>
    <n v="0"/>
    <n v="8.8000000000000007"/>
    <n v="0"/>
    <n v="1"/>
  </r>
  <r>
    <s v="SHP-501550"/>
    <d v="2024-08-22T00:00:00"/>
    <x v="0"/>
    <s v="Q3"/>
    <x v="7"/>
    <x v="2"/>
    <x v="2"/>
    <x v="2"/>
    <x v="2"/>
    <s v="Air"/>
    <x v="0"/>
    <n v="31.2"/>
    <n v="945"/>
    <n v="3"/>
    <n v="3"/>
    <n v="1"/>
    <n v="0"/>
    <n v="92.94"/>
    <n v="0"/>
    <n v="1"/>
  </r>
  <r>
    <s v="SHP-501551"/>
    <d v="2024-08-23T00:00:00"/>
    <x v="0"/>
    <s v="Q3"/>
    <x v="7"/>
    <x v="1"/>
    <x v="2"/>
    <x v="3"/>
    <x v="0"/>
    <s v="Road"/>
    <x v="1"/>
    <n v="6.5"/>
    <n v="582"/>
    <n v="4"/>
    <n v="4"/>
    <n v="1"/>
    <n v="0"/>
    <n v="18.47"/>
    <n v="0"/>
    <n v="1"/>
  </r>
  <r>
    <s v="SHP-501552"/>
    <d v="2024-08-23T00:00:00"/>
    <x v="0"/>
    <s v="Q3"/>
    <x v="7"/>
    <x v="1"/>
    <x v="1"/>
    <x v="3"/>
    <x v="0"/>
    <s v="Road"/>
    <x v="1"/>
    <n v="2.5"/>
    <n v="478"/>
    <n v="4"/>
    <n v="3"/>
    <n v="1"/>
    <n v="0"/>
    <n v="14.2"/>
    <n v="0"/>
    <n v="1"/>
  </r>
  <r>
    <s v="SHP-501553"/>
    <d v="2024-08-23T00:00:00"/>
    <x v="0"/>
    <s v="Q3"/>
    <x v="7"/>
    <x v="2"/>
    <x v="2"/>
    <x v="3"/>
    <x v="2"/>
    <s v="Road"/>
    <x v="0"/>
    <n v="150"/>
    <n v="491"/>
    <n v="2"/>
    <n v="2"/>
    <n v="1"/>
    <n v="0"/>
    <n v="109.11"/>
    <n v="0"/>
    <n v="1"/>
  </r>
  <r>
    <s v="SHP-501554"/>
    <d v="2024-08-23T00:00:00"/>
    <x v="0"/>
    <s v="Q3"/>
    <x v="7"/>
    <x v="1"/>
    <x v="1"/>
    <x v="2"/>
    <x v="1"/>
    <s v="Road"/>
    <x v="1"/>
    <n v="2.9"/>
    <n v="1229"/>
    <n v="7"/>
    <n v="9"/>
    <n v="0"/>
    <n v="2"/>
    <n v="14.58"/>
    <n v="0"/>
    <n v="1"/>
  </r>
  <r>
    <s v="SHP-501555"/>
    <d v="2024-08-23T00:00:00"/>
    <x v="0"/>
    <s v="Q3"/>
    <x v="7"/>
    <x v="1"/>
    <x v="1"/>
    <x v="1"/>
    <x v="0"/>
    <s v="Road"/>
    <x v="1"/>
    <n v="5.7"/>
    <n v="188"/>
    <n v="3"/>
    <n v="2"/>
    <n v="1"/>
    <n v="0"/>
    <n v="13.82"/>
    <n v="0"/>
    <n v="1"/>
  </r>
  <r>
    <s v="SHP-501556"/>
    <d v="2024-08-23T00:00:00"/>
    <x v="0"/>
    <s v="Q3"/>
    <x v="7"/>
    <x v="4"/>
    <x v="0"/>
    <x v="0"/>
    <x v="0"/>
    <s v="Road"/>
    <x v="0"/>
    <n v="139.30000000000001"/>
    <n v="922"/>
    <n v="4"/>
    <n v="4"/>
    <n v="1"/>
    <n v="0"/>
    <n v="87"/>
    <n v="0"/>
    <n v="1"/>
  </r>
  <r>
    <s v="SHP-501557"/>
    <d v="2024-08-23T00:00:00"/>
    <x v="0"/>
    <s v="Q3"/>
    <x v="7"/>
    <x v="4"/>
    <x v="1"/>
    <x v="3"/>
    <x v="1"/>
    <s v="Road"/>
    <x v="1"/>
    <n v="5.7"/>
    <n v="403"/>
    <n v="6"/>
    <n v="11"/>
    <n v="0"/>
    <n v="5"/>
    <n v="10.19"/>
    <n v="0"/>
    <n v="1"/>
  </r>
  <r>
    <s v="SHP-501558"/>
    <d v="2024-08-24T00:00:00"/>
    <x v="0"/>
    <s v="Q3"/>
    <x v="7"/>
    <x v="4"/>
    <x v="2"/>
    <x v="0"/>
    <x v="0"/>
    <s v="Road"/>
    <x v="1"/>
    <n v="5.8"/>
    <n v="759"/>
    <n v="4"/>
    <n v="3"/>
    <n v="1"/>
    <n v="0"/>
    <n v="19.98"/>
    <n v="0"/>
    <n v="1"/>
  </r>
  <r>
    <s v="SHP-501559"/>
    <d v="2024-08-24T00:00:00"/>
    <x v="0"/>
    <s v="Q3"/>
    <x v="7"/>
    <x v="3"/>
    <x v="2"/>
    <x v="1"/>
    <x v="2"/>
    <s v="Road"/>
    <x v="1"/>
    <n v="2.2000000000000002"/>
    <n v="219"/>
    <n v="1"/>
    <n v="1"/>
    <n v="1"/>
    <n v="0"/>
    <n v="22.52"/>
    <n v="0"/>
    <n v="1"/>
  </r>
  <r>
    <s v="SHP-501560"/>
    <d v="2024-08-25T00:00:00"/>
    <x v="0"/>
    <s v="Q3"/>
    <x v="7"/>
    <x v="2"/>
    <x v="1"/>
    <x v="3"/>
    <x v="1"/>
    <s v="Road"/>
    <x v="0"/>
    <n v="47.5"/>
    <n v="436"/>
    <n v="6"/>
    <n v="10"/>
    <n v="0"/>
    <n v="4"/>
    <n v="22.45"/>
    <n v="0"/>
    <n v="1"/>
  </r>
  <r>
    <s v="SHP-501561"/>
    <d v="2024-08-25T00:00:00"/>
    <x v="0"/>
    <s v="Q3"/>
    <x v="7"/>
    <x v="2"/>
    <x v="1"/>
    <x v="3"/>
    <x v="0"/>
    <s v="Road"/>
    <x v="0"/>
    <n v="160.69999999999999"/>
    <n v="527"/>
    <n v="4"/>
    <n v="3"/>
    <n v="1"/>
    <n v="0"/>
    <n v="64.349999999999994"/>
    <n v="0"/>
    <n v="1"/>
  </r>
  <r>
    <s v="SHP-501562"/>
    <d v="2024-08-25T00:00:00"/>
    <x v="0"/>
    <s v="Q3"/>
    <x v="7"/>
    <x v="0"/>
    <x v="0"/>
    <x v="3"/>
    <x v="0"/>
    <s v="Road"/>
    <x v="0"/>
    <n v="179.1"/>
    <n v="584"/>
    <n v="4"/>
    <n v="3"/>
    <n v="1"/>
    <n v="0"/>
    <n v="93.94"/>
    <n v="0"/>
    <n v="1"/>
  </r>
  <r>
    <s v="SHP-501563"/>
    <d v="2024-08-26T00:00:00"/>
    <x v="0"/>
    <s v="Q3"/>
    <x v="7"/>
    <x v="1"/>
    <x v="2"/>
    <x v="1"/>
    <x v="1"/>
    <s v="Road"/>
    <x v="0"/>
    <n v="25.5"/>
    <n v="208"/>
    <n v="5"/>
    <n v="5"/>
    <n v="1"/>
    <n v="0"/>
    <n v="16.02"/>
    <n v="0"/>
    <n v="1"/>
  </r>
  <r>
    <s v="SHP-501564"/>
    <d v="2024-08-26T00:00:00"/>
    <x v="0"/>
    <s v="Q3"/>
    <x v="7"/>
    <x v="2"/>
    <x v="1"/>
    <x v="2"/>
    <x v="0"/>
    <s v="Road"/>
    <x v="1"/>
    <n v="5.3"/>
    <n v="741"/>
    <n v="5"/>
    <n v="4"/>
    <n v="1"/>
    <n v="0"/>
    <n v="15.6"/>
    <n v="0"/>
    <n v="1"/>
  </r>
  <r>
    <s v="SHP-501565"/>
    <d v="2024-08-26T00:00:00"/>
    <x v="0"/>
    <s v="Q3"/>
    <x v="7"/>
    <x v="2"/>
    <x v="2"/>
    <x v="1"/>
    <x v="0"/>
    <s v="Road"/>
    <x v="1"/>
    <n v="2.7"/>
    <n v="276"/>
    <n v="3"/>
    <n v="2"/>
    <n v="1"/>
    <n v="0"/>
    <n v="10.15"/>
    <n v="0"/>
    <n v="1"/>
  </r>
  <r>
    <s v="SHP-501566"/>
    <d v="2024-08-26T00:00:00"/>
    <x v="0"/>
    <s v="Q3"/>
    <x v="7"/>
    <x v="2"/>
    <x v="2"/>
    <x v="4"/>
    <x v="0"/>
    <s v="Road"/>
    <x v="0"/>
    <n v="223"/>
    <n v="993"/>
    <n v="5"/>
    <n v="5"/>
    <n v="1"/>
    <n v="0"/>
    <n v="86.33"/>
    <n v="0"/>
    <n v="1"/>
  </r>
  <r>
    <s v="SHP-501567"/>
    <d v="2024-08-26T00:00:00"/>
    <x v="0"/>
    <s v="Q3"/>
    <x v="7"/>
    <x v="2"/>
    <x v="2"/>
    <x v="1"/>
    <x v="0"/>
    <s v="Road"/>
    <x v="0"/>
    <n v="113.7"/>
    <n v="255"/>
    <n v="3"/>
    <n v="3"/>
    <n v="1"/>
    <n v="0"/>
    <n v="46.26"/>
    <n v="0"/>
    <n v="1"/>
  </r>
  <r>
    <s v="SHP-501568"/>
    <d v="2024-08-26T00:00:00"/>
    <x v="0"/>
    <s v="Q3"/>
    <x v="7"/>
    <x v="4"/>
    <x v="1"/>
    <x v="3"/>
    <x v="0"/>
    <s v="Road"/>
    <x v="1"/>
    <n v="5.7"/>
    <n v="392"/>
    <n v="4"/>
    <n v="4"/>
    <n v="1"/>
    <n v="0"/>
    <n v="13"/>
    <n v="0"/>
    <n v="1"/>
  </r>
  <r>
    <s v="SHP-501569"/>
    <d v="2024-08-27T00:00:00"/>
    <x v="0"/>
    <s v="Q3"/>
    <x v="7"/>
    <x v="4"/>
    <x v="1"/>
    <x v="0"/>
    <x v="0"/>
    <s v="Road"/>
    <x v="0"/>
    <n v="39"/>
    <n v="1141"/>
    <n v="4"/>
    <n v="4"/>
    <n v="1"/>
    <n v="0"/>
    <n v="42.98"/>
    <n v="0"/>
    <n v="1"/>
  </r>
  <r>
    <s v="SHP-501570"/>
    <d v="2024-08-27T00:00:00"/>
    <x v="0"/>
    <s v="Q3"/>
    <x v="7"/>
    <x v="0"/>
    <x v="1"/>
    <x v="3"/>
    <x v="0"/>
    <s v="Road"/>
    <x v="0"/>
    <n v="29.6"/>
    <n v="568"/>
    <n v="4"/>
    <n v="3"/>
    <n v="1"/>
    <n v="0"/>
    <n v="27.16"/>
    <n v="0"/>
    <n v="1"/>
  </r>
  <r>
    <s v="SHP-501571"/>
    <d v="2024-08-27T00:00:00"/>
    <x v="0"/>
    <s v="Q3"/>
    <x v="7"/>
    <x v="4"/>
    <x v="1"/>
    <x v="0"/>
    <x v="0"/>
    <s v="Road"/>
    <x v="1"/>
    <n v="3.8"/>
    <n v="827"/>
    <n v="4"/>
    <n v="3"/>
    <n v="1"/>
    <n v="0"/>
    <n v="16.55"/>
    <n v="0"/>
    <n v="1"/>
  </r>
  <r>
    <s v="SHP-501572"/>
    <d v="2024-08-27T00:00:00"/>
    <x v="0"/>
    <s v="Q3"/>
    <x v="7"/>
    <x v="2"/>
    <x v="1"/>
    <x v="2"/>
    <x v="1"/>
    <s v="Road"/>
    <x v="1"/>
    <n v="5.3"/>
    <n v="1142"/>
    <n v="7"/>
    <n v="7"/>
    <n v="1"/>
    <n v="0"/>
    <n v="15.17"/>
    <n v="0"/>
    <n v="1"/>
  </r>
  <r>
    <s v="SHP-501573"/>
    <d v="2024-08-27T00:00:00"/>
    <x v="0"/>
    <s v="Q3"/>
    <x v="7"/>
    <x v="0"/>
    <x v="2"/>
    <x v="4"/>
    <x v="0"/>
    <s v="Road"/>
    <x v="1"/>
    <n v="1.2"/>
    <n v="1069"/>
    <n v="5"/>
    <n v="4"/>
    <n v="1"/>
    <n v="0"/>
    <n v="16.5"/>
    <n v="0"/>
    <n v="1"/>
  </r>
  <r>
    <s v="SHP-501574"/>
    <d v="2024-08-27T00:00:00"/>
    <x v="0"/>
    <s v="Q3"/>
    <x v="7"/>
    <x v="2"/>
    <x v="2"/>
    <x v="1"/>
    <x v="0"/>
    <s v="Road"/>
    <x v="1"/>
    <n v="10.1"/>
    <n v="314"/>
    <n v="3"/>
    <n v="3"/>
    <n v="1"/>
    <n v="0"/>
    <n v="13.14"/>
    <n v="0"/>
    <n v="1"/>
  </r>
  <r>
    <s v="SHP-501575"/>
    <d v="2024-08-28T00:00:00"/>
    <x v="0"/>
    <s v="Q3"/>
    <x v="7"/>
    <x v="2"/>
    <x v="1"/>
    <x v="4"/>
    <x v="0"/>
    <s v="Road"/>
    <x v="1"/>
    <n v="5"/>
    <n v="1014"/>
    <n v="5"/>
    <n v="9"/>
    <n v="0"/>
    <n v="4"/>
    <n v="18.600000000000001"/>
    <n v="0"/>
    <n v="1"/>
  </r>
  <r>
    <s v="SHP-501576"/>
    <d v="2024-08-28T00:00:00"/>
    <x v="0"/>
    <s v="Q3"/>
    <x v="7"/>
    <x v="4"/>
    <x v="1"/>
    <x v="1"/>
    <x v="1"/>
    <s v="Road"/>
    <x v="1"/>
    <n v="3"/>
    <n v="320"/>
    <n v="5"/>
    <n v="5"/>
    <n v="1"/>
    <n v="0"/>
    <n v="8.5500000000000007"/>
    <n v="0"/>
    <n v="1"/>
  </r>
  <r>
    <s v="SHP-501577"/>
    <d v="2024-08-28T00:00:00"/>
    <x v="0"/>
    <s v="Q3"/>
    <x v="7"/>
    <x v="3"/>
    <x v="1"/>
    <x v="1"/>
    <x v="0"/>
    <s v="Road"/>
    <x v="0"/>
    <n v="127.9"/>
    <n v="253"/>
    <n v="3"/>
    <n v="2"/>
    <n v="1"/>
    <n v="0"/>
    <n v="71.03"/>
    <n v="0"/>
    <n v="1"/>
  </r>
  <r>
    <s v="SHP-501578"/>
    <d v="2024-08-28T00:00:00"/>
    <x v="0"/>
    <s v="Q3"/>
    <x v="7"/>
    <x v="1"/>
    <x v="1"/>
    <x v="4"/>
    <x v="0"/>
    <s v="Road"/>
    <x v="0"/>
    <n v="153.4"/>
    <n v="1124"/>
    <n v="5"/>
    <n v="5"/>
    <n v="1"/>
    <n v="0"/>
    <n v="91.57"/>
    <n v="0"/>
    <n v="1"/>
  </r>
  <r>
    <s v="SHP-501579"/>
    <d v="2024-08-28T00:00:00"/>
    <x v="0"/>
    <s v="Q3"/>
    <x v="7"/>
    <x v="1"/>
    <x v="2"/>
    <x v="0"/>
    <x v="0"/>
    <s v="Road"/>
    <x v="0"/>
    <n v="82.6"/>
    <n v="882"/>
    <n v="4"/>
    <n v="4"/>
    <n v="1"/>
    <n v="0"/>
    <n v="54.86"/>
    <n v="0"/>
    <n v="1"/>
  </r>
  <r>
    <s v="SHP-501580"/>
    <d v="2024-08-28T00:00:00"/>
    <x v="0"/>
    <s v="Q3"/>
    <x v="7"/>
    <x v="2"/>
    <x v="2"/>
    <x v="3"/>
    <x v="0"/>
    <s v="Road"/>
    <x v="0"/>
    <n v="497.1"/>
    <n v="563"/>
    <n v="4"/>
    <n v="7"/>
    <n v="0"/>
    <n v="3"/>
    <n v="164.62"/>
    <n v="0"/>
    <n v="1"/>
  </r>
  <r>
    <s v="SHP-501581"/>
    <d v="2024-08-28T00:00:00"/>
    <x v="0"/>
    <s v="Q3"/>
    <x v="7"/>
    <x v="1"/>
    <x v="2"/>
    <x v="4"/>
    <x v="1"/>
    <s v="Road"/>
    <x v="0"/>
    <n v="112.2"/>
    <n v="1072"/>
    <n v="7"/>
    <n v="7"/>
    <n v="1"/>
    <n v="0"/>
    <n v="52.79"/>
    <n v="0"/>
    <n v="1"/>
  </r>
  <r>
    <s v="SHP-501582"/>
    <d v="2024-08-29T00:00:00"/>
    <x v="0"/>
    <s v="Q3"/>
    <x v="7"/>
    <x v="4"/>
    <x v="1"/>
    <x v="0"/>
    <x v="2"/>
    <s v="Air"/>
    <x v="1"/>
    <n v="7.2"/>
    <n v="1107"/>
    <n v="2"/>
    <n v="2"/>
    <n v="1"/>
    <n v="0"/>
    <n v="72.25"/>
    <n v="0"/>
    <n v="1"/>
  </r>
  <r>
    <s v="SHP-501583"/>
    <d v="2024-08-29T00:00:00"/>
    <x v="0"/>
    <s v="Q3"/>
    <x v="7"/>
    <x v="1"/>
    <x v="1"/>
    <x v="0"/>
    <x v="1"/>
    <s v="Road"/>
    <x v="0"/>
    <n v="61.6"/>
    <n v="977"/>
    <n v="6"/>
    <n v="6"/>
    <n v="1"/>
    <n v="0"/>
    <n v="37.979999999999997"/>
    <n v="0"/>
    <n v="1"/>
  </r>
  <r>
    <s v="SHP-501584"/>
    <d v="2024-08-29T00:00:00"/>
    <x v="0"/>
    <s v="Q3"/>
    <x v="7"/>
    <x v="4"/>
    <x v="1"/>
    <x v="1"/>
    <x v="0"/>
    <s v="Road"/>
    <x v="1"/>
    <n v="10.9"/>
    <n v="249"/>
    <n v="3"/>
    <n v="7"/>
    <n v="0"/>
    <n v="4"/>
    <n v="16.54"/>
    <n v="0"/>
    <n v="1"/>
  </r>
  <r>
    <s v="SHP-501585"/>
    <d v="2024-08-29T00:00:00"/>
    <x v="0"/>
    <s v="Q3"/>
    <x v="7"/>
    <x v="2"/>
    <x v="0"/>
    <x v="1"/>
    <x v="2"/>
    <s v="Road"/>
    <x v="1"/>
    <n v="1.1000000000000001"/>
    <n v="300"/>
    <n v="1"/>
    <n v="1"/>
    <n v="1"/>
    <n v="0"/>
    <n v="16.59"/>
    <n v="0"/>
    <n v="1"/>
  </r>
  <r>
    <s v="SHP-501586"/>
    <d v="2024-08-29T00:00:00"/>
    <x v="0"/>
    <s v="Q3"/>
    <x v="7"/>
    <x v="4"/>
    <x v="2"/>
    <x v="0"/>
    <x v="0"/>
    <s v="Road"/>
    <x v="0"/>
    <n v="156.1"/>
    <n v="888"/>
    <n v="4"/>
    <n v="3"/>
    <n v="1"/>
    <n v="0"/>
    <n v="76.52"/>
    <n v="0"/>
    <n v="1"/>
  </r>
  <r>
    <s v="SHP-501587"/>
    <d v="2024-08-29T00:00:00"/>
    <x v="0"/>
    <s v="Q3"/>
    <x v="7"/>
    <x v="2"/>
    <x v="2"/>
    <x v="3"/>
    <x v="0"/>
    <s v="Road"/>
    <x v="1"/>
    <n v="4.7"/>
    <n v="529"/>
    <n v="4"/>
    <n v="4"/>
    <n v="1"/>
    <n v="0"/>
    <n v="14.48"/>
    <n v="0"/>
    <n v="1"/>
  </r>
  <r>
    <s v="SHP-501588"/>
    <d v="2024-08-29T00:00:00"/>
    <x v="0"/>
    <s v="Q3"/>
    <x v="7"/>
    <x v="0"/>
    <x v="2"/>
    <x v="4"/>
    <x v="0"/>
    <s v="Road"/>
    <x v="1"/>
    <n v="1.7"/>
    <n v="1043"/>
    <n v="5"/>
    <n v="5"/>
    <n v="1"/>
    <n v="0"/>
    <n v="19.920000000000002"/>
    <n v="0"/>
    <n v="1"/>
  </r>
  <r>
    <s v="SHP-501589"/>
    <d v="2024-08-29T00:00:00"/>
    <x v="0"/>
    <s v="Q3"/>
    <x v="7"/>
    <x v="3"/>
    <x v="2"/>
    <x v="3"/>
    <x v="1"/>
    <s v="Road"/>
    <x v="1"/>
    <n v="9.6"/>
    <n v="492"/>
    <n v="6"/>
    <n v="6"/>
    <n v="1"/>
    <n v="0"/>
    <n v="14.66"/>
    <n v="0"/>
    <n v="1"/>
  </r>
  <r>
    <s v="SHP-501590"/>
    <d v="2024-08-30T00:00:00"/>
    <x v="0"/>
    <s v="Q3"/>
    <x v="7"/>
    <x v="3"/>
    <x v="2"/>
    <x v="0"/>
    <x v="0"/>
    <s v="Road"/>
    <x v="0"/>
    <n v="116.8"/>
    <n v="1102"/>
    <n v="4"/>
    <n v="4"/>
    <n v="1"/>
    <n v="0"/>
    <n v="77.33"/>
    <n v="0"/>
    <n v="1"/>
  </r>
  <r>
    <s v="SHP-501591"/>
    <d v="2024-08-30T00:00:00"/>
    <x v="0"/>
    <s v="Q3"/>
    <x v="7"/>
    <x v="4"/>
    <x v="2"/>
    <x v="2"/>
    <x v="1"/>
    <s v="Road"/>
    <x v="1"/>
    <n v="15.2"/>
    <n v="1213"/>
    <n v="7"/>
    <n v="7"/>
    <n v="1"/>
    <n v="0"/>
    <n v="21.17"/>
    <n v="0"/>
    <n v="1"/>
  </r>
  <r>
    <s v="SHP-501592"/>
    <d v="2024-08-30T00:00:00"/>
    <x v="0"/>
    <s v="Q3"/>
    <x v="7"/>
    <x v="0"/>
    <x v="2"/>
    <x v="3"/>
    <x v="1"/>
    <s v="Road"/>
    <x v="0"/>
    <n v="76.900000000000006"/>
    <n v="485"/>
    <n v="6"/>
    <n v="7"/>
    <n v="0"/>
    <n v="1"/>
    <n v="36.69"/>
    <n v="0"/>
    <n v="1"/>
  </r>
  <r>
    <s v="SHP-501593"/>
    <d v="2024-08-30T00:00:00"/>
    <x v="0"/>
    <s v="Q3"/>
    <x v="7"/>
    <x v="3"/>
    <x v="2"/>
    <x v="4"/>
    <x v="0"/>
    <s v="Road"/>
    <x v="1"/>
    <n v="7.8"/>
    <n v="764"/>
    <n v="5"/>
    <n v="5"/>
    <n v="1"/>
    <n v="0"/>
    <n v="21.97"/>
    <n v="0"/>
    <n v="1"/>
  </r>
  <r>
    <s v="SHP-501594"/>
    <d v="2024-08-30T00:00:00"/>
    <x v="0"/>
    <s v="Q3"/>
    <x v="7"/>
    <x v="0"/>
    <x v="2"/>
    <x v="3"/>
    <x v="2"/>
    <s v="Road"/>
    <x v="1"/>
    <n v="7.5"/>
    <n v="545"/>
    <n v="2"/>
    <n v="1"/>
    <n v="1"/>
    <n v="0"/>
    <n v="30.32"/>
    <n v="0"/>
    <n v="1"/>
  </r>
  <r>
    <s v="SHP-501595"/>
    <d v="2024-08-30T00:00:00"/>
    <x v="0"/>
    <s v="Q3"/>
    <x v="7"/>
    <x v="3"/>
    <x v="1"/>
    <x v="3"/>
    <x v="0"/>
    <s v="Road"/>
    <x v="1"/>
    <n v="7.2"/>
    <n v="479"/>
    <n v="4"/>
    <n v="3"/>
    <n v="1"/>
    <n v="0"/>
    <n v="18.579999999999998"/>
    <n v="0"/>
    <n v="1"/>
  </r>
  <r>
    <s v="SHP-501596"/>
    <d v="2024-08-30T00:00:00"/>
    <x v="0"/>
    <s v="Q3"/>
    <x v="7"/>
    <x v="4"/>
    <x v="1"/>
    <x v="4"/>
    <x v="0"/>
    <s v="Road"/>
    <x v="1"/>
    <n v="5"/>
    <n v="970"/>
    <n v="5"/>
    <n v="5"/>
    <n v="1"/>
    <n v="0"/>
    <n v="20.67"/>
    <n v="0"/>
    <n v="1"/>
  </r>
  <r>
    <s v="SHP-501597"/>
    <d v="2024-08-31T00:00:00"/>
    <x v="0"/>
    <s v="Q3"/>
    <x v="7"/>
    <x v="1"/>
    <x v="1"/>
    <x v="3"/>
    <x v="1"/>
    <s v="Road"/>
    <x v="1"/>
    <n v="12.1"/>
    <n v="357"/>
    <n v="6"/>
    <n v="6"/>
    <n v="1"/>
    <n v="0"/>
    <n v="13.92"/>
    <n v="0"/>
    <n v="1"/>
  </r>
  <r>
    <s v="SHP-501598"/>
    <d v="2024-08-31T00:00:00"/>
    <x v="0"/>
    <s v="Q3"/>
    <x v="7"/>
    <x v="4"/>
    <x v="0"/>
    <x v="0"/>
    <x v="1"/>
    <s v="Road"/>
    <x v="0"/>
    <n v="90.6"/>
    <n v="983"/>
    <n v="6"/>
    <n v="5"/>
    <n v="1"/>
    <n v="0"/>
    <n v="44.12"/>
    <n v="0"/>
    <n v="1"/>
  </r>
  <r>
    <s v="SHP-501599"/>
    <d v="2024-08-31T00:00:00"/>
    <x v="0"/>
    <s v="Q3"/>
    <x v="7"/>
    <x v="2"/>
    <x v="0"/>
    <x v="3"/>
    <x v="1"/>
    <s v="Road"/>
    <x v="0"/>
    <n v="15"/>
    <n v="428"/>
    <n v="6"/>
    <n v="5"/>
    <n v="1"/>
    <n v="0"/>
    <n v="11.69"/>
    <n v="1"/>
    <n v="1"/>
  </r>
  <r>
    <s v="SHP-501600"/>
    <d v="2024-09-01T00:00:00"/>
    <x v="0"/>
    <s v="Q3"/>
    <x v="8"/>
    <x v="2"/>
    <x v="1"/>
    <x v="1"/>
    <x v="0"/>
    <s v="Road"/>
    <x v="0"/>
    <n v="101.2"/>
    <n v="274"/>
    <n v="3"/>
    <n v="2"/>
    <n v="1"/>
    <n v="0"/>
    <n v="47.28"/>
    <n v="0"/>
    <n v="1"/>
  </r>
  <r>
    <s v="SHP-501601"/>
    <d v="2024-09-01T00:00:00"/>
    <x v="0"/>
    <s v="Q3"/>
    <x v="8"/>
    <x v="2"/>
    <x v="1"/>
    <x v="3"/>
    <x v="0"/>
    <s v="Road"/>
    <x v="1"/>
    <n v="6.9"/>
    <n v="603"/>
    <n v="4"/>
    <n v="3"/>
    <n v="1"/>
    <n v="0"/>
    <n v="15.89"/>
    <n v="0"/>
    <n v="1"/>
  </r>
  <r>
    <s v="SHP-501602"/>
    <d v="2024-09-01T00:00:00"/>
    <x v="0"/>
    <s v="Q3"/>
    <x v="8"/>
    <x v="4"/>
    <x v="2"/>
    <x v="3"/>
    <x v="0"/>
    <s v="Road"/>
    <x v="1"/>
    <n v="5.5"/>
    <n v="447"/>
    <n v="4"/>
    <n v="4"/>
    <n v="1"/>
    <n v="0"/>
    <n v="15.19"/>
    <n v="0"/>
    <n v="1"/>
  </r>
  <r>
    <s v="SHP-501603"/>
    <d v="2024-09-01T00:00:00"/>
    <x v="0"/>
    <s v="Q3"/>
    <x v="8"/>
    <x v="0"/>
    <x v="2"/>
    <x v="0"/>
    <x v="0"/>
    <s v="Road"/>
    <x v="1"/>
    <n v="0.8"/>
    <n v="645"/>
    <n v="4"/>
    <n v="4"/>
    <n v="1"/>
    <n v="0"/>
    <n v="13"/>
    <n v="0"/>
    <n v="1"/>
  </r>
  <r>
    <s v="SHP-501604"/>
    <d v="2024-09-02T00:00:00"/>
    <x v="0"/>
    <s v="Q3"/>
    <x v="8"/>
    <x v="4"/>
    <x v="2"/>
    <x v="1"/>
    <x v="0"/>
    <s v="Road"/>
    <x v="1"/>
    <n v="10.1"/>
    <n v="285"/>
    <n v="3"/>
    <n v="3"/>
    <n v="1"/>
    <n v="0"/>
    <n v="16"/>
    <n v="0"/>
    <n v="1"/>
  </r>
  <r>
    <s v="SHP-501605"/>
    <d v="2024-09-02T00:00:00"/>
    <x v="0"/>
    <s v="Q3"/>
    <x v="8"/>
    <x v="3"/>
    <x v="2"/>
    <x v="1"/>
    <x v="2"/>
    <s v="Road"/>
    <x v="1"/>
    <n v="11.3"/>
    <n v="254"/>
    <n v="1"/>
    <n v="3"/>
    <n v="0"/>
    <n v="2"/>
    <n v="37.47"/>
    <n v="0"/>
    <n v="1"/>
  </r>
  <r>
    <s v="SHP-501606"/>
    <d v="2024-09-02T00:00:00"/>
    <x v="0"/>
    <s v="Q3"/>
    <x v="8"/>
    <x v="4"/>
    <x v="1"/>
    <x v="4"/>
    <x v="2"/>
    <s v="Air"/>
    <x v="1"/>
    <n v="13.1"/>
    <n v="1249"/>
    <n v="3"/>
    <n v="6"/>
    <n v="0"/>
    <n v="3"/>
    <n v="81.040000000000006"/>
    <n v="0"/>
    <n v="1"/>
  </r>
  <r>
    <s v="SHP-501607"/>
    <d v="2024-09-02T00:00:00"/>
    <x v="0"/>
    <s v="Q3"/>
    <x v="8"/>
    <x v="3"/>
    <x v="2"/>
    <x v="3"/>
    <x v="1"/>
    <s v="Road"/>
    <x v="0"/>
    <n v="124.7"/>
    <n v="390"/>
    <n v="6"/>
    <n v="5"/>
    <n v="1"/>
    <n v="0"/>
    <n v="50.26"/>
    <n v="0"/>
    <n v="1"/>
  </r>
  <r>
    <s v="SHP-501608"/>
    <d v="2024-09-02T00:00:00"/>
    <x v="0"/>
    <s v="Q3"/>
    <x v="8"/>
    <x v="3"/>
    <x v="0"/>
    <x v="3"/>
    <x v="0"/>
    <s v="Road"/>
    <x v="0"/>
    <n v="144"/>
    <n v="468"/>
    <n v="4"/>
    <n v="4"/>
    <n v="1"/>
    <n v="0"/>
    <n v="72.47"/>
    <n v="0"/>
    <n v="1"/>
  </r>
  <r>
    <s v="SHP-501609"/>
    <d v="2024-09-02T00:00:00"/>
    <x v="0"/>
    <s v="Q3"/>
    <x v="8"/>
    <x v="4"/>
    <x v="1"/>
    <x v="4"/>
    <x v="2"/>
    <s v="Air"/>
    <x v="1"/>
    <n v="3.9"/>
    <n v="1059"/>
    <n v="3"/>
    <n v="3"/>
    <n v="1"/>
    <n v="0"/>
    <n v="64.010000000000005"/>
    <n v="0"/>
    <n v="1"/>
  </r>
  <r>
    <s v="SHP-501610"/>
    <d v="2024-09-02T00:00:00"/>
    <x v="0"/>
    <s v="Q3"/>
    <x v="8"/>
    <x v="4"/>
    <x v="2"/>
    <x v="4"/>
    <x v="1"/>
    <s v="Road"/>
    <x v="0"/>
    <n v="52.7"/>
    <n v="1302"/>
    <n v="7"/>
    <n v="9"/>
    <n v="0"/>
    <n v="2"/>
    <n v="33.65"/>
    <n v="0"/>
    <n v="1"/>
  </r>
  <r>
    <s v="SHP-501611"/>
    <d v="2024-09-02T00:00:00"/>
    <x v="0"/>
    <s v="Q3"/>
    <x v="8"/>
    <x v="4"/>
    <x v="2"/>
    <x v="3"/>
    <x v="0"/>
    <s v="Road"/>
    <x v="0"/>
    <n v="163"/>
    <n v="460"/>
    <n v="4"/>
    <n v="3"/>
    <n v="1"/>
    <n v="0"/>
    <n v="90.2"/>
    <n v="0"/>
    <n v="1"/>
  </r>
  <r>
    <s v="SHP-501612"/>
    <d v="2024-09-02T00:00:00"/>
    <x v="0"/>
    <s v="Q3"/>
    <x v="8"/>
    <x v="0"/>
    <x v="0"/>
    <x v="1"/>
    <x v="1"/>
    <s v="Road"/>
    <x v="0"/>
    <n v="23.8"/>
    <n v="167"/>
    <n v="5"/>
    <n v="5"/>
    <n v="1"/>
    <n v="0"/>
    <n v="14.59"/>
    <n v="0"/>
    <n v="1"/>
  </r>
  <r>
    <s v="SHP-501613"/>
    <d v="2024-09-03T00:00:00"/>
    <x v="0"/>
    <s v="Q3"/>
    <x v="8"/>
    <x v="3"/>
    <x v="2"/>
    <x v="0"/>
    <x v="0"/>
    <s v="Road"/>
    <x v="1"/>
    <n v="6.1"/>
    <n v="781"/>
    <n v="4"/>
    <n v="3"/>
    <n v="1"/>
    <n v="0"/>
    <n v="21.14"/>
    <n v="0"/>
    <n v="1"/>
  </r>
  <r>
    <s v="SHP-501614"/>
    <d v="2024-09-03T00:00:00"/>
    <x v="0"/>
    <s v="Q3"/>
    <x v="8"/>
    <x v="1"/>
    <x v="2"/>
    <x v="0"/>
    <x v="0"/>
    <s v="Road"/>
    <x v="0"/>
    <n v="214.3"/>
    <n v="955"/>
    <n v="4"/>
    <n v="6"/>
    <n v="0"/>
    <n v="2"/>
    <n v="101.7"/>
    <n v="0"/>
    <n v="1"/>
  </r>
  <r>
    <s v="SHP-501615"/>
    <d v="2024-09-03T00:00:00"/>
    <x v="0"/>
    <s v="Q3"/>
    <x v="8"/>
    <x v="2"/>
    <x v="2"/>
    <x v="0"/>
    <x v="0"/>
    <s v="Road"/>
    <x v="1"/>
    <n v="6.2"/>
    <n v="1155"/>
    <n v="4"/>
    <n v="7"/>
    <n v="0"/>
    <n v="3"/>
    <n v="19.98"/>
    <n v="0"/>
    <n v="1"/>
  </r>
  <r>
    <s v="SHP-501616"/>
    <d v="2024-09-03T00:00:00"/>
    <x v="0"/>
    <s v="Q3"/>
    <x v="8"/>
    <x v="0"/>
    <x v="2"/>
    <x v="1"/>
    <x v="0"/>
    <s v="Road"/>
    <x v="0"/>
    <n v="86.3"/>
    <n v="292"/>
    <n v="3"/>
    <n v="3"/>
    <n v="1"/>
    <n v="0"/>
    <n v="49.42"/>
    <n v="0"/>
    <n v="1"/>
  </r>
  <r>
    <s v="SHP-501617"/>
    <d v="2024-09-03T00:00:00"/>
    <x v="0"/>
    <s v="Q3"/>
    <x v="8"/>
    <x v="1"/>
    <x v="2"/>
    <x v="0"/>
    <x v="2"/>
    <s v="Air"/>
    <x v="1"/>
    <n v="1.4"/>
    <n v="1079"/>
    <n v="2"/>
    <n v="2"/>
    <n v="1"/>
    <n v="0"/>
    <n v="65.52"/>
    <n v="0"/>
    <n v="1"/>
  </r>
  <r>
    <s v="SHP-501618"/>
    <d v="2024-09-03T00:00:00"/>
    <x v="0"/>
    <s v="Q3"/>
    <x v="8"/>
    <x v="1"/>
    <x v="2"/>
    <x v="3"/>
    <x v="0"/>
    <s v="Road"/>
    <x v="0"/>
    <n v="74.8"/>
    <n v="299"/>
    <n v="4"/>
    <n v="4"/>
    <n v="1"/>
    <n v="0"/>
    <n v="52.15"/>
    <n v="0"/>
    <n v="1"/>
  </r>
  <r>
    <s v="SHP-501619"/>
    <d v="2024-09-03T00:00:00"/>
    <x v="0"/>
    <s v="Q3"/>
    <x v="8"/>
    <x v="3"/>
    <x v="1"/>
    <x v="1"/>
    <x v="0"/>
    <s v="Road"/>
    <x v="1"/>
    <n v="0.6"/>
    <n v="277"/>
    <n v="3"/>
    <n v="2"/>
    <n v="1"/>
    <n v="0"/>
    <n v="10.75"/>
    <n v="0"/>
    <n v="1"/>
  </r>
  <r>
    <s v="SHP-501620"/>
    <d v="2024-09-03T00:00:00"/>
    <x v="0"/>
    <s v="Q3"/>
    <x v="8"/>
    <x v="2"/>
    <x v="1"/>
    <x v="0"/>
    <x v="2"/>
    <s v="Air"/>
    <x v="1"/>
    <n v="15.3"/>
    <n v="768"/>
    <n v="2"/>
    <n v="2"/>
    <n v="1"/>
    <n v="0"/>
    <n v="64.489999999999995"/>
    <n v="0"/>
    <n v="1"/>
  </r>
  <r>
    <s v="SHP-501621"/>
    <d v="2024-09-03T00:00:00"/>
    <x v="0"/>
    <s v="Q3"/>
    <x v="8"/>
    <x v="3"/>
    <x v="0"/>
    <x v="3"/>
    <x v="0"/>
    <s v="Road"/>
    <x v="1"/>
    <n v="3.8"/>
    <n v="470"/>
    <n v="4"/>
    <n v="4"/>
    <n v="1"/>
    <n v="0"/>
    <n v="14.95"/>
    <n v="0"/>
    <n v="1"/>
  </r>
  <r>
    <s v="SHP-501622"/>
    <d v="2024-09-03T00:00:00"/>
    <x v="0"/>
    <s v="Q3"/>
    <x v="8"/>
    <x v="0"/>
    <x v="0"/>
    <x v="3"/>
    <x v="1"/>
    <s v="Road"/>
    <x v="1"/>
    <n v="2.7"/>
    <n v="497"/>
    <n v="6"/>
    <n v="6"/>
    <n v="1"/>
    <n v="0"/>
    <n v="9.65"/>
    <n v="0"/>
    <n v="1"/>
  </r>
  <r>
    <s v="SHP-501623"/>
    <d v="2024-09-03T00:00:00"/>
    <x v="0"/>
    <s v="Q3"/>
    <x v="8"/>
    <x v="3"/>
    <x v="2"/>
    <x v="3"/>
    <x v="0"/>
    <s v="Road"/>
    <x v="1"/>
    <n v="8.4"/>
    <n v="508"/>
    <n v="4"/>
    <n v="4"/>
    <n v="1"/>
    <n v="0"/>
    <n v="18.13"/>
    <n v="0"/>
    <n v="1"/>
  </r>
  <r>
    <s v="SHP-501624"/>
    <d v="2024-09-03T00:00:00"/>
    <x v="0"/>
    <s v="Q3"/>
    <x v="8"/>
    <x v="0"/>
    <x v="2"/>
    <x v="4"/>
    <x v="2"/>
    <s v="Air"/>
    <x v="1"/>
    <n v="4.7"/>
    <n v="1195"/>
    <n v="3"/>
    <n v="6"/>
    <n v="0"/>
    <n v="3"/>
    <n v="69.260000000000005"/>
    <n v="0"/>
    <n v="1"/>
  </r>
  <r>
    <s v="SHP-501625"/>
    <d v="2024-09-04T00:00:00"/>
    <x v="0"/>
    <s v="Q3"/>
    <x v="8"/>
    <x v="4"/>
    <x v="0"/>
    <x v="1"/>
    <x v="0"/>
    <s v="Road"/>
    <x v="1"/>
    <n v="12.7"/>
    <n v="198"/>
    <n v="3"/>
    <n v="3"/>
    <n v="1"/>
    <n v="0"/>
    <n v="15.75"/>
    <n v="0"/>
    <n v="1"/>
  </r>
  <r>
    <s v="SHP-501626"/>
    <d v="2024-09-04T00:00:00"/>
    <x v="0"/>
    <s v="Q3"/>
    <x v="8"/>
    <x v="4"/>
    <x v="2"/>
    <x v="1"/>
    <x v="0"/>
    <s v="Road"/>
    <x v="0"/>
    <n v="183.9"/>
    <n v="175"/>
    <n v="3"/>
    <n v="3"/>
    <n v="1"/>
    <n v="0"/>
    <n v="86.74"/>
    <n v="0"/>
    <n v="1"/>
  </r>
  <r>
    <s v="SHP-501627"/>
    <d v="2024-09-04T00:00:00"/>
    <x v="0"/>
    <s v="Q3"/>
    <x v="8"/>
    <x v="3"/>
    <x v="1"/>
    <x v="0"/>
    <x v="2"/>
    <s v="Air"/>
    <x v="0"/>
    <n v="178.9"/>
    <n v="610"/>
    <n v="2"/>
    <n v="3"/>
    <n v="0"/>
    <n v="1"/>
    <n v="323.08999999999997"/>
    <n v="0"/>
    <n v="1"/>
  </r>
  <r>
    <s v="SHP-501628"/>
    <d v="2024-09-04T00:00:00"/>
    <x v="0"/>
    <s v="Q3"/>
    <x v="8"/>
    <x v="3"/>
    <x v="0"/>
    <x v="2"/>
    <x v="2"/>
    <s v="Air"/>
    <x v="1"/>
    <n v="11.1"/>
    <n v="1310"/>
    <n v="3"/>
    <n v="3"/>
    <n v="1"/>
    <n v="0"/>
    <n v="92.76"/>
    <n v="0"/>
    <n v="1"/>
  </r>
  <r>
    <s v="SHP-501629"/>
    <d v="2024-09-05T00:00:00"/>
    <x v="0"/>
    <s v="Q3"/>
    <x v="8"/>
    <x v="0"/>
    <x v="2"/>
    <x v="1"/>
    <x v="0"/>
    <s v="Road"/>
    <x v="1"/>
    <n v="14.8"/>
    <n v="319"/>
    <n v="3"/>
    <n v="3"/>
    <n v="1"/>
    <n v="0"/>
    <n v="17.079999999999998"/>
    <n v="0"/>
    <n v="1"/>
  </r>
  <r>
    <s v="SHP-501630"/>
    <d v="2024-09-05T00:00:00"/>
    <x v="0"/>
    <s v="Q3"/>
    <x v="8"/>
    <x v="0"/>
    <x v="1"/>
    <x v="0"/>
    <x v="0"/>
    <s v="Road"/>
    <x v="1"/>
    <n v="9.5"/>
    <n v="775"/>
    <n v="4"/>
    <n v="3"/>
    <n v="1"/>
    <n v="0"/>
    <n v="19.989999999999998"/>
    <n v="0"/>
    <n v="1"/>
  </r>
  <r>
    <s v="SHP-501631"/>
    <d v="2024-09-05T00:00:00"/>
    <x v="0"/>
    <s v="Q3"/>
    <x v="8"/>
    <x v="3"/>
    <x v="1"/>
    <x v="3"/>
    <x v="0"/>
    <s v="Road"/>
    <x v="1"/>
    <n v="15.6"/>
    <n v="550"/>
    <n v="4"/>
    <n v="4"/>
    <n v="1"/>
    <n v="0"/>
    <n v="24.11"/>
    <n v="0"/>
    <n v="1"/>
  </r>
  <r>
    <s v="SHP-501632"/>
    <d v="2024-09-05T00:00:00"/>
    <x v="0"/>
    <s v="Q3"/>
    <x v="8"/>
    <x v="4"/>
    <x v="2"/>
    <x v="1"/>
    <x v="1"/>
    <s v="Road"/>
    <x v="0"/>
    <n v="207.1"/>
    <n v="204"/>
    <n v="5"/>
    <n v="4"/>
    <n v="1"/>
    <n v="0"/>
    <n v="62.84"/>
    <n v="0"/>
    <n v="1"/>
  </r>
  <r>
    <s v="SHP-501633"/>
    <d v="2024-09-05T00:00:00"/>
    <x v="0"/>
    <s v="Q3"/>
    <x v="8"/>
    <x v="3"/>
    <x v="2"/>
    <x v="3"/>
    <x v="2"/>
    <s v="Road"/>
    <x v="0"/>
    <n v="289.2"/>
    <n v="424"/>
    <n v="2"/>
    <n v="2"/>
    <n v="1"/>
    <n v="0"/>
    <n v="264.95999999999998"/>
    <n v="0"/>
    <n v="1"/>
  </r>
  <r>
    <s v="SHP-501634"/>
    <d v="2024-09-05T00:00:00"/>
    <x v="0"/>
    <s v="Q3"/>
    <x v="8"/>
    <x v="0"/>
    <x v="2"/>
    <x v="1"/>
    <x v="0"/>
    <s v="Road"/>
    <x v="0"/>
    <n v="52.8"/>
    <n v="204"/>
    <n v="3"/>
    <n v="3"/>
    <n v="1"/>
    <n v="0"/>
    <n v="32.770000000000003"/>
    <n v="0"/>
    <n v="1"/>
  </r>
  <r>
    <s v="SHP-501635"/>
    <d v="2024-09-05T00:00:00"/>
    <x v="0"/>
    <s v="Q3"/>
    <x v="8"/>
    <x v="0"/>
    <x v="2"/>
    <x v="1"/>
    <x v="0"/>
    <s v="Road"/>
    <x v="1"/>
    <n v="5.9"/>
    <n v="198"/>
    <n v="3"/>
    <n v="2"/>
    <n v="1"/>
    <n v="0"/>
    <n v="12.97"/>
    <n v="0"/>
    <n v="1"/>
  </r>
  <r>
    <s v="SHP-501636"/>
    <d v="2024-09-06T00:00:00"/>
    <x v="0"/>
    <s v="Q3"/>
    <x v="8"/>
    <x v="4"/>
    <x v="0"/>
    <x v="1"/>
    <x v="2"/>
    <s v="Road"/>
    <x v="1"/>
    <n v="6.5"/>
    <n v="243"/>
    <n v="1"/>
    <n v="1"/>
    <n v="1"/>
    <n v="0"/>
    <n v="25.18"/>
    <n v="0"/>
    <n v="1"/>
  </r>
  <r>
    <s v="SHP-501637"/>
    <d v="2024-09-06T00:00:00"/>
    <x v="0"/>
    <s v="Q3"/>
    <x v="8"/>
    <x v="0"/>
    <x v="0"/>
    <x v="4"/>
    <x v="1"/>
    <s v="Road"/>
    <x v="1"/>
    <n v="3.1"/>
    <n v="876"/>
    <n v="7"/>
    <n v="8"/>
    <n v="0"/>
    <n v="1"/>
    <n v="13.29"/>
    <n v="0"/>
    <n v="1"/>
  </r>
  <r>
    <s v="SHP-501638"/>
    <d v="2024-09-06T00:00:00"/>
    <x v="0"/>
    <s v="Q3"/>
    <x v="8"/>
    <x v="2"/>
    <x v="0"/>
    <x v="2"/>
    <x v="1"/>
    <s v="Road"/>
    <x v="0"/>
    <n v="154.9"/>
    <n v="1270"/>
    <n v="7"/>
    <n v="7"/>
    <n v="1"/>
    <n v="0"/>
    <n v="49.93"/>
    <n v="0"/>
    <n v="1"/>
  </r>
  <r>
    <s v="SHP-501639"/>
    <d v="2024-09-06T00:00:00"/>
    <x v="0"/>
    <s v="Q3"/>
    <x v="8"/>
    <x v="0"/>
    <x v="2"/>
    <x v="2"/>
    <x v="1"/>
    <s v="Road"/>
    <x v="1"/>
    <n v="7.3"/>
    <n v="816"/>
    <n v="7"/>
    <n v="7"/>
    <n v="1"/>
    <n v="0"/>
    <n v="12.88"/>
    <n v="0"/>
    <n v="1"/>
  </r>
  <r>
    <s v="SHP-501640"/>
    <d v="2024-09-06T00:00:00"/>
    <x v="0"/>
    <s v="Q3"/>
    <x v="8"/>
    <x v="2"/>
    <x v="2"/>
    <x v="0"/>
    <x v="0"/>
    <s v="Road"/>
    <x v="1"/>
    <n v="9.1"/>
    <n v="1088"/>
    <n v="4"/>
    <n v="3"/>
    <n v="1"/>
    <n v="0"/>
    <n v="22.09"/>
    <n v="0"/>
    <n v="1"/>
  </r>
  <r>
    <s v="SHP-501641"/>
    <d v="2024-09-06T00:00:00"/>
    <x v="0"/>
    <s v="Q3"/>
    <x v="8"/>
    <x v="3"/>
    <x v="2"/>
    <x v="4"/>
    <x v="0"/>
    <s v="Road"/>
    <x v="1"/>
    <n v="4.8"/>
    <n v="1124"/>
    <n v="5"/>
    <n v="5"/>
    <n v="1"/>
    <n v="0"/>
    <n v="26.24"/>
    <n v="0"/>
    <n v="1"/>
  </r>
  <r>
    <s v="SHP-501642"/>
    <d v="2024-09-06T00:00:00"/>
    <x v="0"/>
    <s v="Q3"/>
    <x v="8"/>
    <x v="3"/>
    <x v="1"/>
    <x v="0"/>
    <x v="0"/>
    <s v="Road"/>
    <x v="1"/>
    <n v="1.4"/>
    <n v="762"/>
    <n v="4"/>
    <n v="4"/>
    <n v="1"/>
    <n v="0"/>
    <n v="17.25"/>
    <n v="0"/>
    <n v="1"/>
  </r>
  <r>
    <s v="SHP-501643"/>
    <d v="2024-09-06T00:00:00"/>
    <x v="0"/>
    <s v="Q3"/>
    <x v="8"/>
    <x v="2"/>
    <x v="2"/>
    <x v="0"/>
    <x v="0"/>
    <s v="Road"/>
    <x v="0"/>
    <n v="303.39999999999998"/>
    <n v="680"/>
    <n v="4"/>
    <n v="3"/>
    <n v="1"/>
    <n v="0"/>
    <n v="96.54"/>
    <n v="0"/>
    <n v="1"/>
  </r>
  <r>
    <s v="SHP-501644"/>
    <d v="2024-09-07T00:00:00"/>
    <x v="0"/>
    <s v="Q3"/>
    <x v="8"/>
    <x v="0"/>
    <x v="1"/>
    <x v="1"/>
    <x v="0"/>
    <s v="Road"/>
    <x v="1"/>
    <n v="2.6"/>
    <n v="218"/>
    <n v="3"/>
    <n v="2"/>
    <n v="1"/>
    <n v="0"/>
    <n v="11.19"/>
    <n v="0"/>
    <n v="1"/>
  </r>
  <r>
    <s v="SHP-501645"/>
    <d v="2024-09-07T00:00:00"/>
    <x v="0"/>
    <s v="Q3"/>
    <x v="8"/>
    <x v="0"/>
    <x v="1"/>
    <x v="2"/>
    <x v="0"/>
    <s v="Road"/>
    <x v="1"/>
    <n v="0.8"/>
    <n v="1004"/>
    <n v="5"/>
    <n v="6"/>
    <n v="0"/>
    <n v="1"/>
    <n v="18.23"/>
    <n v="0"/>
    <n v="1"/>
  </r>
  <r>
    <s v="SHP-501646"/>
    <d v="2024-09-07T00:00:00"/>
    <x v="0"/>
    <s v="Q3"/>
    <x v="8"/>
    <x v="3"/>
    <x v="2"/>
    <x v="1"/>
    <x v="0"/>
    <s v="Road"/>
    <x v="0"/>
    <n v="301.7"/>
    <n v="319"/>
    <n v="3"/>
    <n v="3"/>
    <n v="1"/>
    <n v="0"/>
    <n v="141.34"/>
    <n v="0"/>
    <n v="1"/>
  </r>
  <r>
    <s v="SHP-501647"/>
    <d v="2024-09-07T00:00:00"/>
    <x v="0"/>
    <s v="Q3"/>
    <x v="8"/>
    <x v="1"/>
    <x v="2"/>
    <x v="0"/>
    <x v="1"/>
    <s v="Road"/>
    <x v="0"/>
    <n v="228.4"/>
    <n v="1028"/>
    <n v="6"/>
    <n v="6"/>
    <n v="1"/>
    <n v="0"/>
    <n v="85.14"/>
    <n v="0"/>
    <n v="1"/>
  </r>
  <r>
    <s v="SHP-501648"/>
    <d v="2024-09-07T00:00:00"/>
    <x v="0"/>
    <s v="Q3"/>
    <x v="8"/>
    <x v="3"/>
    <x v="0"/>
    <x v="3"/>
    <x v="0"/>
    <s v="Road"/>
    <x v="0"/>
    <n v="110.1"/>
    <n v="508"/>
    <n v="4"/>
    <n v="4"/>
    <n v="1"/>
    <n v="0"/>
    <n v="66.86"/>
    <n v="0"/>
    <n v="1"/>
  </r>
  <r>
    <s v="SHP-501649"/>
    <d v="2024-09-07T00:00:00"/>
    <x v="0"/>
    <s v="Q3"/>
    <x v="8"/>
    <x v="4"/>
    <x v="1"/>
    <x v="0"/>
    <x v="2"/>
    <s v="Air"/>
    <x v="1"/>
    <n v="9.1"/>
    <n v="754"/>
    <n v="2"/>
    <n v="2"/>
    <n v="1"/>
    <n v="0"/>
    <n v="63.19"/>
    <n v="0"/>
    <n v="1"/>
  </r>
  <r>
    <s v="SHP-501650"/>
    <d v="2024-09-08T00:00:00"/>
    <x v="0"/>
    <s v="Q3"/>
    <x v="8"/>
    <x v="0"/>
    <x v="0"/>
    <x v="1"/>
    <x v="1"/>
    <s v="Road"/>
    <x v="1"/>
    <n v="2"/>
    <n v="273"/>
    <n v="5"/>
    <n v="4"/>
    <n v="1"/>
    <n v="0"/>
    <n v="7.7"/>
    <n v="0"/>
    <n v="1"/>
  </r>
  <r>
    <s v="SHP-501651"/>
    <d v="2024-09-08T00:00:00"/>
    <x v="0"/>
    <s v="Q3"/>
    <x v="8"/>
    <x v="4"/>
    <x v="2"/>
    <x v="1"/>
    <x v="1"/>
    <s v="Road"/>
    <x v="1"/>
    <n v="4.5"/>
    <n v="272"/>
    <n v="5"/>
    <n v="5"/>
    <n v="1"/>
    <n v="0"/>
    <n v="9.51"/>
    <n v="0"/>
    <n v="1"/>
  </r>
  <r>
    <s v="SHP-501652"/>
    <d v="2024-09-08T00:00:00"/>
    <x v="0"/>
    <s v="Q3"/>
    <x v="8"/>
    <x v="2"/>
    <x v="1"/>
    <x v="3"/>
    <x v="0"/>
    <s v="Road"/>
    <x v="1"/>
    <n v="1.9"/>
    <n v="474"/>
    <n v="4"/>
    <n v="3"/>
    <n v="1"/>
    <n v="0"/>
    <n v="11.21"/>
    <n v="0"/>
    <n v="1"/>
  </r>
  <r>
    <s v="SHP-501653"/>
    <d v="2024-09-09T00:00:00"/>
    <x v="0"/>
    <s v="Q3"/>
    <x v="8"/>
    <x v="4"/>
    <x v="0"/>
    <x v="2"/>
    <x v="2"/>
    <s v="Air"/>
    <x v="0"/>
    <n v="75.7"/>
    <n v="943"/>
    <n v="3"/>
    <n v="3"/>
    <n v="1"/>
    <n v="0"/>
    <n v="162.68"/>
    <n v="0"/>
    <n v="1"/>
  </r>
  <r>
    <s v="SHP-501654"/>
    <d v="2024-09-09T00:00:00"/>
    <x v="0"/>
    <s v="Q3"/>
    <x v="8"/>
    <x v="3"/>
    <x v="0"/>
    <x v="0"/>
    <x v="0"/>
    <s v="Road"/>
    <x v="0"/>
    <n v="292.8"/>
    <n v="1181"/>
    <n v="4"/>
    <n v="4"/>
    <n v="1"/>
    <n v="0"/>
    <n v="146.19"/>
    <n v="0"/>
    <n v="1"/>
  </r>
  <r>
    <s v="SHP-501655"/>
    <d v="2024-09-09T00:00:00"/>
    <x v="0"/>
    <s v="Q3"/>
    <x v="8"/>
    <x v="4"/>
    <x v="2"/>
    <x v="4"/>
    <x v="1"/>
    <s v="Road"/>
    <x v="1"/>
    <n v="4.7"/>
    <n v="940"/>
    <n v="7"/>
    <n v="6"/>
    <n v="1"/>
    <n v="0"/>
    <n v="15.01"/>
    <n v="0"/>
    <n v="1"/>
  </r>
  <r>
    <s v="SHP-501656"/>
    <d v="2024-09-09T00:00:00"/>
    <x v="0"/>
    <s v="Q3"/>
    <x v="8"/>
    <x v="4"/>
    <x v="1"/>
    <x v="0"/>
    <x v="1"/>
    <s v="Road"/>
    <x v="1"/>
    <n v="3.8"/>
    <n v="859"/>
    <n v="6"/>
    <n v="6"/>
    <n v="1"/>
    <n v="0"/>
    <n v="14.63"/>
    <n v="1"/>
    <n v="1"/>
  </r>
  <r>
    <s v="SHP-501657"/>
    <d v="2024-09-09T00:00:00"/>
    <x v="0"/>
    <s v="Q3"/>
    <x v="8"/>
    <x v="3"/>
    <x v="1"/>
    <x v="3"/>
    <x v="0"/>
    <s v="Road"/>
    <x v="0"/>
    <n v="110.8"/>
    <n v="452"/>
    <n v="4"/>
    <n v="4"/>
    <n v="1"/>
    <n v="0"/>
    <n v="66.33"/>
    <n v="0"/>
    <n v="1"/>
  </r>
  <r>
    <s v="SHP-501658"/>
    <d v="2024-09-09T00:00:00"/>
    <x v="0"/>
    <s v="Q3"/>
    <x v="8"/>
    <x v="3"/>
    <x v="1"/>
    <x v="4"/>
    <x v="0"/>
    <s v="Road"/>
    <x v="0"/>
    <n v="330.9"/>
    <n v="1081"/>
    <n v="5"/>
    <n v="4"/>
    <n v="1"/>
    <n v="0"/>
    <n v="167.03"/>
    <n v="0"/>
    <n v="1"/>
  </r>
  <r>
    <s v="SHP-501659"/>
    <d v="2024-09-09T00:00:00"/>
    <x v="0"/>
    <s v="Q3"/>
    <x v="8"/>
    <x v="2"/>
    <x v="1"/>
    <x v="1"/>
    <x v="0"/>
    <s v="Road"/>
    <x v="1"/>
    <n v="10.199999999999999"/>
    <n v="313"/>
    <n v="3"/>
    <n v="3"/>
    <n v="1"/>
    <n v="0"/>
    <n v="14.65"/>
    <n v="0"/>
    <n v="1"/>
  </r>
  <r>
    <s v="SHP-501660"/>
    <d v="2024-09-10T00:00:00"/>
    <x v="0"/>
    <s v="Q3"/>
    <x v="8"/>
    <x v="3"/>
    <x v="2"/>
    <x v="0"/>
    <x v="0"/>
    <s v="Road"/>
    <x v="0"/>
    <n v="203.3"/>
    <n v="1006"/>
    <n v="4"/>
    <n v="3"/>
    <n v="1"/>
    <n v="0"/>
    <n v="122.65"/>
    <n v="0"/>
    <n v="1"/>
  </r>
  <r>
    <s v="SHP-501661"/>
    <d v="2024-09-10T00:00:00"/>
    <x v="0"/>
    <s v="Q3"/>
    <x v="8"/>
    <x v="4"/>
    <x v="1"/>
    <x v="1"/>
    <x v="0"/>
    <s v="Road"/>
    <x v="1"/>
    <n v="4"/>
    <n v="253"/>
    <n v="3"/>
    <n v="2"/>
    <n v="1"/>
    <n v="0"/>
    <n v="10.85"/>
    <n v="0"/>
    <n v="1"/>
  </r>
  <r>
    <s v="SHP-501662"/>
    <d v="2024-09-10T00:00:00"/>
    <x v="0"/>
    <s v="Q3"/>
    <x v="8"/>
    <x v="3"/>
    <x v="1"/>
    <x v="1"/>
    <x v="1"/>
    <s v="Road"/>
    <x v="0"/>
    <n v="7"/>
    <n v="226"/>
    <n v="5"/>
    <n v="5"/>
    <n v="1"/>
    <n v="0"/>
    <n v="11.84"/>
    <n v="0"/>
    <n v="1"/>
  </r>
  <r>
    <s v="SHP-501663"/>
    <d v="2024-09-10T00:00:00"/>
    <x v="0"/>
    <s v="Q3"/>
    <x v="8"/>
    <x v="0"/>
    <x v="2"/>
    <x v="3"/>
    <x v="0"/>
    <s v="Road"/>
    <x v="1"/>
    <n v="2"/>
    <n v="336"/>
    <n v="4"/>
    <n v="4"/>
    <n v="1"/>
    <n v="0"/>
    <n v="11.7"/>
    <n v="0"/>
    <n v="1"/>
  </r>
  <r>
    <s v="SHP-501664"/>
    <d v="2024-09-11T00:00:00"/>
    <x v="0"/>
    <s v="Q3"/>
    <x v="8"/>
    <x v="3"/>
    <x v="0"/>
    <x v="3"/>
    <x v="1"/>
    <s v="Road"/>
    <x v="1"/>
    <n v="10.199999999999999"/>
    <n v="377"/>
    <n v="6"/>
    <n v="6"/>
    <n v="1"/>
    <n v="0"/>
    <n v="12.83"/>
    <n v="0"/>
    <n v="1"/>
  </r>
  <r>
    <s v="SHP-501665"/>
    <d v="2024-09-11T00:00:00"/>
    <x v="0"/>
    <s v="Q3"/>
    <x v="8"/>
    <x v="0"/>
    <x v="2"/>
    <x v="1"/>
    <x v="2"/>
    <s v="Road"/>
    <x v="1"/>
    <n v="3.2"/>
    <n v="246"/>
    <n v="1"/>
    <n v="1"/>
    <n v="1"/>
    <n v="0"/>
    <n v="20.92"/>
    <n v="0"/>
    <n v="1"/>
  </r>
  <r>
    <s v="SHP-501666"/>
    <d v="2024-09-11T00:00:00"/>
    <x v="0"/>
    <s v="Q3"/>
    <x v="8"/>
    <x v="2"/>
    <x v="1"/>
    <x v="0"/>
    <x v="1"/>
    <s v="Road"/>
    <x v="1"/>
    <n v="12.2"/>
    <n v="853"/>
    <n v="6"/>
    <n v="6"/>
    <n v="1"/>
    <n v="0"/>
    <n v="13.94"/>
    <n v="0"/>
    <n v="1"/>
  </r>
  <r>
    <s v="SHP-501667"/>
    <d v="2024-09-11T00:00:00"/>
    <x v="0"/>
    <s v="Q3"/>
    <x v="8"/>
    <x v="4"/>
    <x v="2"/>
    <x v="2"/>
    <x v="2"/>
    <s v="Air"/>
    <x v="0"/>
    <n v="97.9"/>
    <n v="1140"/>
    <n v="3"/>
    <n v="6"/>
    <n v="0"/>
    <n v="3"/>
    <n v="195.7"/>
    <n v="0"/>
    <n v="1"/>
  </r>
  <r>
    <s v="SHP-501668"/>
    <d v="2024-09-11T00:00:00"/>
    <x v="0"/>
    <s v="Q3"/>
    <x v="8"/>
    <x v="2"/>
    <x v="2"/>
    <x v="1"/>
    <x v="0"/>
    <s v="Road"/>
    <x v="1"/>
    <n v="17.2"/>
    <n v="254"/>
    <n v="3"/>
    <n v="2"/>
    <n v="1"/>
    <n v="0"/>
    <n v="15.95"/>
    <n v="0"/>
    <n v="1"/>
  </r>
  <r>
    <s v="SHP-501669"/>
    <d v="2024-09-11T00:00:00"/>
    <x v="0"/>
    <s v="Q3"/>
    <x v="8"/>
    <x v="3"/>
    <x v="1"/>
    <x v="0"/>
    <x v="1"/>
    <s v="Road"/>
    <x v="0"/>
    <n v="44.9"/>
    <n v="1043"/>
    <n v="6"/>
    <n v="6"/>
    <n v="1"/>
    <n v="0"/>
    <n v="32.36"/>
    <n v="0"/>
    <n v="1"/>
  </r>
  <r>
    <s v="SHP-501670"/>
    <d v="2024-09-11T00:00:00"/>
    <x v="0"/>
    <s v="Q3"/>
    <x v="8"/>
    <x v="3"/>
    <x v="1"/>
    <x v="1"/>
    <x v="1"/>
    <s v="Road"/>
    <x v="1"/>
    <n v="1.3"/>
    <n v="248"/>
    <n v="5"/>
    <n v="4"/>
    <n v="1"/>
    <n v="0"/>
    <n v="7.98"/>
    <n v="0"/>
    <n v="1"/>
  </r>
  <r>
    <s v="SHP-501671"/>
    <d v="2024-09-12T00:00:00"/>
    <x v="0"/>
    <s v="Q3"/>
    <x v="8"/>
    <x v="3"/>
    <x v="0"/>
    <x v="1"/>
    <x v="2"/>
    <s v="Road"/>
    <x v="1"/>
    <n v="9.5"/>
    <n v="295"/>
    <n v="1"/>
    <n v="1"/>
    <n v="1"/>
    <n v="0"/>
    <n v="31.82"/>
    <n v="0"/>
    <n v="1"/>
  </r>
  <r>
    <s v="SHP-501672"/>
    <d v="2024-09-12T00:00:00"/>
    <x v="0"/>
    <s v="Q3"/>
    <x v="8"/>
    <x v="1"/>
    <x v="2"/>
    <x v="3"/>
    <x v="0"/>
    <s v="Road"/>
    <x v="0"/>
    <n v="147.9"/>
    <n v="450"/>
    <n v="4"/>
    <n v="4"/>
    <n v="1"/>
    <n v="0"/>
    <n v="75.709999999999994"/>
    <n v="0"/>
    <n v="1"/>
  </r>
  <r>
    <s v="SHP-501673"/>
    <d v="2024-09-12T00:00:00"/>
    <x v="0"/>
    <s v="Q3"/>
    <x v="8"/>
    <x v="0"/>
    <x v="2"/>
    <x v="0"/>
    <x v="0"/>
    <s v="Road"/>
    <x v="1"/>
    <n v="11.5"/>
    <n v="981"/>
    <n v="4"/>
    <n v="7"/>
    <n v="0"/>
    <n v="3"/>
    <n v="24.26"/>
    <n v="0"/>
    <n v="1"/>
  </r>
  <r>
    <s v="SHP-501674"/>
    <d v="2024-09-12T00:00:00"/>
    <x v="0"/>
    <s v="Q3"/>
    <x v="8"/>
    <x v="3"/>
    <x v="2"/>
    <x v="1"/>
    <x v="1"/>
    <s v="Road"/>
    <x v="1"/>
    <n v="4.5999999999999996"/>
    <n v="255"/>
    <n v="5"/>
    <n v="4"/>
    <n v="1"/>
    <n v="0"/>
    <n v="9.91"/>
    <n v="0"/>
    <n v="1"/>
  </r>
  <r>
    <s v="SHP-501675"/>
    <d v="2024-09-12T00:00:00"/>
    <x v="0"/>
    <s v="Q3"/>
    <x v="8"/>
    <x v="3"/>
    <x v="0"/>
    <x v="1"/>
    <x v="2"/>
    <s v="Road"/>
    <x v="1"/>
    <n v="4.7"/>
    <n v="275"/>
    <n v="1"/>
    <n v="1"/>
    <n v="1"/>
    <n v="0"/>
    <n v="27.37"/>
    <n v="0"/>
    <n v="1"/>
  </r>
  <r>
    <s v="SHP-501676"/>
    <d v="2024-09-12T00:00:00"/>
    <x v="0"/>
    <s v="Q3"/>
    <x v="8"/>
    <x v="0"/>
    <x v="1"/>
    <x v="4"/>
    <x v="1"/>
    <s v="Road"/>
    <x v="1"/>
    <n v="3.2"/>
    <n v="955"/>
    <n v="7"/>
    <n v="7"/>
    <n v="1"/>
    <n v="0"/>
    <n v="14.89"/>
    <n v="0"/>
    <n v="1"/>
  </r>
  <r>
    <s v="SHP-501677"/>
    <d v="2024-09-12T00:00:00"/>
    <x v="0"/>
    <s v="Q3"/>
    <x v="8"/>
    <x v="1"/>
    <x v="0"/>
    <x v="1"/>
    <x v="0"/>
    <s v="Road"/>
    <x v="0"/>
    <n v="285.8"/>
    <n v="239"/>
    <n v="3"/>
    <n v="3"/>
    <n v="1"/>
    <n v="0"/>
    <n v="127.94"/>
    <n v="0"/>
    <n v="1"/>
  </r>
  <r>
    <s v="SHP-501678"/>
    <d v="2024-09-12T00:00:00"/>
    <x v="0"/>
    <s v="Q3"/>
    <x v="8"/>
    <x v="4"/>
    <x v="1"/>
    <x v="1"/>
    <x v="0"/>
    <s v="Road"/>
    <x v="1"/>
    <n v="6.1"/>
    <n v="229"/>
    <n v="3"/>
    <n v="3"/>
    <n v="1"/>
    <n v="0"/>
    <n v="12.64"/>
    <n v="0"/>
    <n v="1"/>
  </r>
  <r>
    <s v="SHP-501679"/>
    <d v="2024-09-12T00:00:00"/>
    <x v="0"/>
    <s v="Q3"/>
    <x v="8"/>
    <x v="0"/>
    <x v="0"/>
    <x v="2"/>
    <x v="1"/>
    <s v="Road"/>
    <x v="1"/>
    <n v="3.8"/>
    <n v="1286"/>
    <n v="7"/>
    <n v="8"/>
    <n v="0"/>
    <n v="1"/>
    <n v="17.829999999999998"/>
    <n v="0"/>
    <n v="1"/>
  </r>
  <r>
    <s v="SHP-501680"/>
    <d v="2024-09-12T00:00:00"/>
    <x v="0"/>
    <s v="Q3"/>
    <x v="8"/>
    <x v="4"/>
    <x v="1"/>
    <x v="1"/>
    <x v="0"/>
    <s v="Road"/>
    <x v="0"/>
    <n v="96.6"/>
    <n v="256"/>
    <n v="3"/>
    <n v="2"/>
    <n v="1"/>
    <n v="0"/>
    <n v="47.94"/>
    <n v="0"/>
    <n v="1"/>
  </r>
  <r>
    <s v="SHP-501681"/>
    <d v="2024-09-12T00:00:00"/>
    <x v="0"/>
    <s v="Q3"/>
    <x v="8"/>
    <x v="0"/>
    <x v="0"/>
    <x v="2"/>
    <x v="2"/>
    <s v="Air"/>
    <x v="1"/>
    <n v="9.4"/>
    <n v="1216"/>
    <n v="3"/>
    <n v="3"/>
    <n v="1"/>
    <n v="0"/>
    <n v="80.010000000000005"/>
    <n v="0"/>
    <n v="1"/>
  </r>
  <r>
    <s v="SHP-501682"/>
    <d v="2024-09-12T00:00:00"/>
    <x v="0"/>
    <s v="Q3"/>
    <x v="8"/>
    <x v="3"/>
    <x v="0"/>
    <x v="4"/>
    <x v="0"/>
    <s v="Road"/>
    <x v="0"/>
    <n v="33.700000000000003"/>
    <n v="1034"/>
    <n v="5"/>
    <n v="5"/>
    <n v="1"/>
    <n v="0"/>
    <n v="42.21"/>
    <n v="0"/>
    <n v="1"/>
  </r>
  <r>
    <s v="SHP-501683"/>
    <d v="2024-09-12T00:00:00"/>
    <x v="0"/>
    <s v="Q3"/>
    <x v="8"/>
    <x v="0"/>
    <x v="2"/>
    <x v="3"/>
    <x v="2"/>
    <s v="Road"/>
    <x v="1"/>
    <n v="4.8"/>
    <n v="469"/>
    <n v="2"/>
    <n v="2"/>
    <n v="1"/>
    <n v="0"/>
    <n v="27.21"/>
    <n v="0"/>
    <n v="1"/>
  </r>
  <r>
    <s v="SHP-501684"/>
    <d v="2024-09-13T00:00:00"/>
    <x v="0"/>
    <s v="Q3"/>
    <x v="8"/>
    <x v="4"/>
    <x v="2"/>
    <x v="1"/>
    <x v="1"/>
    <s v="Road"/>
    <x v="0"/>
    <n v="115.8"/>
    <n v="283"/>
    <n v="5"/>
    <n v="7"/>
    <n v="0"/>
    <n v="2"/>
    <n v="41.6"/>
    <n v="0"/>
    <n v="1"/>
  </r>
  <r>
    <s v="SHP-501685"/>
    <d v="2024-09-13T00:00:00"/>
    <x v="0"/>
    <s v="Q3"/>
    <x v="8"/>
    <x v="1"/>
    <x v="1"/>
    <x v="2"/>
    <x v="0"/>
    <s v="Road"/>
    <x v="1"/>
    <n v="2.2999999999999998"/>
    <n v="1482"/>
    <n v="5"/>
    <n v="5"/>
    <n v="1"/>
    <n v="0"/>
    <n v="30.22"/>
    <n v="0"/>
    <n v="1"/>
  </r>
  <r>
    <s v="SHP-501686"/>
    <d v="2024-09-13T00:00:00"/>
    <x v="0"/>
    <s v="Q3"/>
    <x v="8"/>
    <x v="3"/>
    <x v="1"/>
    <x v="2"/>
    <x v="0"/>
    <s v="Road"/>
    <x v="1"/>
    <n v="1.2"/>
    <n v="1077"/>
    <n v="5"/>
    <n v="5"/>
    <n v="1"/>
    <n v="0"/>
    <n v="23.15"/>
    <n v="0"/>
    <n v="1"/>
  </r>
  <r>
    <s v="SHP-501687"/>
    <d v="2024-09-13T00:00:00"/>
    <x v="0"/>
    <s v="Q3"/>
    <x v="8"/>
    <x v="4"/>
    <x v="0"/>
    <x v="1"/>
    <x v="1"/>
    <s v="Road"/>
    <x v="1"/>
    <n v="18.399999999999999"/>
    <n v="253"/>
    <n v="5"/>
    <n v="5"/>
    <n v="1"/>
    <n v="0"/>
    <n v="15.19"/>
    <n v="0"/>
    <n v="1"/>
  </r>
  <r>
    <s v="SHP-501688"/>
    <d v="2024-09-14T00:00:00"/>
    <x v="0"/>
    <s v="Q3"/>
    <x v="8"/>
    <x v="3"/>
    <x v="2"/>
    <x v="3"/>
    <x v="0"/>
    <s v="Road"/>
    <x v="0"/>
    <n v="99"/>
    <n v="319"/>
    <n v="4"/>
    <n v="4"/>
    <n v="1"/>
    <n v="0"/>
    <n v="61.78"/>
    <n v="0"/>
    <n v="1"/>
  </r>
  <r>
    <s v="SHP-501689"/>
    <d v="2024-09-14T00:00:00"/>
    <x v="0"/>
    <s v="Q3"/>
    <x v="8"/>
    <x v="2"/>
    <x v="2"/>
    <x v="2"/>
    <x v="0"/>
    <s v="Road"/>
    <x v="1"/>
    <n v="9"/>
    <n v="662"/>
    <n v="5"/>
    <n v="5"/>
    <n v="1"/>
    <n v="0"/>
    <n v="17.350000000000001"/>
    <n v="0"/>
    <n v="1"/>
  </r>
  <r>
    <s v="SHP-501690"/>
    <d v="2024-09-14T00:00:00"/>
    <x v="0"/>
    <s v="Q3"/>
    <x v="8"/>
    <x v="4"/>
    <x v="2"/>
    <x v="3"/>
    <x v="2"/>
    <s v="Road"/>
    <x v="1"/>
    <n v="6.2"/>
    <n v="386"/>
    <n v="2"/>
    <n v="2"/>
    <n v="1"/>
    <n v="0"/>
    <n v="29.42"/>
    <n v="0"/>
    <n v="1"/>
  </r>
  <r>
    <s v="SHP-501691"/>
    <d v="2024-09-14T00:00:00"/>
    <x v="0"/>
    <s v="Q3"/>
    <x v="8"/>
    <x v="3"/>
    <x v="1"/>
    <x v="1"/>
    <x v="2"/>
    <s v="Road"/>
    <x v="1"/>
    <n v="9.4"/>
    <n v="244"/>
    <n v="1"/>
    <n v="3"/>
    <n v="0"/>
    <n v="2"/>
    <n v="33.4"/>
    <n v="0"/>
    <n v="1"/>
  </r>
  <r>
    <s v="SHP-501692"/>
    <d v="2024-09-14T00:00:00"/>
    <x v="0"/>
    <s v="Q3"/>
    <x v="8"/>
    <x v="4"/>
    <x v="1"/>
    <x v="1"/>
    <x v="1"/>
    <s v="Road"/>
    <x v="0"/>
    <n v="52.1"/>
    <n v="263"/>
    <n v="5"/>
    <n v="7"/>
    <n v="0"/>
    <n v="2"/>
    <n v="26.98"/>
    <n v="0"/>
    <n v="1"/>
  </r>
  <r>
    <s v="SHP-501693"/>
    <d v="2024-09-14T00:00:00"/>
    <x v="0"/>
    <s v="Q3"/>
    <x v="8"/>
    <x v="0"/>
    <x v="2"/>
    <x v="4"/>
    <x v="2"/>
    <s v="Air"/>
    <x v="0"/>
    <n v="382.3"/>
    <n v="1298"/>
    <n v="3"/>
    <n v="3"/>
    <n v="1"/>
    <n v="0"/>
    <n v="463"/>
    <n v="0"/>
    <n v="1"/>
  </r>
  <r>
    <s v="SHP-501694"/>
    <d v="2024-09-14T00:00:00"/>
    <x v="0"/>
    <s v="Q3"/>
    <x v="8"/>
    <x v="3"/>
    <x v="2"/>
    <x v="1"/>
    <x v="1"/>
    <s v="Road"/>
    <x v="1"/>
    <n v="3.9"/>
    <n v="230"/>
    <n v="5"/>
    <n v="9"/>
    <n v="0"/>
    <n v="4"/>
    <n v="9.3800000000000008"/>
    <n v="0"/>
    <n v="1"/>
  </r>
  <r>
    <s v="SHP-501695"/>
    <d v="2024-09-14T00:00:00"/>
    <x v="0"/>
    <s v="Q3"/>
    <x v="8"/>
    <x v="3"/>
    <x v="1"/>
    <x v="3"/>
    <x v="0"/>
    <s v="Road"/>
    <x v="0"/>
    <n v="126"/>
    <n v="502"/>
    <n v="4"/>
    <n v="4"/>
    <n v="1"/>
    <n v="0"/>
    <n v="85.06"/>
    <n v="0"/>
    <n v="1"/>
  </r>
  <r>
    <s v="SHP-501696"/>
    <d v="2024-09-15T00:00:00"/>
    <x v="0"/>
    <s v="Q3"/>
    <x v="8"/>
    <x v="4"/>
    <x v="2"/>
    <x v="1"/>
    <x v="2"/>
    <s v="Road"/>
    <x v="1"/>
    <n v="16.600000000000001"/>
    <n v="246"/>
    <n v="1"/>
    <n v="1"/>
    <n v="1"/>
    <n v="0"/>
    <n v="37.159999999999997"/>
    <n v="0"/>
    <n v="1"/>
  </r>
  <r>
    <s v="SHP-501697"/>
    <d v="2024-09-15T00:00:00"/>
    <x v="0"/>
    <s v="Q3"/>
    <x v="8"/>
    <x v="2"/>
    <x v="1"/>
    <x v="2"/>
    <x v="0"/>
    <s v="Road"/>
    <x v="0"/>
    <n v="59.1"/>
    <n v="996"/>
    <n v="5"/>
    <n v="4"/>
    <n v="1"/>
    <n v="0"/>
    <n v="42.2"/>
    <n v="0"/>
    <n v="1"/>
  </r>
  <r>
    <s v="SHP-501698"/>
    <d v="2024-09-15T00:00:00"/>
    <x v="0"/>
    <s v="Q3"/>
    <x v="8"/>
    <x v="0"/>
    <x v="1"/>
    <x v="3"/>
    <x v="2"/>
    <s v="Road"/>
    <x v="0"/>
    <n v="328.2"/>
    <n v="352"/>
    <n v="2"/>
    <n v="1"/>
    <n v="1"/>
    <n v="0"/>
    <n v="244.53"/>
    <n v="0"/>
    <n v="1"/>
  </r>
  <r>
    <s v="SHP-501699"/>
    <d v="2024-09-15T00:00:00"/>
    <x v="0"/>
    <s v="Q3"/>
    <x v="8"/>
    <x v="2"/>
    <x v="2"/>
    <x v="3"/>
    <x v="1"/>
    <s v="Road"/>
    <x v="0"/>
    <n v="44.2"/>
    <n v="362"/>
    <n v="6"/>
    <n v="5"/>
    <n v="1"/>
    <n v="0"/>
    <n v="18.350000000000001"/>
    <n v="0"/>
    <n v="1"/>
  </r>
  <r>
    <s v="SHP-501700"/>
    <d v="2024-09-15T00:00:00"/>
    <x v="0"/>
    <s v="Q3"/>
    <x v="8"/>
    <x v="0"/>
    <x v="2"/>
    <x v="1"/>
    <x v="0"/>
    <s v="Road"/>
    <x v="0"/>
    <n v="25.6"/>
    <n v="175"/>
    <n v="3"/>
    <n v="2"/>
    <n v="1"/>
    <n v="0"/>
    <n v="22.68"/>
    <n v="0"/>
    <n v="1"/>
  </r>
  <r>
    <s v="SHP-501701"/>
    <d v="2024-09-15T00:00:00"/>
    <x v="0"/>
    <s v="Q3"/>
    <x v="8"/>
    <x v="3"/>
    <x v="2"/>
    <x v="0"/>
    <x v="0"/>
    <s v="Road"/>
    <x v="1"/>
    <n v="9.4"/>
    <n v="907"/>
    <n v="4"/>
    <n v="6"/>
    <n v="0"/>
    <n v="2"/>
    <n v="24.94"/>
    <n v="0"/>
    <n v="1"/>
  </r>
  <r>
    <s v="SHP-501702"/>
    <d v="2024-09-15T00:00:00"/>
    <x v="0"/>
    <s v="Q3"/>
    <x v="8"/>
    <x v="4"/>
    <x v="2"/>
    <x v="2"/>
    <x v="0"/>
    <s v="Road"/>
    <x v="1"/>
    <n v="6"/>
    <n v="1348"/>
    <n v="5"/>
    <n v="9"/>
    <n v="0"/>
    <n v="4"/>
    <n v="27.38"/>
    <n v="0"/>
    <n v="1"/>
  </r>
  <r>
    <s v="SHP-501703"/>
    <d v="2024-09-15T00:00:00"/>
    <x v="0"/>
    <s v="Q3"/>
    <x v="8"/>
    <x v="2"/>
    <x v="1"/>
    <x v="0"/>
    <x v="2"/>
    <s v="Air"/>
    <x v="0"/>
    <n v="99.3"/>
    <n v="830"/>
    <n v="2"/>
    <n v="2"/>
    <n v="1"/>
    <n v="0"/>
    <n v="159.44"/>
    <n v="0"/>
    <n v="1"/>
  </r>
  <r>
    <s v="SHP-501704"/>
    <d v="2024-09-15T00:00:00"/>
    <x v="0"/>
    <s v="Q3"/>
    <x v="8"/>
    <x v="3"/>
    <x v="2"/>
    <x v="1"/>
    <x v="0"/>
    <s v="Road"/>
    <x v="0"/>
    <n v="167.3"/>
    <n v="276"/>
    <n v="3"/>
    <n v="2"/>
    <n v="1"/>
    <n v="0"/>
    <n v="90.45"/>
    <n v="0"/>
    <n v="1"/>
  </r>
  <r>
    <s v="SHP-501705"/>
    <d v="2024-09-16T00:00:00"/>
    <x v="0"/>
    <s v="Q3"/>
    <x v="8"/>
    <x v="0"/>
    <x v="0"/>
    <x v="3"/>
    <x v="1"/>
    <s v="Road"/>
    <x v="0"/>
    <n v="58"/>
    <n v="499"/>
    <n v="6"/>
    <n v="5"/>
    <n v="1"/>
    <n v="0"/>
    <n v="30.15"/>
    <n v="0"/>
    <n v="1"/>
  </r>
  <r>
    <s v="SHP-501706"/>
    <d v="2024-09-16T00:00:00"/>
    <x v="0"/>
    <s v="Q3"/>
    <x v="8"/>
    <x v="0"/>
    <x v="2"/>
    <x v="3"/>
    <x v="0"/>
    <s v="Road"/>
    <x v="1"/>
    <n v="16.5"/>
    <n v="500"/>
    <n v="4"/>
    <n v="6"/>
    <n v="0"/>
    <n v="2"/>
    <n v="20.85"/>
    <n v="0"/>
    <n v="1"/>
  </r>
  <r>
    <s v="SHP-501707"/>
    <d v="2024-09-16T00:00:00"/>
    <x v="0"/>
    <s v="Q3"/>
    <x v="8"/>
    <x v="4"/>
    <x v="1"/>
    <x v="1"/>
    <x v="2"/>
    <s v="Road"/>
    <x v="0"/>
    <n v="198.4"/>
    <n v="256"/>
    <n v="1"/>
    <n v="1"/>
    <n v="1"/>
    <n v="0"/>
    <n v="174.05"/>
    <n v="0"/>
    <n v="1"/>
  </r>
  <r>
    <s v="SHP-501708"/>
    <d v="2024-09-16T00:00:00"/>
    <x v="0"/>
    <s v="Q3"/>
    <x v="8"/>
    <x v="4"/>
    <x v="1"/>
    <x v="0"/>
    <x v="0"/>
    <s v="Road"/>
    <x v="1"/>
    <n v="9"/>
    <n v="896"/>
    <n v="4"/>
    <n v="3"/>
    <n v="1"/>
    <n v="0"/>
    <n v="21.32"/>
    <n v="0"/>
    <n v="1"/>
  </r>
  <r>
    <s v="SHP-501709"/>
    <d v="2024-09-16T00:00:00"/>
    <x v="0"/>
    <s v="Q3"/>
    <x v="8"/>
    <x v="2"/>
    <x v="1"/>
    <x v="0"/>
    <x v="0"/>
    <s v="Road"/>
    <x v="1"/>
    <n v="11.4"/>
    <n v="825"/>
    <n v="4"/>
    <n v="4"/>
    <n v="1"/>
    <n v="0"/>
    <n v="17.489999999999998"/>
    <n v="0"/>
    <n v="1"/>
  </r>
  <r>
    <s v="SHP-501710"/>
    <d v="2024-09-16T00:00:00"/>
    <x v="0"/>
    <s v="Q3"/>
    <x v="8"/>
    <x v="3"/>
    <x v="1"/>
    <x v="4"/>
    <x v="0"/>
    <s v="Road"/>
    <x v="0"/>
    <n v="93.4"/>
    <n v="763"/>
    <n v="5"/>
    <n v="5"/>
    <n v="1"/>
    <n v="0"/>
    <n v="61.88"/>
    <n v="0"/>
    <n v="1"/>
  </r>
  <r>
    <s v="SHP-501711"/>
    <d v="2024-09-16T00:00:00"/>
    <x v="0"/>
    <s v="Q3"/>
    <x v="8"/>
    <x v="0"/>
    <x v="2"/>
    <x v="3"/>
    <x v="0"/>
    <s v="Road"/>
    <x v="1"/>
    <n v="6.1"/>
    <n v="405"/>
    <n v="4"/>
    <n v="4"/>
    <n v="1"/>
    <n v="0"/>
    <n v="14.86"/>
    <n v="0"/>
    <n v="1"/>
  </r>
  <r>
    <s v="SHP-501712"/>
    <d v="2024-09-16T00:00:00"/>
    <x v="0"/>
    <s v="Q3"/>
    <x v="8"/>
    <x v="2"/>
    <x v="1"/>
    <x v="1"/>
    <x v="0"/>
    <s v="Road"/>
    <x v="1"/>
    <n v="3.8"/>
    <n v="256"/>
    <n v="3"/>
    <n v="3"/>
    <n v="1"/>
    <n v="0"/>
    <n v="10.66"/>
    <n v="0"/>
    <n v="1"/>
  </r>
  <r>
    <s v="SHP-501713"/>
    <d v="2024-09-17T00:00:00"/>
    <x v="0"/>
    <s v="Q3"/>
    <x v="8"/>
    <x v="0"/>
    <x v="0"/>
    <x v="0"/>
    <x v="0"/>
    <s v="Road"/>
    <x v="0"/>
    <n v="122.3"/>
    <n v="968"/>
    <n v="4"/>
    <n v="4"/>
    <n v="1"/>
    <n v="0"/>
    <n v="70.239999999999995"/>
    <n v="0"/>
    <n v="1"/>
  </r>
  <r>
    <s v="SHP-501714"/>
    <d v="2024-09-17T00:00:00"/>
    <x v="0"/>
    <s v="Q3"/>
    <x v="8"/>
    <x v="3"/>
    <x v="1"/>
    <x v="3"/>
    <x v="0"/>
    <s v="Road"/>
    <x v="0"/>
    <n v="93.4"/>
    <n v="666"/>
    <n v="4"/>
    <n v="4"/>
    <n v="1"/>
    <n v="0"/>
    <n v="61.48"/>
    <n v="0"/>
    <n v="1"/>
  </r>
  <r>
    <s v="SHP-501715"/>
    <d v="2024-09-17T00:00:00"/>
    <x v="0"/>
    <s v="Q3"/>
    <x v="8"/>
    <x v="2"/>
    <x v="1"/>
    <x v="3"/>
    <x v="0"/>
    <s v="Road"/>
    <x v="0"/>
    <n v="153.6"/>
    <n v="384"/>
    <n v="4"/>
    <n v="4"/>
    <n v="1"/>
    <n v="0"/>
    <n v="71.56"/>
    <n v="0"/>
    <n v="1"/>
  </r>
  <r>
    <s v="SHP-501716"/>
    <d v="2024-09-17T00:00:00"/>
    <x v="0"/>
    <s v="Q3"/>
    <x v="8"/>
    <x v="3"/>
    <x v="2"/>
    <x v="1"/>
    <x v="0"/>
    <s v="Road"/>
    <x v="0"/>
    <n v="46.8"/>
    <n v="224"/>
    <n v="3"/>
    <n v="3"/>
    <n v="1"/>
    <n v="0"/>
    <n v="33.700000000000003"/>
    <n v="0"/>
    <n v="1"/>
  </r>
  <r>
    <s v="SHP-501717"/>
    <d v="2024-09-17T00:00:00"/>
    <x v="0"/>
    <s v="Q3"/>
    <x v="8"/>
    <x v="4"/>
    <x v="1"/>
    <x v="3"/>
    <x v="2"/>
    <s v="Road"/>
    <x v="0"/>
    <n v="74"/>
    <n v="495"/>
    <n v="2"/>
    <n v="2"/>
    <n v="1"/>
    <n v="0"/>
    <n v="81.53"/>
    <n v="0"/>
    <n v="1"/>
  </r>
  <r>
    <s v="SHP-501718"/>
    <d v="2024-09-17T00:00:00"/>
    <x v="0"/>
    <s v="Q3"/>
    <x v="8"/>
    <x v="0"/>
    <x v="1"/>
    <x v="1"/>
    <x v="2"/>
    <s v="Road"/>
    <x v="0"/>
    <n v="65.900000000000006"/>
    <n v="284"/>
    <n v="1"/>
    <n v="1"/>
    <n v="1"/>
    <n v="0"/>
    <n v="74.08"/>
    <n v="0"/>
    <n v="1"/>
  </r>
  <r>
    <s v="SHP-501719"/>
    <d v="2024-09-17T00:00:00"/>
    <x v="0"/>
    <s v="Q3"/>
    <x v="8"/>
    <x v="2"/>
    <x v="1"/>
    <x v="3"/>
    <x v="0"/>
    <s v="Road"/>
    <x v="1"/>
    <n v="15.1"/>
    <n v="399"/>
    <n v="4"/>
    <n v="7"/>
    <n v="0"/>
    <n v="3"/>
    <n v="19.22"/>
    <n v="0"/>
    <n v="1"/>
  </r>
  <r>
    <s v="SHP-501720"/>
    <d v="2024-09-17T00:00:00"/>
    <x v="0"/>
    <s v="Q3"/>
    <x v="8"/>
    <x v="0"/>
    <x v="1"/>
    <x v="2"/>
    <x v="0"/>
    <s v="Road"/>
    <x v="0"/>
    <n v="114.9"/>
    <n v="1033"/>
    <n v="5"/>
    <n v="5"/>
    <n v="1"/>
    <n v="0"/>
    <n v="70.16"/>
    <n v="0"/>
    <n v="1"/>
  </r>
  <r>
    <s v="SHP-501721"/>
    <d v="2024-09-17T00:00:00"/>
    <x v="0"/>
    <s v="Q3"/>
    <x v="8"/>
    <x v="4"/>
    <x v="1"/>
    <x v="1"/>
    <x v="0"/>
    <s v="Road"/>
    <x v="0"/>
    <n v="151.1"/>
    <n v="312"/>
    <n v="3"/>
    <n v="3"/>
    <n v="1"/>
    <n v="0"/>
    <n v="69.42"/>
    <n v="0"/>
    <n v="1"/>
  </r>
  <r>
    <s v="SHP-501722"/>
    <d v="2024-09-17T00:00:00"/>
    <x v="0"/>
    <s v="Q3"/>
    <x v="8"/>
    <x v="3"/>
    <x v="2"/>
    <x v="1"/>
    <x v="0"/>
    <s v="Road"/>
    <x v="1"/>
    <n v="3"/>
    <n v="273"/>
    <n v="3"/>
    <n v="3"/>
    <n v="1"/>
    <n v="0"/>
    <n v="12.54"/>
    <n v="0"/>
    <n v="1"/>
  </r>
  <r>
    <s v="SHP-501723"/>
    <d v="2024-09-17T00:00:00"/>
    <x v="0"/>
    <s v="Q3"/>
    <x v="8"/>
    <x v="2"/>
    <x v="2"/>
    <x v="1"/>
    <x v="1"/>
    <s v="Road"/>
    <x v="1"/>
    <n v="7.9"/>
    <n v="245"/>
    <n v="5"/>
    <n v="5"/>
    <n v="1"/>
    <n v="0"/>
    <n v="8.48"/>
    <n v="0"/>
    <n v="1"/>
  </r>
  <r>
    <s v="SHP-501724"/>
    <d v="2024-09-17T00:00:00"/>
    <x v="0"/>
    <s v="Q3"/>
    <x v="8"/>
    <x v="3"/>
    <x v="1"/>
    <x v="0"/>
    <x v="0"/>
    <s v="Road"/>
    <x v="1"/>
    <n v="4.0999999999999996"/>
    <n v="791"/>
    <n v="4"/>
    <n v="4"/>
    <n v="1"/>
    <n v="0"/>
    <n v="21.31"/>
    <n v="0"/>
    <n v="1"/>
  </r>
  <r>
    <s v="SHP-501725"/>
    <d v="2024-09-17T00:00:00"/>
    <x v="0"/>
    <s v="Q3"/>
    <x v="8"/>
    <x v="0"/>
    <x v="0"/>
    <x v="3"/>
    <x v="2"/>
    <s v="Road"/>
    <x v="0"/>
    <n v="376.8"/>
    <n v="411"/>
    <n v="2"/>
    <n v="1"/>
    <n v="1"/>
    <n v="0"/>
    <n v="249.32"/>
    <n v="0"/>
    <n v="1"/>
  </r>
  <r>
    <s v="SHP-501726"/>
    <d v="2024-09-17T00:00:00"/>
    <x v="0"/>
    <s v="Q3"/>
    <x v="8"/>
    <x v="0"/>
    <x v="1"/>
    <x v="3"/>
    <x v="0"/>
    <s v="Road"/>
    <x v="0"/>
    <n v="108.8"/>
    <n v="512"/>
    <n v="4"/>
    <n v="3"/>
    <n v="1"/>
    <n v="0"/>
    <n v="59.07"/>
    <n v="0"/>
    <n v="1"/>
  </r>
  <r>
    <s v="SHP-501727"/>
    <d v="2024-09-18T00:00:00"/>
    <x v="0"/>
    <s v="Q3"/>
    <x v="8"/>
    <x v="4"/>
    <x v="2"/>
    <x v="1"/>
    <x v="1"/>
    <s v="Road"/>
    <x v="1"/>
    <n v="1.6"/>
    <n v="210"/>
    <n v="5"/>
    <n v="4"/>
    <n v="1"/>
    <n v="0"/>
    <n v="6.91"/>
    <n v="0"/>
    <n v="1"/>
  </r>
  <r>
    <s v="SHP-501728"/>
    <d v="2024-09-18T00:00:00"/>
    <x v="0"/>
    <s v="Q3"/>
    <x v="8"/>
    <x v="2"/>
    <x v="1"/>
    <x v="0"/>
    <x v="0"/>
    <s v="Road"/>
    <x v="1"/>
    <n v="5.4"/>
    <n v="1097"/>
    <n v="4"/>
    <n v="3"/>
    <n v="1"/>
    <n v="0"/>
    <n v="19.96"/>
    <n v="0"/>
    <n v="1"/>
  </r>
  <r>
    <s v="SHP-501729"/>
    <d v="2024-09-18T00:00:00"/>
    <x v="0"/>
    <s v="Q3"/>
    <x v="8"/>
    <x v="4"/>
    <x v="2"/>
    <x v="4"/>
    <x v="0"/>
    <s v="Road"/>
    <x v="1"/>
    <n v="9.6999999999999993"/>
    <n v="985"/>
    <n v="5"/>
    <n v="9"/>
    <n v="0"/>
    <n v="4"/>
    <n v="25.65"/>
    <n v="0"/>
    <n v="1"/>
  </r>
  <r>
    <s v="SHP-501730"/>
    <d v="2024-09-18T00:00:00"/>
    <x v="0"/>
    <s v="Q3"/>
    <x v="8"/>
    <x v="1"/>
    <x v="1"/>
    <x v="0"/>
    <x v="2"/>
    <s v="Air"/>
    <x v="1"/>
    <n v="2.2999999999999998"/>
    <n v="1017"/>
    <n v="2"/>
    <n v="2"/>
    <n v="1"/>
    <n v="0"/>
    <n v="62.33"/>
    <n v="0"/>
    <n v="1"/>
  </r>
  <r>
    <s v="SHP-501731"/>
    <d v="2024-09-18T00:00:00"/>
    <x v="0"/>
    <s v="Q3"/>
    <x v="8"/>
    <x v="2"/>
    <x v="1"/>
    <x v="0"/>
    <x v="2"/>
    <s v="Air"/>
    <x v="0"/>
    <n v="32.799999999999997"/>
    <n v="859"/>
    <n v="2"/>
    <n v="2"/>
    <n v="1"/>
    <n v="0"/>
    <n v="90.43"/>
    <n v="0"/>
    <n v="1"/>
  </r>
  <r>
    <s v="SHP-501732"/>
    <d v="2024-09-18T00:00:00"/>
    <x v="0"/>
    <s v="Q3"/>
    <x v="8"/>
    <x v="3"/>
    <x v="1"/>
    <x v="2"/>
    <x v="0"/>
    <s v="Road"/>
    <x v="1"/>
    <n v="9.1"/>
    <n v="1409"/>
    <n v="5"/>
    <n v="5"/>
    <n v="1"/>
    <n v="0"/>
    <n v="32.06"/>
    <n v="0"/>
    <n v="1"/>
  </r>
  <r>
    <s v="SHP-501733"/>
    <d v="2024-09-18T00:00:00"/>
    <x v="0"/>
    <s v="Q3"/>
    <x v="8"/>
    <x v="2"/>
    <x v="1"/>
    <x v="3"/>
    <x v="2"/>
    <s v="Road"/>
    <x v="0"/>
    <n v="73.2"/>
    <n v="505"/>
    <n v="2"/>
    <n v="1"/>
    <n v="1"/>
    <n v="0"/>
    <n v="67.81"/>
    <n v="0"/>
    <n v="1"/>
  </r>
  <r>
    <s v="SHP-501734"/>
    <d v="2024-09-18T00:00:00"/>
    <x v="0"/>
    <s v="Q3"/>
    <x v="8"/>
    <x v="3"/>
    <x v="0"/>
    <x v="4"/>
    <x v="1"/>
    <s v="Road"/>
    <x v="1"/>
    <n v="8.8000000000000007"/>
    <n v="1176"/>
    <n v="7"/>
    <n v="7"/>
    <n v="1"/>
    <n v="0"/>
    <n v="20.71"/>
    <n v="0"/>
    <n v="1"/>
  </r>
  <r>
    <s v="SHP-501735"/>
    <d v="2024-09-18T00:00:00"/>
    <x v="0"/>
    <s v="Q3"/>
    <x v="8"/>
    <x v="3"/>
    <x v="0"/>
    <x v="2"/>
    <x v="1"/>
    <s v="Road"/>
    <x v="0"/>
    <n v="96.9"/>
    <n v="1292"/>
    <n v="7"/>
    <n v="12"/>
    <n v="0"/>
    <n v="5"/>
    <n v="51.94"/>
    <n v="0"/>
    <n v="1"/>
  </r>
  <r>
    <s v="SHP-501736"/>
    <d v="2024-09-19T00:00:00"/>
    <x v="0"/>
    <s v="Q3"/>
    <x v="8"/>
    <x v="0"/>
    <x v="2"/>
    <x v="0"/>
    <x v="1"/>
    <s v="Road"/>
    <x v="1"/>
    <n v="18.7"/>
    <n v="747"/>
    <n v="6"/>
    <n v="6"/>
    <n v="1"/>
    <n v="0"/>
    <n v="18.899999999999999"/>
    <n v="0"/>
    <n v="1"/>
  </r>
  <r>
    <s v="SHP-501737"/>
    <d v="2024-09-19T00:00:00"/>
    <x v="0"/>
    <s v="Q3"/>
    <x v="8"/>
    <x v="4"/>
    <x v="0"/>
    <x v="3"/>
    <x v="1"/>
    <s v="Road"/>
    <x v="0"/>
    <n v="17.899999999999999"/>
    <n v="435"/>
    <n v="6"/>
    <n v="6"/>
    <n v="1"/>
    <n v="0"/>
    <n v="15.73"/>
    <n v="0"/>
    <n v="1"/>
  </r>
  <r>
    <s v="SHP-501738"/>
    <d v="2024-09-19T00:00:00"/>
    <x v="0"/>
    <s v="Q3"/>
    <x v="8"/>
    <x v="3"/>
    <x v="1"/>
    <x v="0"/>
    <x v="1"/>
    <s v="Road"/>
    <x v="0"/>
    <n v="81.3"/>
    <n v="990"/>
    <n v="6"/>
    <n v="5"/>
    <n v="1"/>
    <n v="0"/>
    <n v="43.24"/>
    <n v="0"/>
    <n v="1"/>
  </r>
  <r>
    <s v="SHP-501739"/>
    <d v="2024-09-19T00:00:00"/>
    <x v="0"/>
    <s v="Q3"/>
    <x v="8"/>
    <x v="3"/>
    <x v="2"/>
    <x v="0"/>
    <x v="1"/>
    <s v="Road"/>
    <x v="1"/>
    <n v="3.9"/>
    <n v="987"/>
    <n v="6"/>
    <n v="6"/>
    <n v="1"/>
    <n v="0"/>
    <n v="16.079999999999998"/>
    <n v="0"/>
    <n v="1"/>
  </r>
  <r>
    <s v="SHP-501740"/>
    <d v="2024-09-19T00:00:00"/>
    <x v="0"/>
    <s v="Q3"/>
    <x v="8"/>
    <x v="3"/>
    <x v="1"/>
    <x v="0"/>
    <x v="0"/>
    <s v="Road"/>
    <x v="0"/>
    <n v="423.2"/>
    <n v="1102"/>
    <n v="4"/>
    <n v="4"/>
    <n v="1"/>
    <n v="0"/>
    <n v="201.88"/>
    <n v="0"/>
    <n v="1"/>
  </r>
  <r>
    <s v="SHP-501741"/>
    <d v="2024-09-19T00:00:00"/>
    <x v="0"/>
    <s v="Q3"/>
    <x v="8"/>
    <x v="3"/>
    <x v="2"/>
    <x v="3"/>
    <x v="0"/>
    <s v="Road"/>
    <x v="0"/>
    <n v="411"/>
    <n v="481"/>
    <n v="4"/>
    <n v="4"/>
    <n v="1"/>
    <n v="0"/>
    <n v="177.19"/>
    <n v="0"/>
    <n v="1"/>
  </r>
  <r>
    <s v="SHP-501742"/>
    <d v="2024-09-19T00:00:00"/>
    <x v="0"/>
    <s v="Q3"/>
    <x v="8"/>
    <x v="2"/>
    <x v="1"/>
    <x v="3"/>
    <x v="0"/>
    <s v="Road"/>
    <x v="1"/>
    <n v="15.6"/>
    <n v="390"/>
    <n v="4"/>
    <n v="4"/>
    <n v="1"/>
    <n v="0"/>
    <n v="17.23"/>
    <n v="0"/>
    <n v="1"/>
  </r>
  <r>
    <s v="SHP-501743"/>
    <d v="2024-09-19T00:00:00"/>
    <x v="0"/>
    <s v="Q3"/>
    <x v="8"/>
    <x v="2"/>
    <x v="1"/>
    <x v="2"/>
    <x v="2"/>
    <s v="Air"/>
    <x v="1"/>
    <n v="21.4"/>
    <n v="1147"/>
    <n v="3"/>
    <n v="3"/>
    <n v="1"/>
    <n v="0"/>
    <n v="87.69"/>
    <n v="0"/>
    <n v="1"/>
  </r>
  <r>
    <s v="SHP-501744"/>
    <d v="2024-09-19T00:00:00"/>
    <x v="0"/>
    <s v="Q3"/>
    <x v="8"/>
    <x v="3"/>
    <x v="2"/>
    <x v="0"/>
    <x v="0"/>
    <s v="Road"/>
    <x v="0"/>
    <n v="136.69999999999999"/>
    <n v="620"/>
    <n v="4"/>
    <n v="4"/>
    <n v="1"/>
    <n v="0"/>
    <n v="82.96"/>
    <n v="0"/>
    <n v="1"/>
  </r>
  <r>
    <s v="SHP-501745"/>
    <d v="2024-09-19T00:00:00"/>
    <x v="0"/>
    <s v="Q3"/>
    <x v="8"/>
    <x v="1"/>
    <x v="2"/>
    <x v="0"/>
    <x v="2"/>
    <s v="Air"/>
    <x v="1"/>
    <n v="4.2"/>
    <n v="1061"/>
    <n v="2"/>
    <n v="3"/>
    <n v="0"/>
    <n v="1"/>
    <n v="59.76"/>
    <n v="0"/>
    <n v="1"/>
  </r>
  <r>
    <s v="SHP-501746"/>
    <d v="2024-09-20T00:00:00"/>
    <x v="0"/>
    <s v="Q3"/>
    <x v="8"/>
    <x v="4"/>
    <x v="0"/>
    <x v="1"/>
    <x v="1"/>
    <s v="Road"/>
    <x v="0"/>
    <n v="134.30000000000001"/>
    <n v="259"/>
    <n v="5"/>
    <n v="4"/>
    <n v="1"/>
    <n v="0"/>
    <n v="47.2"/>
    <n v="0"/>
    <n v="1"/>
  </r>
  <r>
    <s v="SHP-501747"/>
    <d v="2024-09-20T00:00:00"/>
    <x v="0"/>
    <s v="Q3"/>
    <x v="8"/>
    <x v="0"/>
    <x v="2"/>
    <x v="4"/>
    <x v="0"/>
    <s v="Road"/>
    <x v="0"/>
    <n v="42.8"/>
    <n v="1072"/>
    <n v="5"/>
    <n v="5"/>
    <n v="1"/>
    <n v="0"/>
    <n v="41.05"/>
    <n v="0"/>
    <n v="1"/>
  </r>
  <r>
    <s v="SHP-501748"/>
    <d v="2024-09-20T00:00:00"/>
    <x v="0"/>
    <s v="Q3"/>
    <x v="8"/>
    <x v="4"/>
    <x v="2"/>
    <x v="3"/>
    <x v="1"/>
    <s v="Road"/>
    <x v="1"/>
    <n v="6"/>
    <n v="577"/>
    <n v="6"/>
    <n v="6"/>
    <n v="1"/>
    <n v="0"/>
    <n v="12.92"/>
    <n v="0"/>
    <n v="1"/>
  </r>
  <r>
    <s v="SHP-501749"/>
    <d v="2024-09-20T00:00:00"/>
    <x v="0"/>
    <s v="Q3"/>
    <x v="8"/>
    <x v="3"/>
    <x v="0"/>
    <x v="1"/>
    <x v="2"/>
    <s v="Road"/>
    <x v="1"/>
    <n v="1.4"/>
    <n v="244"/>
    <n v="1"/>
    <n v="1"/>
    <n v="1"/>
    <n v="0"/>
    <n v="23.71"/>
    <n v="0"/>
    <n v="1"/>
  </r>
  <r>
    <s v="SHP-501750"/>
    <d v="2024-09-20T00:00:00"/>
    <x v="0"/>
    <s v="Q3"/>
    <x v="8"/>
    <x v="3"/>
    <x v="1"/>
    <x v="0"/>
    <x v="2"/>
    <s v="Air"/>
    <x v="0"/>
    <n v="59.8"/>
    <n v="1106"/>
    <n v="2"/>
    <n v="2"/>
    <n v="1"/>
    <n v="0"/>
    <n v="175.6"/>
    <n v="0"/>
    <n v="1"/>
  </r>
  <r>
    <s v="SHP-501751"/>
    <d v="2024-09-20T00:00:00"/>
    <x v="0"/>
    <s v="Q3"/>
    <x v="8"/>
    <x v="0"/>
    <x v="1"/>
    <x v="2"/>
    <x v="0"/>
    <s v="Road"/>
    <x v="1"/>
    <n v="4.0999999999999996"/>
    <n v="1244"/>
    <n v="5"/>
    <n v="5"/>
    <n v="1"/>
    <n v="0"/>
    <n v="23.14"/>
    <n v="0"/>
    <n v="1"/>
  </r>
  <r>
    <s v="SHP-501752"/>
    <d v="2024-09-20T00:00:00"/>
    <x v="0"/>
    <s v="Q3"/>
    <x v="8"/>
    <x v="2"/>
    <x v="0"/>
    <x v="1"/>
    <x v="2"/>
    <s v="Road"/>
    <x v="0"/>
    <n v="75.400000000000006"/>
    <n v="280"/>
    <n v="1"/>
    <n v="1"/>
    <n v="1"/>
    <n v="0"/>
    <n v="72.150000000000006"/>
    <n v="0"/>
    <n v="1"/>
  </r>
  <r>
    <s v="SHP-501753"/>
    <d v="2024-09-21T00:00:00"/>
    <x v="0"/>
    <s v="Q3"/>
    <x v="8"/>
    <x v="4"/>
    <x v="2"/>
    <x v="0"/>
    <x v="0"/>
    <s v="Road"/>
    <x v="1"/>
    <n v="3.6"/>
    <n v="523"/>
    <n v="4"/>
    <n v="4"/>
    <n v="1"/>
    <n v="0"/>
    <n v="16.36"/>
    <n v="0"/>
    <n v="1"/>
  </r>
  <r>
    <s v="SHP-501754"/>
    <d v="2024-09-21T00:00:00"/>
    <x v="0"/>
    <s v="Q3"/>
    <x v="8"/>
    <x v="4"/>
    <x v="1"/>
    <x v="0"/>
    <x v="2"/>
    <s v="Air"/>
    <x v="0"/>
    <n v="280.2"/>
    <n v="1125"/>
    <n v="2"/>
    <n v="2"/>
    <n v="1"/>
    <n v="0"/>
    <n v="386.02"/>
    <n v="0"/>
    <n v="1"/>
  </r>
  <r>
    <s v="SHP-501755"/>
    <d v="2024-09-21T00:00:00"/>
    <x v="0"/>
    <s v="Q3"/>
    <x v="8"/>
    <x v="4"/>
    <x v="2"/>
    <x v="1"/>
    <x v="0"/>
    <s v="Road"/>
    <x v="0"/>
    <n v="163.80000000000001"/>
    <n v="187"/>
    <n v="3"/>
    <n v="3"/>
    <n v="1"/>
    <n v="0"/>
    <n v="78.09"/>
    <n v="0"/>
    <n v="1"/>
  </r>
  <r>
    <s v="SHP-501756"/>
    <d v="2024-09-21T00:00:00"/>
    <x v="0"/>
    <s v="Q3"/>
    <x v="8"/>
    <x v="4"/>
    <x v="1"/>
    <x v="0"/>
    <x v="0"/>
    <s v="Road"/>
    <x v="1"/>
    <n v="1.1000000000000001"/>
    <n v="1088"/>
    <n v="4"/>
    <n v="4"/>
    <n v="1"/>
    <n v="0"/>
    <n v="20.010000000000002"/>
    <n v="0"/>
    <n v="1"/>
  </r>
  <r>
    <s v="SHP-501757"/>
    <d v="2024-09-22T00:00:00"/>
    <x v="0"/>
    <s v="Q3"/>
    <x v="8"/>
    <x v="4"/>
    <x v="2"/>
    <x v="3"/>
    <x v="0"/>
    <s v="Road"/>
    <x v="0"/>
    <n v="124.7"/>
    <n v="517"/>
    <n v="4"/>
    <n v="4"/>
    <n v="1"/>
    <n v="0"/>
    <n v="69.599999999999994"/>
    <n v="0"/>
    <n v="1"/>
  </r>
  <r>
    <s v="SHP-501758"/>
    <d v="2024-09-22T00:00:00"/>
    <x v="0"/>
    <s v="Q3"/>
    <x v="8"/>
    <x v="2"/>
    <x v="0"/>
    <x v="1"/>
    <x v="1"/>
    <s v="Road"/>
    <x v="0"/>
    <n v="29.6"/>
    <n v="258"/>
    <n v="5"/>
    <n v="6"/>
    <n v="0"/>
    <n v="1"/>
    <n v="16.34"/>
    <n v="0"/>
    <n v="1"/>
  </r>
  <r>
    <s v="SHP-501759"/>
    <d v="2024-09-22T00:00:00"/>
    <x v="0"/>
    <s v="Q3"/>
    <x v="8"/>
    <x v="0"/>
    <x v="2"/>
    <x v="0"/>
    <x v="1"/>
    <s v="Road"/>
    <x v="1"/>
    <n v="1.2"/>
    <n v="1108"/>
    <n v="6"/>
    <n v="6"/>
    <n v="1"/>
    <n v="0"/>
    <n v="15.18"/>
    <n v="0"/>
    <n v="1"/>
  </r>
  <r>
    <s v="SHP-501760"/>
    <d v="2024-09-22T00:00:00"/>
    <x v="0"/>
    <s v="Q3"/>
    <x v="8"/>
    <x v="2"/>
    <x v="1"/>
    <x v="2"/>
    <x v="2"/>
    <s v="Air"/>
    <x v="0"/>
    <n v="39.200000000000003"/>
    <n v="1137"/>
    <n v="3"/>
    <n v="7"/>
    <n v="0"/>
    <n v="4"/>
    <n v="104.16"/>
    <n v="0"/>
    <n v="1"/>
  </r>
  <r>
    <s v="SHP-501761"/>
    <d v="2024-09-22T00:00:00"/>
    <x v="0"/>
    <s v="Q3"/>
    <x v="8"/>
    <x v="1"/>
    <x v="2"/>
    <x v="4"/>
    <x v="1"/>
    <s v="Road"/>
    <x v="1"/>
    <n v="10.199999999999999"/>
    <n v="1127"/>
    <n v="7"/>
    <n v="7"/>
    <n v="1"/>
    <n v="0"/>
    <n v="20.65"/>
    <n v="0"/>
    <n v="1"/>
  </r>
  <r>
    <s v="SHP-501762"/>
    <d v="2024-09-23T00:00:00"/>
    <x v="0"/>
    <s v="Q3"/>
    <x v="8"/>
    <x v="3"/>
    <x v="2"/>
    <x v="0"/>
    <x v="0"/>
    <s v="Road"/>
    <x v="0"/>
    <n v="212.9"/>
    <n v="745"/>
    <n v="4"/>
    <n v="3"/>
    <n v="1"/>
    <n v="0"/>
    <n v="104.76"/>
    <n v="0"/>
    <n v="1"/>
  </r>
  <r>
    <s v="SHP-501763"/>
    <d v="2024-09-23T00:00:00"/>
    <x v="0"/>
    <s v="Q3"/>
    <x v="8"/>
    <x v="2"/>
    <x v="2"/>
    <x v="1"/>
    <x v="2"/>
    <s v="Road"/>
    <x v="1"/>
    <n v="1.7"/>
    <n v="262"/>
    <n v="1"/>
    <n v="2"/>
    <n v="0"/>
    <n v="1"/>
    <n v="17.23"/>
    <n v="0"/>
    <n v="1"/>
  </r>
  <r>
    <s v="SHP-501764"/>
    <d v="2024-09-23T00:00:00"/>
    <x v="0"/>
    <s v="Q3"/>
    <x v="8"/>
    <x v="3"/>
    <x v="0"/>
    <x v="0"/>
    <x v="1"/>
    <s v="Road"/>
    <x v="1"/>
    <n v="14.3"/>
    <n v="920"/>
    <n v="6"/>
    <n v="6"/>
    <n v="1"/>
    <n v="0"/>
    <n v="22.45"/>
    <n v="0"/>
    <n v="1"/>
  </r>
  <r>
    <s v="SHP-501765"/>
    <d v="2024-09-23T00:00:00"/>
    <x v="0"/>
    <s v="Q3"/>
    <x v="8"/>
    <x v="2"/>
    <x v="0"/>
    <x v="1"/>
    <x v="0"/>
    <s v="Road"/>
    <x v="1"/>
    <n v="2.8"/>
    <n v="291"/>
    <n v="3"/>
    <n v="2"/>
    <n v="1"/>
    <n v="0"/>
    <n v="10.33"/>
    <n v="0"/>
    <n v="1"/>
  </r>
  <r>
    <s v="SHP-501766"/>
    <d v="2024-09-23T00:00:00"/>
    <x v="0"/>
    <s v="Q3"/>
    <x v="8"/>
    <x v="1"/>
    <x v="2"/>
    <x v="1"/>
    <x v="0"/>
    <s v="Road"/>
    <x v="1"/>
    <n v="3.7"/>
    <n v="219"/>
    <n v="3"/>
    <n v="3"/>
    <n v="1"/>
    <n v="0"/>
    <n v="11.99"/>
    <n v="0"/>
    <n v="1"/>
  </r>
  <r>
    <s v="SHP-501767"/>
    <d v="2024-09-23T00:00:00"/>
    <x v="0"/>
    <s v="Q3"/>
    <x v="8"/>
    <x v="0"/>
    <x v="0"/>
    <x v="4"/>
    <x v="0"/>
    <s v="Road"/>
    <x v="1"/>
    <n v="4.8"/>
    <n v="1023"/>
    <n v="5"/>
    <n v="5"/>
    <n v="1"/>
    <n v="0"/>
    <n v="19.66"/>
    <n v="0"/>
    <n v="1"/>
  </r>
  <r>
    <s v="SHP-501768"/>
    <d v="2024-09-24T00:00:00"/>
    <x v="0"/>
    <s v="Q3"/>
    <x v="8"/>
    <x v="2"/>
    <x v="2"/>
    <x v="3"/>
    <x v="0"/>
    <s v="Road"/>
    <x v="1"/>
    <n v="5.5"/>
    <n v="472"/>
    <n v="4"/>
    <n v="4"/>
    <n v="1"/>
    <n v="0"/>
    <n v="12.83"/>
    <n v="0"/>
    <n v="1"/>
  </r>
  <r>
    <s v="SHP-501769"/>
    <d v="2024-09-24T00:00:00"/>
    <x v="0"/>
    <s v="Q3"/>
    <x v="8"/>
    <x v="3"/>
    <x v="2"/>
    <x v="1"/>
    <x v="0"/>
    <s v="Road"/>
    <x v="0"/>
    <n v="78.900000000000006"/>
    <n v="227"/>
    <n v="3"/>
    <n v="4"/>
    <n v="0"/>
    <n v="1"/>
    <n v="54.46"/>
    <n v="0"/>
    <n v="1"/>
  </r>
  <r>
    <s v="SHP-501770"/>
    <d v="2024-09-24T00:00:00"/>
    <x v="0"/>
    <s v="Q3"/>
    <x v="8"/>
    <x v="2"/>
    <x v="2"/>
    <x v="1"/>
    <x v="0"/>
    <s v="Road"/>
    <x v="1"/>
    <n v="9"/>
    <n v="247"/>
    <n v="3"/>
    <n v="3"/>
    <n v="1"/>
    <n v="0"/>
    <n v="13.34"/>
    <n v="0"/>
    <n v="1"/>
  </r>
  <r>
    <s v="SHP-501771"/>
    <d v="2024-09-24T00:00:00"/>
    <x v="0"/>
    <s v="Q3"/>
    <x v="8"/>
    <x v="3"/>
    <x v="2"/>
    <x v="1"/>
    <x v="1"/>
    <s v="Road"/>
    <x v="1"/>
    <n v="8.6999999999999993"/>
    <n v="269"/>
    <n v="5"/>
    <n v="5"/>
    <n v="1"/>
    <n v="0"/>
    <n v="11.99"/>
    <n v="0"/>
    <n v="1"/>
  </r>
  <r>
    <s v="SHP-501772"/>
    <d v="2024-09-24T00:00:00"/>
    <x v="0"/>
    <s v="Q3"/>
    <x v="8"/>
    <x v="0"/>
    <x v="1"/>
    <x v="1"/>
    <x v="1"/>
    <s v="Road"/>
    <x v="1"/>
    <n v="11.2"/>
    <n v="269"/>
    <n v="5"/>
    <n v="5"/>
    <n v="1"/>
    <n v="0"/>
    <n v="10.81"/>
    <n v="0"/>
    <n v="1"/>
  </r>
  <r>
    <s v="SHP-501773"/>
    <d v="2024-09-25T00:00:00"/>
    <x v="0"/>
    <s v="Q3"/>
    <x v="8"/>
    <x v="4"/>
    <x v="1"/>
    <x v="0"/>
    <x v="0"/>
    <s v="Road"/>
    <x v="1"/>
    <n v="3.9"/>
    <n v="1083"/>
    <n v="4"/>
    <n v="4"/>
    <n v="1"/>
    <n v="0"/>
    <n v="19.73"/>
    <n v="0"/>
    <n v="1"/>
  </r>
  <r>
    <s v="SHP-501774"/>
    <d v="2024-09-25T00:00:00"/>
    <x v="0"/>
    <s v="Q3"/>
    <x v="8"/>
    <x v="3"/>
    <x v="2"/>
    <x v="3"/>
    <x v="1"/>
    <s v="Road"/>
    <x v="1"/>
    <n v="17.3"/>
    <n v="442"/>
    <n v="6"/>
    <n v="5"/>
    <n v="1"/>
    <n v="0"/>
    <n v="18.7"/>
    <n v="0"/>
    <n v="1"/>
  </r>
  <r>
    <s v="SHP-501775"/>
    <d v="2024-09-25T00:00:00"/>
    <x v="0"/>
    <s v="Q3"/>
    <x v="8"/>
    <x v="0"/>
    <x v="1"/>
    <x v="3"/>
    <x v="1"/>
    <s v="Road"/>
    <x v="0"/>
    <n v="99.3"/>
    <n v="463"/>
    <n v="6"/>
    <n v="6"/>
    <n v="1"/>
    <n v="0"/>
    <n v="39.450000000000003"/>
    <n v="0"/>
    <n v="1"/>
  </r>
  <r>
    <s v="SHP-501776"/>
    <d v="2024-09-25T00:00:00"/>
    <x v="0"/>
    <s v="Q3"/>
    <x v="8"/>
    <x v="0"/>
    <x v="2"/>
    <x v="2"/>
    <x v="0"/>
    <s v="Road"/>
    <x v="1"/>
    <n v="3.1"/>
    <n v="1231"/>
    <n v="5"/>
    <n v="5"/>
    <n v="1"/>
    <n v="0"/>
    <n v="23.04"/>
    <n v="0"/>
    <n v="1"/>
  </r>
  <r>
    <s v="SHP-501777"/>
    <d v="2024-09-25T00:00:00"/>
    <x v="0"/>
    <s v="Q3"/>
    <x v="8"/>
    <x v="3"/>
    <x v="0"/>
    <x v="0"/>
    <x v="2"/>
    <s v="Air"/>
    <x v="0"/>
    <n v="15.8"/>
    <n v="995"/>
    <n v="2"/>
    <n v="2"/>
    <n v="1"/>
    <n v="0"/>
    <n v="94.36"/>
    <n v="0"/>
    <n v="1"/>
  </r>
  <r>
    <s v="SHP-501778"/>
    <d v="2024-09-25T00:00:00"/>
    <x v="0"/>
    <s v="Q3"/>
    <x v="8"/>
    <x v="1"/>
    <x v="1"/>
    <x v="1"/>
    <x v="0"/>
    <s v="Road"/>
    <x v="0"/>
    <n v="263.7"/>
    <n v="271"/>
    <n v="3"/>
    <n v="3"/>
    <n v="1"/>
    <n v="0"/>
    <n v="116.95"/>
    <n v="0"/>
    <n v="1"/>
  </r>
  <r>
    <s v="SHP-501779"/>
    <d v="2024-09-25T00:00:00"/>
    <x v="0"/>
    <s v="Q3"/>
    <x v="8"/>
    <x v="3"/>
    <x v="1"/>
    <x v="3"/>
    <x v="2"/>
    <s v="Road"/>
    <x v="1"/>
    <n v="13"/>
    <n v="510"/>
    <n v="2"/>
    <n v="1"/>
    <n v="1"/>
    <n v="0"/>
    <n v="43.14"/>
    <n v="0"/>
    <n v="1"/>
  </r>
  <r>
    <s v="SHP-501780"/>
    <d v="2024-09-25T00:00:00"/>
    <x v="0"/>
    <s v="Q3"/>
    <x v="8"/>
    <x v="3"/>
    <x v="0"/>
    <x v="3"/>
    <x v="2"/>
    <s v="Road"/>
    <x v="1"/>
    <n v="0.9"/>
    <n v="525"/>
    <n v="2"/>
    <n v="1"/>
    <n v="1"/>
    <n v="0"/>
    <n v="27.48"/>
    <n v="0"/>
    <n v="1"/>
  </r>
  <r>
    <s v="SHP-501781"/>
    <d v="2024-09-25T00:00:00"/>
    <x v="0"/>
    <s v="Q3"/>
    <x v="8"/>
    <x v="4"/>
    <x v="0"/>
    <x v="3"/>
    <x v="2"/>
    <s v="Road"/>
    <x v="0"/>
    <n v="44.6"/>
    <n v="542"/>
    <n v="2"/>
    <n v="1"/>
    <n v="1"/>
    <n v="0"/>
    <n v="68.150000000000006"/>
    <n v="0"/>
    <n v="1"/>
  </r>
  <r>
    <s v="SHP-501782"/>
    <d v="2024-09-26T00:00:00"/>
    <x v="0"/>
    <s v="Q3"/>
    <x v="8"/>
    <x v="1"/>
    <x v="2"/>
    <x v="0"/>
    <x v="0"/>
    <s v="Road"/>
    <x v="1"/>
    <n v="3.5"/>
    <n v="1126"/>
    <n v="4"/>
    <n v="4"/>
    <n v="1"/>
    <n v="0"/>
    <n v="24.46"/>
    <n v="0"/>
    <n v="1"/>
  </r>
  <r>
    <s v="SHP-501783"/>
    <d v="2024-09-26T00:00:00"/>
    <x v="0"/>
    <s v="Q3"/>
    <x v="8"/>
    <x v="0"/>
    <x v="1"/>
    <x v="2"/>
    <x v="1"/>
    <s v="Road"/>
    <x v="1"/>
    <n v="6.4"/>
    <n v="1185"/>
    <n v="7"/>
    <n v="7"/>
    <n v="1"/>
    <n v="0"/>
    <n v="17.100000000000001"/>
    <n v="0"/>
    <n v="1"/>
  </r>
  <r>
    <s v="SHP-501784"/>
    <d v="2024-09-26T00:00:00"/>
    <x v="0"/>
    <s v="Q3"/>
    <x v="8"/>
    <x v="3"/>
    <x v="0"/>
    <x v="0"/>
    <x v="1"/>
    <s v="Road"/>
    <x v="1"/>
    <n v="13.3"/>
    <n v="924"/>
    <n v="6"/>
    <n v="6"/>
    <n v="1"/>
    <n v="0"/>
    <n v="18.98"/>
    <n v="0"/>
    <n v="1"/>
  </r>
  <r>
    <s v="SHP-501785"/>
    <d v="2024-09-26T00:00:00"/>
    <x v="0"/>
    <s v="Q3"/>
    <x v="8"/>
    <x v="4"/>
    <x v="0"/>
    <x v="2"/>
    <x v="2"/>
    <s v="Air"/>
    <x v="1"/>
    <n v="19.2"/>
    <n v="1100"/>
    <n v="3"/>
    <n v="3"/>
    <n v="1"/>
    <n v="0"/>
    <n v="91.69"/>
    <n v="0"/>
    <n v="1"/>
  </r>
  <r>
    <s v="SHP-501786"/>
    <d v="2024-09-26T00:00:00"/>
    <x v="0"/>
    <s v="Q3"/>
    <x v="8"/>
    <x v="2"/>
    <x v="2"/>
    <x v="0"/>
    <x v="1"/>
    <s v="Road"/>
    <x v="0"/>
    <n v="43.9"/>
    <n v="811"/>
    <n v="6"/>
    <n v="5"/>
    <n v="1"/>
    <n v="0"/>
    <n v="21.42"/>
    <n v="0"/>
    <n v="1"/>
  </r>
  <r>
    <s v="SHP-501787"/>
    <d v="2024-09-26T00:00:00"/>
    <x v="0"/>
    <s v="Q3"/>
    <x v="8"/>
    <x v="3"/>
    <x v="2"/>
    <x v="2"/>
    <x v="0"/>
    <s v="Road"/>
    <x v="0"/>
    <n v="210.1"/>
    <n v="1174"/>
    <n v="5"/>
    <n v="5"/>
    <n v="1"/>
    <n v="0"/>
    <n v="118.1"/>
    <n v="0"/>
    <n v="1"/>
  </r>
  <r>
    <s v="SHP-501788"/>
    <d v="2024-09-26T00:00:00"/>
    <x v="0"/>
    <s v="Q3"/>
    <x v="8"/>
    <x v="0"/>
    <x v="1"/>
    <x v="3"/>
    <x v="1"/>
    <s v="Road"/>
    <x v="0"/>
    <n v="330.5"/>
    <n v="616"/>
    <n v="6"/>
    <n v="6"/>
    <n v="1"/>
    <n v="0"/>
    <n v="97.11"/>
    <n v="0"/>
    <n v="1"/>
  </r>
  <r>
    <s v="SHP-501789"/>
    <d v="2024-09-26T00:00:00"/>
    <x v="0"/>
    <s v="Q3"/>
    <x v="8"/>
    <x v="2"/>
    <x v="2"/>
    <x v="3"/>
    <x v="1"/>
    <s v="Road"/>
    <x v="1"/>
    <n v="5.5"/>
    <n v="460"/>
    <n v="6"/>
    <n v="5"/>
    <n v="1"/>
    <n v="0"/>
    <n v="9.0399999999999991"/>
    <n v="0"/>
    <n v="1"/>
  </r>
  <r>
    <s v="SHP-501790"/>
    <d v="2024-09-26T00:00:00"/>
    <x v="0"/>
    <s v="Q3"/>
    <x v="8"/>
    <x v="0"/>
    <x v="2"/>
    <x v="0"/>
    <x v="1"/>
    <s v="Road"/>
    <x v="0"/>
    <n v="364.7"/>
    <n v="1034"/>
    <n v="6"/>
    <n v="6"/>
    <n v="1"/>
    <n v="0"/>
    <n v="97.53"/>
    <n v="0"/>
    <n v="1"/>
  </r>
  <r>
    <s v="SHP-501791"/>
    <d v="2024-09-26T00:00:00"/>
    <x v="0"/>
    <s v="Q3"/>
    <x v="8"/>
    <x v="2"/>
    <x v="2"/>
    <x v="1"/>
    <x v="0"/>
    <s v="Road"/>
    <x v="0"/>
    <n v="157.19999999999999"/>
    <n v="209"/>
    <n v="3"/>
    <n v="3"/>
    <n v="1"/>
    <n v="0"/>
    <n v="60.51"/>
    <n v="0"/>
    <n v="1"/>
  </r>
  <r>
    <s v="SHP-501792"/>
    <d v="2024-09-27T00:00:00"/>
    <x v="0"/>
    <s v="Q3"/>
    <x v="8"/>
    <x v="3"/>
    <x v="1"/>
    <x v="0"/>
    <x v="0"/>
    <s v="Road"/>
    <x v="1"/>
    <n v="1.2"/>
    <n v="872"/>
    <n v="4"/>
    <n v="4"/>
    <n v="1"/>
    <n v="0"/>
    <n v="22.88"/>
    <n v="0"/>
    <n v="1"/>
  </r>
  <r>
    <s v="SHP-501793"/>
    <d v="2024-09-27T00:00:00"/>
    <x v="0"/>
    <s v="Q3"/>
    <x v="8"/>
    <x v="0"/>
    <x v="1"/>
    <x v="1"/>
    <x v="0"/>
    <s v="Road"/>
    <x v="0"/>
    <n v="125.3"/>
    <n v="272"/>
    <n v="3"/>
    <n v="6"/>
    <n v="0"/>
    <n v="3"/>
    <n v="58.68"/>
    <n v="0"/>
    <n v="1"/>
  </r>
  <r>
    <s v="SHP-501794"/>
    <d v="2024-09-27T00:00:00"/>
    <x v="0"/>
    <s v="Q3"/>
    <x v="8"/>
    <x v="4"/>
    <x v="1"/>
    <x v="1"/>
    <x v="0"/>
    <s v="Road"/>
    <x v="1"/>
    <n v="13"/>
    <n v="289"/>
    <n v="3"/>
    <n v="3"/>
    <n v="1"/>
    <n v="0"/>
    <n v="17.63"/>
    <n v="0"/>
    <n v="1"/>
  </r>
  <r>
    <s v="SHP-501795"/>
    <d v="2024-09-27T00:00:00"/>
    <x v="0"/>
    <s v="Q3"/>
    <x v="8"/>
    <x v="4"/>
    <x v="1"/>
    <x v="0"/>
    <x v="2"/>
    <s v="Air"/>
    <x v="1"/>
    <n v="3.5"/>
    <n v="930"/>
    <n v="2"/>
    <n v="2"/>
    <n v="1"/>
    <n v="0"/>
    <n v="61.56"/>
    <n v="0"/>
    <n v="1"/>
  </r>
  <r>
    <s v="SHP-501796"/>
    <d v="2024-09-27T00:00:00"/>
    <x v="0"/>
    <s v="Q3"/>
    <x v="8"/>
    <x v="4"/>
    <x v="1"/>
    <x v="2"/>
    <x v="0"/>
    <s v="Road"/>
    <x v="1"/>
    <n v="7.6"/>
    <n v="1249"/>
    <n v="5"/>
    <n v="5"/>
    <n v="1"/>
    <n v="0"/>
    <n v="27.24"/>
    <n v="0"/>
    <n v="1"/>
  </r>
  <r>
    <s v="SHP-501797"/>
    <d v="2024-09-27T00:00:00"/>
    <x v="0"/>
    <s v="Q3"/>
    <x v="8"/>
    <x v="2"/>
    <x v="0"/>
    <x v="3"/>
    <x v="2"/>
    <s v="Road"/>
    <x v="1"/>
    <n v="16.899999999999999"/>
    <n v="658"/>
    <n v="2"/>
    <n v="2"/>
    <n v="1"/>
    <n v="0"/>
    <n v="38.01"/>
    <n v="0"/>
    <n v="1"/>
  </r>
  <r>
    <s v="SHP-501798"/>
    <d v="2024-09-28T00:00:00"/>
    <x v="0"/>
    <s v="Q3"/>
    <x v="8"/>
    <x v="1"/>
    <x v="1"/>
    <x v="0"/>
    <x v="0"/>
    <s v="Road"/>
    <x v="0"/>
    <n v="189.8"/>
    <n v="668"/>
    <n v="4"/>
    <n v="4"/>
    <n v="1"/>
    <n v="0"/>
    <n v="108.71"/>
    <n v="0"/>
    <n v="1"/>
  </r>
  <r>
    <s v="SHP-501799"/>
    <d v="2024-09-28T00:00:00"/>
    <x v="0"/>
    <s v="Q3"/>
    <x v="8"/>
    <x v="1"/>
    <x v="0"/>
    <x v="2"/>
    <x v="0"/>
    <s v="Road"/>
    <x v="1"/>
    <n v="1"/>
    <n v="1395"/>
    <n v="5"/>
    <n v="4"/>
    <n v="1"/>
    <n v="0"/>
    <n v="26.18"/>
    <n v="0"/>
    <n v="1"/>
  </r>
  <r>
    <s v="SHP-501800"/>
    <d v="2024-09-28T00:00:00"/>
    <x v="0"/>
    <s v="Q3"/>
    <x v="8"/>
    <x v="4"/>
    <x v="1"/>
    <x v="4"/>
    <x v="1"/>
    <s v="Road"/>
    <x v="0"/>
    <n v="157.9"/>
    <n v="899"/>
    <n v="7"/>
    <n v="7"/>
    <n v="1"/>
    <n v="0"/>
    <n v="64.849999999999994"/>
    <n v="0"/>
    <n v="1"/>
  </r>
  <r>
    <s v="SHP-501801"/>
    <d v="2024-09-28T00:00:00"/>
    <x v="0"/>
    <s v="Q3"/>
    <x v="8"/>
    <x v="0"/>
    <x v="2"/>
    <x v="3"/>
    <x v="0"/>
    <s v="Road"/>
    <x v="0"/>
    <n v="14"/>
    <n v="574"/>
    <n v="4"/>
    <n v="4"/>
    <n v="1"/>
    <n v="0"/>
    <n v="20.440000000000001"/>
    <n v="0"/>
    <n v="1"/>
  </r>
  <r>
    <s v="SHP-501802"/>
    <d v="2024-09-28T00:00:00"/>
    <x v="0"/>
    <s v="Q3"/>
    <x v="8"/>
    <x v="0"/>
    <x v="1"/>
    <x v="1"/>
    <x v="0"/>
    <s v="Road"/>
    <x v="1"/>
    <n v="1.9"/>
    <n v="223"/>
    <n v="3"/>
    <n v="2"/>
    <n v="1"/>
    <n v="0"/>
    <n v="10.29"/>
    <n v="0"/>
    <n v="1"/>
  </r>
  <r>
    <s v="SHP-501803"/>
    <d v="2024-09-28T00:00:00"/>
    <x v="0"/>
    <s v="Q3"/>
    <x v="8"/>
    <x v="0"/>
    <x v="2"/>
    <x v="1"/>
    <x v="1"/>
    <s v="Road"/>
    <x v="0"/>
    <n v="258.7"/>
    <n v="308"/>
    <n v="5"/>
    <n v="5"/>
    <n v="1"/>
    <n v="0"/>
    <n v="75.930000000000007"/>
    <n v="0"/>
    <n v="1"/>
  </r>
  <r>
    <s v="SHP-501804"/>
    <d v="2024-09-28T00:00:00"/>
    <x v="0"/>
    <s v="Q3"/>
    <x v="8"/>
    <x v="1"/>
    <x v="2"/>
    <x v="0"/>
    <x v="0"/>
    <s v="Road"/>
    <x v="1"/>
    <n v="9.1999999999999993"/>
    <n v="884"/>
    <n v="4"/>
    <n v="4"/>
    <n v="1"/>
    <n v="0"/>
    <n v="26.77"/>
    <n v="0"/>
    <n v="1"/>
  </r>
  <r>
    <s v="SHP-501805"/>
    <d v="2024-09-28T00:00:00"/>
    <x v="0"/>
    <s v="Q3"/>
    <x v="8"/>
    <x v="1"/>
    <x v="2"/>
    <x v="1"/>
    <x v="2"/>
    <s v="Road"/>
    <x v="1"/>
    <n v="3.1"/>
    <n v="260"/>
    <n v="1"/>
    <n v="5"/>
    <n v="0"/>
    <n v="4"/>
    <n v="22.9"/>
    <n v="0"/>
    <n v="1"/>
  </r>
  <r>
    <s v="SHP-501806"/>
    <d v="2024-09-28T00:00:00"/>
    <x v="0"/>
    <s v="Q3"/>
    <x v="8"/>
    <x v="2"/>
    <x v="2"/>
    <x v="2"/>
    <x v="2"/>
    <s v="Air"/>
    <x v="1"/>
    <n v="6.1"/>
    <n v="1229"/>
    <n v="3"/>
    <n v="3"/>
    <n v="1"/>
    <n v="0"/>
    <n v="65.900000000000006"/>
    <n v="0"/>
    <n v="1"/>
  </r>
  <r>
    <s v="SHP-501807"/>
    <d v="2024-09-28T00:00:00"/>
    <x v="0"/>
    <s v="Q3"/>
    <x v="8"/>
    <x v="4"/>
    <x v="1"/>
    <x v="1"/>
    <x v="0"/>
    <s v="Road"/>
    <x v="1"/>
    <n v="2.2999999999999998"/>
    <n v="234"/>
    <n v="3"/>
    <n v="3"/>
    <n v="1"/>
    <n v="0"/>
    <n v="10.82"/>
    <n v="0"/>
    <n v="1"/>
  </r>
  <r>
    <s v="SHP-501808"/>
    <d v="2024-09-28T00:00:00"/>
    <x v="0"/>
    <s v="Q3"/>
    <x v="8"/>
    <x v="1"/>
    <x v="1"/>
    <x v="1"/>
    <x v="2"/>
    <s v="Road"/>
    <x v="0"/>
    <n v="181.3"/>
    <n v="252"/>
    <n v="1"/>
    <n v="1"/>
    <n v="1"/>
    <n v="0"/>
    <n v="176.87"/>
    <n v="0"/>
    <n v="1"/>
  </r>
  <r>
    <s v="SHP-501809"/>
    <d v="2024-09-29T00:00:00"/>
    <x v="0"/>
    <s v="Q3"/>
    <x v="8"/>
    <x v="4"/>
    <x v="0"/>
    <x v="0"/>
    <x v="2"/>
    <s v="Air"/>
    <x v="0"/>
    <n v="18.100000000000001"/>
    <n v="618"/>
    <n v="2"/>
    <n v="2"/>
    <n v="1"/>
    <n v="0"/>
    <n v="72.44"/>
    <n v="0"/>
    <n v="1"/>
  </r>
  <r>
    <s v="SHP-501810"/>
    <d v="2024-09-29T00:00:00"/>
    <x v="0"/>
    <s v="Q3"/>
    <x v="8"/>
    <x v="0"/>
    <x v="1"/>
    <x v="0"/>
    <x v="0"/>
    <s v="Road"/>
    <x v="1"/>
    <n v="1.7"/>
    <n v="817"/>
    <n v="4"/>
    <n v="3"/>
    <n v="1"/>
    <n v="0"/>
    <n v="15.84"/>
    <n v="0"/>
    <n v="1"/>
  </r>
  <r>
    <s v="SHP-501811"/>
    <d v="2024-09-29T00:00:00"/>
    <x v="0"/>
    <s v="Q3"/>
    <x v="8"/>
    <x v="4"/>
    <x v="1"/>
    <x v="1"/>
    <x v="0"/>
    <s v="Road"/>
    <x v="1"/>
    <n v="5.3"/>
    <n v="228"/>
    <n v="3"/>
    <n v="3"/>
    <n v="1"/>
    <n v="0"/>
    <n v="14.01"/>
    <n v="0"/>
    <n v="1"/>
  </r>
  <r>
    <s v="SHP-501812"/>
    <d v="2024-09-30T00:00:00"/>
    <x v="0"/>
    <s v="Q3"/>
    <x v="8"/>
    <x v="4"/>
    <x v="2"/>
    <x v="2"/>
    <x v="0"/>
    <s v="Road"/>
    <x v="1"/>
    <n v="5.2"/>
    <n v="802"/>
    <n v="5"/>
    <n v="5"/>
    <n v="1"/>
    <n v="0"/>
    <n v="19.62"/>
    <n v="0"/>
    <n v="1"/>
  </r>
  <r>
    <s v="SHP-501813"/>
    <d v="2024-09-30T00:00:00"/>
    <x v="0"/>
    <s v="Q3"/>
    <x v="8"/>
    <x v="1"/>
    <x v="2"/>
    <x v="0"/>
    <x v="1"/>
    <s v="Road"/>
    <x v="0"/>
    <n v="116.2"/>
    <n v="723"/>
    <n v="6"/>
    <n v="6"/>
    <n v="1"/>
    <n v="0"/>
    <n v="52.45"/>
    <n v="0"/>
    <n v="1"/>
  </r>
  <r>
    <s v="SHP-501814"/>
    <d v="2024-09-30T00:00:00"/>
    <x v="0"/>
    <s v="Q3"/>
    <x v="8"/>
    <x v="3"/>
    <x v="2"/>
    <x v="1"/>
    <x v="0"/>
    <s v="Road"/>
    <x v="1"/>
    <n v="6.5"/>
    <n v="252"/>
    <n v="3"/>
    <n v="3"/>
    <n v="1"/>
    <n v="0"/>
    <n v="15.16"/>
    <n v="0"/>
    <n v="1"/>
  </r>
  <r>
    <s v="SHP-501815"/>
    <d v="2024-09-30T00:00:00"/>
    <x v="0"/>
    <s v="Q3"/>
    <x v="8"/>
    <x v="0"/>
    <x v="2"/>
    <x v="4"/>
    <x v="1"/>
    <s v="Road"/>
    <x v="0"/>
    <n v="127.2"/>
    <n v="1159"/>
    <n v="7"/>
    <n v="6"/>
    <n v="1"/>
    <n v="0"/>
    <n v="53.25"/>
    <n v="0"/>
    <n v="1"/>
  </r>
  <r>
    <s v="SHP-501816"/>
    <d v="2024-09-30T00:00:00"/>
    <x v="0"/>
    <s v="Q3"/>
    <x v="8"/>
    <x v="2"/>
    <x v="2"/>
    <x v="0"/>
    <x v="1"/>
    <s v="Road"/>
    <x v="1"/>
    <n v="8.6999999999999993"/>
    <n v="934"/>
    <n v="6"/>
    <n v="5"/>
    <n v="1"/>
    <n v="0"/>
    <n v="13.38"/>
    <n v="0"/>
    <n v="1"/>
  </r>
  <r>
    <s v="SHP-501817"/>
    <d v="2024-09-30T00:00:00"/>
    <x v="0"/>
    <s v="Q3"/>
    <x v="8"/>
    <x v="3"/>
    <x v="1"/>
    <x v="0"/>
    <x v="0"/>
    <s v="Road"/>
    <x v="1"/>
    <n v="4.8"/>
    <n v="948"/>
    <n v="4"/>
    <n v="4"/>
    <n v="1"/>
    <n v="0"/>
    <n v="23.34"/>
    <n v="0"/>
    <n v="1"/>
  </r>
  <r>
    <s v="SHP-501818"/>
    <d v="2024-09-30T00:00:00"/>
    <x v="0"/>
    <s v="Q3"/>
    <x v="8"/>
    <x v="3"/>
    <x v="2"/>
    <x v="1"/>
    <x v="1"/>
    <s v="Road"/>
    <x v="1"/>
    <n v="3.4"/>
    <n v="268"/>
    <n v="5"/>
    <n v="5"/>
    <n v="1"/>
    <n v="0"/>
    <n v="8.61"/>
    <n v="0"/>
    <n v="1"/>
  </r>
  <r>
    <s v="SHP-501819"/>
    <d v="2024-09-30T00:00:00"/>
    <x v="0"/>
    <s v="Q3"/>
    <x v="8"/>
    <x v="2"/>
    <x v="0"/>
    <x v="2"/>
    <x v="0"/>
    <s v="Road"/>
    <x v="1"/>
    <n v="2"/>
    <n v="1009"/>
    <n v="5"/>
    <n v="5"/>
    <n v="1"/>
    <n v="0"/>
    <n v="17.98"/>
    <n v="0"/>
    <n v="1"/>
  </r>
  <r>
    <s v="SHP-501820"/>
    <d v="2024-09-30T00:00:00"/>
    <x v="0"/>
    <s v="Q3"/>
    <x v="8"/>
    <x v="2"/>
    <x v="1"/>
    <x v="3"/>
    <x v="0"/>
    <s v="Road"/>
    <x v="1"/>
    <n v="16.2"/>
    <n v="551"/>
    <n v="4"/>
    <n v="4"/>
    <n v="1"/>
    <n v="0"/>
    <n v="19.899999999999999"/>
    <n v="0"/>
    <n v="1"/>
  </r>
  <r>
    <s v="SHP-501821"/>
    <d v="2024-10-01T00:00:00"/>
    <x v="0"/>
    <s v="Q4"/>
    <x v="9"/>
    <x v="4"/>
    <x v="1"/>
    <x v="2"/>
    <x v="0"/>
    <s v="Road"/>
    <x v="1"/>
    <n v="6.7"/>
    <n v="1269"/>
    <n v="5"/>
    <n v="5"/>
    <n v="1"/>
    <n v="0"/>
    <n v="25.55"/>
    <n v="0"/>
    <n v="1"/>
  </r>
  <r>
    <s v="SHP-501822"/>
    <d v="2024-10-01T00:00:00"/>
    <x v="0"/>
    <s v="Q4"/>
    <x v="9"/>
    <x v="1"/>
    <x v="2"/>
    <x v="2"/>
    <x v="1"/>
    <s v="Road"/>
    <x v="1"/>
    <n v="23.4"/>
    <n v="1509"/>
    <n v="7"/>
    <n v="6"/>
    <n v="1"/>
    <n v="0"/>
    <n v="30.57"/>
    <n v="0"/>
    <n v="1"/>
  </r>
  <r>
    <s v="SHP-501823"/>
    <d v="2024-10-01T00:00:00"/>
    <x v="0"/>
    <s v="Q4"/>
    <x v="9"/>
    <x v="4"/>
    <x v="2"/>
    <x v="1"/>
    <x v="0"/>
    <s v="Road"/>
    <x v="1"/>
    <n v="6.9"/>
    <n v="266"/>
    <n v="3"/>
    <n v="3"/>
    <n v="1"/>
    <n v="0"/>
    <n v="13.8"/>
    <n v="0"/>
    <n v="1"/>
  </r>
  <r>
    <s v="SHP-501824"/>
    <d v="2024-10-01T00:00:00"/>
    <x v="0"/>
    <s v="Q4"/>
    <x v="9"/>
    <x v="1"/>
    <x v="0"/>
    <x v="0"/>
    <x v="1"/>
    <s v="Road"/>
    <x v="0"/>
    <n v="121"/>
    <n v="915"/>
    <n v="6"/>
    <n v="5"/>
    <n v="1"/>
    <n v="0"/>
    <n v="50.5"/>
    <n v="0"/>
    <n v="1"/>
  </r>
  <r>
    <s v="SHP-501825"/>
    <d v="2024-10-01T00:00:00"/>
    <x v="0"/>
    <s v="Q4"/>
    <x v="9"/>
    <x v="2"/>
    <x v="2"/>
    <x v="0"/>
    <x v="2"/>
    <s v="Air"/>
    <x v="0"/>
    <n v="158"/>
    <n v="873"/>
    <n v="2"/>
    <n v="4"/>
    <n v="0"/>
    <n v="2"/>
    <n v="218.96"/>
    <n v="0"/>
    <n v="1"/>
  </r>
  <r>
    <s v="SHP-501826"/>
    <d v="2024-10-01T00:00:00"/>
    <x v="0"/>
    <s v="Q4"/>
    <x v="9"/>
    <x v="1"/>
    <x v="1"/>
    <x v="1"/>
    <x v="0"/>
    <s v="Road"/>
    <x v="0"/>
    <n v="34.6"/>
    <n v="268"/>
    <n v="3"/>
    <n v="7"/>
    <n v="0"/>
    <n v="4"/>
    <n v="25.92"/>
    <n v="0"/>
    <n v="1"/>
  </r>
  <r>
    <s v="SHP-501827"/>
    <d v="2024-10-01T00:00:00"/>
    <x v="0"/>
    <s v="Q4"/>
    <x v="9"/>
    <x v="0"/>
    <x v="2"/>
    <x v="2"/>
    <x v="1"/>
    <s v="Road"/>
    <x v="0"/>
    <n v="93.1"/>
    <n v="1307"/>
    <n v="7"/>
    <n v="7"/>
    <n v="1"/>
    <n v="0"/>
    <n v="48.34"/>
    <n v="0"/>
    <n v="1"/>
  </r>
  <r>
    <s v="SHP-501828"/>
    <d v="2024-10-01T00:00:00"/>
    <x v="0"/>
    <s v="Q4"/>
    <x v="9"/>
    <x v="2"/>
    <x v="0"/>
    <x v="0"/>
    <x v="0"/>
    <s v="Road"/>
    <x v="1"/>
    <n v="2"/>
    <n v="775"/>
    <n v="4"/>
    <n v="4"/>
    <n v="1"/>
    <n v="0"/>
    <n v="13.46"/>
    <n v="0"/>
    <n v="1"/>
  </r>
  <r>
    <s v="SHP-501829"/>
    <d v="2024-10-02T00:00:00"/>
    <x v="0"/>
    <s v="Q4"/>
    <x v="9"/>
    <x v="4"/>
    <x v="2"/>
    <x v="3"/>
    <x v="0"/>
    <s v="Road"/>
    <x v="0"/>
    <n v="30.3"/>
    <n v="390"/>
    <n v="4"/>
    <n v="3"/>
    <n v="1"/>
    <n v="0"/>
    <n v="25.94"/>
    <n v="0"/>
    <n v="1"/>
  </r>
  <r>
    <s v="SHP-501830"/>
    <d v="2024-10-02T00:00:00"/>
    <x v="0"/>
    <s v="Q4"/>
    <x v="9"/>
    <x v="2"/>
    <x v="1"/>
    <x v="3"/>
    <x v="0"/>
    <s v="Road"/>
    <x v="1"/>
    <n v="10"/>
    <n v="407"/>
    <n v="4"/>
    <n v="4"/>
    <n v="1"/>
    <n v="0"/>
    <n v="17.73"/>
    <n v="0"/>
    <n v="1"/>
  </r>
  <r>
    <s v="SHP-501831"/>
    <d v="2024-10-02T00:00:00"/>
    <x v="0"/>
    <s v="Q4"/>
    <x v="9"/>
    <x v="1"/>
    <x v="0"/>
    <x v="4"/>
    <x v="0"/>
    <s v="Road"/>
    <x v="0"/>
    <n v="65"/>
    <n v="1043"/>
    <n v="5"/>
    <n v="5"/>
    <n v="1"/>
    <n v="0"/>
    <n v="47.7"/>
    <n v="0"/>
    <n v="1"/>
  </r>
  <r>
    <s v="SHP-501832"/>
    <d v="2024-10-02T00:00:00"/>
    <x v="0"/>
    <s v="Q4"/>
    <x v="9"/>
    <x v="2"/>
    <x v="1"/>
    <x v="1"/>
    <x v="1"/>
    <s v="Road"/>
    <x v="1"/>
    <n v="8.8000000000000007"/>
    <n v="274"/>
    <n v="5"/>
    <n v="4"/>
    <n v="1"/>
    <n v="0"/>
    <n v="9.2100000000000009"/>
    <n v="0"/>
    <n v="1"/>
  </r>
  <r>
    <s v="SHP-501833"/>
    <d v="2024-10-02T00:00:00"/>
    <x v="0"/>
    <s v="Q4"/>
    <x v="9"/>
    <x v="2"/>
    <x v="1"/>
    <x v="1"/>
    <x v="1"/>
    <s v="Road"/>
    <x v="0"/>
    <n v="37.299999999999997"/>
    <n v="219"/>
    <n v="5"/>
    <n v="5"/>
    <n v="1"/>
    <n v="0"/>
    <n v="18.48"/>
    <n v="0"/>
    <n v="1"/>
  </r>
  <r>
    <s v="SHP-501834"/>
    <d v="2024-10-02T00:00:00"/>
    <x v="0"/>
    <s v="Q4"/>
    <x v="9"/>
    <x v="0"/>
    <x v="1"/>
    <x v="1"/>
    <x v="2"/>
    <s v="Road"/>
    <x v="0"/>
    <n v="24.7"/>
    <n v="285"/>
    <n v="1"/>
    <n v="1"/>
    <n v="1"/>
    <n v="0"/>
    <n v="41.92"/>
    <n v="0"/>
    <n v="1"/>
  </r>
  <r>
    <s v="SHP-501835"/>
    <d v="2024-10-02T00:00:00"/>
    <x v="0"/>
    <s v="Q4"/>
    <x v="9"/>
    <x v="1"/>
    <x v="1"/>
    <x v="3"/>
    <x v="0"/>
    <s v="Road"/>
    <x v="1"/>
    <n v="1.5"/>
    <n v="557"/>
    <n v="4"/>
    <n v="5"/>
    <n v="0"/>
    <n v="1"/>
    <n v="13.54"/>
    <n v="0"/>
    <n v="1"/>
  </r>
  <r>
    <s v="SHP-501836"/>
    <d v="2024-10-02T00:00:00"/>
    <x v="0"/>
    <s v="Q4"/>
    <x v="9"/>
    <x v="1"/>
    <x v="1"/>
    <x v="1"/>
    <x v="0"/>
    <s v="Road"/>
    <x v="1"/>
    <n v="4.5999999999999996"/>
    <n v="270"/>
    <n v="3"/>
    <n v="3"/>
    <n v="1"/>
    <n v="0"/>
    <n v="12.31"/>
    <n v="0"/>
    <n v="1"/>
  </r>
  <r>
    <s v="SHP-501837"/>
    <d v="2024-10-02T00:00:00"/>
    <x v="0"/>
    <s v="Q4"/>
    <x v="9"/>
    <x v="3"/>
    <x v="2"/>
    <x v="3"/>
    <x v="1"/>
    <s v="Road"/>
    <x v="0"/>
    <n v="134.4"/>
    <n v="455"/>
    <n v="6"/>
    <n v="6"/>
    <n v="1"/>
    <n v="0"/>
    <n v="56.39"/>
    <n v="0"/>
    <n v="1"/>
  </r>
  <r>
    <s v="SHP-501838"/>
    <d v="2024-10-02T00:00:00"/>
    <x v="0"/>
    <s v="Q4"/>
    <x v="9"/>
    <x v="4"/>
    <x v="2"/>
    <x v="0"/>
    <x v="0"/>
    <s v="Road"/>
    <x v="0"/>
    <n v="83.3"/>
    <n v="959"/>
    <n v="4"/>
    <n v="3"/>
    <n v="1"/>
    <n v="0"/>
    <n v="59.94"/>
    <n v="0"/>
    <n v="1"/>
  </r>
  <r>
    <s v="SHP-501839"/>
    <d v="2024-10-03T00:00:00"/>
    <x v="0"/>
    <s v="Q4"/>
    <x v="9"/>
    <x v="0"/>
    <x v="1"/>
    <x v="2"/>
    <x v="0"/>
    <s v="Road"/>
    <x v="1"/>
    <n v="3.9"/>
    <n v="1266"/>
    <n v="5"/>
    <n v="10"/>
    <n v="0"/>
    <n v="5"/>
    <n v="20.440000000000001"/>
    <n v="0"/>
    <n v="1"/>
  </r>
  <r>
    <s v="SHP-501840"/>
    <d v="2024-10-03T00:00:00"/>
    <x v="0"/>
    <s v="Q4"/>
    <x v="9"/>
    <x v="1"/>
    <x v="1"/>
    <x v="3"/>
    <x v="1"/>
    <s v="Road"/>
    <x v="1"/>
    <n v="2.5"/>
    <n v="484"/>
    <n v="6"/>
    <n v="6"/>
    <n v="1"/>
    <n v="0"/>
    <n v="9.8800000000000008"/>
    <n v="0"/>
    <n v="1"/>
  </r>
  <r>
    <s v="SHP-501841"/>
    <d v="2024-10-03T00:00:00"/>
    <x v="0"/>
    <s v="Q4"/>
    <x v="9"/>
    <x v="1"/>
    <x v="0"/>
    <x v="3"/>
    <x v="0"/>
    <s v="Road"/>
    <x v="1"/>
    <n v="8.6999999999999993"/>
    <n v="560"/>
    <n v="4"/>
    <n v="4"/>
    <n v="1"/>
    <n v="0"/>
    <n v="20.8"/>
    <n v="0"/>
    <n v="1"/>
  </r>
  <r>
    <s v="SHP-501842"/>
    <d v="2024-10-03T00:00:00"/>
    <x v="0"/>
    <s v="Q4"/>
    <x v="9"/>
    <x v="4"/>
    <x v="0"/>
    <x v="0"/>
    <x v="0"/>
    <s v="Road"/>
    <x v="1"/>
    <n v="2.9"/>
    <n v="886"/>
    <n v="4"/>
    <n v="3"/>
    <n v="1"/>
    <n v="0"/>
    <n v="19.16"/>
    <n v="0"/>
    <n v="1"/>
  </r>
  <r>
    <s v="SHP-501843"/>
    <d v="2024-10-03T00:00:00"/>
    <x v="0"/>
    <s v="Q4"/>
    <x v="9"/>
    <x v="3"/>
    <x v="2"/>
    <x v="1"/>
    <x v="0"/>
    <s v="Road"/>
    <x v="1"/>
    <n v="1.2"/>
    <n v="240"/>
    <n v="3"/>
    <n v="2"/>
    <n v="1"/>
    <n v="0"/>
    <n v="10.83"/>
    <n v="0"/>
    <n v="1"/>
  </r>
  <r>
    <s v="SHP-501844"/>
    <d v="2024-10-03T00:00:00"/>
    <x v="0"/>
    <s v="Q4"/>
    <x v="9"/>
    <x v="4"/>
    <x v="0"/>
    <x v="4"/>
    <x v="0"/>
    <s v="Road"/>
    <x v="1"/>
    <n v="4.2"/>
    <n v="1061"/>
    <n v="5"/>
    <n v="5"/>
    <n v="1"/>
    <n v="0"/>
    <n v="18.95"/>
    <n v="0"/>
    <n v="1"/>
  </r>
  <r>
    <s v="SHP-501845"/>
    <d v="2024-10-03T00:00:00"/>
    <x v="0"/>
    <s v="Q4"/>
    <x v="9"/>
    <x v="3"/>
    <x v="2"/>
    <x v="1"/>
    <x v="0"/>
    <s v="Road"/>
    <x v="0"/>
    <n v="74"/>
    <n v="228"/>
    <n v="3"/>
    <n v="3"/>
    <n v="1"/>
    <n v="0"/>
    <n v="51.4"/>
    <n v="0"/>
    <n v="1"/>
  </r>
  <r>
    <s v="SHP-501846"/>
    <d v="2024-10-03T00:00:00"/>
    <x v="0"/>
    <s v="Q4"/>
    <x v="9"/>
    <x v="4"/>
    <x v="2"/>
    <x v="2"/>
    <x v="2"/>
    <s v="Air"/>
    <x v="1"/>
    <n v="8.1"/>
    <n v="995"/>
    <n v="3"/>
    <n v="3"/>
    <n v="1"/>
    <n v="0"/>
    <n v="76.709999999999994"/>
    <n v="0"/>
    <n v="1"/>
  </r>
  <r>
    <s v="SHP-501847"/>
    <d v="2024-10-03T00:00:00"/>
    <x v="0"/>
    <s v="Q4"/>
    <x v="9"/>
    <x v="3"/>
    <x v="1"/>
    <x v="2"/>
    <x v="2"/>
    <s v="Air"/>
    <x v="1"/>
    <n v="6.6"/>
    <n v="1036"/>
    <n v="3"/>
    <n v="3"/>
    <n v="1"/>
    <n v="0"/>
    <n v="81.16"/>
    <n v="0"/>
    <n v="1"/>
  </r>
  <r>
    <s v="SHP-501848"/>
    <d v="2024-10-04T00:00:00"/>
    <x v="0"/>
    <s v="Q4"/>
    <x v="9"/>
    <x v="4"/>
    <x v="2"/>
    <x v="1"/>
    <x v="0"/>
    <s v="Road"/>
    <x v="1"/>
    <n v="12.3"/>
    <n v="188"/>
    <n v="3"/>
    <n v="3"/>
    <n v="1"/>
    <n v="0"/>
    <n v="16.260000000000002"/>
    <n v="0"/>
    <n v="1"/>
  </r>
  <r>
    <s v="SHP-501849"/>
    <d v="2024-10-04T00:00:00"/>
    <x v="0"/>
    <s v="Q4"/>
    <x v="9"/>
    <x v="3"/>
    <x v="2"/>
    <x v="0"/>
    <x v="0"/>
    <s v="Road"/>
    <x v="1"/>
    <n v="14.6"/>
    <n v="910"/>
    <n v="4"/>
    <n v="4"/>
    <n v="1"/>
    <n v="0"/>
    <n v="32.47"/>
    <n v="0"/>
    <n v="1"/>
  </r>
  <r>
    <s v="SHP-501850"/>
    <d v="2024-10-04T00:00:00"/>
    <x v="0"/>
    <s v="Q4"/>
    <x v="9"/>
    <x v="3"/>
    <x v="0"/>
    <x v="2"/>
    <x v="0"/>
    <s v="Road"/>
    <x v="1"/>
    <n v="20"/>
    <n v="1228"/>
    <n v="5"/>
    <n v="5"/>
    <n v="1"/>
    <n v="0"/>
    <n v="35.47"/>
    <n v="0"/>
    <n v="1"/>
  </r>
  <r>
    <s v="SHP-501851"/>
    <d v="2024-10-04T00:00:00"/>
    <x v="0"/>
    <s v="Q4"/>
    <x v="9"/>
    <x v="1"/>
    <x v="2"/>
    <x v="0"/>
    <x v="0"/>
    <s v="Road"/>
    <x v="1"/>
    <n v="8.9"/>
    <n v="1017"/>
    <n v="4"/>
    <n v="3"/>
    <n v="1"/>
    <n v="0"/>
    <n v="22.42"/>
    <n v="0"/>
    <n v="1"/>
  </r>
  <r>
    <s v="SHP-501852"/>
    <d v="2024-10-05T00:00:00"/>
    <x v="0"/>
    <s v="Q4"/>
    <x v="9"/>
    <x v="2"/>
    <x v="0"/>
    <x v="1"/>
    <x v="0"/>
    <s v="Road"/>
    <x v="1"/>
    <n v="4.7"/>
    <n v="196"/>
    <n v="3"/>
    <n v="3"/>
    <n v="1"/>
    <n v="0"/>
    <n v="10.42"/>
    <n v="0"/>
    <n v="1"/>
  </r>
  <r>
    <s v="SHP-501853"/>
    <d v="2024-10-05T00:00:00"/>
    <x v="0"/>
    <s v="Q4"/>
    <x v="9"/>
    <x v="4"/>
    <x v="2"/>
    <x v="3"/>
    <x v="0"/>
    <s v="Road"/>
    <x v="1"/>
    <n v="14.2"/>
    <n v="376"/>
    <n v="4"/>
    <n v="4"/>
    <n v="1"/>
    <n v="0"/>
    <n v="19"/>
    <n v="0"/>
    <n v="1"/>
  </r>
  <r>
    <s v="SHP-501854"/>
    <d v="2024-10-05T00:00:00"/>
    <x v="0"/>
    <s v="Q4"/>
    <x v="9"/>
    <x v="4"/>
    <x v="2"/>
    <x v="3"/>
    <x v="0"/>
    <s v="Road"/>
    <x v="0"/>
    <n v="96.5"/>
    <n v="408"/>
    <n v="4"/>
    <n v="4"/>
    <n v="1"/>
    <n v="0"/>
    <n v="53.7"/>
    <n v="0"/>
    <n v="1"/>
  </r>
  <r>
    <s v="SHP-501855"/>
    <d v="2024-10-05T00:00:00"/>
    <x v="0"/>
    <s v="Q4"/>
    <x v="9"/>
    <x v="0"/>
    <x v="2"/>
    <x v="1"/>
    <x v="2"/>
    <s v="Road"/>
    <x v="1"/>
    <n v="3.5"/>
    <n v="237"/>
    <n v="1"/>
    <n v="1"/>
    <n v="1"/>
    <n v="0"/>
    <n v="20.67"/>
    <n v="0"/>
    <n v="1"/>
  </r>
  <r>
    <s v="SHP-501856"/>
    <d v="2024-10-06T00:00:00"/>
    <x v="0"/>
    <s v="Q4"/>
    <x v="9"/>
    <x v="1"/>
    <x v="0"/>
    <x v="1"/>
    <x v="2"/>
    <s v="Road"/>
    <x v="1"/>
    <n v="4.7"/>
    <n v="249"/>
    <n v="1"/>
    <n v="1"/>
    <n v="1"/>
    <n v="0"/>
    <n v="24.15"/>
    <n v="0"/>
    <n v="1"/>
  </r>
  <r>
    <s v="SHP-501857"/>
    <d v="2024-10-06T00:00:00"/>
    <x v="0"/>
    <s v="Q4"/>
    <x v="9"/>
    <x v="4"/>
    <x v="2"/>
    <x v="0"/>
    <x v="0"/>
    <s v="Road"/>
    <x v="0"/>
    <n v="117.1"/>
    <n v="819"/>
    <n v="4"/>
    <n v="4"/>
    <n v="1"/>
    <n v="0"/>
    <n v="66.39"/>
    <n v="0"/>
    <n v="1"/>
  </r>
  <r>
    <s v="SHP-501858"/>
    <d v="2024-10-06T00:00:00"/>
    <x v="0"/>
    <s v="Q4"/>
    <x v="9"/>
    <x v="0"/>
    <x v="2"/>
    <x v="2"/>
    <x v="2"/>
    <s v="Air"/>
    <x v="1"/>
    <n v="2.6"/>
    <n v="954"/>
    <n v="3"/>
    <n v="3"/>
    <n v="1"/>
    <n v="0"/>
    <n v="60.75"/>
    <n v="0"/>
    <n v="1"/>
  </r>
  <r>
    <s v="SHP-501859"/>
    <d v="2024-10-06T00:00:00"/>
    <x v="0"/>
    <s v="Q4"/>
    <x v="9"/>
    <x v="4"/>
    <x v="2"/>
    <x v="4"/>
    <x v="0"/>
    <s v="Road"/>
    <x v="0"/>
    <n v="31.7"/>
    <n v="1159"/>
    <n v="5"/>
    <n v="7"/>
    <n v="0"/>
    <n v="2"/>
    <n v="37.380000000000003"/>
    <n v="0"/>
    <n v="1"/>
  </r>
  <r>
    <s v="SHP-501860"/>
    <d v="2024-10-06T00:00:00"/>
    <x v="0"/>
    <s v="Q4"/>
    <x v="9"/>
    <x v="0"/>
    <x v="2"/>
    <x v="4"/>
    <x v="0"/>
    <s v="Road"/>
    <x v="1"/>
    <n v="1.8"/>
    <n v="775"/>
    <n v="5"/>
    <n v="5"/>
    <n v="1"/>
    <n v="0"/>
    <n v="17.09"/>
    <n v="0"/>
    <n v="1"/>
  </r>
  <r>
    <s v="SHP-501861"/>
    <d v="2024-10-07T00:00:00"/>
    <x v="0"/>
    <s v="Q4"/>
    <x v="9"/>
    <x v="2"/>
    <x v="2"/>
    <x v="0"/>
    <x v="1"/>
    <s v="Road"/>
    <x v="1"/>
    <n v="11.2"/>
    <n v="806"/>
    <n v="6"/>
    <n v="6"/>
    <n v="1"/>
    <n v="0"/>
    <n v="11.95"/>
    <n v="0"/>
    <n v="1"/>
  </r>
  <r>
    <s v="SHP-501862"/>
    <d v="2024-10-07T00:00:00"/>
    <x v="0"/>
    <s v="Q4"/>
    <x v="9"/>
    <x v="4"/>
    <x v="2"/>
    <x v="1"/>
    <x v="1"/>
    <s v="Road"/>
    <x v="1"/>
    <n v="12.6"/>
    <n v="264"/>
    <n v="5"/>
    <n v="5"/>
    <n v="1"/>
    <n v="0"/>
    <n v="12.11"/>
    <n v="0"/>
    <n v="1"/>
  </r>
  <r>
    <s v="SHP-501863"/>
    <d v="2024-10-07T00:00:00"/>
    <x v="0"/>
    <s v="Q4"/>
    <x v="9"/>
    <x v="2"/>
    <x v="2"/>
    <x v="0"/>
    <x v="0"/>
    <s v="Road"/>
    <x v="0"/>
    <n v="14.2"/>
    <n v="1118"/>
    <n v="4"/>
    <n v="3"/>
    <n v="1"/>
    <n v="0"/>
    <n v="23.49"/>
    <n v="0"/>
    <n v="1"/>
  </r>
  <r>
    <s v="SHP-501864"/>
    <d v="2024-10-07T00:00:00"/>
    <x v="0"/>
    <s v="Q4"/>
    <x v="9"/>
    <x v="0"/>
    <x v="2"/>
    <x v="2"/>
    <x v="0"/>
    <s v="Road"/>
    <x v="1"/>
    <n v="4.3"/>
    <n v="1442"/>
    <n v="5"/>
    <n v="7"/>
    <n v="0"/>
    <n v="2"/>
    <n v="28.06"/>
    <n v="0"/>
    <n v="1"/>
  </r>
  <r>
    <s v="SHP-501865"/>
    <d v="2024-10-07T00:00:00"/>
    <x v="0"/>
    <s v="Q4"/>
    <x v="9"/>
    <x v="1"/>
    <x v="1"/>
    <x v="0"/>
    <x v="2"/>
    <s v="Air"/>
    <x v="1"/>
    <n v="11.8"/>
    <n v="879"/>
    <n v="2"/>
    <n v="2"/>
    <n v="1"/>
    <n v="0"/>
    <n v="75.459999999999994"/>
    <n v="0"/>
    <n v="1"/>
  </r>
  <r>
    <s v="SHP-501866"/>
    <d v="2024-10-07T00:00:00"/>
    <x v="0"/>
    <s v="Q4"/>
    <x v="9"/>
    <x v="0"/>
    <x v="2"/>
    <x v="2"/>
    <x v="2"/>
    <s v="Air"/>
    <x v="1"/>
    <n v="3"/>
    <n v="912"/>
    <n v="3"/>
    <n v="3"/>
    <n v="1"/>
    <n v="0"/>
    <n v="56.46"/>
    <n v="0"/>
    <n v="1"/>
  </r>
  <r>
    <s v="SHP-501867"/>
    <d v="2024-10-07T00:00:00"/>
    <x v="0"/>
    <s v="Q4"/>
    <x v="9"/>
    <x v="1"/>
    <x v="1"/>
    <x v="4"/>
    <x v="0"/>
    <s v="Road"/>
    <x v="1"/>
    <n v="4.7"/>
    <n v="1019"/>
    <n v="5"/>
    <n v="6"/>
    <n v="0"/>
    <n v="1"/>
    <n v="23.56"/>
    <n v="0"/>
    <n v="1"/>
  </r>
  <r>
    <s v="SHP-501868"/>
    <d v="2024-10-07T00:00:00"/>
    <x v="0"/>
    <s v="Q4"/>
    <x v="9"/>
    <x v="0"/>
    <x v="2"/>
    <x v="4"/>
    <x v="2"/>
    <s v="Air"/>
    <x v="1"/>
    <n v="4.5"/>
    <n v="1081"/>
    <n v="3"/>
    <n v="8"/>
    <n v="0"/>
    <n v="5"/>
    <n v="61.01"/>
    <n v="0"/>
    <n v="1"/>
  </r>
  <r>
    <s v="SHP-501869"/>
    <d v="2024-10-07T00:00:00"/>
    <x v="0"/>
    <s v="Q4"/>
    <x v="9"/>
    <x v="2"/>
    <x v="0"/>
    <x v="4"/>
    <x v="1"/>
    <s v="Road"/>
    <x v="1"/>
    <n v="7.9"/>
    <n v="1048"/>
    <n v="7"/>
    <n v="7"/>
    <n v="1"/>
    <n v="0"/>
    <n v="13.71"/>
    <n v="0"/>
    <n v="1"/>
  </r>
  <r>
    <s v="SHP-501870"/>
    <d v="2024-10-08T00:00:00"/>
    <x v="0"/>
    <s v="Q4"/>
    <x v="9"/>
    <x v="4"/>
    <x v="2"/>
    <x v="4"/>
    <x v="2"/>
    <s v="Air"/>
    <x v="0"/>
    <n v="120.9"/>
    <n v="1045"/>
    <n v="3"/>
    <n v="3"/>
    <n v="1"/>
    <n v="0"/>
    <n v="194.94"/>
    <n v="0"/>
    <n v="1"/>
  </r>
  <r>
    <s v="SHP-501871"/>
    <d v="2024-10-08T00:00:00"/>
    <x v="0"/>
    <s v="Q4"/>
    <x v="9"/>
    <x v="1"/>
    <x v="2"/>
    <x v="2"/>
    <x v="1"/>
    <s v="Road"/>
    <x v="1"/>
    <n v="9.1"/>
    <n v="1110"/>
    <n v="7"/>
    <n v="7"/>
    <n v="1"/>
    <n v="0"/>
    <n v="18.03"/>
    <n v="0"/>
    <n v="1"/>
  </r>
  <r>
    <s v="SHP-501872"/>
    <d v="2024-10-08T00:00:00"/>
    <x v="0"/>
    <s v="Q4"/>
    <x v="9"/>
    <x v="3"/>
    <x v="1"/>
    <x v="4"/>
    <x v="0"/>
    <s v="Road"/>
    <x v="1"/>
    <n v="16.2"/>
    <n v="1280"/>
    <n v="5"/>
    <n v="5"/>
    <n v="1"/>
    <n v="0"/>
    <n v="40.14"/>
    <n v="0"/>
    <n v="1"/>
  </r>
  <r>
    <s v="SHP-501873"/>
    <d v="2024-10-08T00:00:00"/>
    <x v="0"/>
    <s v="Q4"/>
    <x v="9"/>
    <x v="0"/>
    <x v="1"/>
    <x v="0"/>
    <x v="0"/>
    <s v="Road"/>
    <x v="1"/>
    <n v="1.8"/>
    <n v="848"/>
    <n v="4"/>
    <n v="4"/>
    <n v="1"/>
    <n v="0"/>
    <n v="17.670000000000002"/>
    <n v="0"/>
    <n v="1"/>
  </r>
  <r>
    <s v="SHP-501874"/>
    <d v="2024-10-09T00:00:00"/>
    <x v="0"/>
    <s v="Q4"/>
    <x v="9"/>
    <x v="4"/>
    <x v="0"/>
    <x v="1"/>
    <x v="0"/>
    <s v="Road"/>
    <x v="1"/>
    <n v="4.9000000000000004"/>
    <n v="229"/>
    <n v="3"/>
    <n v="3"/>
    <n v="1"/>
    <n v="0"/>
    <n v="12.41"/>
    <n v="0"/>
    <n v="1"/>
  </r>
  <r>
    <s v="SHP-501875"/>
    <d v="2024-10-09T00:00:00"/>
    <x v="0"/>
    <s v="Q4"/>
    <x v="9"/>
    <x v="1"/>
    <x v="0"/>
    <x v="3"/>
    <x v="0"/>
    <s v="Road"/>
    <x v="1"/>
    <n v="6"/>
    <n v="338"/>
    <n v="4"/>
    <n v="4"/>
    <n v="1"/>
    <n v="0"/>
    <n v="12.72"/>
    <n v="0"/>
    <n v="1"/>
  </r>
  <r>
    <s v="SHP-501876"/>
    <d v="2024-10-09T00:00:00"/>
    <x v="0"/>
    <s v="Q4"/>
    <x v="9"/>
    <x v="1"/>
    <x v="0"/>
    <x v="4"/>
    <x v="0"/>
    <s v="Road"/>
    <x v="1"/>
    <n v="8.6"/>
    <n v="1125"/>
    <n v="5"/>
    <n v="8"/>
    <n v="0"/>
    <n v="3"/>
    <n v="23.89"/>
    <n v="0"/>
    <n v="1"/>
  </r>
  <r>
    <s v="SHP-501877"/>
    <d v="2024-10-09T00:00:00"/>
    <x v="0"/>
    <s v="Q4"/>
    <x v="9"/>
    <x v="3"/>
    <x v="2"/>
    <x v="0"/>
    <x v="0"/>
    <s v="Road"/>
    <x v="0"/>
    <n v="35.9"/>
    <n v="771"/>
    <n v="4"/>
    <n v="4"/>
    <n v="1"/>
    <n v="0"/>
    <n v="37.549999999999997"/>
    <n v="0"/>
    <n v="1"/>
  </r>
  <r>
    <s v="SHP-501878"/>
    <d v="2024-10-09T00:00:00"/>
    <x v="0"/>
    <s v="Q4"/>
    <x v="9"/>
    <x v="1"/>
    <x v="1"/>
    <x v="0"/>
    <x v="0"/>
    <s v="Road"/>
    <x v="1"/>
    <n v="4.5999999999999996"/>
    <n v="1160"/>
    <n v="4"/>
    <n v="3"/>
    <n v="1"/>
    <n v="0"/>
    <n v="26"/>
    <n v="0"/>
    <n v="1"/>
  </r>
  <r>
    <s v="SHP-501879"/>
    <d v="2024-10-09T00:00:00"/>
    <x v="0"/>
    <s v="Q4"/>
    <x v="9"/>
    <x v="4"/>
    <x v="0"/>
    <x v="2"/>
    <x v="1"/>
    <s v="Road"/>
    <x v="0"/>
    <n v="161.1"/>
    <n v="953"/>
    <n v="7"/>
    <n v="7"/>
    <n v="1"/>
    <n v="0"/>
    <n v="60.07"/>
    <n v="0"/>
    <n v="1"/>
  </r>
  <r>
    <s v="SHP-501880"/>
    <d v="2024-10-09T00:00:00"/>
    <x v="0"/>
    <s v="Q4"/>
    <x v="9"/>
    <x v="2"/>
    <x v="0"/>
    <x v="0"/>
    <x v="0"/>
    <s v="Road"/>
    <x v="1"/>
    <n v="6.4"/>
    <n v="1094"/>
    <n v="4"/>
    <n v="4"/>
    <n v="1"/>
    <n v="0"/>
    <n v="20.440000000000001"/>
    <n v="0"/>
    <n v="1"/>
  </r>
  <r>
    <s v="SHP-501881"/>
    <d v="2024-10-09T00:00:00"/>
    <x v="0"/>
    <s v="Q4"/>
    <x v="9"/>
    <x v="4"/>
    <x v="0"/>
    <x v="4"/>
    <x v="1"/>
    <s v="Road"/>
    <x v="1"/>
    <n v="3.9"/>
    <n v="1485"/>
    <n v="7"/>
    <n v="7"/>
    <n v="1"/>
    <n v="0"/>
    <n v="18.7"/>
    <n v="0"/>
    <n v="1"/>
  </r>
  <r>
    <s v="SHP-501882"/>
    <d v="2024-10-09T00:00:00"/>
    <x v="0"/>
    <s v="Q4"/>
    <x v="9"/>
    <x v="2"/>
    <x v="1"/>
    <x v="1"/>
    <x v="1"/>
    <s v="Road"/>
    <x v="1"/>
    <n v="5.5"/>
    <n v="292"/>
    <n v="5"/>
    <n v="5"/>
    <n v="1"/>
    <n v="0"/>
    <n v="9.14"/>
    <n v="1"/>
    <n v="1"/>
  </r>
  <r>
    <s v="SHP-501883"/>
    <d v="2024-10-10T00:00:00"/>
    <x v="0"/>
    <s v="Q4"/>
    <x v="9"/>
    <x v="4"/>
    <x v="2"/>
    <x v="4"/>
    <x v="0"/>
    <s v="Road"/>
    <x v="1"/>
    <n v="1.2"/>
    <n v="1200"/>
    <n v="5"/>
    <n v="5"/>
    <n v="1"/>
    <n v="0"/>
    <n v="22.06"/>
    <n v="0"/>
    <n v="1"/>
  </r>
  <r>
    <s v="SHP-501884"/>
    <d v="2024-10-10T00:00:00"/>
    <x v="0"/>
    <s v="Q4"/>
    <x v="9"/>
    <x v="3"/>
    <x v="0"/>
    <x v="1"/>
    <x v="0"/>
    <s v="Road"/>
    <x v="1"/>
    <n v="2.4"/>
    <n v="274"/>
    <n v="3"/>
    <n v="3"/>
    <n v="1"/>
    <n v="0"/>
    <n v="12.3"/>
    <n v="0"/>
    <n v="1"/>
  </r>
  <r>
    <s v="SHP-501885"/>
    <d v="2024-10-10T00:00:00"/>
    <x v="0"/>
    <s v="Q4"/>
    <x v="9"/>
    <x v="1"/>
    <x v="2"/>
    <x v="1"/>
    <x v="0"/>
    <s v="Road"/>
    <x v="1"/>
    <n v="1.8"/>
    <n v="302"/>
    <n v="3"/>
    <n v="2"/>
    <n v="1"/>
    <n v="0"/>
    <n v="12.28"/>
    <n v="0"/>
    <n v="1"/>
  </r>
  <r>
    <s v="SHP-501886"/>
    <d v="2024-10-10T00:00:00"/>
    <x v="0"/>
    <s v="Q4"/>
    <x v="9"/>
    <x v="3"/>
    <x v="2"/>
    <x v="4"/>
    <x v="0"/>
    <s v="Road"/>
    <x v="1"/>
    <n v="9.5"/>
    <n v="1106"/>
    <n v="5"/>
    <n v="4"/>
    <n v="1"/>
    <n v="0"/>
    <n v="30.95"/>
    <n v="0"/>
    <n v="1"/>
  </r>
  <r>
    <s v="SHP-501887"/>
    <d v="2024-10-10T00:00:00"/>
    <x v="0"/>
    <s v="Q4"/>
    <x v="9"/>
    <x v="4"/>
    <x v="2"/>
    <x v="1"/>
    <x v="0"/>
    <s v="Road"/>
    <x v="1"/>
    <n v="4.9000000000000004"/>
    <n v="230"/>
    <n v="3"/>
    <n v="5"/>
    <n v="0"/>
    <n v="2"/>
    <n v="12.86"/>
    <n v="0"/>
    <n v="1"/>
  </r>
  <r>
    <s v="SHP-501888"/>
    <d v="2024-10-10T00:00:00"/>
    <x v="0"/>
    <s v="Q4"/>
    <x v="9"/>
    <x v="4"/>
    <x v="1"/>
    <x v="3"/>
    <x v="0"/>
    <s v="Road"/>
    <x v="1"/>
    <n v="2.2999999999999998"/>
    <n v="476"/>
    <n v="4"/>
    <n v="6"/>
    <n v="0"/>
    <n v="2"/>
    <n v="12.11"/>
    <n v="0"/>
    <n v="1"/>
  </r>
  <r>
    <s v="SHP-501889"/>
    <d v="2024-10-11T00:00:00"/>
    <x v="0"/>
    <s v="Q4"/>
    <x v="9"/>
    <x v="4"/>
    <x v="0"/>
    <x v="0"/>
    <x v="1"/>
    <s v="Road"/>
    <x v="1"/>
    <n v="11.1"/>
    <n v="999"/>
    <n v="6"/>
    <n v="6"/>
    <n v="1"/>
    <n v="0"/>
    <n v="17.95"/>
    <n v="0"/>
    <n v="1"/>
  </r>
  <r>
    <s v="SHP-501890"/>
    <d v="2024-10-11T00:00:00"/>
    <x v="0"/>
    <s v="Q4"/>
    <x v="9"/>
    <x v="3"/>
    <x v="2"/>
    <x v="1"/>
    <x v="2"/>
    <s v="Road"/>
    <x v="1"/>
    <n v="8.6999999999999993"/>
    <n v="225"/>
    <n v="1"/>
    <n v="1"/>
    <n v="1"/>
    <n v="0"/>
    <n v="33.26"/>
    <n v="0"/>
    <n v="1"/>
  </r>
  <r>
    <s v="SHP-501891"/>
    <d v="2024-10-11T00:00:00"/>
    <x v="0"/>
    <s v="Q4"/>
    <x v="9"/>
    <x v="4"/>
    <x v="1"/>
    <x v="3"/>
    <x v="0"/>
    <s v="Road"/>
    <x v="0"/>
    <n v="289.5"/>
    <n v="643"/>
    <n v="4"/>
    <n v="4"/>
    <n v="1"/>
    <n v="0"/>
    <n v="118.4"/>
    <n v="0"/>
    <n v="1"/>
  </r>
  <r>
    <s v="SHP-501892"/>
    <d v="2024-10-11T00:00:00"/>
    <x v="0"/>
    <s v="Q4"/>
    <x v="9"/>
    <x v="2"/>
    <x v="2"/>
    <x v="3"/>
    <x v="0"/>
    <s v="Road"/>
    <x v="1"/>
    <n v="2.7"/>
    <n v="483"/>
    <n v="4"/>
    <n v="4"/>
    <n v="1"/>
    <n v="0"/>
    <n v="11.27"/>
    <n v="0"/>
    <n v="1"/>
  </r>
  <r>
    <s v="SHP-501893"/>
    <d v="2024-10-11T00:00:00"/>
    <x v="0"/>
    <s v="Q4"/>
    <x v="9"/>
    <x v="0"/>
    <x v="0"/>
    <x v="2"/>
    <x v="0"/>
    <s v="Road"/>
    <x v="1"/>
    <n v="4.7"/>
    <n v="1036"/>
    <n v="5"/>
    <n v="5"/>
    <n v="1"/>
    <n v="0"/>
    <n v="20.37"/>
    <n v="0"/>
    <n v="1"/>
  </r>
  <r>
    <s v="SHP-501894"/>
    <d v="2024-10-11T00:00:00"/>
    <x v="0"/>
    <s v="Q4"/>
    <x v="9"/>
    <x v="0"/>
    <x v="2"/>
    <x v="2"/>
    <x v="0"/>
    <s v="Road"/>
    <x v="1"/>
    <n v="8.1"/>
    <n v="1047"/>
    <n v="5"/>
    <n v="4"/>
    <n v="1"/>
    <n v="0"/>
    <n v="19.809999999999999"/>
    <n v="0"/>
    <n v="1"/>
  </r>
  <r>
    <s v="SHP-501895"/>
    <d v="2024-10-11T00:00:00"/>
    <x v="0"/>
    <s v="Q4"/>
    <x v="9"/>
    <x v="1"/>
    <x v="2"/>
    <x v="4"/>
    <x v="0"/>
    <s v="Road"/>
    <x v="0"/>
    <n v="273.2"/>
    <n v="1310"/>
    <n v="5"/>
    <n v="5"/>
    <n v="1"/>
    <n v="0"/>
    <n v="133.27000000000001"/>
    <n v="0"/>
    <n v="1"/>
  </r>
  <r>
    <s v="SHP-501896"/>
    <d v="2024-10-11T00:00:00"/>
    <x v="0"/>
    <s v="Q4"/>
    <x v="9"/>
    <x v="2"/>
    <x v="2"/>
    <x v="1"/>
    <x v="1"/>
    <s v="Road"/>
    <x v="0"/>
    <n v="124"/>
    <n v="222"/>
    <n v="5"/>
    <n v="5"/>
    <n v="1"/>
    <n v="0"/>
    <n v="43.77"/>
    <n v="0"/>
    <n v="1"/>
  </r>
  <r>
    <s v="SHP-501897"/>
    <d v="2024-10-11T00:00:00"/>
    <x v="0"/>
    <s v="Q4"/>
    <x v="9"/>
    <x v="0"/>
    <x v="0"/>
    <x v="2"/>
    <x v="0"/>
    <s v="Road"/>
    <x v="0"/>
    <n v="112.9"/>
    <n v="1032"/>
    <n v="5"/>
    <n v="4"/>
    <n v="1"/>
    <n v="0"/>
    <n v="64.28"/>
    <n v="0"/>
    <n v="1"/>
  </r>
  <r>
    <s v="SHP-501898"/>
    <d v="2024-10-11T00:00:00"/>
    <x v="0"/>
    <s v="Q4"/>
    <x v="9"/>
    <x v="2"/>
    <x v="1"/>
    <x v="0"/>
    <x v="0"/>
    <s v="Road"/>
    <x v="1"/>
    <n v="0.7"/>
    <n v="968"/>
    <n v="4"/>
    <n v="3"/>
    <n v="1"/>
    <n v="0"/>
    <n v="16.420000000000002"/>
    <n v="0"/>
    <n v="1"/>
  </r>
  <r>
    <s v="SHP-501899"/>
    <d v="2024-10-11T00:00:00"/>
    <x v="0"/>
    <s v="Q4"/>
    <x v="9"/>
    <x v="4"/>
    <x v="1"/>
    <x v="2"/>
    <x v="0"/>
    <s v="Road"/>
    <x v="1"/>
    <n v="3"/>
    <n v="1102"/>
    <n v="5"/>
    <n v="4"/>
    <n v="1"/>
    <n v="0"/>
    <n v="22.24"/>
    <n v="0"/>
    <n v="1"/>
  </r>
  <r>
    <s v="SHP-501900"/>
    <d v="2024-10-11T00:00:00"/>
    <x v="0"/>
    <s v="Q4"/>
    <x v="9"/>
    <x v="2"/>
    <x v="1"/>
    <x v="4"/>
    <x v="0"/>
    <s v="Road"/>
    <x v="0"/>
    <n v="49.5"/>
    <n v="1198"/>
    <n v="5"/>
    <n v="8"/>
    <n v="0"/>
    <n v="3"/>
    <n v="37.22"/>
    <n v="0"/>
    <n v="1"/>
  </r>
  <r>
    <s v="SHP-501901"/>
    <d v="2024-10-11T00:00:00"/>
    <x v="0"/>
    <s v="Q4"/>
    <x v="9"/>
    <x v="4"/>
    <x v="1"/>
    <x v="0"/>
    <x v="0"/>
    <s v="Road"/>
    <x v="1"/>
    <n v="2.6"/>
    <n v="832"/>
    <n v="4"/>
    <n v="6"/>
    <n v="0"/>
    <n v="2"/>
    <n v="18.87"/>
    <n v="0"/>
    <n v="1"/>
  </r>
  <r>
    <s v="SHP-501902"/>
    <d v="2024-10-11T00:00:00"/>
    <x v="0"/>
    <s v="Q4"/>
    <x v="9"/>
    <x v="3"/>
    <x v="2"/>
    <x v="0"/>
    <x v="0"/>
    <s v="Road"/>
    <x v="0"/>
    <n v="120.7"/>
    <n v="1109"/>
    <n v="4"/>
    <n v="4"/>
    <n v="1"/>
    <n v="0"/>
    <n v="80.89"/>
    <n v="0"/>
    <n v="1"/>
  </r>
  <r>
    <s v="SHP-501903"/>
    <d v="2024-10-11T00:00:00"/>
    <x v="0"/>
    <s v="Q4"/>
    <x v="9"/>
    <x v="3"/>
    <x v="2"/>
    <x v="1"/>
    <x v="1"/>
    <s v="Road"/>
    <x v="0"/>
    <n v="47.1"/>
    <n v="235"/>
    <n v="5"/>
    <n v="5"/>
    <n v="1"/>
    <n v="0"/>
    <n v="25.27"/>
    <n v="0"/>
    <n v="1"/>
  </r>
  <r>
    <s v="SHP-501904"/>
    <d v="2024-10-12T00:00:00"/>
    <x v="0"/>
    <s v="Q4"/>
    <x v="9"/>
    <x v="3"/>
    <x v="0"/>
    <x v="3"/>
    <x v="0"/>
    <s v="Road"/>
    <x v="0"/>
    <n v="47.3"/>
    <n v="531"/>
    <n v="4"/>
    <n v="4"/>
    <n v="1"/>
    <n v="0"/>
    <n v="42.88"/>
    <n v="0"/>
    <n v="1"/>
  </r>
  <r>
    <s v="SHP-501905"/>
    <d v="2024-10-12T00:00:00"/>
    <x v="0"/>
    <s v="Q4"/>
    <x v="9"/>
    <x v="2"/>
    <x v="1"/>
    <x v="0"/>
    <x v="0"/>
    <s v="Road"/>
    <x v="1"/>
    <n v="9.6"/>
    <n v="708"/>
    <n v="4"/>
    <n v="4"/>
    <n v="1"/>
    <n v="0"/>
    <n v="17.2"/>
    <n v="0"/>
    <n v="1"/>
  </r>
  <r>
    <s v="SHP-501906"/>
    <d v="2024-10-12T00:00:00"/>
    <x v="0"/>
    <s v="Q4"/>
    <x v="9"/>
    <x v="3"/>
    <x v="2"/>
    <x v="1"/>
    <x v="1"/>
    <s v="Road"/>
    <x v="1"/>
    <n v="22.8"/>
    <n v="219"/>
    <n v="5"/>
    <n v="5"/>
    <n v="1"/>
    <n v="0"/>
    <n v="18.260000000000002"/>
    <n v="0"/>
    <n v="1"/>
  </r>
  <r>
    <s v="SHP-501907"/>
    <d v="2024-10-12T00:00:00"/>
    <x v="0"/>
    <s v="Q4"/>
    <x v="9"/>
    <x v="2"/>
    <x v="1"/>
    <x v="0"/>
    <x v="1"/>
    <s v="Road"/>
    <x v="1"/>
    <n v="13.4"/>
    <n v="920"/>
    <n v="6"/>
    <n v="6"/>
    <n v="1"/>
    <n v="0"/>
    <n v="17.510000000000002"/>
    <n v="0"/>
    <n v="1"/>
  </r>
  <r>
    <s v="SHP-501908"/>
    <d v="2024-10-12T00:00:00"/>
    <x v="0"/>
    <s v="Q4"/>
    <x v="9"/>
    <x v="4"/>
    <x v="1"/>
    <x v="1"/>
    <x v="2"/>
    <s v="Road"/>
    <x v="0"/>
    <n v="113.7"/>
    <n v="244"/>
    <n v="1"/>
    <n v="1"/>
    <n v="1"/>
    <n v="0"/>
    <n v="115.12"/>
    <n v="0"/>
    <n v="1"/>
  </r>
  <r>
    <s v="SHP-501909"/>
    <d v="2024-10-13T00:00:00"/>
    <x v="0"/>
    <s v="Q4"/>
    <x v="9"/>
    <x v="3"/>
    <x v="2"/>
    <x v="3"/>
    <x v="1"/>
    <s v="Road"/>
    <x v="1"/>
    <n v="2.7"/>
    <n v="610"/>
    <n v="6"/>
    <n v="6"/>
    <n v="1"/>
    <n v="0"/>
    <n v="12.63"/>
    <n v="0"/>
    <n v="1"/>
  </r>
  <r>
    <s v="SHP-501910"/>
    <d v="2024-10-13T00:00:00"/>
    <x v="0"/>
    <s v="Q4"/>
    <x v="9"/>
    <x v="4"/>
    <x v="0"/>
    <x v="1"/>
    <x v="0"/>
    <s v="Road"/>
    <x v="1"/>
    <n v="9.1"/>
    <n v="229"/>
    <n v="3"/>
    <n v="3"/>
    <n v="1"/>
    <n v="0"/>
    <n v="14.99"/>
    <n v="0"/>
    <n v="1"/>
  </r>
  <r>
    <s v="SHP-501911"/>
    <d v="2024-10-13T00:00:00"/>
    <x v="0"/>
    <s v="Q4"/>
    <x v="9"/>
    <x v="3"/>
    <x v="2"/>
    <x v="4"/>
    <x v="0"/>
    <s v="Road"/>
    <x v="1"/>
    <n v="4.8"/>
    <n v="1375"/>
    <n v="5"/>
    <n v="5"/>
    <n v="1"/>
    <n v="0"/>
    <n v="27.39"/>
    <n v="0"/>
    <n v="1"/>
  </r>
  <r>
    <s v="SHP-501912"/>
    <d v="2024-10-13T00:00:00"/>
    <x v="0"/>
    <s v="Q4"/>
    <x v="9"/>
    <x v="2"/>
    <x v="0"/>
    <x v="0"/>
    <x v="2"/>
    <s v="Air"/>
    <x v="0"/>
    <n v="38.799999999999997"/>
    <n v="764"/>
    <n v="2"/>
    <n v="2"/>
    <n v="1"/>
    <n v="0"/>
    <n v="96.65"/>
    <n v="0"/>
    <n v="1"/>
  </r>
  <r>
    <s v="SHP-501913"/>
    <d v="2024-10-13T00:00:00"/>
    <x v="0"/>
    <s v="Q4"/>
    <x v="9"/>
    <x v="0"/>
    <x v="2"/>
    <x v="1"/>
    <x v="2"/>
    <s v="Road"/>
    <x v="1"/>
    <n v="3.4"/>
    <n v="250"/>
    <n v="1"/>
    <n v="1"/>
    <n v="1"/>
    <n v="0"/>
    <n v="22.48"/>
    <n v="0"/>
    <n v="1"/>
  </r>
  <r>
    <s v="SHP-501914"/>
    <d v="2024-10-14T00:00:00"/>
    <x v="0"/>
    <s v="Q4"/>
    <x v="9"/>
    <x v="4"/>
    <x v="0"/>
    <x v="3"/>
    <x v="0"/>
    <s v="Road"/>
    <x v="1"/>
    <n v="6.5"/>
    <n v="419"/>
    <n v="4"/>
    <n v="3"/>
    <n v="1"/>
    <n v="0"/>
    <n v="15.37"/>
    <n v="0"/>
    <n v="1"/>
  </r>
  <r>
    <s v="SHP-501915"/>
    <d v="2024-10-14T00:00:00"/>
    <x v="0"/>
    <s v="Q4"/>
    <x v="9"/>
    <x v="1"/>
    <x v="2"/>
    <x v="3"/>
    <x v="0"/>
    <s v="Road"/>
    <x v="0"/>
    <n v="199"/>
    <n v="511"/>
    <n v="4"/>
    <n v="4"/>
    <n v="1"/>
    <n v="0"/>
    <n v="105.21"/>
    <n v="0"/>
    <n v="1"/>
  </r>
  <r>
    <s v="SHP-501916"/>
    <d v="2024-10-14T00:00:00"/>
    <x v="0"/>
    <s v="Q4"/>
    <x v="9"/>
    <x v="3"/>
    <x v="1"/>
    <x v="3"/>
    <x v="1"/>
    <s v="Road"/>
    <x v="1"/>
    <n v="11.3"/>
    <n v="311"/>
    <n v="6"/>
    <n v="6"/>
    <n v="1"/>
    <n v="0"/>
    <n v="12.82"/>
    <n v="0"/>
    <n v="1"/>
  </r>
  <r>
    <s v="SHP-501917"/>
    <d v="2024-10-14T00:00:00"/>
    <x v="0"/>
    <s v="Q4"/>
    <x v="9"/>
    <x v="4"/>
    <x v="1"/>
    <x v="0"/>
    <x v="0"/>
    <s v="Road"/>
    <x v="1"/>
    <n v="8.6"/>
    <n v="1064"/>
    <n v="4"/>
    <n v="4"/>
    <n v="1"/>
    <n v="0"/>
    <n v="24.43"/>
    <n v="0"/>
    <n v="1"/>
  </r>
  <r>
    <s v="SHP-501918"/>
    <d v="2024-10-14T00:00:00"/>
    <x v="0"/>
    <s v="Q4"/>
    <x v="9"/>
    <x v="0"/>
    <x v="1"/>
    <x v="3"/>
    <x v="0"/>
    <s v="Road"/>
    <x v="0"/>
    <n v="63.3"/>
    <n v="368"/>
    <n v="4"/>
    <n v="4"/>
    <n v="1"/>
    <n v="0"/>
    <n v="39.4"/>
    <n v="0"/>
    <n v="1"/>
  </r>
  <r>
    <s v="SHP-501919"/>
    <d v="2024-10-14T00:00:00"/>
    <x v="0"/>
    <s v="Q4"/>
    <x v="9"/>
    <x v="1"/>
    <x v="2"/>
    <x v="2"/>
    <x v="0"/>
    <s v="Road"/>
    <x v="1"/>
    <n v="6.1"/>
    <n v="1301"/>
    <n v="5"/>
    <n v="5"/>
    <n v="1"/>
    <n v="0"/>
    <n v="27.28"/>
    <n v="0"/>
    <n v="1"/>
  </r>
  <r>
    <s v="SHP-501920"/>
    <d v="2024-10-14T00:00:00"/>
    <x v="0"/>
    <s v="Q4"/>
    <x v="9"/>
    <x v="0"/>
    <x v="1"/>
    <x v="4"/>
    <x v="2"/>
    <s v="Air"/>
    <x v="0"/>
    <n v="195.9"/>
    <n v="1089"/>
    <n v="3"/>
    <n v="2"/>
    <n v="1"/>
    <n v="0"/>
    <n v="326.45"/>
    <n v="0"/>
    <n v="1"/>
  </r>
  <r>
    <s v="SHP-501921"/>
    <d v="2024-10-14T00:00:00"/>
    <x v="0"/>
    <s v="Q4"/>
    <x v="9"/>
    <x v="4"/>
    <x v="2"/>
    <x v="3"/>
    <x v="1"/>
    <s v="Road"/>
    <x v="0"/>
    <n v="76.8"/>
    <n v="543"/>
    <n v="6"/>
    <n v="8"/>
    <n v="0"/>
    <n v="2"/>
    <n v="34.61"/>
    <n v="0"/>
    <n v="1"/>
  </r>
  <r>
    <s v="SHP-501922"/>
    <d v="2024-10-14T00:00:00"/>
    <x v="0"/>
    <s v="Q4"/>
    <x v="9"/>
    <x v="4"/>
    <x v="2"/>
    <x v="4"/>
    <x v="1"/>
    <s v="Road"/>
    <x v="0"/>
    <n v="75.599999999999994"/>
    <n v="933"/>
    <n v="7"/>
    <n v="7"/>
    <n v="1"/>
    <n v="0"/>
    <n v="39.909999999999997"/>
    <n v="0"/>
    <n v="1"/>
  </r>
  <r>
    <s v="SHP-501923"/>
    <d v="2024-10-15T00:00:00"/>
    <x v="0"/>
    <s v="Q4"/>
    <x v="9"/>
    <x v="1"/>
    <x v="1"/>
    <x v="0"/>
    <x v="0"/>
    <s v="Road"/>
    <x v="1"/>
    <n v="2.4"/>
    <n v="999"/>
    <n v="4"/>
    <n v="3"/>
    <n v="1"/>
    <n v="0"/>
    <n v="21.02"/>
    <n v="0"/>
    <n v="1"/>
  </r>
  <r>
    <s v="SHP-501924"/>
    <d v="2024-10-15T00:00:00"/>
    <x v="0"/>
    <s v="Q4"/>
    <x v="9"/>
    <x v="0"/>
    <x v="2"/>
    <x v="1"/>
    <x v="1"/>
    <s v="Road"/>
    <x v="1"/>
    <n v="12.7"/>
    <n v="234"/>
    <n v="5"/>
    <n v="4"/>
    <n v="1"/>
    <n v="0"/>
    <n v="11.03"/>
    <n v="0"/>
    <n v="1"/>
  </r>
  <r>
    <s v="SHP-501925"/>
    <d v="2024-10-15T00:00:00"/>
    <x v="0"/>
    <s v="Q4"/>
    <x v="9"/>
    <x v="0"/>
    <x v="0"/>
    <x v="0"/>
    <x v="1"/>
    <s v="Road"/>
    <x v="1"/>
    <n v="1.8"/>
    <n v="1159"/>
    <n v="6"/>
    <n v="7"/>
    <n v="0"/>
    <n v="1"/>
    <n v="13.69"/>
    <n v="0"/>
    <n v="1"/>
  </r>
  <r>
    <s v="SHP-501926"/>
    <d v="2024-10-15T00:00:00"/>
    <x v="0"/>
    <s v="Q4"/>
    <x v="9"/>
    <x v="0"/>
    <x v="1"/>
    <x v="4"/>
    <x v="2"/>
    <s v="Air"/>
    <x v="1"/>
    <n v="5.3"/>
    <n v="796"/>
    <n v="3"/>
    <n v="3"/>
    <n v="1"/>
    <n v="0"/>
    <n v="56.07"/>
    <n v="0"/>
    <n v="1"/>
  </r>
  <r>
    <s v="SHP-501927"/>
    <d v="2024-10-15T00:00:00"/>
    <x v="0"/>
    <s v="Q4"/>
    <x v="9"/>
    <x v="4"/>
    <x v="1"/>
    <x v="0"/>
    <x v="0"/>
    <s v="Road"/>
    <x v="1"/>
    <n v="4.0999999999999996"/>
    <n v="688"/>
    <n v="4"/>
    <n v="4"/>
    <n v="1"/>
    <n v="0"/>
    <n v="16.329999999999998"/>
    <n v="0"/>
    <n v="1"/>
  </r>
  <r>
    <s v="SHP-501928"/>
    <d v="2024-10-15T00:00:00"/>
    <x v="0"/>
    <s v="Q4"/>
    <x v="9"/>
    <x v="2"/>
    <x v="0"/>
    <x v="1"/>
    <x v="1"/>
    <s v="Road"/>
    <x v="0"/>
    <n v="281.2"/>
    <n v="200"/>
    <n v="5"/>
    <n v="5"/>
    <n v="1"/>
    <n v="0"/>
    <n v="75.150000000000006"/>
    <n v="0"/>
    <n v="1"/>
  </r>
  <r>
    <s v="SHP-501929"/>
    <d v="2024-10-15T00:00:00"/>
    <x v="0"/>
    <s v="Q4"/>
    <x v="9"/>
    <x v="2"/>
    <x v="2"/>
    <x v="0"/>
    <x v="0"/>
    <s v="Road"/>
    <x v="1"/>
    <n v="11.1"/>
    <n v="957"/>
    <n v="4"/>
    <n v="3"/>
    <n v="1"/>
    <n v="0"/>
    <n v="20.399999999999999"/>
    <n v="0"/>
    <n v="1"/>
  </r>
  <r>
    <s v="SHP-501930"/>
    <d v="2024-10-15T00:00:00"/>
    <x v="0"/>
    <s v="Q4"/>
    <x v="9"/>
    <x v="3"/>
    <x v="1"/>
    <x v="0"/>
    <x v="1"/>
    <s v="Road"/>
    <x v="1"/>
    <n v="10.9"/>
    <n v="952"/>
    <n v="6"/>
    <n v="6"/>
    <n v="1"/>
    <n v="0"/>
    <n v="19"/>
    <n v="0"/>
    <n v="1"/>
  </r>
  <r>
    <s v="SHP-501931"/>
    <d v="2024-10-16T00:00:00"/>
    <x v="0"/>
    <s v="Q4"/>
    <x v="9"/>
    <x v="1"/>
    <x v="0"/>
    <x v="1"/>
    <x v="2"/>
    <s v="Road"/>
    <x v="1"/>
    <n v="1.4"/>
    <n v="267"/>
    <n v="1"/>
    <n v="1"/>
    <n v="1"/>
    <n v="0"/>
    <n v="19.239999999999998"/>
    <n v="0"/>
    <n v="1"/>
  </r>
  <r>
    <s v="SHP-501932"/>
    <d v="2024-10-16T00:00:00"/>
    <x v="0"/>
    <s v="Q4"/>
    <x v="9"/>
    <x v="3"/>
    <x v="2"/>
    <x v="3"/>
    <x v="0"/>
    <s v="Road"/>
    <x v="1"/>
    <n v="13.9"/>
    <n v="379"/>
    <n v="4"/>
    <n v="4"/>
    <n v="1"/>
    <n v="0"/>
    <n v="20.82"/>
    <n v="0"/>
    <n v="1"/>
  </r>
  <r>
    <s v="SHP-501933"/>
    <d v="2024-10-16T00:00:00"/>
    <x v="0"/>
    <s v="Q4"/>
    <x v="9"/>
    <x v="1"/>
    <x v="2"/>
    <x v="1"/>
    <x v="0"/>
    <s v="Road"/>
    <x v="1"/>
    <n v="6.7"/>
    <n v="238"/>
    <n v="3"/>
    <n v="3"/>
    <n v="1"/>
    <n v="0"/>
    <n v="12.19"/>
    <n v="0"/>
    <n v="1"/>
  </r>
  <r>
    <s v="SHP-501934"/>
    <d v="2024-10-16T00:00:00"/>
    <x v="0"/>
    <s v="Q4"/>
    <x v="9"/>
    <x v="3"/>
    <x v="1"/>
    <x v="1"/>
    <x v="0"/>
    <s v="Road"/>
    <x v="0"/>
    <n v="29.6"/>
    <n v="184"/>
    <n v="3"/>
    <n v="3"/>
    <n v="1"/>
    <n v="0"/>
    <n v="28.13"/>
    <n v="0"/>
    <n v="1"/>
  </r>
  <r>
    <s v="SHP-501935"/>
    <d v="2024-10-16T00:00:00"/>
    <x v="0"/>
    <s v="Q4"/>
    <x v="9"/>
    <x v="4"/>
    <x v="1"/>
    <x v="0"/>
    <x v="2"/>
    <s v="Air"/>
    <x v="1"/>
    <n v="1.7"/>
    <n v="923"/>
    <n v="2"/>
    <n v="1"/>
    <n v="1"/>
    <n v="0"/>
    <n v="53.41"/>
    <n v="0"/>
    <n v="1"/>
  </r>
  <r>
    <s v="SHP-501936"/>
    <d v="2024-10-16T00:00:00"/>
    <x v="0"/>
    <s v="Q4"/>
    <x v="9"/>
    <x v="1"/>
    <x v="0"/>
    <x v="0"/>
    <x v="0"/>
    <s v="Road"/>
    <x v="1"/>
    <n v="11.6"/>
    <n v="870"/>
    <n v="4"/>
    <n v="3"/>
    <n v="1"/>
    <n v="0"/>
    <n v="26.86"/>
    <n v="0"/>
    <n v="1"/>
  </r>
  <r>
    <s v="SHP-501937"/>
    <d v="2024-10-16T00:00:00"/>
    <x v="0"/>
    <s v="Q4"/>
    <x v="9"/>
    <x v="3"/>
    <x v="2"/>
    <x v="1"/>
    <x v="0"/>
    <s v="Road"/>
    <x v="0"/>
    <n v="75.3"/>
    <n v="244"/>
    <n v="3"/>
    <n v="3"/>
    <n v="1"/>
    <n v="0"/>
    <n v="50.54"/>
    <n v="0"/>
    <n v="1"/>
  </r>
  <r>
    <s v="SHP-501938"/>
    <d v="2024-10-16T00:00:00"/>
    <x v="0"/>
    <s v="Q4"/>
    <x v="9"/>
    <x v="0"/>
    <x v="0"/>
    <x v="4"/>
    <x v="2"/>
    <s v="Air"/>
    <x v="1"/>
    <n v="2.8"/>
    <n v="849"/>
    <n v="3"/>
    <n v="3"/>
    <n v="1"/>
    <n v="0"/>
    <n v="55.71"/>
    <n v="0"/>
    <n v="1"/>
  </r>
  <r>
    <s v="SHP-501939"/>
    <d v="2024-10-16T00:00:00"/>
    <x v="0"/>
    <s v="Q4"/>
    <x v="9"/>
    <x v="1"/>
    <x v="1"/>
    <x v="3"/>
    <x v="0"/>
    <s v="Road"/>
    <x v="1"/>
    <n v="7.4"/>
    <n v="437"/>
    <n v="4"/>
    <n v="4"/>
    <n v="1"/>
    <n v="0"/>
    <n v="18.47"/>
    <n v="0"/>
    <n v="1"/>
  </r>
  <r>
    <s v="SHP-501940"/>
    <d v="2024-10-16T00:00:00"/>
    <x v="0"/>
    <s v="Q4"/>
    <x v="9"/>
    <x v="3"/>
    <x v="2"/>
    <x v="0"/>
    <x v="0"/>
    <s v="Road"/>
    <x v="0"/>
    <n v="94.5"/>
    <n v="541"/>
    <n v="4"/>
    <n v="4"/>
    <n v="1"/>
    <n v="0"/>
    <n v="55.19"/>
    <n v="0"/>
    <n v="1"/>
  </r>
  <r>
    <s v="SHP-501941"/>
    <d v="2024-10-16T00:00:00"/>
    <x v="0"/>
    <s v="Q4"/>
    <x v="9"/>
    <x v="2"/>
    <x v="1"/>
    <x v="1"/>
    <x v="1"/>
    <s v="Road"/>
    <x v="1"/>
    <n v="2.2000000000000002"/>
    <n v="265"/>
    <n v="5"/>
    <n v="6"/>
    <n v="0"/>
    <n v="1"/>
    <n v="6.69"/>
    <n v="0"/>
    <n v="1"/>
  </r>
  <r>
    <s v="SHP-501942"/>
    <d v="2024-10-17T00:00:00"/>
    <x v="0"/>
    <s v="Q4"/>
    <x v="9"/>
    <x v="3"/>
    <x v="2"/>
    <x v="1"/>
    <x v="1"/>
    <s v="Road"/>
    <x v="1"/>
    <n v="8.1"/>
    <n v="206"/>
    <n v="5"/>
    <n v="5"/>
    <n v="1"/>
    <n v="0"/>
    <n v="11.18"/>
    <n v="0"/>
    <n v="1"/>
  </r>
  <r>
    <s v="SHP-501943"/>
    <d v="2024-10-17T00:00:00"/>
    <x v="0"/>
    <s v="Q4"/>
    <x v="9"/>
    <x v="3"/>
    <x v="2"/>
    <x v="4"/>
    <x v="2"/>
    <s v="Air"/>
    <x v="1"/>
    <n v="2.9"/>
    <n v="1155"/>
    <n v="3"/>
    <n v="3"/>
    <n v="1"/>
    <n v="0"/>
    <n v="74.17"/>
    <n v="0"/>
    <n v="1"/>
  </r>
  <r>
    <s v="SHP-501944"/>
    <d v="2024-10-17T00:00:00"/>
    <x v="0"/>
    <s v="Q4"/>
    <x v="9"/>
    <x v="1"/>
    <x v="1"/>
    <x v="1"/>
    <x v="1"/>
    <s v="Road"/>
    <x v="1"/>
    <n v="2.7"/>
    <n v="336"/>
    <n v="5"/>
    <n v="4"/>
    <n v="1"/>
    <n v="0"/>
    <n v="9.56"/>
    <n v="0"/>
    <n v="1"/>
  </r>
  <r>
    <s v="SHP-501945"/>
    <d v="2024-10-17T00:00:00"/>
    <x v="0"/>
    <s v="Q4"/>
    <x v="9"/>
    <x v="0"/>
    <x v="1"/>
    <x v="1"/>
    <x v="0"/>
    <s v="Road"/>
    <x v="0"/>
    <n v="149.30000000000001"/>
    <n v="263"/>
    <n v="3"/>
    <n v="3"/>
    <n v="1"/>
    <n v="0"/>
    <n v="65.73"/>
    <n v="0"/>
    <n v="1"/>
  </r>
  <r>
    <s v="SHP-501946"/>
    <d v="2024-10-17T00:00:00"/>
    <x v="0"/>
    <s v="Q4"/>
    <x v="9"/>
    <x v="0"/>
    <x v="1"/>
    <x v="2"/>
    <x v="2"/>
    <s v="Air"/>
    <x v="0"/>
    <n v="54.5"/>
    <n v="1473"/>
    <n v="3"/>
    <n v="3"/>
    <n v="1"/>
    <n v="0"/>
    <n v="136.72999999999999"/>
    <n v="0"/>
    <n v="1"/>
  </r>
  <r>
    <s v="SHP-501947"/>
    <d v="2024-10-17T00:00:00"/>
    <x v="0"/>
    <s v="Q4"/>
    <x v="9"/>
    <x v="1"/>
    <x v="0"/>
    <x v="4"/>
    <x v="1"/>
    <s v="Road"/>
    <x v="1"/>
    <n v="7.9"/>
    <n v="745"/>
    <n v="7"/>
    <n v="7"/>
    <n v="1"/>
    <n v="0"/>
    <n v="15.66"/>
    <n v="0"/>
    <n v="1"/>
  </r>
  <r>
    <s v="SHP-501948"/>
    <d v="2024-10-18T00:00:00"/>
    <x v="0"/>
    <s v="Q4"/>
    <x v="9"/>
    <x v="2"/>
    <x v="1"/>
    <x v="1"/>
    <x v="1"/>
    <s v="Road"/>
    <x v="0"/>
    <n v="14.6"/>
    <n v="205"/>
    <n v="5"/>
    <n v="5"/>
    <n v="1"/>
    <n v="0"/>
    <n v="10.5"/>
    <n v="0"/>
    <n v="1"/>
  </r>
  <r>
    <s v="SHP-501949"/>
    <d v="2024-10-18T00:00:00"/>
    <x v="0"/>
    <s v="Q4"/>
    <x v="9"/>
    <x v="0"/>
    <x v="0"/>
    <x v="0"/>
    <x v="2"/>
    <s v="Air"/>
    <x v="1"/>
    <n v="3.8"/>
    <n v="868"/>
    <n v="2"/>
    <n v="3"/>
    <n v="0"/>
    <n v="1"/>
    <n v="54.59"/>
    <n v="0"/>
    <n v="1"/>
  </r>
  <r>
    <s v="SHP-501950"/>
    <d v="2024-10-18T00:00:00"/>
    <x v="0"/>
    <s v="Q4"/>
    <x v="9"/>
    <x v="1"/>
    <x v="1"/>
    <x v="3"/>
    <x v="0"/>
    <s v="Road"/>
    <x v="1"/>
    <n v="5.3"/>
    <n v="447"/>
    <n v="4"/>
    <n v="4"/>
    <n v="1"/>
    <n v="0"/>
    <n v="16.170000000000002"/>
    <n v="0"/>
    <n v="1"/>
  </r>
  <r>
    <s v="SHP-501951"/>
    <d v="2024-10-18T00:00:00"/>
    <x v="0"/>
    <s v="Q4"/>
    <x v="9"/>
    <x v="0"/>
    <x v="0"/>
    <x v="1"/>
    <x v="0"/>
    <s v="Road"/>
    <x v="0"/>
    <n v="126.6"/>
    <n v="237"/>
    <n v="3"/>
    <n v="3"/>
    <n v="1"/>
    <n v="0"/>
    <n v="57.45"/>
    <n v="0"/>
    <n v="1"/>
  </r>
  <r>
    <s v="SHP-501952"/>
    <d v="2024-10-18T00:00:00"/>
    <x v="0"/>
    <s v="Q4"/>
    <x v="9"/>
    <x v="4"/>
    <x v="1"/>
    <x v="3"/>
    <x v="2"/>
    <s v="Road"/>
    <x v="1"/>
    <n v="1.8"/>
    <n v="496"/>
    <n v="2"/>
    <n v="1"/>
    <n v="1"/>
    <n v="0"/>
    <n v="24.51"/>
    <n v="0"/>
    <n v="1"/>
  </r>
  <r>
    <s v="SHP-501953"/>
    <d v="2024-10-18T00:00:00"/>
    <x v="0"/>
    <s v="Q4"/>
    <x v="9"/>
    <x v="3"/>
    <x v="1"/>
    <x v="3"/>
    <x v="1"/>
    <s v="Road"/>
    <x v="0"/>
    <n v="45.3"/>
    <n v="483"/>
    <n v="6"/>
    <n v="6"/>
    <n v="1"/>
    <n v="0"/>
    <n v="29.11"/>
    <n v="0"/>
    <n v="1"/>
  </r>
  <r>
    <s v="SHP-501954"/>
    <d v="2024-10-18T00:00:00"/>
    <x v="0"/>
    <s v="Q4"/>
    <x v="9"/>
    <x v="2"/>
    <x v="2"/>
    <x v="3"/>
    <x v="0"/>
    <s v="Road"/>
    <x v="1"/>
    <n v="2.1"/>
    <n v="440"/>
    <n v="4"/>
    <n v="7"/>
    <n v="0"/>
    <n v="3"/>
    <n v="12.08"/>
    <n v="0"/>
    <n v="1"/>
  </r>
  <r>
    <s v="SHP-501955"/>
    <d v="2024-10-18T00:00:00"/>
    <x v="0"/>
    <s v="Q4"/>
    <x v="9"/>
    <x v="2"/>
    <x v="0"/>
    <x v="0"/>
    <x v="1"/>
    <s v="Road"/>
    <x v="1"/>
    <n v="13.6"/>
    <n v="1085"/>
    <n v="6"/>
    <n v="6"/>
    <n v="1"/>
    <n v="0"/>
    <n v="17.440000000000001"/>
    <n v="1"/>
    <n v="1"/>
  </r>
  <r>
    <s v="SHP-501956"/>
    <d v="2024-10-18T00:00:00"/>
    <x v="0"/>
    <s v="Q4"/>
    <x v="9"/>
    <x v="0"/>
    <x v="0"/>
    <x v="1"/>
    <x v="0"/>
    <s v="Road"/>
    <x v="0"/>
    <n v="213.8"/>
    <n v="219"/>
    <n v="3"/>
    <n v="3"/>
    <n v="1"/>
    <n v="0"/>
    <n v="87.61"/>
    <n v="0"/>
    <n v="1"/>
  </r>
  <r>
    <s v="SHP-501957"/>
    <d v="2024-10-18T00:00:00"/>
    <x v="0"/>
    <s v="Q4"/>
    <x v="9"/>
    <x v="4"/>
    <x v="2"/>
    <x v="3"/>
    <x v="2"/>
    <s v="Road"/>
    <x v="1"/>
    <n v="8.4"/>
    <n v="363"/>
    <n v="2"/>
    <n v="2"/>
    <n v="1"/>
    <n v="0"/>
    <n v="31.8"/>
    <n v="0"/>
    <n v="1"/>
  </r>
  <r>
    <s v="SHP-501958"/>
    <d v="2024-10-18T00:00:00"/>
    <x v="0"/>
    <s v="Q4"/>
    <x v="9"/>
    <x v="4"/>
    <x v="1"/>
    <x v="2"/>
    <x v="0"/>
    <s v="Road"/>
    <x v="1"/>
    <n v="3.5"/>
    <n v="718"/>
    <n v="5"/>
    <n v="4"/>
    <n v="1"/>
    <n v="0"/>
    <n v="18.27"/>
    <n v="0"/>
    <n v="1"/>
  </r>
  <r>
    <s v="SHP-501959"/>
    <d v="2024-10-19T00:00:00"/>
    <x v="0"/>
    <s v="Q4"/>
    <x v="9"/>
    <x v="3"/>
    <x v="1"/>
    <x v="0"/>
    <x v="2"/>
    <s v="Air"/>
    <x v="1"/>
    <n v="11"/>
    <n v="965"/>
    <n v="2"/>
    <n v="2"/>
    <n v="1"/>
    <n v="0"/>
    <n v="87.77"/>
    <n v="0"/>
    <n v="1"/>
  </r>
  <r>
    <s v="SHP-501960"/>
    <d v="2024-10-19T00:00:00"/>
    <x v="0"/>
    <s v="Q4"/>
    <x v="9"/>
    <x v="2"/>
    <x v="2"/>
    <x v="2"/>
    <x v="1"/>
    <s v="Road"/>
    <x v="1"/>
    <n v="8.1"/>
    <n v="1271"/>
    <n v="7"/>
    <n v="7"/>
    <n v="1"/>
    <n v="0"/>
    <n v="18.149999999999999"/>
    <n v="0"/>
    <n v="1"/>
  </r>
  <r>
    <s v="SHP-501961"/>
    <d v="2024-10-19T00:00:00"/>
    <x v="0"/>
    <s v="Q4"/>
    <x v="9"/>
    <x v="3"/>
    <x v="2"/>
    <x v="1"/>
    <x v="2"/>
    <s v="Road"/>
    <x v="1"/>
    <n v="4.2"/>
    <n v="267"/>
    <n v="1"/>
    <n v="1"/>
    <n v="1"/>
    <n v="0"/>
    <n v="26.39"/>
    <n v="0"/>
    <n v="1"/>
  </r>
  <r>
    <s v="SHP-501962"/>
    <d v="2024-10-19T00:00:00"/>
    <x v="0"/>
    <s v="Q4"/>
    <x v="9"/>
    <x v="4"/>
    <x v="2"/>
    <x v="3"/>
    <x v="0"/>
    <s v="Road"/>
    <x v="1"/>
    <n v="8.4"/>
    <n v="516"/>
    <n v="4"/>
    <n v="4"/>
    <n v="1"/>
    <n v="0"/>
    <n v="16.73"/>
    <n v="0"/>
    <n v="1"/>
  </r>
  <r>
    <s v="SHP-501963"/>
    <d v="2024-10-20T00:00:00"/>
    <x v="0"/>
    <s v="Q4"/>
    <x v="9"/>
    <x v="1"/>
    <x v="1"/>
    <x v="2"/>
    <x v="2"/>
    <s v="Air"/>
    <x v="0"/>
    <n v="113.7"/>
    <n v="1228"/>
    <n v="3"/>
    <n v="4"/>
    <n v="0"/>
    <n v="1"/>
    <n v="235.79"/>
    <n v="0"/>
    <n v="1"/>
  </r>
  <r>
    <s v="SHP-501964"/>
    <d v="2024-10-20T00:00:00"/>
    <x v="0"/>
    <s v="Q4"/>
    <x v="9"/>
    <x v="1"/>
    <x v="0"/>
    <x v="2"/>
    <x v="2"/>
    <s v="Air"/>
    <x v="1"/>
    <n v="5"/>
    <n v="1226"/>
    <n v="3"/>
    <n v="3"/>
    <n v="1"/>
    <n v="0"/>
    <n v="72.040000000000006"/>
    <n v="0"/>
    <n v="1"/>
  </r>
  <r>
    <s v="SHP-501965"/>
    <d v="2024-10-20T00:00:00"/>
    <x v="0"/>
    <s v="Q4"/>
    <x v="9"/>
    <x v="0"/>
    <x v="0"/>
    <x v="1"/>
    <x v="0"/>
    <s v="Road"/>
    <x v="1"/>
    <n v="6.8"/>
    <n v="194"/>
    <n v="3"/>
    <n v="3"/>
    <n v="1"/>
    <n v="0"/>
    <n v="11.69"/>
    <n v="0"/>
    <n v="1"/>
  </r>
  <r>
    <s v="SHP-501966"/>
    <d v="2024-10-20T00:00:00"/>
    <x v="0"/>
    <s v="Q4"/>
    <x v="9"/>
    <x v="0"/>
    <x v="2"/>
    <x v="0"/>
    <x v="0"/>
    <s v="Road"/>
    <x v="0"/>
    <n v="80.5"/>
    <n v="1139"/>
    <n v="4"/>
    <n v="5"/>
    <n v="0"/>
    <n v="1"/>
    <n v="52.2"/>
    <n v="0"/>
    <n v="1"/>
  </r>
  <r>
    <s v="SHP-501967"/>
    <d v="2024-10-20T00:00:00"/>
    <x v="0"/>
    <s v="Q4"/>
    <x v="9"/>
    <x v="4"/>
    <x v="2"/>
    <x v="0"/>
    <x v="1"/>
    <s v="Road"/>
    <x v="1"/>
    <n v="12"/>
    <n v="756"/>
    <n v="6"/>
    <n v="6"/>
    <n v="1"/>
    <n v="0"/>
    <n v="15.47"/>
    <n v="0"/>
    <n v="1"/>
  </r>
  <r>
    <s v="SHP-501968"/>
    <d v="2024-10-21T00:00:00"/>
    <x v="0"/>
    <s v="Q4"/>
    <x v="9"/>
    <x v="2"/>
    <x v="2"/>
    <x v="0"/>
    <x v="0"/>
    <s v="Road"/>
    <x v="0"/>
    <n v="58.1"/>
    <n v="952"/>
    <n v="4"/>
    <n v="4"/>
    <n v="1"/>
    <n v="0"/>
    <n v="38.630000000000003"/>
    <n v="0"/>
    <n v="1"/>
  </r>
  <r>
    <s v="SHP-501969"/>
    <d v="2024-10-21T00:00:00"/>
    <x v="0"/>
    <s v="Q4"/>
    <x v="9"/>
    <x v="4"/>
    <x v="2"/>
    <x v="1"/>
    <x v="0"/>
    <s v="Road"/>
    <x v="1"/>
    <n v="8.5"/>
    <n v="306"/>
    <n v="3"/>
    <n v="2"/>
    <n v="1"/>
    <n v="0"/>
    <n v="15.28"/>
    <n v="0"/>
    <n v="1"/>
  </r>
  <r>
    <s v="SHP-501970"/>
    <d v="2024-10-21T00:00:00"/>
    <x v="0"/>
    <s v="Q4"/>
    <x v="9"/>
    <x v="1"/>
    <x v="0"/>
    <x v="1"/>
    <x v="0"/>
    <s v="Road"/>
    <x v="1"/>
    <n v="4.2"/>
    <n v="257"/>
    <n v="3"/>
    <n v="3"/>
    <n v="1"/>
    <n v="0"/>
    <n v="12.73"/>
    <n v="0"/>
    <n v="1"/>
  </r>
  <r>
    <s v="SHP-501971"/>
    <d v="2024-10-21T00:00:00"/>
    <x v="0"/>
    <s v="Q4"/>
    <x v="9"/>
    <x v="4"/>
    <x v="1"/>
    <x v="0"/>
    <x v="0"/>
    <s v="Road"/>
    <x v="1"/>
    <n v="6.9"/>
    <n v="1147"/>
    <n v="4"/>
    <n v="4"/>
    <n v="1"/>
    <n v="0"/>
    <n v="23.47"/>
    <n v="0"/>
    <n v="1"/>
  </r>
  <r>
    <s v="SHP-501972"/>
    <d v="2024-10-21T00:00:00"/>
    <x v="0"/>
    <s v="Q4"/>
    <x v="9"/>
    <x v="0"/>
    <x v="2"/>
    <x v="0"/>
    <x v="2"/>
    <s v="Air"/>
    <x v="0"/>
    <n v="166.4"/>
    <n v="911"/>
    <n v="2"/>
    <n v="2"/>
    <n v="1"/>
    <n v="0"/>
    <n v="265.77"/>
    <n v="0"/>
    <n v="1"/>
  </r>
  <r>
    <s v="SHP-501973"/>
    <d v="2024-10-21T00:00:00"/>
    <x v="0"/>
    <s v="Q4"/>
    <x v="9"/>
    <x v="0"/>
    <x v="1"/>
    <x v="0"/>
    <x v="0"/>
    <s v="Road"/>
    <x v="1"/>
    <n v="1.7"/>
    <n v="1025"/>
    <n v="4"/>
    <n v="4"/>
    <n v="1"/>
    <n v="0"/>
    <n v="19.79"/>
    <n v="0"/>
    <n v="1"/>
  </r>
  <r>
    <s v="SHP-501974"/>
    <d v="2024-10-21T00:00:00"/>
    <x v="0"/>
    <s v="Q4"/>
    <x v="9"/>
    <x v="3"/>
    <x v="0"/>
    <x v="2"/>
    <x v="0"/>
    <s v="Road"/>
    <x v="1"/>
    <n v="19.8"/>
    <n v="1039"/>
    <n v="5"/>
    <n v="5"/>
    <n v="1"/>
    <n v="0"/>
    <n v="32.47"/>
    <n v="0"/>
    <n v="1"/>
  </r>
  <r>
    <s v="SHP-501975"/>
    <d v="2024-10-21T00:00:00"/>
    <x v="0"/>
    <s v="Q4"/>
    <x v="9"/>
    <x v="2"/>
    <x v="1"/>
    <x v="1"/>
    <x v="2"/>
    <s v="Road"/>
    <x v="0"/>
    <n v="43.3"/>
    <n v="278"/>
    <n v="1"/>
    <n v="2"/>
    <n v="0"/>
    <n v="1"/>
    <n v="54.86"/>
    <n v="0"/>
    <n v="1"/>
  </r>
  <r>
    <s v="SHP-501976"/>
    <d v="2024-10-21T00:00:00"/>
    <x v="0"/>
    <s v="Q4"/>
    <x v="9"/>
    <x v="3"/>
    <x v="1"/>
    <x v="2"/>
    <x v="1"/>
    <s v="Road"/>
    <x v="1"/>
    <n v="3.4"/>
    <n v="1322"/>
    <n v="7"/>
    <n v="7"/>
    <n v="1"/>
    <n v="0"/>
    <n v="18.52"/>
    <n v="0"/>
    <n v="1"/>
  </r>
  <r>
    <s v="SHP-501977"/>
    <d v="2024-10-21T00:00:00"/>
    <x v="0"/>
    <s v="Q4"/>
    <x v="9"/>
    <x v="4"/>
    <x v="1"/>
    <x v="4"/>
    <x v="0"/>
    <s v="Road"/>
    <x v="0"/>
    <n v="50.7"/>
    <n v="920"/>
    <n v="5"/>
    <n v="5"/>
    <n v="1"/>
    <n v="0"/>
    <n v="42.82"/>
    <n v="0"/>
    <n v="1"/>
  </r>
  <r>
    <s v="SHP-501978"/>
    <d v="2024-10-21T00:00:00"/>
    <x v="0"/>
    <s v="Q4"/>
    <x v="9"/>
    <x v="3"/>
    <x v="1"/>
    <x v="4"/>
    <x v="1"/>
    <s v="Road"/>
    <x v="0"/>
    <n v="15.7"/>
    <n v="1122"/>
    <n v="7"/>
    <n v="6"/>
    <n v="1"/>
    <n v="0"/>
    <n v="21.59"/>
    <n v="0"/>
    <n v="1"/>
  </r>
  <r>
    <s v="SHP-501979"/>
    <d v="2024-10-22T00:00:00"/>
    <x v="0"/>
    <s v="Q4"/>
    <x v="9"/>
    <x v="3"/>
    <x v="2"/>
    <x v="0"/>
    <x v="0"/>
    <s v="Road"/>
    <x v="1"/>
    <n v="2.4"/>
    <n v="1060"/>
    <n v="4"/>
    <n v="4"/>
    <n v="1"/>
    <n v="0"/>
    <n v="23.5"/>
    <n v="0"/>
    <n v="1"/>
  </r>
  <r>
    <s v="SHP-501980"/>
    <d v="2024-10-22T00:00:00"/>
    <x v="0"/>
    <s v="Q4"/>
    <x v="9"/>
    <x v="4"/>
    <x v="2"/>
    <x v="3"/>
    <x v="0"/>
    <s v="Road"/>
    <x v="1"/>
    <n v="9.3000000000000007"/>
    <n v="384"/>
    <n v="4"/>
    <n v="4"/>
    <n v="1"/>
    <n v="0"/>
    <n v="15.89"/>
    <n v="0"/>
    <n v="1"/>
  </r>
  <r>
    <s v="SHP-501981"/>
    <d v="2024-10-22T00:00:00"/>
    <x v="0"/>
    <s v="Q4"/>
    <x v="9"/>
    <x v="4"/>
    <x v="0"/>
    <x v="3"/>
    <x v="0"/>
    <s v="Road"/>
    <x v="0"/>
    <n v="217.8"/>
    <n v="485"/>
    <n v="4"/>
    <n v="3"/>
    <n v="1"/>
    <n v="0"/>
    <n v="104.57"/>
    <n v="0"/>
    <n v="1"/>
  </r>
  <r>
    <s v="SHP-501982"/>
    <d v="2024-10-22T00:00:00"/>
    <x v="0"/>
    <s v="Q4"/>
    <x v="9"/>
    <x v="2"/>
    <x v="2"/>
    <x v="0"/>
    <x v="1"/>
    <s v="Road"/>
    <x v="1"/>
    <n v="1.4"/>
    <n v="1026"/>
    <n v="6"/>
    <n v="6"/>
    <n v="1"/>
    <n v="0"/>
    <n v="11.99"/>
    <n v="0"/>
    <n v="1"/>
  </r>
  <r>
    <s v="SHP-501983"/>
    <d v="2024-10-22T00:00:00"/>
    <x v="0"/>
    <s v="Q4"/>
    <x v="9"/>
    <x v="4"/>
    <x v="2"/>
    <x v="2"/>
    <x v="1"/>
    <s v="Road"/>
    <x v="0"/>
    <n v="73"/>
    <n v="1110"/>
    <n v="7"/>
    <n v="9"/>
    <n v="0"/>
    <n v="2"/>
    <n v="40.68"/>
    <n v="0"/>
    <n v="1"/>
  </r>
  <r>
    <s v="SHP-501984"/>
    <d v="2024-10-22T00:00:00"/>
    <x v="0"/>
    <s v="Q4"/>
    <x v="9"/>
    <x v="4"/>
    <x v="2"/>
    <x v="2"/>
    <x v="0"/>
    <s v="Road"/>
    <x v="0"/>
    <n v="73.099999999999994"/>
    <n v="850"/>
    <n v="5"/>
    <n v="5"/>
    <n v="1"/>
    <n v="0"/>
    <n v="49.33"/>
    <n v="0"/>
    <n v="1"/>
  </r>
  <r>
    <s v="SHP-501985"/>
    <d v="2024-10-23T00:00:00"/>
    <x v="0"/>
    <s v="Q4"/>
    <x v="9"/>
    <x v="0"/>
    <x v="0"/>
    <x v="3"/>
    <x v="0"/>
    <s v="Road"/>
    <x v="1"/>
    <n v="14.3"/>
    <n v="532"/>
    <n v="4"/>
    <n v="6"/>
    <n v="0"/>
    <n v="2"/>
    <n v="18.739999999999998"/>
    <n v="0"/>
    <n v="1"/>
  </r>
  <r>
    <s v="SHP-501986"/>
    <d v="2024-10-23T00:00:00"/>
    <x v="0"/>
    <s v="Q4"/>
    <x v="9"/>
    <x v="0"/>
    <x v="2"/>
    <x v="3"/>
    <x v="1"/>
    <s v="Road"/>
    <x v="1"/>
    <n v="6.1"/>
    <n v="473"/>
    <n v="6"/>
    <n v="6"/>
    <n v="1"/>
    <n v="0"/>
    <n v="11.11"/>
    <n v="0"/>
    <n v="1"/>
  </r>
  <r>
    <s v="SHP-501987"/>
    <d v="2024-10-23T00:00:00"/>
    <x v="0"/>
    <s v="Q4"/>
    <x v="9"/>
    <x v="2"/>
    <x v="2"/>
    <x v="4"/>
    <x v="2"/>
    <s v="Air"/>
    <x v="0"/>
    <n v="361.4"/>
    <n v="812"/>
    <n v="3"/>
    <n v="3"/>
    <n v="1"/>
    <n v="0"/>
    <n v="398.11"/>
    <n v="0"/>
    <n v="1"/>
  </r>
  <r>
    <s v="SHP-501988"/>
    <d v="2024-10-23T00:00:00"/>
    <x v="0"/>
    <s v="Q4"/>
    <x v="9"/>
    <x v="4"/>
    <x v="1"/>
    <x v="1"/>
    <x v="1"/>
    <s v="Road"/>
    <x v="0"/>
    <n v="233.2"/>
    <n v="226"/>
    <n v="5"/>
    <n v="8"/>
    <n v="0"/>
    <n v="3"/>
    <n v="73.19"/>
    <n v="0"/>
    <n v="1"/>
  </r>
  <r>
    <s v="SHP-501989"/>
    <d v="2024-10-23T00:00:00"/>
    <x v="0"/>
    <s v="Q4"/>
    <x v="9"/>
    <x v="2"/>
    <x v="1"/>
    <x v="2"/>
    <x v="0"/>
    <s v="Road"/>
    <x v="0"/>
    <n v="87.6"/>
    <n v="891"/>
    <n v="5"/>
    <n v="4"/>
    <n v="1"/>
    <n v="0"/>
    <n v="46.56"/>
    <n v="0"/>
    <n v="1"/>
  </r>
  <r>
    <s v="SHP-501990"/>
    <d v="2024-10-23T00:00:00"/>
    <x v="0"/>
    <s v="Q4"/>
    <x v="9"/>
    <x v="2"/>
    <x v="1"/>
    <x v="1"/>
    <x v="0"/>
    <s v="Road"/>
    <x v="0"/>
    <n v="139.9"/>
    <n v="218"/>
    <n v="3"/>
    <n v="3"/>
    <n v="1"/>
    <n v="0"/>
    <n v="61.14"/>
    <n v="0"/>
    <n v="1"/>
  </r>
  <r>
    <s v="SHP-501991"/>
    <d v="2024-10-23T00:00:00"/>
    <x v="0"/>
    <s v="Q4"/>
    <x v="9"/>
    <x v="4"/>
    <x v="2"/>
    <x v="2"/>
    <x v="0"/>
    <s v="Road"/>
    <x v="1"/>
    <n v="4.7"/>
    <n v="1343"/>
    <n v="5"/>
    <n v="5"/>
    <n v="1"/>
    <n v="0"/>
    <n v="27.08"/>
    <n v="0"/>
    <n v="1"/>
  </r>
  <r>
    <s v="SHP-501992"/>
    <d v="2024-10-23T00:00:00"/>
    <x v="0"/>
    <s v="Q4"/>
    <x v="9"/>
    <x v="2"/>
    <x v="1"/>
    <x v="1"/>
    <x v="0"/>
    <s v="Road"/>
    <x v="0"/>
    <n v="203.6"/>
    <n v="302"/>
    <n v="3"/>
    <n v="8"/>
    <n v="0"/>
    <n v="5"/>
    <n v="79.97"/>
    <n v="0"/>
    <n v="1"/>
  </r>
  <r>
    <s v="SHP-501993"/>
    <d v="2024-10-23T00:00:00"/>
    <x v="0"/>
    <s v="Q4"/>
    <x v="9"/>
    <x v="4"/>
    <x v="0"/>
    <x v="1"/>
    <x v="1"/>
    <s v="Road"/>
    <x v="1"/>
    <n v="9.3000000000000007"/>
    <n v="292"/>
    <n v="5"/>
    <n v="5"/>
    <n v="1"/>
    <n v="0"/>
    <n v="11.48"/>
    <n v="0"/>
    <n v="1"/>
  </r>
  <r>
    <s v="SHP-501994"/>
    <d v="2024-10-23T00:00:00"/>
    <x v="0"/>
    <s v="Q4"/>
    <x v="9"/>
    <x v="0"/>
    <x v="2"/>
    <x v="3"/>
    <x v="0"/>
    <s v="Road"/>
    <x v="1"/>
    <n v="3.6"/>
    <n v="507"/>
    <n v="4"/>
    <n v="4"/>
    <n v="1"/>
    <n v="0"/>
    <n v="16.95"/>
    <n v="0"/>
    <n v="1"/>
  </r>
  <r>
    <s v="SHP-501995"/>
    <d v="2024-10-23T00:00:00"/>
    <x v="0"/>
    <s v="Q4"/>
    <x v="9"/>
    <x v="0"/>
    <x v="2"/>
    <x v="1"/>
    <x v="0"/>
    <s v="Road"/>
    <x v="1"/>
    <n v="3.8"/>
    <n v="285"/>
    <n v="3"/>
    <n v="3"/>
    <n v="1"/>
    <n v="0"/>
    <n v="12.27"/>
    <n v="0"/>
    <n v="1"/>
  </r>
  <r>
    <s v="SHP-501996"/>
    <d v="2024-10-24T00:00:00"/>
    <x v="0"/>
    <s v="Q4"/>
    <x v="9"/>
    <x v="1"/>
    <x v="1"/>
    <x v="4"/>
    <x v="0"/>
    <s v="Road"/>
    <x v="0"/>
    <n v="234.2"/>
    <n v="860"/>
    <n v="5"/>
    <n v="5"/>
    <n v="1"/>
    <n v="0"/>
    <n v="123.21"/>
    <n v="0"/>
    <n v="1"/>
  </r>
  <r>
    <s v="SHP-501997"/>
    <d v="2024-10-24T00:00:00"/>
    <x v="0"/>
    <s v="Q4"/>
    <x v="9"/>
    <x v="4"/>
    <x v="1"/>
    <x v="1"/>
    <x v="0"/>
    <s v="Road"/>
    <x v="1"/>
    <n v="8"/>
    <n v="267"/>
    <n v="3"/>
    <n v="2"/>
    <n v="1"/>
    <n v="0"/>
    <n v="15.59"/>
    <n v="0"/>
    <n v="1"/>
  </r>
  <r>
    <s v="SHP-501998"/>
    <d v="2024-10-24T00:00:00"/>
    <x v="0"/>
    <s v="Q4"/>
    <x v="9"/>
    <x v="0"/>
    <x v="2"/>
    <x v="3"/>
    <x v="0"/>
    <s v="Road"/>
    <x v="1"/>
    <n v="5.6"/>
    <n v="442"/>
    <n v="4"/>
    <n v="4"/>
    <n v="1"/>
    <n v="0"/>
    <n v="13.66"/>
    <n v="0"/>
    <n v="1"/>
  </r>
  <r>
    <s v="SHP-501999"/>
    <d v="2024-10-24T00:00:00"/>
    <x v="0"/>
    <s v="Q4"/>
    <x v="9"/>
    <x v="4"/>
    <x v="2"/>
    <x v="3"/>
    <x v="0"/>
    <s v="Road"/>
    <x v="1"/>
    <n v="2.6"/>
    <n v="514"/>
    <n v="4"/>
    <n v="5"/>
    <n v="0"/>
    <n v="1"/>
    <n v="12.86"/>
    <n v="0"/>
    <n v="1"/>
  </r>
  <r>
    <s v="SHP-502000"/>
    <d v="2024-10-24T00:00:00"/>
    <x v="0"/>
    <s v="Q4"/>
    <x v="9"/>
    <x v="0"/>
    <x v="2"/>
    <x v="2"/>
    <x v="0"/>
    <s v="Road"/>
    <x v="1"/>
    <n v="16.600000000000001"/>
    <n v="1238"/>
    <n v="5"/>
    <n v="5"/>
    <n v="1"/>
    <n v="0"/>
    <n v="29.61"/>
    <n v="0"/>
    <n v="1"/>
  </r>
  <r>
    <s v="SHP-502001"/>
    <d v="2024-10-24T00:00:00"/>
    <x v="0"/>
    <s v="Q4"/>
    <x v="9"/>
    <x v="2"/>
    <x v="2"/>
    <x v="2"/>
    <x v="0"/>
    <s v="Road"/>
    <x v="1"/>
    <n v="4.3"/>
    <n v="1070"/>
    <n v="5"/>
    <n v="5"/>
    <n v="1"/>
    <n v="0"/>
    <n v="18.63"/>
    <n v="0"/>
    <n v="1"/>
  </r>
  <r>
    <s v="SHP-502002"/>
    <d v="2024-10-24T00:00:00"/>
    <x v="0"/>
    <s v="Q4"/>
    <x v="9"/>
    <x v="3"/>
    <x v="1"/>
    <x v="1"/>
    <x v="2"/>
    <s v="Road"/>
    <x v="1"/>
    <n v="3.2"/>
    <n v="283"/>
    <n v="1"/>
    <n v="1"/>
    <n v="1"/>
    <n v="0"/>
    <n v="23.58"/>
    <n v="0"/>
    <n v="1"/>
  </r>
  <r>
    <s v="SHP-502003"/>
    <d v="2024-10-24T00:00:00"/>
    <x v="0"/>
    <s v="Q4"/>
    <x v="9"/>
    <x v="3"/>
    <x v="1"/>
    <x v="0"/>
    <x v="0"/>
    <s v="Road"/>
    <x v="1"/>
    <n v="5.7"/>
    <n v="931"/>
    <n v="4"/>
    <n v="4"/>
    <n v="1"/>
    <n v="0"/>
    <n v="25.88"/>
    <n v="0"/>
    <n v="1"/>
  </r>
  <r>
    <s v="SHP-502004"/>
    <d v="2024-10-25T00:00:00"/>
    <x v="0"/>
    <s v="Q4"/>
    <x v="9"/>
    <x v="0"/>
    <x v="1"/>
    <x v="1"/>
    <x v="1"/>
    <s v="Road"/>
    <x v="1"/>
    <n v="4.2"/>
    <n v="317"/>
    <n v="5"/>
    <n v="5"/>
    <n v="1"/>
    <n v="0"/>
    <n v="9.1999999999999993"/>
    <n v="0"/>
    <n v="1"/>
  </r>
  <r>
    <s v="SHP-502005"/>
    <d v="2024-10-25T00:00:00"/>
    <x v="0"/>
    <s v="Q4"/>
    <x v="9"/>
    <x v="1"/>
    <x v="1"/>
    <x v="2"/>
    <x v="0"/>
    <s v="Road"/>
    <x v="0"/>
    <n v="77.7"/>
    <n v="866"/>
    <n v="5"/>
    <n v="5"/>
    <n v="1"/>
    <n v="0"/>
    <n v="53.31"/>
    <n v="0"/>
    <n v="1"/>
  </r>
  <r>
    <s v="SHP-502006"/>
    <d v="2024-10-25T00:00:00"/>
    <x v="0"/>
    <s v="Q4"/>
    <x v="9"/>
    <x v="1"/>
    <x v="1"/>
    <x v="0"/>
    <x v="0"/>
    <s v="Road"/>
    <x v="1"/>
    <n v="4.7"/>
    <n v="711"/>
    <n v="4"/>
    <n v="4"/>
    <n v="1"/>
    <n v="0"/>
    <n v="19.059999999999999"/>
    <n v="0"/>
    <n v="1"/>
  </r>
  <r>
    <s v="SHP-502007"/>
    <d v="2024-10-25T00:00:00"/>
    <x v="0"/>
    <s v="Q4"/>
    <x v="9"/>
    <x v="4"/>
    <x v="1"/>
    <x v="0"/>
    <x v="0"/>
    <s v="Road"/>
    <x v="0"/>
    <n v="250"/>
    <n v="1055"/>
    <n v="4"/>
    <n v="3"/>
    <n v="1"/>
    <n v="0"/>
    <n v="118.1"/>
    <n v="0"/>
    <n v="1"/>
  </r>
  <r>
    <s v="SHP-502008"/>
    <d v="2024-10-25T00:00:00"/>
    <x v="0"/>
    <s v="Q4"/>
    <x v="9"/>
    <x v="0"/>
    <x v="2"/>
    <x v="1"/>
    <x v="1"/>
    <s v="Road"/>
    <x v="1"/>
    <n v="18.899999999999999"/>
    <n v="270"/>
    <n v="5"/>
    <n v="5"/>
    <n v="1"/>
    <n v="0"/>
    <n v="13.18"/>
    <n v="0"/>
    <n v="1"/>
  </r>
  <r>
    <s v="SHP-502009"/>
    <d v="2024-10-25T00:00:00"/>
    <x v="0"/>
    <s v="Q4"/>
    <x v="9"/>
    <x v="2"/>
    <x v="2"/>
    <x v="0"/>
    <x v="0"/>
    <s v="Road"/>
    <x v="1"/>
    <n v="5"/>
    <n v="950"/>
    <n v="4"/>
    <n v="3"/>
    <n v="1"/>
    <n v="0"/>
    <n v="17.440000000000001"/>
    <n v="1"/>
    <n v="1"/>
  </r>
  <r>
    <s v="SHP-502010"/>
    <d v="2024-10-25T00:00:00"/>
    <x v="0"/>
    <s v="Q4"/>
    <x v="9"/>
    <x v="3"/>
    <x v="1"/>
    <x v="0"/>
    <x v="0"/>
    <s v="Road"/>
    <x v="0"/>
    <n v="169.8"/>
    <n v="768"/>
    <n v="4"/>
    <n v="3"/>
    <n v="1"/>
    <n v="0"/>
    <n v="96.21"/>
    <n v="0"/>
    <n v="1"/>
  </r>
  <r>
    <s v="SHP-502011"/>
    <d v="2024-10-25T00:00:00"/>
    <x v="0"/>
    <s v="Q4"/>
    <x v="9"/>
    <x v="0"/>
    <x v="0"/>
    <x v="1"/>
    <x v="0"/>
    <s v="Road"/>
    <x v="0"/>
    <n v="143.30000000000001"/>
    <n v="226"/>
    <n v="3"/>
    <n v="3"/>
    <n v="1"/>
    <n v="0"/>
    <n v="69.72"/>
    <n v="0"/>
    <n v="1"/>
  </r>
  <r>
    <s v="SHP-502012"/>
    <d v="2024-10-25T00:00:00"/>
    <x v="0"/>
    <s v="Q4"/>
    <x v="9"/>
    <x v="2"/>
    <x v="0"/>
    <x v="3"/>
    <x v="2"/>
    <s v="Road"/>
    <x v="0"/>
    <n v="119.9"/>
    <n v="488"/>
    <n v="2"/>
    <n v="3"/>
    <n v="0"/>
    <n v="1"/>
    <n v="99.23"/>
    <n v="0"/>
    <n v="1"/>
  </r>
  <r>
    <s v="SHP-502013"/>
    <d v="2024-10-25T00:00:00"/>
    <x v="0"/>
    <s v="Q4"/>
    <x v="9"/>
    <x v="0"/>
    <x v="1"/>
    <x v="3"/>
    <x v="1"/>
    <s v="Road"/>
    <x v="1"/>
    <n v="1.4"/>
    <n v="366"/>
    <n v="6"/>
    <n v="6"/>
    <n v="1"/>
    <n v="0"/>
    <n v="8.15"/>
    <n v="0"/>
    <n v="1"/>
  </r>
  <r>
    <s v="SHP-502014"/>
    <d v="2024-10-25T00:00:00"/>
    <x v="0"/>
    <s v="Q4"/>
    <x v="9"/>
    <x v="4"/>
    <x v="1"/>
    <x v="1"/>
    <x v="0"/>
    <s v="Road"/>
    <x v="1"/>
    <n v="0.9"/>
    <n v="256"/>
    <n v="3"/>
    <n v="3"/>
    <n v="1"/>
    <n v="0"/>
    <n v="10.41"/>
    <n v="0"/>
    <n v="1"/>
  </r>
  <r>
    <s v="SHP-502015"/>
    <d v="2024-10-26T00:00:00"/>
    <x v="0"/>
    <s v="Q4"/>
    <x v="9"/>
    <x v="4"/>
    <x v="1"/>
    <x v="1"/>
    <x v="1"/>
    <s v="Road"/>
    <x v="0"/>
    <n v="340.8"/>
    <n v="230"/>
    <n v="5"/>
    <n v="5"/>
    <n v="1"/>
    <n v="0"/>
    <n v="92.44"/>
    <n v="0"/>
    <n v="1"/>
  </r>
  <r>
    <s v="SHP-502016"/>
    <d v="2024-10-26T00:00:00"/>
    <x v="0"/>
    <s v="Q4"/>
    <x v="9"/>
    <x v="4"/>
    <x v="0"/>
    <x v="1"/>
    <x v="2"/>
    <s v="Road"/>
    <x v="1"/>
    <n v="1.3"/>
    <n v="241"/>
    <n v="1"/>
    <n v="1"/>
    <n v="1"/>
    <n v="0"/>
    <n v="20.61"/>
    <n v="0"/>
    <n v="1"/>
  </r>
  <r>
    <s v="SHP-502017"/>
    <d v="2024-10-26T00:00:00"/>
    <x v="0"/>
    <s v="Q4"/>
    <x v="9"/>
    <x v="1"/>
    <x v="2"/>
    <x v="2"/>
    <x v="2"/>
    <s v="Air"/>
    <x v="0"/>
    <n v="64.900000000000006"/>
    <n v="1141"/>
    <n v="3"/>
    <n v="3"/>
    <n v="1"/>
    <n v="0"/>
    <n v="166.77"/>
    <n v="0"/>
    <n v="1"/>
  </r>
  <r>
    <s v="SHP-502018"/>
    <d v="2024-10-26T00:00:00"/>
    <x v="0"/>
    <s v="Q4"/>
    <x v="9"/>
    <x v="0"/>
    <x v="1"/>
    <x v="3"/>
    <x v="1"/>
    <s v="Road"/>
    <x v="0"/>
    <n v="216.7"/>
    <n v="422"/>
    <n v="6"/>
    <n v="6"/>
    <n v="1"/>
    <n v="0"/>
    <n v="75.680000000000007"/>
    <n v="0"/>
    <n v="1"/>
  </r>
  <r>
    <s v="SHP-502019"/>
    <d v="2024-10-26T00:00:00"/>
    <x v="0"/>
    <s v="Q4"/>
    <x v="9"/>
    <x v="4"/>
    <x v="2"/>
    <x v="2"/>
    <x v="1"/>
    <s v="Road"/>
    <x v="0"/>
    <n v="77.7"/>
    <n v="1258"/>
    <n v="7"/>
    <n v="7"/>
    <n v="1"/>
    <n v="0"/>
    <n v="39.74"/>
    <n v="0"/>
    <n v="1"/>
  </r>
  <r>
    <s v="SHP-502020"/>
    <d v="2024-10-27T00:00:00"/>
    <x v="0"/>
    <s v="Q4"/>
    <x v="9"/>
    <x v="3"/>
    <x v="2"/>
    <x v="1"/>
    <x v="0"/>
    <s v="Road"/>
    <x v="1"/>
    <n v="4.5"/>
    <n v="277"/>
    <n v="3"/>
    <n v="3"/>
    <n v="1"/>
    <n v="0"/>
    <n v="13.64"/>
    <n v="0"/>
    <n v="1"/>
  </r>
  <r>
    <s v="SHP-502021"/>
    <d v="2024-10-27T00:00:00"/>
    <x v="0"/>
    <s v="Q4"/>
    <x v="9"/>
    <x v="4"/>
    <x v="1"/>
    <x v="2"/>
    <x v="1"/>
    <s v="Road"/>
    <x v="0"/>
    <n v="156.1"/>
    <n v="1266"/>
    <n v="7"/>
    <n v="7"/>
    <n v="1"/>
    <n v="0"/>
    <n v="64.92"/>
    <n v="0"/>
    <n v="1"/>
  </r>
  <r>
    <s v="SHP-502022"/>
    <d v="2024-10-28T00:00:00"/>
    <x v="0"/>
    <s v="Q4"/>
    <x v="9"/>
    <x v="3"/>
    <x v="2"/>
    <x v="1"/>
    <x v="0"/>
    <s v="Road"/>
    <x v="1"/>
    <n v="5.6"/>
    <n v="307"/>
    <n v="3"/>
    <n v="3"/>
    <n v="1"/>
    <n v="0"/>
    <n v="17.23"/>
    <n v="0"/>
    <n v="1"/>
  </r>
  <r>
    <s v="SHP-502023"/>
    <d v="2024-10-28T00:00:00"/>
    <x v="0"/>
    <s v="Q4"/>
    <x v="9"/>
    <x v="1"/>
    <x v="1"/>
    <x v="2"/>
    <x v="1"/>
    <s v="Road"/>
    <x v="1"/>
    <n v="3.4"/>
    <n v="1176"/>
    <n v="7"/>
    <n v="6"/>
    <n v="1"/>
    <n v="0"/>
    <n v="18.91"/>
    <n v="0"/>
    <n v="1"/>
  </r>
  <r>
    <s v="SHP-502024"/>
    <d v="2024-10-28T00:00:00"/>
    <x v="0"/>
    <s v="Q4"/>
    <x v="9"/>
    <x v="4"/>
    <x v="2"/>
    <x v="0"/>
    <x v="1"/>
    <s v="Road"/>
    <x v="1"/>
    <n v="19.2"/>
    <n v="1039"/>
    <n v="6"/>
    <n v="5"/>
    <n v="1"/>
    <n v="0"/>
    <n v="22.69"/>
    <n v="0"/>
    <n v="1"/>
  </r>
  <r>
    <s v="SHP-502025"/>
    <d v="2024-10-28T00:00:00"/>
    <x v="0"/>
    <s v="Q4"/>
    <x v="9"/>
    <x v="4"/>
    <x v="1"/>
    <x v="3"/>
    <x v="0"/>
    <s v="Road"/>
    <x v="1"/>
    <n v="4.2"/>
    <n v="388"/>
    <n v="4"/>
    <n v="3"/>
    <n v="1"/>
    <n v="0"/>
    <n v="13.62"/>
    <n v="0"/>
    <n v="1"/>
  </r>
  <r>
    <s v="SHP-502026"/>
    <d v="2024-10-28T00:00:00"/>
    <x v="0"/>
    <s v="Q4"/>
    <x v="9"/>
    <x v="1"/>
    <x v="2"/>
    <x v="1"/>
    <x v="2"/>
    <s v="Road"/>
    <x v="0"/>
    <n v="108.4"/>
    <n v="251"/>
    <n v="1"/>
    <n v="3"/>
    <n v="0"/>
    <n v="2"/>
    <n v="112.68"/>
    <n v="0"/>
    <n v="1"/>
  </r>
  <r>
    <s v="SHP-502027"/>
    <d v="2024-10-28T00:00:00"/>
    <x v="0"/>
    <s v="Q4"/>
    <x v="9"/>
    <x v="4"/>
    <x v="0"/>
    <x v="1"/>
    <x v="0"/>
    <s v="Road"/>
    <x v="0"/>
    <n v="241.4"/>
    <n v="208"/>
    <n v="3"/>
    <n v="3"/>
    <n v="1"/>
    <n v="0"/>
    <n v="102.36"/>
    <n v="0"/>
    <n v="1"/>
  </r>
  <r>
    <s v="SHP-502028"/>
    <d v="2024-10-28T00:00:00"/>
    <x v="0"/>
    <s v="Q4"/>
    <x v="9"/>
    <x v="0"/>
    <x v="0"/>
    <x v="1"/>
    <x v="0"/>
    <s v="Road"/>
    <x v="1"/>
    <n v="7.7"/>
    <n v="274"/>
    <n v="3"/>
    <n v="3"/>
    <n v="1"/>
    <n v="0"/>
    <n v="13.8"/>
    <n v="0"/>
    <n v="1"/>
  </r>
  <r>
    <s v="SHP-502029"/>
    <d v="2024-10-29T00:00:00"/>
    <x v="0"/>
    <s v="Q4"/>
    <x v="9"/>
    <x v="3"/>
    <x v="1"/>
    <x v="1"/>
    <x v="2"/>
    <s v="Road"/>
    <x v="0"/>
    <n v="172.2"/>
    <n v="253"/>
    <n v="1"/>
    <n v="1"/>
    <n v="1"/>
    <n v="0"/>
    <n v="172.55"/>
    <n v="0"/>
    <n v="1"/>
  </r>
  <r>
    <s v="SHP-502030"/>
    <d v="2024-10-29T00:00:00"/>
    <x v="0"/>
    <s v="Q4"/>
    <x v="9"/>
    <x v="2"/>
    <x v="1"/>
    <x v="1"/>
    <x v="2"/>
    <s v="Road"/>
    <x v="1"/>
    <n v="3.9"/>
    <n v="254"/>
    <n v="1"/>
    <n v="2"/>
    <n v="0"/>
    <n v="1"/>
    <n v="18.82"/>
    <n v="0"/>
    <n v="1"/>
  </r>
  <r>
    <s v="SHP-502031"/>
    <d v="2024-10-29T00:00:00"/>
    <x v="0"/>
    <s v="Q4"/>
    <x v="9"/>
    <x v="3"/>
    <x v="2"/>
    <x v="3"/>
    <x v="2"/>
    <s v="Road"/>
    <x v="0"/>
    <n v="22.5"/>
    <n v="468"/>
    <n v="2"/>
    <n v="1"/>
    <n v="1"/>
    <n v="0"/>
    <n v="51.3"/>
    <n v="0"/>
    <n v="1"/>
  </r>
  <r>
    <s v="SHP-502032"/>
    <d v="2024-10-29T00:00:00"/>
    <x v="0"/>
    <s v="Q4"/>
    <x v="9"/>
    <x v="2"/>
    <x v="1"/>
    <x v="1"/>
    <x v="0"/>
    <s v="Road"/>
    <x v="0"/>
    <n v="28.7"/>
    <n v="331"/>
    <n v="3"/>
    <n v="2"/>
    <n v="1"/>
    <n v="0"/>
    <n v="21.65"/>
    <n v="0"/>
    <n v="1"/>
  </r>
  <r>
    <s v="SHP-502033"/>
    <d v="2024-10-29T00:00:00"/>
    <x v="0"/>
    <s v="Q4"/>
    <x v="9"/>
    <x v="1"/>
    <x v="2"/>
    <x v="2"/>
    <x v="0"/>
    <s v="Road"/>
    <x v="1"/>
    <n v="7.8"/>
    <n v="1001"/>
    <n v="5"/>
    <n v="5"/>
    <n v="1"/>
    <n v="0"/>
    <n v="23.62"/>
    <n v="0"/>
    <n v="1"/>
  </r>
  <r>
    <s v="SHP-502034"/>
    <d v="2024-10-30T00:00:00"/>
    <x v="0"/>
    <s v="Q4"/>
    <x v="9"/>
    <x v="4"/>
    <x v="0"/>
    <x v="2"/>
    <x v="1"/>
    <s v="Road"/>
    <x v="0"/>
    <n v="23.7"/>
    <n v="1153"/>
    <n v="7"/>
    <n v="6"/>
    <n v="1"/>
    <n v="0"/>
    <n v="27.89"/>
    <n v="0"/>
    <n v="1"/>
  </r>
  <r>
    <s v="SHP-502035"/>
    <d v="2024-10-30T00:00:00"/>
    <x v="0"/>
    <s v="Q4"/>
    <x v="9"/>
    <x v="1"/>
    <x v="0"/>
    <x v="1"/>
    <x v="0"/>
    <s v="Road"/>
    <x v="1"/>
    <n v="15.5"/>
    <n v="186"/>
    <n v="3"/>
    <n v="3"/>
    <n v="1"/>
    <n v="0"/>
    <n v="16.95"/>
    <n v="0"/>
    <n v="1"/>
  </r>
  <r>
    <s v="SHP-502036"/>
    <d v="2024-10-30T00:00:00"/>
    <x v="0"/>
    <s v="Q4"/>
    <x v="9"/>
    <x v="3"/>
    <x v="1"/>
    <x v="3"/>
    <x v="1"/>
    <s v="Road"/>
    <x v="1"/>
    <n v="2.2999999999999998"/>
    <n v="572"/>
    <n v="6"/>
    <n v="6"/>
    <n v="1"/>
    <n v="0"/>
    <n v="11.74"/>
    <n v="0"/>
    <n v="1"/>
  </r>
  <r>
    <s v="SHP-502037"/>
    <d v="2024-10-30T00:00:00"/>
    <x v="0"/>
    <s v="Q4"/>
    <x v="9"/>
    <x v="0"/>
    <x v="2"/>
    <x v="2"/>
    <x v="1"/>
    <s v="Road"/>
    <x v="1"/>
    <n v="5.9"/>
    <n v="1076"/>
    <n v="7"/>
    <n v="7"/>
    <n v="1"/>
    <n v="0"/>
    <n v="17.04"/>
    <n v="0"/>
    <n v="1"/>
  </r>
  <r>
    <s v="SHP-502038"/>
    <d v="2024-10-30T00:00:00"/>
    <x v="0"/>
    <s v="Q4"/>
    <x v="9"/>
    <x v="3"/>
    <x v="0"/>
    <x v="1"/>
    <x v="1"/>
    <s v="Road"/>
    <x v="1"/>
    <n v="10.1"/>
    <n v="250"/>
    <n v="5"/>
    <n v="5"/>
    <n v="1"/>
    <n v="0"/>
    <n v="11.07"/>
    <n v="0"/>
    <n v="1"/>
  </r>
  <r>
    <s v="SHP-502039"/>
    <d v="2024-10-30T00:00:00"/>
    <x v="0"/>
    <s v="Q4"/>
    <x v="9"/>
    <x v="0"/>
    <x v="2"/>
    <x v="1"/>
    <x v="0"/>
    <s v="Road"/>
    <x v="1"/>
    <n v="7.6"/>
    <n v="287"/>
    <n v="3"/>
    <n v="3"/>
    <n v="1"/>
    <n v="0"/>
    <n v="14.99"/>
    <n v="0"/>
    <n v="1"/>
  </r>
  <r>
    <s v="SHP-502040"/>
    <d v="2024-10-30T00:00:00"/>
    <x v="0"/>
    <s v="Q4"/>
    <x v="9"/>
    <x v="0"/>
    <x v="0"/>
    <x v="0"/>
    <x v="2"/>
    <s v="Air"/>
    <x v="0"/>
    <n v="137.9"/>
    <n v="1016"/>
    <n v="2"/>
    <n v="2"/>
    <n v="1"/>
    <n v="0"/>
    <n v="236.24"/>
    <n v="0"/>
    <n v="1"/>
  </r>
  <r>
    <s v="SHP-502041"/>
    <d v="2024-10-30T00:00:00"/>
    <x v="0"/>
    <s v="Q4"/>
    <x v="9"/>
    <x v="3"/>
    <x v="0"/>
    <x v="0"/>
    <x v="0"/>
    <s v="Road"/>
    <x v="0"/>
    <n v="74"/>
    <n v="994"/>
    <n v="4"/>
    <n v="7"/>
    <n v="0"/>
    <n v="3"/>
    <n v="58.17"/>
    <n v="0"/>
    <n v="1"/>
  </r>
  <r>
    <s v="SHP-502042"/>
    <d v="2024-10-30T00:00:00"/>
    <x v="0"/>
    <s v="Q4"/>
    <x v="9"/>
    <x v="4"/>
    <x v="2"/>
    <x v="4"/>
    <x v="0"/>
    <s v="Road"/>
    <x v="1"/>
    <n v="8.1999999999999993"/>
    <n v="1144"/>
    <n v="5"/>
    <n v="5"/>
    <n v="1"/>
    <n v="0"/>
    <n v="26.81"/>
    <n v="0"/>
    <n v="1"/>
  </r>
  <r>
    <s v="SHP-502043"/>
    <d v="2024-10-31T00:00:00"/>
    <x v="0"/>
    <s v="Q4"/>
    <x v="9"/>
    <x v="4"/>
    <x v="2"/>
    <x v="4"/>
    <x v="1"/>
    <s v="Road"/>
    <x v="0"/>
    <n v="34.1"/>
    <n v="1414"/>
    <n v="7"/>
    <n v="7"/>
    <n v="1"/>
    <n v="0"/>
    <n v="30.42"/>
    <n v="0"/>
    <n v="1"/>
  </r>
  <r>
    <s v="SHP-502044"/>
    <d v="2024-10-31T00:00:00"/>
    <x v="0"/>
    <s v="Q4"/>
    <x v="9"/>
    <x v="4"/>
    <x v="2"/>
    <x v="4"/>
    <x v="1"/>
    <s v="Road"/>
    <x v="0"/>
    <n v="12.5"/>
    <n v="731"/>
    <n v="7"/>
    <n v="6"/>
    <n v="1"/>
    <n v="0"/>
    <n v="14.95"/>
    <n v="0"/>
    <n v="1"/>
  </r>
  <r>
    <s v="SHP-502045"/>
    <d v="2024-10-31T00:00:00"/>
    <x v="0"/>
    <s v="Q4"/>
    <x v="9"/>
    <x v="4"/>
    <x v="2"/>
    <x v="2"/>
    <x v="0"/>
    <s v="Road"/>
    <x v="1"/>
    <n v="8"/>
    <n v="1266"/>
    <n v="5"/>
    <n v="4"/>
    <n v="1"/>
    <n v="0"/>
    <n v="26.1"/>
    <n v="0"/>
    <n v="1"/>
  </r>
  <r>
    <s v="SHP-502046"/>
    <d v="2024-10-31T00:00:00"/>
    <x v="0"/>
    <s v="Q4"/>
    <x v="9"/>
    <x v="4"/>
    <x v="1"/>
    <x v="0"/>
    <x v="2"/>
    <s v="Air"/>
    <x v="1"/>
    <n v="4.4000000000000004"/>
    <n v="908"/>
    <n v="2"/>
    <n v="2"/>
    <n v="1"/>
    <n v="0"/>
    <n v="57.31"/>
    <n v="0"/>
    <n v="1"/>
  </r>
  <r>
    <s v="SHP-502047"/>
    <d v="2024-10-31T00:00:00"/>
    <x v="0"/>
    <s v="Q4"/>
    <x v="9"/>
    <x v="3"/>
    <x v="1"/>
    <x v="2"/>
    <x v="2"/>
    <s v="Air"/>
    <x v="1"/>
    <n v="9.1999999999999993"/>
    <n v="1257"/>
    <n v="3"/>
    <n v="3"/>
    <n v="1"/>
    <n v="0"/>
    <n v="92.23"/>
    <n v="0"/>
    <n v="1"/>
  </r>
  <r>
    <s v="SHP-502048"/>
    <d v="2024-10-31T00:00:00"/>
    <x v="0"/>
    <s v="Q4"/>
    <x v="9"/>
    <x v="0"/>
    <x v="1"/>
    <x v="2"/>
    <x v="0"/>
    <s v="Road"/>
    <x v="1"/>
    <n v="14.6"/>
    <n v="1194"/>
    <n v="5"/>
    <n v="5"/>
    <n v="1"/>
    <n v="0"/>
    <n v="29.34"/>
    <n v="0"/>
    <n v="1"/>
  </r>
  <r>
    <s v="SHP-502049"/>
    <d v="2024-10-31T00:00:00"/>
    <x v="0"/>
    <s v="Q4"/>
    <x v="9"/>
    <x v="4"/>
    <x v="2"/>
    <x v="1"/>
    <x v="0"/>
    <s v="Road"/>
    <x v="1"/>
    <n v="12.3"/>
    <n v="276"/>
    <n v="3"/>
    <n v="2"/>
    <n v="1"/>
    <n v="0"/>
    <n v="15.67"/>
    <n v="0"/>
    <n v="1"/>
  </r>
  <r>
    <s v="SHP-502050"/>
    <d v="2024-10-31T00:00:00"/>
    <x v="0"/>
    <s v="Q4"/>
    <x v="9"/>
    <x v="3"/>
    <x v="2"/>
    <x v="3"/>
    <x v="0"/>
    <s v="Road"/>
    <x v="0"/>
    <n v="61.9"/>
    <n v="574"/>
    <n v="4"/>
    <n v="4"/>
    <n v="1"/>
    <n v="0"/>
    <n v="51.95"/>
    <n v="0"/>
    <n v="1"/>
  </r>
  <r>
    <s v="SHP-502051"/>
    <d v="2024-10-31T00:00:00"/>
    <x v="0"/>
    <s v="Q4"/>
    <x v="9"/>
    <x v="4"/>
    <x v="2"/>
    <x v="1"/>
    <x v="0"/>
    <s v="Road"/>
    <x v="0"/>
    <n v="119.6"/>
    <n v="176"/>
    <n v="3"/>
    <n v="2"/>
    <n v="1"/>
    <n v="0"/>
    <n v="66.900000000000006"/>
    <n v="0"/>
    <n v="1"/>
  </r>
  <r>
    <s v="SHP-502052"/>
    <d v="2024-10-31T00:00:00"/>
    <x v="0"/>
    <s v="Q4"/>
    <x v="9"/>
    <x v="4"/>
    <x v="2"/>
    <x v="1"/>
    <x v="2"/>
    <s v="Road"/>
    <x v="1"/>
    <n v="2.8"/>
    <n v="279"/>
    <n v="1"/>
    <n v="1"/>
    <n v="1"/>
    <n v="0"/>
    <n v="20.48"/>
    <n v="0"/>
    <n v="1"/>
  </r>
  <r>
    <s v="SHP-502053"/>
    <d v="2024-10-31T00:00:00"/>
    <x v="0"/>
    <s v="Q4"/>
    <x v="9"/>
    <x v="2"/>
    <x v="1"/>
    <x v="1"/>
    <x v="0"/>
    <s v="Road"/>
    <x v="1"/>
    <n v="2.4"/>
    <n v="230"/>
    <n v="3"/>
    <n v="2"/>
    <n v="1"/>
    <n v="0"/>
    <n v="9.34"/>
    <n v="0"/>
    <n v="1"/>
  </r>
  <r>
    <s v="SHP-502054"/>
    <d v="2024-11-01T00:00:00"/>
    <x v="0"/>
    <s v="Q4"/>
    <x v="10"/>
    <x v="0"/>
    <x v="1"/>
    <x v="4"/>
    <x v="1"/>
    <s v="Road"/>
    <x v="0"/>
    <n v="53.2"/>
    <n v="1214"/>
    <n v="7"/>
    <n v="12"/>
    <n v="0"/>
    <n v="5"/>
    <n v="35.92"/>
    <n v="0"/>
    <n v="1"/>
  </r>
  <r>
    <s v="SHP-502055"/>
    <d v="2024-11-01T00:00:00"/>
    <x v="0"/>
    <s v="Q4"/>
    <x v="10"/>
    <x v="0"/>
    <x v="1"/>
    <x v="1"/>
    <x v="1"/>
    <s v="Road"/>
    <x v="1"/>
    <n v="10.9"/>
    <n v="200"/>
    <n v="5"/>
    <n v="4"/>
    <n v="1"/>
    <n v="0"/>
    <n v="10.73"/>
    <n v="0"/>
    <n v="1"/>
  </r>
  <r>
    <s v="SHP-502056"/>
    <d v="2024-11-01T00:00:00"/>
    <x v="0"/>
    <s v="Q4"/>
    <x v="10"/>
    <x v="0"/>
    <x v="0"/>
    <x v="0"/>
    <x v="2"/>
    <s v="Air"/>
    <x v="0"/>
    <n v="100.9"/>
    <n v="985"/>
    <n v="2"/>
    <n v="4"/>
    <n v="0"/>
    <n v="2"/>
    <n v="196.98"/>
    <n v="0"/>
    <n v="1"/>
  </r>
  <r>
    <s v="SHP-502057"/>
    <d v="2024-11-01T00:00:00"/>
    <x v="0"/>
    <s v="Q4"/>
    <x v="10"/>
    <x v="4"/>
    <x v="1"/>
    <x v="3"/>
    <x v="2"/>
    <s v="Road"/>
    <x v="0"/>
    <n v="135.30000000000001"/>
    <n v="463"/>
    <n v="2"/>
    <n v="2"/>
    <n v="1"/>
    <n v="0"/>
    <n v="137.56"/>
    <n v="0"/>
    <n v="1"/>
  </r>
  <r>
    <s v="SHP-502058"/>
    <d v="2024-11-01T00:00:00"/>
    <x v="0"/>
    <s v="Q4"/>
    <x v="10"/>
    <x v="1"/>
    <x v="2"/>
    <x v="2"/>
    <x v="1"/>
    <s v="Road"/>
    <x v="1"/>
    <n v="3.4"/>
    <n v="616"/>
    <n v="7"/>
    <n v="6"/>
    <n v="1"/>
    <n v="0"/>
    <n v="11.59"/>
    <n v="0"/>
    <n v="1"/>
  </r>
  <r>
    <s v="SHP-502059"/>
    <d v="2024-11-01T00:00:00"/>
    <x v="0"/>
    <s v="Q4"/>
    <x v="10"/>
    <x v="2"/>
    <x v="2"/>
    <x v="1"/>
    <x v="2"/>
    <s v="Road"/>
    <x v="1"/>
    <n v="5.7"/>
    <n v="248"/>
    <n v="1"/>
    <n v="1"/>
    <n v="1"/>
    <n v="0"/>
    <n v="23.02"/>
    <n v="0"/>
    <n v="1"/>
  </r>
  <r>
    <s v="SHP-502060"/>
    <d v="2024-11-01T00:00:00"/>
    <x v="0"/>
    <s v="Q4"/>
    <x v="10"/>
    <x v="4"/>
    <x v="2"/>
    <x v="3"/>
    <x v="0"/>
    <s v="Road"/>
    <x v="0"/>
    <n v="66.599999999999994"/>
    <n v="545"/>
    <n v="4"/>
    <n v="4"/>
    <n v="1"/>
    <n v="0"/>
    <n v="43.34"/>
    <n v="0"/>
    <n v="1"/>
  </r>
  <r>
    <s v="SHP-502061"/>
    <d v="2024-11-01T00:00:00"/>
    <x v="0"/>
    <s v="Q4"/>
    <x v="10"/>
    <x v="1"/>
    <x v="1"/>
    <x v="4"/>
    <x v="0"/>
    <s v="Road"/>
    <x v="1"/>
    <n v="0.7"/>
    <n v="1236"/>
    <n v="5"/>
    <n v="5"/>
    <n v="1"/>
    <n v="0"/>
    <n v="22.74"/>
    <n v="0"/>
    <n v="1"/>
  </r>
  <r>
    <s v="SHP-502062"/>
    <d v="2024-11-01T00:00:00"/>
    <x v="0"/>
    <s v="Q4"/>
    <x v="10"/>
    <x v="3"/>
    <x v="2"/>
    <x v="1"/>
    <x v="1"/>
    <s v="Road"/>
    <x v="1"/>
    <n v="3"/>
    <n v="211"/>
    <n v="5"/>
    <n v="5"/>
    <n v="1"/>
    <n v="0"/>
    <n v="9.5"/>
    <n v="0"/>
    <n v="1"/>
  </r>
  <r>
    <s v="SHP-502063"/>
    <d v="2024-11-01T00:00:00"/>
    <x v="0"/>
    <s v="Q4"/>
    <x v="10"/>
    <x v="2"/>
    <x v="2"/>
    <x v="3"/>
    <x v="1"/>
    <s v="Road"/>
    <x v="1"/>
    <n v="1.8"/>
    <n v="481"/>
    <n v="6"/>
    <n v="6"/>
    <n v="1"/>
    <n v="0"/>
    <n v="7.31"/>
    <n v="0"/>
    <n v="1"/>
  </r>
  <r>
    <s v="SHP-502064"/>
    <d v="2024-11-02T00:00:00"/>
    <x v="0"/>
    <s v="Q4"/>
    <x v="10"/>
    <x v="3"/>
    <x v="0"/>
    <x v="1"/>
    <x v="0"/>
    <s v="Road"/>
    <x v="1"/>
    <n v="1.3"/>
    <n v="285"/>
    <n v="3"/>
    <n v="3"/>
    <n v="1"/>
    <n v="0"/>
    <n v="10.01"/>
    <n v="0"/>
    <n v="1"/>
  </r>
  <r>
    <s v="SHP-502065"/>
    <d v="2024-11-02T00:00:00"/>
    <x v="0"/>
    <s v="Q4"/>
    <x v="10"/>
    <x v="3"/>
    <x v="2"/>
    <x v="3"/>
    <x v="0"/>
    <s v="Road"/>
    <x v="0"/>
    <n v="214.2"/>
    <n v="473"/>
    <n v="4"/>
    <n v="4"/>
    <n v="1"/>
    <n v="0"/>
    <n v="97.58"/>
    <n v="0"/>
    <n v="1"/>
  </r>
  <r>
    <s v="SHP-502066"/>
    <d v="2024-11-02T00:00:00"/>
    <x v="0"/>
    <s v="Q4"/>
    <x v="10"/>
    <x v="3"/>
    <x v="0"/>
    <x v="0"/>
    <x v="0"/>
    <s v="Road"/>
    <x v="1"/>
    <n v="7.7"/>
    <n v="891"/>
    <n v="4"/>
    <n v="4"/>
    <n v="1"/>
    <n v="0"/>
    <n v="25.32"/>
    <n v="0"/>
    <n v="1"/>
  </r>
  <r>
    <s v="SHP-502067"/>
    <d v="2024-11-02T00:00:00"/>
    <x v="0"/>
    <s v="Q4"/>
    <x v="10"/>
    <x v="1"/>
    <x v="2"/>
    <x v="4"/>
    <x v="2"/>
    <s v="Air"/>
    <x v="0"/>
    <n v="101.1"/>
    <n v="857"/>
    <n v="3"/>
    <n v="3"/>
    <n v="1"/>
    <n v="0"/>
    <n v="184.33"/>
    <n v="0"/>
    <n v="1"/>
  </r>
  <r>
    <s v="SHP-502068"/>
    <d v="2024-11-02T00:00:00"/>
    <x v="0"/>
    <s v="Q4"/>
    <x v="10"/>
    <x v="3"/>
    <x v="1"/>
    <x v="4"/>
    <x v="0"/>
    <s v="Road"/>
    <x v="1"/>
    <n v="2.9"/>
    <n v="1037"/>
    <n v="5"/>
    <n v="6"/>
    <n v="0"/>
    <n v="1"/>
    <n v="23.16"/>
    <n v="0"/>
    <n v="1"/>
  </r>
  <r>
    <s v="SHP-502069"/>
    <d v="2024-11-03T00:00:00"/>
    <x v="0"/>
    <s v="Q4"/>
    <x v="10"/>
    <x v="3"/>
    <x v="2"/>
    <x v="0"/>
    <x v="0"/>
    <s v="Road"/>
    <x v="1"/>
    <n v="12"/>
    <n v="837"/>
    <n v="4"/>
    <n v="3"/>
    <n v="1"/>
    <n v="0"/>
    <n v="26.82"/>
    <n v="0"/>
    <n v="1"/>
  </r>
  <r>
    <s v="SHP-502070"/>
    <d v="2024-11-03T00:00:00"/>
    <x v="0"/>
    <s v="Q4"/>
    <x v="10"/>
    <x v="4"/>
    <x v="2"/>
    <x v="1"/>
    <x v="2"/>
    <s v="Road"/>
    <x v="0"/>
    <n v="88.9"/>
    <n v="226"/>
    <n v="1"/>
    <n v="1"/>
    <n v="1"/>
    <n v="0"/>
    <n v="103.84"/>
    <n v="0"/>
    <n v="1"/>
  </r>
  <r>
    <s v="SHP-502071"/>
    <d v="2024-11-04T00:00:00"/>
    <x v="0"/>
    <s v="Q4"/>
    <x v="10"/>
    <x v="2"/>
    <x v="1"/>
    <x v="0"/>
    <x v="0"/>
    <s v="Road"/>
    <x v="1"/>
    <n v="5.4"/>
    <n v="1058"/>
    <n v="4"/>
    <n v="5"/>
    <n v="0"/>
    <n v="1"/>
    <n v="18.22"/>
    <n v="0"/>
    <n v="1"/>
  </r>
  <r>
    <s v="SHP-502072"/>
    <d v="2024-11-04T00:00:00"/>
    <x v="0"/>
    <s v="Q4"/>
    <x v="10"/>
    <x v="1"/>
    <x v="1"/>
    <x v="1"/>
    <x v="2"/>
    <s v="Road"/>
    <x v="0"/>
    <n v="162.6"/>
    <n v="235"/>
    <n v="1"/>
    <n v="1"/>
    <n v="1"/>
    <n v="0"/>
    <n v="136.97999999999999"/>
    <n v="0"/>
    <n v="1"/>
  </r>
  <r>
    <s v="SHP-502073"/>
    <d v="2024-11-04T00:00:00"/>
    <x v="0"/>
    <s v="Q4"/>
    <x v="10"/>
    <x v="1"/>
    <x v="0"/>
    <x v="1"/>
    <x v="2"/>
    <s v="Road"/>
    <x v="1"/>
    <n v="6"/>
    <n v="168"/>
    <n v="1"/>
    <n v="1"/>
    <n v="1"/>
    <n v="0"/>
    <n v="23.37"/>
    <n v="0"/>
    <n v="1"/>
  </r>
  <r>
    <s v="SHP-502074"/>
    <d v="2024-11-04T00:00:00"/>
    <x v="0"/>
    <s v="Q4"/>
    <x v="10"/>
    <x v="3"/>
    <x v="2"/>
    <x v="2"/>
    <x v="0"/>
    <s v="Road"/>
    <x v="1"/>
    <n v="3.3"/>
    <n v="1156"/>
    <n v="5"/>
    <n v="5"/>
    <n v="1"/>
    <n v="0"/>
    <n v="26.51"/>
    <n v="0"/>
    <n v="1"/>
  </r>
  <r>
    <s v="SHP-502075"/>
    <d v="2024-11-04T00:00:00"/>
    <x v="0"/>
    <s v="Q4"/>
    <x v="10"/>
    <x v="3"/>
    <x v="0"/>
    <x v="3"/>
    <x v="2"/>
    <s v="Road"/>
    <x v="0"/>
    <n v="18"/>
    <n v="347"/>
    <n v="2"/>
    <n v="2"/>
    <n v="1"/>
    <n v="0"/>
    <n v="39.79"/>
    <n v="0"/>
    <n v="1"/>
  </r>
  <r>
    <s v="SHP-502076"/>
    <d v="2024-11-04T00:00:00"/>
    <x v="0"/>
    <s v="Q4"/>
    <x v="10"/>
    <x v="1"/>
    <x v="2"/>
    <x v="3"/>
    <x v="0"/>
    <s v="Road"/>
    <x v="1"/>
    <n v="3"/>
    <n v="493"/>
    <n v="4"/>
    <n v="4"/>
    <n v="1"/>
    <n v="0"/>
    <n v="13.98"/>
    <n v="0"/>
    <n v="1"/>
  </r>
  <r>
    <s v="SHP-502077"/>
    <d v="2024-11-04T00:00:00"/>
    <x v="0"/>
    <s v="Q4"/>
    <x v="10"/>
    <x v="3"/>
    <x v="2"/>
    <x v="0"/>
    <x v="0"/>
    <s v="Road"/>
    <x v="1"/>
    <n v="1.2"/>
    <n v="1217"/>
    <n v="4"/>
    <n v="4"/>
    <n v="1"/>
    <n v="0"/>
    <n v="24.62"/>
    <n v="0"/>
    <n v="1"/>
  </r>
  <r>
    <s v="SHP-502078"/>
    <d v="2024-11-04T00:00:00"/>
    <x v="0"/>
    <s v="Q4"/>
    <x v="10"/>
    <x v="1"/>
    <x v="1"/>
    <x v="1"/>
    <x v="2"/>
    <s v="Road"/>
    <x v="0"/>
    <n v="162.9"/>
    <n v="280"/>
    <n v="1"/>
    <n v="1"/>
    <n v="1"/>
    <n v="0"/>
    <n v="145.78"/>
    <n v="0"/>
    <n v="1"/>
  </r>
  <r>
    <s v="SHP-502079"/>
    <d v="2024-11-04T00:00:00"/>
    <x v="0"/>
    <s v="Q4"/>
    <x v="10"/>
    <x v="2"/>
    <x v="2"/>
    <x v="3"/>
    <x v="0"/>
    <s v="Road"/>
    <x v="1"/>
    <n v="16.600000000000001"/>
    <n v="438"/>
    <n v="4"/>
    <n v="3"/>
    <n v="1"/>
    <n v="0"/>
    <n v="18.940000000000001"/>
    <n v="0"/>
    <n v="1"/>
  </r>
  <r>
    <s v="SHP-502080"/>
    <d v="2024-11-05T00:00:00"/>
    <x v="0"/>
    <s v="Q4"/>
    <x v="10"/>
    <x v="0"/>
    <x v="2"/>
    <x v="3"/>
    <x v="1"/>
    <s v="Road"/>
    <x v="0"/>
    <n v="176.2"/>
    <n v="508"/>
    <n v="6"/>
    <n v="10"/>
    <n v="0"/>
    <n v="4"/>
    <n v="57.83"/>
    <n v="0"/>
    <n v="1"/>
  </r>
  <r>
    <s v="SHP-502081"/>
    <d v="2024-11-05T00:00:00"/>
    <x v="0"/>
    <s v="Q4"/>
    <x v="10"/>
    <x v="4"/>
    <x v="2"/>
    <x v="0"/>
    <x v="2"/>
    <s v="Air"/>
    <x v="1"/>
    <n v="14.4"/>
    <n v="801"/>
    <n v="2"/>
    <n v="2"/>
    <n v="1"/>
    <n v="0"/>
    <n v="77.510000000000005"/>
    <n v="0"/>
    <n v="1"/>
  </r>
  <r>
    <s v="SHP-502082"/>
    <d v="2024-11-05T00:00:00"/>
    <x v="0"/>
    <s v="Q4"/>
    <x v="10"/>
    <x v="2"/>
    <x v="1"/>
    <x v="3"/>
    <x v="0"/>
    <s v="Road"/>
    <x v="0"/>
    <n v="113.7"/>
    <n v="599"/>
    <n v="4"/>
    <n v="4"/>
    <n v="1"/>
    <n v="0"/>
    <n v="57.91"/>
    <n v="0"/>
    <n v="1"/>
  </r>
  <r>
    <s v="SHP-502083"/>
    <d v="2024-11-05T00:00:00"/>
    <x v="0"/>
    <s v="Q4"/>
    <x v="10"/>
    <x v="2"/>
    <x v="1"/>
    <x v="3"/>
    <x v="0"/>
    <s v="Road"/>
    <x v="1"/>
    <n v="8"/>
    <n v="535"/>
    <n v="4"/>
    <n v="3"/>
    <n v="1"/>
    <n v="0"/>
    <n v="15.22"/>
    <n v="0"/>
    <n v="1"/>
  </r>
  <r>
    <s v="SHP-502084"/>
    <d v="2024-11-05T00:00:00"/>
    <x v="0"/>
    <s v="Q4"/>
    <x v="10"/>
    <x v="3"/>
    <x v="1"/>
    <x v="3"/>
    <x v="1"/>
    <s v="Road"/>
    <x v="1"/>
    <n v="8.5"/>
    <n v="452"/>
    <n v="6"/>
    <n v="5"/>
    <n v="1"/>
    <n v="0"/>
    <n v="14.23"/>
    <n v="0"/>
    <n v="1"/>
  </r>
  <r>
    <s v="SHP-502085"/>
    <d v="2024-11-05T00:00:00"/>
    <x v="0"/>
    <s v="Q4"/>
    <x v="10"/>
    <x v="0"/>
    <x v="0"/>
    <x v="0"/>
    <x v="0"/>
    <s v="Road"/>
    <x v="0"/>
    <n v="108.5"/>
    <n v="926"/>
    <n v="4"/>
    <n v="4"/>
    <n v="1"/>
    <n v="0"/>
    <n v="63.71"/>
    <n v="0"/>
    <n v="1"/>
  </r>
  <r>
    <s v="SHP-502086"/>
    <d v="2024-11-05T00:00:00"/>
    <x v="0"/>
    <s v="Q4"/>
    <x v="10"/>
    <x v="4"/>
    <x v="1"/>
    <x v="1"/>
    <x v="0"/>
    <s v="Road"/>
    <x v="0"/>
    <n v="174.4"/>
    <n v="314"/>
    <n v="3"/>
    <n v="3"/>
    <n v="1"/>
    <n v="0"/>
    <n v="80.989999999999995"/>
    <n v="0"/>
    <n v="1"/>
  </r>
  <r>
    <s v="SHP-502087"/>
    <d v="2024-11-06T00:00:00"/>
    <x v="0"/>
    <s v="Q4"/>
    <x v="10"/>
    <x v="2"/>
    <x v="2"/>
    <x v="1"/>
    <x v="0"/>
    <s v="Road"/>
    <x v="1"/>
    <n v="3.3"/>
    <n v="275"/>
    <n v="3"/>
    <n v="3"/>
    <n v="1"/>
    <n v="0"/>
    <n v="9.43"/>
    <n v="0"/>
    <n v="1"/>
  </r>
  <r>
    <s v="SHP-502088"/>
    <d v="2024-11-06T00:00:00"/>
    <x v="0"/>
    <s v="Q4"/>
    <x v="10"/>
    <x v="0"/>
    <x v="0"/>
    <x v="2"/>
    <x v="2"/>
    <s v="Air"/>
    <x v="1"/>
    <n v="1.4"/>
    <n v="941"/>
    <n v="3"/>
    <n v="3"/>
    <n v="1"/>
    <n v="0"/>
    <n v="53.42"/>
    <n v="0"/>
    <n v="1"/>
  </r>
  <r>
    <s v="SHP-502089"/>
    <d v="2024-11-06T00:00:00"/>
    <x v="0"/>
    <s v="Q4"/>
    <x v="10"/>
    <x v="3"/>
    <x v="0"/>
    <x v="1"/>
    <x v="0"/>
    <s v="Road"/>
    <x v="1"/>
    <n v="2.2999999999999998"/>
    <n v="275"/>
    <n v="3"/>
    <n v="3"/>
    <n v="1"/>
    <n v="0"/>
    <n v="12.67"/>
    <n v="0"/>
    <n v="1"/>
  </r>
  <r>
    <s v="SHP-502090"/>
    <d v="2024-11-06T00:00:00"/>
    <x v="0"/>
    <s v="Q4"/>
    <x v="10"/>
    <x v="0"/>
    <x v="1"/>
    <x v="4"/>
    <x v="1"/>
    <s v="Road"/>
    <x v="1"/>
    <n v="2.9"/>
    <n v="1158"/>
    <n v="7"/>
    <n v="9"/>
    <n v="0"/>
    <n v="2"/>
    <n v="13.74"/>
    <n v="0"/>
    <n v="1"/>
  </r>
  <r>
    <s v="SHP-502091"/>
    <d v="2024-11-06T00:00:00"/>
    <x v="0"/>
    <s v="Q4"/>
    <x v="10"/>
    <x v="1"/>
    <x v="0"/>
    <x v="1"/>
    <x v="0"/>
    <s v="Road"/>
    <x v="1"/>
    <n v="3.4"/>
    <n v="307"/>
    <n v="3"/>
    <n v="3"/>
    <n v="1"/>
    <n v="0"/>
    <n v="13.62"/>
    <n v="0"/>
    <n v="1"/>
  </r>
  <r>
    <s v="SHP-502092"/>
    <d v="2024-11-06T00:00:00"/>
    <x v="0"/>
    <s v="Q4"/>
    <x v="10"/>
    <x v="4"/>
    <x v="1"/>
    <x v="3"/>
    <x v="1"/>
    <s v="Road"/>
    <x v="0"/>
    <n v="249.1"/>
    <n v="526"/>
    <n v="6"/>
    <n v="6"/>
    <n v="1"/>
    <n v="0"/>
    <n v="79.2"/>
    <n v="0"/>
    <n v="1"/>
  </r>
  <r>
    <s v="SHP-502093"/>
    <d v="2024-11-06T00:00:00"/>
    <x v="0"/>
    <s v="Q4"/>
    <x v="10"/>
    <x v="4"/>
    <x v="2"/>
    <x v="3"/>
    <x v="0"/>
    <s v="Road"/>
    <x v="1"/>
    <n v="13.9"/>
    <n v="383"/>
    <n v="4"/>
    <n v="4"/>
    <n v="1"/>
    <n v="0"/>
    <n v="19.27"/>
    <n v="0"/>
    <n v="1"/>
  </r>
  <r>
    <s v="SHP-502094"/>
    <d v="2024-11-06T00:00:00"/>
    <x v="0"/>
    <s v="Q4"/>
    <x v="10"/>
    <x v="0"/>
    <x v="0"/>
    <x v="1"/>
    <x v="0"/>
    <s v="Road"/>
    <x v="1"/>
    <n v="5.7"/>
    <n v="280"/>
    <n v="3"/>
    <n v="4"/>
    <n v="0"/>
    <n v="1"/>
    <n v="12.51"/>
    <n v="0"/>
    <n v="1"/>
  </r>
  <r>
    <s v="SHP-502095"/>
    <d v="2024-11-06T00:00:00"/>
    <x v="0"/>
    <s v="Q4"/>
    <x v="10"/>
    <x v="2"/>
    <x v="1"/>
    <x v="1"/>
    <x v="0"/>
    <s v="Road"/>
    <x v="1"/>
    <n v="4.5"/>
    <n v="218"/>
    <n v="3"/>
    <n v="2"/>
    <n v="1"/>
    <n v="0"/>
    <n v="10.55"/>
    <n v="0"/>
    <n v="1"/>
  </r>
  <r>
    <s v="SHP-502096"/>
    <d v="2024-11-06T00:00:00"/>
    <x v="0"/>
    <s v="Q4"/>
    <x v="10"/>
    <x v="1"/>
    <x v="2"/>
    <x v="1"/>
    <x v="0"/>
    <s v="Road"/>
    <x v="0"/>
    <n v="26.3"/>
    <n v="289"/>
    <n v="3"/>
    <n v="3"/>
    <n v="1"/>
    <n v="0"/>
    <n v="24.54"/>
    <n v="0"/>
    <n v="1"/>
  </r>
  <r>
    <s v="SHP-502097"/>
    <d v="2024-11-06T00:00:00"/>
    <x v="0"/>
    <s v="Q4"/>
    <x v="10"/>
    <x v="0"/>
    <x v="2"/>
    <x v="0"/>
    <x v="0"/>
    <s v="Road"/>
    <x v="0"/>
    <n v="49.6"/>
    <n v="994"/>
    <n v="4"/>
    <n v="4"/>
    <n v="1"/>
    <n v="0"/>
    <n v="43.94"/>
    <n v="0"/>
    <n v="1"/>
  </r>
  <r>
    <s v="SHP-502098"/>
    <d v="2024-11-06T00:00:00"/>
    <x v="0"/>
    <s v="Q4"/>
    <x v="10"/>
    <x v="0"/>
    <x v="2"/>
    <x v="4"/>
    <x v="0"/>
    <s v="Road"/>
    <x v="0"/>
    <n v="119.2"/>
    <n v="1262"/>
    <n v="5"/>
    <n v="5"/>
    <n v="1"/>
    <n v="0"/>
    <n v="70.55"/>
    <n v="0"/>
    <n v="1"/>
  </r>
  <r>
    <s v="SHP-502099"/>
    <d v="2024-11-06T00:00:00"/>
    <x v="0"/>
    <s v="Q4"/>
    <x v="10"/>
    <x v="1"/>
    <x v="0"/>
    <x v="2"/>
    <x v="0"/>
    <s v="Road"/>
    <x v="1"/>
    <n v="9.4"/>
    <n v="1028"/>
    <n v="5"/>
    <n v="6"/>
    <n v="0"/>
    <n v="1"/>
    <n v="24.33"/>
    <n v="0"/>
    <n v="1"/>
  </r>
  <r>
    <s v="SHP-502100"/>
    <d v="2024-11-06T00:00:00"/>
    <x v="0"/>
    <s v="Q4"/>
    <x v="10"/>
    <x v="1"/>
    <x v="1"/>
    <x v="1"/>
    <x v="0"/>
    <s v="Road"/>
    <x v="1"/>
    <n v="5.0999999999999996"/>
    <n v="290"/>
    <n v="3"/>
    <n v="3"/>
    <n v="1"/>
    <n v="0"/>
    <n v="13.8"/>
    <n v="0"/>
    <n v="1"/>
  </r>
  <r>
    <s v="SHP-502101"/>
    <d v="2024-11-07T00:00:00"/>
    <x v="0"/>
    <s v="Q4"/>
    <x v="10"/>
    <x v="2"/>
    <x v="1"/>
    <x v="0"/>
    <x v="0"/>
    <s v="Road"/>
    <x v="1"/>
    <n v="2.2000000000000002"/>
    <n v="1032"/>
    <n v="4"/>
    <n v="4"/>
    <n v="1"/>
    <n v="0"/>
    <n v="15.24"/>
    <n v="0"/>
    <n v="1"/>
  </r>
  <r>
    <s v="SHP-502102"/>
    <d v="2024-11-07T00:00:00"/>
    <x v="0"/>
    <s v="Q4"/>
    <x v="10"/>
    <x v="2"/>
    <x v="1"/>
    <x v="0"/>
    <x v="1"/>
    <s v="Road"/>
    <x v="0"/>
    <n v="69.599999999999994"/>
    <n v="918"/>
    <n v="6"/>
    <n v="6"/>
    <n v="1"/>
    <n v="0"/>
    <n v="29.96"/>
    <n v="0"/>
    <n v="1"/>
  </r>
  <r>
    <s v="SHP-502103"/>
    <d v="2024-11-07T00:00:00"/>
    <x v="0"/>
    <s v="Q4"/>
    <x v="10"/>
    <x v="4"/>
    <x v="1"/>
    <x v="1"/>
    <x v="0"/>
    <s v="Road"/>
    <x v="1"/>
    <n v="4"/>
    <n v="297"/>
    <n v="3"/>
    <n v="3"/>
    <n v="1"/>
    <n v="0"/>
    <n v="11.55"/>
    <n v="0"/>
    <n v="1"/>
  </r>
  <r>
    <s v="SHP-502104"/>
    <d v="2024-11-07T00:00:00"/>
    <x v="0"/>
    <s v="Q4"/>
    <x v="10"/>
    <x v="2"/>
    <x v="2"/>
    <x v="0"/>
    <x v="1"/>
    <s v="Road"/>
    <x v="1"/>
    <n v="8.6"/>
    <n v="757"/>
    <n v="6"/>
    <n v="5"/>
    <n v="1"/>
    <n v="0"/>
    <n v="11.95"/>
    <n v="0"/>
    <n v="1"/>
  </r>
  <r>
    <s v="SHP-502105"/>
    <d v="2024-11-07T00:00:00"/>
    <x v="0"/>
    <s v="Q4"/>
    <x v="10"/>
    <x v="2"/>
    <x v="2"/>
    <x v="0"/>
    <x v="2"/>
    <s v="Air"/>
    <x v="0"/>
    <n v="246.2"/>
    <n v="931"/>
    <n v="2"/>
    <n v="2"/>
    <n v="1"/>
    <n v="0"/>
    <n v="314.42"/>
    <n v="0"/>
    <n v="1"/>
  </r>
  <r>
    <s v="SHP-502106"/>
    <d v="2024-11-07T00:00:00"/>
    <x v="0"/>
    <s v="Q4"/>
    <x v="10"/>
    <x v="2"/>
    <x v="2"/>
    <x v="2"/>
    <x v="2"/>
    <s v="Air"/>
    <x v="1"/>
    <n v="8.5"/>
    <n v="1159"/>
    <n v="3"/>
    <n v="2"/>
    <n v="1"/>
    <n v="0"/>
    <n v="67.290000000000006"/>
    <n v="0"/>
    <n v="1"/>
  </r>
  <r>
    <s v="SHP-502107"/>
    <d v="2024-11-07T00:00:00"/>
    <x v="0"/>
    <s v="Q4"/>
    <x v="10"/>
    <x v="0"/>
    <x v="2"/>
    <x v="3"/>
    <x v="1"/>
    <s v="Road"/>
    <x v="0"/>
    <n v="395.8"/>
    <n v="538"/>
    <n v="6"/>
    <n v="5"/>
    <n v="1"/>
    <n v="0"/>
    <n v="107.58"/>
    <n v="0"/>
    <n v="1"/>
  </r>
  <r>
    <s v="SHP-502108"/>
    <d v="2024-11-07T00:00:00"/>
    <x v="0"/>
    <s v="Q4"/>
    <x v="10"/>
    <x v="2"/>
    <x v="2"/>
    <x v="4"/>
    <x v="0"/>
    <s v="Road"/>
    <x v="0"/>
    <n v="361.6"/>
    <n v="1050"/>
    <n v="5"/>
    <n v="5"/>
    <n v="1"/>
    <n v="0"/>
    <n v="132.31"/>
    <n v="0"/>
    <n v="1"/>
  </r>
  <r>
    <s v="SHP-502109"/>
    <d v="2024-11-07T00:00:00"/>
    <x v="0"/>
    <s v="Q4"/>
    <x v="10"/>
    <x v="3"/>
    <x v="0"/>
    <x v="3"/>
    <x v="2"/>
    <s v="Road"/>
    <x v="1"/>
    <n v="3.9"/>
    <n v="539"/>
    <n v="2"/>
    <n v="1"/>
    <n v="1"/>
    <n v="0"/>
    <n v="34.11"/>
    <n v="0"/>
    <n v="1"/>
  </r>
  <r>
    <s v="SHP-502110"/>
    <d v="2024-11-07T00:00:00"/>
    <x v="0"/>
    <s v="Q4"/>
    <x v="10"/>
    <x v="4"/>
    <x v="0"/>
    <x v="1"/>
    <x v="2"/>
    <s v="Road"/>
    <x v="1"/>
    <n v="19.2"/>
    <n v="288"/>
    <n v="1"/>
    <n v="1"/>
    <n v="1"/>
    <n v="0"/>
    <n v="37.56"/>
    <n v="0"/>
    <n v="1"/>
  </r>
  <r>
    <s v="SHP-502111"/>
    <d v="2024-11-07T00:00:00"/>
    <x v="0"/>
    <s v="Q4"/>
    <x v="10"/>
    <x v="4"/>
    <x v="0"/>
    <x v="3"/>
    <x v="2"/>
    <s v="Road"/>
    <x v="1"/>
    <n v="14.4"/>
    <n v="479"/>
    <n v="2"/>
    <n v="2"/>
    <n v="1"/>
    <n v="0"/>
    <n v="44.01"/>
    <n v="0"/>
    <n v="1"/>
  </r>
  <r>
    <s v="SHP-502112"/>
    <d v="2024-11-08T00:00:00"/>
    <x v="0"/>
    <s v="Q4"/>
    <x v="10"/>
    <x v="4"/>
    <x v="2"/>
    <x v="3"/>
    <x v="2"/>
    <s v="Road"/>
    <x v="0"/>
    <n v="102.9"/>
    <n v="617"/>
    <n v="2"/>
    <n v="1"/>
    <n v="1"/>
    <n v="0"/>
    <n v="113.89"/>
    <n v="0"/>
    <n v="1"/>
  </r>
  <r>
    <s v="SHP-502113"/>
    <d v="2024-11-08T00:00:00"/>
    <x v="0"/>
    <s v="Q4"/>
    <x v="10"/>
    <x v="2"/>
    <x v="1"/>
    <x v="1"/>
    <x v="0"/>
    <s v="Road"/>
    <x v="1"/>
    <n v="13.7"/>
    <n v="285"/>
    <n v="3"/>
    <n v="4"/>
    <n v="0"/>
    <n v="1"/>
    <n v="13.47"/>
    <n v="0"/>
    <n v="1"/>
  </r>
  <r>
    <s v="SHP-502114"/>
    <d v="2024-11-08T00:00:00"/>
    <x v="0"/>
    <s v="Q4"/>
    <x v="10"/>
    <x v="4"/>
    <x v="0"/>
    <x v="1"/>
    <x v="2"/>
    <s v="Road"/>
    <x v="0"/>
    <n v="143.1"/>
    <n v="274"/>
    <n v="1"/>
    <n v="1"/>
    <n v="1"/>
    <n v="0"/>
    <n v="135.41999999999999"/>
    <n v="0"/>
    <n v="1"/>
  </r>
  <r>
    <s v="SHP-502115"/>
    <d v="2024-11-08T00:00:00"/>
    <x v="0"/>
    <s v="Q4"/>
    <x v="10"/>
    <x v="0"/>
    <x v="2"/>
    <x v="2"/>
    <x v="0"/>
    <s v="Road"/>
    <x v="1"/>
    <n v="3.3"/>
    <n v="1037"/>
    <n v="5"/>
    <n v="7"/>
    <n v="0"/>
    <n v="2"/>
    <n v="17.54"/>
    <n v="0"/>
    <n v="1"/>
  </r>
  <r>
    <s v="SHP-502116"/>
    <d v="2024-11-08T00:00:00"/>
    <x v="0"/>
    <s v="Q4"/>
    <x v="10"/>
    <x v="4"/>
    <x v="0"/>
    <x v="3"/>
    <x v="2"/>
    <s v="Road"/>
    <x v="1"/>
    <n v="1.8"/>
    <n v="542"/>
    <n v="2"/>
    <n v="2"/>
    <n v="1"/>
    <n v="0"/>
    <n v="28.35"/>
    <n v="0"/>
    <n v="1"/>
  </r>
  <r>
    <s v="SHP-502117"/>
    <d v="2024-11-08T00:00:00"/>
    <x v="0"/>
    <s v="Q4"/>
    <x v="10"/>
    <x v="4"/>
    <x v="2"/>
    <x v="1"/>
    <x v="1"/>
    <s v="Road"/>
    <x v="0"/>
    <n v="36.6"/>
    <n v="200"/>
    <n v="5"/>
    <n v="7"/>
    <n v="0"/>
    <n v="2"/>
    <n v="18.48"/>
    <n v="0"/>
    <n v="1"/>
  </r>
  <r>
    <s v="SHP-502118"/>
    <d v="2024-11-08T00:00:00"/>
    <x v="0"/>
    <s v="Q4"/>
    <x v="10"/>
    <x v="2"/>
    <x v="1"/>
    <x v="1"/>
    <x v="2"/>
    <s v="Road"/>
    <x v="0"/>
    <n v="57.8"/>
    <n v="272"/>
    <n v="1"/>
    <n v="1"/>
    <n v="1"/>
    <n v="0"/>
    <n v="62.12"/>
    <n v="0"/>
    <n v="1"/>
  </r>
  <r>
    <s v="SHP-502119"/>
    <d v="2024-11-08T00:00:00"/>
    <x v="0"/>
    <s v="Q4"/>
    <x v="10"/>
    <x v="1"/>
    <x v="1"/>
    <x v="1"/>
    <x v="2"/>
    <s v="Road"/>
    <x v="0"/>
    <n v="81.900000000000006"/>
    <n v="243"/>
    <n v="1"/>
    <n v="1"/>
    <n v="1"/>
    <n v="0"/>
    <n v="92.12"/>
    <n v="0"/>
    <n v="1"/>
  </r>
  <r>
    <s v="SHP-502120"/>
    <d v="2024-11-08T00:00:00"/>
    <x v="0"/>
    <s v="Q4"/>
    <x v="10"/>
    <x v="4"/>
    <x v="2"/>
    <x v="4"/>
    <x v="0"/>
    <s v="Road"/>
    <x v="1"/>
    <n v="3.8"/>
    <n v="1024"/>
    <n v="5"/>
    <n v="5"/>
    <n v="1"/>
    <n v="0"/>
    <n v="21.57"/>
    <n v="0"/>
    <n v="1"/>
  </r>
  <r>
    <s v="SHP-502121"/>
    <d v="2024-11-08T00:00:00"/>
    <x v="0"/>
    <s v="Q4"/>
    <x v="10"/>
    <x v="0"/>
    <x v="2"/>
    <x v="1"/>
    <x v="1"/>
    <s v="Road"/>
    <x v="1"/>
    <n v="4.4000000000000004"/>
    <n v="285"/>
    <n v="5"/>
    <n v="5"/>
    <n v="1"/>
    <n v="0"/>
    <n v="8.02"/>
    <n v="0"/>
    <n v="1"/>
  </r>
  <r>
    <s v="SHP-502122"/>
    <d v="2024-11-08T00:00:00"/>
    <x v="0"/>
    <s v="Q4"/>
    <x v="10"/>
    <x v="2"/>
    <x v="1"/>
    <x v="4"/>
    <x v="1"/>
    <s v="Road"/>
    <x v="1"/>
    <n v="4.9000000000000004"/>
    <n v="970"/>
    <n v="7"/>
    <n v="7"/>
    <n v="1"/>
    <n v="0"/>
    <n v="14.13"/>
    <n v="0"/>
    <n v="1"/>
  </r>
  <r>
    <s v="SHP-502123"/>
    <d v="2024-11-08T00:00:00"/>
    <x v="0"/>
    <s v="Q4"/>
    <x v="10"/>
    <x v="2"/>
    <x v="0"/>
    <x v="2"/>
    <x v="0"/>
    <s v="Road"/>
    <x v="0"/>
    <n v="92.8"/>
    <n v="1041"/>
    <n v="5"/>
    <n v="5"/>
    <n v="1"/>
    <n v="0"/>
    <n v="53.54"/>
    <n v="0"/>
    <n v="1"/>
  </r>
  <r>
    <s v="SHP-502124"/>
    <d v="2024-11-09T00:00:00"/>
    <x v="0"/>
    <s v="Q4"/>
    <x v="10"/>
    <x v="4"/>
    <x v="0"/>
    <x v="0"/>
    <x v="1"/>
    <s v="Road"/>
    <x v="1"/>
    <n v="7.6"/>
    <n v="619"/>
    <n v="6"/>
    <n v="6"/>
    <n v="1"/>
    <n v="0"/>
    <n v="13.39"/>
    <n v="0"/>
    <n v="1"/>
  </r>
  <r>
    <s v="SHP-502125"/>
    <d v="2024-11-09T00:00:00"/>
    <x v="0"/>
    <s v="Q4"/>
    <x v="10"/>
    <x v="0"/>
    <x v="2"/>
    <x v="0"/>
    <x v="0"/>
    <s v="Road"/>
    <x v="1"/>
    <n v="6.5"/>
    <n v="875"/>
    <n v="4"/>
    <n v="4"/>
    <n v="1"/>
    <n v="0"/>
    <n v="19.8"/>
    <n v="0"/>
    <n v="1"/>
  </r>
  <r>
    <s v="SHP-502126"/>
    <d v="2024-11-09T00:00:00"/>
    <x v="0"/>
    <s v="Q4"/>
    <x v="10"/>
    <x v="0"/>
    <x v="2"/>
    <x v="0"/>
    <x v="1"/>
    <s v="Road"/>
    <x v="1"/>
    <n v="4.7"/>
    <n v="1029"/>
    <n v="6"/>
    <n v="6"/>
    <n v="1"/>
    <n v="0"/>
    <n v="14.95"/>
    <n v="0"/>
    <n v="1"/>
  </r>
  <r>
    <s v="SHP-502127"/>
    <d v="2024-11-09T00:00:00"/>
    <x v="0"/>
    <s v="Q4"/>
    <x v="10"/>
    <x v="3"/>
    <x v="2"/>
    <x v="1"/>
    <x v="0"/>
    <s v="Road"/>
    <x v="1"/>
    <n v="8.1"/>
    <n v="248"/>
    <n v="3"/>
    <n v="3"/>
    <n v="1"/>
    <n v="0"/>
    <n v="16.68"/>
    <n v="0"/>
    <n v="1"/>
  </r>
  <r>
    <s v="SHP-502128"/>
    <d v="2024-11-09T00:00:00"/>
    <x v="0"/>
    <s v="Q4"/>
    <x v="10"/>
    <x v="3"/>
    <x v="0"/>
    <x v="1"/>
    <x v="0"/>
    <s v="Road"/>
    <x v="1"/>
    <n v="3.4"/>
    <n v="262"/>
    <n v="3"/>
    <n v="3"/>
    <n v="1"/>
    <n v="0"/>
    <n v="12.87"/>
    <n v="0"/>
    <n v="1"/>
  </r>
  <r>
    <s v="SHP-502129"/>
    <d v="2024-11-09T00:00:00"/>
    <x v="0"/>
    <s v="Q4"/>
    <x v="10"/>
    <x v="1"/>
    <x v="2"/>
    <x v="2"/>
    <x v="1"/>
    <s v="Road"/>
    <x v="1"/>
    <n v="1.7"/>
    <n v="1281"/>
    <n v="7"/>
    <n v="7"/>
    <n v="1"/>
    <n v="0"/>
    <n v="19.16"/>
    <n v="0"/>
    <n v="1"/>
  </r>
  <r>
    <s v="SHP-502130"/>
    <d v="2024-11-09T00:00:00"/>
    <x v="0"/>
    <s v="Q4"/>
    <x v="10"/>
    <x v="1"/>
    <x v="1"/>
    <x v="3"/>
    <x v="0"/>
    <s v="Road"/>
    <x v="0"/>
    <n v="247.7"/>
    <n v="503"/>
    <n v="4"/>
    <n v="4"/>
    <n v="1"/>
    <n v="0"/>
    <n v="111.94"/>
    <n v="0"/>
    <n v="1"/>
  </r>
  <r>
    <s v="SHP-502131"/>
    <d v="2024-11-09T00:00:00"/>
    <x v="0"/>
    <s v="Q4"/>
    <x v="10"/>
    <x v="4"/>
    <x v="0"/>
    <x v="4"/>
    <x v="2"/>
    <s v="Air"/>
    <x v="1"/>
    <n v="10"/>
    <n v="1114"/>
    <n v="3"/>
    <n v="2"/>
    <n v="1"/>
    <n v="0"/>
    <n v="73.349999999999994"/>
    <n v="0"/>
    <n v="1"/>
  </r>
  <r>
    <s v="SHP-502132"/>
    <d v="2024-11-09T00:00:00"/>
    <x v="0"/>
    <s v="Q4"/>
    <x v="10"/>
    <x v="2"/>
    <x v="2"/>
    <x v="2"/>
    <x v="0"/>
    <s v="Road"/>
    <x v="0"/>
    <n v="91.9"/>
    <n v="1194"/>
    <n v="5"/>
    <n v="5"/>
    <n v="1"/>
    <n v="0"/>
    <n v="54.95"/>
    <n v="0"/>
    <n v="1"/>
  </r>
  <r>
    <s v="SHP-502133"/>
    <d v="2024-11-09T00:00:00"/>
    <x v="0"/>
    <s v="Q4"/>
    <x v="10"/>
    <x v="4"/>
    <x v="2"/>
    <x v="0"/>
    <x v="0"/>
    <s v="Road"/>
    <x v="1"/>
    <n v="1.3"/>
    <n v="760"/>
    <n v="4"/>
    <n v="4"/>
    <n v="1"/>
    <n v="0"/>
    <n v="16.38"/>
    <n v="0"/>
    <n v="1"/>
  </r>
  <r>
    <s v="SHP-502134"/>
    <d v="2024-11-10T00:00:00"/>
    <x v="0"/>
    <s v="Q4"/>
    <x v="10"/>
    <x v="2"/>
    <x v="1"/>
    <x v="0"/>
    <x v="0"/>
    <s v="Road"/>
    <x v="1"/>
    <n v="1.6"/>
    <n v="990"/>
    <n v="4"/>
    <n v="4"/>
    <n v="1"/>
    <n v="0"/>
    <n v="16.61"/>
    <n v="0"/>
    <n v="1"/>
  </r>
  <r>
    <s v="SHP-502135"/>
    <d v="2024-11-10T00:00:00"/>
    <x v="0"/>
    <s v="Q4"/>
    <x v="10"/>
    <x v="3"/>
    <x v="0"/>
    <x v="2"/>
    <x v="2"/>
    <s v="Air"/>
    <x v="1"/>
    <n v="6.6"/>
    <n v="1125"/>
    <n v="3"/>
    <n v="3"/>
    <n v="1"/>
    <n v="0"/>
    <n v="75.209999999999994"/>
    <n v="0"/>
    <n v="1"/>
  </r>
  <r>
    <s v="SHP-502136"/>
    <d v="2024-11-10T00:00:00"/>
    <x v="0"/>
    <s v="Q4"/>
    <x v="10"/>
    <x v="4"/>
    <x v="1"/>
    <x v="3"/>
    <x v="2"/>
    <s v="Road"/>
    <x v="1"/>
    <n v="3.8"/>
    <n v="537"/>
    <n v="2"/>
    <n v="2"/>
    <n v="1"/>
    <n v="0"/>
    <n v="30.53"/>
    <n v="0"/>
    <n v="1"/>
  </r>
  <r>
    <s v="SHP-502137"/>
    <d v="2024-11-10T00:00:00"/>
    <x v="0"/>
    <s v="Q4"/>
    <x v="10"/>
    <x v="2"/>
    <x v="1"/>
    <x v="3"/>
    <x v="1"/>
    <s v="Road"/>
    <x v="1"/>
    <n v="11.1"/>
    <n v="510"/>
    <n v="6"/>
    <n v="7"/>
    <n v="0"/>
    <n v="1"/>
    <n v="11.95"/>
    <n v="0"/>
    <n v="1"/>
  </r>
  <r>
    <s v="SHP-502138"/>
    <d v="2024-11-10T00:00:00"/>
    <x v="0"/>
    <s v="Q4"/>
    <x v="10"/>
    <x v="1"/>
    <x v="1"/>
    <x v="2"/>
    <x v="1"/>
    <s v="Road"/>
    <x v="1"/>
    <n v="14.1"/>
    <n v="961"/>
    <n v="7"/>
    <n v="7"/>
    <n v="1"/>
    <n v="0"/>
    <n v="19.96"/>
    <n v="0"/>
    <n v="1"/>
  </r>
  <r>
    <s v="SHP-502139"/>
    <d v="2024-11-10T00:00:00"/>
    <x v="0"/>
    <s v="Q4"/>
    <x v="10"/>
    <x v="0"/>
    <x v="2"/>
    <x v="2"/>
    <x v="0"/>
    <s v="Road"/>
    <x v="1"/>
    <n v="8.1999999999999993"/>
    <n v="842"/>
    <n v="5"/>
    <n v="5"/>
    <n v="1"/>
    <n v="0"/>
    <n v="19.190000000000001"/>
    <n v="0"/>
    <n v="1"/>
  </r>
  <r>
    <s v="SHP-502140"/>
    <d v="2024-11-10T00:00:00"/>
    <x v="0"/>
    <s v="Q4"/>
    <x v="10"/>
    <x v="1"/>
    <x v="2"/>
    <x v="3"/>
    <x v="0"/>
    <s v="Road"/>
    <x v="0"/>
    <n v="89.3"/>
    <n v="530"/>
    <n v="4"/>
    <n v="6"/>
    <n v="0"/>
    <n v="2"/>
    <n v="55.02"/>
    <n v="0"/>
    <n v="1"/>
  </r>
  <r>
    <s v="SHP-502141"/>
    <d v="2024-11-10T00:00:00"/>
    <x v="0"/>
    <s v="Q4"/>
    <x v="10"/>
    <x v="3"/>
    <x v="2"/>
    <x v="0"/>
    <x v="0"/>
    <s v="Road"/>
    <x v="1"/>
    <n v="6.1"/>
    <n v="978"/>
    <n v="4"/>
    <n v="3"/>
    <n v="1"/>
    <n v="0"/>
    <n v="25.1"/>
    <n v="0"/>
    <n v="1"/>
  </r>
  <r>
    <s v="SHP-502142"/>
    <d v="2024-11-11T00:00:00"/>
    <x v="0"/>
    <s v="Q4"/>
    <x v="10"/>
    <x v="2"/>
    <x v="2"/>
    <x v="1"/>
    <x v="0"/>
    <s v="Road"/>
    <x v="0"/>
    <n v="207.2"/>
    <n v="271"/>
    <n v="3"/>
    <n v="3"/>
    <n v="1"/>
    <n v="0"/>
    <n v="77.260000000000005"/>
    <n v="0"/>
    <n v="1"/>
  </r>
  <r>
    <s v="SHP-502143"/>
    <d v="2024-11-11T00:00:00"/>
    <x v="0"/>
    <s v="Q4"/>
    <x v="10"/>
    <x v="4"/>
    <x v="0"/>
    <x v="4"/>
    <x v="0"/>
    <s v="Road"/>
    <x v="0"/>
    <n v="136.5"/>
    <n v="922"/>
    <n v="5"/>
    <n v="6"/>
    <n v="0"/>
    <n v="1"/>
    <n v="76.27"/>
    <n v="0"/>
    <n v="1"/>
  </r>
  <r>
    <s v="SHP-502144"/>
    <d v="2024-11-11T00:00:00"/>
    <x v="0"/>
    <s v="Q4"/>
    <x v="10"/>
    <x v="0"/>
    <x v="2"/>
    <x v="3"/>
    <x v="0"/>
    <s v="Road"/>
    <x v="1"/>
    <n v="17.600000000000001"/>
    <n v="569"/>
    <n v="4"/>
    <n v="5"/>
    <n v="0"/>
    <n v="1"/>
    <n v="19.91"/>
    <n v="0"/>
    <n v="1"/>
  </r>
  <r>
    <s v="SHP-502145"/>
    <d v="2024-11-11T00:00:00"/>
    <x v="0"/>
    <s v="Q4"/>
    <x v="10"/>
    <x v="1"/>
    <x v="1"/>
    <x v="1"/>
    <x v="0"/>
    <s v="Road"/>
    <x v="1"/>
    <n v="7.5"/>
    <n v="203"/>
    <n v="3"/>
    <n v="3"/>
    <n v="1"/>
    <n v="0"/>
    <n v="16.37"/>
    <n v="0"/>
    <n v="1"/>
  </r>
  <r>
    <s v="SHP-502146"/>
    <d v="2024-11-11T00:00:00"/>
    <x v="0"/>
    <s v="Q4"/>
    <x v="10"/>
    <x v="2"/>
    <x v="1"/>
    <x v="0"/>
    <x v="0"/>
    <s v="Road"/>
    <x v="1"/>
    <n v="9.1"/>
    <n v="1148"/>
    <n v="4"/>
    <n v="4"/>
    <n v="1"/>
    <n v="0"/>
    <n v="20.8"/>
    <n v="0"/>
    <n v="1"/>
  </r>
  <r>
    <s v="SHP-502147"/>
    <d v="2024-11-11T00:00:00"/>
    <x v="0"/>
    <s v="Q4"/>
    <x v="10"/>
    <x v="3"/>
    <x v="0"/>
    <x v="1"/>
    <x v="1"/>
    <s v="Road"/>
    <x v="0"/>
    <n v="90.5"/>
    <n v="259"/>
    <n v="5"/>
    <n v="4"/>
    <n v="1"/>
    <n v="0"/>
    <n v="43.42"/>
    <n v="0"/>
    <n v="1"/>
  </r>
  <r>
    <s v="SHP-502148"/>
    <d v="2024-11-11T00:00:00"/>
    <x v="0"/>
    <s v="Q4"/>
    <x v="10"/>
    <x v="4"/>
    <x v="1"/>
    <x v="0"/>
    <x v="1"/>
    <s v="Road"/>
    <x v="0"/>
    <n v="107.5"/>
    <n v="689"/>
    <n v="6"/>
    <n v="5"/>
    <n v="1"/>
    <n v="0"/>
    <n v="44.41"/>
    <n v="0"/>
    <n v="1"/>
  </r>
  <r>
    <s v="SHP-502149"/>
    <d v="2024-11-11T00:00:00"/>
    <x v="0"/>
    <s v="Q4"/>
    <x v="10"/>
    <x v="1"/>
    <x v="0"/>
    <x v="4"/>
    <x v="1"/>
    <s v="Road"/>
    <x v="1"/>
    <n v="2.9"/>
    <n v="1133"/>
    <n v="7"/>
    <n v="7"/>
    <n v="1"/>
    <n v="0"/>
    <n v="17.43"/>
    <n v="0"/>
    <n v="1"/>
  </r>
  <r>
    <s v="SHP-502150"/>
    <d v="2024-11-11T00:00:00"/>
    <x v="0"/>
    <s v="Q4"/>
    <x v="10"/>
    <x v="4"/>
    <x v="1"/>
    <x v="0"/>
    <x v="1"/>
    <s v="Road"/>
    <x v="1"/>
    <n v="4.8"/>
    <n v="899"/>
    <n v="6"/>
    <n v="6"/>
    <n v="1"/>
    <n v="0"/>
    <n v="15.02"/>
    <n v="0"/>
    <n v="1"/>
  </r>
  <r>
    <s v="SHP-502151"/>
    <d v="2024-11-11T00:00:00"/>
    <x v="0"/>
    <s v="Q4"/>
    <x v="10"/>
    <x v="4"/>
    <x v="2"/>
    <x v="2"/>
    <x v="0"/>
    <s v="Road"/>
    <x v="1"/>
    <n v="6.1"/>
    <n v="1074"/>
    <n v="5"/>
    <n v="5"/>
    <n v="1"/>
    <n v="0"/>
    <n v="20.98"/>
    <n v="0"/>
    <n v="1"/>
  </r>
  <r>
    <s v="SHP-502152"/>
    <d v="2024-11-11T00:00:00"/>
    <x v="0"/>
    <s v="Q4"/>
    <x v="10"/>
    <x v="1"/>
    <x v="1"/>
    <x v="3"/>
    <x v="0"/>
    <s v="Road"/>
    <x v="0"/>
    <n v="372.7"/>
    <n v="466"/>
    <n v="4"/>
    <n v="4"/>
    <n v="1"/>
    <n v="0"/>
    <n v="165.14"/>
    <n v="0"/>
    <n v="1"/>
  </r>
  <r>
    <s v="SHP-502153"/>
    <d v="2024-11-11T00:00:00"/>
    <x v="0"/>
    <s v="Q4"/>
    <x v="10"/>
    <x v="4"/>
    <x v="1"/>
    <x v="1"/>
    <x v="0"/>
    <s v="Road"/>
    <x v="0"/>
    <n v="165.1"/>
    <n v="271"/>
    <n v="3"/>
    <n v="2"/>
    <n v="1"/>
    <n v="0"/>
    <n v="78.84"/>
    <n v="0"/>
    <n v="1"/>
  </r>
  <r>
    <s v="SHP-502154"/>
    <d v="2024-11-11T00:00:00"/>
    <x v="0"/>
    <s v="Q4"/>
    <x v="10"/>
    <x v="0"/>
    <x v="0"/>
    <x v="1"/>
    <x v="1"/>
    <s v="Road"/>
    <x v="0"/>
    <n v="140.30000000000001"/>
    <n v="214"/>
    <n v="5"/>
    <n v="4"/>
    <n v="1"/>
    <n v="0"/>
    <n v="49.59"/>
    <n v="0"/>
    <n v="1"/>
  </r>
  <r>
    <s v="SHP-502155"/>
    <d v="2024-11-11T00:00:00"/>
    <x v="0"/>
    <s v="Q4"/>
    <x v="10"/>
    <x v="0"/>
    <x v="1"/>
    <x v="2"/>
    <x v="0"/>
    <s v="Road"/>
    <x v="1"/>
    <n v="13.4"/>
    <n v="782"/>
    <n v="5"/>
    <n v="5"/>
    <n v="1"/>
    <n v="0"/>
    <n v="24.1"/>
    <n v="0"/>
    <n v="1"/>
  </r>
  <r>
    <s v="SHP-502156"/>
    <d v="2024-11-12T00:00:00"/>
    <x v="0"/>
    <s v="Q4"/>
    <x v="10"/>
    <x v="2"/>
    <x v="1"/>
    <x v="1"/>
    <x v="0"/>
    <s v="Road"/>
    <x v="1"/>
    <n v="17"/>
    <n v="204"/>
    <n v="3"/>
    <n v="2"/>
    <n v="1"/>
    <n v="0"/>
    <n v="16.829999999999998"/>
    <n v="0"/>
    <n v="1"/>
  </r>
  <r>
    <s v="SHP-502157"/>
    <d v="2024-11-12T00:00:00"/>
    <x v="0"/>
    <s v="Q4"/>
    <x v="10"/>
    <x v="1"/>
    <x v="1"/>
    <x v="0"/>
    <x v="0"/>
    <s v="Road"/>
    <x v="1"/>
    <n v="8.1999999999999993"/>
    <n v="775"/>
    <n v="4"/>
    <n v="4"/>
    <n v="1"/>
    <n v="0"/>
    <n v="21.44"/>
    <n v="0"/>
    <n v="1"/>
  </r>
  <r>
    <s v="SHP-502158"/>
    <d v="2024-11-12T00:00:00"/>
    <x v="0"/>
    <s v="Q4"/>
    <x v="10"/>
    <x v="1"/>
    <x v="0"/>
    <x v="0"/>
    <x v="0"/>
    <s v="Road"/>
    <x v="1"/>
    <n v="1.7"/>
    <n v="815"/>
    <n v="4"/>
    <n v="4"/>
    <n v="1"/>
    <n v="0"/>
    <n v="20.149999999999999"/>
    <n v="0"/>
    <n v="1"/>
  </r>
  <r>
    <s v="SHP-502159"/>
    <d v="2024-11-12T00:00:00"/>
    <x v="0"/>
    <s v="Q4"/>
    <x v="10"/>
    <x v="2"/>
    <x v="1"/>
    <x v="3"/>
    <x v="2"/>
    <s v="Road"/>
    <x v="0"/>
    <n v="55.2"/>
    <n v="424"/>
    <n v="2"/>
    <n v="8"/>
    <n v="0"/>
    <n v="6"/>
    <n v="66.36"/>
    <n v="0"/>
    <n v="1"/>
  </r>
  <r>
    <s v="SHP-502160"/>
    <d v="2024-11-12T00:00:00"/>
    <x v="0"/>
    <s v="Q4"/>
    <x v="10"/>
    <x v="2"/>
    <x v="0"/>
    <x v="0"/>
    <x v="0"/>
    <s v="Road"/>
    <x v="1"/>
    <n v="19.399999999999999"/>
    <n v="879"/>
    <n v="4"/>
    <n v="3"/>
    <n v="1"/>
    <n v="0"/>
    <n v="23.61"/>
    <n v="0"/>
    <n v="1"/>
  </r>
  <r>
    <s v="SHP-502161"/>
    <d v="2024-11-12T00:00:00"/>
    <x v="0"/>
    <s v="Q4"/>
    <x v="10"/>
    <x v="4"/>
    <x v="0"/>
    <x v="2"/>
    <x v="2"/>
    <s v="Air"/>
    <x v="1"/>
    <n v="3"/>
    <n v="1074"/>
    <n v="3"/>
    <n v="3"/>
    <n v="1"/>
    <n v="0"/>
    <n v="63.22"/>
    <n v="0"/>
    <n v="1"/>
  </r>
  <r>
    <s v="SHP-502162"/>
    <d v="2024-11-12T00:00:00"/>
    <x v="0"/>
    <s v="Q4"/>
    <x v="10"/>
    <x v="4"/>
    <x v="2"/>
    <x v="4"/>
    <x v="0"/>
    <s v="Road"/>
    <x v="0"/>
    <n v="167"/>
    <n v="1126"/>
    <n v="5"/>
    <n v="5"/>
    <n v="1"/>
    <n v="0"/>
    <n v="83.41"/>
    <n v="0"/>
    <n v="1"/>
  </r>
  <r>
    <s v="SHP-502163"/>
    <d v="2024-11-12T00:00:00"/>
    <x v="0"/>
    <s v="Q4"/>
    <x v="10"/>
    <x v="4"/>
    <x v="1"/>
    <x v="0"/>
    <x v="0"/>
    <s v="Road"/>
    <x v="1"/>
    <n v="3"/>
    <n v="686"/>
    <n v="4"/>
    <n v="3"/>
    <n v="1"/>
    <n v="0"/>
    <n v="16.14"/>
    <n v="0"/>
    <n v="1"/>
  </r>
  <r>
    <s v="SHP-502164"/>
    <d v="2024-11-12T00:00:00"/>
    <x v="0"/>
    <s v="Q4"/>
    <x v="10"/>
    <x v="1"/>
    <x v="0"/>
    <x v="2"/>
    <x v="2"/>
    <s v="Air"/>
    <x v="1"/>
    <n v="10.8"/>
    <n v="1093"/>
    <n v="3"/>
    <n v="3"/>
    <n v="1"/>
    <n v="0"/>
    <n v="81.59"/>
    <n v="0"/>
    <n v="1"/>
  </r>
  <r>
    <s v="SHP-502165"/>
    <d v="2024-11-12T00:00:00"/>
    <x v="0"/>
    <s v="Q4"/>
    <x v="10"/>
    <x v="1"/>
    <x v="2"/>
    <x v="1"/>
    <x v="0"/>
    <s v="Road"/>
    <x v="1"/>
    <n v="5.8"/>
    <n v="278"/>
    <n v="3"/>
    <n v="2"/>
    <n v="1"/>
    <n v="0"/>
    <n v="15.07"/>
    <n v="0"/>
    <n v="1"/>
  </r>
  <r>
    <s v="SHP-502166"/>
    <d v="2024-11-12T00:00:00"/>
    <x v="0"/>
    <s v="Q4"/>
    <x v="10"/>
    <x v="2"/>
    <x v="0"/>
    <x v="1"/>
    <x v="1"/>
    <s v="Road"/>
    <x v="1"/>
    <n v="3.4"/>
    <n v="249"/>
    <n v="5"/>
    <n v="5"/>
    <n v="1"/>
    <n v="0"/>
    <n v="6.52"/>
    <n v="0"/>
    <n v="1"/>
  </r>
  <r>
    <s v="SHP-502167"/>
    <d v="2024-11-13T00:00:00"/>
    <x v="0"/>
    <s v="Q4"/>
    <x v="10"/>
    <x v="2"/>
    <x v="2"/>
    <x v="1"/>
    <x v="1"/>
    <s v="Road"/>
    <x v="1"/>
    <n v="14.3"/>
    <n v="283"/>
    <n v="5"/>
    <n v="5"/>
    <n v="1"/>
    <n v="0"/>
    <n v="11.15"/>
    <n v="0"/>
    <n v="1"/>
  </r>
  <r>
    <s v="SHP-502168"/>
    <d v="2024-11-13T00:00:00"/>
    <x v="0"/>
    <s v="Q4"/>
    <x v="10"/>
    <x v="2"/>
    <x v="1"/>
    <x v="4"/>
    <x v="2"/>
    <s v="Air"/>
    <x v="1"/>
    <n v="1.9"/>
    <n v="911"/>
    <n v="3"/>
    <n v="2"/>
    <n v="1"/>
    <n v="0"/>
    <n v="46.41"/>
    <n v="0"/>
    <n v="1"/>
  </r>
  <r>
    <s v="SHP-502169"/>
    <d v="2024-11-13T00:00:00"/>
    <x v="0"/>
    <s v="Q4"/>
    <x v="10"/>
    <x v="3"/>
    <x v="0"/>
    <x v="1"/>
    <x v="1"/>
    <s v="Road"/>
    <x v="1"/>
    <n v="1.4"/>
    <n v="236"/>
    <n v="5"/>
    <n v="5"/>
    <n v="1"/>
    <n v="0"/>
    <n v="8.6300000000000008"/>
    <n v="0"/>
    <n v="1"/>
  </r>
  <r>
    <s v="SHP-502170"/>
    <d v="2024-11-13T00:00:00"/>
    <x v="0"/>
    <s v="Q4"/>
    <x v="10"/>
    <x v="1"/>
    <x v="1"/>
    <x v="2"/>
    <x v="0"/>
    <s v="Road"/>
    <x v="1"/>
    <n v="6.1"/>
    <n v="1061"/>
    <n v="5"/>
    <n v="5"/>
    <n v="1"/>
    <n v="0"/>
    <n v="21.38"/>
    <n v="0"/>
    <n v="1"/>
  </r>
  <r>
    <s v="SHP-502171"/>
    <d v="2024-11-13T00:00:00"/>
    <x v="0"/>
    <s v="Q4"/>
    <x v="10"/>
    <x v="2"/>
    <x v="2"/>
    <x v="3"/>
    <x v="1"/>
    <s v="Road"/>
    <x v="1"/>
    <n v="3.4"/>
    <n v="396"/>
    <n v="6"/>
    <n v="5"/>
    <n v="1"/>
    <n v="0"/>
    <n v="8.56"/>
    <n v="0"/>
    <n v="1"/>
  </r>
  <r>
    <s v="SHP-502172"/>
    <d v="2024-11-13T00:00:00"/>
    <x v="0"/>
    <s v="Q4"/>
    <x v="10"/>
    <x v="1"/>
    <x v="2"/>
    <x v="0"/>
    <x v="0"/>
    <s v="Road"/>
    <x v="1"/>
    <n v="4.2"/>
    <n v="1047"/>
    <n v="4"/>
    <n v="4"/>
    <n v="1"/>
    <n v="0"/>
    <n v="26.13"/>
    <n v="0"/>
    <n v="1"/>
  </r>
  <r>
    <s v="SHP-502173"/>
    <d v="2024-11-13T00:00:00"/>
    <x v="0"/>
    <s v="Q4"/>
    <x v="10"/>
    <x v="1"/>
    <x v="1"/>
    <x v="3"/>
    <x v="0"/>
    <s v="Road"/>
    <x v="0"/>
    <n v="178.2"/>
    <n v="451"/>
    <n v="4"/>
    <n v="4"/>
    <n v="1"/>
    <n v="0"/>
    <n v="86.94"/>
    <n v="0"/>
    <n v="1"/>
  </r>
  <r>
    <s v="SHP-502174"/>
    <d v="2024-11-13T00:00:00"/>
    <x v="0"/>
    <s v="Q4"/>
    <x v="10"/>
    <x v="2"/>
    <x v="1"/>
    <x v="1"/>
    <x v="0"/>
    <s v="Road"/>
    <x v="0"/>
    <n v="98.4"/>
    <n v="226"/>
    <n v="3"/>
    <n v="3"/>
    <n v="1"/>
    <n v="0"/>
    <n v="42.5"/>
    <n v="0"/>
    <n v="1"/>
  </r>
  <r>
    <s v="SHP-502175"/>
    <d v="2024-11-13T00:00:00"/>
    <x v="0"/>
    <s v="Q4"/>
    <x v="10"/>
    <x v="3"/>
    <x v="2"/>
    <x v="3"/>
    <x v="1"/>
    <s v="Road"/>
    <x v="0"/>
    <n v="21.7"/>
    <n v="487"/>
    <n v="6"/>
    <n v="6"/>
    <n v="1"/>
    <n v="0"/>
    <n v="19.059999999999999"/>
    <n v="0"/>
    <n v="1"/>
  </r>
  <r>
    <s v="SHP-502176"/>
    <d v="2024-11-13T00:00:00"/>
    <x v="0"/>
    <s v="Q4"/>
    <x v="10"/>
    <x v="2"/>
    <x v="1"/>
    <x v="2"/>
    <x v="0"/>
    <s v="Road"/>
    <x v="0"/>
    <n v="170.1"/>
    <n v="1378"/>
    <n v="5"/>
    <n v="4"/>
    <n v="1"/>
    <n v="0"/>
    <n v="79.12"/>
    <n v="1"/>
    <n v="1"/>
  </r>
  <r>
    <s v="SHP-502177"/>
    <d v="2024-11-13T00:00:00"/>
    <x v="0"/>
    <s v="Q4"/>
    <x v="10"/>
    <x v="2"/>
    <x v="1"/>
    <x v="0"/>
    <x v="0"/>
    <s v="Road"/>
    <x v="1"/>
    <n v="9.8000000000000007"/>
    <n v="871"/>
    <n v="4"/>
    <n v="5"/>
    <n v="0"/>
    <n v="1"/>
    <n v="19.62"/>
    <n v="0"/>
    <n v="1"/>
  </r>
  <r>
    <s v="SHP-502178"/>
    <d v="2024-11-13T00:00:00"/>
    <x v="0"/>
    <s v="Q4"/>
    <x v="10"/>
    <x v="0"/>
    <x v="0"/>
    <x v="1"/>
    <x v="2"/>
    <s v="Road"/>
    <x v="0"/>
    <n v="190.5"/>
    <n v="205"/>
    <n v="1"/>
    <n v="3"/>
    <n v="0"/>
    <n v="2"/>
    <n v="158.56"/>
    <n v="0"/>
    <n v="1"/>
  </r>
  <r>
    <s v="SHP-502179"/>
    <d v="2024-11-13T00:00:00"/>
    <x v="0"/>
    <s v="Q4"/>
    <x v="10"/>
    <x v="4"/>
    <x v="2"/>
    <x v="0"/>
    <x v="1"/>
    <s v="Road"/>
    <x v="1"/>
    <n v="6.5"/>
    <n v="822"/>
    <n v="6"/>
    <n v="6"/>
    <n v="1"/>
    <n v="0"/>
    <n v="15.69"/>
    <n v="0"/>
    <n v="1"/>
  </r>
  <r>
    <s v="SHP-502180"/>
    <d v="2024-11-14T00:00:00"/>
    <x v="0"/>
    <s v="Q4"/>
    <x v="10"/>
    <x v="4"/>
    <x v="0"/>
    <x v="1"/>
    <x v="0"/>
    <s v="Road"/>
    <x v="1"/>
    <n v="13.7"/>
    <n v="301"/>
    <n v="3"/>
    <n v="3"/>
    <n v="1"/>
    <n v="0"/>
    <n v="17.399999999999999"/>
    <n v="0"/>
    <n v="1"/>
  </r>
  <r>
    <s v="SHP-502181"/>
    <d v="2024-11-14T00:00:00"/>
    <x v="0"/>
    <s v="Q4"/>
    <x v="10"/>
    <x v="2"/>
    <x v="1"/>
    <x v="0"/>
    <x v="0"/>
    <s v="Road"/>
    <x v="1"/>
    <n v="3.5"/>
    <n v="853"/>
    <n v="4"/>
    <n v="3"/>
    <n v="1"/>
    <n v="0"/>
    <n v="17.899999999999999"/>
    <n v="0"/>
    <n v="1"/>
  </r>
  <r>
    <s v="SHP-502182"/>
    <d v="2024-11-14T00:00:00"/>
    <x v="0"/>
    <s v="Q4"/>
    <x v="10"/>
    <x v="3"/>
    <x v="2"/>
    <x v="0"/>
    <x v="2"/>
    <s v="Air"/>
    <x v="0"/>
    <n v="47.2"/>
    <n v="810"/>
    <n v="2"/>
    <n v="2"/>
    <n v="1"/>
    <n v="0"/>
    <n v="123.37"/>
    <n v="0"/>
    <n v="1"/>
  </r>
  <r>
    <s v="SHP-502183"/>
    <d v="2024-11-14T00:00:00"/>
    <x v="0"/>
    <s v="Q4"/>
    <x v="10"/>
    <x v="0"/>
    <x v="2"/>
    <x v="3"/>
    <x v="0"/>
    <s v="Road"/>
    <x v="1"/>
    <n v="14.8"/>
    <n v="507"/>
    <n v="4"/>
    <n v="3"/>
    <n v="1"/>
    <n v="0"/>
    <n v="22.51"/>
    <n v="0"/>
    <n v="1"/>
  </r>
  <r>
    <s v="SHP-502184"/>
    <d v="2024-11-14T00:00:00"/>
    <x v="0"/>
    <s v="Q4"/>
    <x v="10"/>
    <x v="4"/>
    <x v="1"/>
    <x v="0"/>
    <x v="0"/>
    <s v="Road"/>
    <x v="0"/>
    <n v="19.399999999999999"/>
    <n v="615"/>
    <n v="4"/>
    <n v="3"/>
    <n v="1"/>
    <n v="0"/>
    <n v="22.05"/>
    <n v="0"/>
    <n v="1"/>
  </r>
  <r>
    <s v="SHP-502185"/>
    <d v="2024-11-14T00:00:00"/>
    <x v="0"/>
    <s v="Q4"/>
    <x v="10"/>
    <x v="2"/>
    <x v="0"/>
    <x v="3"/>
    <x v="2"/>
    <s v="Road"/>
    <x v="0"/>
    <n v="195.9"/>
    <n v="438"/>
    <n v="2"/>
    <n v="1"/>
    <n v="1"/>
    <n v="0"/>
    <n v="162.96"/>
    <n v="0"/>
    <n v="1"/>
  </r>
  <r>
    <s v="SHP-502186"/>
    <d v="2024-11-14T00:00:00"/>
    <x v="0"/>
    <s v="Q4"/>
    <x v="10"/>
    <x v="0"/>
    <x v="2"/>
    <x v="0"/>
    <x v="0"/>
    <s v="Road"/>
    <x v="1"/>
    <n v="7.6"/>
    <n v="1003"/>
    <n v="4"/>
    <n v="4"/>
    <n v="1"/>
    <n v="0"/>
    <n v="21.78"/>
    <n v="0"/>
    <n v="1"/>
  </r>
  <r>
    <s v="SHP-502187"/>
    <d v="2024-11-14T00:00:00"/>
    <x v="0"/>
    <s v="Q4"/>
    <x v="10"/>
    <x v="3"/>
    <x v="1"/>
    <x v="0"/>
    <x v="0"/>
    <s v="Road"/>
    <x v="0"/>
    <n v="254.7"/>
    <n v="1080"/>
    <n v="4"/>
    <n v="4"/>
    <n v="1"/>
    <n v="0"/>
    <n v="129.63"/>
    <n v="0"/>
    <n v="1"/>
  </r>
  <r>
    <s v="SHP-502188"/>
    <d v="2024-11-14T00:00:00"/>
    <x v="0"/>
    <s v="Q4"/>
    <x v="10"/>
    <x v="0"/>
    <x v="1"/>
    <x v="1"/>
    <x v="0"/>
    <s v="Road"/>
    <x v="1"/>
    <n v="9.9"/>
    <n v="305"/>
    <n v="3"/>
    <n v="3"/>
    <n v="1"/>
    <n v="0"/>
    <n v="15.35"/>
    <n v="0"/>
    <n v="1"/>
  </r>
  <r>
    <s v="SHP-502189"/>
    <d v="2024-11-14T00:00:00"/>
    <x v="0"/>
    <s v="Q4"/>
    <x v="10"/>
    <x v="2"/>
    <x v="0"/>
    <x v="3"/>
    <x v="0"/>
    <s v="Road"/>
    <x v="0"/>
    <n v="42.7"/>
    <n v="523"/>
    <n v="4"/>
    <n v="4"/>
    <n v="1"/>
    <n v="0"/>
    <n v="29.18"/>
    <n v="0"/>
    <n v="1"/>
  </r>
  <r>
    <s v="SHP-502190"/>
    <d v="2024-11-15T00:00:00"/>
    <x v="0"/>
    <s v="Q4"/>
    <x v="10"/>
    <x v="4"/>
    <x v="0"/>
    <x v="3"/>
    <x v="1"/>
    <s v="Road"/>
    <x v="0"/>
    <n v="374.2"/>
    <n v="466"/>
    <n v="6"/>
    <n v="6"/>
    <n v="1"/>
    <n v="0"/>
    <n v="103.63"/>
    <n v="0"/>
    <n v="1"/>
  </r>
  <r>
    <s v="SHP-502191"/>
    <d v="2024-11-15T00:00:00"/>
    <x v="0"/>
    <s v="Q4"/>
    <x v="10"/>
    <x v="4"/>
    <x v="2"/>
    <x v="0"/>
    <x v="2"/>
    <s v="Air"/>
    <x v="1"/>
    <n v="9.9"/>
    <n v="1027"/>
    <n v="2"/>
    <n v="6"/>
    <n v="0"/>
    <n v="4"/>
    <n v="75.39"/>
    <n v="0"/>
    <n v="1"/>
  </r>
  <r>
    <s v="SHP-502192"/>
    <d v="2024-11-15T00:00:00"/>
    <x v="0"/>
    <s v="Q4"/>
    <x v="10"/>
    <x v="2"/>
    <x v="2"/>
    <x v="2"/>
    <x v="0"/>
    <s v="Road"/>
    <x v="1"/>
    <n v="4.5999999999999996"/>
    <n v="868"/>
    <n v="5"/>
    <n v="7"/>
    <n v="0"/>
    <n v="2"/>
    <n v="15.81"/>
    <n v="0"/>
    <n v="1"/>
  </r>
  <r>
    <s v="SHP-502193"/>
    <d v="2024-11-15T00:00:00"/>
    <x v="0"/>
    <s v="Q4"/>
    <x v="10"/>
    <x v="0"/>
    <x v="1"/>
    <x v="2"/>
    <x v="0"/>
    <s v="Road"/>
    <x v="1"/>
    <n v="7.9"/>
    <n v="1243"/>
    <n v="5"/>
    <n v="5"/>
    <n v="1"/>
    <n v="0"/>
    <n v="25.48"/>
    <n v="0"/>
    <n v="1"/>
  </r>
  <r>
    <s v="SHP-502194"/>
    <d v="2024-11-15T00:00:00"/>
    <x v="0"/>
    <s v="Q4"/>
    <x v="10"/>
    <x v="4"/>
    <x v="1"/>
    <x v="1"/>
    <x v="0"/>
    <s v="Road"/>
    <x v="1"/>
    <n v="6.8"/>
    <n v="265"/>
    <n v="3"/>
    <n v="2"/>
    <n v="1"/>
    <n v="0"/>
    <n v="13.64"/>
    <n v="0"/>
    <n v="1"/>
  </r>
  <r>
    <s v="SHP-502195"/>
    <d v="2024-11-15T00:00:00"/>
    <x v="0"/>
    <s v="Q4"/>
    <x v="10"/>
    <x v="4"/>
    <x v="1"/>
    <x v="3"/>
    <x v="0"/>
    <s v="Road"/>
    <x v="1"/>
    <n v="8.8000000000000007"/>
    <n v="608"/>
    <n v="4"/>
    <n v="4"/>
    <n v="1"/>
    <n v="0"/>
    <n v="18.989999999999998"/>
    <n v="0"/>
    <n v="1"/>
  </r>
  <r>
    <s v="SHP-502196"/>
    <d v="2024-11-15T00:00:00"/>
    <x v="0"/>
    <s v="Q4"/>
    <x v="10"/>
    <x v="3"/>
    <x v="2"/>
    <x v="1"/>
    <x v="2"/>
    <s v="Road"/>
    <x v="1"/>
    <n v="8.3000000000000007"/>
    <n v="278"/>
    <n v="1"/>
    <n v="1"/>
    <n v="1"/>
    <n v="0"/>
    <n v="31.55"/>
    <n v="0"/>
    <n v="1"/>
  </r>
  <r>
    <s v="SHP-502197"/>
    <d v="2024-11-15T00:00:00"/>
    <x v="0"/>
    <s v="Q4"/>
    <x v="10"/>
    <x v="4"/>
    <x v="0"/>
    <x v="0"/>
    <x v="2"/>
    <s v="Air"/>
    <x v="0"/>
    <n v="69.7"/>
    <n v="823"/>
    <n v="2"/>
    <n v="1"/>
    <n v="1"/>
    <n v="0"/>
    <n v="153.38"/>
    <n v="0"/>
    <n v="1"/>
  </r>
  <r>
    <s v="SHP-502198"/>
    <d v="2024-11-15T00:00:00"/>
    <x v="0"/>
    <s v="Q4"/>
    <x v="10"/>
    <x v="2"/>
    <x v="2"/>
    <x v="3"/>
    <x v="1"/>
    <s v="Road"/>
    <x v="0"/>
    <n v="147.4"/>
    <n v="524"/>
    <n v="6"/>
    <n v="5"/>
    <n v="1"/>
    <n v="0"/>
    <n v="49.37"/>
    <n v="0"/>
    <n v="1"/>
  </r>
  <r>
    <s v="SHP-502199"/>
    <d v="2024-11-15T00:00:00"/>
    <x v="0"/>
    <s v="Q4"/>
    <x v="10"/>
    <x v="1"/>
    <x v="2"/>
    <x v="1"/>
    <x v="0"/>
    <s v="Road"/>
    <x v="0"/>
    <n v="41.6"/>
    <n v="216"/>
    <n v="3"/>
    <n v="3"/>
    <n v="1"/>
    <n v="0"/>
    <n v="30.29"/>
    <n v="0"/>
    <n v="1"/>
  </r>
  <r>
    <s v="SHP-502200"/>
    <d v="2024-11-15T00:00:00"/>
    <x v="0"/>
    <s v="Q4"/>
    <x v="10"/>
    <x v="1"/>
    <x v="1"/>
    <x v="3"/>
    <x v="1"/>
    <s v="Road"/>
    <x v="1"/>
    <n v="9.3000000000000007"/>
    <n v="409"/>
    <n v="6"/>
    <n v="6"/>
    <n v="1"/>
    <n v="0"/>
    <n v="12.11"/>
    <n v="0"/>
    <n v="1"/>
  </r>
  <r>
    <s v="SHP-502201"/>
    <d v="2024-11-15T00:00:00"/>
    <x v="0"/>
    <s v="Q4"/>
    <x v="10"/>
    <x v="0"/>
    <x v="2"/>
    <x v="1"/>
    <x v="1"/>
    <s v="Road"/>
    <x v="0"/>
    <n v="82.1"/>
    <n v="251"/>
    <n v="5"/>
    <n v="5"/>
    <n v="1"/>
    <n v="0"/>
    <n v="31.01"/>
    <n v="0"/>
    <n v="1"/>
  </r>
  <r>
    <s v="SHP-502202"/>
    <d v="2024-11-15T00:00:00"/>
    <x v="0"/>
    <s v="Q4"/>
    <x v="10"/>
    <x v="2"/>
    <x v="0"/>
    <x v="4"/>
    <x v="2"/>
    <s v="Air"/>
    <x v="0"/>
    <n v="245.8"/>
    <n v="1098"/>
    <n v="3"/>
    <n v="4"/>
    <n v="0"/>
    <n v="1"/>
    <n v="298.44"/>
    <n v="0"/>
    <n v="1"/>
  </r>
  <r>
    <s v="SHP-502203"/>
    <d v="2024-11-15T00:00:00"/>
    <x v="0"/>
    <s v="Q4"/>
    <x v="10"/>
    <x v="4"/>
    <x v="1"/>
    <x v="4"/>
    <x v="0"/>
    <s v="Road"/>
    <x v="1"/>
    <n v="4.4000000000000004"/>
    <n v="1203"/>
    <n v="5"/>
    <n v="4"/>
    <n v="1"/>
    <n v="0"/>
    <n v="23.26"/>
    <n v="0"/>
    <n v="1"/>
  </r>
  <r>
    <s v="SHP-502204"/>
    <d v="2024-11-16T00:00:00"/>
    <x v="0"/>
    <s v="Q4"/>
    <x v="10"/>
    <x v="2"/>
    <x v="1"/>
    <x v="4"/>
    <x v="0"/>
    <s v="Road"/>
    <x v="1"/>
    <n v="3.4"/>
    <n v="963"/>
    <n v="5"/>
    <n v="4"/>
    <n v="1"/>
    <n v="0"/>
    <n v="18.71"/>
    <n v="0"/>
    <n v="1"/>
  </r>
  <r>
    <s v="SHP-502205"/>
    <d v="2024-11-16T00:00:00"/>
    <x v="0"/>
    <s v="Q4"/>
    <x v="10"/>
    <x v="2"/>
    <x v="2"/>
    <x v="3"/>
    <x v="0"/>
    <s v="Road"/>
    <x v="1"/>
    <n v="1.7"/>
    <n v="460"/>
    <n v="4"/>
    <n v="7"/>
    <n v="0"/>
    <n v="3"/>
    <n v="11.15"/>
    <n v="0"/>
    <n v="1"/>
  </r>
  <r>
    <s v="SHP-502206"/>
    <d v="2024-11-16T00:00:00"/>
    <x v="0"/>
    <s v="Q4"/>
    <x v="10"/>
    <x v="3"/>
    <x v="0"/>
    <x v="0"/>
    <x v="0"/>
    <s v="Road"/>
    <x v="1"/>
    <n v="2.8"/>
    <n v="766"/>
    <n v="4"/>
    <n v="4"/>
    <n v="1"/>
    <n v="0"/>
    <n v="20.03"/>
    <n v="0"/>
    <n v="1"/>
  </r>
  <r>
    <s v="SHP-502207"/>
    <d v="2024-11-16T00:00:00"/>
    <x v="0"/>
    <s v="Q4"/>
    <x v="10"/>
    <x v="2"/>
    <x v="2"/>
    <x v="1"/>
    <x v="0"/>
    <s v="Road"/>
    <x v="1"/>
    <n v="1.7"/>
    <n v="309"/>
    <n v="3"/>
    <n v="6"/>
    <n v="0"/>
    <n v="3"/>
    <n v="9.5399999999999991"/>
    <n v="0"/>
    <n v="1"/>
  </r>
  <r>
    <s v="SHP-502208"/>
    <d v="2024-11-16T00:00:00"/>
    <x v="0"/>
    <s v="Q4"/>
    <x v="10"/>
    <x v="4"/>
    <x v="1"/>
    <x v="2"/>
    <x v="1"/>
    <s v="Road"/>
    <x v="0"/>
    <n v="75.5"/>
    <n v="1173"/>
    <n v="7"/>
    <n v="8"/>
    <n v="0"/>
    <n v="1"/>
    <n v="39.94"/>
    <n v="0"/>
    <n v="1"/>
  </r>
  <r>
    <s v="SHP-502209"/>
    <d v="2024-11-16T00:00:00"/>
    <x v="0"/>
    <s v="Q4"/>
    <x v="10"/>
    <x v="4"/>
    <x v="2"/>
    <x v="1"/>
    <x v="0"/>
    <s v="Road"/>
    <x v="0"/>
    <n v="107.4"/>
    <n v="239"/>
    <n v="3"/>
    <n v="3"/>
    <n v="1"/>
    <n v="0"/>
    <n v="58.94"/>
    <n v="0"/>
    <n v="1"/>
  </r>
  <r>
    <s v="SHP-502210"/>
    <d v="2024-11-16T00:00:00"/>
    <x v="0"/>
    <s v="Q4"/>
    <x v="10"/>
    <x v="3"/>
    <x v="0"/>
    <x v="3"/>
    <x v="1"/>
    <s v="Road"/>
    <x v="1"/>
    <n v="15.2"/>
    <n v="530"/>
    <n v="6"/>
    <n v="6"/>
    <n v="1"/>
    <n v="0"/>
    <n v="15.86"/>
    <n v="0"/>
    <n v="1"/>
  </r>
  <r>
    <s v="SHP-502211"/>
    <d v="2024-11-16T00:00:00"/>
    <x v="0"/>
    <s v="Q4"/>
    <x v="10"/>
    <x v="2"/>
    <x v="2"/>
    <x v="2"/>
    <x v="0"/>
    <s v="Road"/>
    <x v="0"/>
    <n v="62.6"/>
    <n v="1081"/>
    <n v="5"/>
    <n v="5"/>
    <n v="1"/>
    <n v="0"/>
    <n v="35.36"/>
    <n v="0"/>
    <n v="1"/>
  </r>
  <r>
    <s v="SHP-502212"/>
    <d v="2024-11-16T00:00:00"/>
    <x v="0"/>
    <s v="Q4"/>
    <x v="10"/>
    <x v="3"/>
    <x v="2"/>
    <x v="0"/>
    <x v="2"/>
    <s v="Air"/>
    <x v="1"/>
    <n v="0.7"/>
    <n v="879"/>
    <n v="2"/>
    <n v="4"/>
    <n v="0"/>
    <n v="2"/>
    <n v="63.26"/>
    <n v="0"/>
    <n v="1"/>
  </r>
  <r>
    <s v="SHP-502213"/>
    <d v="2024-11-16T00:00:00"/>
    <x v="0"/>
    <s v="Q4"/>
    <x v="10"/>
    <x v="4"/>
    <x v="1"/>
    <x v="0"/>
    <x v="0"/>
    <s v="Road"/>
    <x v="1"/>
    <n v="12.8"/>
    <n v="749"/>
    <n v="4"/>
    <n v="4"/>
    <n v="1"/>
    <n v="0"/>
    <n v="25.01"/>
    <n v="0"/>
    <n v="1"/>
  </r>
  <r>
    <s v="SHP-502214"/>
    <d v="2024-11-17T00:00:00"/>
    <x v="0"/>
    <s v="Q4"/>
    <x v="10"/>
    <x v="4"/>
    <x v="0"/>
    <x v="3"/>
    <x v="0"/>
    <s v="Road"/>
    <x v="1"/>
    <n v="3"/>
    <n v="481"/>
    <n v="4"/>
    <n v="4"/>
    <n v="1"/>
    <n v="0"/>
    <n v="11.45"/>
    <n v="0"/>
    <n v="1"/>
  </r>
  <r>
    <s v="SHP-502215"/>
    <d v="2024-11-17T00:00:00"/>
    <x v="0"/>
    <s v="Q4"/>
    <x v="10"/>
    <x v="3"/>
    <x v="2"/>
    <x v="1"/>
    <x v="0"/>
    <s v="Road"/>
    <x v="1"/>
    <n v="2.9"/>
    <n v="221"/>
    <n v="3"/>
    <n v="2"/>
    <n v="1"/>
    <n v="0"/>
    <n v="12.78"/>
    <n v="0"/>
    <n v="1"/>
  </r>
  <r>
    <s v="SHP-502216"/>
    <d v="2024-11-17T00:00:00"/>
    <x v="0"/>
    <s v="Q4"/>
    <x v="10"/>
    <x v="3"/>
    <x v="2"/>
    <x v="1"/>
    <x v="1"/>
    <s v="Road"/>
    <x v="0"/>
    <n v="262"/>
    <n v="286"/>
    <n v="5"/>
    <n v="5"/>
    <n v="1"/>
    <n v="0"/>
    <n v="89.42"/>
    <n v="0"/>
    <n v="1"/>
  </r>
  <r>
    <s v="SHP-502217"/>
    <d v="2024-11-18T00:00:00"/>
    <x v="0"/>
    <s v="Q4"/>
    <x v="10"/>
    <x v="3"/>
    <x v="2"/>
    <x v="3"/>
    <x v="2"/>
    <s v="Road"/>
    <x v="1"/>
    <n v="10.6"/>
    <n v="446"/>
    <n v="2"/>
    <n v="2"/>
    <n v="1"/>
    <n v="0"/>
    <n v="45.07"/>
    <n v="0"/>
    <n v="1"/>
  </r>
  <r>
    <s v="SHP-502218"/>
    <d v="2024-11-18T00:00:00"/>
    <x v="0"/>
    <s v="Q4"/>
    <x v="10"/>
    <x v="3"/>
    <x v="0"/>
    <x v="0"/>
    <x v="0"/>
    <s v="Road"/>
    <x v="0"/>
    <n v="149.4"/>
    <n v="970"/>
    <n v="4"/>
    <n v="5"/>
    <n v="0"/>
    <n v="1"/>
    <n v="88.14"/>
    <n v="0"/>
    <n v="1"/>
  </r>
  <r>
    <s v="SHP-502219"/>
    <d v="2024-11-18T00:00:00"/>
    <x v="0"/>
    <s v="Q4"/>
    <x v="10"/>
    <x v="2"/>
    <x v="2"/>
    <x v="1"/>
    <x v="0"/>
    <s v="Road"/>
    <x v="1"/>
    <n v="3.8"/>
    <n v="207"/>
    <n v="3"/>
    <n v="3"/>
    <n v="1"/>
    <n v="0"/>
    <n v="10.53"/>
    <n v="0"/>
    <n v="1"/>
  </r>
  <r>
    <s v="SHP-502220"/>
    <d v="2024-11-18T00:00:00"/>
    <x v="0"/>
    <s v="Q4"/>
    <x v="10"/>
    <x v="1"/>
    <x v="0"/>
    <x v="3"/>
    <x v="1"/>
    <s v="Road"/>
    <x v="0"/>
    <n v="135.9"/>
    <n v="429"/>
    <n v="6"/>
    <n v="5"/>
    <n v="1"/>
    <n v="0"/>
    <n v="49.76"/>
    <n v="0"/>
    <n v="1"/>
  </r>
  <r>
    <s v="SHP-502221"/>
    <d v="2024-11-18T00:00:00"/>
    <x v="0"/>
    <s v="Q4"/>
    <x v="10"/>
    <x v="4"/>
    <x v="2"/>
    <x v="4"/>
    <x v="0"/>
    <s v="Road"/>
    <x v="1"/>
    <n v="4.9000000000000004"/>
    <n v="989"/>
    <n v="5"/>
    <n v="8"/>
    <n v="0"/>
    <n v="3"/>
    <n v="22.62"/>
    <n v="0"/>
    <n v="1"/>
  </r>
  <r>
    <s v="SHP-502222"/>
    <d v="2024-11-18T00:00:00"/>
    <x v="0"/>
    <s v="Q4"/>
    <x v="10"/>
    <x v="0"/>
    <x v="2"/>
    <x v="0"/>
    <x v="2"/>
    <s v="Air"/>
    <x v="1"/>
    <n v="28.1"/>
    <n v="770"/>
    <n v="2"/>
    <n v="2"/>
    <n v="1"/>
    <n v="0"/>
    <n v="90.98"/>
    <n v="0"/>
    <n v="1"/>
  </r>
  <r>
    <s v="SHP-502223"/>
    <d v="2024-11-18T00:00:00"/>
    <x v="0"/>
    <s v="Q4"/>
    <x v="10"/>
    <x v="4"/>
    <x v="2"/>
    <x v="2"/>
    <x v="0"/>
    <s v="Road"/>
    <x v="1"/>
    <n v="2.2999999999999998"/>
    <n v="1204"/>
    <n v="5"/>
    <n v="5"/>
    <n v="1"/>
    <n v="0"/>
    <n v="21.9"/>
    <n v="0"/>
    <n v="1"/>
  </r>
  <r>
    <s v="SHP-502224"/>
    <d v="2024-11-18T00:00:00"/>
    <x v="0"/>
    <s v="Q4"/>
    <x v="10"/>
    <x v="3"/>
    <x v="2"/>
    <x v="1"/>
    <x v="2"/>
    <s v="Road"/>
    <x v="1"/>
    <n v="8.3000000000000007"/>
    <n v="240"/>
    <n v="1"/>
    <n v="1"/>
    <n v="1"/>
    <n v="0"/>
    <n v="30.27"/>
    <n v="0"/>
    <n v="1"/>
  </r>
  <r>
    <s v="SHP-502225"/>
    <d v="2024-11-18T00:00:00"/>
    <x v="0"/>
    <s v="Q4"/>
    <x v="10"/>
    <x v="1"/>
    <x v="0"/>
    <x v="0"/>
    <x v="0"/>
    <s v="Road"/>
    <x v="0"/>
    <n v="142.19999999999999"/>
    <n v="853"/>
    <n v="4"/>
    <n v="4"/>
    <n v="1"/>
    <n v="0"/>
    <n v="79.959999999999994"/>
    <n v="0"/>
    <n v="1"/>
  </r>
  <r>
    <s v="SHP-502226"/>
    <d v="2024-11-18T00:00:00"/>
    <x v="0"/>
    <s v="Q4"/>
    <x v="10"/>
    <x v="4"/>
    <x v="0"/>
    <x v="1"/>
    <x v="0"/>
    <s v="Road"/>
    <x v="1"/>
    <n v="9.6"/>
    <n v="281"/>
    <n v="3"/>
    <n v="3"/>
    <n v="1"/>
    <n v="0"/>
    <n v="15.64"/>
    <n v="0"/>
    <n v="1"/>
  </r>
  <r>
    <s v="SHP-502227"/>
    <d v="2024-11-18T00:00:00"/>
    <x v="0"/>
    <s v="Q4"/>
    <x v="10"/>
    <x v="1"/>
    <x v="1"/>
    <x v="1"/>
    <x v="0"/>
    <s v="Road"/>
    <x v="0"/>
    <n v="53.8"/>
    <n v="245"/>
    <n v="3"/>
    <n v="3"/>
    <n v="1"/>
    <n v="0"/>
    <n v="33.229999999999997"/>
    <n v="0"/>
    <n v="1"/>
  </r>
  <r>
    <s v="SHP-502228"/>
    <d v="2024-11-18T00:00:00"/>
    <x v="0"/>
    <s v="Q4"/>
    <x v="10"/>
    <x v="2"/>
    <x v="1"/>
    <x v="3"/>
    <x v="1"/>
    <s v="Road"/>
    <x v="0"/>
    <n v="47.6"/>
    <n v="398"/>
    <n v="6"/>
    <n v="5"/>
    <n v="1"/>
    <n v="0"/>
    <n v="22.25"/>
    <n v="0"/>
    <n v="1"/>
  </r>
  <r>
    <s v="SHP-502229"/>
    <d v="2024-11-18T00:00:00"/>
    <x v="0"/>
    <s v="Q4"/>
    <x v="10"/>
    <x v="4"/>
    <x v="2"/>
    <x v="2"/>
    <x v="0"/>
    <s v="Road"/>
    <x v="0"/>
    <n v="205.1"/>
    <n v="1246"/>
    <n v="5"/>
    <n v="8"/>
    <n v="0"/>
    <n v="3"/>
    <n v="105.57"/>
    <n v="0"/>
    <n v="1"/>
  </r>
  <r>
    <s v="SHP-502230"/>
    <d v="2024-11-18T00:00:00"/>
    <x v="0"/>
    <s v="Q4"/>
    <x v="10"/>
    <x v="2"/>
    <x v="1"/>
    <x v="3"/>
    <x v="0"/>
    <s v="Road"/>
    <x v="0"/>
    <n v="12.7"/>
    <n v="489"/>
    <n v="4"/>
    <n v="4"/>
    <n v="1"/>
    <n v="0"/>
    <n v="17.2"/>
    <n v="0"/>
    <n v="1"/>
  </r>
  <r>
    <s v="SHP-502231"/>
    <d v="2024-11-19T00:00:00"/>
    <x v="0"/>
    <s v="Q4"/>
    <x v="10"/>
    <x v="1"/>
    <x v="1"/>
    <x v="0"/>
    <x v="0"/>
    <s v="Road"/>
    <x v="1"/>
    <n v="5.7"/>
    <n v="1012"/>
    <n v="4"/>
    <n v="5"/>
    <n v="0"/>
    <n v="1"/>
    <n v="23.21"/>
    <n v="0"/>
    <n v="1"/>
  </r>
  <r>
    <s v="SHP-502232"/>
    <d v="2024-11-19T00:00:00"/>
    <x v="0"/>
    <s v="Q4"/>
    <x v="10"/>
    <x v="4"/>
    <x v="2"/>
    <x v="2"/>
    <x v="0"/>
    <s v="Road"/>
    <x v="0"/>
    <n v="157.69999999999999"/>
    <n v="904"/>
    <n v="5"/>
    <n v="5"/>
    <n v="1"/>
    <n v="0"/>
    <n v="78.8"/>
    <n v="0"/>
    <n v="1"/>
  </r>
  <r>
    <s v="SHP-502233"/>
    <d v="2024-11-19T00:00:00"/>
    <x v="0"/>
    <s v="Q4"/>
    <x v="10"/>
    <x v="3"/>
    <x v="2"/>
    <x v="3"/>
    <x v="0"/>
    <s v="Road"/>
    <x v="0"/>
    <n v="29.3"/>
    <n v="538"/>
    <n v="4"/>
    <n v="3"/>
    <n v="1"/>
    <n v="0"/>
    <n v="26.62"/>
    <n v="0"/>
    <n v="1"/>
  </r>
  <r>
    <s v="SHP-502234"/>
    <d v="2024-11-19T00:00:00"/>
    <x v="0"/>
    <s v="Q4"/>
    <x v="10"/>
    <x v="2"/>
    <x v="2"/>
    <x v="2"/>
    <x v="0"/>
    <s v="Road"/>
    <x v="1"/>
    <n v="7"/>
    <n v="1100"/>
    <n v="5"/>
    <n v="5"/>
    <n v="1"/>
    <n v="0"/>
    <n v="20.440000000000001"/>
    <n v="0"/>
    <n v="1"/>
  </r>
  <r>
    <s v="SHP-502235"/>
    <d v="2024-11-19T00:00:00"/>
    <x v="0"/>
    <s v="Q4"/>
    <x v="10"/>
    <x v="4"/>
    <x v="2"/>
    <x v="1"/>
    <x v="0"/>
    <s v="Road"/>
    <x v="0"/>
    <n v="174.4"/>
    <n v="234"/>
    <n v="3"/>
    <n v="6"/>
    <n v="0"/>
    <n v="3"/>
    <n v="82.74"/>
    <n v="0"/>
    <n v="1"/>
  </r>
  <r>
    <s v="SHP-502236"/>
    <d v="2024-11-19T00:00:00"/>
    <x v="0"/>
    <s v="Q4"/>
    <x v="10"/>
    <x v="3"/>
    <x v="2"/>
    <x v="0"/>
    <x v="2"/>
    <s v="Air"/>
    <x v="0"/>
    <n v="68.599999999999994"/>
    <n v="1025"/>
    <n v="2"/>
    <n v="2"/>
    <n v="1"/>
    <n v="0"/>
    <n v="183.49"/>
    <n v="0"/>
    <n v="1"/>
  </r>
  <r>
    <s v="SHP-502237"/>
    <d v="2024-11-19T00:00:00"/>
    <x v="0"/>
    <s v="Q4"/>
    <x v="10"/>
    <x v="0"/>
    <x v="1"/>
    <x v="2"/>
    <x v="0"/>
    <s v="Road"/>
    <x v="0"/>
    <n v="125.9"/>
    <n v="700"/>
    <n v="5"/>
    <n v="5"/>
    <n v="1"/>
    <n v="0"/>
    <n v="63.39"/>
    <n v="0"/>
    <n v="1"/>
  </r>
  <r>
    <s v="SHP-502238"/>
    <d v="2024-11-19T00:00:00"/>
    <x v="0"/>
    <s v="Q4"/>
    <x v="10"/>
    <x v="4"/>
    <x v="2"/>
    <x v="0"/>
    <x v="0"/>
    <s v="Road"/>
    <x v="1"/>
    <n v="1.6"/>
    <n v="789"/>
    <n v="4"/>
    <n v="7"/>
    <n v="0"/>
    <n v="3"/>
    <n v="17.600000000000001"/>
    <n v="0"/>
    <n v="1"/>
  </r>
  <r>
    <s v="SHP-502239"/>
    <d v="2024-11-19T00:00:00"/>
    <x v="0"/>
    <s v="Q4"/>
    <x v="10"/>
    <x v="1"/>
    <x v="0"/>
    <x v="1"/>
    <x v="1"/>
    <s v="Road"/>
    <x v="0"/>
    <n v="36.700000000000003"/>
    <n v="277"/>
    <n v="5"/>
    <n v="8"/>
    <n v="0"/>
    <n v="3"/>
    <n v="20.309999999999999"/>
    <n v="0"/>
    <n v="1"/>
  </r>
  <r>
    <s v="SHP-502240"/>
    <d v="2024-11-19T00:00:00"/>
    <x v="0"/>
    <s v="Q4"/>
    <x v="10"/>
    <x v="2"/>
    <x v="2"/>
    <x v="1"/>
    <x v="2"/>
    <s v="Road"/>
    <x v="1"/>
    <n v="6.7"/>
    <n v="312"/>
    <n v="1"/>
    <n v="3"/>
    <n v="0"/>
    <n v="2"/>
    <n v="23.85"/>
    <n v="0"/>
    <n v="1"/>
  </r>
  <r>
    <s v="SHP-502241"/>
    <d v="2024-11-19T00:00:00"/>
    <x v="0"/>
    <s v="Q4"/>
    <x v="10"/>
    <x v="2"/>
    <x v="2"/>
    <x v="1"/>
    <x v="0"/>
    <s v="Road"/>
    <x v="1"/>
    <n v="12.7"/>
    <n v="226"/>
    <n v="3"/>
    <n v="5"/>
    <n v="0"/>
    <n v="2"/>
    <n v="12.98"/>
    <n v="0"/>
    <n v="1"/>
  </r>
  <r>
    <s v="SHP-502242"/>
    <d v="2024-11-19T00:00:00"/>
    <x v="0"/>
    <s v="Q4"/>
    <x v="10"/>
    <x v="1"/>
    <x v="2"/>
    <x v="2"/>
    <x v="0"/>
    <s v="Road"/>
    <x v="1"/>
    <n v="5.5"/>
    <n v="984"/>
    <n v="5"/>
    <n v="6"/>
    <n v="0"/>
    <n v="1"/>
    <n v="24.62"/>
    <n v="0"/>
    <n v="1"/>
  </r>
  <r>
    <s v="SHP-502243"/>
    <d v="2024-11-19T00:00:00"/>
    <x v="0"/>
    <s v="Q4"/>
    <x v="10"/>
    <x v="3"/>
    <x v="2"/>
    <x v="1"/>
    <x v="0"/>
    <s v="Road"/>
    <x v="1"/>
    <n v="12"/>
    <n v="295"/>
    <n v="3"/>
    <n v="6"/>
    <n v="0"/>
    <n v="3"/>
    <n v="18.47"/>
    <n v="0"/>
    <n v="1"/>
  </r>
  <r>
    <s v="SHP-502244"/>
    <d v="2024-11-19T00:00:00"/>
    <x v="0"/>
    <s v="Q4"/>
    <x v="10"/>
    <x v="4"/>
    <x v="2"/>
    <x v="1"/>
    <x v="0"/>
    <s v="Road"/>
    <x v="1"/>
    <n v="3.7"/>
    <n v="248"/>
    <n v="3"/>
    <n v="4"/>
    <n v="0"/>
    <n v="1"/>
    <n v="10.86"/>
    <n v="0"/>
    <n v="1"/>
  </r>
  <r>
    <s v="SHP-502245"/>
    <d v="2024-11-19T00:00:00"/>
    <x v="0"/>
    <s v="Q4"/>
    <x v="10"/>
    <x v="4"/>
    <x v="0"/>
    <x v="0"/>
    <x v="1"/>
    <s v="Road"/>
    <x v="0"/>
    <n v="16.399999999999999"/>
    <n v="790"/>
    <n v="6"/>
    <n v="6"/>
    <n v="1"/>
    <n v="0"/>
    <n v="18.350000000000001"/>
    <n v="0"/>
    <n v="1"/>
  </r>
  <r>
    <s v="SHP-502246"/>
    <d v="2024-11-19T00:00:00"/>
    <x v="0"/>
    <s v="Q4"/>
    <x v="10"/>
    <x v="1"/>
    <x v="2"/>
    <x v="1"/>
    <x v="0"/>
    <s v="Road"/>
    <x v="0"/>
    <n v="172.6"/>
    <n v="251"/>
    <n v="3"/>
    <n v="3"/>
    <n v="1"/>
    <n v="0"/>
    <n v="80.86"/>
    <n v="0"/>
    <n v="1"/>
  </r>
  <r>
    <s v="SHP-502247"/>
    <d v="2024-11-19T00:00:00"/>
    <x v="0"/>
    <s v="Q4"/>
    <x v="10"/>
    <x v="2"/>
    <x v="2"/>
    <x v="4"/>
    <x v="1"/>
    <s v="Road"/>
    <x v="1"/>
    <n v="7.3"/>
    <n v="1380"/>
    <n v="7"/>
    <n v="9"/>
    <n v="0"/>
    <n v="2"/>
    <n v="17.5"/>
    <n v="0"/>
    <n v="1"/>
  </r>
  <r>
    <s v="SHP-502248"/>
    <d v="2024-11-19T00:00:00"/>
    <x v="0"/>
    <s v="Q4"/>
    <x v="10"/>
    <x v="2"/>
    <x v="2"/>
    <x v="0"/>
    <x v="0"/>
    <s v="Road"/>
    <x v="1"/>
    <n v="6.2"/>
    <n v="730"/>
    <n v="4"/>
    <n v="8"/>
    <n v="0"/>
    <n v="4"/>
    <n v="15.19"/>
    <n v="0"/>
    <n v="1"/>
  </r>
  <r>
    <s v="SHP-502249"/>
    <d v="2024-11-20T00:00:00"/>
    <x v="0"/>
    <s v="Q4"/>
    <x v="10"/>
    <x v="3"/>
    <x v="2"/>
    <x v="2"/>
    <x v="0"/>
    <s v="Road"/>
    <x v="1"/>
    <n v="11.5"/>
    <n v="1343"/>
    <n v="5"/>
    <n v="8"/>
    <n v="0"/>
    <n v="3"/>
    <n v="33.96"/>
    <n v="0"/>
    <n v="1"/>
  </r>
  <r>
    <s v="SHP-502250"/>
    <d v="2024-11-20T00:00:00"/>
    <x v="0"/>
    <s v="Q4"/>
    <x v="10"/>
    <x v="3"/>
    <x v="2"/>
    <x v="0"/>
    <x v="0"/>
    <s v="Road"/>
    <x v="0"/>
    <n v="30.4"/>
    <n v="929"/>
    <n v="4"/>
    <n v="4"/>
    <n v="1"/>
    <n v="0"/>
    <n v="33.47"/>
    <n v="0"/>
    <n v="1"/>
  </r>
  <r>
    <s v="SHP-502251"/>
    <d v="2024-11-20T00:00:00"/>
    <x v="0"/>
    <s v="Q4"/>
    <x v="10"/>
    <x v="3"/>
    <x v="2"/>
    <x v="3"/>
    <x v="0"/>
    <s v="Road"/>
    <x v="1"/>
    <n v="4.7"/>
    <n v="370"/>
    <n v="4"/>
    <n v="4"/>
    <n v="1"/>
    <n v="0"/>
    <n v="15.45"/>
    <n v="0"/>
    <n v="1"/>
  </r>
  <r>
    <s v="SHP-502252"/>
    <d v="2024-11-20T00:00:00"/>
    <x v="0"/>
    <s v="Q4"/>
    <x v="10"/>
    <x v="3"/>
    <x v="1"/>
    <x v="3"/>
    <x v="0"/>
    <s v="Road"/>
    <x v="1"/>
    <n v="1.9"/>
    <n v="513"/>
    <n v="4"/>
    <n v="4"/>
    <n v="1"/>
    <n v="0"/>
    <n v="16.829999999999998"/>
    <n v="0"/>
    <n v="1"/>
  </r>
  <r>
    <s v="SHP-502253"/>
    <d v="2024-11-20T00:00:00"/>
    <x v="0"/>
    <s v="Q4"/>
    <x v="10"/>
    <x v="3"/>
    <x v="2"/>
    <x v="3"/>
    <x v="0"/>
    <s v="Road"/>
    <x v="0"/>
    <n v="136.4"/>
    <n v="472"/>
    <n v="4"/>
    <n v="3"/>
    <n v="1"/>
    <n v="0"/>
    <n v="76.36"/>
    <n v="0"/>
    <n v="1"/>
  </r>
  <r>
    <s v="SHP-502254"/>
    <d v="2024-11-20T00:00:00"/>
    <x v="0"/>
    <s v="Q4"/>
    <x v="10"/>
    <x v="4"/>
    <x v="2"/>
    <x v="0"/>
    <x v="0"/>
    <s v="Road"/>
    <x v="0"/>
    <n v="202.9"/>
    <n v="794"/>
    <n v="4"/>
    <n v="9"/>
    <n v="0"/>
    <n v="5"/>
    <n v="96.03"/>
    <n v="0"/>
    <n v="1"/>
  </r>
  <r>
    <s v="SHP-502255"/>
    <d v="2024-11-20T00:00:00"/>
    <x v="0"/>
    <s v="Q4"/>
    <x v="10"/>
    <x v="3"/>
    <x v="2"/>
    <x v="1"/>
    <x v="0"/>
    <s v="Road"/>
    <x v="1"/>
    <n v="2.9"/>
    <n v="250"/>
    <n v="3"/>
    <n v="3"/>
    <n v="1"/>
    <n v="0"/>
    <n v="12.9"/>
    <n v="0"/>
    <n v="1"/>
  </r>
  <r>
    <s v="SHP-502256"/>
    <d v="2024-11-20T00:00:00"/>
    <x v="0"/>
    <s v="Q4"/>
    <x v="10"/>
    <x v="4"/>
    <x v="1"/>
    <x v="3"/>
    <x v="0"/>
    <s v="Road"/>
    <x v="0"/>
    <n v="2.9"/>
    <n v="670"/>
    <n v="4"/>
    <n v="5"/>
    <n v="0"/>
    <n v="1"/>
    <n v="16.72"/>
    <n v="0"/>
    <n v="1"/>
  </r>
  <r>
    <s v="SHP-502257"/>
    <d v="2024-11-20T00:00:00"/>
    <x v="0"/>
    <s v="Q4"/>
    <x v="10"/>
    <x v="4"/>
    <x v="2"/>
    <x v="2"/>
    <x v="0"/>
    <s v="Road"/>
    <x v="1"/>
    <n v="2.4"/>
    <n v="910"/>
    <n v="5"/>
    <n v="5"/>
    <n v="1"/>
    <n v="0"/>
    <n v="19.57"/>
    <n v="0"/>
    <n v="1"/>
  </r>
  <r>
    <s v="SHP-502258"/>
    <d v="2024-11-20T00:00:00"/>
    <x v="0"/>
    <s v="Q4"/>
    <x v="10"/>
    <x v="2"/>
    <x v="2"/>
    <x v="1"/>
    <x v="2"/>
    <s v="Road"/>
    <x v="0"/>
    <n v="10.1"/>
    <n v="285"/>
    <n v="1"/>
    <n v="4"/>
    <n v="0"/>
    <n v="3"/>
    <n v="24.83"/>
    <n v="0"/>
    <n v="1"/>
  </r>
  <r>
    <s v="SHP-502259"/>
    <d v="2024-11-20T00:00:00"/>
    <x v="0"/>
    <s v="Q4"/>
    <x v="10"/>
    <x v="0"/>
    <x v="2"/>
    <x v="0"/>
    <x v="2"/>
    <s v="Air"/>
    <x v="0"/>
    <n v="186.4"/>
    <n v="989"/>
    <n v="2"/>
    <n v="2"/>
    <n v="1"/>
    <n v="0"/>
    <n v="321.01"/>
    <n v="0"/>
    <n v="1"/>
  </r>
  <r>
    <s v="SHP-502260"/>
    <d v="2024-11-20T00:00:00"/>
    <x v="0"/>
    <s v="Q4"/>
    <x v="10"/>
    <x v="3"/>
    <x v="2"/>
    <x v="2"/>
    <x v="0"/>
    <s v="Road"/>
    <x v="1"/>
    <n v="4.2"/>
    <n v="1084"/>
    <n v="5"/>
    <n v="6"/>
    <n v="0"/>
    <n v="1"/>
    <n v="24.77"/>
    <n v="0"/>
    <n v="1"/>
  </r>
  <r>
    <s v="SHP-502261"/>
    <d v="2024-11-20T00:00:00"/>
    <x v="0"/>
    <s v="Q4"/>
    <x v="10"/>
    <x v="2"/>
    <x v="1"/>
    <x v="4"/>
    <x v="0"/>
    <s v="Road"/>
    <x v="0"/>
    <n v="34.200000000000003"/>
    <n v="777"/>
    <n v="5"/>
    <n v="5"/>
    <n v="1"/>
    <n v="0"/>
    <n v="24.72"/>
    <n v="0"/>
    <n v="1"/>
  </r>
  <r>
    <s v="SHP-502262"/>
    <d v="2024-11-20T00:00:00"/>
    <x v="0"/>
    <s v="Q4"/>
    <x v="10"/>
    <x v="0"/>
    <x v="0"/>
    <x v="1"/>
    <x v="0"/>
    <s v="Road"/>
    <x v="0"/>
    <n v="89.9"/>
    <n v="249"/>
    <n v="3"/>
    <n v="6"/>
    <n v="0"/>
    <n v="3"/>
    <n v="49.58"/>
    <n v="0"/>
    <n v="1"/>
  </r>
  <r>
    <s v="SHP-502263"/>
    <d v="2024-11-20T00:00:00"/>
    <x v="0"/>
    <s v="Q4"/>
    <x v="10"/>
    <x v="2"/>
    <x v="1"/>
    <x v="1"/>
    <x v="2"/>
    <s v="Road"/>
    <x v="1"/>
    <n v="9.1"/>
    <n v="306"/>
    <n v="1"/>
    <n v="1"/>
    <n v="1"/>
    <n v="0"/>
    <n v="25.04"/>
    <n v="0"/>
    <n v="1"/>
  </r>
  <r>
    <s v="SHP-502264"/>
    <d v="2024-11-20T00:00:00"/>
    <x v="0"/>
    <s v="Q4"/>
    <x v="10"/>
    <x v="4"/>
    <x v="2"/>
    <x v="2"/>
    <x v="0"/>
    <s v="Road"/>
    <x v="1"/>
    <n v="3.1"/>
    <n v="1201"/>
    <n v="5"/>
    <n v="5"/>
    <n v="1"/>
    <n v="0"/>
    <n v="21.19"/>
    <n v="0"/>
    <n v="1"/>
  </r>
  <r>
    <s v="SHP-502265"/>
    <d v="2024-11-20T00:00:00"/>
    <x v="0"/>
    <s v="Q4"/>
    <x v="10"/>
    <x v="4"/>
    <x v="1"/>
    <x v="0"/>
    <x v="0"/>
    <s v="Road"/>
    <x v="0"/>
    <n v="189.7"/>
    <n v="847"/>
    <n v="4"/>
    <n v="4"/>
    <n v="1"/>
    <n v="0"/>
    <n v="92.93"/>
    <n v="0"/>
    <n v="1"/>
  </r>
  <r>
    <s v="SHP-502266"/>
    <d v="2024-11-21T00:00:00"/>
    <x v="0"/>
    <s v="Q4"/>
    <x v="10"/>
    <x v="0"/>
    <x v="2"/>
    <x v="0"/>
    <x v="2"/>
    <s v="Air"/>
    <x v="1"/>
    <n v="1.9"/>
    <n v="886"/>
    <n v="2"/>
    <n v="2"/>
    <n v="1"/>
    <n v="0"/>
    <n v="51.72"/>
    <n v="0"/>
    <n v="1"/>
  </r>
  <r>
    <s v="SHP-502267"/>
    <d v="2024-11-21T00:00:00"/>
    <x v="0"/>
    <s v="Q4"/>
    <x v="10"/>
    <x v="3"/>
    <x v="2"/>
    <x v="1"/>
    <x v="2"/>
    <s v="Road"/>
    <x v="1"/>
    <n v="4.2"/>
    <n v="230"/>
    <n v="1"/>
    <n v="1"/>
    <n v="1"/>
    <n v="0"/>
    <n v="26.06"/>
    <n v="0"/>
    <n v="1"/>
  </r>
  <r>
    <s v="SHP-502268"/>
    <d v="2024-11-21T00:00:00"/>
    <x v="0"/>
    <s v="Q4"/>
    <x v="10"/>
    <x v="4"/>
    <x v="1"/>
    <x v="2"/>
    <x v="2"/>
    <s v="Air"/>
    <x v="0"/>
    <n v="60.6"/>
    <n v="1160"/>
    <n v="3"/>
    <n v="8"/>
    <n v="0"/>
    <n v="5"/>
    <n v="149.33000000000001"/>
    <n v="0"/>
    <n v="1"/>
  </r>
  <r>
    <s v="SHP-502269"/>
    <d v="2024-11-21T00:00:00"/>
    <x v="0"/>
    <s v="Q4"/>
    <x v="10"/>
    <x v="3"/>
    <x v="2"/>
    <x v="0"/>
    <x v="1"/>
    <s v="Road"/>
    <x v="1"/>
    <n v="13.7"/>
    <n v="1127"/>
    <n v="6"/>
    <n v="5"/>
    <n v="1"/>
    <n v="0"/>
    <n v="23.36"/>
    <n v="0"/>
    <n v="1"/>
  </r>
  <r>
    <s v="SHP-502270"/>
    <d v="2024-11-21T00:00:00"/>
    <x v="0"/>
    <s v="Q4"/>
    <x v="10"/>
    <x v="0"/>
    <x v="2"/>
    <x v="0"/>
    <x v="0"/>
    <s v="Road"/>
    <x v="0"/>
    <n v="144"/>
    <n v="802"/>
    <n v="4"/>
    <n v="4"/>
    <n v="1"/>
    <n v="0"/>
    <n v="77.48"/>
    <n v="0"/>
    <n v="1"/>
  </r>
  <r>
    <s v="SHP-502271"/>
    <d v="2024-11-21T00:00:00"/>
    <x v="0"/>
    <s v="Q4"/>
    <x v="10"/>
    <x v="3"/>
    <x v="0"/>
    <x v="2"/>
    <x v="1"/>
    <s v="Road"/>
    <x v="0"/>
    <n v="16.399999999999999"/>
    <n v="715"/>
    <n v="7"/>
    <n v="6"/>
    <n v="1"/>
    <n v="0"/>
    <n v="18.39"/>
    <n v="0"/>
    <n v="1"/>
  </r>
  <r>
    <s v="SHP-502272"/>
    <d v="2024-11-21T00:00:00"/>
    <x v="0"/>
    <s v="Q4"/>
    <x v="10"/>
    <x v="1"/>
    <x v="0"/>
    <x v="4"/>
    <x v="2"/>
    <s v="Air"/>
    <x v="0"/>
    <n v="121.8"/>
    <n v="1270"/>
    <n v="3"/>
    <n v="3"/>
    <n v="1"/>
    <n v="0"/>
    <n v="224.1"/>
    <n v="0"/>
    <n v="1"/>
  </r>
  <r>
    <s v="SHP-502273"/>
    <d v="2024-11-22T00:00:00"/>
    <x v="0"/>
    <s v="Q4"/>
    <x v="10"/>
    <x v="4"/>
    <x v="2"/>
    <x v="0"/>
    <x v="0"/>
    <s v="Road"/>
    <x v="1"/>
    <n v="2.2000000000000002"/>
    <n v="982"/>
    <n v="4"/>
    <n v="4"/>
    <n v="1"/>
    <n v="0"/>
    <n v="20.23"/>
    <n v="1"/>
    <n v="1"/>
  </r>
  <r>
    <s v="SHP-502274"/>
    <d v="2024-11-22T00:00:00"/>
    <x v="0"/>
    <s v="Q4"/>
    <x v="10"/>
    <x v="4"/>
    <x v="2"/>
    <x v="4"/>
    <x v="2"/>
    <s v="Air"/>
    <x v="1"/>
    <n v="3.3"/>
    <n v="719"/>
    <n v="3"/>
    <n v="3"/>
    <n v="1"/>
    <n v="0"/>
    <n v="48.26"/>
    <n v="0"/>
    <n v="1"/>
  </r>
  <r>
    <s v="SHP-502275"/>
    <d v="2024-11-22T00:00:00"/>
    <x v="0"/>
    <s v="Q4"/>
    <x v="10"/>
    <x v="2"/>
    <x v="2"/>
    <x v="2"/>
    <x v="0"/>
    <s v="Road"/>
    <x v="1"/>
    <n v="13.8"/>
    <n v="1247"/>
    <n v="5"/>
    <n v="5"/>
    <n v="1"/>
    <n v="0"/>
    <n v="23.65"/>
    <n v="0"/>
    <n v="1"/>
  </r>
  <r>
    <s v="SHP-502276"/>
    <d v="2024-11-22T00:00:00"/>
    <x v="0"/>
    <s v="Q4"/>
    <x v="10"/>
    <x v="1"/>
    <x v="1"/>
    <x v="2"/>
    <x v="0"/>
    <s v="Road"/>
    <x v="0"/>
    <n v="120.1"/>
    <n v="909"/>
    <n v="5"/>
    <n v="5"/>
    <n v="1"/>
    <n v="0"/>
    <n v="70.14"/>
    <n v="0"/>
    <n v="1"/>
  </r>
  <r>
    <s v="SHP-502277"/>
    <d v="2024-11-22T00:00:00"/>
    <x v="0"/>
    <s v="Q4"/>
    <x v="10"/>
    <x v="3"/>
    <x v="2"/>
    <x v="1"/>
    <x v="0"/>
    <s v="Road"/>
    <x v="1"/>
    <n v="2.2999999999999998"/>
    <n v="244"/>
    <n v="3"/>
    <n v="3"/>
    <n v="1"/>
    <n v="0"/>
    <n v="11.57"/>
    <n v="0"/>
    <n v="1"/>
  </r>
  <r>
    <s v="SHP-502278"/>
    <d v="2024-11-22T00:00:00"/>
    <x v="0"/>
    <s v="Q4"/>
    <x v="10"/>
    <x v="2"/>
    <x v="2"/>
    <x v="4"/>
    <x v="1"/>
    <s v="Road"/>
    <x v="1"/>
    <n v="4.0999999999999996"/>
    <n v="1083"/>
    <n v="7"/>
    <n v="9"/>
    <n v="0"/>
    <n v="2"/>
    <n v="15.3"/>
    <n v="0"/>
    <n v="1"/>
  </r>
  <r>
    <s v="SHP-502279"/>
    <d v="2024-11-22T00:00:00"/>
    <x v="0"/>
    <s v="Q4"/>
    <x v="10"/>
    <x v="0"/>
    <x v="1"/>
    <x v="3"/>
    <x v="0"/>
    <s v="Road"/>
    <x v="1"/>
    <n v="9.5"/>
    <n v="497"/>
    <n v="4"/>
    <n v="4"/>
    <n v="1"/>
    <n v="0"/>
    <n v="16.27"/>
    <n v="0"/>
    <n v="1"/>
  </r>
  <r>
    <s v="SHP-502280"/>
    <d v="2024-11-22T00:00:00"/>
    <x v="0"/>
    <s v="Q4"/>
    <x v="10"/>
    <x v="3"/>
    <x v="1"/>
    <x v="1"/>
    <x v="0"/>
    <s v="Road"/>
    <x v="1"/>
    <n v="5"/>
    <n v="233"/>
    <n v="3"/>
    <n v="2"/>
    <n v="1"/>
    <n v="0"/>
    <n v="13.52"/>
    <n v="0"/>
    <n v="1"/>
  </r>
  <r>
    <s v="SHP-502281"/>
    <d v="2024-11-22T00:00:00"/>
    <x v="0"/>
    <s v="Q4"/>
    <x v="10"/>
    <x v="4"/>
    <x v="2"/>
    <x v="3"/>
    <x v="0"/>
    <s v="Road"/>
    <x v="1"/>
    <n v="19.899999999999999"/>
    <n v="489"/>
    <n v="4"/>
    <n v="8"/>
    <n v="0"/>
    <n v="4"/>
    <n v="25.25"/>
    <n v="0"/>
    <n v="1"/>
  </r>
  <r>
    <s v="SHP-502282"/>
    <d v="2024-11-22T00:00:00"/>
    <x v="0"/>
    <s v="Q4"/>
    <x v="10"/>
    <x v="0"/>
    <x v="1"/>
    <x v="1"/>
    <x v="0"/>
    <s v="Road"/>
    <x v="1"/>
    <n v="4.4000000000000004"/>
    <n v="301"/>
    <n v="3"/>
    <n v="3"/>
    <n v="1"/>
    <n v="0"/>
    <n v="12.12"/>
    <n v="0"/>
    <n v="1"/>
  </r>
  <r>
    <s v="SHP-502283"/>
    <d v="2024-11-22T00:00:00"/>
    <x v="0"/>
    <s v="Q4"/>
    <x v="10"/>
    <x v="4"/>
    <x v="2"/>
    <x v="3"/>
    <x v="0"/>
    <s v="Road"/>
    <x v="1"/>
    <n v="9.1"/>
    <n v="464"/>
    <n v="4"/>
    <n v="4"/>
    <n v="1"/>
    <n v="0"/>
    <n v="16.36"/>
    <n v="0"/>
    <n v="1"/>
  </r>
  <r>
    <s v="SHP-502284"/>
    <d v="2024-11-22T00:00:00"/>
    <x v="0"/>
    <s v="Q4"/>
    <x v="10"/>
    <x v="3"/>
    <x v="2"/>
    <x v="1"/>
    <x v="2"/>
    <s v="Road"/>
    <x v="1"/>
    <n v="13.3"/>
    <n v="203"/>
    <n v="1"/>
    <n v="1"/>
    <n v="1"/>
    <n v="0"/>
    <n v="37.409999999999997"/>
    <n v="0"/>
    <n v="1"/>
  </r>
  <r>
    <s v="SHP-502285"/>
    <d v="2024-11-22T00:00:00"/>
    <x v="0"/>
    <s v="Q4"/>
    <x v="10"/>
    <x v="3"/>
    <x v="2"/>
    <x v="3"/>
    <x v="0"/>
    <s v="Road"/>
    <x v="1"/>
    <n v="5.2"/>
    <n v="459"/>
    <n v="4"/>
    <n v="4"/>
    <n v="1"/>
    <n v="0"/>
    <n v="16.170000000000002"/>
    <n v="0"/>
    <n v="1"/>
  </r>
  <r>
    <s v="SHP-502286"/>
    <d v="2024-11-23T00:00:00"/>
    <x v="0"/>
    <s v="Q4"/>
    <x v="10"/>
    <x v="3"/>
    <x v="2"/>
    <x v="0"/>
    <x v="0"/>
    <s v="Road"/>
    <x v="1"/>
    <n v="12"/>
    <n v="1087"/>
    <n v="4"/>
    <n v="4"/>
    <n v="1"/>
    <n v="0"/>
    <n v="32.06"/>
    <n v="0"/>
    <n v="1"/>
  </r>
  <r>
    <s v="SHP-502287"/>
    <d v="2024-11-23T00:00:00"/>
    <x v="0"/>
    <s v="Q4"/>
    <x v="10"/>
    <x v="1"/>
    <x v="0"/>
    <x v="4"/>
    <x v="1"/>
    <s v="Road"/>
    <x v="1"/>
    <n v="2.1"/>
    <n v="1182"/>
    <n v="7"/>
    <n v="9"/>
    <n v="0"/>
    <n v="2"/>
    <n v="16.52"/>
    <n v="0"/>
    <n v="1"/>
  </r>
  <r>
    <s v="SHP-502288"/>
    <d v="2024-11-23T00:00:00"/>
    <x v="0"/>
    <s v="Q4"/>
    <x v="10"/>
    <x v="2"/>
    <x v="0"/>
    <x v="1"/>
    <x v="0"/>
    <s v="Road"/>
    <x v="0"/>
    <n v="109.5"/>
    <n v="194"/>
    <n v="3"/>
    <n v="3"/>
    <n v="1"/>
    <n v="0"/>
    <n v="50.28"/>
    <n v="0"/>
    <n v="1"/>
  </r>
  <r>
    <s v="SHP-502289"/>
    <d v="2024-11-23T00:00:00"/>
    <x v="0"/>
    <s v="Q4"/>
    <x v="10"/>
    <x v="3"/>
    <x v="2"/>
    <x v="4"/>
    <x v="0"/>
    <s v="Road"/>
    <x v="1"/>
    <n v="3.3"/>
    <n v="1052"/>
    <n v="5"/>
    <n v="5"/>
    <n v="1"/>
    <n v="0"/>
    <n v="23.34"/>
    <n v="0"/>
    <n v="1"/>
  </r>
  <r>
    <s v="SHP-502290"/>
    <d v="2024-11-23T00:00:00"/>
    <x v="0"/>
    <s v="Q4"/>
    <x v="10"/>
    <x v="4"/>
    <x v="2"/>
    <x v="3"/>
    <x v="1"/>
    <s v="Road"/>
    <x v="0"/>
    <n v="278.3"/>
    <n v="628"/>
    <n v="6"/>
    <n v="5"/>
    <n v="1"/>
    <n v="0"/>
    <n v="88.29"/>
    <n v="0"/>
    <n v="1"/>
  </r>
  <r>
    <s v="SHP-502291"/>
    <d v="2024-11-24T00:00:00"/>
    <x v="0"/>
    <s v="Q4"/>
    <x v="10"/>
    <x v="3"/>
    <x v="2"/>
    <x v="0"/>
    <x v="0"/>
    <s v="Road"/>
    <x v="1"/>
    <n v="3.3"/>
    <n v="1049"/>
    <n v="4"/>
    <n v="4"/>
    <n v="1"/>
    <n v="0"/>
    <n v="24.53"/>
    <n v="0"/>
    <n v="1"/>
  </r>
  <r>
    <s v="SHP-502292"/>
    <d v="2024-11-24T00:00:00"/>
    <x v="0"/>
    <s v="Q4"/>
    <x v="10"/>
    <x v="1"/>
    <x v="1"/>
    <x v="3"/>
    <x v="0"/>
    <s v="Road"/>
    <x v="1"/>
    <n v="3.6"/>
    <n v="537"/>
    <n v="4"/>
    <n v="4"/>
    <n v="1"/>
    <n v="0"/>
    <n v="16.54"/>
    <n v="0"/>
    <n v="1"/>
  </r>
  <r>
    <s v="SHP-502293"/>
    <d v="2024-11-25T00:00:00"/>
    <x v="0"/>
    <s v="Q4"/>
    <x v="10"/>
    <x v="4"/>
    <x v="2"/>
    <x v="1"/>
    <x v="0"/>
    <s v="Road"/>
    <x v="1"/>
    <n v="1.2"/>
    <n v="205"/>
    <n v="3"/>
    <n v="6"/>
    <n v="0"/>
    <n v="3"/>
    <n v="8.17"/>
    <n v="0"/>
    <n v="1"/>
  </r>
  <r>
    <s v="SHP-502294"/>
    <d v="2024-11-25T00:00:00"/>
    <x v="0"/>
    <s v="Q4"/>
    <x v="10"/>
    <x v="3"/>
    <x v="1"/>
    <x v="1"/>
    <x v="0"/>
    <s v="Road"/>
    <x v="1"/>
    <n v="1.9"/>
    <n v="321"/>
    <n v="3"/>
    <n v="4"/>
    <n v="0"/>
    <n v="1"/>
    <n v="12.51"/>
    <n v="0"/>
    <n v="1"/>
  </r>
  <r>
    <s v="SHP-502295"/>
    <d v="2024-11-25T00:00:00"/>
    <x v="0"/>
    <s v="Q4"/>
    <x v="10"/>
    <x v="1"/>
    <x v="2"/>
    <x v="0"/>
    <x v="0"/>
    <s v="Road"/>
    <x v="0"/>
    <n v="157.4"/>
    <n v="1163"/>
    <n v="4"/>
    <n v="3"/>
    <n v="1"/>
    <n v="0"/>
    <n v="83.06"/>
    <n v="0"/>
    <n v="1"/>
  </r>
  <r>
    <s v="SHP-502296"/>
    <d v="2024-11-25T00:00:00"/>
    <x v="0"/>
    <s v="Q4"/>
    <x v="10"/>
    <x v="4"/>
    <x v="1"/>
    <x v="0"/>
    <x v="0"/>
    <s v="Road"/>
    <x v="0"/>
    <n v="50.6"/>
    <n v="1019"/>
    <n v="4"/>
    <n v="6"/>
    <n v="0"/>
    <n v="2"/>
    <n v="41.63"/>
    <n v="0"/>
    <n v="1"/>
  </r>
  <r>
    <s v="SHP-502297"/>
    <d v="2024-11-25T00:00:00"/>
    <x v="0"/>
    <s v="Q4"/>
    <x v="10"/>
    <x v="1"/>
    <x v="1"/>
    <x v="0"/>
    <x v="1"/>
    <s v="Road"/>
    <x v="1"/>
    <n v="7.3"/>
    <n v="839"/>
    <n v="6"/>
    <n v="6"/>
    <n v="1"/>
    <n v="0"/>
    <n v="16.55"/>
    <n v="0"/>
    <n v="1"/>
  </r>
  <r>
    <s v="SHP-502298"/>
    <d v="2024-11-25T00:00:00"/>
    <x v="0"/>
    <s v="Q4"/>
    <x v="10"/>
    <x v="1"/>
    <x v="0"/>
    <x v="3"/>
    <x v="1"/>
    <s v="Road"/>
    <x v="0"/>
    <n v="81.5"/>
    <n v="542"/>
    <n v="6"/>
    <n v="6"/>
    <n v="1"/>
    <n v="0"/>
    <n v="37.15"/>
    <n v="0"/>
    <n v="1"/>
  </r>
  <r>
    <s v="SHP-502299"/>
    <d v="2024-11-25T00:00:00"/>
    <x v="0"/>
    <s v="Q4"/>
    <x v="10"/>
    <x v="1"/>
    <x v="1"/>
    <x v="1"/>
    <x v="1"/>
    <s v="Road"/>
    <x v="0"/>
    <n v="340.2"/>
    <n v="291"/>
    <n v="5"/>
    <n v="5"/>
    <n v="1"/>
    <n v="0"/>
    <n v="96.03"/>
    <n v="0"/>
    <n v="1"/>
  </r>
  <r>
    <s v="SHP-502300"/>
    <d v="2024-11-25T00:00:00"/>
    <x v="0"/>
    <s v="Q4"/>
    <x v="10"/>
    <x v="1"/>
    <x v="1"/>
    <x v="4"/>
    <x v="0"/>
    <s v="Road"/>
    <x v="1"/>
    <n v="3.3"/>
    <n v="960"/>
    <n v="5"/>
    <n v="5"/>
    <n v="1"/>
    <n v="0"/>
    <n v="20.88"/>
    <n v="0"/>
    <n v="1"/>
  </r>
  <r>
    <s v="SHP-502301"/>
    <d v="2024-11-25T00:00:00"/>
    <x v="0"/>
    <s v="Q4"/>
    <x v="10"/>
    <x v="2"/>
    <x v="2"/>
    <x v="4"/>
    <x v="2"/>
    <s v="Air"/>
    <x v="1"/>
    <n v="3.2"/>
    <n v="844"/>
    <n v="3"/>
    <n v="3"/>
    <n v="1"/>
    <n v="0"/>
    <n v="49.47"/>
    <n v="0"/>
    <n v="1"/>
  </r>
  <r>
    <s v="SHP-502302"/>
    <d v="2024-11-25T00:00:00"/>
    <x v="0"/>
    <s v="Q4"/>
    <x v="10"/>
    <x v="2"/>
    <x v="2"/>
    <x v="3"/>
    <x v="0"/>
    <s v="Road"/>
    <x v="0"/>
    <n v="150.80000000000001"/>
    <n v="516"/>
    <n v="4"/>
    <n v="4"/>
    <n v="1"/>
    <n v="0"/>
    <n v="63.22"/>
    <n v="0"/>
    <n v="1"/>
  </r>
  <r>
    <s v="SHP-502303"/>
    <d v="2024-11-25T00:00:00"/>
    <x v="0"/>
    <s v="Q4"/>
    <x v="10"/>
    <x v="3"/>
    <x v="0"/>
    <x v="3"/>
    <x v="0"/>
    <s v="Road"/>
    <x v="1"/>
    <n v="13.3"/>
    <n v="429"/>
    <n v="4"/>
    <n v="4"/>
    <n v="1"/>
    <n v="0"/>
    <n v="20.46"/>
    <n v="0"/>
    <n v="1"/>
  </r>
  <r>
    <s v="SHP-502304"/>
    <d v="2024-11-25T00:00:00"/>
    <x v="0"/>
    <s v="Q4"/>
    <x v="10"/>
    <x v="1"/>
    <x v="0"/>
    <x v="1"/>
    <x v="1"/>
    <s v="Road"/>
    <x v="0"/>
    <n v="437.9"/>
    <n v="260"/>
    <n v="5"/>
    <n v="4"/>
    <n v="1"/>
    <n v="0"/>
    <n v="125.81"/>
    <n v="0"/>
    <n v="1"/>
  </r>
  <r>
    <s v="SHP-502305"/>
    <d v="2024-11-25T00:00:00"/>
    <x v="0"/>
    <s v="Q4"/>
    <x v="10"/>
    <x v="1"/>
    <x v="2"/>
    <x v="1"/>
    <x v="2"/>
    <s v="Road"/>
    <x v="0"/>
    <n v="70.400000000000006"/>
    <n v="281"/>
    <n v="1"/>
    <n v="3"/>
    <n v="0"/>
    <n v="2"/>
    <n v="90.8"/>
    <n v="0"/>
    <n v="1"/>
  </r>
  <r>
    <s v="SHP-502306"/>
    <d v="2024-11-25T00:00:00"/>
    <x v="0"/>
    <s v="Q4"/>
    <x v="10"/>
    <x v="0"/>
    <x v="2"/>
    <x v="2"/>
    <x v="0"/>
    <s v="Road"/>
    <x v="1"/>
    <n v="1.8"/>
    <n v="1099"/>
    <n v="5"/>
    <n v="5"/>
    <n v="1"/>
    <n v="0"/>
    <n v="19.79"/>
    <n v="0"/>
    <n v="1"/>
  </r>
  <r>
    <s v="SHP-502307"/>
    <d v="2024-11-25T00:00:00"/>
    <x v="0"/>
    <s v="Q4"/>
    <x v="10"/>
    <x v="3"/>
    <x v="0"/>
    <x v="3"/>
    <x v="2"/>
    <s v="Road"/>
    <x v="1"/>
    <n v="7.9"/>
    <n v="449"/>
    <n v="2"/>
    <n v="2"/>
    <n v="1"/>
    <n v="0"/>
    <n v="36.99"/>
    <n v="0"/>
    <n v="1"/>
  </r>
  <r>
    <s v="SHP-502308"/>
    <d v="2024-11-25T00:00:00"/>
    <x v="0"/>
    <s v="Q4"/>
    <x v="10"/>
    <x v="2"/>
    <x v="1"/>
    <x v="1"/>
    <x v="0"/>
    <s v="Road"/>
    <x v="0"/>
    <n v="299.3"/>
    <n v="251"/>
    <n v="3"/>
    <n v="2"/>
    <n v="1"/>
    <n v="0"/>
    <n v="121.14"/>
    <n v="0"/>
    <n v="1"/>
  </r>
  <r>
    <s v="SHP-502309"/>
    <d v="2024-11-25T00:00:00"/>
    <x v="0"/>
    <s v="Q4"/>
    <x v="10"/>
    <x v="2"/>
    <x v="2"/>
    <x v="2"/>
    <x v="1"/>
    <s v="Road"/>
    <x v="1"/>
    <n v="3.2"/>
    <n v="960"/>
    <n v="7"/>
    <n v="12"/>
    <n v="0"/>
    <n v="5"/>
    <n v="11.55"/>
    <n v="0"/>
    <n v="1"/>
  </r>
  <r>
    <s v="SHP-502310"/>
    <d v="2024-11-26T00:00:00"/>
    <x v="0"/>
    <s v="Q4"/>
    <x v="10"/>
    <x v="4"/>
    <x v="2"/>
    <x v="3"/>
    <x v="0"/>
    <s v="Road"/>
    <x v="1"/>
    <n v="11.1"/>
    <n v="610"/>
    <n v="4"/>
    <n v="4"/>
    <n v="1"/>
    <n v="0"/>
    <n v="18.98"/>
    <n v="0"/>
    <n v="1"/>
  </r>
  <r>
    <s v="SHP-502311"/>
    <d v="2024-11-26T00:00:00"/>
    <x v="0"/>
    <s v="Q4"/>
    <x v="10"/>
    <x v="3"/>
    <x v="1"/>
    <x v="0"/>
    <x v="1"/>
    <s v="Road"/>
    <x v="0"/>
    <n v="9"/>
    <n v="895"/>
    <n v="6"/>
    <n v="6"/>
    <n v="1"/>
    <n v="0"/>
    <n v="19.739999999999998"/>
    <n v="0"/>
    <n v="1"/>
  </r>
  <r>
    <s v="SHP-502312"/>
    <d v="2024-11-26T00:00:00"/>
    <x v="0"/>
    <s v="Q4"/>
    <x v="10"/>
    <x v="4"/>
    <x v="1"/>
    <x v="0"/>
    <x v="2"/>
    <s v="Air"/>
    <x v="0"/>
    <n v="53.5"/>
    <n v="824"/>
    <n v="2"/>
    <n v="1"/>
    <n v="1"/>
    <n v="0"/>
    <n v="141.24"/>
    <n v="0"/>
    <n v="1"/>
  </r>
  <r>
    <s v="SHP-502313"/>
    <d v="2024-11-26T00:00:00"/>
    <x v="0"/>
    <s v="Q4"/>
    <x v="10"/>
    <x v="0"/>
    <x v="2"/>
    <x v="0"/>
    <x v="2"/>
    <s v="Air"/>
    <x v="0"/>
    <n v="197.1"/>
    <n v="1103"/>
    <n v="2"/>
    <n v="2"/>
    <n v="1"/>
    <n v="0"/>
    <n v="307.86"/>
    <n v="0"/>
    <n v="1"/>
  </r>
  <r>
    <s v="SHP-502314"/>
    <d v="2024-11-26T00:00:00"/>
    <x v="0"/>
    <s v="Q4"/>
    <x v="10"/>
    <x v="2"/>
    <x v="1"/>
    <x v="0"/>
    <x v="0"/>
    <s v="Road"/>
    <x v="1"/>
    <n v="2.9"/>
    <n v="873"/>
    <n v="4"/>
    <n v="4"/>
    <n v="1"/>
    <n v="0"/>
    <n v="16.850000000000001"/>
    <n v="1"/>
    <n v="1"/>
  </r>
  <r>
    <s v="SHP-502315"/>
    <d v="2024-11-26T00:00:00"/>
    <x v="0"/>
    <s v="Q4"/>
    <x v="10"/>
    <x v="2"/>
    <x v="1"/>
    <x v="1"/>
    <x v="0"/>
    <s v="Road"/>
    <x v="1"/>
    <n v="4.5"/>
    <n v="212"/>
    <n v="3"/>
    <n v="3"/>
    <n v="1"/>
    <n v="0"/>
    <n v="10.050000000000001"/>
    <n v="0"/>
    <n v="1"/>
  </r>
  <r>
    <s v="SHP-502316"/>
    <d v="2024-11-26T00:00:00"/>
    <x v="0"/>
    <s v="Q4"/>
    <x v="10"/>
    <x v="2"/>
    <x v="2"/>
    <x v="3"/>
    <x v="0"/>
    <s v="Road"/>
    <x v="1"/>
    <n v="2.6"/>
    <n v="527"/>
    <n v="4"/>
    <n v="5"/>
    <n v="0"/>
    <n v="1"/>
    <n v="11.4"/>
    <n v="0"/>
    <n v="1"/>
  </r>
  <r>
    <s v="SHP-502317"/>
    <d v="2024-11-26T00:00:00"/>
    <x v="0"/>
    <s v="Q4"/>
    <x v="10"/>
    <x v="4"/>
    <x v="2"/>
    <x v="3"/>
    <x v="0"/>
    <s v="Road"/>
    <x v="0"/>
    <n v="95.3"/>
    <n v="509"/>
    <n v="4"/>
    <n v="5"/>
    <n v="0"/>
    <n v="1"/>
    <n v="55.22"/>
    <n v="0"/>
    <n v="1"/>
  </r>
  <r>
    <s v="SHP-502318"/>
    <d v="2024-11-26T00:00:00"/>
    <x v="0"/>
    <s v="Q4"/>
    <x v="10"/>
    <x v="3"/>
    <x v="1"/>
    <x v="3"/>
    <x v="0"/>
    <s v="Road"/>
    <x v="0"/>
    <n v="58.1"/>
    <n v="360"/>
    <n v="4"/>
    <n v="4"/>
    <n v="1"/>
    <n v="0"/>
    <n v="39.770000000000003"/>
    <n v="0"/>
    <n v="1"/>
  </r>
  <r>
    <s v="SHP-502319"/>
    <d v="2024-11-26T00:00:00"/>
    <x v="0"/>
    <s v="Q4"/>
    <x v="10"/>
    <x v="3"/>
    <x v="1"/>
    <x v="0"/>
    <x v="2"/>
    <s v="Air"/>
    <x v="1"/>
    <n v="3"/>
    <n v="892"/>
    <n v="2"/>
    <n v="2"/>
    <n v="1"/>
    <n v="0"/>
    <n v="63.03"/>
    <n v="0"/>
    <n v="1"/>
  </r>
  <r>
    <s v="SHP-502320"/>
    <d v="2024-11-26T00:00:00"/>
    <x v="0"/>
    <s v="Q4"/>
    <x v="10"/>
    <x v="1"/>
    <x v="0"/>
    <x v="4"/>
    <x v="1"/>
    <s v="Road"/>
    <x v="1"/>
    <n v="5.8"/>
    <n v="1022"/>
    <n v="7"/>
    <n v="7"/>
    <n v="1"/>
    <n v="0"/>
    <n v="16.329999999999998"/>
    <n v="0"/>
    <n v="1"/>
  </r>
  <r>
    <s v="SHP-502321"/>
    <d v="2024-11-27T00:00:00"/>
    <x v="0"/>
    <s v="Q4"/>
    <x v="10"/>
    <x v="3"/>
    <x v="0"/>
    <x v="2"/>
    <x v="0"/>
    <s v="Road"/>
    <x v="0"/>
    <n v="47.7"/>
    <n v="1264"/>
    <n v="5"/>
    <n v="4"/>
    <n v="1"/>
    <n v="0"/>
    <n v="47.8"/>
    <n v="0"/>
    <n v="1"/>
  </r>
  <r>
    <s v="SHP-502322"/>
    <d v="2024-11-27T00:00:00"/>
    <x v="0"/>
    <s v="Q4"/>
    <x v="10"/>
    <x v="3"/>
    <x v="2"/>
    <x v="1"/>
    <x v="0"/>
    <s v="Road"/>
    <x v="0"/>
    <n v="94.3"/>
    <n v="244"/>
    <n v="3"/>
    <n v="3"/>
    <n v="1"/>
    <n v="0"/>
    <n v="62.22"/>
    <n v="0"/>
    <n v="1"/>
  </r>
  <r>
    <s v="SHP-502323"/>
    <d v="2024-11-27T00:00:00"/>
    <x v="0"/>
    <s v="Q4"/>
    <x v="10"/>
    <x v="3"/>
    <x v="2"/>
    <x v="0"/>
    <x v="2"/>
    <s v="Air"/>
    <x v="0"/>
    <n v="107.9"/>
    <n v="801"/>
    <n v="2"/>
    <n v="2"/>
    <n v="1"/>
    <n v="0"/>
    <n v="213.97"/>
    <n v="0"/>
    <n v="1"/>
  </r>
  <r>
    <s v="SHP-502324"/>
    <d v="2024-11-27T00:00:00"/>
    <x v="0"/>
    <s v="Q4"/>
    <x v="10"/>
    <x v="0"/>
    <x v="0"/>
    <x v="4"/>
    <x v="0"/>
    <s v="Road"/>
    <x v="1"/>
    <n v="2.7"/>
    <n v="1207"/>
    <n v="5"/>
    <n v="4"/>
    <n v="1"/>
    <n v="0"/>
    <n v="20.440000000000001"/>
    <n v="0"/>
    <n v="1"/>
  </r>
  <r>
    <s v="SHP-502325"/>
    <d v="2024-11-27T00:00:00"/>
    <x v="0"/>
    <s v="Q4"/>
    <x v="10"/>
    <x v="4"/>
    <x v="0"/>
    <x v="0"/>
    <x v="0"/>
    <s v="Road"/>
    <x v="0"/>
    <n v="32.299999999999997"/>
    <n v="951"/>
    <n v="4"/>
    <n v="4"/>
    <n v="1"/>
    <n v="0"/>
    <n v="35.58"/>
    <n v="0"/>
    <n v="1"/>
  </r>
  <r>
    <s v="SHP-502326"/>
    <d v="2024-11-27T00:00:00"/>
    <x v="0"/>
    <s v="Q4"/>
    <x v="10"/>
    <x v="0"/>
    <x v="2"/>
    <x v="0"/>
    <x v="0"/>
    <s v="Road"/>
    <x v="0"/>
    <n v="330.7"/>
    <n v="716"/>
    <n v="4"/>
    <n v="5"/>
    <n v="0"/>
    <n v="1"/>
    <n v="138.21"/>
    <n v="0"/>
    <n v="1"/>
  </r>
  <r>
    <s v="SHP-502327"/>
    <d v="2024-11-27T00:00:00"/>
    <x v="0"/>
    <s v="Q4"/>
    <x v="10"/>
    <x v="4"/>
    <x v="0"/>
    <x v="1"/>
    <x v="0"/>
    <s v="Road"/>
    <x v="1"/>
    <n v="11"/>
    <n v="252"/>
    <n v="3"/>
    <n v="2"/>
    <n v="1"/>
    <n v="0"/>
    <n v="16.98"/>
    <n v="0"/>
    <n v="1"/>
  </r>
  <r>
    <s v="SHP-502328"/>
    <d v="2024-11-27T00:00:00"/>
    <x v="0"/>
    <s v="Q4"/>
    <x v="10"/>
    <x v="3"/>
    <x v="2"/>
    <x v="2"/>
    <x v="1"/>
    <s v="Road"/>
    <x v="0"/>
    <n v="178.7"/>
    <n v="1066"/>
    <n v="7"/>
    <n v="9"/>
    <n v="0"/>
    <n v="2"/>
    <n v="73.53"/>
    <n v="0"/>
    <n v="1"/>
  </r>
  <r>
    <s v="SHP-502329"/>
    <d v="2024-11-27T00:00:00"/>
    <x v="0"/>
    <s v="Q4"/>
    <x v="10"/>
    <x v="3"/>
    <x v="1"/>
    <x v="1"/>
    <x v="0"/>
    <s v="Road"/>
    <x v="0"/>
    <n v="81.599999999999994"/>
    <n v="227"/>
    <n v="3"/>
    <n v="2"/>
    <n v="1"/>
    <n v="0"/>
    <n v="52.27"/>
    <n v="0"/>
    <n v="1"/>
  </r>
  <r>
    <s v="SHP-502330"/>
    <d v="2024-11-27T00:00:00"/>
    <x v="0"/>
    <s v="Q4"/>
    <x v="10"/>
    <x v="3"/>
    <x v="0"/>
    <x v="1"/>
    <x v="2"/>
    <s v="Road"/>
    <x v="1"/>
    <n v="4.9000000000000004"/>
    <n v="309"/>
    <n v="1"/>
    <n v="4"/>
    <n v="0"/>
    <n v="3"/>
    <n v="28.24"/>
    <n v="0"/>
    <n v="1"/>
  </r>
  <r>
    <s v="SHP-502331"/>
    <d v="2024-11-27T00:00:00"/>
    <x v="0"/>
    <s v="Q4"/>
    <x v="10"/>
    <x v="4"/>
    <x v="1"/>
    <x v="2"/>
    <x v="0"/>
    <s v="Road"/>
    <x v="1"/>
    <n v="29.1"/>
    <n v="1278"/>
    <n v="5"/>
    <n v="4"/>
    <n v="1"/>
    <n v="0"/>
    <n v="35.659999999999997"/>
    <n v="0"/>
    <n v="1"/>
  </r>
  <r>
    <s v="SHP-502332"/>
    <d v="2024-11-27T00:00:00"/>
    <x v="0"/>
    <s v="Q4"/>
    <x v="10"/>
    <x v="3"/>
    <x v="0"/>
    <x v="1"/>
    <x v="1"/>
    <s v="Road"/>
    <x v="0"/>
    <n v="142.69999999999999"/>
    <n v="238"/>
    <n v="5"/>
    <n v="6"/>
    <n v="0"/>
    <n v="1"/>
    <n v="50.09"/>
    <n v="0"/>
    <n v="1"/>
  </r>
  <r>
    <s v="SHP-502333"/>
    <d v="2024-11-28T00:00:00"/>
    <x v="0"/>
    <s v="Q4"/>
    <x v="10"/>
    <x v="3"/>
    <x v="0"/>
    <x v="1"/>
    <x v="1"/>
    <s v="Road"/>
    <x v="1"/>
    <n v="7"/>
    <n v="232"/>
    <n v="5"/>
    <n v="6"/>
    <n v="0"/>
    <n v="1"/>
    <n v="11.17"/>
    <n v="0"/>
    <n v="1"/>
  </r>
  <r>
    <s v="SHP-502334"/>
    <d v="2024-11-28T00:00:00"/>
    <x v="0"/>
    <s v="Q4"/>
    <x v="10"/>
    <x v="3"/>
    <x v="1"/>
    <x v="2"/>
    <x v="0"/>
    <s v="Road"/>
    <x v="1"/>
    <n v="1.5"/>
    <n v="1189"/>
    <n v="5"/>
    <n v="5"/>
    <n v="1"/>
    <n v="0"/>
    <n v="25.94"/>
    <n v="0"/>
    <n v="1"/>
  </r>
  <r>
    <s v="SHP-502335"/>
    <d v="2024-11-28T00:00:00"/>
    <x v="0"/>
    <s v="Q4"/>
    <x v="10"/>
    <x v="2"/>
    <x v="2"/>
    <x v="1"/>
    <x v="1"/>
    <s v="Road"/>
    <x v="1"/>
    <n v="2.9"/>
    <n v="267"/>
    <n v="5"/>
    <n v="7"/>
    <n v="0"/>
    <n v="2"/>
    <n v="6.73"/>
    <n v="0"/>
    <n v="1"/>
  </r>
  <r>
    <s v="SHP-502336"/>
    <d v="2024-11-28T00:00:00"/>
    <x v="0"/>
    <s v="Q4"/>
    <x v="10"/>
    <x v="4"/>
    <x v="2"/>
    <x v="4"/>
    <x v="0"/>
    <s v="Road"/>
    <x v="1"/>
    <n v="6.1"/>
    <n v="1109"/>
    <n v="5"/>
    <n v="4"/>
    <n v="1"/>
    <n v="0"/>
    <n v="21.5"/>
    <n v="0"/>
    <n v="1"/>
  </r>
  <r>
    <s v="SHP-502337"/>
    <d v="2024-11-28T00:00:00"/>
    <x v="0"/>
    <s v="Q4"/>
    <x v="10"/>
    <x v="4"/>
    <x v="2"/>
    <x v="0"/>
    <x v="1"/>
    <s v="Road"/>
    <x v="1"/>
    <n v="2.9"/>
    <n v="668"/>
    <n v="6"/>
    <n v="8"/>
    <n v="0"/>
    <n v="2"/>
    <n v="12.44"/>
    <n v="0"/>
    <n v="1"/>
  </r>
  <r>
    <s v="SHP-502338"/>
    <d v="2024-11-29T00:00:00"/>
    <x v="0"/>
    <s v="Q4"/>
    <x v="10"/>
    <x v="0"/>
    <x v="2"/>
    <x v="3"/>
    <x v="2"/>
    <s v="Road"/>
    <x v="1"/>
    <n v="6.9"/>
    <n v="492"/>
    <n v="2"/>
    <n v="1"/>
    <n v="1"/>
    <n v="0"/>
    <n v="30.36"/>
    <n v="0"/>
    <n v="1"/>
  </r>
  <r>
    <s v="SHP-502339"/>
    <d v="2024-11-29T00:00:00"/>
    <x v="0"/>
    <s v="Q4"/>
    <x v="10"/>
    <x v="1"/>
    <x v="2"/>
    <x v="1"/>
    <x v="0"/>
    <s v="Road"/>
    <x v="0"/>
    <n v="40"/>
    <n v="244"/>
    <n v="3"/>
    <n v="3"/>
    <n v="1"/>
    <n v="0"/>
    <n v="35.14"/>
    <n v="0"/>
    <n v="1"/>
  </r>
  <r>
    <s v="SHP-502340"/>
    <d v="2024-11-29T00:00:00"/>
    <x v="0"/>
    <s v="Q4"/>
    <x v="10"/>
    <x v="1"/>
    <x v="1"/>
    <x v="0"/>
    <x v="0"/>
    <s v="Road"/>
    <x v="0"/>
    <n v="116"/>
    <n v="845"/>
    <n v="4"/>
    <n v="4"/>
    <n v="1"/>
    <n v="0"/>
    <n v="69.73"/>
    <n v="0"/>
    <n v="1"/>
  </r>
  <r>
    <s v="SHP-502341"/>
    <d v="2024-11-29T00:00:00"/>
    <x v="0"/>
    <s v="Q4"/>
    <x v="10"/>
    <x v="3"/>
    <x v="1"/>
    <x v="1"/>
    <x v="1"/>
    <s v="Road"/>
    <x v="0"/>
    <n v="144.9"/>
    <n v="291"/>
    <n v="5"/>
    <n v="5"/>
    <n v="1"/>
    <n v="0"/>
    <n v="56.15"/>
    <n v="0"/>
    <n v="1"/>
  </r>
  <r>
    <s v="SHP-502342"/>
    <d v="2024-11-29T00:00:00"/>
    <x v="0"/>
    <s v="Q4"/>
    <x v="10"/>
    <x v="1"/>
    <x v="1"/>
    <x v="0"/>
    <x v="2"/>
    <s v="Air"/>
    <x v="1"/>
    <n v="13.7"/>
    <n v="951"/>
    <n v="2"/>
    <n v="2"/>
    <n v="1"/>
    <n v="0"/>
    <n v="80.52"/>
    <n v="0"/>
    <n v="1"/>
  </r>
  <r>
    <s v="SHP-502343"/>
    <d v="2024-11-29T00:00:00"/>
    <x v="0"/>
    <s v="Q4"/>
    <x v="10"/>
    <x v="3"/>
    <x v="1"/>
    <x v="1"/>
    <x v="1"/>
    <s v="Road"/>
    <x v="0"/>
    <n v="170.7"/>
    <n v="151"/>
    <n v="5"/>
    <n v="6"/>
    <n v="0"/>
    <n v="1"/>
    <n v="65.88"/>
    <n v="0"/>
    <n v="1"/>
  </r>
  <r>
    <s v="SHP-502344"/>
    <d v="2024-11-29T00:00:00"/>
    <x v="0"/>
    <s v="Q4"/>
    <x v="10"/>
    <x v="3"/>
    <x v="1"/>
    <x v="1"/>
    <x v="2"/>
    <s v="Road"/>
    <x v="1"/>
    <n v="6.2"/>
    <n v="229"/>
    <n v="1"/>
    <n v="1"/>
    <n v="1"/>
    <n v="0"/>
    <n v="26.69"/>
    <n v="0"/>
    <n v="1"/>
  </r>
  <r>
    <s v="SHP-502345"/>
    <d v="2024-11-29T00:00:00"/>
    <x v="0"/>
    <s v="Q4"/>
    <x v="10"/>
    <x v="2"/>
    <x v="1"/>
    <x v="1"/>
    <x v="0"/>
    <s v="Road"/>
    <x v="0"/>
    <n v="10.8"/>
    <n v="351"/>
    <n v="3"/>
    <n v="2"/>
    <n v="1"/>
    <n v="0"/>
    <n v="14.66"/>
    <n v="0"/>
    <n v="1"/>
  </r>
  <r>
    <s v="SHP-502346"/>
    <d v="2024-11-29T00:00:00"/>
    <x v="0"/>
    <s v="Q4"/>
    <x v="10"/>
    <x v="3"/>
    <x v="1"/>
    <x v="3"/>
    <x v="0"/>
    <s v="Road"/>
    <x v="0"/>
    <n v="16.7"/>
    <n v="455"/>
    <n v="4"/>
    <n v="4"/>
    <n v="1"/>
    <n v="0"/>
    <n v="26.88"/>
    <n v="0"/>
    <n v="1"/>
  </r>
  <r>
    <s v="SHP-502347"/>
    <d v="2024-11-29T00:00:00"/>
    <x v="0"/>
    <s v="Q4"/>
    <x v="10"/>
    <x v="3"/>
    <x v="2"/>
    <x v="1"/>
    <x v="1"/>
    <s v="Road"/>
    <x v="1"/>
    <n v="3.5"/>
    <n v="253"/>
    <n v="5"/>
    <n v="5"/>
    <n v="1"/>
    <n v="0"/>
    <n v="9.19"/>
    <n v="0"/>
    <n v="1"/>
  </r>
  <r>
    <s v="SHP-502348"/>
    <d v="2024-11-29T00:00:00"/>
    <x v="0"/>
    <s v="Q4"/>
    <x v="10"/>
    <x v="4"/>
    <x v="1"/>
    <x v="0"/>
    <x v="0"/>
    <s v="Road"/>
    <x v="0"/>
    <n v="126.3"/>
    <n v="905"/>
    <n v="4"/>
    <n v="3"/>
    <n v="1"/>
    <n v="0"/>
    <n v="64.760000000000005"/>
    <n v="0"/>
    <n v="1"/>
  </r>
  <r>
    <s v="SHP-502349"/>
    <d v="2024-11-29T00:00:00"/>
    <x v="0"/>
    <s v="Q4"/>
    <x v="10"/>
    <x v="3"/>
    <x v="0"/>
    <x v="1"/>
    <x v="2"/>
    <s v="Road"/>
    <x v="0"/>
    <n v="231.6"/>
    <n v="231"/>
    <n v="1"/>
    <n v="1"/>
    <n v="1"/>
    <n v="0"/>
    <n v="224.73"/>
    <n v="0"/>
    <n v="1"/>
  </r>
  <r>
    <s v="SHP-502350"/>
    <d v="2024-11-29T00:00:00"/>
    <x v="0"/>
    <s v="Q4"/>
    <x v="10"/>
    <x v="0"/>
    <x v="1"/>
    <x v="1"/>
    <x v="0"/>
    <s v="Road"/>
    <x v="0"/>
    <n v="3"/>
    <n v="252"/>
    <n v="3"/>
    <n v="3"/>
    <n v="1"/>
    <n v="0"/>
    <n v="11.4"/>
    <n v="0"/>
    <n v="1"/>
  </r>
  <r>
    <s v="SHP-502351"/>
    <d v="2024-11-30T00:00:00"/>
    <x v="0"/>
    <s v="Q4"/>
    <x v="10"/>
    <x v="2"/>
    <x v="0"/>
    <x v="1"/>
    <x v="0"/>
    <s v="Road"/>
    <x v="0"/>
    <n v="66.599999999999994"/>
    <n v="282"/>
    <n v="3"/>
    <n v="3"/>
    <n v="1"/>
    <n v="0"/>
    <n v="34.78"/>
    <n v="0"/>
    <n v="1"/>
  </r>
  <r>
    <s v="SHP-502352"/>
    <d v="2024-11-30T00:00:00"/>
    <x v="0"/>
    <s v="Q4"/>
    <x v="10"/>
    <x v="2"/>
    <x v="1"/>
    <x v="0"/>
    <x v="2"/>
    <s v="Air"/>
    <x v="1"/>
    <n v="9.6999999999999993"/>
    <n v="618"/>
    <n v="2"/>
    <n v="3"/>
    <n v="0"/>
    <n v="1"/>
    <n v="52.48"/>
    <n v="0"/>
    <n v="1"/>
  </r>
  <r>
    <s v="SHP-502353"/>
    <d v="2024-11-30T00:00:00"/>
    <x v="0"/>
    <s v="Q4"/>
    <x v="10"/>
    <x v="0"/>
    <x v="1"/>
    <x v="1"/>
    <x v="0"/>
    <s v="Road"/>
    <x v="1"/>
    <n v="6.8"/>
    <n v="253"/>
    <n v="3"/>
    <n v="3"/>
    <n v="1"/>
    <n v="0"/>
    <n v="13.28"/>
    <n v="0"/>
    <n v="1"/>
  </r>
  <r>
    <s v="SHP-502354"/>
    <d v="2024-11-30T00:00:00"/>
    <x v="0"/>
    <s v="Q4"/>
    <x v="10"/>
    <x v="3"/>
    <x v="0"/>
    <x v="4"/>
    <x v="0"/>
    <s v="Road"/>
    <x v="1"/>
    <n v="12.6"/>
    <n v="1221"/>
    <n v="5"/>
    <n v="5"/>
    <n v="1"/>
    <n v="0"/>
    <n v="29.9"/>
    <n v="0"/>
    <n v="1"/>
  </r>
  <r>
    <s v="SHP-502355"/>
    <d v="2024-11-30T00:00:00"/>
    <x v="0"/>
    <s v="Q4"/>
    <x v="10"/>
    <x v="3"/>
    <x v="0"/>
    <x v="1"/>
    <x v="1"/>
    <s v="Road"/>
    <x v="0"/>
    <n v="90.3"/>
    <n v="201"/>
    <n v="5"/>
    <n v="5"/>
    <n v="1"/>
    <n v="0"/>
    <n v="36.54"/>
    <n v="0"/>
    <n v="1"/>
  </r>
  <r>
    <s v="SHP-502356"/>
    <d v="2024-11-30T00:00:00"/>
    <x v="0"/>
    <s v="Q4"/>
    <x v="10"/>
    <x v="4"/>
    <x v="2"/>
    <x v="3"/>
    <x v="1"/>
    <s v="Road"/>
    <x v="0"/>
    <n v="244.2"/>
    <n v="499"/>
    <n v="6"/>
    <n v="6"/>
    <n v="1"/>
    <n v="0"/>
    <n v="82.83"/>
    <n v="1"/>
    <n v="1"/>
  </r>
  <r>
    <s v="SHP-502357"/>
    <d v="2024-11-30T00:00:00"/>
    <x v="0"/>
    <s v="Q4"/>
    <x v="10"/>
    <x v="2"/>
    <x v="1"/>
    <x v="1"/>
    <x v="2"/>
    <s v="Road"/>
    <x v="0"/>
    <n v="347"/>
    <n v="267"/>
    <n v="1"/>
    <n v="1"/>
    <n v="1"/>
    <n v="0"/>
    <n v="224.26"/>
    <n v="0"/>
    <n v="1"/>
  </r>
  <r>
    <s v="SHP-502358"/>
    <d v="2024-12-01T00:00:00"/>
    <x v="0"/>
    <s v="Q4"/>
    <x v="11"/>
    <x v="4"/>
    <x v="1"/>
    <x v="0"/>
    <x v="2"/>
    <s v="Air"/>
    <x v="1"/>
    <n v="7.1"/>
    <n v="844"/>
    <n v="2"/>
    <n v="2"/>
    <n v="1"/>
    <n v="0"/>
    <n v="65.97"/>
    <n v="0"/>
    <n v="1"/>
  </r>
  <r>
    <s v="SHP-502359"/>
    <d v="2024-12-01T00:00:00"/>
    <x v="0"/>
    <s v="Q4"/>
    <x v="11"/>
    <x v="2"/>
    <x v="2"/>
    <x v="2"/>
    <x v="0"/>
    <s v="Road"/>
    <x v="1"/>
    <n v="1.2"/>
    <n v="1492"/>
    <n v="5"/>
    <n v="6"/>
    <n v="0"/>
    <n v="1"/>
    <n v="21.88"/>
    <n v="0"/>
    <n v="1"/>
  </r>
  <r>
    <s v="SHP-502360"/>
    <d v="2024-12-02T00:00:00"/>
    <x v="0"/>
    <s v="Q4"/>
    <x v="11"/>
    <x v="2"/>
    <x v="1"/>
    <x v="2"/>
    <x v="0"/>
    <s v="Road"/>
    <x v="0"/>
    <n v="30"/>
    <n v="1056"/>
    <n v="5"/>
    <n v="5"/>
    <n v="1"/>
    <n v="0"/>
    <n v="29.35"/>
    <n v="0"/>
    <n v="1"/>
  </r>
  <r>
    <s v="SHP-502361"/>
    <d v="2024-12-02T00:00:00"/>
    <x v="0"/>
    <s v="Q4"/>
    <x v="11"/>
    <x v="3"/>
    <x v="1"/>
    <x v="0"/>
    <x v="1"/>
    <s v="Road"/>
    <x v="1"/>
    <n v="1.2"/>
    <n v="1298"/>
    <n v="6"/>
    <n v="6"/>
    <n v="1"/>
    <n v="0"/>
    <n v="18.079999999999998"/>
    <n v="0"/>
    <n v="1"/>
  </r>
  <r>
    <s v="SHP-502362"/>
    <d v="2024-12-02T00:00:00"/>
    <x v="0"/>
    <s v="Q4"/>
    <x v="11"/>
    <x v="1"/>
    <x v="2"/>
    <x v="2"/>
    <x v="2"/>
    <s v="Air"/>
    <x v="1"/>
    <n v="14.7"/>
    <n v="617"/>
    <n v="3"/>
    <n v="2"/>
    <n v="1"/>
    <n v="0"/>
    <n v="77"/>
    <n v="0"/>
    <n v="1"/>
  </r>
  <r>
    <s v="SHP-502363"/>
    <d v="2024-12-02T00:00:00"/>
    <x v="0"/>
    <s v="Q4"/>
    <x v="11"/>
    <x v="1"/>
    <x v="1"/>
    <x v="0"/>
    <x v="0"/>
    <s v="Road"/>
    <x v="0"/>
    <n v="11.8"/>
    <n v="943"/>
    <n v="4"/>
    <n v="6"/>
    <n v="0"/>
    <n v="2"/>
    <n v="27.45"/>
    <n v="0"/>
    <n v="1"/>
  </r>
  <r>
    <s v="SHP-502364"/>
    <d v="2024-12-02T00:00:00"/>
    <x v="0"/>
    <s v="Q4"/>
    <x v="11"/>
    <x v="0"/>
    <x v="2"/>
    <x v="2"/>
    <x v="0"/>
    <s v="Road"/>
    <x v="0"/>
    <n v="40.6"/>
    <n v="1483"/>
    <n v="5"/>
    <n v="8"/>
    <n v="0"/>
    <n v="3"/>
    <n v="46.45"/>
    <n v="0"/>
    <n v="1"/>
  </r>
  <r>
    <s v="SHP-502365"/>
    <d v="2024-12-02T00:00:00"/>
    <x v="0"/>
    <s v="Q4"/>
    <x v="11"/>
    <x v="0"/>
    <x v="2"/>
    <x v="2"/>
    <x v="2"/>
    <s v="Air"/>
    <x v="0"/>
    <n v="144.19999999999999"/>
    <n v="1017"/>
    <n v="3"/>
    <n v="3"/>
    <n v="1"/>
    <n v="0"/>
    <n v="243.79"/>
    <n v="0"/>
    <n v="1"/>
  </r>
  <r>
    <s v="SHP-502366"/>
    <d v="2024-12-02T00:00:00"/>
    <x v="0"/>
    <s v="Q4"/>
    <x v="11"/>
    <x v="2"/>
    <x v="1"/>
    <x v="0"/>
    <x v="2"/>
    <s v="Air"/>
    <x v="0"/>
    <n v="69.2"/>
    <n v="947"/>
    <n v="2"/>
    <n v="2"/>
    <n v="1"/>
    <n v="0"/>
    <n v="126.1"/>
    <n v="0"/>
    <n v="1"/>
  </r>
  <r>
    <s v="SHP-502367"/>
    <d v="2024-12-02T00:00:00"/>
    <x v="0"/>
    <s v="Q4"/>
    <x v="11"/>
    <x v="2"/>
    <x v="2"/>
    <x v="0"/>
    <x v="0"/>
    <s v="Road"/>
    <x v="1"/>
    <n v="18.899999999999999"/>
    <n v="1014"/>
    <n v="4"/>
    <n v="4"/>
    <n v="1"/>
    <n v="0"/>
    <n v="21.59"/>
    <n v="0"/>
    <n v="1"/>
  </r>
  <r>
    <s v="SHP-502368"/>
    <d v="2024-12-02T00:00:00"/>
    <x v="0"/>
    <s v="Q4"/>
    <x v="11"/>
    <x v="2"/>
    <x v="0"/>
    <x v="4"/>
    <x v="2"/>
    <s v="Air"/>
    <x v="1"/>
    <n v="3.1"/>
    <n v="932"/>
    <n v="3"/>
    <n v="3"/>
    <n v="1"/>
    <n v="0"/>
    <n v="45.07"/>
    <n v="0"/>
    <n v="1"/>
  </r>
  <r>
    <s v="SHP-502369"/>
    <d v="2024-12-02T00:00:00"/>
    <x v="0"/>
    <s v="Q4"/>
    <x v="11"/>
    <x v="1"/>
    <x v="2"/>
    <x v="2"/>
    <x v="0"/>
    <s v="Road"/>
    <x v="0"/>
    <n v="195.7"/>
    <n v="1171"/>
    <n v="5"/>
    <n v="5"/>
    <n v="1"/>
    <n v="0"/>
    <n v="97.71"/>
    <n v="0"/>
    <n v="1"/>
  </r>
  <r>
    <s v="SHP-502370"/>
    <d v="2024-12-02T00:00:00"/>
    <x v="0"/>
    <s v="Q4"/>
    <x v="11"/>
    <x v="2"/>
    <x v="1"/>
    <x v="3"/>
    <x v="2"/>
    <s v="Road"/>
    <x v="0"/>
    <n v="32.700000000000003"/>
    <n v="494"/>
    <n v="2"/>
    <n v="2"/>
    <n v="1"/>
    <n v="0"/>
    <n v="49.26"/>
    <n v="0"/>
    <n v="1"/>
  </r>
  <r>
    <s v="SHP-502371"/>
    <d v="2024-12-02T00:00:00"/>
    <x v="0"/>
    <s v="Q4"/>
    <x v="11"/>
    <x v="1"/>
    <x v="2"/>
    <x v="0"/>
    <x v="0"/>
    <s v="Road"/>
    <x v="1"/>
    <n v="2.7"/>
    <n v="721"/>
    <n v="4"/>
    <n v="3"/>
    <n v="1"/>
    <n v="0"/>
    <n v="16.649999999999999"/>
    <n v="0"/>
    <n v="1"/>
  </r>
  <r>
    <s v="SHP-502372"/>
    <d v="2024-12-03T00:00:00"/>
    <x v="0"/>
    <s v="Q4"/>
    <x v="11"/>
    <x v="0"/>
    <x v="1"/>
    <x v="0"/>
    <x v="2"/>
    <s v="Air"/>
    <x v="1"/>
    <n v="9.5"/>
    <n v="1284"/>
    <n v="2"/>
    <n v="2"/>
    <n v="1"/>
    <n v="0"/>
    <n v="81.59"/>
    <n v="0"/>
    <n v="1"/>
  </r>
  <r>
    <s v="SHP-502373"/>
    <d v="2024-12-03T00:00:00"/>
    <x v="0"/>
    <s v="Q4"/>
    <x v="11"/>
    <x v="2"/>
    <x v="2"/>
    <x v="3"/>
    <x v="2"/>
    <s v="Road"/>
    <x v="1"/>
    <n v="6.1"/>
    <n v="481"/>
    <n v="2"/>
    <n v="2"/>
    <n v="1"/>
    <n v="0"/>
    <n v="27.19"/>
    <n v="0"/>
    <n v="1"/>
  </r>
  <r>
    <s v="SHP-502374"/>
    <d v="2024-12-03T00:00:00"/>
    <x v="0"/>
    <s v="Q4"/>
    <x v="11"/>
    <x v="4"/>
    <x v="1"/>
    <x v="1"/>
    <x v="1"/>
    <s v="Road"/>
    <x v="1"/>
    <n v="2.8"/>
    <n v="169"/>
    <n v="5"/>
    <n v="4"/>
    <n v="1"/>
    <n v="0"/>
    <n v="6.96"/>
    <n v="0"/>
    <n v="1"/>
  </r>
  <r>
    <s v="SHP-502375"/>
    <d v="2024-12-03T00:00:00"/>
    <x v="0"/>
    <s v="Q4"/>
    <x v="11"/>
    <x v="1"/>
    <x v="2"/>
    <x v="3"/>
    <x v="1"/>
    <s v="Road"/>
    <x v="0"/>
    <n v="38.6"/>
    <n v="468"/>
    <n v="6"/>
    <n v="5"/>
    <n v="1"/>
    <n v="0"/>
    <n v="22.54"/>
    <n v="0"/>
    <n v="1"/>
  </r>
  <r>
    <s v="SHP-502376"/>
    <d v="2024-12-03T00:00:00"/>
    <x v="0"/>
    <s v="Q4"/>
    <x v="11"/>
    <x v="4"/>
    <x v="2"/>
    <x v="3"/>
    <x v="0"/>
    <s v="Road"/>
    <x v="1"/>
    <n v="3"/>
    <n v="341"/>
    <n v="4"/>
    <n v="4"/>
    <n v="1"/>
    <n v="0"/>
    <n v="12.32"/>
    <n v="0"/>
    <n v="1"/>
  </r>
  <r>
    <s v="SHP-502377"/>
    <d v="2024-12-03T00:00:00"/>
    <x v="0"/>
    <s v="Q4"/>
    <x v="11"/>
    <x v="0"/>
    <x v="2"/>
    <x v="0"/>
    <x v="0"/>
    <s v="Road"/>
    <x v="1"/>
    <n v="5.4"/>
    <n v="858"/>
    <n v="4"/>
    <n v="4"/>
    <n v="1"/>
    <n v="0"/>
    <n v="20.239999999999998"/>
    <n v="0"/>
    <n v="1"/>
  </r>
  <r>
    <s v="SHP-502378"/>
    <d v="2024-12-03T00:00:00"/>
    <x v="0"/>
    <s v="Q4"/>
    <x v="11"/>
    <x v="4"/>
    <x v="2"/>
    <x v="3"/>
    <x v="0"/>
    <s v="Road"/>
    <x v="0"/>
    <n v="110.6"/>
    <n v="340"/>
    <n v="4"/>
    <n v="4"/>
    <n v="1"/>
    <n v="0"/>
    <n v="56"/>
    <n v="0"/>
    <n v="1"/>
  </r>
  <r>
    <s v="SHP-502379"/>
    <d v="2024-12-04T00:00:00"/>
    <x v="0"/>
    <s v="Q4"/>
    <x v="11"/>
    <x v="2"/>
    <x v="2"/>
    <x v="0"/>
    <x v="0"/>
    <s v="Road"/>
    <x v="1"/>
    <n v="3.3"/>
    <n v="1019"/>
    <n v="4"/>
    <n v="5"/>
    <n v="0"/>
    <n v="1"/>
    <n v="18.09"/>
    <n v="0"/>
    <n v="1"/>
  </r>
  <r>
    <s v="SHP-502380"/>
    <d v="2024-12-04T00:00:00"/>
    <x v="0"/>
    <s v="Q4"/>
    <x v="11"/>
    <x v="4"/>
    <x v="1"/>
    <x v="2"/>
    <x v="0"/>
    <s v="Road"/>
    <x v="0"/>
    <n v="56.6"/>
    <n v="1186"/>
    <n v="5"/>
    <n v="5"/>
    <n v="1"/>
    <n v="0"/>
    <n v="47.91"/>
    <n v="0"/>
    <n v="1"/>
  </r>
  <r>
    <s v="SHP-502381"/>
    <d v="2024-12-04T00:00:00"/>
    <x v="0"/>
    <s v="Q4"/>
    <x v="11"/>
    <x v="1"/>
    <x v="1"/>
    <x v="2"/>
    <x v="0"/>
    <s v="Road"/>
    <x v="1"/>
    <n v="12.7"/>
    <n v="1410"/>
    <n v="5"/>
    <n v="5"/>
    <n v="1"/>
    <n v="0"/>
    <n v="33.130000000000003"/>
    <n v="0"/>
    <n v="1"/>
  </r>
  <r>
    <s v="SHP-502382"/>
    <d v="2024-12-04T00:00:00"/>
    <x v="0"/>
    <s v="Q4"/>
    <x v="11"/>
    <x v="0"/>
    <x v="2"/>
    <x v="0"/>
    <x v="1"/>
    <s v="Road"/>
    <x v="1"/>
    <n v="5.2"/>
    <n v="754"/>
    <n v="6"/>
    <n v="6"/>
    <n v="1"/>
    <n v="0"/>
    <n v="13.14"/>
    <n v="0"/>
    <n v="1"/>
  </r>
  <r>
    <s v="SHP-502383"/>
    <d v="2024-12-04T00:00:00"/>
    <x v="0"/>
    <s v="Q4"/>
    <x v="11"/>
    <x v="1"/>
    <x v="1"/>
    <x v="0"/>
    <x v="1"/>
    <s v="Road"/>
    <x v="1"/>
    <n v="6.4"/>
    <n v="961"/>
    <n v="6"/>
    <n v="6"/>
    <n v="1"/>
    <n v="0"/>
    <n v="16.77"/>
    <n v="0"/>
    <n v="1"/>
  </r>
  <r>
    <s v="SHP-502384"/>
    <d v="2024-12-04T00:00:00"/>
    <x v="0"/>
    <s v="Q4"/>
    <x v="11"/>
    <x v="2"/>
    <x v="0"/>
    <x v="2"/>
    <x v="1"/>
    <s v="Road"/>
    <x v="1"/>
    <n v="4.2"/>
    <n v="1323"/>
    <n v="7"/>
    <n v="10"/>
    <n v="0"/>
    <n v="3"/>
    <n v="14.81"/>
    <n v="0"/>
    <n v="1"/>
  </r>
  <r>
    <s v="SHP-502385"/>
    <d v="2024-12-04T00:00:00"/>
    <x v="0"/>
    <s v="Q4"/>
    <x v="11"/>
    <x v="4"/>
    <x v="2"/>
    <x v="3"/>
    <x v="1"/>
    <s v="Road"/>
    <x v="1"/>
    <n v="3.4"/>
    <n v="440"/>
    <n v="6"/>
    <n v="6"/>
    <n v="1"/>
    <n v="0"/>
    <n v="9.9700000000000006"/>
    <n v="0"/>
    <n v="1"/>
  </r>
  <r>
    <s v="SHP-502386"/>
    <d v="2024-12-04T00:00:00"/>
    <x v="0"/>
    <s v="Q4"/>
    <x v="11"/>
    <x v="2"/>
    <x v="2"/>
    <x v="2"/>
    <x v="1"/>
    <s v="Road"/>
    <x v="1"/>
    <n v="3"/>
    <n v="985"/>
    <n v="7"/>
    <n v="6"/>
    <n v="1"/>
    <n v="0"/>
    <n v="12.86"/>
    <n v="0"/>
    <n v="1"/>
  </r>
  <r>
    <s v="SHP-502387"/>
    <d v="2024-12-04T00:00:00"/>
    <x v="0"/>
    <s v="Q4"/>
    <x v="11"/>
    <x v="0"/>
    <x v="1"/>
    <x v="0"/>
    <x v="0"/>
    <s v="Road"/>
    <x v="0"/>
    <n v="61.1"/>
    <n v="983"/>
    <n v="4"/>
    <n v="4"/>
    <n v="1"/>
    <n v="0"/>
    <n v="47.37"/>
    <n v="0"/>
    <n v="1"/>
  </r>
  <r>
    <s v="SHP-502388"/>
    <d v="2024-12-04T00:00:00"/>
    <x v="0"/>
    <s v="Q4"/>
    <x v="11"/>
    <x v="2"/>
    <x v="0"/>
    <x v="2"/>
    <x v="2"/>
    <s v="Air"/>
    <x v="1"/>
    <n v="5.2"/>
    <n v="984"/>
    <n v="3"/>
    <n v="5"/>
    <n v="0"/>
    <n v="2"/>
    <n v="51.55"/>
    <n v="0"/>
    <n v="1"/>
  </r>
  <r>
    <s v="SHP-502389"/>
    <d v="2024-12-04T00:00:00"/>
    <x v="0"/>
    <s v="Q4"/>
    <x v="11"/>
    <x v="0"/>
    <x v="0"/>
    <x v="1"/>
    <x v="1"/>
    <s v="Road"/>
    <x v="0"/>
    <n v="162.6"/>
    <n v="241"/>
    <n v="5"/>
    <n v="5"/>
    <n v="1"/>
    <n v="0"/>
    <n v="58.26"/>
    <n v="0"/>
    <n v="1"/>
  </r>
  <r>
    <s v="SHP-502390"/>
    <d v="2024-12-04T00:00:00"/>
    <x v="0"/>
    <s v="Q4"/>
    <x v="11"/>
    <x v="3"/>
    <x v="1"/>
    <x v="2"/>
    <x v="1"/>
    <s v="Road"/>
    <x v="1"/>
    <n v="11.6"/>
    <n v="1033"/>
    <n v="7"/>
    <n v="7"/>
    <n v="1"/>
    <n v="0"/>
    <n v="21.55"/>
    <n v="0"/>
    <n v="1"/>
  </r>
  <r>
    <s v="SHP-502391"/>
    <d v="2024-12-04T00:00:00"/>
    <x v="0"/>
    <s v="Q4"/>
    <x v="11"/>
    <x v="1"/>
    <x v="1"/>
    <x v="3"/>
    <x v="1"/>
    <s v="Road"/>
    <x v="0"/>
    <n v="110.3"/>
    <n v="607"/>
    <n v="6"/>
    <n v="7"/>
    <n v="0"/>
    <n v="1"/>
    <n v="45.28"/>
    <n v="0"/>
    <n v="1"/>
  </r>
  <r>
    <s v="SHP-502392"/>
    <d v="2024-12-04T00:00:00"/>
    <x v="0"/>
    <s v="Q4"/>
    <x v="11"/>
    <x v="1"/>
    <x v="1"/>
    <x v="1"/>
    <x v="2"/>
    <s v="Road"/>
    <x v="1"/>
    <n v="11.8"/>
    <n v="271"/>
    <n v="1"/>
    <n v="3"/>
    <n v="0"/>
    <n v="2"/>
    <n v="33.450000000000003"/>
    <n v="0"/>
    <n v="1"/>
  </r>
  <r>
    <s v="SHP-502393"/>
    <d v="2024-12-05T00:00:00"/>
    <x v="0"/>
    <s v="Q4"/>
    <x v="11"/>
    <x v="4"/>
    <x v="2"/>
    <x v="3"/>
    <x v="1"/>
    <s v="Road"/>
    <x v="0"/>
    <n v="164"/>
    <n v="510"/>
    <n v="6"/>
    <n v="7"/>
    <n v="0"/>
    <n v="1"/>
    <n v="57.04"/>
    <n v="0"/>
    <n v="1"/>
  </r>
  <r>
    <s v="SHP-502394"/>
    <d v="2024-12-05T00:00:00"/>
    <x v="0"/>
    <s v="Q4"/>
    <x v="11"/>
    <x v="2"/>
    <x v="0"/>
    <x v="1"/>
    <x v="2"/>
    <s v="Road"/>
    <x v="1"/>
    <n v="1.5"/>
    <n v="230"/>
    <n v="1"/>
    <n v="1"/>
    <n v="1"/>
    <n v="0"/>
    <n v="16.25"/>
    <n v="0"/>
    <n v="1"/>
  </r>
  <r>
    <s v="SHP-502395"/>
    <d v="2024-12-05T00:00:00"/>
    <x v="0"/>
    <s v="Q4"/>
    <x v="11"/>
    <x v="4"/>
    <x v="2"/>
    <x v="0"/>
    <x v="1"/>
    <s v="Road"/>
    <x v="0"/>
    <n v="394.8"/>
    <n v="1021"/>
    <n v="6"/>
    <n v="6"/>
    <n v="1"/>
    <n v="0"/>
    <n v="106.33"/>
    <n v="0"/>
    <n v="1"/>
  </r>
  <r>
    <s v="SHP-502396"/>
    <d v="2024-12-05T00:00:00"/>
    <x v="0"/>
    <s v="Q4"/>
    <x v="11"/>
    <x v="2"/>
    <x v="1"/>
    <x v="4"/>
    <x v="0"/>
    <s v="Road"/>
    <x v="0"/>
    <n v="155.30000000000001"/>
    <n v="983"/>
    <n v="5"/>
    <n v="7"/>
    <n v="0"/>
    <n v="2"/>
    <n v="74.94"/>
    <n v="0"/>
    <n v="1"/>
  </r>
  <r>
    <s v="SHP-502397"/>
    <d v="2024-12-05T00:00:00"/>
    <x v="0"/>
    <s v="Q4"/>
    <x v="11"/>
    <x v="0"/>
    <x v="0"/>
    <x v="0"/>
    <x v="0"/>
    <s v="Road"/>
    <x v="1"/>
    <n v="9.6999999999999993"/>
    <n v="844"/>
    <n v="4"/>
    <n v="4"/>
    <n v="1"/>
    <n v="0"/>
    <n v="22.2"/>
    <n v="1"/>
    <n v="1"/>
  </r>
  <r>
    <s v="SHP-502398"/>
    <d v="2024-12-05T00:00:00"/>
    <x v="0"/>
    <s v="Q4"/>
    <x v="11"/>
    <x v="4"/>
    <x v="1"/>
    <x v="0"/>
    <x v="0"/>
    <s v="Road"/>
    <x v="1"/>
    <n v="8"/>
    <n v="967"/>
    <n v="4"/>
    <n v="4"/>
    <n v="1"/>
    <n v="0"/>
    <n v="23.97"/>
    <n v="0"/>
    <n v="1"/>
  </r>
  <r>
    <s v="SHP-502399"/>
    <d v="2024-12-05T00:00:00"/>
    <x v="0"/>
    <s v="Q4"/>
    <x v="11"/>
    <x v="2"/>
    <x v="2"/>
    <x v="1"/>
    <x v="0"/>
    <s v="Road"/>
    <x v="1"/>
    <n v="4"/>
    <n v="251"/>
    <n v="3"/>
    <n v="3"/>
    <n v="1"/>
    <n v="0"/>
    <n v="9.23"/>
    <n v="0"/>
    <n v="1"/>
  </r>
  <r>
    <s v="SHP-502400"/>
    <d v="2024-12-05T00:00:00"/>
    <x v="0"/>
    <s v="Q4"/>
    <x v="11"/>
    <x v="0"/>
    <x v="1"/>
    <x v="0"/>
    <x v="2"/>
    <s v="Air"/>
    <x v="1"/>
    <n v="5.9"/>
    <n v="890"/>
    <n v="2"/>
    <n v="5"/>
    <n v="0"/>
    <n v="3"/>
    <n v="62.19"/>
    <n v="0"/>
    <n v="1"/>
  </r>
  <r>
    <s v="SHP-502401"/>
    <d v="2024-12-05T00:00:00"/>
    <x v="0"/>
    <s v="Q4"/>
    <x v="11"/>
    <x v="2"/>
    <x v="2"/>
    <x v="0"/>
    <x v="0"/>
    <s v="Road"/>
    <x v="1"/>
    <n v="7.4"/>
    <n v="653"/>
    <n v="4"/>
    <n v="4"/>
    <n v="1"/>
    <n v="0"/>
    <n v="16.52"/>
    <n v="0"/>
    <n v="1"/>
  </r>
  <r>
    <s v="SHP-502402"/>
    <d v="2024-12-05T00:00:00"/>
    <x v="0"/>
    <s v="Q4"/>
    <x v="11"/>
    <x v="4"/>
    <x v="2"/>
    <x v="1"/>
    <x v="1"/>
    <s v="Road"/>
    <x v="1"/>
    <n v="4.4000000000000004"/>
    <n v="296"/>
    <n v="5"/>
    <n v="8"/>
    <n v="0"/>
    <n v="3"/>
    <n v="9.02"/>
    <n v="0"/>
    <n v="1"/>
  </r>
  <r>
    <s v="SHP-502403"/>
    <d v="2024-12-05T00:00:00"/>
    <x v="0"/>
    <s v="Q4"/>
    <x v="11"/>
    <x v="4"/>
    <x v="2"/>
    <x v="1"/>
    <x v="0"/>
    <s v="Road"/>
    <x v="1"/>
    <n v="6"/>
    <n v="265"/>
    <n v="3"/>
    <n v="3"/>
    <n v="1"/>
    <n v="0"/>
    <n v="12.28"/>
    <n v="0"/>
    <n v="1"/>
  </r>
  <r>
    <s v="SHP-502404"/>
    <d v="2024-12-05T00:00:00"/>
    <x v="0"/>
    <s v="Q4"/>
    <x v="11"/>
    <x v="3"/>
    <x v="2"/>
    <x v="1"/>
    <x v="0"/>
    <s v="Road"/>
    <x v="1"/>
    <n v="1.9"/>
    <n v="295"/>
    <n v="3"/>
    <n v="2"/>
    <n v="1"/>
    <n v="0"/>
    <n v="13.16"/>
    <n v="0"/>
    <n v="1"/>
  </r>
  <r>
    <s v="SHP-502405"/>
    <d v="2024-12-05T00:00:00"/>
    <x v="0"/>
    <s v="Q4"/>
    <x v="11"/>
    <x v="2"/>
    <x v="0"/>
    <x v="0"/>
    <x v="0"/>
    <s v="Road"/>
    <x v="0"/>
    <n v="42.1"/>
    <n v="937"/>
    <n v="4"/>
    <n v="4"/>
    <n v="1"/>
    <n v="0"/>
    <n v="33.32"/>
    <n v="0"/>
    <n v="1"/>
  </r>
  <r>
    <s v="SHP-502406"/>
    <d v="2024-12-05T00:00:00"/>
    <x v="0"/>
    <s v="Q4"/>
    <x v="11"/>
    <x v="0"/>
    <x v="0"/>
    <x v="0"/>
    <x v="0"/>
    <s v="Road"/>
    <x v="1"/>
    <n v="15.6"/>
    <n v="799"/>
    <n v="4"/>
    <n v="4"/>
    <n v="1"/>
    <n v="0"/>
    <n v="21.33"/>
    <n v="0"/>
    <n v="1"/>
  </r>
  <r>
    <s v="SHP-502407"/>
    <d v="2024-12-05T00:00:00"/>
    <x v="0"/>
    <s v="Q4"/>
    <x v="11"/>
    <x v="1"/>
    <x v="2"/>
    <x v="0"/>
    <x v="0"/>
    <s v="Road"/>
    <x v="1"/>
    <n v="4.8"/>
    <n v="1266"/>
    <n v="4"/>
    <n v="4"/>
    <n v="1"/>
    <n v="0"/>
    <n v="26.63"/>
    <n v="0"/>
    <n v="1"/>
  </r>
  <r>
    <s v="SHP-502408"/>
    <d v="2024-12-05T00:00:00"/>
    <x v="0"/>
    <s v="Q4"/>
    <x v="11"/>
    <x v="4"/>
    <x v="0"/>
    <x v="1"/>
    <x v="0"/>
    <s v="Road"/>
    <x v="1"/>
    <n v="10.6"/>
    <n v="282"/>
    <n v="3"/>
    <n v="2"/>
    <n v="1"/>
    <n v="0"/>
    <n v="15.91"/>
    <n v="0"/>
    <n v="1"/>
  </r>
  <r>
    <s v="SHP-502409"/>
    <d v="2024-12-05T00:00:00"/>
    <x v="0"/>
    <s v="Q4"/>
    <x v="11"/>
    <x v="0"/>
    <x v="1"/>
    <x v="3"/>
    <x v="0"/>
    <s v="Road"/>
    <x v="0"/>
    <n v="29.8"/>
    <n v="474"/>
    <n v="4"/>
    <n v="4"/>
    <n v="1"/>
    <n v="0"/>
    <n v="25.06"/>
    <n v="0"/>
    <n v="1"/>
  </r>
  <r>
    <s v="SHP-502410"/>
    <d v="2024-12-06T00:00:00"/>
    <x v="0"/>
    <s v="Q4"/>
    <x v="11"/>
    <x v="0"/>
    <x v="2"/>
    <x v="1"/>
    <x v="1"/>
    <s v="Road"/>
    <x v="0"/>
    <n v="39.700000000000003"/>
    <n v="250"/>
    <n v="5"/>
    <n v="5"/>
    <n v="1"/>
    <n v="0"/>
    <n v="21.61"/>
    <n v="0"/>
    <n v="1"/>
  </r>
  <r>
    <s v="SHP-502411"/>
    <d v="2024-12-06T00:00:00"/>
    <x v="0"/>
    <s v="Q4"/>
    <x v="11"/>
    <x v="1"/>
    <x v="1"/>
    <x v="0"/>
    <x v="0"/>
    <s v="Road"/>
    <x v="0"/>
    <n v="44.4"/>
    <n v="1204"/>
    <n v="4"/>
    <n v="4"/>
    <n v="1"/>
    <n v="0"/>
    <n v="44.25"/>
    <n v="0"/>
    <n v="1"/>
  </r>
  <r>
    <s v="SHP-502412"/>
    <d v="2024-12-06T00:00:00"/>
    <x v="0"/>
    <s v="Q4"/>
    <x v="11"/>
    <x v="3"/>
    <x v="1"/>
    <x v="2"/>
    <x v="0"/>
    <s v="Road"/>
    <x v="0"/>
    <n v="43.5"/>
    <n v="1296"/>
    <n v="5"/>
    <n v="8"/>
    <n v="0"/>
    <n v="3"/>
    <n v="44.07"/>
    <n v="0"/>
    <n v="1"/>
  </r>
  <r>
    <s v="SHP-502413"/>
    <d v="2024-12-06T00:00:00"/>
    <x v="0"/>
    <s v="Q4"/>
    <x v="11"/>
    <x v="1"/>
    <x v="1"/>
    <x v="0"/>
    <x v="2"/>
    <s v="Air"/>
    <x v="0"/>
    <n v="106.2"/>
    <n v="1191"/>
    <n v="2"/>
    <n v="2"/>
    <n v="1"/>
    <n v="0"/>
    <n v="215.39"/>
    <n v="1"/>
    <n v="1"/>
  </r>
  <r>
    <s v="SHP-502414"/>
    <d v="2024-12-06T00:00:00"/>
    <x v="0"/>
    <s v="Q4"/>
    <x v="11"/>
    <x v="4"/>
    <x v="1"/>
    <x v="0"/>
    <x v="2"/>
    <s v="Air"/>
    <x v="0"/>
    <n v="85.2"/>
    <n v="920"/>
    <n v="2"/>
    <n v="1"/>
    <n v="1"/>
    <n v="0"/>
    <n v="175.62"/>
    <n v="1"/>
    <n v="1"/>
  </r>
  <r>
    <s v="SHP-502415"/>
    <d v="2024-12-06T00:00:00"/>
    <x v="0"/>
    <s v="Q4"/>
    <x v="11"/>
    <x v="3"/>
    <x v="1"/>
    <x v="0"/>
    <x v="0"/>
    <s v="Road"/>
    <x v="0"/>
    <n v="17.399999999999999"/>
    <n v="1116"/>
    <n v="4"/>
    <n v="6"/>
    <n v="0"/>
    <n v="2"/>
    <n v="35.22"/>
    <n v="0"/>
    <n v="1"/>
  </r>
  <r>
    <s v="SHP-502416"/>
    <d v="2024-12-06T00:00:00"/>
    <x v="0"/>
    <s v="Q4"/>
    <x v="11"/>
    <x v="4"/>
    <x v="2"/>
    <x v="0"/>
    <x v="2"/>
    <s v="Air"/>
    <x v="1"/>
    <n v="3.4"/>
    <n v="619"/>
    <n v="2"/>
    <n v="3"/>
    <n v="0"/>
    <n v="1"/>
    <n v="45.51"/>
    <n v="0"/>
    <n v="1"/>
  </r>
  <r>
    <s v="SHP-502417"/>
    <d v="2024-12-06T00:00:00"/>
    <x v="0"/>
    <s v="Q4"/>
    <x v="11"/>
    <x v="4"/>
    <x v="2"/>
    <x v="1"/>
    <x v="2"/>
    <s v="Road"/>
    <x v="0"/>
    <n v="13.3"/>
    <n v="232"/>
    <n v="1"/>
    <n v="1"/>
    <n v="1"/>
    <n v="0"/>
    <n v="29.78"/>
    <n v="0"/>
    <n v="1"/>
  </r>
  <r>
    <s v="SHP-502418"/>
    <d v="2024-12-06T00:00:00"/>
    <x v="0"/>
    <s v="Q4"/>
    <x v="11"/>
    <x v="3"/>
    <x v="2"/>
    <x v="2"/>
    <x v="2"/>
    <s v="Air"/>
    <x v="0"/>
    <n v="100"/>
    <n v="1013"/>
    <n v="3"/>
    <n v="2"/>
    <n v="1"/>
    <n v="0"/>
    <n v="220.21"/>
    <n v="0"/>
    <n v="1"/>
  </r>
  <r>
    <s v="SHP-502419"/>
    <d v="2024-12-06T00:00:00"/>
    <x v="0"/>
    <s v="Q4"/>
    <x v="11"/>
    <x v="3"/>
    <x v="2"/>
    <x v="2"/>
    <x v="1"/>
    <s v="Road"/>
    <x v="1"/>
    <n v="0.9"/>
    <n v="853"/>
    <n v="7"/>
    <n v="7"/>
    <n v="1"/>
    <n v="0"/>
    <n v="14.02"/>
    <n v="0"/>
    <n v="1"/>
  </r>
  <r>
    <s v="SHP-502420"/>
    <d v="2024-12-06T00:00:00"/>
    <x v="0"/>
    <s v="Q4"/>
    <x v="11"/>
    <x v="3"/>
    <x v="1"/>
    <x v="1"/>
    <x v="0"/>
    <s v="Road"/>
    <x v="1"/>
    <n v="16.100000000000001"/>
    <n v="203"/>
    <n v="3"/>
    <n v="2"/>
    <n v="1"/>
    <n v="0"/>
    <n v="19.04"/>
    <n v="0"/>
    <n v="1"/>
  </r>
  <r>
    <s v="SHP-502421"/>
    <d v="2024-12-07T00:00:00"/>
    <x v="0"/>
    <s v="Q4"/>
    <x v="11"/>
    <x v="2"/>
    <x v="2"/>
    <x v="2"/>
    <x v="0"/>
    <s v="Road"/>
    <x v="0"/>
    <n v="104.6"/>
    <n v="1245"/>
    <n v="5"/>
    <n v="7"/>
    <n v="0"/>
    <n v="2"/>
    <n v="54.84"/>
    <n v="0"/>
    <n v="1"/>
  </r>
  <r>
    <s v="SHP-502422"/>
    <d v="2024-12-07T00:00:00"/>
    <x v="0"/>
    <s v="Q4"/>
    <x v="11"/>
    <x v="3"/>
    <x v="0"/>
    <x v="2"/>
    <x v="0"/>
    <s v="Road"/>
    <x v="1"/>
    <n v="1.7"/>
    <n v="964"/>
    <n v="5"/>
    <n v="5"/>
    <n v="1"/>
    <n v="0"/>
    <n v="22.52"/>
    <n v="0"/>
    <n v="1"/>
  </r>
  <r>
    <s v="SHP-502423"/>
    <d v="2024-12-07T00:00:00"/>
    <x v="0"/>
    <s v="Q4"/>
    <x v="11"/>
    <x v="0"/>
    <x v="2"/>
    <x v="0"/>
    <x v="2"/>
    <s v="Air"/>
    <x v="0"/>
    <n v="140"/>
    <n v="885"/>
    <n v="2"/>
    <n v="2"/>
    <n v="1"/>
    <n v="0"/>
    <n v="213.38"/>
    <n v="0"/>
    <n v="1"/>
  </r>
  <r>
    <s v="SHP-502424"/>
    <d v="2024-12-07T00:00:00"/>
    <x v="0"/>
    <s v="Q4"/>
    <x v="11"/>
    <x v="4"/>
    <x v="1"/>
    <x v="4"/>
    <x v="1"/>
    <s v="Road"/>
    <x v="1"/>
    <n v="10.9"/>
    <n v="981"/>
    <n v="7"/>
    <n v="7"/>
    <n v="1"/>
    <n v="0"/>
    <n v="17.309999999999999"/>
    <n v="0"/>
    <n v="1"/>
  </r>
  <r>
    <s v="SHP-502425"/>
    <d v="2024-12-07T00:00:00"/>
    <x v="0"/>
    <s v="Q4"/>
    <x v="11"/>
    <x v="0"/>
    <x v="0"/>
    <x v="4"/>
    <x v="0"/>
    <s v="Road"/>
    <x v="0"/>
    <n v="83.3"/>
    <n v="1287"/>
    <n v="5"/>
    <n v="5"/>
    <n v="1"/>
    <n v="0"/>
    <n v="64.45"/>
    <n v="0"/>
    <n v="1"/>
  </r>
  <r>
    <s v="SHP-502426"/>
    <d v="2024-12-07T00:00:00"/>
    <x v="0"/>
    <s v="Q4"/>
    <x v="11"/>
    <x v="0"/>
    <x v="2"/>
    <x v="1"/>
    <x v="0"/>
    <s v="Road"/>
    <x v="1"/>
    <n v="9"/>
    <n v="309"/>
    <n v="3"/>
    <n v="2"/>
    <n v="1"/>
    <n v="0"/>
    <n v="16.54"/>
    <n v="0"/>
    <n v="1"/>
  </r>
  <r>
    <s v="SHP-502427"/>
    <d v="2024-12-07T00:00:00"/>
    <x v="0"/>
    <s v="Q4"/>
    <x v="11"/>
    <x v="2"/>
    <x v="1"/>
    <x v="3"/>
    <x v="0"/>
    <s v="Road"/>
    <x v="0"/>
    <n v="156.80000000000001"/>
    <n v="582"/>
    <n v="4"/>
    <n v="4"/>
    <n v="1"/>
    <n v="0"/>
    <n v="66.3"/>
    <n v="0"/>
    <n v="1"/>
  </r>
  <r>
    <s v="SHP-502428"/>
    <d v="2024-12-08T00:00:00"/>
    <x v="0"/>
    <s v="Q4"/>
    <x v="11"/>
    <x v="3"/>
    <x v="1"/>
    <x v="1"/>
    <x v="0"/>
    <s v="Road"/>
    <x v="1"/>
    <n v="15.8"/>
    <n v="236"/>
    <n v="3"/>
    <n v="2"/>
    <n v="1"/>
    <n v="0"/>
    <n v="18.02"/>
    <n v="0"/>
    <n v="1"/>
  </r>
  <r>
    <s v="SHP-502429"/>
    <d v="2024-12-08T00:00:00"/>
    <x v="0"/>
    <s v="Q4"/>
    <x v="11"/>
    <x v="0"/>
    <x v="1"/>
    <x v="1"/>
    <x v="2"/>
    <s v="Road"/>
    <x v="0"/>
    <n v="39.9"/>
    <n v="234"/>
    <n v="1"/>
    <n v="1"/>
    <n v="1"/>
    <n v="0"/>
    <n v="58.13"/>
    <n v="0"/>
    <n v="1"/>
  </r>
  <r>
    <s v="SHP-502430"/>
    <d v="2024-12-08T00:00:00"/>
    <x v="0"/>
    <s v="Q4"/>
    <x v="11"/>
    <x v="4"/>
    <x v="0"/>
    <x v="3"/>
    <x v="2"/>
    <s v="Road"/>
    <x v="1"/>
    <n v="7.7"/>
    <n v="413"/>
    <n v="2"/>
    <n v="1"/>
    <n v="1"/>
    <n v="0"/>
    <n v="29.59"/>
    <n v="0"/>
    <n v="1"/>
  </r>
  <r>
    <s v="SHP-502431"/>
    <d v="2024-12-08T00:00:00"/>
    <x v="0"/>
    <s v="Q4"/>
    <x v="11"/>
    <x v="4"/>
    <x v="0"/>
    <x v="3"/>
    <x v="1"/>
    <s v="Road"/>
    <x v="1"/>
    <n v="4.9000000000000004"/>
    <n v="461"/>
    <n v="6"/>
    <n v="5"/>
    <n v="1"/>
    <n v="0"/>
    <n v="10.83"/>
    <n v="0"/>
    <n v="1"/>
  </r>
  <r>
    <s v="SHP-502432"/>
    <d v="2024-12-08T00:00:00"/>
    <x v="0"/>
    <s v="Q4"/>
    <x v="11"/>
    <x v="4"/>
    <x v="2"/>
    <x v="1"/>
    <x v="2"/>
    <s v="Road"/>
    <x v="0"/>
    <n v="18.8"/>
    <n v="238"/>
    <n v="1"/>
    <n v="1"/>
    <n v="1"/>
    <n v="0"/>
    <n v="34.93"/>
    <n v="0"/>
    <n v="1"/>
  </r>
  <r>
    <s v="SHP-502433"/>
    <d v="2024-12-09T00:00:00"/>
    <x v="0"/>
    <s v="Q4"/>
    <x v="11"/>
    <x v="1"/>
    <x v="1"/>
    <x v="4"/>
    <x v="0"/>
    <s v="Road"/>
    <x v="1"/>
    <n v="19.2"/>
    <n v="1072"/>
    <n v="5"/>
    <n v="5"/>
    <n v="1"/>
    <n v="0"/>
    <n v="29.24"/>
    <n v="0"/>
    <n v="1"/>
  </r>
  <r>
    <s v="SHP-502434"/>
    <d v="2024-12-09T00:00:00"/>
    <x v="0"/>
    <s v="Q4"/>
    <x v="11"/>
    <x v="3"/>
    <x v="1"/>
    <x v="0"/>
    <x v="1"/>
    <s v="Road"/>
    <x v="1"/>
    <n v="1.6"/>
    <n v="787"/>
    <n v="6"/>
    <n v="5"/>
    <n v="1"/>
    <n v="0"/>
    <n v="12.1"/>
    <n v="0"/>
    <n v="1"/>
  </r>
  <r>
    <s v="SHP-502435"/>
    <d v="2024-12-09T00:00:00"/>
    <x v="0"/>
    <s v="Q4"/>
    <x v="11"/>
    <x v="4"/>
    <x v="1"/>
    <x v="0"/>
    <x v="2"/>
    <s v="Air"/>
    <x v="1"/>
    <n v="11.5"/>
    <n v="678"/>
    <n v="2"/>
    <n v="3"/>
    <n v="0"/>
    <n v="1"/>
    <n v="69.430000000000007"/>
    <n v="0"/>
    <n v="1"/>
  </r>
  <r>
    <s v="SHP-502436"/>
    <d v="2024-12-09T00:00:00"/>
    <x v="0"/>
    <s v="Q4"/>
    <x v="11"/>
    <x v="1"/>
    <x v="2"/>
    <x v="2"/>
    <x v="0"/>
    <s v="Road"/>
    <x v="1"/>
    <n v="2.7"/>
    <n v="1121"/>
    <n v="5"/>
    <n v="4"/>
    <n v="1"/>
    <n v="0"/>
    <n v="21.99"/>
    <n v="0"/>
    <n v="1"/>
  </r>
  <r>
    <s v="SHP-502437"/>
    <d v="2024-12-09T00:00:00"/>
    <x v="0"/>
    <s v="Q4"/>
    <x v="11"/>
    <x v="4"/>
    <x v="0"/>
    <x v="1"/>
    <x v="1"/>
    <s v="Road"/>
    <x v="0"/>
    <n v="107"/>
    <n v="257"/>
    <n v="5"/>
    <n v="5"/>
    <n v="1"/>
    <n v="0"/>
    <n v="43.49"/>
    <n v="0"/>
    <n v="1"/>
  </r>
  <r>
    <s v="SHP-502438"/>
    <d v="2024-12-09T00:00:00"/>
    <x v="0"/>
    <s v="Q4"/>
    <x v="11"/>
    <x v="4"/>
    <x v="0"/>
    <x v="1"/>
    <x v="1"/>
    <s v="Road"/>
    <x v="1"/>
    <n v="4.7"/>
    <n v="208"/>
    <n v="5"/>
    <n v="5"/>
    <n v="1"/>
    <n v="0"/>
    <n v="8.8000000000000007"/>
    <n v="0"/>
    <n v="1"/>
  </r>
  <r>
    <s v="SHP-502439"/>
    <d v="2024-12-09T00:00:00"/>
    <x v="0"/>
    <s v="Q4"/>
    <x v="11"/>
    <x v="0"/>
    <x v="2"/>
    <x v="0"/>
    <x v="0"/>
    <s v="Road"/>
    <x v="1"/>
    <n v="9.6999999999999993"/>
    <n v="978"/>
    <n v="4"/>
    <n v="4"/>
    <n v="1"/>
    <n v="0"/>
    <n v="23.05"/>
    <n v="0"/>
    <n v="1"/>
  </r>
  <r>
    <s v="SHP-502440"/>
    <d v="2024-12-09T00:00:00"/>
    <x v="0"/>
    <s v="Q4"/>
    <x v="11"/>
    <x v="0"/>
    <x v="2"/>
    <x v="2"/>
    <x v="1"/>
    <s v="Road"/>
    <x v="1"/>
    <n v="3.2"/>
    <n v="1016"/>
    <n v="7"/>
    <n v="7"/>
    <n v="1"/>
    <n v="0"/>
    <n v="15.65"/>
    <n v="0"/>
    <n v="1"/>
  </r>
  <r>
    <s v="SHP-502441"/>
    <d v="2024-12-09T00:00:00"/>
    <x v="0"/>
    <s v="Q4"/>
    <x v="11"/>
    <x v="4"/>
    <x v="0"/>
    <x v="4"/>
    <x v="2"/>
    <s v="Air"/>
    <x v="1"/>
    <n v="6.1"/>
    <n v="1008"/>
    <n v="3"/>
    <n v="3"/>
    <n v="1"/>
    <n v="0"/>
    <n v="68.8"/>
    <n v="0"/>
    <n v="1"/>
  </r>
  <r>
    <s v="SHP-502442"/>
    <d v="2024-12-09T00:00:00"/>
    <x v="0"/>
    <s v="Q4"/>
    <x v="11"/>
    <x v="0"/>
    <x v="2"/>
    <x v="2"/>
    <x v="0"/>
    <s v="Road"/>
    <x v="0"/>
    <n v="97.3"/>
    <n v="904"/>
    <n v="5"/>
    <n v="5"/>
    <n v="1"/>
    <n v="0"/>
    <n v="58.69"/>
    <n v="0"/>
    <n v="1"/>
  </r>
  <r>
    <s v="SHP-502443"/>
    <d v="2024-12-09T00:00:00"/>
    <x v="0"/>
    <s v="Q4"/>
    <x v="11"/>
    <x v="3"/>
    <x v="2"/>
    <x v="1"/>
    <x v="1"/>
    <s v="Road"/>
    <x v="1"/>
    <n v="1.6"/>
    <n v="265"/>
    <n v="5"/>
    <n v="5"/>
    <n v="1"/>
    <n v="0"/>
    <n v="9.01"/>
    <n v="0"/>
    <n v="1"/>
  </r>
  <r>
    <s v="SHP-502444"/>
    <d v="2024-12-10T00:00:00"/>
    <x v="0"/>
    <s v="Q4"/>
    <x v="11"/>
    <x v="3"/>
    <x v="1"/>
    <x v="1"/>
    <x v="0"/>
    <s v="Road"/>
    <x v="1"/>
    <n v="2.4"/>
    <n v="255"/>
    <n v="3"/>
    <n v="3"/>
    <n v="1"/>
    <n v="0"/>
    <n v="12.67"/>
    <n v="0"/>
    <n v="1"/>
  </r>
  <r>
    <s v="SHP-502445"/>
    <d v="2024-12-10T00:00:00"/>
    <x v="0"/>
    <s v="Q4"/>
    <x v="11"/>
    <x v="3"/>
    <x v="1"/>
    <x v="2"/>
    <x v="0"/>
    <s v="Road"/>
    <x v="0"/>
    <n v="142.69999999999999"/>
    <n v="1156"/>
    <n v="5"/>
    <n v="9"/>
    <n v="0"/>
    <n v="4"/>
    <n v="87.97"/>
    <n v="0"/>
    <n v="1"/>
  </r>
  <r>
    <s v="SHP-502446"/>
    <d v="2024-12-10T00:00:00"/>
    <x v="0"/>
    <s v="Q4"/>
    <x v="11"/>
    <x v="4"/>
    <x v="2"/>
    <x v="0"/>
    <x v="0"/>
    <s v="Road"/>
    <x v="0"/>
    <n v="27.6"/>
    <n v="786"/>
    <n v="4"/>
    <n v="4"/>
    <n v="1"/>
    <n v="0"/>
    <n v="31.84"/>
    <n v="0"/>
    <n v="1"/>
  </r>
  <r>
    <s v="SHP-502447"/>
    <d v="2024-12-10T00:00:00"/>
    <x v="0"/>
    <s v="Q4"/>
    <x v="11"/>
    <x v="3"/>
    <x v="2"/>
    <x v="0"/>
    <x v="1"/>
    <s v="Road"/>
    <x v="0"/>
    <n v="31.3"/>
    <n v="915"/>
    <n v="6"/>
    <n v="6"/>
    <n v="1"/>
    <n v="0"/>
    <n v="23.76"/>
    <n v="0"/>
    <n v="1"/>
  </r>
  <r>
    <s v="SHP-502448"/>
    <d v="2024-12-10T00:00:00"/>
    <x v="0"/>
    <s v="Q4"/>
    <x v="11"/>
    <x v="4"/>
    <x v="1"/>
    <x v="1"/>
    <x v="0"/>
    <s v="Road"/>
    <x v="1"/>
    <n v="2.2999999999999998"/>
    <n v="251"/>
    <n v="3"/>
    <n v="2"/>
    <n v="1"/>
    <n v="0"/>
    <n v="11.91"/>
    <n v="0"/>
    <n v="1"/>
  </r>
  <r>
    <s v="SHP-502449"/>
    <d v="2024-12-10T00:00:00"/>
    <x v="0"/>
    <s v="Q4"/>
    <x v="11"/>
    <x v="3"/>
    <x v="1"/>
    <x v="0"/>
    <x v="0"/>
    <s v="Road"/>
    <x v="1"/>
    <n v="1.3"/>
    <n v="960"/>
    <n v="4"/>
    <n v="3"/>
    <n v="1"/>
    <n v="0"/>
    <n v="21.66"/>
    <n v="0"/>
    <n v="1"/>
  </r>
  <r>
    <s v="SHP-502450"/>
    <d v="2024-12-11T00:00:00"/>
    <x v="0"/>
    <s v="Q4"/>
    <x v="11"/>
    <x v="0"/>
    <x v="2"/>
    <x v="2"/>
    <x v="0"/>
    <s v="Road"/>
    <x v="0"/>
    <n v="232.6"/>
    <n v="1228"/>
    <n v="5"/>
    <n v="4"/>
    <n v="1"/>
    <n v="0"/>
    <n v="108.39"/>
    <n v="0"/>
    <n v="1"/>
  </r>
  <r>
    <s v="SHP-502451"/>
    <d v="2024-12-11T00:00:00"/>
    <x v="0"/>
    <s v="Q4"/>
    <x v="11"/>
    <x v="1"/>
    <x v="2"/>
    <x v="1"/>
    <x v="0"/>
    <s v="Road"/>
    <x v="1"/>
    <n v="3.6"/>
    <n v="278"/>
    <n v="3"/>
    <n v="3"/>
    <n v="1"/>
    <n v="0"/>
    <n v="11.02"/>
    <n v="0"/>
    <n v="1"/>
  </r>
  <r>
    <s v="SHP-502452"/>
    <d v="2024-12-11T00:00:00"/>
    <x v="0"/>
    <s v="Q4"/>
    <x v="11"/>
    <x v="1"/>
    <x v="2"/>
    <x v="1"/>
    <x v="0"/>
    <s v="Road"/>
    <x v="1"/>
    <n v="4.2"/>
    <n v="268"/>
    <n v="3"/>
    <n v="3"/>
    <n v="1"/>
    <n v="0"/>
    <n v="12.83"/>
    <n v="0"/>
    <n v="1"/>
  </r>
  <r>
    <s v="SHP-502453"/>
    <d v="2024-12-11T00:00:00"/>
    <x v="0"/>
    <s v="Q4"/>
    <x v="11"/>
    <x v="3"/>
    <x v="1"/>
    <x v="0"/>
    <x v="1"/>
    <s v="Road"/>
    <x v="1"/>
    <n v="5.5"/>
    <n v="816"/>
    <n v="6"/>
    <n v="6"/>
    <n v="1"/>
    <n v="0"/>
    <n v="14.7"/>
    <n v="0"/>
    <n v="1"/>
  </r>
  <r>
    <s v="SHP-502454"/>
    <d v="2024-12-11T00:00:00"/>
    <x v="0"/>
    <s v="Q4"/>
    <x v="11"/>
    <x v="1"/>
    <x v="1"/>
    <x v="2"/>
    <x v="1"/>
    <s v="Road"/>
    <x v="1"/>
    <n v="4.4000000000000004"/>
    <n v="1520"/>
    <n v="7"/>
    <n v="10"/>
    <n v="0"/>
    <n v="3"/>
    <n v="22.6"/>
    <n v="0"/>
    <n v="1"/>
  </r>
  <r>
    <s v="SHP-502455"/>
    <d v="2024-12-11T00:00:00"/>
    <x v="0"/>
    <s v="Q4"/>
    <x v="11"/>
    <x v="4"/>
    <x v="1"/>
    <x v="1"/>
    <x v="1"/>
    <s v="Road"/>
    <x v="1"/>
    <n v="2.5"/>
    <n v="250"/>
    <n v="5"/>
    <n v="5"/>
    <n v="1"/>
    <n v="0"/>
    <n v="8.1199999999999992"/>
    <n v="0"/>
    <n v="1"/>
  </r>
  <r>
    <s v="SHP-502456"/>
    <d v="2024-12-12T00:00:00"/>
    <x v="0"/>
    <s v="Q4"/>
    <x v="11"/>
    <x v="0"/>
    <x v="0"/>
    <x v="0"/>
    <x v="1"/>
    <s v="Road"/>
    <x v="1"/>
    <n v="9.1"/>
    <n v="1058"/>
    <n v="6"/>
    <n v="8"/>
    <n v="0"/>
    <n v="2"/>
    <n v="15.81"/>
    <n v="0"/>
    <n v="1"/>
  </r>
  <r>
    <s v="SHP-502457"/>
    <d v="2024-12-12T00:00:00"/>
    <x v="0"/>
    <s v="Q4"/>
    <x v="11"/>
    <x v="1"/>
    <x v="1"/>
    <x v="2"/>
    <x v="1"/>
    <s v="Road"/>
    <x v="1"/>
    <n v="3.8"/>
    <n v="1261"/>
    <n v="7"/>
    <n v="6"/>
    <n v="1"/>
    <n v="0"/>
    <n v="18.170000000000002"/>
    <n v="0"/>
    <n v="1"/>
  </r>
  <r>
    <s v="SHP-502458"/>
    <d v="2024-12-12T00:00:00"/>
    <x v="0"/>
    <s v="Q4"/>
    <x v="11"/>
    <x v="2"/>
    <x v="1"/>
    <x v="3"/>
    <x v="0"/>
    <s v="Road"/>
    <x v="1"/>
    <n v="12.2"/>
    <n v="454"/>
    <n v="4"/>
    <n v="4"/>
    <n v="1"/>
    <n v="0"/>
    <n v="16.829999999999998"/>
    <n v="0"/>
    <n v="1"/>
  </r>
  <r>
    <s v="SHP-502459"/>
    <d v="2024-12-12T00:00:00"/>
    <x v="0"/>
    <s v="Q4"/>
    <x v="11"/>
    <x v="2"/>
    <x v="2"/>
    <x v="4"/>
    <x v="0"/>
    <s v="Road"/>
    <x v="0"/>
    <n v="108.2"/>
    <n v="1041"/>
    <n v="5"/>
    <n v="4"/>
    <n v="1"/>
    <n v="0"/>
    <n v="55.31"/>
    <n v="0"/>
    <n v="1"/>
  </r>
  <r>
    <s v="SHP-502460"/>
    <d v="2024-12-12T00:00:00"/>
    <x v="0"/>
    <s v="Q4"/>
    <x v="11"/>
    <x v="0"/>
    <x v="2"/>
    <x v="1"/>
    <x v="0"/>
    <s v="Road"/>
    <x v="1"/>
    <n v="1.5"/>
    <n v="242"/>
    <n v="3"/>
    <n v="3"/>
    <n v="1"/>
    <n v="0"/>
    <n v="10.78"/>
    <n v="0"/>
    <n v="1"/>
  </r>
  <r>
    <s v="SHP-502461"/>
    <d v="2024-12-12T00:00:00"/>
    <x v="0"/>
    <s v="Q4"/>
    <x v="11"/>
    <x v="1"/>
    <x v="0"/>
    <x v="3"/>
    <x v="1"/>
    <s v="Road"/>
    <x v="1"/>
    <n v="1.9"/>
    <n v="522"/>
    <n v="6"/>
    <n v="6"/>
    <n v="1"/>
    <n v="0"/>
    <n v="9.93"/>
    <n v="0"/>
    <n v="1"/>
  </r>
  <r>
    <s v="SHP-502462"/>
    <d v="2024-12-13T00:00:00"/>
    <x v="0"/>
    <s v="Q4"/>
    <x v="11"/>
    <x v="0"/>
    <x v="2"/>
    <x v="0"/>
    <x v="0"/>
    <s v="Road"/>
    <x v="1"/>
    <n v="12.3"/>
    <n v="733"/>
    <n v="4"/>
    <n v="4"/>
    <n v="1"/>
    <n v="0"/>
    <n v="20.28"/>
    <n v="0"/>
    <n v="1"/>
  </r>
  <r>
    <s v="SHP-502463"/>
    <d v="2024-12-13T00:00:00"/>
    <x v="0"/>
    <s v="Q4"/>
    <x v="11"/>
    <x v="4"/>
    <x v="1"/>
    <x v="3"/>
    <x v="0"/>
    <s v="Road"/>
    <x v="1"/>
    <n v="3.7"/>
    <n v="557"/>
    <n v="4"/>
    <n v="3"/>
    <n v="1"/>
    <n v="0"/>
    <n v="14.73"/>
    <n v="0"/>
    <n v="1"/>
  </r>
  <r>
    <s v="SHP-502464"/>
    <d v="2024-12-13T00:00:00"/>
    <x v="0"/>
    <s v="Q4"/>
    <x v="11"/>
    <x v="2"/>
    <x v="2"/>
    <x v="2"/>
    <x v="0"/>
    <s v="Road"/>
    <x v="1"/>
    <n v="1.1000000000000001"/>
    <n v="1050"/>
    <n v="5"/>
    <n v="5"/>
    <n v="1"/>
    <n v="0"/>
    <n v="17.18"/>
    <n v="0"/>
    <n v="1"/>
  </r>
  <r>
    <s v="SHP-502465"/>
    <d v="2024-12-13T00:00:00"/>
    <x v="0"/>
    <s v="Q4"/>
    <x v="11"/>
    <x v="0"/>
    <x v="1"/>
    <x v="2"/>
    <x v="0"/>
    <s v="Road"/>
    <x v="1"/>
    <n v="9.8000000000000007"/>
    <n v="1070"/>
    <n v="5"/>
    <n v="7"/>
    <n v="0"/>
    <n v="2"/>
    <n v="22.22"/>
    <n v="0"/>
    <n v="1"/>
  </r>
  <r>
    <s v="SHP-502466"/>
    <d v="2024-12-13T00:00:00"/>
    <x v="0"/>
    <s v="Q4"/>
    <x v="11"/>
    <x v="0"/>
    <x v="0"/>
    <x v="1"/>
    <x v="0"/>
    <s v="Road"/>
    <x v="0"/>
    <n v="77.099999999999994"/>
    <n v="222"/>
    <n v="3"/>
    <n v="6"/>
    <n v="0"/>
    <n v="3"/>
    <n v="46.82"/>
    <n v="0"/>
    <n v="1"/>
  </r>
  <r>
    <s v="SHP-502467"/>
    <d v="2024-12-13T00:00:00"/>
    <x v="0"/>
    <s v="Q4"/>
    <x v="11"/>
    <x v="4"/>
    <x v="1"/>
    <x v="1"/>
    <x v="1"/>
    <s v="Road"/>
    <x v="1"/>
    <n v="2.9"/>
    <n v="220"/>
    <n v="5"/>
    <n v="5"/>
    <n v="1"/>
    <n v="0"/>
    <n v="7.84"/>
    <n v="0"/>
    <n v="1"/>
  </r>
  <r>
    <s v="SHP-502468"/>
    <d v="2024-12-13T00:00:00"/>
    <x v="0"/>
    <s v="Q4"/>
    <x v="11"/>
    <x v="4"/>
    <x v="2"/>
    <x v="1"/>
    <x v="2"/>
    <s v="Road"/>
    <x v="1"/>
    <n v="5.4"/>
    <n v="276"/>
    <n v="1"/>
    <n v="1"/>
    <n v="1"/>
    <n v="0"/>
    <n v="23.8"/>
    <n v="0"/>
    <n v="1"/>
  </r>
  <r>
    <s v="SHP-502469"/>
    <d v="2024-12-13T00:00:00"/>
    <x v="0"/>
    <s v="Q4"/>
    <x v="11"/>
    <x v="0"/>
    <x v="1"/>
    <x v="4"/>
    <x v="2"/>
    <s v="Air"/>
    <x v="0"/>
    <n v="138.69999999999999"/>
    <n v="1116"/>
    <n v="3"/>
    <n v="2"/>
    <n v="1"/>
    <n v="0"/>
    <n v="219.93"/>
    <n v="0"/>
    <n v="1"/>
  </r>
  <r>
    <s v="SHP-502470"/>
    <d v="2024-12-13T00:00:00"/>
    <x v="0"/>
    <s v="Q4"/>
    <x v="11"/>
    <x v="2"/>
    <x v="2"/>
    <x v="0"/>
    <x v="0"/>
    <s v="Road"/>
    <x v="1"/>
    <n v="8.4"/>
    <n v="905"/>
    <n v="4"/>
    <n v="4"/>
    <n v="1"/>
    <n v="0"/>
    <n v="16.88"/>
    <n v="0"/>
    <n v="1"/>
  </r>
  <r>
    <s v="SHP-502471"/>
    <d v="2024-12-13T00:00:00"/>
    <x v="0"/>
    <s v="Q4"/>
    <x v="11"/>
    <x v="1"/>
    <x v="2"/>
    <x v="3"/>
    <x v="2"/>
    <s v="Road"/>
    <x v="0"/>
    <n v="81.3"/>
    <n v="419"/>
    <n v="2"/>
    <n v="3"/>
    <n v="0"/>
    <n v="1"/>
    <n v="100.97"/>
    <n v="0"/>
    <n v="1"/>
  </r>
  <r>
    <s v="SHP-502472"/>
    <d v="2024-12-13T00:00:00"/>
    <x v="0"/>
    <s v="Q4"/>
    <x v="11"/>
    <x v="2"/>
    <x v="2"/>
    <x v="4"/>
    <x v="0"/>
    <s v="Road"/>
    <x v="0"/>
    <n v="20"/>
    <n v="958"/>
    <n v="5"/>
    <n v="4"/>
    <n v="1"/>
    <n v="0"/>
    <n v="25.16"/>
    <n v="0"/>
    <n v="1"/>
  </r>
  <r>
    <s v="SHP-502473"/>
    <d v="2024-12-13T00:00:00"/>
    <x v="0"/>
    <s v="Q4"/>
    <x v="11"/>
    <x v="3"/>
    <x v="1"/>
    <x v="2"/>
    <x v="0"/>
    <s v="Road"/>
    <x v="1"/>
    <n v="8.5"/>
    <n v="992"/>
    <n v="5"/>
    <n v="5"/>
    <n v="1"/>
    <n v="0"/>
    <n v="23.63"/>
    <n v="0"/>
    <n v="1"/>
  </r>
  <r>
    <s v="SHP-502474"/>
    <d v="2024-12-13T00:00:00"/>
    <x v="0"/>
    <s v="Q4"/>
    <x v="11"/>
    <x v="0"/>
    <x v="1"/>
    <x v="3"/>
    <x v="0"/>
    <s v="Road"/>
    <x v="1"/>
    <n v="2.7"/>
    <n v="364"/>
    <n v="4"/>
    <n v="4"/>
    <n v="1"/>
    <n v="0"/>
    <n v="12.64"/>
    <n v="0"/>
    <n v="1"/>
  </r>
  <r>
    <s v="SHP-502475"/>
    <d v="2024-12-14T00:00:00"/>
    <x v="0"/>
    <s v="Q4"/>
    <x v="11"/>
    <x v="3"/>
    <x v="2"/>
    <x v="4"/>
    <x v="1"/>
    <s v="Road"/>
    <x v="1"/>
    <n v="15.3"/>
    <n v="1082"/>
    <n v="7"/>
    <n v="7"/>
    <n v="1"/>
    <n v="0"/>
    <n v="22.33"/>
    <n v="0"/>
    <n v="1"/>
  </r>
  <r>
    <s v="SHP-502476"/>
    <d v="2024-12-14T00:00:00"/>
    <x v="0"/>
    <s v="Q4"/>
    <x v="11"/>
    <x v="4"/>
    <x v="1"/>
    <x v="0"/>
    <x v="2"/>
    <s v="Air"/>
    <x v="1"/>
    <n v="4.8"/>
    <n v="703"/>
    <n v="2"/>
    <n v="2"/>
    <n v="1"/>
    <n v="0"/>
    <n v="52.26"/>
    <n v="0"/>
    <n v="1"/>
  </r>
  <r>
    <s v="SHP-502477"/>
    <d v="2024-12-14T00:00:00"/>
    <x v="0"/>
    <s v="Q4"/>
    <x v="11"/>
    <x v="3"/>
    <x v="2"/>
    <x v="1"/>
    <x v="2"/>
    <s v="Road"/>
    <x v="1"/>
    <n v="3.6"/>
    <n v="272"/>
    <n v="1"/>
    <n v="1"/>
    <n v="1"/>
    <n v="0"/>
    <n v="25.07"/>
    <n v="0"/>
    <n v="1"/>
  </r>
  <r>
    <s v="SHP-502478"/>
    <d v="2024-12-14T00:00:00"/>
    <x v="0"/>
    <s v="Q4"/>
    <x v="11"/>
    <x v="1"/>
    <x v="1"/>
    <x v="1"/>
    <x v="2"/>
    <s v="Road"/>
    <x v="1"/>
    <n v="1.9"/>
    <n v="317"/>
    <n v="1"/>
    <n v="1"/>
    <n v="1"/>
    <n v="0"/>
    <n v="23.84"/>
    <n v="0"/>
    <n v="1"/>
  </r>
  <r>
    <s v="SHP-502479"/>
    <d v="2024-12-14T00:00:00"/>
    <x v="0"/>
    <s v="Q4"/>
    <x v="11"/>
    <x v="4"/>
    <x v="2"/>
    <x v="1"/>
    <x v="0"/>
    <s v="Road"/>
    <x v="1"/>
    <n v="8.4"/>
    <n v="187"/>
    <n v="3"/>
    <n v="2"/>
    <n v="1"/>
    <n v="0"/>
    <n v="14.3"/>
    <n v="0"/>
    <n v="1"/>
  </r>
  <r>
    <s v="SHP-502480"/>
    <d v="2024-12-14T00:00:00"/>
    <x v="0"/>
    <s v="Q4"/>
    <x v="11"/>
    <x v="1"/>
    <x v="2"/>
    <x v="2"/>
    <x v="0"/>
    <s v="Road"/>
    <x v="1"/>
    <n v="27.6"/>
    <n v="1295"/>
    <n v="5"/>
    <n v="6"/>
    <n v="0"/>
    <n v="1"/>
    <n v="38.799999999999997"/>
    <n v="0"/>
    <n v="1"/>
  </r>
  <r>
    <s v="SHP-502481"/>
    <d v="2024-12-14T00:00:00"/>
    <x v="0"/>
    <s v="Q4"/>
    <x v="11"/>
    <x v="0"/>
    <x v="2"/>
    <x v="1"/>
    <x v="1"/>
    <s v="Road"/>
    <x v="1"/>
    <n v="6.8"/>
    <n v="327"/>
    <n v="5"/>
    <n v="4"/>
    <n v="1"/>
    <n v="0"/>
    <n v="9.59"/>
    <n v="0"/>
    <n v="1"/>
  </r>
  <r>
    <s v="SHP-502482"/>
    <d v="2024-12-15T00:00:00"/>
    <x v="0"/>
    <s v="Q4"/>
    <x v="11"/>
    <x v="0"/>
    <x v="2"/>
    <x v="0"/>
    <x v="0"/>
    <s v="Road"/>
    <x v="0"/>
    <n v="56.5"/>
    <n v="949"/>
    <n v="4"/>
    <n v="5"/>
    <n v="0"/>
    <n v="1"/>
    <n v="42.27"/>
    <n v="0"/>
    <n v="1"/>
  </r>
  <r>
    <s v="SHP-502483"/>
    <d v="2024-12-15T00:00:00"/>
    <x v="0"/>
    <s v="Q4"/>
    <x v="11"/>
    <x v="2"/>
    <x v="2"/>
    <x v="4"/>
    <x v="0"/>
    <s v="Road"/>
    <x v="1"/>
    <n v="3.1"/>
    <n v="1233"/>
    <n v="5"/>
    <n v="6"/>
    <n v="0"/>
    <n v="1"/>
    <n v="20.93"/>
    <n v="0"/>
    <n v="1"/>
  </r>
  <r>
    <s v="SHP-502484"/>
    <d v="2024-12-15T00:00:00"/>
    <x v="0"/>
    <s v="Q4"/>
    <x v="11"/>
    <x v="2"/>
    <x v="1"/>
    <x v="2"/>
    <x v="2"/>
    <s v="Air"/>
    <x v="0"/>
    <n v="238.1"/>
    <n v="1123"/>
    <n v="3"/>
    <n v="4"/>
    <n v="0"/>
    <n v="1"/>
    <n v="266.62"/>
    <n v="0"/>
    <n v="1"/>
  </r>
  <r>
    <s v="SHP-502485"/>
    <d v="2024-12-15T00:00:00"/>
    <x v="0"/>
    <s v="Q4"/>
    <x v="11"/>
    <x v="0"/>
    <x v="0"/>
    <x v="4"/>
    <x v="1"/>
    <s v="Road"/>
    <x v="1"/>
    <n v="18"/>
    <n v="1111"/>
    <n v="7"/>
    <n v="7"/>
    <n v="1"/>
    <n v="0"/>
    <n v="20.37"/>
    <n v="0"/>
    <n v="1"/>
  </r>
  <r>
    <s v="SHP-502486"/>
    <d v="2024-12-15T00:00:00"/>
    <x v="0"/>
    <s v="Q4"/>
    <x v="11"/>
    <x v="2"/>
    <x v="2"/>
    <x v="0"/>
    <x v="0"/>
    <s v="Road"/>
    <x v="1"/>
    <n v="11.2"/>
    <n v="841"/>
    <n v="4"/>
    <n v="4"/>
    <n v="1"/>
    <n v="0"/>
    <n v="18.45"/>
    <n v="0"/>
    <n v="1"/>
  </r>
  <r>
    <s v="SHP-502487"/>
    <d v="2024-12-16T00:00:00"/>
    <x v="0"/>
    <s v="Q4"/>
    <x v="11"/>
    <x v="4"/>
    <x v="1"/>
    <x v="0"/>
    <x v="1"/>
    <s v="Road"/>
    <x v="1"/>
    <n v="3.3"/>
    <n v="831"/>
    <n v="6"/>
    <n v="6"/>
    <n v="1"/>
    <n v="0"/>
    <n v="12.92"/>
    <n v="0"/>
    <n v="1"/>
  </r>
  <r>
    <s v="SHP-502488"/>
    <d v="2024-12-16T00:00:00"/>
    <x v="0"/>
    <s v="Q4"/>
    <x v="11"/>
    <x v="3"/>
    <x v="2"/>
    <x v="2"/>
    <x v="0"/>
    <s v="Road"/>
    <x v="1"/>
    <n v="26.8"/>
    <n v="1030"/>
    <n v="5"/>
    <n v="4"/>
    <n v="1"/>
    <n v="0"/>
    <n v="36.15"/>
    <n v="0"/>
    <n v="1"/>
  </r>
  <r>
    <s v="SHP-502489"/>
    <d v="2024-12-16T00:00:00"/>
    <x v="0"/>
    <s v="Q4"/>
    <x v="11"/>
    <x v="2"/>
    <x v="0"/>
    <x v="1"/>
    <x v="0"/>
    <s v="Road"/>
    <x v="1"/>
    <n v="10.1"/>
    <n v="195"/>
    <n v="3"/>
    <n v="7"/>
    <n v="0"/>
    <n v="4"/>
    <n v="12.32"/>
    <n v="0"/>
    <n v="1"/>
  </r>
  <r>
    <s v="SHP-502490"/>
    <d v="2024-12-16T00:00:00"/>
    <x v="0"/>
    <s v="Q4"/>
    <x v="11"/>
    <x v="4"/>
    <x v="1"/>
    <x v="0"/>
    <x v="2"/>
    <s v="Air"/>
    <x v="1"/>
    <n v="5.7"/>
    <n v="912"/>
    <n v="2"/>
    <n v="2"/>
    <n v="1"/>
    <n v="0"/>
    <n v="62.58"/>
    <n v="0"/>
    <n v="1"/>
  </r>
  <r>
    <s v="SHP-502491"/>
    <d v="2024-12-16T00:00:00"/>
    <x v="0"/>
    <s v="Q4"/>
    <x v="11"/>
    <x v="1"/>
    <x v="2"/>
    <x v="3"/>
    <x v="0"/>
    <s v="Road"/>
    <x v="0"/>
    <n v="205.3"/>
    <n v="559"/>
    <n v="4"/>
    <n v="3"/>
    <n v="1"/>
    <n v="0"/>
    <n v="106.15"/>
    <n v="0"/>
    <n v="1"/>
  </r>
  <r>
    <s v="SHP-502492"/>
    <d v="2024-12-16T00:00:00"/>
    <x v="0"/>
    <s v="Q4"/>
    <x v="11"/>
    <x v="3"/>
    <x v="2"/>
    <x v="1"/>
    <x v="1"/>
    <s v="Road"/>
    <x v="0"/>
    <n v="197.9"/>
    <n v="300"/>
    <n v="5"/>
    <n v="5"/>
    <n v="1"/>
    <n v="0"/>
    <n v="75.11"/>
    <n v="0"/>
    <n v="1"/>
  </r>
  <r>
    <s v="SHP-502493"/>
    <d v="2024-12-16T00:00:00"/>
    <x v="0"/>
    <s v="Q4"/>
    <x v="11"/>
    <x v="0"/>
    <x v="2"/>
    <x v="3"/>
    <x v="0"/>
    <s v="Road"/>
    <x v="1"/>
    <n v="4.3"/>
    <n v="521"/>
    <n v="4"/>
    <n v="4"/>
    <n v="1"/>
    <n v="0"/>
    <n v="14.49"/>
    <n v="0"/>
    <n v="1"/>
  </r>
  <r>
    <s v="SHP-502494"/>
    <d v="2024-12-16T00:00:00"/>
    <x v="0"/>
    <s v="Q4"/>
    <x v="11"/>
    <x v="4"/>
    <x v="2"/>
    <x v="4"/>
    <x v="0"/>
    <s v="Road"/>
    <x v="1"/>
    <n v="1.1000000000000001"/>
    <n v="1174"/>
    <n v="5"/>
    <n v="5"/>
    <n v="1"/>
    <n v="0"/>
    <n v="21.6"/>
    <n v="0"/>
    <n v="1"/>
  </r>
  <r>
    <s v="SHP-502495"/>
    <d v="2024-12-16T00:00:00"/>
    <x v="0"/>
    <s v="Q4"/>
    <x v="11"/>
    <x v="2"/>
    <x v="2"/>
    <x v="2"/>
    <x v="0"/>
    <s v="Road"/>
    <x v="1"/>
    <n v="5.8"/>
    <n v="1337"/>
    <n v="5"/>
    <n v="4"/>
    <n v="1"/>
    <n v="0"/>
    <n v="21.94"/>
    <n v="0"/>
    <n v="1"/>
  </r>
  <r>
    <s v="SHP-502496"/>
    <d v="2024-12-16T00:00:00"/>
    <x v="0"/>
    <s v="Q4"/>
    <x v="11"/>
    <x v="3"/>
    <x v="1"/>
    <x v="3"/>
    <x v="1"/>
    <s v="Road"/>
    <x v="0"/>
    <n v="150.6"/>
    <n v="331"/>
    <n v="6"/>
    <n v="7"/>
    <n v="0"/>
    <n v="1"/>
    <n v="57.66"/>
    <n v="0"/>
    <n v="1"/>
  </r>
  <r>
    <s v="SHP-502497"/>
    <d v="2024-12-16T00:00:00"/>
    <x v="0"/>
    <s v="Q4"/>
    <x v="11"/>
    <x v="2"/>
    <x v="0"/>
    <x v="2"/>
    <x v="1"/>
    <s v="Road"/>
    <x v="1"/>
    <n v="12.4"/>
    <n v="1330"/>
    <n v="7"/>
    <n v="7"/>
    <n v="1"/>
    <n v="0"/>
    <n v="19.78"/>
    <n v="0"/>
    <n v="1"/>
  </r>
  <r>
    <s v="SHP-502498"/>
    <d v="2024-12-16T00:00:00"/>
    <x v="0"/>
    <s v="Q4"/>
    <x v="11"/>
    <x v="2"/>
    <x v="2"/>
    <x v="0"/>
    <x v="0"/>
    <s v="Road"/>
    <x v="1"/>
    <n v="12.9"/>
    <n v="1060"/>
    <n v="4"/>
    <n v="8"/>
    <n v="0"/>
    <n v="4"/>
    <n v="22.69"/>
    <n v="0"/>
    <n v="1"/>
  </r>
  <r>
    <s v="SHP-502499"/>
    <d v="2024-12-16T00:00:00"/>
    <x v="0"/>
    <s v="Q4"/>
    <x v="11"/>
    <x v="1"/>
    <x v="2"/>
    <x v="0"/>
    <x v="2"/>
    <s v="Air"/>
    <x v="0"/>
    <n v="94.5"/>
    <n v="857"/>
    <n v="2"/>
    <n v="2"/>
    <n v="1"/>
    <n v="0"/>
    <n v="201.87"/>
    <n v="0"/>
    <n v="1"/>
  </r>
  <r>
    <s v="SHP-502500"/>
    <d v="2024-12-17T00:00:00"/>
    <x v="0"/>
    <s v="Q4"/>
    <x v="11"/>
    <x v="4"/>
    <x v="1"/>
    <x v="3"/>
    <x v="1"/>
    <s v="Road"/>
    <x v="1"/>
    <n v="5.3"/>
    <n v="575"/>
    <n v="6"/>
    <n v="5"/>
    <n v="1"/>
    <n v="0"/>
    <n v="12.68"/>
    <n v="0"/>
    <n v="1"/>
  </r>
  <r>
    <s v="SHP-502501"/>
    <d v="2024-12-17T00:00:00"/>
    <x v="0"/>
    <s v="Q4"/>
    <x v="11"/>
    <x v="0"/>
    <x v="0"/>
    <x v="3"/>
    <x v="0"/>
    <s v="Road"/>
    <x v="1"/>
    <n v="14.4"/>
    <n v="595"/>
    <n v="4"/>
    <n v="4"/>
    <n v="1"/>
    <n v="0"/>
    <n v="20.6"/>
    <n v="0"/>
    <n v="1"/>
  </r>
  <r>
    <s v="SHP-502502"/>
    <d v="2024-12-17T00:00:00"/>
    <x v="0"/>
    <s v="Q4"/>
    <x v="11"/>
    <x v="1"/>
    <x v="2"/>
    <x v="1"/>
    <x v="0"/>
    <s v="Road"/>
    <x v="1"/>
    <n v="7.8"/>
    <n v="267"/>
    <n v="3"/>
    <n v="6"/>
    <n v="0"/>
    <n v="3"/>
    <n v="14.71"/>
    <n v="0"/>
    <n v="1"/>
  </r>
  <r>
    <s v="SHP-502503"/>
    <d v="2024-12-17T00:00:00"/>
    <x v="0"/>
    <s v="Q4"/>
    <x v="11"/>
    <x v="3"/>
    <x v="1"/>
    <x v="1"/>
    <x v="0"/>
    <s v="Road"/>
    <x v="1"/>
    <n v="10.6"/>
    <n v="285"/>
    <n v="3"/>
    <n v="5"/>
    <n v="0"/>
    <n v="2"/>
    <n v="18.09"/>
    <n v="0"/>
    <n v="1"/>
  </r>
  <r>
    <s v="SHP-502504"/>
    <d v="2024-12-17T00:00:00"/>
    <x v="0"/>
    <s v="Q4"/>
    <x v="11"/>
    <x v="1"/>
    <x v="2"/>
    <x v="3"/>
    <x v="1"/>
    <s v="Road"/>
    <x v="0"/>
    <n v="63.5"/>
    <n v="521"/>
    <n v="6"/>
    <n v="6"/>
    <n v="1"/>
    <n v="0"/>
    <n v="31.31"/>
    <n v="0"/>
    <n v="1"/>
  </r>
  <r>
    <s v="SHP-502505"/>
    <d v="2024-12-17T00:00:00"/>
    <x v="0"/>
    <s v="Q4"/>
    <x v="11"/>
    <x v="0"/>
    <x v="2"/>
    <x v="0"/>
    <x v="2"/>
    <s v="Air"/>
    <x v="0"/>
    <n v="160"/>
    <n v="805"/>
    <n v="2"/>
    <n v="2"/>
    <n v="1"/>
    <n v="0"/>
    <n v="221.14"/>
    <n v="0"/>
    <n v="1"/>
  </r>
  <r>
    <s v="SHP-502506"/>
    <d v="2024-12-17T00:00:00"/>
    <x v="0"/>
    <s v="Q4"/>
    <x v="11"/>
    <x v="2"/>
    <x v="2"/>
    <x v="0"/>
    <x v="2"/>
    <s v="Air"/>
    <x v="1"/>
    <n v="13.6"/>
    <n v="973"/>
    <n v="2"/>
    <n v="6"/>
    <n v="0"/>
    <n v="4"/>
    <n v="65.930000000000007"/>
    <n v="0"/>
    <n v="1"/>
  </r>
  <r>
    <s v="SHP-502507"/>
    <d v="2024-12-17T00:00:00"/>
    <x v="0"/>
    <s v="Q4"/>
    <x v="11"/>
    <x v="4"/>
    <x v="0"/>
    <x v="3"/>
    <x v="1"/>
    <s v="Road"/>
    <x v="1"/>
    <n v="7"/>
    <n v="510"/>
    <n v="6"/>
    <n v="6"/>
    <n v="1"/>
    <n v="0"/>
    <n v="12.28"/>
    <n v="0"/>
    <n v="1"/>
  </r>
  <r>
    <s v="SHP-502508"/>
    <d v="2024-12-17T00:00:00"/>
    <x v="0"/>
    <s v="Q4"/>
    <x v="11"/>
    <x v="2"/>
    <x v="1"/>
    <x v="3"/>
    <x v="1"/>
    <s v="Road"/>
    <x v="1"/>
    <n v="8.1999999999999993"/>
    <n v="550"/>
    <n v="6"/>
    <n v="6"/>
    <n v="1"/>
    <n v="0"/>
    <n v="11.73"/>
    <n v="0"/>
    <n v="1"/>
  </r>
  <r>
    <s v="SHP-502509"/>
    <d v="2024-12-17T00:00:00"/>
    <x v="0"/>
    <s v="Q4"/>
    <x v="11"/>
    <x v="3"/>
    <x v="2"/>
    <x v="3"/>
    <x v="2"/>
    <s v="Road"/>
    <x v="1"/>
    <n v="3.3"/>
    <n v="542"/>
    <n v="2"/>
    <n v="2"/>
    <n v="1"/>
    <n v="0"/>
    <n v="33.35"/>
    <n v="0"/>
    <n v="1"/>
  </r>
  <r>
    <s v="SHP-502510"/>
    <d v="2024-12-17T00:00:00"/>
    <x v="0"/>
    <s v="Q4"/>
    <x v="11"/>
    <x v="4"/>
    <x v="2"/>
    <x v="1"/>
    <x v="1"/>
    <s v="Road"/>
    <x v="0"/>
    <n v="137.80000000000001"/>
    <n v="271"/>
    <n v="5"/>
    <n v="4"/>
    <n v="1"/>
    <n v="0"/>
    <n v="53.33"/>
    <n v="0"/>
    <n v="1"/>
  </r>
  <r>
    <s v="SHP-502511"/>
    <d v="2024-12-17T00:00:00"/>
    <x v="0"/>
    <s v="Q4"/>
    <x v="11"/>
    <x v="3"/>
    <x v="2"/>
    <x v="4"/>
    <x v="0"/>
    <s v="Road"/>
    <x v="1"/>
    <n v="3"/>
    <n v="890"/>
    <n v="5"/>
    <n v="4"/>
    <n v="1"/>
    <n v="0"/>
    <n v="22.97"/>
    <n v="0"/>
    <n v="1"/>
  </r>
  <r>
    <s v="SHP-502512"/>
    <d v="2024-12-17T00:00:00"/>
    <x v="0"/>
    <s v="Q4"/>
    <x v="11"/>
    <x v="4"/>
    <x v="2"/>
    <x v="0"/>
    <x v="1"/>
    <s v="Road"/>
    <x v="1"/>
    <n v="7.4"/>
    <n v="968"/>
    <n v="6"/>
    <n v="6"/>
    <n v="1"/>
    <n v="0"/>
    <n v="15.29"/>
    <n v="0"/>
    <n v="1"/>
  </r>
  <r>
    <s v="SHP-502513"/>
    <d v="2024-12-17T00:00:00"/>
    <x v="0"/>
    <s v="Q4"/>
    <x v="11"/>
    <x v="3"/>
    <x v="0"/>
    <x v="0"/>
    <x v="0"/>
    <s v="Road"/>
    <x v="1"/>
    <n v="1.2"/>
    <n v="898"/>
    <n v="4"/>
    <n v="4"/>
    <n v="1"/>
    <n v="0"/>
    <n v="19.34"/>
    <n v="0"/>
    <n v="1"/>
  </r>
  <r>
    <s v="SHP-502514"/>
    <d v="2024-12-17T00:00:00"/>
    <x v="0"/>
    <s v="Q4"/>
    <x v="11"/>
    <x v="3"/>
    <x v="1"/>
    <x v="0"/>
    <x v="2"/>
    <s v="Air"/>
    <x v="0"/>
    <n v="276.60000000000002"/>
    <n v="866"/>
    <n v="2"/>
    <n v="2"/>
    <n v="1"/>
    <n v="0"/>
    <n v="461.35"/>
    <n v="0"/>
    <n v="1"/>
  </r>
  <r>
    <s v="SHP-502515"/>
    <d v="2024-12-18T00:00:00"/>
    <x v="0"/>
    <s v="Q4"/>
    <x v="11"/>
    <x v="1"/>
    <x v="0"/>
    <x v="0"/>
    <x v="0"/>
    <s v="Road"/>
    <x v="1"/>
    <n v="10.7"/>
    <n v="949"/>
    <n v="4"/>
    <n v="4"/>
    <n v="1"/>
    <n v="0"/>
    <n v="25.81"/>
    <n v="0"/>
    <n v="1"/>
  </r>
  <r>
    <s v="SHP-502516"/>
    <d v="2024-12-18T00:00:00"/>
    <x v="0"/>
    <s v="Q4"/>
    <x v="11"/>
    <x v="4"/>
    <x v="0"/>
    <x v="1"/>
    <x v="2"/>
    <s v="Road"/>
    <x v="1"/>
    <n v="2.8"/>
    <n v="196"/>
    <n v="1"/>
    <n v="1"/>
    <n v="1"/>
    <n v="0"/>
    <n v="19.75"/>
    <n v="0"/>
    <n v="1"/>
  </r>
  <r>
    <s v="SHP-502517"/>
    <d v="2024-12-18T00:00:00"/>
    <x v="0"/>
    <s v="Q4"/>
    <x v="11"/>
    <x v="4"/>
    <x v="1"/>
    <x v="3"/>
    <x v="0"/>
    <s v="Road"/>
    <x v="1"/>
    <n v="4.4000000000000004"/>
    <n v="477"/>
    <n v="4"/>
    <n v="4"/>
    <n v="1"/>
    <n v="0"/>
    <n v="15.63"/>
    <n v="0"/>
    <n v="1"/>
  </r>
  <r>
    <s v="SHP-502518"/>
    <d v="2024-12-18T00:00:00"/>
    <x v="0"/>
    <s v="Q4"/>
    <x v="11"/>
    <x v="2"/>
    <x v="1"/>
    <x v="0"/>
    <x v="0"/>
    <s v="Road"/>
    <x v="0"/>
    <n v="18.5"/>
    <n v="1061"/>
    <n v="4"/>
    <n v="6"/>
    <n v="0"/>
    <n v="2"/>
    <n v="25.67"/>
    <n v="0"/>
    <n v="1"/>
  </r>
  <r>
    <s v="SHP-502519"/>
    <d v="2024-12-18T00:00:00"/>
    <x v="0"/>
    <s v="Q4"/>
    <x v="11"/>
    <x v="1"/>
    <x v="1"/>
    <x v="2"/>
    <x v="0"/>
    <s v="Road"/>
    <x v="0"/>
    <n v="249.8"/>
    <n v="1070"/>
    <n v="5"/>
    <n v="4"/>
    <n v="1"/>
    <n v="0"/>
    <n v="122.34"/>
    <n v="0"/>
    <n v="1"/>
  </r>
  <r>
    <s v="SHP-502520"/>
    <d v="2024-12-18T00:00:00"/>
    <x v="0"/>
    <s v="Q4"/>
    <x v="11"/>
    <x v="3"/>
    <x v="2"/>
    <x v="2"/>
    <x v="0"/>
    <s v="Road"/>
    <x v="1"/>
    <n v="1.7"/>
    <n v="1252"/>
    <n v="5"/>
    <n v="5"/>
    <n v="1"/>
    <n v="0"/>
    <n v="24.47"/>
    <n v="0"/>
    <n v="1"/>
  </r>
  <r>
    <s v="SHP-502521"/>
    <d v="2024-12-18T00:00:00"/>
    <x v="0"/>
    <s v="Q4"/>
    <x v="11"/>
    <x v="3"/>
    <x v="2"/>
    <x v="0"/>
    <x v="0"/>
    <s v="Road"/>
    <x v="1"/>
    <n v="0.9"/>
    <n v="912"/>
    <n v="4"/>
    <n v="4"/>
    <n v="1"/>
    <n v="0"/>
    <n v="21.26"/>
    <n v="0"/>
    <n v="1"/>
  </r>
  <r>
    <s v="SHP-502522"/>
    <d v="2024-12-18T00:00:00"/>
    <x v="0"/>
    <s v="Q4"/>
    <x v="11"/>
    <x v="2"/>
    <x v="2"/>
    <x v="1"/>
    <x v="1"/>
    <s v="Road"/>
    <x v="0"/>
    <n v="160.6"/>
    <n v="254"/>
    <n v="5"/>
    <n v="7"/>
    <n v="0"/>
    <n v="2"/>
    <n v="47.43"/>
    <n v="0"/>
    <n v="1"/>
  </r>
  <r>
    <s v="SHP-502523"/>
    <d v="2024-12-18T00:00:00"/>
    <x v="0"/>
    <s v="Q4"/>
    <x v="11"/>
    <x v="4"/>
    <x v="1"/>
    <x v="0"/>
    <x v="1"/>
    <s v="Road"/>
    <x v="0"/>
    <n v="36.700000000000003"/>
    <n v="983"/>
    <n v="6"/>
    <n v="6"/>
    <n v="1"/>
    <n v="0"/>
    <n v="27.44"/>
    <n v="1"/>
    <n v="1"/>
  </r>
  <r>
    <s v="SHP-502524"/>
    <d v="2024-12-18T00:00:00"/>
    <x v="0"/>
    <s v="Q4"/>
    <x v="11"/>
    <x v="4"/>
    <x v="2"/>
    <x v="4"/>
    <x v="1"/>
    <s v="Road"/>
    <x v="0"/>
    <n v="109.3"/>
    <n v="1066"/>
    <n v="7"/>
    <n v="7"/>
    <n v="1"/>
    <n v="0"/>
    <n v="54.7"/>
    <n v="0"/>
    <n v="1"/>
  </r>
  <r>
    <s v="SHP-502525"/>
    <d v="2024-12-18T00:00:00"/>
    <x v="0"/>
    <s v="Q4"/>
    <x v="11"/>
    <x v="3"/>
    <x v="0"/>
    <x v="0"/>
    <x v="0"/>
    <s v="Road"/>
    <x v="1"/>
    <n v="3.6"/>
    <n v="859"/>
    <n v="4"/>
    <n v="5"/>
    <n v="0"/>
    <n v="1"/>
    <n v="19.12"/>
    <n v="0"/>
    <n v="1"/>
  </r>
  <r>
    <s v="SHP-502526"/>
    <d v="2024-12-18T00:00:00"/>
    <x v="0"/>
    <s v="Q4"/>
    <x v="11"/>
    <x v="1"/>
    <x v="1"/>
    <x v="1"/>
    <x v="2"/>
    <s v="Road"/>
    <x v="1"/>
    <n v="5.3"/>
    <n v="238"/>
    <n v="1"/>
    <n v="1"/>
    <n v="1"/>
    <n v="0"/>
    <n v="22.39"/>
    <n v="1"/>
    <n v="1"/>
  </r>
  <r>
    <s v="SHP-502527"/>
    <d v="2024-12-19T00:00:00"/>
    <x v="0"/>
    <s v="Q4"/>
    <x v="11"/>
    <x v="1"/>
    <x v="1"/>
    <x v="0"/>
    <x v="0"/>
    <s v="Road"/>
    <x v="1"/>
    <n v="9.3000000000000007"/>
    <n v="750"/>
    <n v="4"/>
    <n v="3"/>
    <n v="1"/>
    <n v="0"/>
    <n v="20.68"/>
    <n v="0"/>
    <n v="1"/>
  </r>
  <r>
    <s v="SHP-502528"/>
    <d v="2024-12-19T00:00:00"/>
    <x v="0"/>
    <s v="Q4"/>
    <x v="11"/>
    <x v="2"/>
    <x v="1"/>
    <x v="2"/>
    <x v="2"/>
    <s v="Air"/>
    <x v="0"/>
    <n v="152.80000000000001"/>
    <n v="723"/>
    <n v="3"/>
    <n v="3"/>
    <n v="1"/>
    <n v="0"/>
    <n v="197.7"/>
    <n v="0"/>
    <n v="1"/>
  </r>
  <r>
    <s v="SHP-502529"/>
    <d v="2024-12-19T00:00:00"/>
    <x v="0"/>
    <s v="Q4"/>
    <x v="11"/>
    <x v="0"/>
    <x v="2"/>
    <x v="4"/>
    <x v="0"/>
    <s v="Road"/>
    <x v="0"/>
    <n v="83.3"/>
    <n v="876"/>
    <n v="5"/>
    <n v="4"/>
    <n v="1"/>
    <n v="0"/>
    <n v="56.88"/>
    <n v="0"/>
    <n v="1"/>
  </r>
  <r>
    <s v="SHP-502530"/>
    <d v="2024-12-19T00:00:00"/>
    <x v="0"/>
    <s v="Q4"/>
    <x v="11"/>
    <x v="0"/>
    <x v="2"/>
    <x v="4"/>
    <x v="0"/>
    <s v="Road"/>
    <x v="1"/>
    <n v="4.3"/>
    <n v="860"/>
    <n v="5"/>
    <n v="5"/>
    <n v="1"/>
    <n v="0"/>
    <n v="18.93"/>
    <n v="0"/>
    <n v="1"/>
  </r>
  <r>
    <s v="SHP-502531"/>
    <d v="2024-12-20T00:00:00"/>
    <x v="0"/>
    <s v="Q4"/>
    <x v="11"/>
    <x v="3"/>
    <x v="0"/>
    <x v="4"/>
    <x v="0"/>
    <s v="Road"/>
    <x v="1"/>
    <n v="7.3"/>
    <n v="1083"/>
    <n v="5"/>
    <n v="5"/>
    <n v="1"/>
    <n v="0"/>
    <n v="26.72"/>
    <n v="0"/>
    <n v="1"/>
  </r>
  <r>
    <s v="SHP-502532"/>
    <d v="2024-12-20T00:00:00"/>
    <x v="0"/>
    <s v="Q4"/>
    <x v="11"/>
    <x v="4"/>
    <x v="1"/>
    <x v="4"/>
    <x v="1"/>
    <s v="Road"/>
    <x v="1"/>
    <n v="5"/>
    <n v="1099"/>
    <n v="7"/>
    <n v="7"/>
    <n v="1"/>
    <n v="0"/>
    <n v="16.37"/>
    <n v="0"/>
    <n v="1"/>
  </r>
  <r>
    <s v="SHP-502533"/>
    <d v="2024-12-20T00:00:00"/>
    <x v="0"/>
    <s v="Q4"/>
    <x v="11"/>
    <x v="0"/>
    <x v="1"/>
    <x v="4"/>
    <x v="2"/>
    <s v="Air"/>
    <x v="1"/>
    <n v="3.7"/>
    <n v="1161"/>
    <n v="3"/>
    <n v="5"/>
    <n v="0"/>
    <n v="2"/>
    <n v="65.84"/>
    <n v="0"/>
    <n v="1"/>
  </r>
  <r>
    <s v="SHP-502534"/>
    <d v="2024-12-20T00:00:00"/>
    <x v="0"/>
    <s v="Q4"/>
    <x v="11"/>
    <x v="0"/>
    <x v="0"/>
    <x v="4"/>
    <x v="1"/>
    <s v="Road"/>
    <x v="0"/>
    <n v="39.200000000000003"/>
    <n v="923"/>
    <n v="7"/>
    <n v="6"/>
    <n v="1"/>
    <n v="0"/>
    <n v="25.51"/>
    <n v="0"/>
    <n v="1"/>
  </r>
  <r>
    <s v="SHP-502535"/>
    <d v="2024-12-20T00:00:00"/>
    <x v="0"/>
    <s v="Q4"/>
    <x v="11"/>
    <x v="3"/>
    <x v="1"/>
    <x v="0"/>
    <x v="0"/>
    <s v="Road"/>
    <x v="1"/>
    <n v="6.2"/>
    <n v="1026"/>
    <n v="4"/>
    <n v="4"/>
    <n v="1"/>
    <n v="0"/>
    <n v="24.54"/>
    <n v="0"/>
    <n v="1"/>
  </r>
  <r>
    <s v="SHP-502536"/>
    <d v="2024-12-20T00:00:00"/>
    <x v="0"/>
    <s v="Q4"/>
    <x v="11"/>
    <x v="1"/>
    <x v="0"/>
    <x v="0"/>
    <x v="0"/>
    <s v="Road"/>
    <x v="0"/>
    <n v="130.6"/>
    <n v="636"/>
    <n v="4"/>
    <n v="4"/>
    <n v="1"/>
    <n v="0"/>
    <n v="68.36"/>
    <n v="0"/>
    <n v="1"/>
  </r>
  <r>
    <s v="SHP-502537"/>
    <d v="2024-12-20T00:00:00"/>
    <x v="0"/>
    <s v="Q4"/>
    <x v="11"/>
    <x v="0"/>
    <x v="2"/>
    <x v="3"/>
    <x v="0"/>
    <s v="Road"/>
    <x v="1"/>
    <n v="3.4"/>
    <n v="432"/>
    <n v="4"/>
    <n v="4"/>
    <n v="1"/>
    <n v="0"/>
    <n v="14.57"/>
    <n v="0"/>
    <n v="1"/>
  </r>
  <r>
    <s v="SHP-502538"/>
    <d v="2024-12-20T00:00:00"/>
    <x v="0"/>
    <s v="Q4"/>
    <x v="11"/>
    <x v="1"/>
    <x v="2"/>
    <x v="3"/>
    <x v="2"/>
    <s v="Road"/>
    <x v="0"/>
    <n v="332.2"/>
    <n v="549"/>
    <n v="2"/>
    <n v="2"/>
    <n v="1"/>
    <n v="0"/>
    <n v="283.45"/>
    <n v="0"/>
    <n v="1"/>
  </r>
  <r>
    <s v="SHP-502539"/>
    <d v="2024-12-20T00:00:00"/>
    <x v="0"/>
    <s v="Q4"/>
    <x v="11"/>
    <x v="4"/>
    <x v="1"/>
    <x v="1"/>
    <x v="1"/>
    <s v="Road"/>
    <x v="0"/>
    <n v="221.3"/>
    <n v="224"/>
    <n v="5"/>
    <n v="5"/>
    <n v="1"/>
    <n v="0"/>
    <n v="68.91"/>
    <n v="0"/>
    <n v="1"/>
  </r>
  <r>
    <s v="SHP-502540"/>
    <d v="2024-12-20T00:00:00"/>
    <x v="0"/>
    <s v="Q4"/>
    <x v="11"/>
    <x v="1"/>
    <x v="2"/>
    <x v="1"/>
    <x v="2"/>
    <s v="Road"/>
    <x v="0"/>
    <n v="135.6"/>
    <n v="219"/>
    <n v="1"/>
    <n v="1"/>
    <n v="1"/>
    <n v="0"/>
    <n v="134.72"/>
    <n v="0"/>
    <n v="1"/>
  </r>
  <r>
    <s v="SHP-502541"/>
    <d v="2024-12-20T00:00:00"/>
    <x v="0"/>
    <s v="Q4"/>
    <x v="11"/>
    <x v="2"/>
    <x v="1"/>
    <x v="2"/>
    <x v="1"/>
    <s v="Road"/>
    <x v="1"/>
    <n v="5.3"/>
    <n v="1113"/>
    <n v="7"/>
    <n v="6"/>
    <n v="1"/>
    <n v="0"/>
    <n v="15.02"/>
    <n v="0"/>
    <n v="1"/>
  </r>
  <r>
    <s v="SHP-502542"/>
    <d v="2024-12-21T00:00:00"/>
    <x v="0"/>
    <s v="Q4"/>
    <x v="11"/>
    <x v="3"/>
    <x v="1"/>
    <x v="2"/>
    <x v="0"/>
    <s v="Road"/>
    <x v="0"/>
    <n v="233.7"/>
    <n v="1149"/>
    <n v="5"/>
    <n v="4"/>
    <n v="1"/>
    <n v="0"/>
    <n v="130.97999999999999"/>
    <n v="0"/>
    <n v="1"/>
  </r>
  <r>
    <s v="SHP-502543"/>
    <d v="2024-12-21T00:00:00"/>
    <x v="0"/>
    <s v="Q4"/>
    <x v="11"/>
    <x v="3"/>
    <x v="2"/>
    <x v="1"/>
    <x v="1"/>
    <s v="Road"/>
    <x v="1"/>
    <n v="5.3"/>
    <n v="224"/>
    <n v="5"/>
    <n v="5"/>
    <n v="1"/>
    <n v="0"/>
    <n v="9.07"/>
    <n v="0"/>
    <n v="1"/>
  </r>
  <r>
    <s v="SHP-502544"/>
    <d v="2024-12-21T00:00:00"/>
    <x v="0"/>
    <s v="Q4"/>
    <x v="11"/>
    <x v="0"/>
    <x v="0"/>
    <x v="4"/>
    <x v="0"/>
    <s v="Road"/>
    <x v="1"/>
    <n v="4.5"/>
    <n v="911"/>
    <n v="5"/>
    <n v="5"/>
    <n v="1"/>
    <n v="0"/>
    <n v="21.62"/>
    <n v="0"/>
    <n v="1"/>
  </r>
  <r>
    <s v="SHP-502545"/>
    <d v="2024-12-21T00:00:00"/>
    <x v="0"/>
    <s v="Q4"/>
    <x v="11"/>
    <x v="3"/>
    <x v="2"/>
    <x v="4"/>
    <x v="2"/>
    <s v="Air"/>
    <x v="1"/>
    <n v="3.1"/>
    <n v="997"/>
    <n v="3"/>
    <n v="5"/>
    <n v="0"/>
    <n v="2"/>
    <n v="72.400000000000006"/>
    <n v="0"/>
    <n v="1"/>
  </r>
  <r>
    <s v="SHP-502546"/>
    <d v="2024-12-22T00:00:00"/>
    <x v="0"/>
    <s v="Q4"/>
    <x v="11"/>
    <x v="0"/>
    <x v="2"/>
    <x v="2"/>
    <x v="0"/>
    <s v="Road"/>
    <x v="0"/>
    <n v="57.4"/>
    <n v="847"/>
    <n v="5"/>
    <n v="8"/>
    <n v="0"/>
    <n v="3"/>
    <n v="41.81"/>
    <n v="0"/>
    <n v="1"/>
  </r>
  <r>
    <s v="SHP-502547"/>
    <d v="2024-12-22T00:00:00"/>
    <x v="0"/>
    <s v="Q4"/>
    <x v="11"/>
    <x v="3"/>
    <x v="2"/>
    <x v="1"/>
    <x v="0"/>
    <s v="Road"/>
    <x v="1"/>
    <n v="2.4"/>
    <n v="299"/>
    <n v="3"/>
    <n v="3"/>
    <n v="1"/>
    <n v="0"/>
    <n v="12.58"/>
    <n v="0"/>
    <n v="1"/>
  </r>
  <r>
    <s v="SHP-502548"/>
    <d v="2024-12-22T00:00:00"/>
    <x v="0"/>
    <s v="Q4"/>
    <x v="11"/>
    <x v="2"/>
    <x v="0"/>
    <x v="1"/>
    <x v="1"/>
    <s v="Road"/>
    <x v="1"/>
    <n v="4.3"/>
    <n v="303"/>
    <n v="5"/>
    <n v="5"/>
    <n v="1"/>
    <n v="0"/>
    <n v="7.28"/>
    <n v="0"/>
    <n v="1"/>
  </r>
  <r>
    <s v="SHP-502549"/>
    <d v="2024-12-22T00:00:00"/>
    <x v="0"/>
    <s v="Q4"/>
    <x v="11"/>
    <x v="2"/>
    <x v="2"/>
    <x v="3"/>
    <x v="0"/>
    <s v="Road"/>
    <x v="0"/>
    <n v="56.5"/>
    <n v="526"/>
    <n v="4"/>
    <n v="4"/>
    <n v="1"/>
    <n v="0"/>
    <n v="35.15"/>
    <n v="0"/>
    <n v="1"/>
  </r>
  <r>
    <s v="SHP-502550"/>
    <d v="2024-12-22T00:00:00"/>
    <x v="0"/>
    <s v="Q4"/>
    <x v="11"/>
    <x v="0"/>
    <x v="1"/>
    <x v="3"/>
    <x v="2"/>
    <s v="Road"/>
    <x v="1"/>
    <n v="3.8"/>
    <n v="555"/>
    <n v="2"/>
    <n v="5"/>
    <n v="0"/>
    <n v="3"/>
    <n v="30.37"/>
    <n v="0"/>
    <n v="1"/>
  </r>
  <r>
    <s v="SHP-502551"/>
    <d v="2024-12-22T00:00:00"/>
    <x v="0"/>
    <s v="Q4"/>
    <x v="11"/>
    <x v="2"/>
    <x v="1"/>
    <x v="1"/>
    <x v="0"/>
    <s v="Road"/>
    <x v="0"/>
    <n v="82.5"/>
    <n v="238"/>
    <n v="3"/>
    <n v="3"/>
    <n v="1"/>
    <n v="0"/>
    <n v="41.88"/>
    <n v="0"/>
    <n v="1"/>
  </r>
  <r>
    <s v="SHP-502552"/>
    <d v="2024-12-22T00:00:00"/>
    <x v="0"/>
    <s v="Q4"/>
    <x v="11"/>
    <x v="2"/>
    <x v="1"/>
    <x v="3"/>
    <x v="2"/>
    <s v="Road"/>
    <x v="0"/>
    <n v="130.30000000000001"/>
    <n v="471"/>
    <n v="2"/>
    <n v="2"/>
    <n v="1"/>
    <n v="0"/>
    <n v="101.98"/>
    <n v="0"/>
    <n v="1"/>
  </r>
  <r>
    <s v="SHP-502553"/>
    <d v="2024-12-22T00:00:00"/>
    <x v="0"/>
    <s v="Q4"/>
    <x v="11"/>
    <x v="3"/>
    <x v="1"/>
    <x v="1"/>
    <x v="2"/>
    <s v="Road"/>
    <x v="1"/>
    <n v="18"/>
    <n v="179"/>
    <n v="1"/>
    <n v="1"/>
    <n v="1"/>
    <n v="0"/>
    <n v="39.33"/>
    <n v="0"/>
    <n v="1"/>
  </r>
  <r>
    <s v="SHP-502554"/>
    <d v="2024-12-23T00:00:00"/>
    <x v="0"/>
    <s v="Q4"/>
    <x v="11"/>
    <x v="2"/>
    <x v="2"/>
    <x v="3"/>
    <x v="2"/>
    <s v="Road"/>
    <x v="1"/>
    <n v="6"/>
    <n v="435"/>
    <n v="2"/>
    <n v="1"/>
    <n v="1"/>
    <n v="0"/>
    <n v="23.7"/>
    <n v="0"/>
    <n v="1"/>
  </r>
  <r>
    <s v="SHP-502555"/>
    <d v="2024-12-23T00:00:00"/>
    <x v="0"/>
    <s v="Q4"/>
    <x v="11"/>
    <x v="0"/>
    <x v="0"/>
    <x v="3"/>
    <x v="2"/>
    <s v="Road"/>
    <x v="1"/>
    <n v="16.3"/>
    <n v="605"/>
    <n v="2"/>
    <n v="2"/>
    <n v="1"/>
    <n v="0"/>
    <n v="41.26"/>
    <n v="0"/>
    <n v="1"/>
  </r>
  <r>
    <s v="SHP-502556"/>
    <d v="2024-12-23T00:00:00"/>
    <x v="0"/>
    <s v="Q4"/>
    <x v="11"/>
    <x v="2"/>
    <x v="1"/>
    <x v="3"/>
    <x v="1"/>
    <s v="Road"/>
    <x v="1"/>
    <n v="13.3"/>
    <n v="393"/>
    <n v="6"/>
    <n v="6"/>
    <n v="1"/>
    <n v="0"/>
    <n v="12.69"/>
    <n v="0"/>
    <n v="1"/>
  </r>
  <r>
    <s v="SHP-502557"/>
    <d v="2024-12-23T00:00:00"/>
    <x v="0"/>
    <s v="Q4"/>
    <x v="11"/>
    <x v="3"/>
    <x v="2"/>
    <x v="1"/>
    <x v="1"/>
    <s v="Road"/>
    <x v="0"/>
    <n v="168.4"/>
    <n v="315"/>
    <n v="5"/>
    <n v="5"/>
    <n v="1"/>
    <n v="0"/>
    <n v="70.33"/>
    <n v="0"/>
    <n v="1"/>
  </r>
  <r>
    <s v="SHP-502558"/>
    <d v="2024-12-23T00:00:00"/>
    <x v="0"/>
    <s v="Q4"/>
    <x v="11"/>
    <x v="3"/>
    <x v="1"/>
    <x v="0"/>
    <x v="1"/>
    <s v="Road"/>
    <x v="1"/>
    <n v="5.8"/>
    <n v="819"/>
    <n v="6"/>
    <n v="6"/>
    <n v="1"/>
    <n v="0"/>
    <n v="15.62"/>
    <n v="0"/>
    <n v="1"/>
  </r>
  <r>
    <s v="SHP-502559"/>
    <d v="2024-12-23T00:00:00"/>
    <x v="0"/>
    <s v="Q4"/>
    <x v="11"/>
    <x v="2"/>
    <x v="2"/>
    <x v="0"/>
    <x v="0"/>
    <s v="Road"/>
    <x v="1"/>
    <n v="3.9"/>
    <n v="647"/>
    <n v="4"/>
    <n v="3"/>
    <n v="1"/>
    <n v="0"/>
    <n v="13.05"/>
    <n v="0"/>
    <n v="1"/>
  </r>
  <r>
    <s v="SHP-502560"/>
    <d v="2024-12-23T00:00:00"/>
    <x v="0"/>
    <s v="Q4"/>
    <x v="11"/>
    <x v="2"/>
    <x v="2"/>
    <x v="1"/>
    <x v="1"/>
    <s v="Road"/>
    <x v="1"/>
    <n v="4.2"/>
    <n v="271"/>
    <n v="5"/>
    <n v="4"/>
    <n v="1"/>
    <n v="0"/>
    <n v="8.25"/>
    <n v="0"/>
    <n v="1"/>
  </r>
  <r>
    <s v="SHP-502561"/>
    <d v="2024-12-23T00:00:00"/>
    <x v="0"/>
    <s v="Q4"/>
    <x v="11"/>
    <x v="2"/>
    <x v="2"/>
    <x v="3"/>
    <x v="0"/>
    <s v="Road"/>
    <x v="1"/>
    <n v="3.7"/>
    <n v="496"/>
    <n v="4"/>
    <n v="4"/>
    <n v="1"/>
    <n v="0"/>
    <n v="13.13"/>
    <n v="0"/>
    <n v="1"/>
  </r>
  <r>
    <s v="SHP-502562"/>
    <d v="2024-12-23T00:00:00"/>
    <x v="0"/>
    <s v="Q4"/>
    <x v="11"/>
    <x v="3"/>
    <x v="0"/>
    <x v="0"/>
    <x v="0"/>
    <s v="Road"/>
    <x v="1"/>
    <n v="3.6"/>
    <n v="1024"/>
    <n v="4"/>
    <n v="3"/>
    <n v="1"/>
    <n v="0"/>
    <n v="24.11"/>
    <n v="0"/>
    <n v="1"/>
  </r>
  <r>
    <s v="SHP-502563"/>
    <d v="2024-12-23T00:00:00"/>
    <x v="0"/>
    <s v="Q4"/>
    <x v="11"/>
    <x v="1"/>
    <x v="0"/>
    <x v="0"/>
    <x v="1"/>
    <s v="Road"/>
    <x v="0"/>
    <n v="228.6"/>
    <n v="942"/>
    <n v="6"/>
    <n v="8"/>
    <n v="0"/>
    <n v="2"/>
    <n v="89.19"/>
    <n v="0"/>
    <n v="1"/>
  </r>
  <r>
    <s v="SHP-502564"/>
    <d v="2024-12-23T00:00:00"/>
    <x v="0"/>
    <s v="Q4"/>
    <x v="11"/>
    <x v="1"/>
    <x v="1"/>
    <x v="3"/>
    <x v="0"/>
    <s v="Road"/>
    <x v="0"/>
    <n v="76.599999999999994"/>
    <n v="555"/>
    <n v="4"/>
    <n v="7"/>
    <n v="0"/>
    <n v="3"/>
    <n v="49.85"/>
    <n v="0"/>
    <n v="1"/>
  </r>
  <r>
    <s v="SHP-502565"/>
    <d v="2024-12-23T00:00:00"/>
    <x v="0"/>
    <s v="Q4"/>
    <x v="11"/>
    <x v="2"/>
    <x v="2"/>
    <x v="3"/>
    <x v="0"/>
    <s v="Road"/>
    <x v="1"/>
    <n v="8.9"/>
    <n v="406"/>
    <n v="4"/>
    <n v="6"/>
    <n v="0"/>
    <n v="2"/>
    <n v="13.33"/>
    <n v="0"/>
    <n v="1"/>
  </r>
  <r>
    <s v="SHP-502566"/>
    <d v="2024-12-23T00:00:00"/>
    <x v="0"/>
    <s v="Q4"/>
    <x v="11"/>
    <x v="3"/>
    <x v="1"/>
    <x v="2"/>
    <x v="2"/>
    <s v="Air"/>
    <x v="1"/>
    <n v="2.2000000000000002"/>
    <n v="1038"/>
    <n v="3"/>
    <n v="4"/>
    <n v="0"/>
    <n v="1"/>
    <n v="74.48"/>
    <n v="0"/>
    <n v="1"/>
  </r>
  <r>
    <s v="SHP-502567"/>
    <d v="2024-12-24T00:00:00"/>
    <x v="0"/>
    <s v="Q4"/>
    <x v="11"/>
    <x v="3"/>
    <x v="1"/>
    <x v="3"/>
    <x v="0"/>
    <s v="Road"/>
    <x v="1"/>
    <n v="9.9"/>
    <n v="605"/>
    <n v="4"/>
    <n v="6"/>
    <n v="0"/>
    <n v="2"/>
    <n v="22.29"/>
    <n v="0"/>
    <n v="1"/>
  </r>
  <r>
    <s v="SHP-502568"/>
    <d v="2024-12-24T00:00:00"/>
    <x v="0"/>
    <s v="Q4"/>
    <x v="11"/>
    <x v="2"/>
    <x v="1"/>
    <x v="1"/>
    <x v="2"/>
    <s v="Road"/>
    <x v="1"/>
    <n v="14"/>
    <n v="254"/>
    <n v="1"/>
    <n v="4"/>
    <n v="0"/>
    <n v="3"/>
    <n v="28.33"/>
    <n v="0"/>
    <n v="1"/>
  </r>
  <r>
    <s v="SHP-502569"/>
    <d v="2024-12-24T00:00:00"/>
    <x v="0"/>
    <s v="Q4"/>
    <x v="11"/>
    <x v="2"/>
    <x v="1"/>
    <x v="3"/>
    <x v="2"/>
    <s v="Road"/>
    <x v="1"/>
    <n v="6.1"/>
    <n v="448"/>
    <n v="2"/>
    <n v="2"/>
    <n v="1"/>
    <n v="0"/>
    <n v="24.06"/>
    <n v="0"/>
    <n v="1"/>
  </r>
  <r>
    <s v="SHP-502570"/>
    <d v="2024-12-24T00:00:00"/>
    <x v="0"/>
    <s v="Q4"/>
    <x v="11"/>
    <x v="0"/>
    <x v="0"/>
    <x v="2"/>
    <x v="1"/>
    <s v="Road"/>
    <x v="1"/>
    <n v="4.5999999999999996"/>
    <n v="1111"/>
    <n v="7"/>
    <n v="6"/>
    <n v="1"/>
    <n v="0"/>
    <n v="16.239999999999998"/>
    <n v="0"/>
    <n v="1"/>
  </r>
  <r>
    <s v="SHP-502571"/>
    <d v="2024-12-24T00:00:00"/>
    <x v="0"/>
    <s v="Q4"/>
    <x v="11"/>
    <x v="4"/>
    <x v="1"/>
    <x v="3"/>
    <x v="2"/>
    <s v="Road"/>
    <x v="0"/>
    <n v="337.4"/>
    <n v="542"/>
    <n v="2"/>
    <n v="4"/>
    <n v="0"/>
    <n v="2"/>
    <n v="272.32"/>
    <n v="0"/>
    <n v="1"/>
  </r>
  <r>
    <s v="SHP-502572"/>
    <d v="2024-12-24T00:00:00"/>
    <x v="0"/>
    <s v="Q4"/>
    <x v="11"/>
    <x v="4"/>
    <x v="1"/>
    <x v="0"/>
    <x v="1"/>
    <s v="Road"/>
    <x v="0"/>
    <n v="49.5"/>
    <n v="812"/>
    <n v="6"/>
    <n v="5"/>
    <n v="1"/>
    <n v="0"/>
    <n v="26.24"/>
    <n v="0"/>
    <n v="1"/>
  </r>
  <r>
    <s v="SHP-502573"/>
    <d v="2024-12-24T00:00:00"/>
    <x v="0"/>
    <s v="Q4"/>
    <x v="11"/>
    <x v="2"/>
    <x v="2"/>
    <x v="1"/>
    <x v="0"/>
    <s v="Road"/>
    <x v="1"/>
    <n v="11.9"/>
    <n v="233"/>
    <n v="3"/>
    <n v="5"/>
    <n v="0"/>
    <n v="2"/>
    <n v="14.25"/>
    <n v="0"/>
    <n v="1"/>
  </r>
  <r>
    <s v="SHP-502574"/>
    <d v="2024-12-25T00:00:00"/>
    <x v="0"/>
    <s v="Q4"/>
    <x v="11"/>
    <x v="1"/>
    <x v="2"/>
    <x v="3"/>
    <x v="0"/>
    <s v="Road"/>
    <x v="1"/>
    <n v="3.5"/>
    <n v="506"/>
    <n v="4"/>
    <n v="4"/>
    <n v="1"/>
    <n v="0"/>
    <n v="15.02"/>
    <n v="0"/>
    <n v="1"/>
  </r>
  <r>
    <s v="SHP-502575"/>
    <d v="2024-12-25T00:00:00"/>
    <x v="0"/>
    <s v="Q4"/>
    <x v="11"/>
    <x v="3"/>
    <x v="1"/>
    <x v="3"/>
    <x v="0"/>
    <s v="Road"/>
    <x v="1"/>
    <n v="7.3"/>
    <n v="530"/>
    <n v="4"/>
    <n v="4"/>
    <n v="1"/>
    <n v="0"/>
    <n v="18.43"/>
    <n v="0"/>
    <n v="1"/>
  </r>
  <r>
    <s v="SHP-502576"/>
    <d v="2024-12-25T00:00:00"/>
    <x v="0"/>
    <s v="Q4"/>
    <x v="11"/>
    <x v="1"/>
    <x v="1"/>
    <x v="0"/>
    <x v="0"/>
    <s v="Road"/>
    <x v="1"/>
    <n v="3.2"/>
    <n v="546"/>
    <n v="4"/>
    <n v="6"/>
    <n v="0"/>
    <n v="2"/>
    <n v="14.78"/>
    <n v="0"/>
    <n v="1"/>
  </r>
  <r>
    <s v="SHP-502577"/>
    <d v="2024-12-25T00:00:00"/>
    <x v="0"/>
    <s v="Q4"/>
    <x v="11"/>
    <x v="2"/>
    <x v="1"/>
    <x v="3"/>
    <x v="0"/>
    <s v="Road"/>
    <x v="1"/>
    <n v="16.600000000000001"/>
    <n v="462"/>
    <n v="4"/>
    <n v="7"/>
    <n v="0"/>
    <n v="3"/>
    <n v="18.32"/>
    <n v="0"/>
    <n v="1"/>
  </r>
  <r>
    <s v="SHP-502578"/>
    <d v="2024-12-25T00:00:00"/>
    <x v="0"/>
    <s v="Q4"/>
    <x v="11"/>
    <x v="3"/>
    <x v="0"/>
    <x v="4"/>
    <x v="1"/>
    <s v="Road"/>
    <x v="0"/>
    <n v="107.4"/>
    <n v="1234"/>
    <n v="7"/>
    <n v="7"/>
    <n v="1"/>
    <n v="0"/>
    <n v="54.58"/>
    <n v="0"/>
    <n v="1"/>
  </r>
  <r>
    <s v="SHP-502579"/>
    <d v="2024-12-25T00:00:00"/>
    <x v="0"/>
    <s v="Q4"/>
    <x v="11"/>
    <x v="2"/>
    <x v="2"/>
    <x v="1"/>
    <x v="2"/>
    <s v="Road"/>
    <x v="1"/>
    <n v="5.4"/>
    <n v="293"/>
    <n v="1"/>
    <n v="1"/>
    <n v="1"/>
    <n v="0"/>
    <n v="20.29"/>
    <n v="0"/>
    <n v="1"/>
  </r>
  <r>
    <s v="SHP-502580"/>
    <d v="2024-12-25T00:00:00"/>
    <x v="0"/>
    <s v="Q4"/>
    <x v="11"/>
    <x v="4"/>
    <x v="2"/>
    <x v="0"/>
    <x v="1"/>
    <s v="Road"/>
    <x v="1"/>
    <n v="2.7"/>
    <n v="1028"/>
    <n v="6"/>
    <n v="6"/>
    <n v="1"/>
    <n v="0"/>
    <n v="14.45"/>
    <n v="0"/>
    <n v="1"/>
  </r>
  <r>
    <s v="SHP-502581"/>
    <d v="2024-12-25T00:00:00"/>
    <x v="0"/>
    <s v="Q4"/>
    <x v="11"/>
    <x v="1"/>
    <x v="1"/>
    <x v="1"/>
    <x v="0"/>
    <s v="Road"/>
    <x v="0"/>
    <n v="11"/>
    <n v="309"/>
    <n v="3"/>
    <n v="3"/>
    <n v="1"/>
    <n v="0"/>
    <n v="17.920000000000002"/>
    <n v="0"/>
    <n v="1"/>
  </r>
  <r>
    <s v="SHP-502582"/>
    <d v="2024-12-25T00:00:00"/>
    <x v="0"/>
    <s v="Q4"/>
    <x v="11"/>
    <x v="4"/>
    <x v="1"/>
    <x v="2"/>
    <x v="0"/>
    <s v="Road"/>
    <x v="1"/>
    <n v="13.6"/>
    <n v="1242"/>
    <n v="5"/>
    <n v="5"/>
    <n v="1"/>
    <n v="0"/>
    <n v="30.01"/>
    <n v="0"/>
    <n v="1"/>
  </r>
  <r>
    <s v="SHP-502583"/>
    <d v="2024-12-25T00:00:00"/>
    <x v="0"/>
    <s v="Q4"/>
    <x v="11"/>
    <x v="3"/>
    <x v="1"/>
    <x v="1"/>
    <x v="2"/>
    <s v="Road"/>
    <x v="1"/>
    <n v="14.4"/>
    <n v="187"/>
    <n v="1"/>
    <n v="1"/>
    <n v="1"/>
    <n v="0"/>
    <n v="38.369999999999997"/>
    <n v="0"/>
    <n v="1"/>
  </r>
  <r>
    <s v="SHP-502584"/>
    <d v="2024-12-26T00:00:00"/>
    <x v="0"/>
    <s v="Q4"/>
    <x v="11"/>
    <x v="0"/>
    <x v="2"/>
    <x v="1"/>
    <x v="2"/>
    <s v="Road"/>
    <x v="0"/>
    <n v="159.80000000000001"/>
    <n v="289"/>
    <n v="1"/>
    <n v="3"/>
    <n v="0"/>
    <n v="2"/>
    <n v="138.4"/>
    <n v="0"/>
    <n v="1"/>
  </r>
  <r>
    <s v="SHP-502585"/>
    <d v="2024-12-26T00:00:00"/>
    <x v="0"/>
    <s v="Q4"/>
    <x v="11"/>
    <x v="2"/>
    <x v="0"/>
    <x v="1"/>
    <x v="0"/>
    <s v="Road"/>
    <x v="0"/>
    <n v="14"/>
    <n v="234"/>
    <n v="3"/>
    <n v="3"/>
    <n v="1"/>
    <n v="0"/>
    <n v="15.3"/>
    <n v="0"/>
    <n v="1"/>
  </r>
  <r>
    <s v="SHP-502586"/>
    <d v="2024-12-26T00:00:00"/>
    <x v="0"/>
    <s v="Q4"/>
    <x v="11"/>
    <x v="3"/>
    <x v="2"/>
    <x v="3"/>
    <x v="2"/>
    <s v="Road"/>
    <x v="0"/>
    <n v="105"/>
    <n v="529"/>
    <n v="2"/>
    <n v="2"/>
    <n v="1"/>
    <n v="0"/>
    <n v="136.79"/>
    <n v="0"/>
    <n v="1"/>
  </r>
  <r>
    <s v="SHP-502587"/>
    <d v="2024-12-26T00:00:00"/>
    <x v="0"/>
    <s v="Q4"/>
    <x v="11"/>
    <x v="4"/>
    <x v="0"/>
    <x v="3"/>
    <x v="0"/>
    <s v="Road"/>
    <x v="0"/>
    <n v="101.2"/>
    <n v="485"/>
    <n v="4"/>
    <n v="4"/>
    <n v="1"/>
    <n v="0"/>
    <n v="53.13"/>
    <n v="0"/>
    <n v="1"/>
  </r>
  <r>
    <s v="SHP-502588"/>
    <d v="2024-12-26T00:00:00"/>
    <x v="0"/>
    <s v="Q4"/>
    <x v="11"/>
    <x v="3"/>
    <x v="2"/>
    <x v="0"/>
    <x v="0"/>
    <s v="Road"/>
    <x v="1"/>
    <n v="4.5"/>
    <n v="875"/>
    <n v="4"/>
    <n v="3"/>
    <n v="1"/>
    <n v="0"/>
    <n v="21.46"/>
    <n v="0"/>
    <n v="1"/>
  </r>
  <r>
    <s v="SHP-502589"/>
    <d v="2024-12-26T00:00:00"/>
    <x v="0"/>
    <s v="Q4"/>
    <x v="11"/>
    <x v="3"/>
    <x v="2"/>
    <x v="4"/>
    <x v="2"/>
    <s v="Air"/>
    <x v="0"/>
    <n v="123.8"/>
    <n v="1012"/>
    <n v="3"/>
    <n v="3"/>
    <n v="1"/>
    <n v="0"/>
    <n v="246.8"/>
    <n v="0"/>
    <n v="1"/>
  </r>
  <r>
    <s v="SHP-502590"/>
    <d v="2024-12-26T00:00:00"/>
    <x v="0"/>
    <s v="Q4"/>
    <x v="11"/>
    <x v="3"/>
    <x v="2"/>
    <x v="2"/>
    <x v="2"/>
    <s v="Air"/>
    <x v="1"/>
    <n v="14.2"/>
    <n v="1101"/>
    <n v="3"/>
    <n v="7"/>
    <n v="0"/>
    <n v="4"/>
    <n v="97.97"/>
    <n v="0"/>
    <n v="1"/>
  </r>
  <r>
    <s v="SHP-502591"/>
    <d v="2024-12-26T00:00:00"/>
    <x v="0"/>
    <s v="Q4"/>
    <x v="11"/>
    <x v="0"/>
    <x v="1"/>
    <x v="3"/>
    <x v="1"/>
    <s v="Road"/>
    <x v="0"/>
    <n v="166.6"/>
    <n v="398"/>
    <n v="6"/>
    <n v="6"/>
    <n v="1"/>
    <n v="0"/>
    <n v="50.78"/>
    <n v="0"/>
    <n v="1"/>
  </r>
  <r>
    <s v="SHP-502592"/>
    <d v="2024-12-26T00:00:00"/>
    <x v="0"/>
    <s v="Q4"/>
    <x v="11"/>
    <x v="4"/>
    <x v="1"/>
    <x v="0"/>
    <x v="0"/>
    <s v="Road"/>
    <x v="0"/>
    <n v="32.1"/>
    <n v="1260"/>
    <n v="4"/>
    <n v="5"/>
    <n v="0"/>
    <n v="1"/>
    <n v="41.86"/>
    <n v="0"/>
    <n v="1"/>
  </r>
  <r>
    <s v="SHP-502593"/>
    <d v="2024-12-26T00:00:00"/>
    <x v="0"/>
    <s v="Q4"/>
    <x v="11"/>
    <x v="2"/>
    <x v="0"/>
    <x v="2"/>
    <x v="0"/>
    <s v="Road"/>
    <x v="1"/>
    <n v="23.4"/>
    <n v="1155"/>
    <n v="5"/>
    <n v="8"/>
    <n v="0"/>
    <n v="3"/>
    <n v="30.68"/>
    <n v="0"/>
    <n v="1"/>
  </r>
  <r>
    <s v="SHP-502594"/>
    <d v="2024-12-26T00:00:00"/>
    <x v="0"/>
    <s v="Q4"/>
    <x v="11"/>
    <x v="4"/>
    <x v="1"/>
    <x v="0"/>
    <x v="0"/>
    <s v="Road"/>
    <x v="0"/>
    <n v="65"/>
    <n v="865"/>
    <n v="4"/>
    <n v="6"/>
    <n v="0"/>
    <n v="2"/>
    <n v="51.6"/>
    <n v="0"/>
    <n v="1"/>
  </r>
  <r>
    <s v="SHP-502595"/>
    <d v="2024-12-26T00:00:00"/>
    <x v="0"/>
    <s v="Q4"/>
    <x v="11"/>
    <x v="3"/>
    <x v="2"/>
    <x v="0"/>
    <x v="0"/>
    <s v="Road"/>
    <x v="1"/>
    <n v="14.6"/>
    <n v="969"/>
    <n v="4"/>
    <n v="4"/>
    <n v="1"/>
    <n v="0"/>
    <n v="28.55"/>
    <n v="0"/>
    <n v="1"/>
  </r>
  <r>
    <s v="SHP-502596"/>
    <d v="2024-12-27T00:00:00"/>
    <x v="0"/>
    <s v="Q4"/>
    <x v="11"/>
    <x v="1"/>
    <x v="2"/>
    <x v="4"/>
    <x v="0"/>
    <s v="Road"/>
    <x v="0"/>
    <n v="26.5"/>
    <n v="1052"/>
    <n v="5"/>
    <n v="4"/>
    <n v="1"/>
    <n v="0"/>
    <n v="32.840000000000003"/>
    <n v="0"/>
    <n v="1"/>
  </r>
  <r>
    <s v="SHP-502597"/>
    <d v="2024-12-27T00:00:00"/>
    <x v="0"/>
    <s v="Q4"/>
    <x v="11"/>
    <x v="0"/>
    <x v="2"/>
    <x v="1"/>
    <x v="0"/>
    <s v="Road"/>
    <x v="1"/>
    <n v="10.6"/>
    <n v="232"/>
    <n v="3"/>
    <n v="2"/>
    <n v="1"/>
    <n v="0"/>
    <n v="15.54"/>
    <n v="0"/>
    <n v="1"/>
  </r>
  <r>
    <s v="SHP-502598"/>
    <d v="2024-12-27T00:00:00"/>
    <x v="0"/>
    <s v="Q4"/>
    <x v="11"/>
    <x v="4"/>
    <x v="1"/>
    <x v="3"/>
    <x v="1"/>
    <s v="Road"/>
    <x v="0"/>
    <n v="131.6"/>
    <n v="432"/>
    <n v="6"/>
    <n v="5"/>
    <n v="1"/>
    <n v="0"/>
    <n v="47.13"/>
    <n v="0"/>
    <n v="1"/>
  </r>
  <r>
    <s v="SHP-502599"/>
    <d v="2024-12-27T00:00:00"/>
    <x v="0"/>
    <s v="Q4"/>
    <x v="11"/>
    <x v="0"/>
    <x v="2"/>
    <x v="0"/>
    <x v="0"/>
    <s v="Road"/>
    <x v="0"/>
    <n v="137.80000000000001"/>
    <n v="1067"/>
    <n v="4"/>
    <n v="4"/>
    <n v="1"/>
    <n v="0"/>
    <n v="72.59"/>
    <n v="0"/>
    <n v="1"/>
  </r>
  <r>
    <s v="SHP-502600"/>
    <d v="2024-12-27T00:00:00"/>
    <x v="0"/>
    <s v="Q4"/>
    <x v="11"/>
    <x v="3"/>
    <x v="2"/>
    <x v="0"/>
    <x v="2"/>
    <s v="Air"/>
    <x v="1"/>
    <n v="0.8"/>
    <n v="855"/>
    <n v="2"/>
    <n v="1"/>
    <n v="1"/>
    <n v="0"/>
    <n v="57.27"/>
    <n v="0"/>
    <n v="1"/>
  </r>
  <r>
    <s v="SHP-502601"/>
    <d v="2024-12-27T00:00:00"/>
    <x v="0"/>
    <s v="Q4"/>
    <x v="11"/>
    <x v="2"/>
    <x v="0"/>
    <x v="1"/>
    <x v="1"/>
    <s v="Road"/>
    <x v="0"/>
    <n v="84.2"/>
    <n v="237"/>
    <n v="5"/>
    <n v="5"/>
    <n v="1"/>
    <n v="0"/>
    <n v="28.68"/>
    <n v="0"/>
    <n v="1"/>
  </r>
  <r>
    <s v="SHP-502602"/>
    <d v="2024-12-27T00:00:00"/>
    <x v="0"/>
    <s v="Q4"/>
    <x v="11"/>
    <x v="2"/>
    <x v="2"/>
    <x v="1"/>
    <x v="0"/>
    <s v="Road"/>
    <x v="1"/>
    <n v="4.5"/>
    <n v="249"/>
    <n v="3"/>
    <n v="2"/>
    <n v="1"/>
    <n v="0"/>
    <n v="11.02"/>
    <n v="0"/>
    <n v="1"/>
  </r>
  <r>
    <s v="SHP-502603"/>
    <d v="2024-12-27T00:00:00"/>
    <x v="0"/>
    <s v="Q4"/>
    <x v="11"/>
    <x v="1"/>
    <x v="1"/>
    <x v="0"/>
    <x v="0"/>
    <s v="Road"/>
    <x v="1"/>
    <n v="6.3"/>
    <n v="914"/>
    <n v="4"/>
    <n v="4"/>
    <n v="1"/>
    <n v="0"/>
    <n v="22.95"/>
    <n v="0"/>
    <n v="1"/>
  </r>
  <r>
    <s v="SHP-502604"/>
    <d v="2024-12-27T00:00:00"/>
    <x v="0"/>
    <s v="Q4"/>
    <x v="11"/>
    <x v="3"/>
    <x v="2"/>
    <x v="1"/>
    <x v="0"/>
    <s v="Road"/>
    <x v="1"/>
    <n v="9.9"/>
    <n v="287"/>
    <n v="3"/>
    <n v="6"/>
    <n v="0"/>
    <n v="3"/>
    <n v="17.260000000000002"/>
    <n v="0"/>
    <n v="1"/>
  </r>
  <r>
    <s v="SHP-502605"/>
    <d v="2024-12-27T00:00:00"/>
    <x v="0"/>
    <s v="Q4"/>
    <x v="11"/>
    <x v="1"/>
    <x v="2"/>
    <x v="4"/>
    <x v="2"/>
    <s v="Air"/>
    <x v="1"/>
    <n v="4.4000000000000004"/>
    <n v="948"/>
    <n v="3"/>
    <n v="3"/>
    <n v="1"/>
    <n v="0"/>
    <n v="64.09"/>
    <n v="0"/>
    <n v="1"/>
  </r>
  <r>
    <s v="SHP-502606"/>
    <d v="2024-12-28T00:00:00"/>
    <x v="0"/>
    <s v="Q4"/>
    <x v="11"/>
    <x v="1"/>
    <x v="0"/>
    <x v="0"/>
    <x v="0"/>
    <s v="Road"/>
    <x v="0"/>
    <n v="25.3"/>
    <n v="1044"/>
    <n v="4"/>
    <n v="4"/>
    <n v="1"/>
    <n v="0"/>
    <n v="37.369999999999997"/>
    <n v="0"/>
    <n v="1"/>
  </r>
  <r>
    <s v="SHP-502607"/>
    <d v="2024-12-28T00:00:00"/>
    <x v="0"/>
    <s v="Q4"/>
    <x v="11"/>
    <x v="0"/>
    <x v="1"/>
    <x v="1"/>
    <x v="0"/>
    <s v="Road"/>
    <x v="1"/>
    <n v="1.6"/>
    <n v="279"/>
    <n v="3"/>
    <n v="3"/>
    <n v="1"/>
    <n v="0"/>
    <n v="10.9"/>
    <n v="0"/>
    <n v="1"/>
  </r>
  <r>
    <s v="SHP-502608"/>
    <d v="2024-12-28T00:00:00"/>
    <x v="0"/>
    <s v="Q4"/>
    <x v="11"/>
    <x v="2"/>
    <x v="2"/>
    <x v="4"/>
    <x v="0"/>
    <s v="Road"/>
    <x v="0"/>
    <n v="64.900000000000006"/>
    <n v="817"/>
    <n v="5"/>
    <n v="5"/>
    <n v="1"/>
    <n v="0"/>
    <n v="40.61"/>
    <n v="0"/>
    <n v="1"/>
  </r>
  <r>
    <s v="SHP-502609"/>
    <d v="2024-12-28T00:00:00"/>
    <x v="0"/>
    <s v="Q4"/>
    <x v="11"/>
    <x v="3"/>
    <x v="0"/>
    <x v="2"/>
    <x v="1"/>
    <s v="Road"/>
    <x v="1"/>
    <n v="3.6"/>
    <n v="1330"/>
    <n v="7"/>
    <n v="7"/>
    <n v="1"/>
    <n v="0"/>
    <n v="19.399999999999999"/>
    <n v="0"/>
    <n v="1"/>
  </r>
  <r>
    <s v="SHP-502610"/>
    <d v="2024-12-28T00:00:00"/>
    <x v="0"/>
    <s v="Q4"/>
    <x v="11"/>
    <x v="0"/>
    <x v="2"/>
    <x v="3"/>
    <x v="0"/>
    <s v="Road"/>
    <x v="0"/>
    <n v="89.3"/>
    <n v="545"/>
    <n v="4"/>
    <n v="4"/>
    <n v="1"/>
    <n v="0"/>
    <n v="44.65"/>
    <n v="0"/>
    <n v="1"/>
  </r>
  <r>
    <s v="SHP-502611"/>
    <d v="2024-12-28T00:00:00"/>
    <x v="0"/>
    <s v="Q4"/>
    <x v="11"/>
    <x v="2"/>
    <x v="0"/>
    <x v="1"/>
    <x v="0"/>
    <s v="Road"/>
    <x v="1"/>
    <n v="7.3"/>
    <n v="224"/>
    <n v="3"/>
    <n v="4"/>
    <n v="0"/>
    <n v="1"/>
    <n v="12.28"/>
    <n v="0"/>
    <n v="1"/>
  </r>
  <r>
    <s v="SHP-502612"/>
    <d v="2024-12-29T00:00:00"/>
    <x v="0"/>
    <s v="Q4"/>
    <x v="11"/>
    <x v="4"/>
    <x v="1"/>
    <x v="1"/>
    <x v="1"/>
    <s v="Road"/>
    <x v="1"/>
    <n v="10.7"/>
    <n v="246"/>
    <n v="5"/>
    <n v="5"/>
    <n v="1"/>
    <n v="0"/>
    <n v="10.56"/>
    <n v="0"/>
    <n v="1"/>
  </r>
  <r>
    <s v="SHP-502613"/>
    <d v="2024-12-30T00:00:00"/>
    <x v="0"/>
    <s v="Q4"/>
    <x v="11"/>
    <x v="1"/>
    <x v="0"/>
    <x v="3"/>
    <x v="0"/>
    <s v="Road"/>
    <x v="1"/>
    <n v="11.7"/>
    <n v="521"/>
    <n v="4"/>
    <n v="4"/>
    <n v="1"/>
    <n v="0"/>
    <n v="20.440000000000001"/>
    <n v="0"/>
    <n v="1"/>
  </r>
  <r>
    <s v="SHP-502614"/>
    <d v="2024-12-30T00:00:00"/>
    <x v="0"/>
    <s v="Q4"/>
    <x v="11"/>
    <x v="2"/>
    <x v="2"/>
    <x v="4"/>
    <x v="2"/>
    <s v="Air"/>
    <x v="0"/>
    <n v="44.3"/>
    <n v="1305"/>
    <n v="3"/>
    <n v="7"/>
    <n v="0"/>
    <n v="4"/>
    <n v="103.6"/>
    <n v="0"/>
    <n v="1"/>
  </r>
  <r>
    <s v="SHP-502615"/>
    <d v="2024-12-30T00:00:00"/>
    <x v="0"/>
    <s v="Q4"/>
    <x v="11"/>
    <x v="0"/>
    <x v="1"/>
    <x v="4"/>
    <x v="1"/>
    <s v="Road"/>
    <x v="0"/>
    <n v="194.7"/>
    <n v="1105"/>
    <n v="7"/>
    <n v="7"/>
    <n v="1"/>
    <n v="0"/>
    <n v="63.28"/>
    <n v="0"/>
    <n v="1"/>
  </r>
  <r>
    <s v="SHP-502616"/>
    <d v="2024-12-30T00:00:00"/>
    <x v="0"/>
    <s v="Q4"/>
    <x v="11"/>
    <x v="4"/>
    <x v="1"/>
    <x v="1"/>
    <x v="0"/>
    <s v="Road"/>
    <x v="0"/>
    <n v="102.3"/>
    <n v="233"/>
    <n v="3"/>
    <n v="5"/>
    <n v="0"/>
    <n v="2"/>
    <n v="53.07"/>
    <n v="0"/>
    <n v="1"/>
  </r>
  <r>
    <s v="SHP-502617"/>
    <d v="2024-12-30T00:00:00"/>
    <x v="0"/>
    <s v="Q4"/>
    <x v="11"/>
    <x v="4"/>
    <x v="1"/>
    <x v="1"/>
    <x v="1"/>
    <s v="Road"/>
    <x v="1"/>
    <n v="4.9000000000000004"/>
    <n v="269"/>
    <n v="5"/>
    <n v="5"/>
    <n v="1"/>
    <n v="0"/>
    <n v="9.1"/>
    <n v="0"/>
    <n v="1"/>
  </r>
  <r>
    <s v="SHP-502618"/>
    <d v="2024-12-30T00:00:00"/>
    <x v="0"/>
    <s v="Q4"/>
    <x v="11"/>
    <x v="2"/>
    <x v="1"/>
    <x v="1"/>
    <x v="0"/>
    <s v="Road"/>
    <x v="0"/>
    <n v="87.2"/>
    <n v="316"/>
    <n v="3"/>
    <n v="3"/>
    <n v="1"/>
    <n v="0"/>
    <n v="43.35"/>
    <n v="0"/>
    <n v="1"/>
  </r>
  <r>
    <s v="SHP-502619"/>
    <d v="2024-12-30T00:00:00"/>
    <x v="0"/>
    <s v="Q4"/>
    <x v="11"/>
    <x v="1"/>
    <x v="2"/>
    <x v="0"/>
    <x v="0"/>
    <s v="Road"/>
    <x v="0"/>
    <n v="61.4"/>
    <n v="987"/>
    <n v="4"/>
    <n v="4"/>
    <n v="1"/>
    <n v="0"/>
    <n v="54.23"/>
    <n v="0"/>
    <n v="1"/>
  </r>
  <r>
    <s v="SHP-502620"/>
    <d v="2024-12-30T00:00:00"/>
    <x v="0"/>
    <s v="Q4"/>
    <x v="11"/>
    <x v="4"/>
    <x v="0"/>
    <x v="1"/>
    <x v="0"/>
    <s v="Road"/>
    <x v="0"/>
    <n v="69.599999999999994"/>
    <n v="309"/>
    <n v="3"/>
    <n v="3"/>
    <n v="1"/>
    <n v="0"/>
    <n v="40.61"/>
    <n v="0"/>
    <n v="1"/>
  </r>
  <r>
    <s v="SHP-502621"/>
    <d v="2024-12-30T00:00:00"/>
    <x v="0"/>
    <s v="Q4"/>
    <x v="11"/>
    <x v="0"/>
    <x v="2"/>
    <x v="4"/>
    <x v="0"/>
    <s v="Road"/>
    <x v="0"/>
    <n v="177"/>
    <n v="943"/>
    <n v="5"/>
    <n v="4"/>
    <n v="1"/>
    <n v="0"/>
    <n v="84.53"/>
    <n v="0"/>
    <n v="1"/>
  </r>
  <r>
    <s v="SHP-502622"/>
    <d v="2024-12-30T00:00:00"/>
    <x v="0"/>
    <s v="Q4"/>
    <x v="11"/>
    <x v="3"/>
    <x v="0"/>
    <x v="1"/>
    <x v="0"/>
    <s v="Road"/>
    <x v="1"/>
    <n v="3.9"/>
    <n v="241"/>
    <n v="3"/>
    <n v="2"/>
    <n v="1"/>
    <n v="0"/>
    <n v="13.3"/>
    <n v="0"/>
    <n v="1"/>
  </r>
  <r>
    <s v="SHP-502623"/>
    <d v="2024-12-30T00:00:00"/>
    <x v="0"/>
    <s v="Q4"/>
    <x v="11"/>
    <x v="3"/>
    <x v="2"/>
    <x v="3"/>
    <x v="0"/>
    <s v="Road"/>
    <x v="1"/>
    <n v="1.7"/>
    <n v="418"/>
    <n v="4"/>
    <n v="3"/>
    <n v="1"/>
    <n v="0"/>
    <n v="14.78"/>
    <n v="0"/>
    <n v="1"/>
  </r>
  <r>
    <s v="SHP-502624"/>
    <d v="2024-12-30T00:00:00"/>
    <x v="0"/>
    <s v="Q4"/>
    <x v="11"/>
    <x v="2"/>
    <x v="1"/>
    <x v="0"/>
    <x v="0"/>
    <s v="Road"/>
    <x v="0"/>
    <n v="193.8"/>
    <n v="752"/>
    <n v="4"/>
    <n v="3"/>
    <n v="1"/>
    <n v="0"/>
    <n v="84"/>
    <n v="0"/>
    <n v="1"/>
  </r>
  <r>
    <s v="SHP-502625"/>
    <d v="2024-12-30T00:00:00"/>
    <x v="0"/>
    <s v="Q4"/>
    <x v="11"/>
    <x v="2"/>
    <x v="2"/>
    <x v="4"/>
    <x v="0"/>
    <s v="Road"/>
    <x v="1"/>
    <n v="17"/>
    <n v="1123"/>
    <n v="5"/>
    <n v="5"/>
    <n v="1"/>
    <n v="0"/>
    <n v="24.49"/>
    <n v="0"/>
    <n v="1"/>
  </r>
  <r>
    <s v="SHP-502626"/>
    <d v="2024-12-31T00:00:00"/>
    <x v="0"/>
    <s v="Q4"/>
    <x v="11"/>
    <x v="0"/>
    <x v="1"/>
    <x v="3"/>
    <x v="1"/>
    <s v="Road"/>
    <x v="0"/>
    <n v="93.9"/>
    <n v="494"/>
    <n v="6"/>
    <n v="6"/>
    <n v="1"/>
    <n v="0"/>
    <n v="35.17"/>
    <n v="0"/>
    <n v="1"/>
  </r>
  <r>
    <s v="SHP-502627"/>
    <d v="2024-12-31T00:00:00"/>
    <x v="0"/>
    <s v="Q4"/>
    <x v="11"/>
    <x v="1"/>
    <x v="1"/>
    <x v="0"/>
    <x v="0"/>
    <s v="Road"/>
    <x v="1"/>
    <n v="3.4"/>
    <n v="769"/>
    <n v="4"/>
    <n v="4"/>
    <n v="1"/>
    <n v="0"/>
    <n v="18.63"/>
    <n v="0"/>
    <n v="1"/>
  </r>
  <r>
    <s v="SHP-502628"/>
    <d v="2024-12-31T00:00:00"/>
    <x v="0"/>
    <s v="Q4"/>
    <x v="11"/>
    <x v="4"/>
    <x v="0"/>
    <x v="4"/>
    <x v="1"/>
    <s v="Road"/>
    <x v="0"/>
    <n v="263.39999999999998"/>
    <n v="965"/>
    <n v="7"/>
    <n v="7"/>
    <n v="1"/>
    <n v="0"/>
    <n v="78.63"/>
    <n v="0"/>
    <n v="1"/>
  </r>
  <r>
    <s v="SHP-502629"/>
    <d v="2024-12-31T00:00:00"/>
    <x v="0"/>
    <s v="Q4"/>
    <x v="11"/>
    <x v="3"/>
    <x v="1"/>
    <x v="3"/>
    <x v="0"/>
    <s v="Road"/>
    <x v="0"/>
    <n v="17"/>
    <n v="521"/>
    <n v="4"/>
    <n v="4"/>
    <n v="1"/>
    <n v="0"/>
    <n v="22.28"/>
    <n v="0"/>
    <n v="1"/>
  </r>
  <r>
    <s v="SHP-502630"/>
    <d v="2024-12-31T00:00:00"/>
    <x v="0"/>
    <s v="Q4"/>
    <x v="11"/>
    <x v="2"/>
    <x v="1"/>
    <x v="1"/>
    <x v="0"/>
    <s v="Road"/>
    <x v="0"/>
    <n v="40.799999999999997"/>
    <n v="307"/>
    <n v="3"/>
    <n v="5"/>
    <n v="0"/>
    <n v="2"/>
    <n v="27.89"/>
    <n v="0"/>
    <n v="1"/>
  </r>
  <r>
    <s v="SHP-502631"/>
    <d v="2024-12-31T00:00:00"/>
    <x v="0"/>
    <s v="Q4"/>
    <x v="11"/>
    <x v="0"/>
    <x v="1"/>
    <x v="2"/>
    <x v="0"/>
    <s v="Road"/>
    <x v="0"/>
    <n v="68.400000000000006"/>
    <n v="1304"/>
    <n v="5"/>
    <n v="4"/>
    <n v="1"/>
    <n v="0"/>
    <n v="53.62"/>
    <n v="0"/>
    <n v="1"/>
  </r>
  <r>
    <s v="SHP-502632"/>
    <d v="2024-12-31T00:00:00"/>
    <x v="0"/>
    <s v="Q4"/>
    <x v="11"/>
    <x v="2"/>
    <x v="1"/>
    <x v="4"/>
    <x v="0"/>
    <s v="Road"/>
    <x v="1"/>
    <n v="4.3"/>
    <n v="1149"/>
    <n v="5"/>
    <n v="5"/>
    <n v="1"/>
    <n v="0"/>
    <n v="19.25"/>
    <n v="0"/>
    <n v="1"/>
  </r>
  <r>
    <s v="SHP-502633"/>
    <d v="2024-12-31T00:00:00"/>
    <x v="0"/>
    <s v="Q4"/>
    <x v="11"/>
    <x v="3"/>
    <x v="1"/>
    <x v="2"/>
    <x v="0"/>
    <s v="Road"/>
    <x v="1"/>
    <n v="10.8"/>
    <n v="1405"/>
    <n v="5"/>
    <n v="8"/>
    <n v="0"/>
    <n v="3"/>
    <n v="31.89"/>
    <n v="0"/>
    <n v="1"/>
  </r>
  <r>
    <s v="SHP-502634"/>
    <d v="2025-01-01T00:00:00"/>
    <x v="1"/>
    <s v="Q1"/>
    <x v="0"/>
    <x v="2"/>
    <x v="2"/>
    <x v="3"/>
    <x v="2"/>
    <s v="Road"/>
    <x v="1"/>
    <n v="5.8"/>
    <n v="502"/>
    <n v="2"/>
    <n v="2"/>
    <n v="1"/>
    <n v="0"/>
    <n v="28.18"/>
    <n v="0"/>
    <n v="1"/>
  </r>
  <r>
    <s v="SHP-502635"/>
    <d v="2025-01-01T00:00:00"/>
    <x v="1"/>
    <s v="Q1"/>
    <x v="0"/>
    <x v="4"/>
    <x v="1"/>
    <x v="2"/>
    <x v="2"/>
    <s v="Air"/>
    <x v="1"/>
    <n v="1.2"/>
    <n v="1285"/>
    <n v="3"/>
    <n v="2"/>
    <n v="1"/>
    <n v="0"/>
    <n v="64.67"/>
    <n v="0"/>
    <n v="1"/>
  </r>
  <r>
    <s v="SHP-502636"/>
    <d v="2025-01-01T00:00:00"/>
    <x v="1"/>
    <s v="Q1"/>
    <x v="0"/>
    <x v="4"/>
    <x v="2"/>
    <x v="4"/>
    <x v="0"/>
    <s v="Road"/>
    <x v="0"/>
    <n v="221.8"/>
    <n v="1031"/>
    <n v="5"/>
    <n v="5"/>
    <n v="1"/>
    <n v="0"/>
    <n v="97.27"/>
    <n v="0"/>
    <n v="1"/>
  </r>
  <r>
    <s v="SHP-502637"/>
    <d v="2025-01-02T00:00:00"/>
    <x v="1"/>
    <s v="Q1"/>
    <x v="0"/>
    <x v="0"/>
    <x v="2"/>
    <x v="1"/>
    <x v="0"/>
    <s v="Road"/>
    <x v="1"/>
    <n v="9.4"/>
    <n v="201"/>
    <n v="3"/>
    <n v="3"/>
    <n v="1"/>
    <n v="0"/>
    <n v="13.94"/>
    <n v="0"/>
    <n v="1"/>
  </r>
  <r>
    <s v="SHP-502638"/>
    <d v="2025-01-02T00:00:00"/>
    <x v="1"/>
    <s v="Q1"/>
    <x v="0"/>
    <x v="3"/>
    <x v="2"/>
    <x v="1"/>
    <x v="0"/>
    <s v="Road"/>
    <x v="1"/>
    <n v="2.4"/>
    <n v="247"/>
    <n v="3"/>
    <n v="3"/>
    <n v="1"/>
    <n v="0"/>
    <n v="11.39"/>
    <n v="0"/>
    <n v="1"/>
  </r>
  <r>
    <s v="SHP-502639"/>
    <d v="2025-01-02T00:00:00"/>
    <x v="1"/>
    <s v="Q1"/>
    <x v="0"/>
    <x v="2"/>
    <x v="1"/>
    <x v="0"/>
    <x v="1"/>
    <s v="Road"/>
    <x v="1"/>
    <n v="7.3"/>
    <n v="836"/>
    <n v="6"/>
    <n v="6"/>
    <n v="1"/>
    <n v="0"/>
    <n v="13.46"/>
    <n v="0"/>
    <n v="1"/>
  </r>
  <r>
    <s v="SHP-502640"/>
    <d v="2025-01-02T00:00:00"/>
    <x v="1"/>
    <s v="Q1"/>
    <x v="0"/>
    <x v="3"/>
    <x v="1"/>
    <x v="0"/>
    <x v="0"/>
    <s v="Road"/>
    <x v="0"/>
    <n v="88.9"/>
    <n v="914"/>
    <n v="4"/>
    <n v="3"/>
    <n v="1"/>
    <n v="0"/>
    <n v="70.75"/>
    <n v="0"/>
    <n v="1"/>
  </r>
  <r>
    <s v="SHP-502641"/>
    <d v="2025-01-02T00:00:00"/>
    <x v="1"/>
    <s v="Q1"/>
    <x v="0"/>
    <x v="4"/>
    <x v="0"/>
    <x v="0"/>
    <x v="2"/>
    <s v="Air"/>
    <x v="0"/>
    <n v="112.9"/>
    <n v="850"/>
    <n v="2"/>
    <n v="2"/>
    <n v="1"/>
    <n v="0"/>
    <n v="216.18"/>
    <n v="0"/>
    <n v="1"/>
  </r>
  <r>
    <s v="SHP-502642"/>
    <d v="2025-01-02T00:00:00"/>
    <x v="1"/>
    <s v="Q1"/>
    <x v="0"/>
    <x v="2"/>
    <x v="0"/>
    <x v="2"/>
    <x v="0"/>
    <s v="Road"/>
    <x v="0"/>
    <n v="86.5"/>
    <n v="997"/>
    <n v="5"/>
    <n v="7"/>
    <n v="0"/>
    <n v="2"/>
    <n v="47.4"/>
    <n v="0"/>
    <n v="1"/>
  </r>
  <r>
    <s v="SHP-502643"/>
    <d v="2025-01-02T00:00:00"/>
    <x v="1"/>
    <s v="Q1"/>
    <x v="0"/>
    <x v="0"/>
    <x v="2"/>
    <x v="3"/>
    <x v="1"/>
    <s v="Road"/>
    <x v="1"/>
    <n v="10.1"/>
    <n v="538"/>
    <n v="6"/>
    <n v="6"/>
    <n v="1"/>
    <n v="0"/>
    <n v="14.59"/>
    <n v="0"/>
    <n v="1"/>
  </r>
  <r>
    <s v="SHP-502644"/>
    <d v="2025-01-02T00:00:00"/>
    <x v="1"/>
    <s v="Q1"/>
    <x v="0"/>
    <x v="3"/>
    <x v="1"/>
    <x v="0"/>
    <x v="0"/>
    <s v="Road"/>
    <x v="0"/>
    <n v="157.69999999999999"/>
    <n v="801"/>
    <n v="4"/>
    <n v="4"/>
    <n v="1"/>
    <n v="0"/>
    <n v="89.48"/>
    <n v="0"/>
    <n v="1"/>
  </r>
  <r>
    <s v="SHP-502645"/>
    <d v="2025-01-03T00:00:00"/>
    <x v="1"/>
    <s v="Q1"/>
    <x v="0"/>
    <x v="1"/>
    <x v="0"/>
    <x v="1"/>
    <x v="0"/>
    <s v="Road"/>
    <x v="0"/>
    <n v="30.2"/>
    <n v="327"/>
    <n v="3"/>
    <n v="3"/>
    <n v="1"/>
    <n v="0"/>
    <n v="22.76"/>
    <n v="0"/>
    <n v="1"/>
  </r>
  <r>
    <s v="SHP-502646"/>
    <d v="2025-01-03T00:00:00"/>
    <x v="1"/>
    <s v="Q1"/>
    <x v="0"/>
    <x v="2"/>
    <x v="2"/>
    <x v="2"/>
    <x v="0"/>
    <s v="Road"/>
    <x v="0"/>
    <n v="153.4"/>
    <n v="1159"/>
    <n v="5"/>
    <n v="4"/>
    <n v="1"/>
    <n v="0"/>
    <n v="78.91"/>
    <n v="0"/>
    <n v="1"/>
  </r>
  <r>
    <s v="SHP-502647"/>
    <d v="2025-01-03T00:00:00"/>
    <x v="1"/>
    <s v="Q1"/>
    <x v="0"/>
    <x v="3"/>
    <x v="2"/>
    <x v="3"/>
    <x v="0"/>
    <s v="Road"/>
    <x v="1"/>
    <n v="5"/>
    <n v="380"/>
    <n v="4"/>
    <n v="4"/>
    <n v="1"/>
    <n v="0"/>
    <n v="16.7"/>
    <n v="0"/>
    <n v="1"/>
  </r>
  <r>
    <s v="SHP-502648"/>
    <d v="2025-01-03T00:00:00"/>
    <x v="1"/>
    <s v="Q1"/>
    <x v="0"/>
    <x v="0"/>
    <x v="0"/>
    <x v="1"/>
    <x v="2"/>
    <s v="Road"/>
    <x v="1"/>
    <n v="6.5"/>
    <n v="282"/>
    <n v="1"/>
    <n v="1"/>
    <n v="1"/>
    <n v="0"/>
    <n v="24.37"/>
    <n v="0"/>
    <n v="1"/>
  </r>
  <r>
    <s v="SHP-502649"/>
    <d v="2025-01-03T00:00:00"/>
    <x v="1"/>
    <s v="Q1"/>
    <x v="0"/>
    <x v="3"/>
    <x v="2"/>
    <x v="1"/>
    <x v="0"/>
    <s v="Road"/>
    <x v="0"/>
    <n v="79.3"/>
    <n v="218"/>
    <n v="3"/>
    <n v="3"/>
    <n v="1"/>
    <n v="0"/>
    <n v="54.68"/>
    <n v="0"/>
    <n v="1"/>
  </r>
  <r>
    <s v="SHP-502650"/>
    <d v="2025-01-03T00:00:00"/>
    <x v="1"/>
    <s v="Q1"/>
    <x v="0"/>
    <x v="2"/>
    <x v="2"/>
    <x v="4"/>
    <x v="2"/>
    <s v="Air"/>
    <x v="1"/>
    <n v="4.7"/>
    <n v="1052"/>
    <n v="3"/>
    <n v="2"/>
    <n v="1"/>
    <n v="0"/>
    <n v="60.26"/>
    <n v="0"/>
    <n v="1"/>
  </r>
  <r>
    <s v="SHP-502651"/>
    <d v="2025-01-03T00:00:00"/>
    <x v="1"/>
    <s v="Q1"/>
    <x v="0"/>
    <x v="0"/>
    <x v="2"/>
    <x v="3"/>
    <x v="1"/>
    <s v="Road"/>
    <x v="0"/>
    <n v="58.8"/>
    <n v="507"/>
    <n v="6"/>
    <n v="6"/>
    <n v="1"/>
    <n v="0"/>
    <n v="28.34"/>
    <n v="0"/>
    <n v="1"/>
  </r>
  <r>
    <s v="SHP-502652"/>
    <d v="2025-01-03T00:00:00"/>
    <x v="1"/>
    <s v="Q1"/>
    <x v="0"/>
    <x v="2"/>
    <x v="1"/>
    <x v="1"/>
    <x v="0"/>
    <s v="Road"/>
    <x v="1"/>
    <n v="7.5"/>
    <n v="218"/>
    <n v="3"/>
    <n v="3"/>
    <n v="1"/>
    <n v="0"/>
    <n v="11.71"/>
    <n v="0"/>
    <n v="1"/>
  </r>
  <r>
    <s v="SHP-502653"/>
    <d v="2025-01-03T00:00:00"/>
    <x v="1"/>
    <s v="Q1"/>
    <x v="0"/>
    <x v="2"/>
    <x v="2"/>
    <x v="0"/>
    <x v="0"/>
    <s v="Road"/>
    <x v="1"/>
    <n v="2.2999999999999998"/>
    <n v="816"/>
    <n v="4"/>
    <n v="6"/>
    <n v="0"/>
    <n v="2"/>
    <n v="15.77"/>
    <n v="0"/>
    <n v="1"/>
  </r>
  <r>
    <s v="SHP-502654"/>
    <d v="2025-01-04T00:00:00"/>
    <x v="1"/>
    <s v="Q1"/>
    <x v="0"/>
    <x v="2"/>
    <x v="0"/>
    <x v="0"/>
    <x v="0"/>
    <s v="Road"/>
    <x v="1"/>
    <n v="2.4"/>
    <n v="651"/>
    <n v="4"/>
    <n v="3"/>
    <n v="1"/>
    <n v="0"/>
    <n v="14.4"/>
    <n v="0"/>
    <n v="1"/>
  </r>
  <r>
    <s v="SHP-502655"/>
    <d v="2025-01-04T00:00:00"/>
    <x v="1"/>
    <s v="Q1"/>
    <x v="0"/>
    <x v="4"/>
    <x v="1"/>
    <x v="1"/>
    <x v="2"/>
    <s v="Road"/>
    <x v="0"/>
    <n v="145.9"/>
    <n v="277"/>
    <n v="1"/>
    <n v="1"/>
    <n v="1"/>
    <n v="0"/>
    <n v="126.51"/>
    <n v="0"/>
    <n v="1"/>
  </r>
  <r>
    <s v="SHP-502656"/>
    <d v="2025-01-04T00:00:00"/>
    <x v="1"/>
    <s v="Q1"/>
    <x v="0"/>
    <x v="4"/>
    <x v="2"/>
    <x v="4"/>
    <x v="1"/>
    <s v="Road"/>
    <x v="0"/>
    <n v="63.6"/>
    <n v="968"/>
    <n v="7"/>
    <n v="9"/>
    <n v="0"/>
    <n v="2"/>
    <n v="32.700000000000003"/>
    <n v="0"/>
    <n v="1"/>
  </r>
  <r>
    <s v="SHP-502657"/>
    <d v="2025-01-04T00:00:00"/>
    <x v="1"/>
    <s v="Q1"/>
    <x v="0"/>
    <x v="0"/>
    <x v="2"/>
    <x v="0"/>
    <x v="0"/>
    <s v="Road"/>
    <x v="1"/>
    <n v="10"/>
    <n v="852"/>
    <n v="4"/>
    <n v="4"/>
    <n v="1"/>
    <n v="0"/>
    <n v="22.32"/>
    <n v="0"/>
    <n v="1"/>
  </r>
  <r>
    <s v="SHP-502658"/>
    <d v="2025-01-05T00:00:00"/>
    <x v="1"/>
    <s v="Q1"/>
    <x v="0"/>
    <x v="3"/>
    <x v="2"/>
    <x v="1"/>
    <x v="0"/>
    <s v="Road"/>
    <x v="0"/>
    <n v="180.9"/>
    <n v="314"/>
    <n v="3"/>
    <n v="3"/>
    <n v="1"/>
    <n v="0"/>
    <n v="96.72"/>
    <n v="0"/>
    <n v="1"/>
  </r>
  <r>
    <s v="SHP-502659"/>
    <d v="2025-01-05T00:00:00"/>
    <x v="1"/>
    <s v="Q1"/>
    <x v="0"/>
    <x v="3"/>
    <x v="1"/>
    <x v="1"/>
    <x v="0"/>
    <s v="Road"/>
    <x v="1"/>
    <n v="9"/>
    <n v="278"/>
    <n v="3"/>
    <n v="2"/>
    <n v="1"/>
    <n v="0"/>
    <n v="16.43"/>
    <n v="0"/>
    <n v="1"/>
  </r>
  <r>
    <s v="SHP-502660"/>
    <d v="2025-01-05T00:00:00"/>
    <x v="1"/>
    <s v="Q1"/>
    <x v="0"/>
    <x v="3"/>
    <x v="1"/>
    <x v="4"/>
    <x v="0"/>
    <s v="Road"/>
    <x v="1"/>
    <n v="6.9"/>
    <n v="1207"/>
    <n v="5"/>
    <n v="5"/>
    <n v="1"/>
    <n v="0"/>
    <n v="28.01"/>
    <n v="0"/>
    <n v="1"/>
  </r>
  <r>
    <s v="SHP-502661"/>
    <d v="2025-01-05T00:00:00"/>
    <x v="1"/>
    <s v="Q1"/>
    <x v="0"/>
    <x v="3"/>
    <x v="2"/>
    <x v="3"/>
    <x v="2"/>
    <s v="Road"/>
    <x v="1"/>
    <n v="2.2000000000000002"/>
    <n v="525"/>
    <n v="2"/>
    <n v="1"/>
    <n v="1"/>
    <n v="0"/>
    <n v="29.34"/>
    <n v="0"/>
    <n v="1"/>
  </r>
  <r>
    <s v="SHP-502662"/>
    <d v="2025-01-06T00:00:00"/>
    <x v="1"/>
    <s v="Q1"/>
    <x v="0"/>
    <x v="3"/>
    <x v="2"/>
    <x v="3"/>
    <x v="0"/>
    <s v="Road"/>
    <x v="1"/>
    <n v="5.5"/>
    <n v="466"/>
    <n v="4"/>
    <n v="4"/>
    <n v="1"/>
    <n v="0"/>
    <n v="16.29"/>
    <n v="0"/>
    <n v="1"/>
  </r>
  <r>
    <s v="SHP-502663"/>
    <d v="2025-01-06T00:00:00"/>
    <x v="1"/>
    <s v="Q1"/>
    <x v="0"/>
    <x v="1"/>
    <x v="2"/>
    <x v="1"/>
    <x v="0"/>
    <s v="Road"/>
    <x v="0"/>
    <n v="44.7"/>
    <n v="287"/>
    <n v="3"/>
    <n v="6"/>
    <n v="0"/>
    <n v="3"/>
    <n v="32.409999999999997"/>
    <n v="0"/>
    <n v="1"/>
  </r>
  <r>
    <s v="SHP-502664"/>
    <d v="2025-01-06T00:00:00"/>
    <x v="1"/>
    <s v="Q1"/>
    <x v="0"/>
    <x v="4"/>
    <x v="0"/>
    <x v="0"/>
    <x v="0"/>
    <s v="Road"/>
    <x v="1"/>
    <n v="10"/>
    <n v="877"/>
    <n v="4"/>
    <n v="3"/>
    <n v="1"/>
    <n v="0"/>
    <n v="24.13"/>
    <n v="0"/>
    <n v="1"/>
  </r>
  <r>
    <s v="SHP-502665"/>
    <d v="2025-01-06T00:00:00"/>
    <x v="1"/>
    <s v="Q1"/>
    <x v="0"/>
    <x v="0"/>
    <x v="2"/>
    <x v="2"/>
    <x v="2"/>
    <s v="Air"/>
    <x v="1"/>
    <n v="0.8"/>
    <n v="1203"/>
    <n v="3"/>
    <n v="3"/>
    <n v="1"/>
    <n v="0"/>
    <n v="62.5"/>
    <n v="0"/>
    <n v="1"/>
  </r>
  <r>
    <s v="SHP-502666"/>
    <d v="2025-01-06T00:00:00"/>
    <x v="1"/>
    <s v="Q1"/>
    <x v="0"/>
    <x v="3"/>
    <x v="1"/>
    <x v="4"/>
    <x v="2"/>
    <s v="Air"/>
    <x v="0"/>
    <n v="276.2"/>
    <n v="1010"/>
    <n v="3"/>
    <n v="2"/>
    <n v="1"/>
    <n v="0"/>
    <n v="425.86"/>
    <n v="0"/>
    <n v="1"/>
  </r>
  <r>
    <s v="SHP-502667"/>
    <d v="2025-01-06T00:00:00"/>
    <x v="1"/>
    <s v="Q1"/>
    <x v="0"/>
    <x v="4"/>
    <x v="1"/>
    <x v="3"/>
    <x v="1"/>
    <s v="Road"/>
    <x v="0"/>
    <n v="78.3"/>
    <n v="516"/>
    <n v="6"/>
    <n v="5"/>
    <n v="1"/>
    <n v="0"/>
    <n v="33.869999999999997"/>
    <n v="0"/>
    <n v="1"/>
  </r>
  <r>
    <s v="SHP-502668"/>
    <d v="2025-01-06T00:00:00"/>
    <x v="1"/>
    <s v="Q1"/>
    <x v="0"/>
    <x v="1"/>
    <x v="1"/>
    <x v="1"/>
    <x v="2"/>
    <s v="Road"/>
    <x v="1"/>
    <n v="9.8000000000000007"/>
    <n v="295"/>
    <n v="1"/>
    <n v="3"/>
    <n v="0"/>
    <n v="2"/>
    <n v="35.4"/>
    <n v="0"/>
    <n v="1"/>
  </r>
  <r>
    <s v="SHP-502669"/>
    <d v="2025-01-06T00:00:00"/>
    <x v="1"/>
    <s v="Q1"/>
    <x v="0"/>
    <x v="3"/>
    <x v="1"/>
    <x v="3"/>
    <x v="0"/>
    <s v="Road"/>
    <x v="1"/>
    <n v="4.7"/>
    <n v="394"/>
    <n v="4"/>
    <n v="3"/>
    <n v="1"/>
    <n v="0"/>
    <n v="15.26"/>
    <n v="0"/>
    <n v="1"/>
  </r>
  <r>
    <s v="SHP-502670"/>
    <d v="2025-01-06T00:00:00"/>
    <x v="1"/>
    <s v="Q1"/>
    <x v="0"/>
    <x v="4"/>
    <x v="1"/>
    <x v="3"/>
    <x v="1"/>
    <s v="Road"/>
    <x v="1"/>
    <n v="19.8"/>
    <n v="584"/>
    <n v="6"/>
    <n v="5"/>
    <n v="1"/>
    <n v="0"/>
    <n v="18.809999999999999"/>
    <n v="0"/>
    <n v="1"/>
  </r>
  <r>
    <s v="SHP-502671"/>
    <d v="2025-01-06T00:00:00"/>
    <x v="1"/>
    <s v="Q1"/>
    <x v="0"/>
    <x v="4"/>
    <x v="2"/>
    <x v="0"/>
    <x v="0"/>
    <s v="Road"/>
    <x v="1"/>
    <n v="8.6"/>
    <n v="684"/>
    <n v="4"/>
    <n v="3"/>
    <n v="1"/>
    <n v="0"/>
    <n v="21.61"/>
    <n v="0"/>
    <n v="1"/>
  </r>
  <r>
    <s v="SHP-502672"/>
    <d v="2025-01-07T00:00:00"/>
    <x v="1"/>
    <s v="Q1"/>
    <x v="0"/>
    <x v="4"/>
    <x v="0"/>
    <x v="2"/>
    <x v="0"/>
    <s v="Road"/>
    <x v="0"/>
    <n v="35.299999999999997"/>
    <n v="1009"/>
    <n v="5"/>
    <n v="4"/>
    <n v="1"/>
    <n v="0"/>
    <n v="36.700000000000003"/>
    <n v="0"/>
    <n v="1"/>
  </r>
  <r>
    <s v="SHP-502673"/>
    <d v="2025-01-07T00:00:00"/>
    <x v="1"/>
    <s v="Q1"/>
    <x v="0"/>
    <x v="1"/>
    <x v="2"/>
    <x v="1"/>
    <x v="0"/>
    <s v="Road"/>
    <x v="0"/>
    <n v="45.7"/>
    <n v="131"/>
    <n v="3"/>
    <n v="3"/>
    <n v="1"/>
    <n v="0"/>
    <n v="27.98"/>
    <n v="0"/>
    <n v="1"/>
  </r>
  <r>
    <s v="SHP-502674"/>
    <d v="2025-01-07T00:00:00"/>
    <x v="1"/>
    <s v="Q1"/>
    <x v="0"/>
    <x v="1"/>
    <x v="2"/>
    <x v="4"/>
    <x v="1"/>
    <s v="Road"/>
    <x v="1"/>
    <n v="8.6"/>
    <n v="724"/>
    <n v="7"/>
    <n v="9"/>
    <n v="0"/>
    <n v="2"/>
    <n v="15.44"/>
    <n v="0"/>
    <n v="1"/>
  </r>
  <r>
    <s v="SHP-502675"/>
    <d v="2025-01-07T00:00:00"/>
    <x v="1"/>
    <s v="Q1"/>
    <x v="0"/>
    <x v="3"/>
    <x v="2"/>
    <x v="0"/>
    <x v="0"/>
    <s v="Road"/>
    <x v="0"/>
    <n v="100.5"/>
    <n v="922"/>
    <n v="4"/>
    <n v="4"/>
    <n v="1"/>
    <n v="0"/>
    <n v="73.92"/>
    <n v="0"/>
    <n v="1"/>
  </r>
  <r>
    <s v="SHP-502676"/>
    <d v="2025-01-07T00:00:00"/>
    <x v="1"/>
    <s v="Q1"/>
    <x v="0"/>
    <x v="2"/>
    <x v="1"/>
    <x v="3"/>
    <x v="2"/>
    <s v="Road"/>
    <x v="1"/>
    <n v="3.7"/>
    <n v="481"/>
    <n v="2"/>
    <n v="2"/>
    <n v="1"/>
    <n v="0"/>
    <n v="23.06"/>
    <n v="0"/>
    <n v="1"/>
  </r>
  <r>
    <s v="SHP-502677"/>
    <d v="2025-01-07T00:00:00"/>
    <x v="1"/>
    <s v="Q1"/>
    <x v="0"/>
    <x v="3"/>
    <x v="1"/>
    <x v="3"/>
    <x v="0"/>
    <s v="Road"/>
    <x v="1"/>
    <n v="14.6"/>
    <n v="490"/>
    <n v="4"/>
    <n v="4"/>
    <n v="1"/>
    <n v="0"/>
    <n v="24.48"/>
    <n v="0"/>
    <n v="1"/>
  </r>
  <r>
    <s v="SHP-502678"/>
    <d v="2025-01-07T00:00:00"/>
    <x v="1"/>
    <s v="Q1"/>
    <x v="0"/>
    <x v="2"/>
    <x v="2"/>
    <x v="3"/>
    <x v="0"/>
    <s v="Road"/>
    <x v="1"/>
    <n v="6.6"/>
    <n v="441"/>
    <n v="4"/>
    <n v="5"/>
    <n v="0"/>
    <n v="1"/>
    <n v="13.9"/>
    <n v="0"/>
    <n v="1"/>
  </r>
  <r>
    <s v="SHP-502679"/>
    <d v="2025-01-07T00:00:00"/>
    <x v="1"/>
    <s v="Q1"/>
    <x v="0"/>
    <x v="1"/>
    <x v="1"/>
    <x v="2"/>
    <x v="1"/>
    <s v="Road"/>
    <x v="1"/>
    <n v="21.2"/>
    <n v="964"/>
    <n v="7"/>
    <n v="7"/>
    <n v="1"/>
    <n v="0"/>
    <n v="20.43"/>
    <n v="0"/>
    <n v="1"/>
  </r>
  <r>
    <s v="SHP-502680"/>
    <d v="2025-01-07T00:00:00"/>
    <x v="1"/>
    <s v="Q1"/>
    <x v="0"/>
    <x v="4"/>
    <x v="1"/>
    <x v="2"/>
    <x v="0"/>
    <s v="Road"/>
    <x v="0"/>
    <n v="108.1"/>
    <n v="1208"/>
    <n v="5"/>
    <n v="5"/>
    <n v="1"/>
    <n v="0"/>
    <n v="68.5"/>
    <n v="0"/>
    <n v="1"/>
  </r>
  <r>
    <s v="SHP-502681"/>
    <d v="2025-01-07T00:00:00"/>
    <x v="1"/>
    <s v="Q1"/>
    <x v="0"/>
    <x v="2"/>
    <x v="1"/>
    <x v="2"/>
    <x v="1"/>
    <s v="Road"/>
    <x v="1"/>
    <n v="1.1000000000000001"/>
    <n v="1097"/>
    <n v="7"/>
    <n v="7"/>
    <n v="1"/>
    <n v="0"/>
    <n v="12.91"/>
    <n v="0"/>
    <n v="1"/>
  </r>
  <r>
    <s v="SHP-502682"/>
    <d v="2025-01-07T00:00:00"/>
    <x v="1"/>
    <s v="Q1"/>
    <x v="0"/>
    <x v="2"/>
    <x v="2"/>
    <x v="2"/>
    <x v="0"/>
    <s v="Road"/>
    <x v="1"/>
    <n v="17.2"/>
    <n v="1255"/>
    <n v="5"/>
    <n v="5"/>
    <n v="1"/>
    <n v="0"/>
    <n v="26.83"/>
    <n v="0"/>
    <n v="1"/>
  </r>
  <r>
    <s v="SHP-502683"/>
    <d v="2025-01-08T00:00:00"/>
    <x v="1"/>
    <s v="Q1"/>
    <x v="0"/>
    <x v="0"/>
    <x v="0"/>
    <x v="1"/>
    <x v="1"/>
    <s v="Road"/>
    <x v="0"/>
    <n v="106.5"/>
    <n v="211"/>
    <n v="5"/>
    <n v="5"/>
    <n v="1"/>
    <n v="0"/>
    <n v="36.26"/>
    <n v="0"/>
    <n v="1"/>
  </r>
  <r>
    <s v="SHP-502684"/>
    <d v="2025-01-08T00:00:00"/>
    <x v="1"/>
    <s v="Q1"/>
    <x v="0"/>
    <x v="3"/>
    <x v="2"/>
    <x v="1"/>
    <x v="2"/>
    <s v="Road"/>
    <x v="1"/>
    <n v="7.8"/>
    <n v="228"/>
    <n v="1"/>
    <n v="1"/>
    <n v="1"/>
    <n v="0"/>
    <n v="30.9"/>
    <n v="0"/>
    <n v="1"/>
  </r>
  <r>
    <s v="SHP-502685"/>
    <d v="2025-01-08T00:00:00"/>
    <x v="1"/>
    <s v="Q1"/>
    <x v="0"/>
    <x v="2"/>
    <x v="2"/>
    <x v="1"/>
    <x v="2"/>
    <s v="Road"/>
    <x v="0"/>
    <n v="186.6"/>
    <n v="267"/>
    <n v="1"/>
    <n v="1"/>
    <n v="1"/>
    <n v="0"/>
    <n v="128.83000000000001"/>
    <n v="0"/>
    <n v="1"/>
  </r>
  <r>
    <s v="SHP-502686"/>
    <d v="2025-01-08T00:00:00"/>
    <x v="1"/>
    <s v="Q1"/>
    <x v="0"/>
    <x v="0"/>
    <x v="2"/>
    <x v="0"/>
    <x v="1"/>
    <s v="Road"/>
    <x v="1"/>
    <n v="6.4"/>
    <n v="883"/>
    <n v="6"/>
    <n v="6"/>
    <n v="1"/>
    <n v="0"/>
    <n v="13.98"/>
    <n v="0"/>
    <n v="1"/>
  </r>
  <r>
    <s v="SHP-502687"/>
    <d v="2025-01-08T00:00:00"/>
    <x v="1"/>
    <s v="Q1"/>
    <x v="0"/>
    <x v="1"/>
    <x v="1"/>
    <x v="3"/>
    <x v="1"/>
    <s v="Road"/>
    <x v="0"/>
    <n v="80.5"/>
    <n v="475"/>
    <n v="6"/>
    <n v="8"/>
    <n v="0"/>
    <n v="2"/>
    <n v="37.75"/>
    <n v="0"/>
    <n v="1"/>
  </r>
  <r>
    <s v="SHP-502688"/>
    <d v="2025-01-08T00:00:00"/>
    <x v="1"/>
    <s v="Q1"/>
    <x v="0"/>
    <x v="2"/>
    <x v="1"/>
    <x v="1"/>
    <x v="2"/>
    <s v="Road"/>
    <x v="0"/>
    <n v="140.80000000000001"/>
    <n v="291"/>
    <n v="1"/>
    <n v="1"/>
    <n v="1"/>
    <n v="0"/>
    <n v="115.58"/>
    <n v="0"/>
    <n v="1"/>
  </r>
  <r>
    <s v="SHP-502689"/>
    <d v="2025-01-08T00:00:00"/>
    <x v="1"/>
    <s v="Q1"/>
    <x v="0"/>
    <x v="1"/>
    <x v="2"/>
    <x v="1"/>
    <x v="0"/>
    <s v="Road"/>
    <x v="1"/>
    <n v="6"/>
    <n v="229"/>
    <n v="3"/>
    <n v="3"/>
    <n v="1"/>
    <n v="0"/>
    <n v="13.17"/>
    <n v="0"/>
    <n v="1"/>
  </r>
  <r>
    <s v="SHP-502690"/>
    <d v="2025-01-08T00:00:00"/>
    <x v="1"/>
    <s v="Q1"/>
    <x v="0"/>
    <x v="0"/>
    <x v="2"/>
    <x v="0"/>
    <x v="0"/>
    <s v="Road"/>
    <x v="0"/>
    <n v="142.4"/>
    <n v="928"/>
    <n v="4"/>
    <n v="4"/>
    <n v="1"/>
    <n v="0"/>
    <n v="80.03"/>
    <n v="0"/>
    <n v="1"/>
  </r>
  <r>
    <s v="SHP-502691"/>
    <d v="2025-01-08T00:00:00"/>
    <x v="1"/>
    <s v="Q1"/>
    <x v="0"/>
    <x v="1"/>
    <x v="1"/>
    <x v="1"/>
    <x v="0"/>
    <s v="Road"/>
    <x v="0"/>
    <n v="192.3"/>
    <n v="283"/>
    <n v="3"/>
    <n v="3"/>
    <n v="1"/>
    <n v="0"/>
    <n v="90.24"/>
    <n v="0"/>
    <n v="1"/>
  </r>
  <r>
    <s v="SHP-502692"/>
    <d v="2025-01-08T00:00:00"/>
    <x v="1"/>
    <s v="Q1"/>
    <x v="0"/>
    <x v="0"/>
    <x v="0"/>
    <x v="0"/>
    <x v="0"/>
    <s v="Road"/>
    <x v="0"/>
    <n v="13.6"/>
    <n v="943"/>
    <n v="4"/>
    <n v="4"/>
    <n v="1"/>
    <n v="0"/>
    <n v="24.38"/>
    <n v="0"/>
    <n v="1"/>
  </r>
  <r>
    <s v="SHP-502693"/>
    <d v="2025-01-09T00:00:00"/>
    <x v="1"/>
    <s v="Q1"/>
    <x v="0"/>
    <x v="2"/>
    <x v="1"/>
    <x v="3"/>
    <x v="0"/>
    <s v="Road"/>
    <x v="1"/>
    <n v="7.2"/>
    <n v="462"/>
    <n v="4"/>
    <n v="4"/>
    <n v="1"/>
    <n v="0"/>
    <n v="14.67"/>
    <n v="0"/>
    <n v="1"/>
  </r>
  <r>
    <s v="SHP-502694"/>
    <d v="2025-01-09T00:00:00"/>
    <x v="1"/>
    <s v="Q1"/>
    <x v="0"/>
    <x v="3"/>
    <x v="0"/>
    <x v="4"/>
    <x v="0"/>
    <s v="Road"/>
    <x v="0"/>
    <n v="72.900000000000006"/>
    <n v="925"/>
    <n v="5"/>
    <n v="5"/>
    <n v="1"/>
    <n v="0"/>
    <n v="57.27"/>
    <n v="0"/>
    <n v="1"/>
  </r>
  <r>
    <s v="SHP-502695"/>
    <d v="2025-01-09T00:00:00"/>
    <x v="1"/>
    <s v="Q1"/>
    <x v="0"/>
    <x v="3"/>
    <x v="1"/>
    <x v="1"/>
    <x v="0"/>
    <s v="Road"/>
    <x v="1"/>
    <n v="2.4"/>
    <n v="271"/>
    <n v="3"/>
    <n v="3"/>
    <n v="1"/>
    <n v="0"/>
    <n v="12.26"/>
    <n v="0"/>
    <n v="1"/>
  </r>
  <r>
    <s v="SHP-502696"/>
    <d v="2025-01-09T00:00:00"/>
    <x v="1"/>
    <s v="Q1"/>
    <x v="0"/>
    <x v="3"/>
    <x v="2"/>
    <x v="0"/>
    <x v="2"/>
    <s v="Air"/>
    <x v="1"/>
    <n v="13.8"/>
    <n v="864"/>
    <n v="2"/>
    <n v="2"/>
    <n v="1"/>
    <n v="0"/>
    <n v="84.85"/>
    <n v="0"/>
    <n v="1"/>
  </r>
  <r>
    <s v="SHP-502697"/>
    <d v="2025-01-09T00:00:00"/>
    <x v="1"/>
    <s v="Q1"/>
    <x v="0"/>
    <x v="4"/>
    <x v="0"/>
    <x v="4"/>
    <x v="2"/>
    <s v="Air"/>
    <x v="1"/>
    <n v="2.2000000000000002"/>
    <n v="858"/>
    <n v="3"/>
    <n v="3"/>
    <n v="1"/>
    <n v="0"/>
    <n v="49.87"/>
    <n v="0"/>
    <n v="1"/>
  </r>
  <r>
    <s v="SHP-502698"/>
    <d v="2025-01-09T00:00:00"/>
    <x v="1"/>
    <s v="Q1"/>
    <x v="0"/>
    <x v="3"/>
    <x v="2"/>
    <x v="0"/>
    <x v="1"/>
    <s v="Road"/>
    <x v="0"/>
    <n v="173.2"/>
    <n v="1041"/>
    <n v="6"/>
    <n v="6"/>
    <n v="1"/>
    <n v="0"/>
    <n v="64.64"/>
    <n v="0"/>
    <n v="1"/>
  </r>
  <r>
    <s v="SHP-502699"/>
    <d v="2025-01-09T00:00:00"/>
    <x v="1"/>
    <s v="Q1"/>
    <x v="0"/>
    <x v="3"/>
    <x v="2"/>
    <x v="1"/>
    <x v="0"/>
    <s v="Road"/>
    <x v="1"/>
    <n v="15.9"/>
    <n v="226"/>
    <n v="3"/>
    <n v="3"/>
    <n v="1"/>
    <n v="0"/>
    <n v="20.68"/>
    <n v="0"/>
    <n v="1"/>
  </r>
  <r>
    <s v="SHP-502700"/>
    <d v="2025-01-09T00:00:00"/>
    <x v="1"/>
    <s v="Q1"/>
    <x v="0"/>
    <x v="0"/>
    <x v="2"/>
    <x v="2"/>
    <x v="2"/>
    <s v="Air"/>
    <x v="1"/>
    <n v="2.9"/>
    <n v="1238"/>
    <n v="3"/>
    <n v="3"/>
    <n v="1"/>
    <n v="0"/>
    <n v="62.11"/>
    <n v="0"/>
    <n v="1"/>
  </r>
  <r>
    <s v="SHP-502701"/>
    <d v="2025-01-10T00:00:00"/>
    <x v="1"/>
    <s v="Q1"/>
    <x v="0"/>
    <x v="0"/>
    <x v="0"/>
    <x v="3"/>
    <x v="0"/>
    <s v="Road"/>
    <x v="0"/>
    <n v="23.5"/>
    <n v="523"/>
    <n v="4"/>
    <n v="5"/>
    <n v="0"/>
    <n v="1"/>
    <n v="23.22"/>
    <n v="0"/>
    <n v="1"/>
  </r>
  <r>
    <s v="SHP-502702"/>
    <d v="2025-01-10T00:00:00"/>
    <x v="1"/>
    <s v="Q1"/>
    <x v="0"/>
    <x v="0"/>
    <x v="2"/>
    <x v="0"/>
    <x v="1"/>
    <s v="Road"/>
    <x v="0"/>
    <n v="158.9"/>
    <n v="855"/>
    <n v="6"/>
    <n v="6"/>
    <n v="1"/>
    <n v="0"/>
    <n v="61.65"/>
    <n v="0"/>
    <n v="1"/>
  </r>
  <r>
    <s v="SHP-502703"/>
    <d v="2025-01-10T00:00:00"/>
    <x v="1"/>
    <s v="Q1"/>
    <x v="0"/>
    <x v="3"/>
    <x v="0"/>
    <x v="3"/>
    <x v="1"/>
    <s v="Road"/>
    <x v="1"/>
    <n v="2.6"/>
    <n v="522"/>
    <n v="6"/>
    <n v="5"/>
    <n v="1"/>
    <n v="0"/>
    <n v="11.07"/>
    <n v="0"/>
    <n v="1"/>
  </r>
  <r>
    <s v="SHP-502704"/>
    <d v="2025-01-10T00:00:00"/>
    <x v="1"/>
    <s v="Q1"/>
    <x v="0"/>
    <x v="2"/>
    <x v="1"/>
    <x v="3"/>
    <x v="2"/>
    <s v="Road"/>
    <x v="0"/>
    <n v="145.9"/>
    <n v="522"/>
    <n v="2"/>
    <n v="2"/>
    <n v="1"/>
    <n v="0"/>
    <n v="122.72"/>
    <n v="0"/>
    <n v="1"/>
  </r>
  <r>
    <s v="SHP-502705"/>
    <d v="2025-01-10T00:00:00"/>
    <x v="1"/>
    <s v="Q1"/>
    <x v="0"/>
    <x v="0"/>
    <x v="1"/>
    <x v="0"/>
    <x v="0"/>
    <s v="Road"/>
    <x v="1"/>
    <n v="8.3000000000000007"/>
    <n v="790"/>
    <n v="4"/>
    <n v="3"/>
    <n v="1"/>
    <n v="0"/>
    <n v="22.2"/>
    <n v="0"/>
    <n v="1"/>
  </r>
  <r>
    <s v="SHP-502706"/>
    <d v="2025-01-10T00:00:00"/>
    <x v="1"/>
    <s v="Q1"/>
    <x v="0"/>
    <x v="4"/>
    <x v="1"/>
    <x v="0"/>
    <x v="0"/>
    <s v="Road"/>
    <x v="1"/>
    <n v="1.8"/>
    <n v="1059"/>
    <n v="4"/>
    <n v="4"/>
    <n v="1"/>
    <n v="0"/>
    <n v="21.89"/>
    <n v="0"/>
    <n v="1"/>
  </r>
  <r>
    <s v="SHP-502707"/>
    <d v="2025-01-10T00:00:00"/>
    <x v="1"/>
    <s v="Q1"/>
    <x v="0"/>
    <x v="4"/>
    <x v="2"/>
    <x v="0"/>
    <x v="0"/>
    <s v="Road"/>
    <x v="1"/>
    <n v="4"/>
    <n v="888"/>
    <n v="4"/>
    <n v="4"/>
    <n v="1"/>
    <n v="0"/>
    <n v="21.79"/>
    <n v="0"/>
    <n v="1"/>
  </r>
  <r>
    <s v="SHP-502708"/>
    <d v="2025-01-10T00:00:00"/>
    <x v="1"/>
    <s v="Q1"/>
    <x v="0"/>
    <x v="4"/>
    <x v="2"/>
    <x v="1"/>
    <x v="0"/>
    <s v="Road"/>
    <x v="0"/>
    <n v="37.299999999999997"/>
    <n v="233"/>
    <n v="3"/>
    <n v="6"/>
    <n v="0"/>
    <n v="3"/>
    <n v="26.03"/>
    <n v="0"/>
    <n v="1"/>
  </r>
  <r>
    <s v="SHP-502709"/>
    <d v="2025-01-10T00:00:00"/>
    <x v="1"/>
    <s v="Q1"/>
    <x v="0"/>
    <x v="2"/>
    <x v="0"/>
    <x v="0"/>
    <x v="2"/>
    <s v="Air"/>
    <x v="0"/>
    <n v="74.5"/>
    <n v="924"/>
    <n v="2"/>
    <n v="5"/>
    <n v="0"/>
    <n v="3"/>
    <n v="135.94"/>
    <n v="0"/>
    <n v="1"/>
  </r>
  <r>
    <s v="SHP-502710"/>
    <d v="2025-01-11T00:00:00"/>
    <x v="1"/>
    <s v="Q1"/>
    <x v="0"/>
    <x v="0"/>
    <x v="0"/>
    <x v="0"/>
    <x v="2"/>
    <s v="Air"/>
    <x v="1"/>
    <n v="4.4000000000000004"/>
    <n v="965"/>
    <n v="2"/>
    <n v="2"/>
    <n v="1"/>
    <n v="0"/>
    <n v="59.86"/>
    <n v="0"/>
    <n v="1"/>
  </r>
  <r>
    <s v="SHP-502711"/>
    <d v="2025-01-11T00:00:00"/>
    <x v="1"/>
    <s v="Q1"/>
    <x v="0"/>
    <x v="4"/>
    <x v="0"/>
    <x v="4"/>
    <x v="0"/>
    <s v="Road"/>
    <x v="1"/>
    <n v="2"/>
    <n v="949"/>
    <n v="5"/>
    <n v="5"/>
    <n v="1"/>
    <n v="0"/>
    <n v="19.87"/>
    <n v="0"/>
    <n v="1"/>
  </r>
  <r>
    <s v="SHP-502712"/>
    <d v="2025-01-11T00:00:00"/>
    <x v="1"/>
    <s v="Q1"/>
    <x v="0"/>
    <x v="3"/>
    <x v="1"/>
    <x v="1"/>
    <x v="0"/>
    <s v="Road"/>
    <x v="0"/>
    <n v="43.8"/>
    <n v="214"/>
    <n v="3"/>
    <n v="3"/>
    <n v="1"/>
    <n v="0"/>
    <n v="34.36"/>
    <n v="0"/>
    <n v="1"/>
  </r>
  <r>
    <s v="SHP-502713"/>
    <d v="2025-01-11T00:00:00"/>
    <x v="1"/>
    <s v="Q1"/>
    <x v="0"/>
    <x v="0"/>
    <x v="1"/>
    <x v="3"/>
    <x v="0"/>
    <s v="Road"/>
    <x v="1"/>
    <n v="20.3"/>
    <n v="522"/>
    <n v="4"/>
    <n v="4"/>
    <n v="1"/>
    <n v="0"/>
    <n v="22.46"/>
    <n v="0"/>
    <n v="1"/>
  </r>
  <r>
    <s v="SHP-502714"/>
    <d v="2025-01-11T00:00:00"/>
    <x v="1"/>
    <s v="Q1"/>
    <x v="0"/>
    <x v="0"/>
    <x v="2"/>
    <x v="1"/>
    <x v="0"/>
    <s v="Road"/>
    <x v="1"/>
    <n v="2.1"/>
    <n v="210"/>
    <n v="3"/>
    <n v="3"/>
    <n v="1"/>
    <n v="0"/>
    <n v="8.89"/>
    <n v="0"/>
    <n v="1"/>
  </r>
  <r>
    <s v="SHP-502715"/>
    <d v="2025-01-11T00:00:00"/>
    <x v="1"/>
    <s v="Q1"/>
    <x v="0"/>
    <x v="3"/>
    <x v="2"/>
    <x v="2"/>
    <x v="2"/>
    <s v="Air"/>
    <x v="0"/>
    <n v="119.5"/>
    <n v="1266"/>
    <n v="3"/>
    <n v="3"/>
    <n v="1"/>
    <n v="0"/>
    <n v="244.19"/>
    <n v="0"/>
    <n v="1"/>
  </r>
  <r>
    <s v="SHP-502716"/>
    <d v="2025-01-12T00:00:00"/>
    <x v="1"/>
    <s v="Q1"/>
    <x v="0"/>
    <x v="4"/>
    <x v="1"/>
    <x v="4"/>
    <x v="0"/>
    <s v="Road"/>
    <x v="1"/>
    <n v="11.4"/>
    <n v="1017"/>
    <n v="5"/>
    <n v="8"/>
    <n v="0"/>
    <n v="3"/>
    <n v="25.31"/>
    <n v="0"/>
    <n v="1"/>
  </r>
  <r>
    <s v="SHP-502717"/>
    <d v="2025-01-12T00:00:00"/>
    <x v="1"/>
    <s v="Q1"/>
    <x v="0"/>
    <x v="2"/>
    <x v="1"/>
    <x v="3"/>
    <x v="1"/>
    <s v="Road"/>
    <x v="1"/>
    <n v="5.4"/>
    <n v="530"/>
    <n v="6"/>
    <n v="6"/>
    <n v="1"/>
    <n v="0"/>
    <n v="9.5"/>
    <n v="0"/>
    <n v="1"/>
  </r>
  <r>
    <s v="SHP-502718"/>
    <d v="2025-01-12T00:00:00"/>
    <x v="1"/>
    <s v="Q1"/>
    <x v="0"/>
    <x v="3"/>
    <x v="2"/>
    <x v="0"/>
    <x v="0"/>
    <s v="Road"/>
    <x v="1"/>
    <n v="7.2"/>
    <n v="922"/>
    <n v="4"/>
    <n v="4"/>
    <n v="1"/>
    <n v="0"/>
    <n v="23.55"/>
    <n v="0"/>
    <n v="1"/>
  </r>
  <r>
    <s v="SHP-502719"/>
    <d v="2025-01-12T00:00:00"/>
    <x v="1"/>
    <s v="Q1"/>
    <x v="0"/>
    <x v="3"/>
    <x v="1"/>
    <x v="1"/>
    <x v="2"/>
    <s v="Road"/>
    <x v="0"/>
    <n v="173"/>
    <n v="229"/>
    <n v="1"/>
    <n v="1"/>
    <n v="1"/>
    <n v="0"/>
    <n v="187.44"/>
    <n v="0"/>
    <n v="1"/>
  </r>
  <r>
    <s v="SHP-502720"/>
    <d v="2025-01-12T00:00:00"/>
    <x v="1"/>
    <s v="Q1"/>
    <x v="0"/>
    <x v="1"/>
    <x v="2"/>
    <x v="4"/>
    <x v="2"/>
    <s v="Air"/>
    <x v="0"/>
    <n v="43.1"/>
    <n v="1152"/>
    <n v="3"/>
    <n v="2"/>
    <n v="1"/>
    <n v="0"/>
    <n v="140.97999999999999"/>
    <n v="0"/>
    <n v="1"/>
  </r>
  <r>
    <s v="SHP-502721"/>
    <d v="2025-01-12T00:00:00"/>
    <x v="1"/>
    <s v="Q1"/>
    <x v="0"/>
    <x v="0"/>
    <x v="1"/>
    <x v="3"/>
    <x v="0"/>
    <s v="Road"/>
    <x v="1"/>
    <n v="6.6"/>
    <n v="427"/>
    <n v="4"/>
    <n v="4"/>
    <n v="1"/>
    <n v="0"/>
    <n v="16.04"/>
    <n v="0"/>
    <n v="1"/>
  </r>
  <r>
    <s v="SHP-502722"/>
    <d v="2025-01-12T00:00:00"/>
    <x v="1"/>
    <s v="Q1"/>
    <x v="0"/>
    <x v="0"/>
    <x v="2"/>
    <x v="2"/>
    <x v="1"/>
    <s v="Road"/>
    <x v="1"/>
    <n v="4.2"/>
    <n v="1272"/>
    <n v="7"/>
    <n v="7"/>
    <n v="1"/>
    <n v="0"/>
    <n v="15.44"/>
    <n v="0"/>
    <n v="1"/>
  </r>
  <r>
    <s v="SHP-502723"/>
    <d v="2025-01-13T00:00:00"/>
    <x v="1"/>
    <s v="Q1"/>
    <x v="0"/>
    <x v="0"/>
    <x v="0"/>
    <x v="1"/>
    <x v="2"/>
    <s v="Road"/>
    <x v="0"/>
    <n v="202.9"/>
    <n v="306"/>
    <n v="1"/>
    <n v="1"/>
    <n v="1"/>
    <n v="0"/>
    <n v="172.37"/>
    <n v="0"/>
    <n v="1"/>
  </r>
  <r>
    <s v="SHP-502724"/>
    <d v="2025-01-13T00:00:00"/>
    <x v="1"/>
    <s v="Q1"/>
    <x v="0"/>
    <x v="4"/>
    <x v="1"/>
    <x v="2"/>
    <x v="2"/>
    <s v="Air"/>
    <x v="1"/>
    <n v="16.8"/>
    <n v="1362"/>
    <n v="3"/>
    <n v="3"/>
    <n v="1"/>
    <n v="0"/>
    <n v="95.24"/>
    <n v="0"/>
    <n v="1"/>
  </r>
  <r>
    <s v="SHP-502725"/>
    <d v="2025-01-13T00:00:00"/>
    <x v="1"/>
    <s v="Q1"/>
    <x v="0"/>
    <x v="2"/>
    <x v="2"/>
    <x v="0"/>
    <x v="1"/>
    <s v="Road"/>
    <x v="0"/>
    <n v="49.9"/>
    <n v="695"/>
    <n v="6"/>
    <n v="7"/>
    <n v="0"/>
    <n v="1"/>
    <n v="22.62"/>
    <n v="0"/>
    <n v="1"/>
  </r>
  <r>
    <s v="SHP-502726"/>
    <d v="2025-01-13T00:00:00"/>
    <x v="1"/>
    <s v="Q1"/>
    <x v="0"/>
    <x v="2"/>
    <x v="1"/>
    <x v="3"/>
    <x v="0"/>
    <s v="Road"/>
    <x v="1"/>
    <n v="5.2"/>
    <n v="458"/>
    <n v="4"/>
    <n v="4"/>
    <n v="1"/>
    <n v="0"/>
    <n v="13.72"/>
    <n v="0"/>
    <n v="1"/>
  </r>
  <r>
    <s v="SHP-502727"/>
    <d v="2025-01-13T00:00:00"/>
    <x v="1"/>
    <s v="Q1"/>
    <x v="0"/>
    <x v="4"/>
    <x v="0"/>
    <x v="0"/>
    <x v="0"/>
    <s v="Road"/>
    <x v="0"/>
    <n v="244.9"/>
    <n v="1042"/>
    <n v="4"/>
    <n v="3"/>
    <n v="1"/>
    <n v="0"/>
    <n v="109.37"/>
    <n v="0"/>
    <n v="1"/>
  </r>
  <r>
    <s v="SHP-502728"/>
    <d v="2025-01-13T00:00:00"/>
    <x v="1"/>
    <s v="Q1"/>
    <x v="0"/>
    <x v="3"/>
    <x v="1"/>
    <x v="3"/>
    <x v="0"/>
    <s v="Road"/>
    <x v="1"/>
    <n v="1.5"/>
    <n v="566"/>
    <n v="4"/>
    <n v="4"/>
    <n v="1"/>
    <n v="0"/>
    <n v="15.38"/>
    <n v="0"/>
    <n v="1"/>
  </r>
  <r>
    <s v="SHP-502729"/>
    <d v="2025-01-13T00:00:00"/>
    <x v="1"/>
    <s v="Q1"/>
    <x v="0"/>
    <x v="3"/>
    <x v="1"/>
    <x v="3"/>
    <x v="1"/>
    <s v="Road"/>
    <x v="1"/>
    <n v="4.5"/>
    <n v="516"/>
    <n v="6"/>
    <n v="5"/>
    <n v="1"/>
    <n v="0"/>
    <n v="12.81"/>
    <n v="0"/>
    <n v="1"/>
  </r>
  <r>
    <s v="SHP-502730"/>
    <d v="2025-01-13T00:00:00"/>
    <x v="1"/>
    <s v="Q1"/>
    <x v="0"/>
    <x v="1"/>
    <x v="0"/>
    <x v="3"/>
    <x v="1"/>
    <s v="Road"/>
    <x v="1"/>
    <n v="6.8"/>
    <n v="487"/>
    <n v="6"/>
    <n v="6"/>
    <n v="1"/>
    <n v="0"/>
    <n v="13.18"/>
    <n v="1"/>
    <n v="1"/>
  </r>
  <r>
    <s v="SHP-502731"/>
    <d v="2025-01-13T00:00:00"/>
    <x v="1"/>
    <s v="Q1"/>
    <x v="0"/>
    <x v="4"/>
    <x v="2"/>
    <x v="3"/>
    <x v="0"/>
    <s v="Road"/>
    <x v="1"/>
    <n v="1.3"/>
    <n v="572"/>
    <n v="4"/>
    <n v="3"/>
    <n v="1"/>
    <n v="0"/>
    <n v="12.87"/>
    <n v="0"/>
    <n v="1"/>
  </r>
  <r>
    <s v="SHP-502732"/>
    <d v="2025-01-13T00:00:00"/>
    <x v="1"/>
    <s v="Q1"/>
    <x v="0"/>
    <x v="3"/>
    <x v="1"/>
    <x v="1"/>
    <x v="1"/>
    <s v="Road"/>
    <x v="0"/>
    <n v="154.80000000000001"/>
    <n v="252"/>
    <n v="5"/>
    <n v="5"/>
    <n v="1"/>
    <n v="0"/>
    <n v="67.69"/>
    <n v="0"/>
    <n v="1"/>
  </r>
  <r>
    <s v="SHP-502733"/>
    <d v="2025-01-13T00:00:00"/>
    <x v="1"/>
    <s v="Q1"/>
    <x v="0"/>
    <x v="0"/>
    <x v="0"/>
    <x v="4"/>
    <x v="0"/>
    <s v="Road"/>
    <x v="0"/>
    <n v="81.400000000000006"/>
    <n v="890"/>
    <n v="5"/>
    <n v="4"/>
    <n v="1"/>
    <n v="0"/>
    <n v="53.39"/>
    <n v="0"/>
    <n v="1"/>
  </r>
  <r>
    <s v="SHP-502734"/>
    <d v="2025-01-13T00:00:00"/>
    <x v="1"/>
    <s v="Q1"/>
    <x v="0"/>
    <x v="0"/>
    <x v="2"/>
    <x v="4"/>
    <x v="1"/>
    <s v="Road"/>
    <x v="0"/>
    <n v="163.9"/>
    <n v="789"/>
    <n v="7"/>
    <n v="7"/>
    <n v="1"/>
    <n v="0"/>
    <n v="67.2"/>
    <n v="0"/>
    <n v="1"/>
  </r>
  <r>
    <s v="SHP-502735"/>
    <d v="2025-01-14T00:00:00"/>
    <x v="1"/>
    <s v="Q1"/>
    <x v="0"/>
    <x v="4"/>
    <x v="1"/>
    <x v="0"/>
    <x v="2"/>
    <s v="Air"/>
    <x v="1"/>
    <n v="3.7"/>
    <n v="1025"/>
    <n v="2"/>
    <n v="2"/>
    <n v="1"/>
    <n v="0"/>
    <n v="67"/>
    <n v="0"/>
    <n v="1"/>
  </r>
  <r>
    <s v="SHP-502736"/>
    <d v="2025-01-14T00:00:00"/>
    <x v="1"/>
    <s v="Q1"/>
    <x v="0"/>
    <x v="0"/>
    <x v="2"/>
    <x v="4"/>
    <x v="0"/>
    <s v="Road"/>
    <x v="0"/>
    <n v="90.1"/>
    <n v="1123"/>
    <n v="5"/>
    <n v="5"/>
    <n v="1"/>
    <n v="0"/>
    <n v="58.45"/>
    <n v="0"/>
    <n v="1"/>
  </r>
  <r>
    <s v="SHP-502737"/>
    <d v="2025-01-14T00:00:00"/>
    <x v="1"/>
    <s v="Q1"/>
    <x v="0"/>
    <x v="1"/>
    <x v="2"/>
    <x v="1"/>
    <x v="2"/>
    <s v="Road"/>
    <x v="0"/>
    <n v="210.8"/>
    <n v="333"/>
    <n v="1"/>
    <n v="4"/>
    <n v="0"/>
    <n v="3"/>
    <n v="184.02"/>
    <n v="0"/>
    <n v="1"/>
  </r>
  <r>
    <s v="SHP-502738"/>
    <d v="2025-01-14T00:00:00"/>
    <x v="1"/>
    <s v="Q1"/>
    <x v="0"/>
    <x v="1"/>
    <x v="2"/>
    <x v="0"/>
    <x v="0"/>
    <s v="Road"/>
    <x v="0"/>
    <n v="81.599999999999994"/>
    <n v="967"/>
    <n v="4"/>
    <n v="4"/>
    <n v="1"/>
    <n v="0"/>
    <n v="50.75"/>
    <n v="0"/>
    <n v="1"/>
  </r>
  <r>
    <s v="SHP-502739"/>
    <d v="2025-01-14T00:00:00"/>
    <x v="1"/>
    <s v="Q1"/>
    <x v="0"/>
    <x v="1"/>
    <x v="1"/>
    <x v="3"/>
    <x v="0"/>
    <s v="Road"/>
    <x v="0"/>
    <n v="208.1"/>
    <n v="364"/>
    <n v="4"/>
    <n v="4"/>
    <n v="1"/>
    <n v="0"/>
    <n v="95.46"/>
    <n v="0"/>
    <n v="1"/>
  </r>
  <r>
    <s v="SHP-502740"/>
    <d v="2025-01-14T00:00:00"/>
    <x v="1"/>
    <s v="Q1"/>
    <x v="0"/>
    <x v="0"/>
    <x v="2"/>
    <x v="2"/>
    <x v="2"/>
    <s v="Air"/>
    <x v="1"/>
    <n v="3.8"/>
    <n v="1134"/>
    <n v="3"/>
    <n v="3"/>
    <n v="1"/>
    <n v="0"/>
    <n v="70.489999999999995"/>
    <n v="0"/>
    <n v="1"/>
  </r>
  <r>
    <s v="SHP-502741"/>
    <d v="2025-01-14T00:00:00"/>
    <x v="1"/>
    <s v="Q1"/>
    <x v="0"/>
    <x v="3"/>
    <x v="1"/>
    <x v="3"/>
    <x v="0"/>
    <s v="Road"/>
    <x v="1"/>
    <n v="12.1"/>
    <n v="509"/>
    <n v="4"/>
    <n v="3"/>
    <n v="1"/>
    <n v="0"/>
    <n v="20.29"/>
    <n v="0"/>
    <n v="1"/>
  </r>
  <r>
    <s v="SHP-502742"/>
    <d v="2025-01-14T00:00:00"/>
    <x v="1"/>
    <s v="Q1"/>
    <x v="0"/>
    <x v="2"/>
    <x v="2"/>
    <x v="2"/>
    <x v="0"/>
    <s v="Road"/>
    <x v="0"/>
    <n v="159.6"/>
    <n v="1386"/>
    <n v="5"/>
    <n v="5"/>
    <n v="1"/>
    <n v="0"/>
    <n v="77"/>
    <n v="0"/>
    <n v="1"/>
  </r>
  <r>
    <s v="SHP-502743"/>
    <d v="2025-01-14T00:00:00"/>
    <x v="1"/>
    <s v="Q1"/>
    <x v="0"/>
    <x v="2"/>
    <x v="1"/>
    <x v="1"/>
    <x v="2"/>
    <s v="Road"/>
    <x v="0"/>
    <n v="101.2"/>
    <n v="235"/>
    <n v="1"/>
    <n v="1"/>
    <n v="1"/>
    <n v="0"/>
    <n v="84.89"/>
    <n v="0"/>
    <n v="1"/>
  </r>
  <r>
    <s v="SHP-502744"/>
    <d v="2025-01-14T00:00:00"/>
    <x v="1"/>
    <s v="Q1"/>
    <x v="0"/>
    <x v="1"/>
    <x v="2"/>
    <x v="3"/>
    <x v="1"/>
    <s v="Road"/>
    <x v="1"/>
    <n v="8"/>
    <n v="582"/>
    <n v="6"/>
    <n v="5"/>
    <n v="1"/>
    <n v="0"/>
    <n v="14.14"/>
    <n v="0"/>
    <n v="1"/>
  </r>
  <r>
    <s v="SHP-502745"/>
    <d v="2025-01-14T00:00:00"/>
    <x v="1"/>
    <s v="Q1"/>
    <x v="0"/>
    <x v="4"/>
    <x v="1"/>
    <x v="0"/>
    <x v="1"/>
    <s v="Road"/>
    <x v="1"/>
    <n v="6.9"/>
    <n v="1047"/>
    <n v="6"/>
    <n v="6"/>
    <n v="1"/>
    <n v="0"/>
    <n v="17.399999999999999"/>
    <n v="0"/>
    <n v="1"/>
  </r>
  <r>
    <s v="SHP-502746"/>
    <d v="2025-01-14T00:00:00"/>
    <x v="1"/>
    <s v="Q1"/>
    <x v="0"/>
    <x v="2"/>
    <x v="2"/>
    <x v="1"/>
    <x v="0"/>
    <s v="Road"/>
    <x v="0"/>
    <n v="58.6"/>
    <n v="259"/>
    <n v="3"/>
    <n v="3"/>
    <n v="1"/>
    <n v="0"/>
    <n v="28.51"/>
    <n v="0"/>
    <n v="1"/>
  </r>
  <r>
    <s v="SHP-502747"/>
    <d v="2025-01-14T00:00:00"/>
    <x v="1"/>
    <s v="Q1"/>
    <x v="0"/>
    <x v="4"/>
    <x v="2"/>
    <x v="0"/>
    <x v="0"/>
    <s v="Road"/>
    <x v="1"/>
    <n v="5.5"/>
    <n v="1012"/>
    <n v="4"/>
    <n v="4"/>
    <n v="1"/>
    <n v="0"/>
    <n v="22.23"/>
    <n v="0"/>
    <n v="1"/>
  </r>
  <r>
    <s v="SHP-502748"/>
    <d v="2025-01-14T00:00:00"/>
    <x v="1"/>
    <s v="Q1"/>
    <x v="0"/>
    <x v="3"/>
    <x v="2"/>
    <x v="1"/>
    <x v="2"/>
    <s v="Road"/>
    <x v="1"/>
    <n v="4.7"/>
    <n v="246"/>
    <n v="1"/>
    <n v="1"/>
    <n v="1"/>
    <n v="0"/>
    <n v="27.16"/>
    <n v="0"/>
    <n v="1"/>
  </r>
  <r>
    <s v="SHP-502749"/>
    <d v="2025-01-14T00:00:00"/>
    <x v="1"/>
    <s v="Q1"/>
    <x v="0"/>
    <x v="2"/>
    <x v="1"/>
    <x v="0"/>
    <x v="2"/>
    <s v="Air"/>
    <x v="0"/>
    <n v="79.099999999999994"/>
    <n v="690"/>
    <n v="2"/>
    <n v="1"/>
    <n v="1"/>
    <n v="0"/>
    <n v="127.34"/>
    <n v="0"/>
    <n v="1"/>
  </r>
  <r>
    <s v="SHP-502750"/>
    <d v="2025-01-15T00:00:00"/>
    <x v="1"/>
    <s v="Q1"/>
    <x v="0"/>
    <x v="0"/>
    <x v="0"/>
    <x v="0"/>
    <x v="1"/>
    <s v="Road"/>
    <x v="1"/>
    <n v="8.5"/>
    <n v="800"/>
    <n v="6"/>
    <n v="5"/>
    <n v="1"/>
    <n v="0"/>
    <n v="14.04"/>
    <n v="0"/>
    <n v="1"/>
  </r>
  <r>
    <s v="SHP-502751"/>
    <d v="2025-01-15T00:00:00"/>
    <x v="1"/>
    <s v="Q1"/>
    <x v="0"/>
    <x v="0"/>
    <x v="2"/>
    <x v="3"/>
    <x v="2"/>
    <s v="Road"/>
    <x v="0"/>
    <n v="70"/>
    <n v="454"/>
    <n v="2"/>
    <n v="2"/>
    <n v="1"/>
    <n v="0"/>
    <n v="85.88"/>
    <n v="0"/>
    <n v="1"/>
  </r>
  <r>
    <s v="SHP-502752"/>
    <d v="2025-01-15T00:00:00"/>
    <x v="1"/>
    <s v="Q1"/>
    <x v="0"/>
    <x v="2"/>
    <x v="1"/>
    <x v="3"/>
    <x v="0"/>
    <s v="Road"/>
    <x v="1"/>
    <n v="13.4"/>
    <n v="503"/>
    <n v="4"/>
    <n v="6"/>
    <n v="0"/>
    <n v="2"/>
    <n v="19.75"/>
    <n v="0"/>
    <n v="1"/>
  </r>
  <r>
    <s v="SHP-502753"/>
    <d v="2025-01-15T00:00:00"/>
    <x v="1"/>
    <s v="Q1"/>
    <x v="0"/>
    <x v="2"/>
    <x v="2"/>
    <x v="3"/>
    <x v="0"/>
    <s v="Road"/>
    <x v="1"/>
    <n v="6.6"/>
    <n v="447"/>
    <n v="4"/>
    <n v="4"/>
    <n v="1"/>
    <n v="0"/>
    <n v="14.37"/>
    <n v="0"/>
    <n v="1"/>
  </r>
  <r>
    <s v="SHP-502754"/>
    <d v="2025-01-15T00:00:00"/>
    <x v="1"/>
    <s v="Q1"/>
    <x v="0"/>
    <x v="0"/>
    <x v="1"/>
    <x v="3"/>
    <x v="1"/>
    <s v="Road"/>
    <x v="0"/>
    <n v="81.900000000000006"/>
    <n v="506"/>
    <n v="6"/>
    <n v="6"/>
    <n v="1"/>
    <n v="0"/>
    <n v="34.06"/>
    <n v="0"/>
    <n v="1"/>
  </r>
  <r>
    <s v="SHP-502755"/>
    <d v="2025-01-15T00:00:00"/>
    <x v="1"/>
    <s v="Q1"/>
    <x v="0"/>
    <x v="4"/>
    <x v="1"/>
    <x v="3"/>
    <x v="0"/>
    <s v="Road"/>
    <x v="0"/>
    <n v="184.8"/>
    <n v="452"/>
    <n v="4"/>
    <n v="3"/>
    <n v="1"/>
    <n v="0"/>
    <n v="90.59"/>
    <n v="0"/>
    <n v="1"/>
  </r>
  <r>
    <s v="SHP-502756"/>
    <d v="2025-01-15T00:00:00"/>
    <x v="1"/>
    <s v="Q1"/>
    <x v="0"/>
    <x v="0"/>
    <x v="1"/>
    <x v="1"/>
    <x v="1"/>
    <s v="Road"/>
    <x v="1"/>
    <n v="4.8"/>
    <n v="259"/>
    <n v="5"/>
    <n v="5"/>
    <n v="1"/>
    <n v="0"/>
    <n v="7.45"/>
    <n v="0"/>
    <n v="1"/>
  </r>
  <r>
    <s v="SHP-502757"/>
    <d v="2025-01-15T00:00:00"/>
    <x v="1"/>
    <s v="Q1"/>
    <x v="0"/>
    <x v="2"/>
    <x v="1"/>
    <x v="3"/>
    <x v="1"/>
    <s v="Road"/>
    <x v="1"/>
    <n v="12.3"/>
    <n v="458"/>
    <n v="6"/>
    <n v="6"/>
    <n v="1"/>
    <n v="0"/>
    <n v="12.79"/>
    <n v="0"/>
    <n v="1"/>
  </r>
  <r>
    <s v="SHP-502758"/>
    <d v="2025-01-15T00:00:00"/>
    <x v="1"/>
    <s v="Q1"/>
    <x v="0"/>
    <x v="4"/>
    <x v="0"/>
    <x v="3"/>
    <x v="0"/>
    <s v="Road"/>
    <x v="1"/>
    <n v="2.5"/>
    <n v="526"/>
    <n v="4"/>
    <n v="4"/>
    <n v="1"/>
    <n v="0"/>
    <n v="14.97"/>
    <n v="0"/>
    <n v="1"/>
  </r>
  <r>
    <s v="SHP-502759"/>
    <d v="2025-01-15T00:00:00"/>
    <x v="1"/>
    <s v="Q1"/>
    <x v="0"/>
    <x v="2"/>
    <x v="2"/>
    <x v="0"/>
    <x v="0"/>
    <s v="Road"/>
    <x v="0"/>
    <n v="138.30000000000001"/>
    <n v="1009"/>
    <n v="4"/>
    <n v="7"/>
    <n v="0"/>
    <n v="3"/>
    <n v="70.61"/>
    <n v="0"/>
    <n v="1"/>
  </r>
  <r>
    <s v="SHP-502760"/>
    <d v="2025-01-16T00:00:00"/>
    <x v="1"/>
    <s v="Q1"/>
    <x v="0"/>
    <x v="3"/>
    <x v="0"/>
    <x v="1"/>
    <x v="0"/>
    <s v="Road"/>
    <x v="0"/>
    <n v="29"/>
    <n v="321"/>
    <n v="3"/>
    <n v="3"/>
    <n v="1"/>
    <n v="0"/>
    <n v="28.22"/>
    <n v="0"/>
    <n v="1"/>
  </r>
  <r>
    <s v="SHP-502761"/>
    <d v="2025-01-16T00:00:00"/>
    <x v="1"/>
    <s v="Q1"/>
    <x v="0"/>
    <x v="4"/>
    <x v="1"/>
    <x v="3"/>
    <x v="1"/>
    <s v="Road"/>
    <x v="1"/>
    <n v="4.3"/>
    <n v="479"/>
    <n v="6"/>
    <n v="7"/>
    <n v="0"/>
    <n v="1"/>
    <n v="10.6"/>
    <n v="0"/>
    <n v="1"/>
  </r>
  <r>
    <s v="SHP-502762"/>
    <d v="2025-01-16T00:00:00"/>
    <x v="1"/>
    <s v="Q1"/>
    <x v="0"/>
    <x v="3"/>
    <x v="2"/>
    <x v="2"/>
    <x v="0"/>
    <s v="Road"/>
    <x v="1"/>
    <n v="4.2"/>
    <n v="1240"/>
    <n v="5"/>
    <n v="5"/>
    <n v="1"/>
    <n v="0"/>
    <n v="26.22"/>
    <n v="0"/>
    <n v="1"/>
  </r>
  <r>
    <s v="SHP-502763"/>
    <d v="2025-01-16T00:00:00"/>
    <x v="1"/>
    <s v="Q1"/>
    <x v="0"/>
    <x v="2"/>
    <x v="1"/>
    <x v="2"/>
    <x v="2"/>
    <s v="Air"/>
    <x v="1"/>
    <n v="4.7"/>
    <n v="931"/>
    <n v="3"/>
    <n v="2"/>
    <n v="1"/>
    <n v="0"/>
    <n v="51.7"/>
    <n v="0"/>
    <n v="1"/>
  </r>
  <r>
    <s v="SHP-502764"/>
    <d v="2025-01-17T00:00:00"/>
    <x v="1"/>
    <s v="Q1"/>
    <x v="0"/>
    <x v="0"/>
    <x v="1"/>
    <x v="1"/>
    <x v="0"/>
    <s v="Road"/>
    <x v="0"/>
    <n v="176.8"/>
    <n v="260"/>
    <n v="3"/>
    <n v="2"/>
    <n v="1"/>
    <n v="0"/>
    <n v="85.66"/>
    <n v="0"/>
    <n v="1"/>
  </r>
  <r>
    <s v="SHP-502765"/>
    <d v="2025-01-17T00:00:00"/>
    <x v="1"/>
    <s v="Q1"/>
    <x v="0"/>
    <x v="1"/>
    <x v="2"/>
    <x v="2"/>
    <x v="0"/>
    <s v="Road"/>
    <x v="1"/>
    <n v="2.6"/>
    <n v="848"/>
    <n v="5"/>
    <n v="5"/>
    <n v="1"/>
    <n v="0"/>
    <n v="20.53"/>
    <n v="0"/>
    <n v="1"/>
  </r>
  <r>
    <s v="SHP-502766"/>
    <d v="2025-01-17T00:00:00"/>
    <x v="1"/>
    <s v="Q1"/>
    <x v="0"/>
    <x v="0"/>
    <x v="2"/>
    <x v="0"/>
    <x v="2"/>
    <s v="Air"/>
    <x v="1"/>
    <n v="14"/>
    <n v="890"/>
    <n v="2"/>
    <n v="2"/>
    <n v="1"/>
    <n v="0"/>
    <n v="76.260000000000005"/>
    <n v="0"/>
    <n v="1"/>
  </r>
  <r>
    <s v="SHP-502767"/>
    <d v="2025-01-17T00:00:00"/>
    <x v="1"/>
    <s v="Q1"/>
    <x v="0"/>
    <x v="2"/>
    <x v="1"/>
    <x v="3"/>
    <x v="2"/>
    <s v="Road"/>
    <x v="0"/>
    <n v="116.6"/>
    <n v="495"/>
    <n v="2"/>
    <n v="2"/>
    <n v="1"/>
    <n v="0"/>
    <n v="108.61"/>
    <n v="0"/>
    <n v="1"/>
  </r>
  <r>
    <s v="SHP-502768"/>
    <d v="2025-01-17T00:00:00"/>
    <x v="1"/>
    <s v="Q1"/>
    <x v="0"/>
    <x v="4"/>
    <x v="2"/>
    <x v="1"/>
    <x v="0"/>
    <s v="Road"/>
    <x v="1"/>
    <n v="7.8"/>
    <n v="295"/>
    <n v="3"/>
    <n v="3"/>
    <n v="1"/>
    <n v="0"/>
    <n v="15.74"/>
    <n v="0"/>
    <n v="1"/>
  </r>
  <r>
    <s v="SHP-502769"/>
    <d v="2025-01-18T00:00:00"/>
    <x v="1"/>
    <s v="Q1"/>
    <x v="0"/>
    <x v="3"/>
    <x v="2"/>
    <x v="0"/>
    <x v="0"/>
    <s v="Road"/>
    <x v="1"/>
    <n v="1.1000000000000001"/>
    <n v="975"/>
    <n v="4"/>
    <n v="4"/>
    <n v="1"/>
    <n v="0"/>
    <n v="20.64"/>
    <n v="0"/>
    <n v="1"/>
  </r>
  <r>
    <s v="SHP-502770"/>
    <d v="2025-01-18T00:00:00"/>
    <x v="1"/>
    <s v="Q1"/>
    <x v="0"/>
    <x v="3"/>
    <x v="1"/>
    <x v="4"/>
    <x v="2"/>
    <s v="Air"/>
    <x v="1"/>
    <n v="4.5999999999999996"/>
    <n v="978"/>
    <n v="3"/>
    <n v="2"/>
    <n v="1"/>
    <n v="0"/>
    <n v="65.58"/>
    <n v="0"/>
    <n v="1"/>
  </r>
  <r>
    <s v="SHP-502771"/>
    <d v="2025-01-18T00:00:00"/>
    <x v="1"/>
    <s v="Q1"/>
    <x v="0"/>
    <x v="3"/>
    <x v="2"/>
    <x v="3"/>
    <x v="1"/>
    <s v="Road"/>
    <x v="0"/>
    <n v="145.80000000000001"/>
    <n v="556"/>
    <n v="6"/>
    <n v="6"/>
    <n v="1"/>
    <n v="0"/>
    <n v="63.99"/>
    <n v="0"/>
    <n v="1"/>
  </r>
  <r>
    <s v="SHP-502772"/>
    <d v="2025-01-19T00:00:00"/>
    <x v="1"/>
    <s v="Q1"/>
    <x v="0"/>
    <x v="0"/>
    <x v="2"/>
    <x v="1"/>
    <x v="1"/>
    <s v="Road"/>
    <x v="0"/>
    <n v="84.1"/>
    <n v="252"/>
    <n v="5"/>
    <n v="5"/>
    <n v="1"/>
    <n v="0"/>
    <n v="33.67"/>
    <n v="0"/>
    <n v="1"/>
  </r>
  <r>
    <s v="SHP-502773"/>
    <d v="2025-01-19T00:00:00"/>
    <x v="1"/>
    <s v="Q1"/>
    <x v="0"/>
    <x v="4"/>
    <x v="1"/>
    <x v="0"/>
    <x v="0"/>
    <s v="Road"/>
    <x v="0"/>
    <n v="146.80000000000001"/>
    <n v="882"/>
    <n v="4"/>
    <n v="4"/>
    <n v="1"/>
    <n v="0"/>
    <n v="74.3"/>
    <n v="0"/>
    <n v="1"/>
  </r>
  <r>
    <s v="SHP-502774"/>
    <d v="2025-01-20T00:00:00"/>
    <x v="1"/>
    <s v="Q1"/>
    <x v="0"/>
    <x v="1"/>
    <x v="1"/>
    <x v="3"/>
    <x v="0"/>
    <s v="Road"/>
    <x v="1"/>
    <n v="6.4"/>
    <n v="498"/>
    <n v="4"/>
    <n v="3"/>
    <n v="1"/>
    <n v="0"/>
    <n v="18.46"/>
    <n v="0"/>
    <n v="1"/>
  </r>
  <r>
    <s v="SHP-502775"/>
    <d v="2025-01-20T00:00:00"/>
    <x v="1"/>
    <s v="Q1"/>
    <x v="0"/>
    <x v="3"/>
    <x v="0"/>
    <x v="3"/>
    <x v="0"/>
    <s v="Road"/>
    <x v="1"/>
    <n v="4.2"/>
    <n v="565"/>
    <n v="4"/>
    <n v="4"/>
    <n v="1"/>
    <n v="0"/>
    <n v="17.899999999999999"/>
    <n v="0"/>
    <n v="1"/>
  </r>
  <r>
    <s v="SHP-502776"/>
    <d v="2025-01-20T00:00:00"/>
    <x v="1"/>
    <s v="Q1"/>
    <x v="0"/>
    <x v="2"/>
    <x v="2"/>
    <x v="2"/>
    <x v="0"/>
    <s v="Road"/>
    <x v="0"/>
    <n v="127.4"/>
    <n v="1067"/>
    <n v="5"/>
    <n v="8"/>
    <n v="0"/>
    <n v="3"/>
    <n v="62.37"/>
    <n v="0"/>
    <n v="1"/>
  </r>
  <r>
    <s v="SHP-502777"/>
    <d v="2025-01-20T00:00:00"/>
    <x v="1"/>
    <s v="Q1"/>
    <x v="0"/>
    <x v="2"/>
    <x v="0"/>
    <x v="3"/>
    <x v="2"/>
    <s v="Road"/>
    <x v="1"/>
    <n v="3"/>
    <n v="391"/>
    <n v="2"/>
    <n v="2"/>
    <n v="1"/>
    <n v="0"/>
    <n v="21.51"/>
    <n v="0"/>
    <n v="1"/>
  </r>
  <r>
    <s v="SHP-502778"/>
    <d v="2025-01-20T00:00:00"/>
    <x v="1"/>
    <s v="Q1"/>
    <x v="0"/>
    <x v="2"/>
    <x v="1"/>
    <x v="1"/>
    <x v="1"/>
    <s v="Road"/>
    <x v="1"/>
    <n v="9.1"/>
    <n v="219"/>
    <n v="5"/>
    <n v="7"/>
    <n v="0"/>
    <n v="2"/>
    <n v="9.25"/>
    <n v="0"/>
    <n v="1"/>
  </r>
  <r>
    <s v="SHP-502779"/>
    <d v="2025-01-20T00:00:00"/>
    <x v="1"/>
    <s v="Q1"/>
    <x v="0"/>
    <x v="3"/>
    <x v="2"/>
    <x v="1"/>
    <x v="0"/>
    <s v="Road"/>
    <x v="1"/>
    <n v="6.6"/>
    <n v="248"/>
    <n v="3"/>
    <n v="2"/>
    <n v="1"/>
    <n v="0"/>
    <n v="13.7"/>
    <n v="0"/>
    <n v="1"/>
  </r>
  <r>
    <s v="SHP-502780"/>
    <d v="2025-01-21T00:00:00"/>
    <x v="1"/>
    <s v="Q1"/>
    <x v="0"/>
    <x v="2"/>
    <x v="2"/>
    <x v="1"/>
    <x v="1"/>
    <s v="Road"/>
    <x v="0"/>
    <n v="288.7"/>
    <n v="228"/>
    <n v="5"/>
    <n v="4"/>
    <n v="1"/>
    <n v="0"/>
    <n v="68.930000000000007"/>
    <n v="0"/>
    <n v="1"/>
  </r>
  <r>
    <s v="SHP-502781"/>
    <d v="2025-01-21T00:00:00"/>
    <x v="1"/>
    <s v="Q1"/>
    <x v="0"/>
    <x v="0"/>
    <x v="1"/>
    <x v="4"/>
    <x v="0"/>
    <s v="Road"/>
    <x v="1"/>
    <n v="10.7"/>
    <n v="1217"/>
    <n v="5"/>
    <n v="5"/>
    <n v="1"/>
    <n v="0"/>
    <n v="28.21"/>
    <n v="0"/>
    <n v="1"/>
  </r>
  <r>
    <s v="SHP-502782"/>
    <d v="2025-01-22T00:00:00"/>
    <x v="1"/>
    <s v="Q1"/>
    <x v="0"/>
    <x v="2"/>
    <x v="1"/>
    <x v="2"/>
    <x v="0"/>
    <s v="Road"/>
    <x v="0"/>
    <n v="74.2"/>
    <n v="972"/>
    <n v="5"/>
    <n v="4"/>
    <n v="1"/>
    <n v="0"/>
    <n v="44.33"/>
    <n v="0"/>
    <n v="1"/>
  </r>
  <r>
    <s v="SHP-502783"/>
    <d v="2025-01-22T00:00:00"/>
    <x v="1"/>
    <s v="Q1"/>
    <x v="0"/>
    <x v="4"/>
    <x v="1"/>
    <x v="3"/>
    <x v="0"/>
    <s v="Road"/>
    <x v="1"/>
    <n v="18.600000000000001"/>
    <n v="464"/>
    <n v="4"/>
    <n v="4"/>
    <n v="1"/>
    <n v="0"/>
    <n v="23.82"/>
    <n v="0"/>
    <n v="1"/>
  </r>
  <r>
    <s v="SHP-502784"/>
    <d v="2025-01-22T00:00:00"/>
    <x v="1"/>
    <s v="Q1"/>
    <x v="0"/>
    <x v="3"/>
    <x v="2"/>
    <x v="2"/>
    <x v="1"/>
    <s v="Road"/>
    <x v="1"/>
    <n v="2.7"/>
    <n v="1235"/>
    <n v="7"/>
    <n v="7"/>
    <n v="1"/>
    <n v="0"/>
    <n v="18.27"/>
    <n v="0"/>
    <n v="1"/>
  </r>
  <r>
    <s v="SHP-502785"/>
    <d v="2025-01-22T00:00:00"/>
    <x v="1"/>
    <s v="Q1"/>
    <x v="0"/>
    <x v="4"/>
    <x v="1"/>
    <x v="1"/>
    <x v="0"/>
    <s v="Road"/>
    <x v="1"/>
    <n v="6.2"/>
    <n v="229"/>
    <n v="3"/>
    <n v="3"/>
    <n v="1"/>
    <n v="0"/>
    <n v="11.48"/>
    <n v="0"/>
    <n v="1"/>
  </r>
  <r>
    <s v="SHP-502786"/>
    <d v="2025-01-22T00:00:00"/>
    <x v="1"/>
    <s v="Q1"/>
    <x v="0"/>
    <x v="1"/>
    <x v="1"/>
    <x v="3"/>
    <x v="2"/>
    <s v="Road"/>
    <x v="1"/>
    <n v="16.3"/>
    <n v="516"/>
    <n v="2"/>
    <n v="2"/>
    <n v="1"/>
    <n v="0"/>
    <n v="45.44"/>
    <n v="0"/>
    <n v="1"/>
  </r>
  <r>
    <s v="SHP-502787"/>
    <d v="2025-01-22T00:00:00"/>
    <x v="1"/>
    <s v="Q1"/>
    <x v="0"/>
    <x v="3"/>
    <x v="2"/>
    <x v="1"/>
    <x v="0"/>
    <s v="Road"/>
    <x v="1"/>
    <n v="2.4"/>
    <n v="235"/>
    <n v="3"/>
    <n v="3"/>
    <n v="1"/>
    <n v="0"/>
    <n v="11.44"/>
    <n v="0"/>
    <n v="1"/>
  </r>
  <r>
    <s v="SHP-502788"/>
    <d v="2025-01-22T00:00:00"/>
    <x v="1"/>
    <s v="Q1"/>
    <x v="0"/>
    <x v="0"/>
    <x v="1"/>
    <x v="3"/>
    <x v="0"/>
    <s v="Road"/>
    <x v="0"/>
    <n v="35.700000000000003"/>
    <n v="388"/>
    <n v="4"/>
    <n v="3"/>
    <n v="1"/>
    <n v="0"/>
    <n v="27.47"/>
    <n v="0"/>
    <n v="1"/>
  </r>
  <r>
    <s v="SHP-502789"/>
    <d v="2025-01-22T00:00:00"/>
    <x v="1"/>
    <s v="Q1"/>
    <x v="0"/>
    <x v="4"/>
    <x v="2"/>
    <x v="1"/>
    <x v="0"/>
    <s v="Road"/>
    <x v="1"/>
    <n v="2.2000000000000002"/>
    <n v="255"/>
    <n v="3"/>
    <n v="3"/>
    <n v="1"/>
    <n v="0"/>
    <n v="12.26"/>
    <n v="0"/>
    <n v="1"/>
  </r>
  <r>
    <s v="SHP-502790"/>
    <d v="2025-01-22T00:00:00"/>
    <x v="1"/>
    <s v="Q1"/>
    <x v="0"/>
    <x v="4"/>
    <x v="1"/>
    <x v="1"/>
    <x v="0"/>
    <s v="Road"/>
    <x v="1"/>
    <n v="12.3"/>
    <n v="282"/>
    <n v="3"/>
    <n v="5"/>
    <n v="0"/>
    <n v="2"/>
    <n v="18.28"/>
    <n v="0"/>
    <n v="1"/>
  </r>
  <r>
    <s v="SHP-502791"/>
    <d v="2025-01-22T00:00:00"/>
    <x v="1"/>
    <s v="Q1"/>
    <x v="0"/>
    <x v="1"/>
    <x v="0"/>
    <x v="1"/>
    <x v="0"/>
    <s v="Road"/>
    <x v="1"/>
    <n v="2.4"/>
    <n v="300"/>
    <n v="3"/>
    <n v="3"/>
    <n v="1"/>
    <n v="0"/>
    <n v="12.26"/>
    <n v="0"/>
    <n v="1"/>
  </r>
  <r>
    <s v="SHP-502792"/>
    <d v="2025-01-22T00:00:00"/>
    <x v="1"/>
    <s v="Q1"/>
    <x v="0"/>
    <x v="1"/>
    <x v="1"/>
    <x v="1"/>
    <x v="2"/>
    <s v="Road"/>
    <x v="1"/>
    <n v="5.9"/>
    <n v="204"/>
    <n v="1"/>
    <n v="4"/>
    <n v="0"/>
    <n v="3"/>
    <n v="25.71"/>
    <n v="0"/>
    <n v="1"/>
  </r>
  <r>
    <s v="SHP-502793"/>
    <d v="2025-01-22T00:00:00"/>
    <x v="1"/>
    <s v="Q1"/>
    <x v="0"/>
    <x v="4"/>
    <x v="1"/>
    <x v="1"/>
    <x v="2"/>
    <s v="Road"/>
    <x v="1"/>
    <n v="9.5"/>
    <n v="358"/>
    <n v="1"/>
    <n v="1"/>
    <n v="1"/>
    <n v="0"/>
    <n v="34.479999999999997"/>
    <n v="0"/>
    <n v="1"/>
  </r>
  <r>
    <s v="SHP-502794"/>
    <d v="2025-01-22T00:00:00"/>
    <x v="1"/>
    <s v="Q1"/>
    <x v="0"/>
    <x v="2"/>
    <x v="2"/>
    <x v="0"/>
    <x v="0"/>
    <s v="Road"/>
    <x v="1"/>
    <n v="10.7"/>
    <n v="928"/>
    <n v="4"/>
    <n v="4"/>
    <n v="1"/>
    <n v="0"/>
    <n v="22.84"/>
    <n v="0"/>
    <n v="1"/>
  </r>
  <r>
    <s v="SHP-502795"/>
    <d v="2025-01-23T00:00:00"/>
    <x v="1"/>
    <s v="Q1"/>
    <x v="0"/>
    <x v="1"/>
    <x v="2"/>
    <x v="1"/>
    <x v="0"/>
    <s v="Road"/>
    <x v="1"/>
    <n v="3.4"/>
    <n v="248"/>
    <n v="3"/>
    <n v="4"/>
    <n v="0"/>
    <n v="1"/>
    <n v="10.83"/>
    <n v="0"/>
    <n v="1"/>
  </r>
  <r>
    <s v="SHP-502796"/>
    <d v="2025-01-23T00:00:00"/>
    <x v="1"/>
    <s v="Q1"/>
    <x v="0"/>
    <x v="1"/>
    <x v="2"/>
    <x v="1"/>
    <x v="1"/>
    <s v="Road"/>
    <x v="0"/>
    <n v="47.1"/>
    <n v="285"/>
    <n v="5"/>
    <n v="8"/>
    <n v="0"/>
    <n v="3"/>
    <n v="22.92"/>
    <n v="0"/>
    <n v="1"/>
  </r>
  <r>
    <s v="SHP-502797"/>
    <d v="2025-01-23T00:00:00"/>
    <x v="1"/>
    <s v="Q1"/>
    <x v="0"/>
    <x v="1"/>
    <x v="2"/>
    <x v="3"/>
    <x v="0"/>
    <s v="Road"/>
    <x v="1"/>
    <n v="7.8"/>
    <n v="443"/>
    <n v="4"/>
    <n v="4"/>
    <n v="1"/>
    <n v="0"/>
    <n v="18.420000000000002"/>
    <n v="0"/>
    <n v="1"/>
  </r>
  <r>
    <s v="SHP-502798"/>
    <d v="2025-01-23T00:00:00"/>
    <x v="1"/>
    <s v="Q1"/>
    <x v="0"/>
    <x v="3"/>
    <x v="1"/>
    <x v="1"/>
    <x v="0"/>
    <s v="Road"/>
    <x v="1"/>
    <n v="0.8"/>
    <n v="291"/>
    <n v="3"/>
    <n v="3"/>
    <n v="1"/>
    <n v="0"/>
    <n v="10.61"/>
    <n v="0"/>
    <n v="1"/>
  </r>
  <r>
    <s v="SHP-502799"/>
    <d v="2025-01-23T00:00:00"/>
    <x v="1"/>
    <s v="Q1"/>
    <x v="0"/>
    <x v="2"/>
    <x v="1"/>
    <x v="1"/>
    <x v="1"/>
    <s v="Road"/>
    <x v="1"/>
    <n v="13.9"/>
    <n v="257"/>
    <n v="5"/>
    <n v="4"/>
    <n v="1"/>
    <n v="0"/>
    <n v="10.73"/>
    <n v="0"/>
    <n v="1"/>
  </r>
  <r>
    <s v="SHP-502800"/>
    <d v="2025-01-23T00:00:00"/>
    <x v="1"/>
    <s v="Q1"/>
    <x v="0"/>
    <x v="1"/>
    <x v="0"/>
    <x v="0"/>
    <x v="0"/>
    <s v="Road"/>
    <x v="1"/>
    <n v="25.3"/>
    <n v="746"/>
    <n v="4"/>
    <n v="4"/>
    <n v="1"/>
    <n v="0"/>
    <n v="31.66"/>
    <n v="0"/>
    <n v="1"/>
  </r>
  <r>
    <s v="SHP-502801"/>
    <d v="2025-01-23T00:00:00"/>
    <x v="1"/>
    <s v="Q1"/>
    <x v="0"/>
    <x v="4"/>
    <x v="2"/>
    <x v="3"/>
    <x v="0"/>
    <s v="Road"/>
    <x v="0"/>
    <n v="302.10000000000002"/>
    <n v="508"/>
    <n v="4"/>
    <n v="3"/>
    <n v="1"/>
    <n v="0"/>
    <n v="128.41"/>
    <n v="0"/>
    <n v="1"/>
  </r>
  <r>
    <s v="SHP-502802"/>
    <d v="2025-01-23T00:00:00"/>
    <x v="1"/>
    <s v="Q1"/>
    <x v="0"/>
    <x v="2"/>
    <x v="2"/>
    <x v="1"/>
    <x v="0"/>
    <s v="Road"/>
    <x v="1"/>
    <n v="10.3"/>
    <n v="295"/>
    <n v="3"/>
    <n v="3"/>
    <n v="1"/>
    <n v="0"/>
    <n v="13.72"/>
    <n v="0"/>
    <n v="1"/>
  </r>
  <r>
    <s v="SHP-502803"/>
    <d v="2025-01-23T00:00:00"/>
    <x v="1"/>
    <s v="Q1"/>
    <x v="0"/>
    <x v="0"/>
    <x v="2"/>
    <x v="3"/>
    <x v="0"/>
    <s v="Road"/>
    <x v="1"/>
    <n v="3.7"/>
    <n v="574"/>
    <n v="4"/>
    <n v="3"/>
    <n v="1"/>
    <n v="0"/>
    <n v="15.44"/>
    <n v="0"/>
    <n v="1"/>
  </r>
  <r>
    <s v="SHP-502804"/>
    <d v="2025-01-24T00:00:00"/>
    <x v="1"/>
    <s v="Q1"/>
    <x v="0"/>
    <x v="1"/>
    <x v="2"/>
    <x v="3"/>
    <x v="1"/>
    <s v="Road"/>
    <x v="1"/>
    <n v="6.5"/>
    <n v="461"/>
    <n v="6"/>
    <n v="6"/>
    <n v="1"/>
    <n v="0"/>
    <n v="12.74"/>
    <n v="0"/>
    <n v="1"/>
  </r>
  <r>
    <s v="SHP-502805"/>
    <d v="2025-01-24T00:00:00"/>
    <x v="1"/>
    <s v="Q1"/>
    <x v="0"/>
    <x v="4"/>
    <x v="2"/>
    <x v="4"/>
    <x v="0"/>
    <s v="Road"/>
    <x v="1"/>
    <n v="7.5"/>
    <n v="1185"/>
    <n v="5"/>
    <n v="5"/>
    <n v="1"/>
    <n v="0"/>
    <n v="24.61"/>
    <n v="0"/>
    <n v="1"/>
  </r>
  <r>
    <s v="SHP-502806"/>
    <d v="2025-01-24T00:00:00"/>
    <x v="1"/>
    <s v="Q1"/>
    <x v="0"/>
    <x v="0"/>
    <x v="0"/>
    <x v="0"/>
    <x v="1"/>
    <s v="Road"/>
    <x v="1"/>
    <n v="0.8"/>
    <n v="819"/>
    <n v="6"/>
    <n v="6"/>
    <n v="1"/>
    <n v="0"/>
    <n v="11.23"/>
    <n v="0"/>
    <n v="1"/>
  </r>
  <r>
    <s v="SHP-502807"/>
    <d v="2025-01-24T00:00:00"/>
    <x v="1"/>
    <s v="Q1"/>
    <x v="0"/>
    <x v="4"/>
    <x v="1"/>
    <x v="0"/>
    <x v="1"/>
    <s v="Road"/>
    <x v="1"/>
    <n v="14.8"/>
    <n v="1002"/>
    <n v="6"/>
    <n v="5"/>
    <n v="1"/>
    <n v="0"/>
    <n v="18.600000000000001"/>
    <n v="0"/>
    <n v="1"/>
  </r>
  <r>
    <s v="SHP-502808"/>
    <d v="2025-01-24T00:00:00"/>
    <x v="1"/>
    <s v="Q1"/>
    <x v="0"/>
    <x v="2"/>
    <x v="0"/>
    <x v="0"/>
    <x v="2"/>
    <s v="Air"/>
    <x v="1"/>
    <n v="3.4"/>
    <n v="847"/>
    <n v="2"/>
    <n v="2"/>
    <n v="1"/>
    <n v="0"/>
    <n v="49.28"/>
    <n v="0"/>
    <n v="1"/>
  </r>
  <r>
    <s v="SHP-502809"/>
    <d v="2025-01-24T00:00:00"/>
    <x v="1"/>
    <s v="Q1"/>
    <x v="0"/>
    <x v="3"/>
    <x v="0"/>
    <x v="2"/>
    <x v="2"/>
    <s v="Air"/>
    <x v="1"/>
    <n v="3.8"/>
    <n v="1181"/>
    <n v="3"/>
    <n v="2"/>
    <n v="1"/>
    <n v="0"/>
    <n v="71.459999999999994"/>
    <n v="0"/>
    <n v="1"/>
  </r>
  <r>
    <s v="SHP-502810"/>
    <d v="2025-01-25T00:00:00"/>
    <x v="1"/>
    <s v="Q1"/>
    <x v="0"/>
    <x v="2"/>
    <x v="1"/>
    <x v="1"/>
    <x v="0"/>
    <s v="Road"/>
    <x v="0"/>
    <n v="78.2"/>
    <n v="237"/>
    <n v="3"/>
    <n v="3"/>
    <n v="1"/>
    <n v="0"/>
    <n v="39.92"/>
    <n v="0"/>
    <n v="1"/>
  </r>
  <r>
    <s v="SHP-502811"/>
    <d v="2025-01-25T00:00:00"/>
    <x v="1"/>
    <s v="Q1"/>
    <x v="0"/>
    <x v="1"/>
    <x v="2"/>
    <x v="0"/>
    <x v="0"/>
    <s v="Road"/>
    <x v="0"/>
    <n v="153.9"/>
    <n v="1022"/>
    <n v="4"/>
    <n v="3"/>
    <n v="1"/>
    <n v="0"/>
    <n v="82.64"/>
    <n v="0"/>
    <n v="1"/>
  </r>
  <r>
    <s v="SHP-502812"/>
    <d v="2025-01-25T00:00:00"/>
    <x v="1"/>
    <s v="Q1"/>
    <x v="0"/>
    <x v="0"/>
    <x v="1"/>
    <x v="0"/>
    <x v="0"/>
    <s v="Road"/>
    <x v="0"/>
    <n v="42.3"/>
    <n v="905"/>
    <n v="4"/>
    <n v="4"/>
    <n v="1"/>
    <n v="0"/>
    <n v="37.94"/>
    <n v="0"/>
    <n v="1"/>
  </r>
  <r>
    <s v="SHP-502813"/>
    <d v="2025-01-25T00:00:00"/>
    <x v="1"/>
    <s v="Q1"/>
    <x v="0"/>
    <x v="0"/>
    <x v="2"/>
    <x v="3"/>
    <x v="0"/>
    <s v="Road"/>
    <x v="1"/>
    <n v="7.7"/>
    <n v="504"/>
    <n v="4"/>
    <n v="4"/>
    <n v="1"/>
    <n v="0"/>
    <n v="18.02"/>
    <n v="0"/>
    <n v="1"/>
  </r>
  <r>
    <s v="SHP-502814"/>
    <d v="2025-01-26T00:00:00"/>
    <x v="1"/>
    <s v="Q1"/>
    <x v="0"/>
    <x v="2"/>
    <x v="2"/>
    <x v="2"/>
    <x v="0"/>
    <s v="Road"/>
    <x v="1"/>
    <n v="9.1"/>
    <n v="1135"/>
    <n v="5"/>
    <n v="5"/>
    <n v="1"/>
    <n v="0"/>
    <n v="18.75"/>
    <n v="0"/>
    <n v="1"/>
  </r>
  <r>
    <s v="SHP-502815"/>
    <d v="2025-01-26T00:00:00"/>
    <x v="1"/>
    <s v="Q1"/>
    <x v="0"/>
    <x v="0"/>
    <x v="0"/>
    <x v="2"/>
    <x v="0"/>
    <s v="Road"/>
    <x v="0"/>
    <n v="182.9"/>
    <n v="1492"/>
    <n v="5"/>
    <n v="5"/>
    <n v="1"/>
    <n v="0"/>
    <n v="100.21"/>
    <n v="0"/>
    <n v="1"/>
  </r>
  <r>
    <s v="SHP-502816"/>
    <d v="2025-01-26T00:00:00"/>
    <x v="1"/>
    <s v="Q1"/>
    <x v="0"/>
    <x v="4"/>
    <x v="2"/>
    <x v="4"/>
    <x v="0"/>
    <s v="Road"/>
    <x v="1"/>
    <n v="6.1"/>
    <n v="872"/>
    <n v="5"/>
    <n v="5"/>
    <n v="1"/>
    <n v="0"/>
    <n v="20.47"/>
    <n v="0"/>
    <n v="1"/>
  </r>
  <r>
    <s v="SHP-502817"/>
    <d v="2025-01-26T00:00:00"/>
    <x v="1"/>
    <s v="Q1"/>
    <x v="0"/>
    <x v="2"/>
    <x v="2"/>
    <x v="4"/>
    <x v="2"/>
    <s v="Air"/>
    <x v="1"/>
    <n v="10"/>
    <n v="1245"/>
    <n v="3"/>
    <n v="3"/>
    <n v="1"/>
    <n v="0"/>
    <n v="69.680000000000007"/>
    <n v="0"/>
    <n v="1"/>
  </r>
  <r>
    <s v="SHP-502818"/>
    <d v="2025-01-27T00:00:00"/>
    <x v="1"/>
    <s v="Q1"/>
    <x v="0"/>
    <x v="3"/>
    <x v="0"/>
    <x v="4"/>
    <x v="2"/>
    <s v="Air"/>
    <x v="1"/>
    <n v="4.3"/>
    <n v="839"/>
    <n v="3"/>
    <n v="6"/>
    <n v="0"/>
    <n v="3"/>
    <n v="65.06"/>
    <n v="0"/>
    <n v="1"/>
  </r>
  <r>
    <s v="SHP-502819"/>
    <d v="2025-01-27T00:00:00"/>
    <x v="1"/>
    <s v="Q1"/>
    <x v="0"/>
    <x v="4"/>
    <x v="1"/>
    <x v="3"/>
    <x v="0"/>
    <s v="Road"/>
    <x v="0"/>
    <n v="198"/>
    <n v="523"/>
    <n v="4"/>
    <n v="4"/>
    <n v="1"/>
    <n v="0"/>
    <n v="92.66"/>
    <n v="0"/>
    <n v="1"/>
  </r>
  <r>
    <s v="SHP-502820"/>
    <d v="2025-01-27T00:00:00"/>
    <x v="1"/>
    <s v="Q1"/>
    <x v="0"/>
    <x v="3"/>
    <x v="2"/>
    <x v="2"/>
    <x v="1"/>
    <s v="Road"/>
    <x v="1"/>
    <n v="1.3"/>
    <n v="1239"/>
    <n v="7"/>
    <n v="7"/>
    <n v="1"/>
    <n v="0"/>
    <n v="18.04"/>
    <n v="0"/>
    <n v="1"/>
  </r>
  <r>
    <s v="SHP-502821"/>
    <d v="2025-01-27T00:00:00"/>
    <x v="1"/>
    <s v="Q1"/>
    <x v="0"/>
    <x v="0"/>
    <x v="1"/>
    <x v="3"/>
    <x v="0"/>
    <s v="Road"/>
    <x v="1"/>
    <n v="3.4"/>
    <n v="389"/>
    <n v="4"/>
    <n v="4"/>
    <n v="1"/>
    <n v="0"/>
    <n v="12.3"/>
    <n v="0"/>
    <n v="1"/>
  </r>
  <r>
    <s v="SHP-502822"/>
    <d v="2025-01-27T00:00:00"/>
    <x v="1"/>
    <s v="Q1"/>
    <x v="0"/>
    <x v="2"/>
    <x v="1"/>
    <x v="0"/>
    <x v="0"/>
    <s v="Road"/>
    <x v="1"/>
    <n v="4.2"/>
    <n v="719"/>
    <n v="4"/>
    <n v="4"/>
    <n v="1"/>
    <n v="0"/>
    <n v="17.29"/>
    <n v="0"/>
    <n v="1"/>
  </r>
  <r>
    <s v="SHP-502823"/>
    <d v="2025-01-27T00:00:00"/>
    <x v="1"/>
    <s v="Q1"/>
    <x v="0"/>
    <x v="2"/>
    <x v="1"/>
    <x v="1"/>
    <x v="0"/>
    <s v="Road"/>
    <x v="1"/>
    <n v="3.4"/>
    <n v="294"/>
    <n v="3"/>
    <n v="2"/>
    <n v="1"/>
    <n v="0"/>
    <n v="10.54"/>
    <n v="0"/>
    <n v="1"/>
  </r>
  <r>
    <s v="SHP-502824"/>
    <d v="2025-01-27T00:00:00"/>
    <x v="1"/>
    <s v="Q1"/>
    <x v="0"/>
    <x v="3"/>
    <x v="0"/>
    <x v="2"/>
    <x v="1"/>
    <s v="Road"/>
    <x v="0"/>
    <n v="124.4"/>
    <n v="1161"/>
    <n v="7"/>
    <n v="6"/>
    <n v="1"/>
    <n v="0"/>
    <n v="57.04"/>
    <n v="0"/>
    <n v="1"/>
  </r>
  <r>
    <s v="SHP-502825"/>
    <d v="2025-01-27T00:00:00"/>
    <x v="1"/>
    <s v="Q1"/>
    <x v="0"/>
    <x v="3"/>
    <x v="1"/>
    <x v="4"/>
    <x v="0"/>
    <s v="Road"/>
    <x v="1"/>
    <n v="5.0999999999999996"/>
    <n v="1189"/>
    <n v="5"/>
    <n v="5"/>
    <n v="1"/>
    <n v="0"/>
    <n v="25.43"/>
    <n v="0"/>
    <n v="1"/>
  </r>
  <r>
    <s v="SHP-502826"/>
    <d v="2025-01-27T00:00:00"/>
    <x v="1"/>
    <s v="Q1"/>
    <x v="0"/>
    <x v="4"/>
    <x v="1"/>
    <x v="0"/>
    <x v="1"/>
    <s v="Road"/>
    <x v="0"/>
    <n v="95.4"/>
    <n v="934"/>
    <n v="6"/>
    <n v="6"/>
    <n v="1"/>
    <n v="0"/>
    <n v="46.3"/>
    <n v="0"/>
    <n v="1"/>
  </r>
  <r>
    <s v="SHP-502827"/>
    <d v="2025-01-27T00:00:00"/>
    <x v="1"/>
    <s v="Q1"/>
    <x v="0"/>
    <x v="4"/>
    <x v="1"/>
    <x v="4"/>
    <x v="1"/>
    <s v="Road"/>
    <x v="0"/>
    <n v="45.5"/>
    <n v="1466"/>
    <n v="7"/>
    <n v="7"/>
    <n v="1"/>
    <n v="0"/>
    <n v="33.86"/>
    <n v="0"/>
    <n v="1"/>
  </r>
  <r>
    <s v="SHP-502828"/>
    <d v="2025-01-27T00:00:00"/>
    <x v="1"/>
    <s v="Q1"/>
    <x v="0"/>
    <x v="0"/>
    <x v="1"/>
    <x v="3"/>
    <x v="0"/>
    <s v="Road"/>
    <x v="0"/>
    <n v="12.6"/>
    <n v="495"/>
    <n v="4"/>
    <n v="4"/>
    <n v="1"/>
    <n v="0"/>
    <n v="19.12"/>
    <n v="0"/>
    <n v="1"/>
  </r>
  <r>
    <s v="SHP-502829"/>
    <d v="2025-01-27T00:00:00"/>
    <x v="1"/>
    <s v="Q1"/>
    <x v="0"/>
    <x v="1"/>
    <x v="1"/>
    <x v="0"/>
    <x v="0"/>
    <s v="Road"/>
    <x v="0"/>
    <n v="256.3"/>
    <n v="848"/>
    <n v="4"/>
    <n v="4"/>
    <n v="1"/>
    <n v="0"/>
    <n v="123.54"/>
    <n v="0"/>
    <n v="1"/>
  </r>
  <r>
    <s v="SHP-502830"/>
    <d v="2025-01-28T00:00:00"/>
    <x v="1"/>
    <s v="Q1"/>
    <x v="0"/>
    <x v="4"/>
    <x v="2"/>
    <x v="1"/>
    <x v="0"/>
    <s v="Road"/>
    <x v="0"/>
    <n v="271.39999999999998"/>
    <n v="175"/>
    <n v="3"/>
    <n v="3"/>
    <n v="1"/>
    <n v="0"/>
    <n v="104.87"/>
    <n v="0"/>
    <n v="1"/>
  </r>
  <r>
    <s v="SHP-502831"/>
    <d v="2025-01-28T00:00:00"/>
    <x v="1"/>
    <s v="Q1"/>
    <x v="0"/>
    <x v="3"/>
    <x v="0"/>
    <x v="0"/>
    <x v="0"/>
    <s v="Road"/>
    <x v="1"/>
    <n v="14.8"/>
    <n v="1077"/>
    <n v="4"/>
    <n v="4"/>
    <n v="1"/>
    <n v="0"/>
    <n v="31.27"/>
    <n v="0"/>
    <n v="1"/>
  </r>
  <r>
    <s v="SHP-502832"/>
    <d v="2025-01-28T00:00:00"/>
    <x v="1"/>
    <s v="Q1"/>
    <x v="0"/>
    <x v="3"/>
    <x v="2"/>
    <x v="1"/>
    <x v="0"/>
    <s v="Road"/>
    <x v="1"/>
    <n v="1.4"/>
    <n v="307"/>
    <n v="3"/>
    <n v="2"/>
    <n v="1"/>
    <n v="0"/>
    <n v="12.27"/>
    <n v="0"/>
    <n v="1"/>
  </r>
  <r>
    <s v="SHP-502833"/>
    <d v="2025-01-28T00:00:00"/>
    <x v="1"/>
    <s v="Q1"/>
    <x v="0"/>
    <x v="0"/>
    <x v="2"/>
    <x v="1"/>
    <x v="2"/>
    <s v="Road"/>
    <x v="1"/>
    <n v="3.2"/>
    <n v="284"/>
    <n v="1"/>
    <n v="1"/>
    <n v="1"/>
    <n v="0"/>
    <n v="21.05"/>
    <n v="0"/>
    <n v="1"/>
  </r>
  <r>
    <s v="SHP-502834"/>
    <d v="2025-01-29T00:00:00"/>
    <x v="1"/>
    <s v="Q1"/>
    <x v="0"/>
    <x v="0"/>
    <x v="2"/>
    <x v="0"/>
    <x v="0"/>
    <s v="Road"/>
    <x v="0"/>
    <n v="84.3"/>
    <n v="934"/>
    <n v="4"/>
    <n v="3"/>
    <n v="1"/>
    <n v="0"/>
    <n v="54.85"/>
    <n v="0"/>
    <n v="1"/>
  </r>
  <r>
    <s v="SHP-502835"/>
    <d v="2025-01-29T00:00:00"/>
    <x v="1"/>
    <s v="Q1"/>
    <x v="0"/>
    <x v="2"/>
    <x v="2"/>
    <x v="1"/>
    <x v="0"/>
    <s v="Road"/>
    <x v="1"/>
    <n v="18.3"/>
    <n v="237"/>
    <n v="3"/>
    <n v="2"/>
    <n v="1"/>
    <n v="0"/>
    <n v="15.96"/>
    <n v="0"/>
    <n v="1"/>
  </r>
  <r>
    <s v="SHP-502836"/>
    <d v="2025-01-29T00:00:00"/>
    <x v="1"/>
    <s v="Q1"/>
    <x v="0"/>
    <x v="4"/>
    <x v="1"/>
    <x v="4"/>
    <x v="1"/>
    <s v="Road"/>
    <x v="0"/>
    <n v="219.3"/>
    <n v="1211"/>
    <n v="7"/>
    <n v="7"/>
    <n v="1"/>
    <n v="0"/>
    <n v="77.88"/>
    <n v="0"/>
    <n v="1"/>
  </r>
  <r>
    <s v="SHP-502837"/>
    <d v="2025-01-29T00:00:00"/>
    <x v="1"/>
    <s v="Q1"/>
    <x v="0"/>
    <x v="1"/>
    <x v="2"/>
    <x v="2"/>
    <x v="0"/>
    <s v="Road"/>
    <x v="0"/>
    <n v="89"/>
    <n v="1392"/>
    <n v="5"/>
    <n v="5"/>
    <n v="1"/>
    <n v="0"/>
    <n v="73.36"/>
    <n v="0"/>
    <n v="1"/>
  </r>
  <r>
    <s v="SHP-502838"/>
    <d v="2025-01-29T00:00:00"/>
    <x v="1"/>
    <s v="Q1"/>
    <x v="0"/>
    <x v="2"/>
    <x v="2"/>
    <x v="2"/>
    <x v="0"/>
    <s v="Road"/>
    <x v="0"/>
    <n v="261.8"/>
    <n v="1086"/>
    <n v="5"/>
    <n v="4"/>
    <n v="1"/>
    <n v="0"/>
    <n v="95.21"/>
    <n v="0"/>
    <n v="1"/>
  </r>
  <r>
    <s v="SHP-502839"/>
    <d v="2025-01-29T00:00:00"/>
    <x v="1"/>
    <s v="Q1"/>
    <x v="0"/>
    <x v="0"/>
    <x v="1"/>
    <x v="0"/>
    <x v="2"/>
    <s v="Air"/>
    <x v="1"/>
    <n v="11"/>
    <n v="867"/>
    <n v="2"/>
    <n v="1"/>
    <n v="1"/>
    <n v="0"/>
    <n v="75.349999999999994"/>
    <n v="0"/>
    <n v="1"/>
  </r>
  <r>
    <s v="SHP-502840"/>
    <d v="2025-01-29T00:00:00"/>
    <x v="1"/>
    <s v="Q1"/>
    <x v="0"/>
    <x v="0"/>
    <x v="0"/>
    <x v="0"/>
    <x v="0"/>
    <s v="Road"/>
    <x v="0"/>
    <n v="73.099999999999994"/>
    <n v="961"/>
    <n v="4"/>
    <n v="4"/>
    <n v="1"/>
    <n v="0"/>
    <n v="49.51"/>
    <n v="0"/>
    <n v="1"/>
  </r>
  <r>
    <s v="SHP-502841"/>
    <d v="2025-01-29T00:00:00"/>
    <x v="1"/>
    <s v="Q1"/>
    <x v="0"/>
    <x v="4"/>
    <x v="1"/>
    <x v="1"/>
    <x v="0"/>
    <s v="Road"/>
    <x v="1"/>
    <n v="1.2"/>
    <n v="260"/>
    <n v="3"/>
    <n v="2"/>
    <n v="1"/>
    <n v="0"/>
    <n v="10.83"/>
    <n v="0"/>
    <n v="1"/>
  </r>
  <r>
    <s v="SHP-502842"/>
    <d v="2025-01-29T00:00:00"/>
    <x v="1"/>
    <s v="Q1"/>
    <x v="0"/>
    <x v="4"/>
    <x v="0"/>
    <x v="2"/>
    <x v="0"/>
    <s v="Road"/>
    <x v="0"/>
    <n v="151"/>
    <n v="1156"/>
    <n v="5"/>
    <n v="5"/>
    <n v="1"/>
    <n v="0"/>
    <n v="77.680000000000007"/>
    <n v="0"/>
    <n v="1"/>
  </r>
  <r>
    <s v="SHP-502843"/>
    <d v="2025-01-29T00:00:00"/>
    <x v="1"/>
    <s v="Q1"/>
    <x v="0"/>
    <x v="3"/>
    <x v="2"/>
    <x v="4"/>
    <x v="0"/>
    <s v="Road"/>
    <x v="0"/>
    <n v="58.4"/>
    <n v="1112"/>
    <n v="5"/>
    <n v="4"/>
    <n v="1"/>
    <n v="0"/>
    <n v="47.53"/>
    <n v="0"/>
    <n v="1"/>
  </r>
  <r>
    <s v="SHP-502844"/>
    <d v="2025-01-29T00:00:00"/>
    <x v="1"/>
    <s v="Q1"/>
    <x v="0"/>
    <x v="4"/>
    <x v="2"/>
    <x v="1"/>
    <x v="0"/>
    <s v="Road"/>
    <x v="1"/>
    <n v="11.7"/>
    <n v="164"/>
    <n v="3"/>
    <n v="3"/>
    <n v="1"/>
    <n v="0"/>
    <n v="16.41"/>
    <n v="0"/>
    <n v="1"/>
  </r>
  <r>
    <s v="SHP-502845"/>
    <d v="2025-01-29T00:00:00"/>
    <x v="1"/>
    <s v="Q1"/>
    <x v="0"/>
    <x v="0"/>
    <x v="1"/>
    <x v="0"/>
    <x v="1"/>
    <s v="Road"/>
    <x v="1"/>
    <n v="6.5"/>
    <n v="742"/>
    <n v="6"/>
    <n v="6"/>
    <n v="1"/>
    <n v="0"/>
    <n v="13.74"/>
    <n v="0"/>
    <n v="1"/>
  </r>
  <r>
    <s v="SHP-502846"/>
    <d v="2025-01-29T00:00:00"/>
    <x v="1"/>
    <s v="Q1"/>
    <x v="0"/>
    <x v="3"/>
    <x v="2"/>
    <x v="0"/>
    <x v="0"/>
    <s v="Road"/>
    <x v="1"/>
    <n v="9.6"/>
    <n v="822"/>
    <n v="4"/>
    <n v="4"/>
    <n v="1"/>
    <n v="0"/>
    <n v="26.94"/>
    <n v="0"/>
    <n v="1"/>
  </r>
  <r>
    <s v="SHP-502847"/>
    <d v="2025-01-30T00:00:00"/>
    <x v="1"/>
    <s v="Q1"/>
    <x v="0"/>
    <x v="1"/>
    <x v="2"/>
    <x v="3"/>
    <x v="2"/>
    <s v="Road"/>
    <x v="1"/>
    <n v="4.7"/>
    <n v="539"/>
    <n v="2"/>
    <n v="2"/>
    <n v="1"/>
    <n v="0"/>
    <n v="33.21"/>
    <n v="0"/>
    <n v="1"/>
  </r>
  <r>
    <s v="SHP-502848"/>
    <d v="2025-01-30T00:00:00"/>
    <x v="1"/>
    <s v="Q1"/>
    <x v="0"/>
    <x v="0"/>
    <x v="1"/>
    <x v="1"/>
    <x v="0"/>
    <s v="Road"/>
    <x v="0"/>
    <n v="30.7"/>
    <n v="234"/>
    <n v="3"/>
    <n v="3"/>
    <n v="1"/>
    <n v="0"/>
    <n v="22"/>
    <n v="0"/>
    <n v="1"/>
  </r>
  <r>
    <s v="SHP-502849"/>
    <d v="2025-01-30T00:00:00"/>
    <x v="1"/>
    <s v="Q1"/>
    <x v="0"/>
    <x v="3"/>
    <x v="1"/>
    <x v="3"/>
    <x v="1"/>
    <s v="Road"/>
    <x v="0"/>
    <n v="22.2"/>
    <n v="410"/>
    <n v="6"/>
    <n v="6"/>
    <n v="1"/>
    <n v="0"/>
    <n v="19.2"/>
    <n v="0"/>
    <n v="1"/>
  </r>
  <r>
    <s v="SHP-502850"/>
    <d v="2025-01-30T00:00:00"/>
    <x v="1"/>
    <s v="Q1"/>
    <x v="0"/>
    <x v="4"/>
    <x v="2"/>
    <x v="2"/>
    <x v="2"/>
    <s v="Air"/>
    <x v="1"/>
    <n v="6.5"/>
    <n v="1083"/>
    <n v="3"/>
    <n v="3"/>
    <n v="1"/>
    <n v="0"/>
    <n v="73.31"/>
    <n v="0"/>
    <n v="1"/>
  </r>
  <r>
    <s v="SHP-502851"/>
    <d v="2025-01-30T00:00:00"/>
    <x v="1"/>
    <s v="Q1"/>
    <x v="0"/>
    <x v="2"/>
    <x v="1"/>
    <x v="3"/>
    <x v="2"/>
    <s v="Road"/>
    <x v="0"/>
    <n v="36.5"/>
    <n v="382"/>
    <n v="2"/>
    <n v="2"/>
    <n v="1"/>
    <n v="0"/>
    <n v="50.17"/>
    <n v="0"/>
    <n v="1"/>
  </r>
  <r>
    <s v="SHP-502852"/>
    <d v="2025-01-30T00:00:00"/>
    <x v="1"/>
    <s v="Q1"/>
    <x v="0"/>
    <x v="1"/>
    <x v="1"/>
    <x v="1"/>
    <x v="1"/>
    <s v="Road"/>
    <x v="1"/>
    <n v="1.6"/>
    <n v="280"/>
    <n v="5"/>
    <n v="4"/>
    <n v="1"/>
    <n v="0"/>
    <n v="7.95"/>
    <n v="0"/>
    <n v="1"/>
  </r>
  <r>
    <s v="SHP-502853"/>
    <d v="2025-01-30T00:00:00"/>
    <x v="1"/>
    <s v="Q1"/>
    <x v="0"/>
    <x v="0"/>
    <x v="2"/>
    <x v="3"/>
    <x v="2"/>
    <s v="Road"/>
    <x v="0"/>
    <n v="12.2"/>
    <n v="569"/>
    <n v="2"/>
    <n v="2"/>
    <n v="1"/>
    <n v="0"/>
    <n v="39.68"/>
    <n v="0"/>
    <n v="1"/>
  </r>
  <r>
    <s v="SHP-502854"/>
    <d v="2025-01-30T00:00:00"/>
    <x v="1"/>
    <s v="Q1"/>
    <x v="0"/>
    <x v="3"/>
    <x v="2"/>
    <x v="4"/>
    <x v="0"/>
    <s v="Road"/>
    <x v="1"/>
    <n v="6.4"/>
    <n v="1057"/>
    <n v="5"/>
    <n v="5"/>
    <n v="1"/>
    <n v="0"/>
    <n v="23.02"/>
    <n v="0"/>
    <n v="1"/>
  </r>
  <r>
    <s v="SHP-502855"/>
    <d v="2025-01-31T00:00:00"/>
    <x v="1"/>
    <s v="Q1"/>
    <x v="0"/>
    <x v="3"/>
    <x v="1"/>
    <x v="4"/>
    <x v="2"/>
    <s v="Air"/>
    <x v="0"/>
    <n v="65.5"/>
    <n v="1085"/>
    <n v="3"/>
    <n v="3"/>
    <n v="1"/>
    <n v="0"/>
    <n v="183.93"/>
    <n v="0"/>
    <n v="1"/>
  </r>
  <r>
    <s v="SHP-502856"/>
    <d v="2025-01-31T00:00:00"/>
    <x v="1"/>
    <s v="Q1"/>
    <x v="0"/>
    <x v="0"/>
    <x v="2"/>
    <x v="1"/>
    <x v="1"/>
    <s v="Road"/>
    <x v="0"/>
    <n v="120.4"/>
    <n v="205"/>
    <n v="5"/>
    <n v="4"/>
    <n v="1"/>
    <n v="0"/>
    <n v="43.89"/>
    <n v="0"/>
    <n v="1"/>
  </r>
  <r>
    <s v="SHP-502857"/>
    <d v="2025-01-31T00:00:00"/>
    <x v="1"/>
    <s v="Q1"/>
    <x v="0"/>
    <x v="4"/>
    <x v="2"/>
    <x v="1"/>
    <x v="0"/>
    <s v="Road"/>
    <x v="0"/>
    <n v="87.7"/>
    <n v="257"/>
    <n v="3"/>
    <n v="3"/>
    <n v="1"/>
    <n v="0"/>
    <n v="49.12"/>
    <n v="0"/>
    <n v="1"/>
  </r>
  <r>
    <s v="SHP-502858"/>
    <d v="2025-01-31T00:00:00"/>
    <x v="1"/>
    <s v="Q1"/>
    <x v="0"/>
    <x v="1"/>
    <x v="2"/>
    <x v="1"/>
    <x v="0"/>
    <s v="Road"/>
    <x v="1"/>
    <n v="12"/>
    <n v="293"/>
    <n v="3"/>
    <n v="5"/>
    <n v="0"/>
    <n v="2"/>
    <n v="17.48"/>
    <n v="0"/>
    <n v="1"/>
  </r>
  <r>
    <s v="SHP-502859"/>
    <d v="2025-01-31T00:00:00"/>
    <x v="1"/>
    <s v="Q1"/>
    <x v="0"/>
    <x v="3"/>
    <x v="2"/>
    <x v="3"/>
    <x v="0"/>
    <s v="Road"/>
    <x v="0"/>
    <n v="4"/>
    <n v="509"/>
    <n v="4"/>
    <n v="4"/>
    <n v="1"/>
    <n v="0"/>
    <n v="15.62"/>
    <n v="0"/>
    <n v="1"/>
  </r>
  <r>
    <s v="SHP-502860"/>
    <d v="2025-02-01T00:00:00"/>
    <x v="1"/>
    <s v="Q1"/>
    <x v="1"/>
    <x v="0"/>
    <x v="1"/>
    <x v="0"/>
    <x v="0"/>
    <s v="Road"/>
    <x v="1"/>
    <n v="2.4"/>
    <n v="836"/>
    <n v="4"/>
    <n v="4"/>
    <n v="1"/>
    <n v="0"/>
    <n v="16.61"/>
    <n v="0"/>
    <n v="1"/>
  </r>
  <r>
    <s v="SHP-502861"/>
    <d v="2025-02-01T00:00:00"/>
    <x v="1"/>
    <s v="Q1"/>
    <x v="1"/>
    <x v="1"/>
    <x v="1"/>
    <x v="1"/>
    <x v="1"/>
    <s v="Road"/>
    <x v="1"/>
    <n v="0.7"/>
    <n v="270"/>
    <n v="5"/>
    <n v="4"/>
    <n v="1"/>
    <n v="0"/>
    <n v="7.57"/>
    <n v="0"/>
    <n v="1"/>
  </r>
  <r>
    <s v="SHP-502862"/>
    <d v="2025-02-01T00:00:00"/>
    <x v="1"/>
    <s v="Q1"/>
    <x v="1"/>
    <x v="4"/>
    <x v="1"/>
    <x v="3"/>
    <x v="0"/>
    <s v="Road"/>
    <x v="1"/>
    <n v="6.5"/>
    <n v="459"/>
    <n v="4"/>
    <n v="3"/>
    <n v="1"/>
    <n v="0"/>
    <n v="15.88"/>
    <n v="0"/>
    <n v="1"/>
  </r>
  <r>
    <s v="SHP-502863"/>
    <d v="2025-02-01T00:00:00"/>
    <x v="1"/>
    <s v="Q1"/>
    <x v="1"/>
    <x v="4"/>
    <x v="1"/>
    <x v="2"/>
    <x v="2"/>
    <s v="Air"/>
    <x v="1"/>
    <n v="9.8000000000000007"/>
    <n v="1194"/>
    <n v="3"/>
    <n v="2"/>
    <n v="1"/>
    <n v="0"/>
    <n v="88.05"/>
    <n v="0"/>
    <n v="1"/>
  </r>
  <r>
    <s v="SHP-502864"/>
    <d v="2025-02-01T00:00:00"/>
    <x v="1"/>
    <s v="Q1"/>
    <x v="1"/>
    <x v="4"/>
    <x v="1"/>
    <x v="3"/>
    <x v="0"/>
    <s v="Road"/>
    <x v="1"/>
    <n v="1.4"/>
    <n v="453"/>
    <n v="4"/>
    <n v="4"/>
    <n v="1"/>
    <n v="0"/>
    <n v="12.57"/>
    <n v="0"/>
    <n v="1"/>
  </r>
  <r>
    <s v="SHP-502865"/>
    <d v="2025-02-01T00:00:00"/>
    <x v="1"/>
    <s v="Q1"/>
    <x v="1"/>
    <x v="3"/>
    <x v="0"/>
    <x v="2"/>
    <x v="0"/>
    <s v="Road"/>
    <x v="1"/>
    <n v="9.6999999999999993"/>
    <n v="1203"/>
    <n v="5"/>
    <n v="7"/>
    <n v="0"/>
    <n v="2"/>
    <n v="28.92"/>
    <n v="0"/>
    <n v="1"/>
  </r>
  <r>
    <s v="SHP-502866"/>
    <d v="2025-02-02T00:00:00"/>
    <x v="1"/>
    <s v="Q1"/>
    <x v="1"/>
    <x v="0"/>
    <x v="1"/>
    <x v="3"/>
    <x v="1"/>
    <s v="Road"/>
    <x v="0"/>
    <n v="126.3"/>
    <n v="600"/>
    <n v="6"/>
    <n v="6"/>
    <n v="1"/>
    <n v="0"/>
    <n v="49.45"/>
    <n v="0"/>
    <n v="1"/>
  </r>
  <r>
    <s v="SHP-502867"/>
    <d v="2025-02-02T00:00:00"/>
    <x v="1"/>
    <s v="Q1"/>
    <x v="1"/>
    <x v="2"/>
    <x v="2"/>
    <x v="4"/>
    <x v="0"/>
    <s v="Road"/>
    <x v="0"/>
    <n v="164"/>
    <n v="995"/>
    <n v="5"/>
    <n v="6"/>
    <n v="0"/>
    <n v="1"/>
    <n v="72.63"/>
    <n v="0"/>
    <n v="1"/>
  </r>
  <r>
    <s v="SHP-502868"/>
    <d v="2025-02-02T00:00:00"/>
    <x v="1"/>
    <s v="Q1"/>
    <x v="1"/>
    <x v="4"/>
    <x v="2"/>
    <x v="4"/>
    <x v="0"/>
    <s v="Road"/>
    <x v="1"/>
    <n v="5.3"/>
    <n v="1221"/>
    <n v="5"/>
    <n v="5"/>
    <n v="1"/>
    <n v="0"/>
    <n v="25.66"/>
    <n v="0"/>
    <n v="1"/>
  </r>
  <r>
    <s v="SHP-502869"/>
    <d v="2025-02-03T00:00:00"/>
    <x v="1"/>
    <s v="Q1"/>
    <x v="1"/>
    <x v="2"/>
    <x v="1"/>
    <x v="1"/>
    <x v="0"/>
    <s v="Road"/>
    <x v="1"/>
    <n v="5.7"/>
    <n v="242"/>
    <n v="3"/>
    <n v="5"/>
    <n v="0"/>
    <n v="2"/>
    <n v="12.01"/>
    <n v="0"/>
    <n v="1"/>
  </r>
  <r>
    <s v="SHP-502870"/>
    <d v="2025-02-03T00:00:00"/>
    <x v="1"/>
    <s v="Q1"/>
    <x v="1"/>
    <x v="3"/>
    <x v="1"/>
    <x v="4"/>
    <x v="1"/>
    <s v="Road"/>
    <x v="0"/>
    <n v="96"/>
    <n v="961"/>
    <n v="7"/>
    <n v="7"/>
    <n v="1"/>
    <n v="0"/>
    <n v="51.82"/>
    <n v="0"/>
    <n v="1"/>
  </r>
  <r>
    <s v="SHP-502871"/>
    <d v="2025-02-03T00:00:00"/>
    <x v="1"/>
    <s v="Q1"/>
    <x v="1"/>
    <x v="3"/>
    <x v="2"/>
    <x v="3"/>
    <x v="2"/>
    <s v="Road"/>
    <x v="1"/>
    <n v="5.5"/>
    <n v="294"/>
    <n v="2"/>
    <n v="1"/>
    <n v="1"/>
    <n v="0"/>
    <n v="28.53"/>
    <n v="0"/>
    <n v="1"/>
  </r>
  <r>
    <s v="SHP-502872"/>
    <d v="2025-02-03T00:00:00"/>
    <x v="1"/>
    <s v="Q1"/>
    <x v="1"/>
    <x v="0"/>
    <x v="1"/>
    <x v="2"/>
    <x v="0"/>
    <s v="Road"/>
    <x v="1"/>
    <n v="10.199999999999999"/>
    <n v="1183"/>
    <n v="5"/>
    <n v="5"/>
    <n v="1"/>
    <n v="0"/>
    <n v="26.08"/>
    <n v="0"/>
    <n v="1"/>
  </r>
  <r>
    <s v="SHP-502873"/>
    <d v="2025-02-03T00:00:00"/>
    <x v="1"/>
    <s v="Q1"/>
    <x v="1"/>
    <x v="1"/>
    <x v="1"/>
    <x v="3"/>
    <x v="1"/>
    <s v="Road"/>
    <x v="0"/>
    <n v="188.2"/>
    <n v="532"/>
    <n v="6"/>
    <n v="5"/>
    <n v="1"/>
    <n v="0"/>
    <n v="70.930000000000007"/>
    <n v="0"/>
    <n v="1"/>
  </r>
  <r>
    <s v="SHP-502874"/>
    <d v="2025-02-03T00:00:00"/>
    <x v="1"/>
    <s v="Q1"/>
    <x v="1"/>
    <x v="4"/>
    <x v="1"/>
    <x v="3"/>
    <x v="2"/>
    <s v="Road"/>
    <x v="1"/>
    <n v="8.9"/>
    <n v="368"/>
    <n v="2"/>
    <n v="2"/>
    <n v="1"/>
    <n v="0"/>
    <n v="30.12"/>
    <n v="0"/>
    <n v="1"/>
  </r>
  <r>
    <s v="SHP-502875"/>
    <d v="2025-02-03T00:00:00"/>
    <x v="1"/>
    <s v="Q1"/>
    <x v="1"/>
    <x v="4"/>
    <x v="2"/>
    <x v="1"/>
    <x v="0"/>
    <s v="Road"/>
    <x v="1"/>
    <n v="2.6"/>
    <n v="322"/>
    <n v="3"/>
    <n v="3"/>
    <n v="1"/>
    <n v="0"/>
    <n v="12.38"/>
    <n v="0"/>
    <n v="1"/>
  </r>
  <r>
    <s v="SHP-502876"/>
    <d v="2025-02-03T00:00:00"/>
    <x v="1"/>
    <s v="Q1"/>
    <x v="1"/>
    <x v="0"/>
    <x v="2"/>
    <x v="0"/>
    <x v="2"/>
    <s v="Air"/>
    <x v="1"/>
    <n v="5.7"/>
    <n v="992"/>
    <n v="2"/>
    <n v="2"/>
    <n v="1"/>
    <n v="0"/>
    <n v="64.39"/>
    <n v="0"/>
    <n v="1"/>
  </r>
  <r>
    <s v="SHP-502877"/>
    <d v="2025-02-03T00:00:00"/>
    <x v="1"/>
    <s v="Q1"/>
    <x v="1"/>
    <x v="2"/>
    <x v="2"/>
    <x v="4"/>
    <x v="0"/>
    <s v="Road"/>
    <x v="1"/>
    <n v="4.4000000000000004"/>
    <n v="1123"/>
    <n v="5"/>
    <n v="8"/>
    <n v="0"/>
    <n v="3"/>
    <n v="21.06"/>
    <n v="0"/>
    <n v="1"/>
  </r>
  <r>
    <s v="SHP-502878"/>
    <d v="2025-02-04T00:00:00"/>
    <x v="1"/>
    <s v="Q1"/>
    <x v="1"/>
    <x v="2"/>
    <x v="2"/>
    <x v="3"/>
    <x v="0"/>
    <s v="Road"/>
    <x v="0"/>
    <n v="82.8"/>
    <n v="545"/>
    <n v="4"/>
    <n v="4"/>
    <n v="1"/>
    <n v="0"/>
    <n v="42.37"/>
    <n v="0"/>
    <n v="1"/>
  </r>
  <r>
    <s v="SHP-502879"/>
    <d v="2025-02-04T00:00:00"/>
    <x v="1"/>
    <s v="Q1"/>
    <x v="1"/>
    <x v="1"/>
    <x v="2"/>
    <x v="1"/>
    <x v="1"/>
    <s v="Road"/>
    <x v="0"/>
    <n v="149.1"/>
    <n v="259"/>
    <n v="5"/>
    <n v="5"/>
    <n v="1"/>
    <n v="0"/>
    <n v="59.23"/>
    <n v="0"/>
    <n v="1"/>
  </r>
  <r>
    <s v="SHP-502880"/>
    <d v="2025-02-04T00:00:00"/>
    <x v="1"/>
    <s v="Q1"/>
    <x v="1"/>
    <x v="2"/>
    <x v="2"/>
    <x v="1"/>
    <x v="0"/>
    <s v="Road"/>
    <x v="0"/>
    <n v="12.7"/>
    <n v="289"/>
    <n v="3"/>
    <n v="2"/>
    <n v="1"/>
    <n v="0"/>
    <n v="16.440000000000001"/>
    <n v="0"/>
    <n v="1"/>
  </r>
  <r>
    <s v="SHP-502881"/>
    <d v="2025-02-04T00:00:00"/>
    <x v="1"/>
    <s v="Q1"/>
    <x v="1"/>
    <x v="2"/>
    <x v="2"/>
    <x v="1"/>
    <x v="2"/>
    <s v="Road"/>
    <x v="1"/>
    <n v="4.9000000000000004"/>
    <n v="249"/>
    <n v="1"/>
    <n v="1"/>
    <n v="1"/>
    <n v="0"/>
    <n v="23.08"/>
    <n v="0"/>
    <n v="1"/>
  </r>
  <r>
    <s v="SHP-502882"/>
    <d v="2025-02-04T00:00:00"/>
    <x v="1"/>
    <s v="Q1"/>
    <x v="1"/>
    <x v="0"/>
    <x v="1"/>
    <x v="2"/>
    <x v="0"/>
    <s v="Road"/>
    <x v="1"/>
    <n v="9.9"/>
    <n v="991"/>
    <n v="5"/>
    <n v="5"/>
    <n v="1"/>
    <n v="0"/>
    <n v="21.62"/>
    <n v="0"/>
    <n v="1"/>
  </r>
  <r>
    <s v="SHP-502883"/>
    <d v="2025-02-04T00:00:00"/>
    <x v="1"/>
    <s v="Q1"/>
    <x v="1"/>
    <x v="2"/>
    <x v="0"/>
    <x v="1"/>
    <x v="0"/>
    <s v="Road"/>
    <x v="1"/>
    <n v="3.2"/>
    <n v="222"/>
    <n v="3"/>
    <n v="2"/>
    <n v="1"/>
    <n v="0"/>
    <n v="9.33"/>
    <n v="0"/>
    <n v="1"/>
  </r>
  <r>
    <s v="SHP-502884"/>
    <d v="2025-02-04T00:00:00"/>
    <x v="1"/>
    <s v="Q1"/>
    <x v="1"/>
    <x v="3"/>
    <x v="0"/>
    <x v="4"/>
    <x v="0"/>
    <s v="Road"/>
    <x v="1"/>
    <n v="10.199999999999999"/>
    <n v="1059"/>
    <n v="5"/>
    <n v="5"/>
    <n v="1"/>
    <n v="0"/>
    <n v="27.45"/>
    <n v="0"/>
    <n v="1"/>
  </r>
  <r>
    <s v="SHP-502885"/>
    <d v="2025-02-05T00:00:00"/>
    <x v="1"/>
    <s v="Q1"/>
    <x v="1"/>
    <x v="2"/>
    <x v="2"/>
    <x v="0"/>
    <x v="2"/>
    <s v="Air"/>
    <x v="0"/>
    <n v="272.5"/>
    <n v="962"/>
    <n v="2"/>
    <n v="2"/>
    <n v="1"/>
    <n v="0"/>
    <n v="316.77999999999997"/>
    <n v="0"/>
    <n v="1"/>
  </r>
  <r>
    <s v="SHP-502886"/>
    <d v="2025-02-05T00:00:00"/>
    <x v="1"/>
    <s v="Q1"/>
    <x v="1"/>
    <x v="3"/>
    <x v="2"/>
    <x v="4"/>
    <x v="2"/>
    <s v="Air"/>
    <x v="0"/>
    <n v="34.1"/>
    <n v="983"/>
    <n v="3"/>
    <n v="6"/>
    <n v="0"/>
    <n v="3"/>
    <n v="126.2"/>
    <n v="0"/>
    <n v="1"/>
  </r>
  <r>
    <s v="SHP-502887"/>
    <d v="2025-02-05T00:00:00"/>
    <x v="1"/>
    <s v="Q1"/>
    <x v="1"/>
    <x v="1"/>
    <x v="2"/>
    <x v="1"/>
    <x v="0"/>
    <s v="Road"/>
    <x v="1"/>
    <n v="2.8"/>
    <n v="243"/>
    <n v="3"/>
    <n v="3"/>
    <n v="1"/>
    <n v="0"/>
    <n v="12.56"/>
    <n v="0"/>
    <n v="1"/>
  </r>
  <r>
    <s v="SHP-502888"/>
    <d v="2025-02-05T00:00:00"/>
    <x v="1"/>
    <s v="Q1"/>
    <x v="1"/>
    <x v="4"/>
    <x v="2"/>
    <x v="1"/>
    <x v="2"/>
    <s v="Road"/>
    <x v="0"/>
    <n v="162.5"/>
    <n v="246"/>
    <n v="1"/>
    <n v="1"/>
    <n v="1"/>
    <n v="0"/>
    <n v="140.83000000000001"/>
    <n v="0"/>
    <n v="1"/>
  </r>
  <r>
    <s v="SHP-502889"/>
    <d v="2025-02-05T00:00:00"/>
    <x v="1"/>
    <s v="Q1"/>
    <x v="1"/>
    <x v="2"/>
    <x v="1"/>
    <x v="3"/>
    <x v="0"/>
    <s v="Road"/>
    <x v="1"/>
    <n v="1.7"/>
    <n v="388"/>
    <n v="4"/>
    <n v="4"/>
    <n v="1"/>
    <n v="0"/>
    <n v="9.91"/>
    <n v="0"/>
    <n v="1"/>
  </r>
  <r>
    <s v="SHP-502890"/>
    <d v="2025-02-06T00:00:00"/>
    <x v="1"/>
    <s v="Q1"/>
    <x v="1"/>
    <x v="3"/>
    <x v="1"/>
    <x v="3"/>
    <x v="0"/>
    <s v="Road"/>
    <x v="1"/>
    <n v="7.8"/>
    <n v="500"/>
    <n v="4"/>
    <n v="4"/>
    <n v="1"/>
    <n v="0"/>
    <n v="21.8"/>
    <n v="0"/>
    <n v="1"/>
  </r>
  <r>
    <s v="SHP-502891"/>
    <d v="2025-02-06T00:00:00"/>
    <x v="1"/>
    <s v="Q1"/>
    <x v="1"/>
    <x v="2"/>
    <x v="1"/>
    <x v="0"/>
    <x v="2"/>
    <s v="Air"/>
    <x v="0"/>
    <n v="110.7"/>
    <n v="675"/>
    <n v="2"/>
    <n v="5"/>
    <n v="0"/>
    <n v="3"/>
    <n v="164.94"/>
    <n v="0"/>
    <n v="1"/>
  </r>
  <r>
    <s v="SHP-502892"/>
    <d v="2025-02-07T00:00:00"/>
    <x v="1"/>
    <s v="Q1"/>
    <x v="1"/>
    <x v="2"/>
    <x v="2"/>
    <x v="0"/>
    <x v="1"/>
    <s v="Road"/>
    <x v="1"/>
    <n v="8.6999999999999993"/>
    <n v="877"/>
    <n v="6"/>
    <n v="5"/>
    <n v="1"/>
    <n v="0"/>
    <n v="13.88"/>
    <n v="0"/>
    <n v="1"/>
  </r>
  <r>
    <s v="SHP-502893"/>
    <d v="2025-02-07T00:00:00"/>
    <x v="1"/>
    <s v="Q1"/>
    <x v="1"/>
    <x v="1"/>
    <x v="0"/>
    <x v="1"/>
    <x v="0"/>
    <s v="Road"/>
    <x v="0"/>
    <n v="54.4"/>
    <n v="225"/>
    <n v="3"/>
    <n v="3"/>
    <n v="1"/>
    <n v="0"/>
    <n v="36.65"/>
    <n v="0"/>
    <n v="1"/>
  </r>
  <r>
    <s v="SHP-502894"/>
    <d v="2025-02-07T00:00:00"/>
    <x v="1"/>
    <s v="Q1"/>
    <x v="1"/>
    <x v="4"/>
    <x v="2"/>
    <x v="4"/>
    <x v="0"/>
    <s v="Road"/>
    <x v="0"/>
    <n v="188.6"/>
    <n v="1121"/>
    <n v="5"/>
    <n v="5"/>
    <n v="1"/>
    <n v="0"/>
    <n v="98.31"/>
    <n v="0"/>
    <n v="1"/>
  </r>
  <r>
    <s v="SHP-502895"/>
    <d v="2025-02-07T00:00:00"/>
    <x v="1"/>
    <s v="Q1"/>
    <x v="1"/>
    <x v="3"/>
    <x v="2"/>
    <x v="2"/>
    <x v="0"/>
    <s v="Road"/>
    <x v="1"/>
    <n v="6.4"/>
    <n v="1176"/>
    <n v="5"/>
    <n v="5"/>
    <n v="1"/>
    <n v="0"/>
    <n v="29.24"/>
    <n v="0"/>
    <n v="1"/>
  </r>
  <r>
    <s v="SHP-502896"/>
    <d v="2025-02-07T00:00:00"/>
    <x v="1"/>
    <s v="Q1"/>
    <x v="1"/>
    <x v="3"/>
    <x v="1"/>
    <x v="1"/>
    <x v="1"/>
    <s v="Road"/>
    <x v="1"/>
    <n v="7.1"/>
    <n v="236"/>
    <n v="5"/>
    <n v="5"/>
    <n v="1"/>
    <n v="0"/>
    <n v="11.63"/>
    <n v="0"/>
    <n v="1"/>
  </r>
  <r>
    <s v="SHP-502897"/>
    <d v="2025-02-07T00:00:00"/>
    <x v="1"/>
    <s v="Q1"/>
    <x v="1"/>
    <x v="3"/>
    <x v="2"/>
    <x v="0"/>
    <x v="2"/>
    <s v="Air"/>
    <x v="0"/>
    <n v="88"/>
    <n v="841"/>
    <n v="2"/>
    <n v="1"/>
    <n v="1"/>
    <n v="0"/>
    <n v="173.88"/>
    <n v="0"/>
    <n v="1"/>
  </r>
  <r>
    <s v="SHP-502898"/>
    <d v="2025-02-07T00:00:00"/>
    <x v="1"/>
    <s v="Q1"/>
    <x v="1"/>
    <x v="3"/>
    <x v="1"/>
    <x v="0"/>
    <x v="1"/>
    <s v="Road"/>
    <x v="0"/>
    <n v="172.8"/>
    <n v="916"/>
    <n v="6"/>
    <n v="6"/>
    <n v="1"/>
    <n v="0"/>
    <n v="71.84"/>
    <n v="0"/>
    <n v="1"/>
  </r>
  <r>
    <s v="SHP-502899"/>
    <d v="2025-02-07T00:00:00"/>
    <x v="1"/>
    <s v="Q1"/>
    <x v="1"/>
    <x v="2"/>
    <x v="2"/>
    <x v="0"/>
    <x v="1"/>
    <s v="Road"/>
    <x v="1"/>
    <n v="13.5"/>
    <n v="1058"/>
    <n v="6"/>
    <n v="8"/>
    <n v="0"/>
    <n v="2"/>
    <n v="15.54"/>
    <n v="0"/>
    <n v="1"/>
  </r>
  <r>
    <s v="SHP-502900"/>
    <d v="2025-02-07T00:00:00"/>
    <x v="1"/>
    <s v="Q1"/>
    <x v="1"/>
    <x v="2"/>
    <x v="0"/>
    <x v="0"/>
    <x v="2"/>
    <s v="Air"/>
    <x v="1"/>
    <n v="2"/>
    <n v="901"/>
    <n v="2"/>
    <n v="2"/>
    <n v="1"/>
    <n v="0"/>
    <n v="49.14"/>
    <n v="0"/>
    <n v="1"/>
  </r>
  <r>
    <s v="SHP-502901"/>
    <d v="2025-02-08T00:00:00"/>
    <x v="1"/>
    <s v="Q1"/>
    <x v="1"/>
    <x v="2"/>
    <x v="1"/>
    <x v="3"/>
    <x v="0"/>
    <s v="Road"/>
    <x v="0"/>
    <n v="129.30000000000001"/>
    <n v="531"/>
    <n v="4"/>
    <n v="4"/>
    <n v="1"/>
    <n v="0"/>
    <n v="61.72"/>
    <n v="0"/>
    <n v="1"/>
  </r>
  <r>
    <s v="SHP-502902"/>
    <d v="2025-02-08T00:00:00"/>
    <x v="1"/>
    <s v="Q1"/>
    <x v="1"/>
    <x v="2"/>
    <x v="0"/>
    <x v="1"/>
    <x v="0"/>
    <s v="Road"/>
    <x v="1"/>
    <n v="9.8000000000000007"/>
    <n v="274"/>
    <n v="3"/>
    <n v="6"/>
    <n v="0"/>
    <n v="3"/>
    <n v="13.83"/>
    <n v="0"/>
    <n v="1"/>
  </r>
  <r>
    <s v="SHP-502903"/>
    <d v="2025-02-08T00:00:00"/>
    <x v="1"/>
    <s v="Q1"/>
    <x v="1"/>
    <x v="0"/>
    <x v="0"/>
    <x v="2"/>
    <x v="1"/>
    <s v="Road"/>
    <x v="0"/>
    <n v="37"/>
    <n v="800"/>
    <n v="7"/>
    <n v="7"/>
    <n v="1"/>
    <n v="0"/>
    <n v="23.41"/>
    <n v="0"/>
    <n v="1"/>
  </r>
  <r>
    <s v="SHP-502904"/>
    <d v="2025-02-08T00:00:00"/>
    <x v="1"/>
    <s v="Q1"/>
    <x v="1"/>
    <x v="4"/>
    <x v="2"/>
    <x v="0"/>
    <x v="1"/>
    <s v="Road"/>
    <x v="1"/>
    <n v="6.7"/>
    <n v="916"/>
    <n v="6"/>
    <n v="5"/>
    <n v="1"/>
    <n v="0"/>
    <n v="14.47"/>
    <n v="0"/>
    <n v="1"/>
  </r>
  <r>
    <s v="SHP-502905"/>
    <d v="2025-02-09T00:00:00"/>
    <x v="1"/>
    <s v="Q1"/>
    <x v="1"/>
    <x v="4"/>
    <x v="0"/>
    <x v="1"/>
    <x v="0"/>
    <s v="Road"/>
    <x v="1"/>
    <n v="3.6"/>
    <n v="204"/>
    <n v="3"/>
    <n v="6"/>
    <n v="0"/>
    <n v="3"/>
    <n v="10.82"/>
    <n v="0"/>
    <n v="1"/>
  </r>
  <r>
    <s v="SHP-502906"/>
    <d v="2025-02-09T00:00:00"/>
    <x v="1"/>
    <s v="Q1"/>
    <x v="1"/>
    <x v="0"/>
    <x v="1"/>
    <x v="1"/>
    <x v="0"/>
    <s v="Road"/>
    <x v="1"/>
    <n v="2.2000000000000002"/>
    <n v="268"/>
    <n v="3"/>
    <n v="3"/>
    <n v="1"/>
    <n v="0"/>
    <n v="10.38"/>
    <n v="0"/>
    <n v="1"/>
  </r>
  <r>
    <s v="SHP-502907"/>
    <d v="2025-02-10T00:00:00"/>
    <x v="1"/>
    <s v="Q1"/>
    <x v="1"/>
    <x v="2"/>
    <x v="1"/>
    <x v="4"/>
    <x v="1"/>
    <s v="Road"/>
    <x v="1"/>
    <n v="2.4"/>
    <n v="1246"/>
    <n v="7"/>
    <n v="9"/>
    <n v="0"/>
    <n v="2"/>
    <n v="14.67"/>
    <n v="0"/>
    <n v="1"/>
  </r>
  <r>
    <s v="SHP-502908"/>
    <d v="2025-02-10T00:00:00"/>
    <x v="1"/>
    <s v="Q1"/>
    <x v="1"/>
    <x v="3"/>
    <x v="2"/>
    <x v="0"/>
    <x v="0"/>
    <s v="Road"/>
    <x v="0"/>
    <n v="48.7"/>
    <n v="767"/>
    <n v="4"/>
    <n v="4"/>
    <n v="1"/>
    <n v="0"/>
    <n v="43.42"/>
    <n v="0"/>
    <n v="1"/>
  </r>
  <r>
    <s v="SHP-502909"/>
    <d v="2025-02-10T00:00:00"/>
    <x v="1"/>
    <s v="Q1"/>
    <x v="1"/>
    <x v="0"/>
    <x v="1"/>
    <x v="1"/>
    <x v="0"/>
    <s v="Road"/>
    <x v="0"/>
    <n v="72.7"/>
    <n v="274"/>
    <n v="3"/>
    <n v="3"/>
    <n v="1"/>
    <n v="0"/>
    <n v="40.03"/>
    <n v="0"/>
    <n v="1"/>
  </r>
  <r>
    <s v="SHP-502910"/>
    <d v="2025-02-10T00:00:00"/>
    <x v="1"/>
    <s v="Q1"/>
    <x v="1"/>
    <x v="3"/>
    <x v="2"/>
    <x v="1"/>
    <x v="0"/>
    <s v="Road"/>
    <x v="0"/>
    <n v="48.6"/>
    <n v="307"/>
    <n v="3"/>
    <n v="3"/>
    <n v="1"/>
    <n v="0"/>
    <n v="39.43"/>
    <n v="0"/>
    <n v="1"/>
  </r>
  <r>
    <s v="SHP-502911"/>
    <d v="2025-02-10T00:00:00"/>
    <x v="1"/>
    <s v="Q1"/>
    <x v="1"/>
    <x v="0"/>
    <x v="2"/>
    <x v="1"/>
    <x v="0"/>
    <s v="Road"/>
    <x v="0"/>
    <n v="69.5"/>
    <n v="223"/>
    <n v="3"/>
    <n v="3"/>
    <n v="1"/>
    <n v="0"/>
    <n v="40.81"/>
    <n v="0"/>
    <n v="1"/>
  </r>
  <r>
    <s v="SHP-502912"/>
    <d v="2025-02-11T00:00:00"/>
    <x v="1"/>
    <s v="Q1"/>
    <x v="1"/>
    <x v="1"/>
    <x v="2"/>
    <x v="0"/>
    <x v="1"/>
    <s v="Road"/>
    <x v="1"/>
    <n v="9.8000000000000007"/>
    <n v="980"/>
    <n v="6"/>
    <n v="5"/>
    <n v="1"/>
    <n v="0"/>
    <n v="18.940000000000001"/>
    <n v="0"/>
    <n v="1"/>
  </r>
  <r>
    <s v="SHP-502913"/>
    <d v="2025-02-11T00:00:00"/>
    <x v="1"/>
    <s v="Q1"/>
    <x v="1"/>
    <x v="1"/>
    <x v="2"/>
    <x v="4"/>
    <x v="0"/>
    <s v="Road"/>
    <x v="1"/>
    <n v="8.3000000000000007"/>
    <n v="1186"/>
    <n v="5"/>
    <n v="8"/>
    <n v="0"/>
    <n v="3"/>
    <n v="27.27"/>
    <n v="0"/>
    <n v="1"/>
  </r>
  <r>
    <s v="SHP-502914"/>
    <d v="2025-02-11T00:00:00"/>
    <x v="1"/>
    <s v="Q1"/>
    <x v="1"/>
    <x v="1"/>
    <x v="2"/>
    <x v="4"/>
    <x v="0"/>
    <s v="Road"/>
    <x v="1"/>
    <n v="12"/>
    <n v="986"/>
    <n v="5"/>
    <n v="5"/>
    <n v="1"/>
    <n v="0"/>
    <n v="24.07"/>
    <n v="0"/>
    <n v="1"/>
  </r>
  <r>
    <s v="SHP-502915"/>
    <d v="2025-02-11T00:00:00"/>
    <x v="1"/>
    <s v="Q1"/>
    <x v="1"/>
    <x v="1"/>
    <x v="0"/>
    <x v="1"/>
    <x v="0"/>
    <s v="Road"/>
    <x v="1"/>
    <n v="3.3"/>
    <n v="231"/>
    <n v="3"/>
    <n v="5"/>
    <n v="0"/>
    <n v="2"/>
    <n v="11.98"/>
    <n v="0"/>
    <n v="1"/>
  </r>
  <r>
    <s v="SHP-502916"/>
    <d v="2025-02-11T00:00:00"/>
    <x v="1"/>
    <s v="Q1"/>
    <x v="1"/>
    <x v="0"/>
    <x v="1"/>
    <x v="1"/>
    <x v="0"/>
    <s v="Road"/>
    <x v="0"/>
    <n v="162.69999999999999"/>
    <n v="195"/>
    <n v="3"/>
    <n v="6"/>
    <n v="0"/>
    <n v="3"/>
    <n v="69.099999999999994"/>
    <n v="0"/>
    <n v="1"/>
  </r>
  <r>
    <s v="SHP-502917"/>
    <d v="2025-02-11T00:00:00"/>
    <x v="1"/>
    <s v="Q1"/>
    <x v="1"/>
    <x v="0"/>
    <x v="0"/>
    <x v="2"/>
    <x v="0"/>
    <s v="Road"/>
    <x v="0"/>
    <n v="446.4"/>
    <n v="1204"/>
    <n v="5"/>
    <n v="5"/>
    <n v="1"/>
    <n v="0"/>
    <n v="180.9"/>
    <n v="0"/>
    <n v="1"/>
  </r>
  <r>
    <s v="SHP-502918"/>
    <d v="2025-02-11T00:00:00"/>
    <x v="1"/>
    <s v="Q1"/>
    <x v="1"/>
    <x v="4"/>
    <x v="2"/>
    <x v="2"/>
    <x v="2"/>
    <s v="Air"/>
    <x v="1"/>
    <n v="0.5"/>
    <n v="1152"/>
    <n v="3"/>
    <n v="3"/>
    <n v="1"/>
    <n v="0"/>
    <n v="63.48"/>
    <n v="0"/>
    <n v="1"/>
  </r>
  <r>
    <s v="SHP-502919"/>
    <d v="2025-02-11T00:00:00"/>
    <x v="1"/>
    <s v="Q1"/>
    <x v="1"/>
    <x v="0"/>
    <x v="1"/>
    <x v="1"/>
    <x v="0"/>
    <s v="Road"/>
    <x v="1"/>
    <n v="3.6"/>
    <n v="194"/>
    <n v="3"/>
    <n v="3"/>
    <n v="1"/>
    <n v="0"/>
    <n v="11.09"/>
    <n v="1"/>
    <n v="1"/>
  </r>
  <r>
    <s v="SHP-502920"/>
    <d v="2025-02-12T00:00:00"/>
    <x v="1"/>
    <s v="Q1"/>
    <x v="1"/>
    <x v="3"/>
    <x v="2"/>
    <x v="2"/>
    <x v="1"/>
    <s v="Road"/>
    <x v="0"/>
    <n v="146.1"/>
    <n v="1318"/>
    <n v="7"/>
    <n v="7"/>
    <n v="1"/>
    <n v="0"/>
    <n v="70.959999999999994"/>
    <n v="0"/>
    <n v="1"/>
  </r>
  <r>
    <s v="SHP-502921"/>
    <d v="2025-02-12T00:00:00"/>
    <x v="1"/>
    <s v="Q1"/>
    <x v="1"/>
    <x v="1"/>
    <x v="1"/>
    <x v="2"/>
    <x v="2"/>
    <s v="Air"/>
    <x v="1"/>
    <n v="7.5"/>
    <n v="852"/>
    <n v="3"/>
    <n v="3"/>
    <n v="1"/>
    <n v="0"/>
    <n v="64.48"/>
    <n v="0"/>
    <n v="1"/>
  </r>
  <r>
    <s v="SHP-502922"/>
    <d v="2025-02-12T00:00:00"/>
    <x v="1"/>
    <s v="Q1"/>
    <x v="1"/>
    <x v="3"/>
    <x v="2"/>
    <x v="3"/>
    <x v="1"/>
    <s v="Road"/>
    <x v="1"/>
    <n v="2.2000000000000002"/>
    <n v="512"/>
    <n v="6"/>
    <n v="5"/>
    <n v="1"/>
    <n v="0"/>
    <n v="10.130000000000001"/>
    <n v="0"/>
    <n v="1"/>
  </r>
  <r>
    <s v="SHP-502923"/>
    <d v="2025-02-12T00:00:00"/>
    <x v="1"/>
    <s v="Q1"/>
    <x v="1"/>
    <x v="1"/>
    <x v="1"/>
    <x v="1"/>
    <x v="2"/>
    <s v="Road"/>
    <x v="1"/>
    <n v="2.8"/>
    <n v="261"/>
    <n v="1"/>
    <n v="1"/>
    <n v="1"/>
    <n v="0"/>
    <n v="20.98"/>
    <n v="0"/>
    <n v="1"/>
  </r>
  <r>
    <s v="SHP-502924"/>
    <d v="2025-02-12T00:00:00"/>
    <x v="1"/>
    <s v="Q1"/>
    <x v="1"/>
    <x v="4"/>
    <x v="2"/>
    <x v="4"/>
    <x v="1"/>
    <s v="Road"/>
    <x v="1"/>
    <n v="3.5"/>
    <n v="1037"/>
    <n v="7"/>
    <n v="7"/>
    <n v="1"/>
    <n v="0"/>
    <n v="14.12"/>
    <n v="0"/>
    <n v="1"/>
  </r>
  <r>
    <s v="SHP-502925"/>
    <d v="2025-02-13T00:00:00"/>
    <x v="1"/>
    <s v="Q1"/>
    <x v="1"/>
    <x v="0"/>
    <x v="1"/>
    <x v="0"/>
    <x v="0"/>
    <s v="Road"/>
    <x v="0"/>
    <n v="159.1"/>
    <n v="870"/>
    <n v="4"/>
    <n v="4"/>
    <n v="1"/>
    <n v="0"/>
    <n v="77.680000000000007"/>
    <n v="0"/>
    <n v="1"/>
  </r>
  <r>
    <s v="SHP-502926"/>
    <d v="2025-02-13T00:00:00"/>
    <x v="1"/>
    <s v="Q1"/>
    <x v="1"/>
    <x v="1"/>
    <x v="0"/>
    <x v="0"/>
    <x v="2"/>
    <s v="Air"/>
    <x v="1"/>
    <n v="3.4"/>
    <n v="1045"/>
    <n v="2"/>
    <n v="2"/>
    <n v="1"/>
    <n v="0"/>
    <n v="66.52"/>
    <n v="0"/>
    <n v="1"/>
  </r>
  <r>
    <s v="SHP-502927"/>
    <d v="2025-02-13T00:00:00"/>
    <x v="1"/>
    <s v="Q1"/>
    <x v="1"/>
    <x v="2"/>
    <x v="2"/>
    <x v="3"/>
    <x v="0"/>
    <s v="Road"/>
    <x v="0"/>
    <n v="272.89999999999998"/>
    <n v="396"/>
    <n v="4"/>
    <n v="4"/>
    <n v="1"/>
    <n v="0"/>
    <n v="95"/>
    <n v="0"/>
    <n v="1"/>
  </r>
  <r>
    <s v="SHP-502928"/>
    <d v="2025-02-13T00:00:00"/>
    <x v="1"/>
    <s v="Q1"/>
    <x v="1"/>
    <x v="4"/>
    <x v="2"/>
    <x v="3"/>
    <x v="1"/>
    <s v="Road"/>
    <x v="1"/>
    <n v="5.8"/>
    <n v="424"/>
    <n v="6"/>
    <n v="6"/>
    <n v="1"/>
    <n v="0"/>
    <n v="11.07"/>
    <n v="0"/>
    <n v="1"/>
  </r>
  <r>
    <s v="SHP-502929"/>
    <d v="2025-02-13T00:00:00"/>
    <x v="1"/>
    <s v="Q1"/>
    <x v="1"/>
    <x v="3"/>
    <x v="0"/>
    <x v="3"/>
    <x v="0"/>
    <s v="Road"/>
    <x v="0"/>
    <n v="128"/>
    <n v="496"/>
    <n v="4"/>
    <n v="4"/>
    <n v="1"/>
    <n v="0"/>
    <n v="79.13"/>
    <n v="0"/>
    <n v="1"/>
  </r>
  <r>
    <s v="SHP-502930"/>
    <d v="2025-02-13T00:00:00"/>
    <x v="1"/>
    <s v="Q1"/>
    <x v="1"/>
    <x v="0"/>
    <x v="0"/>
    <x v="0"/>
    <x v="0"/>
    <s v="Road"/>
    <x v="0"/>
    <n v="178.3"/>
    <n v="732"/>
    <n v="4"/>
    <n v="4"/>
    <n v="1"/>
    <n v="0"/>
    <n v="82.22"/>
    <n v="0"/>
    <n v="1"/>
  </r>
  <r>
    <s v="SHP-502931"/>
    <d v="2025-02-13T00:00:00"/>
    <x v="1"/>
    <s v="Q1"/>
    <x v="1"/>
    <x v="4"/>
    <x v="1"/>
    <x v="4"/>
    <x v="0"/>
    <s v="Road"/>
    <x v="1"/>
    <n v="2.2000000000000002"/>
    <n v="814"/>
    <n v="5"/>
    <n v="5"/>
    <n v="1"/>
    <n v="0"/>
    <n v="18.559999999999999"/>
    <n v="0"/>
    <n v="1"/>
  </r>
  <r>
    <s v="SHP-502932"/>
    <d v="2025-02-13T00:00:00"/>
    <x v="1"/>
    <s v="Q1"/>
    <x v="1"/>
    <x v="3"/>
    <x v="1"/>
    <x v="0"/>
    <x v="0"/>
    <s v="Road"/>
    <x v="1"/>
    <n v="12.1"/>
    <n v="752"/>
    <n v="4"/>
    <n v="4"/>
    <n v="1"/>
    <n v="0"/>
    <n v="25.71"/>
    <n v="0"/>
    <n v="1"/>
  </r>
  <r>
    <s v="SHP-502933"/>
    <d v="2025-02-13T00:00:00"/>
    <x v="1"/>
    <s v="Q1"/>
    <x v="1"/>
    <x v="2"/>
    <x v="1"/>
    <x v="1"/>
    <x v="1"/>
    <s v="Road"/>
    <x v="1"/>
    <n v="5.4"/>
    <n v="341"/>
    <n v="5"/>
    <n v="4"/>
    <n v="1"/>
    <n v="0"/>
    <n v="8.15"/>
    <n v="0"/>
    <n v="1"/>
  </r>
  <r>
    <s v="SHP-502934"/>
    <d v="2025-02-13T00:00:00"/>
    <x v="1"/>
    <s v="Q1"/>
    <x v="1"/>
    <x v="3"/>
    <x v="2"/>
    <x v="2"/>
    <x v="0"/>
    <s v="Road"/>
    <x v="1"/>
    <n v="2.9"/>
    <n v="1208"/>
    <n v="5"/>
    <n v="5"/>
    <n v="1"/>
    <n v="0"/>
    <n v="27.02"/>
    <n v="0"/>
    <n v="1"/>
  </r>
  <r>
    <s v="SHP-502935"/>
    <d v="2025-02-14T00:00:00"/>
    <x v="1"/>
    <s v="Q1"/>
    <x v="1"/>
    <x v="4"/>
    <x v="0"/>
    <x v="1"/>
    <x v="2"/>
    <s v="Road"/>
    <x v="0"/>
    <n v="94.9"/>
    <n v="193"/>
    <n v="1"/>
    <n v="1"/>
    <n v="1"/>
    <n v="0"/>
    <n v="96.74"/>
    <n v="0"/>
    <n v="1"/>
  </r>
  <r>
    <s v="SHP-502936"/>
    <d v="2025-02-14T00:00:00"/>
    <x v="1"/>
    <s v="Q1"/>
    <x v="1"/>
    <x v="2"/>
    <x v="2"/>
    <x v="0"/>
    <x v="0"/>
    <s v="Road"/>
    <x v="1"/>
    <n v="5.2"/>
    <n v="917"/>
    <n v="4"/>
    <n v="4"/>
    <n v="1"/>
    <n v="0"/>
    <n v="18.8"/>
    <n v="0"/>
    <n v="1"/>
  </r>
  <r>
    <s v="SHP-502937"/>
    <d v="2025-02-14T00:00:00"/>
    <x v="1"/>
    <s v="Q1"/>
    <x v="1"/>
    <x v="0"/>
    <x v="1"/>
    <x v="0"/>
    <x v="1"/>
    <s v="Road"/>
    <x v="1"/>
    <n v="6.6"/>
    <n v="1095"/>
    <n v="6"/>
    <n v="6"/>
    <n v="1"/>
    <n v="0"/>
    <n v="15.22"/>
    <n v="0"/>
    <n v="1"/>
  </r>
  <r>
    <s v="SHP-502938"/>
    <d v="2025-02-14T00:00:00"/>
    <x v="1"/>
    <s v="Q1"/>
    <x v="1"/>
    <x v="2"/>
    <x v="1"/>
    <x v="3"/>
    <x v="0"/>
    <s v="Road"/>
    <x v="1"/>
    <n v="4.2"/>
    <n v="487"/>
    <n v="4"/>
    <n v="8"/>
    <n v="0"/>
    <n v="4"/>
    <n v="11.74"/>
    <n v="0"/>
    <n v="1"/>
  </r>
  <r>
    <s v="SHP-502939"/>
    <d v="2025-02-14T00:00:00"/>
    <x v="1"/>
    <s v="Q1"/>
    <x v="1"/>
    <x v="3"/>
    <x v="0"/>
    <x v="0"/>
    <x v="0"/>
    <s v="Road"/>
    <x v="0"/>
    <n v="429.8"/>
    <n v="951"/>
    <n v="4"/>
    <n v="4"/>
    <n v="1"/>
    <n v="0"/>
    <n v="188.06"/>
    <n v="0"/>
    <n v="1"/>
  </r>
  <r>
    <s v="SHP-502940"/>
    <d v="2025-02-14T00:00:00"/>
    <x v="1"/>
    <s v="Q1"/>
    <x v="1"/>
    <x v="1"/>
    <x v="2"/>
    <x v="1"/>
    <x v="0"/>
    <s v="Road"/>
    <x v="0"/>
    <n v="44.4"/>
    <n v="352"/>
    <n v="3"/>
    <n v="3"/>
    <n v="1"/>
    <n v="0"/>
    <n v="35.67"/>
    <n v="0"/>
    <n v="1"/>
  </r>
  <r>
    <s v="SHP-502941"/>
    <d v="2025-02-14T00:00:00"/>
    <x v="1"/>
    <s v="Q1"/>
    <x v="1"/>
    <x v="4"/>
    <x v="2"/>
    <x v="1"/>
    <x v="0"/>
    <s v="Road"/>
    <x v="1"/>
    <n v="10.1"/>
    <n v="285"/>
    <n v="3"/>
    <n v="3"/>
    <n v="1"/>
    <n v="0"/>
    <n v="16.5"/>
    <n v="0"/>
    <n v="1"/>
  </r>
  <r>
    <s v="SHP-502942"/>
    <d v="2025-02-15T00:00:00"/>
    <x v="1"/>
    <s v="Q1"/>
    <x v="1"/>
    <x v="4"/>
    <x v="1"/>
    <x v="0"/>
    <x v="0"/>
    <s v="Road"/>
    <x v="1"/>
    <n v="5.5"/>
    <n v="1038"/>
    <n v="4"/>
    <n v="4"/>
    <n v="1"/>
    <n v="0"/>
    <n v="21.87"/>
    <n v="0"/>
    <n v="1"/>
  </r>
  <r>
    <s v="SHP-502943"/>
    <d v="2025-02-15T00:00:00"/>
    <x v="1"/>
    <s v="Q1"/>
    <x v="1"/>
    <x v="1"/>
    <x v="1"/>
    <x v="4"/>
    <x v="1"/>
    <s v="Road"/>
    <x v="1"/>
    <n v="8.8000000000000007"/>
    <n v="1409"/>
    <n v="7"/>
    <n v="7"/>
    <n v="1"/>
    <n v="0"/>
    <n v="19.100000000000001"/>
    <n v="0"/>
    <n v="1"/>
  </r>
  <r>
    <s v="SHP-502944"/>
    <d v="2025-02-15T00:00:00"/>
    <x v="1"/>
    <s v="Q1"/>
    <x v="1"/>
    <x v="2"/>
    <x v="0"/>
    <x v="3"/>
    <x v="0"/>
    <s v="Road"/>
    <x v="1"/>
    <n v="4.3"/>
    <n v="490"/>
    <n v="4"/>
    <n v="4"/>
    <n v="1"/>
    <n v="0"/>
    <n v="12.95"/>
    <n v="0"/>
    <n v="1"/>
  </r>
  <r>
    <s v="SHP-502945"/>
    <d v="2025-02-16T00:00:00"/>
    <x v="1"/>
    <s v="Q1"/>
    <x v="1"/>
    <x v="1"/>
    <x v="2"/>
    <x v="2"/>
    <x v="0"/>
    <s v="Road"/>
    <x v="0"/>
    <n v="94.8"/>
    <n v="1111"/>
    <n v="5"/>
    <n v="5"/>
    <n v="1"/>
    <n v="0"/>
    <n v="68.7"/>
    <n v="0"/>
    <n v="1"/>
  </r>
  <r>
    <s v="SHP-502946"/>
    <d v="2025-02-16T00:00:00"/>
    <x v="1"/>
    <s v="Q1"/>
    <x v="1"/>
    <x v="1"/>
    <x v="0"/>
    <x v="0"/>
    <x v="1"/>
    <s v="Road"/>
    <x v="1"/>
    <n v="2.7"/>
    <n v="1081"/>
    <n v="6"/>
    <n v="6"/>
    <n v="1"/>
    <n v="0"/>
    <n v="16.16"/>
    <n v="0"/>
    <n v="1"/>
  </r>
  <r>
    <s v="SHP-502947"/>
    <d v="2025-02-17T00:00:00"/>
    <x v="1"/>
    <s v="Q1"/>
    <x v="1"/>
    <x v="0"/>
    <x v="1"/>
    <x v="1"/>
    <x v="1"/>
    <s v="Road"/>
    <x v="1"/>
    <n v="2.1"/>
    <n v="204"/>
    <n v="5"/>
    <n v="5"/>
    <n v="1"/>
    <n v="0"/>
    <n v="7.16"/>
    <n v="0"/>
    <n v="1"/>
  </r>
  <r>
    <s v="SHP-502948"/>
    <d v="2025-02-17T00:00:00"/>
    <x v="1"/>
    <s v="Q1"/>
    <x v="1"/>
    <x v="3"/>
    <x v="1"/>
    <x v="0"/>
    <x v="1"/>
    <s v="Road"/>
    <x v="0"/>
    <n v="133.80000000000001"/>
    <n v="721"/>
    <n v="6"/>
    <n v="5"/>
    <n v="1"/>
    <n v="0"/>
    <n v="49.85"/>
    <n v="0"/>
    <n v="1"/>
  </r>
  <r>
    <s v="SHP-502949"/>
    <d v="2025-02-17T00:00:00"/>
    <x v="1"/>
    <s v="Q1"/>
    <x v="1"/>
    <x v="2"/>
    <x v="1"/>
    <x v="0"/>
    <x v="0"/>
    <s v="Road"/>
    <x v="0"/>
    <n v="158.6"/>
    <n v="895"/>
    <n v="4"/>
    <n v="4"/>
    <n v="1"/>
    <n v="0"/>
    <n v="69.58"/>
    <n v="0"/>
    <n v="1"/>
  </r>
  <r>
    <s v="SHP-502950"/>
    <d v="2025-02-17T00:00:00"/>
    <x v="1"/>
    <s v="Q1"/>
    <x v="1"/>
    <x v="2"/>
    <x v="1"/>
    <x v="0"/>
    <x v="0"/>
    <s v="Road"/>
    <x v="0"/>
    <n v="97"/>
    <n v="789"/>
    <n v="4"/>
    <n v="4"/>
    <n v="1"/>
    <n v="0"/>
    <n v="57.18"/>
    <n v="0"/>
    <n v="1"/>
  </r>
  <r>
    <s v="SHP-502951"/>
    <d v="2025-02-17T00:00:00"/>
    <x v="1"/>
    <s v="Q1"/>
    <x v="1"/>
    <x v="0"/>
    <x v="1"/>
    <x v="2"/>
    <x v="0"/>
    <s v="Road"/>
    <x v="0"/>
    <n v="87.5"/>
    <n v="1084"/>
    <n v="5"/>
    <n v="5"/>
    <n v="1"/>
    <n v="0"/>
    <n v="59.6"/>
    <n v="0"/>
    <n v="1"/>
  </r>
  <r>
    <s v="SHP-502952"/>
    <d v="2025-02-17T00:00:00"/>
    <x v="1"/>
    <s v="Q1"/>
    <x v="1"/>
    <x v="4"/>
    <x v="0"/>
    <x v="0"/>
    <x v="1"/>
    <s v="Road"/>
    <x v="0"/>
    <n v="73"/>
    <n v="1014"/>
    <n v="6"/>
    <n v="6"/>
    <n v="1"/>
    <n v="0"/>
    <n v="36.51"/>
    <n v="0"/>
    <n v="1"/>
  </r>
  <r>
    <s v="SHP-502953"/>
    <d v="2025-02-17T00:00:00"/>
    <x v="1"/>
    <s v="Q1"/>
    <x v="1"/>
    <x v="1"/>
    <x v="2"/>
    <x v="3"/>
    <x v="0"/>
    <s v="Road"/>
    <x v="1"/>
    <n v="3.6"/>
    <n v="580"/>
    <n v="4"/>
    <n v="10"/>
    <n v="0"/>
    <n v="6"/>
    <n v="15.47"/>
    <n v="0"/>
    <n v="1"/>
  </r>
  <r>
    <s v="SHP-502954"/>
    <d v="2025-02-17T00:00:00"/>
    <x v="1"/>
    <s v="Q1"/>
    <x v="1"/>
    <x v="1"/>
    <x v="2"/>
    <x v="3"/>
    <x v="1"/>
    <s v="Road"/>
    <x v="1"/>
    <n v="8.4"/>
    <n v="516"/>
    <n v="6"/>
    <n v="5"/>
    <n v="1"/>
    <n v="0"/>
    <n v="13.33"/>
    <n v="0"/>
    <n v="1"/>
  </r>
  <r>
    <s v="SHP-502955"/>
    <d v="2025-02-17T00:00:00"/>
    <x v="1"/>
    <s v="Q1"/>
    <x v="1"/>
    <x v="2"/>
    <x v="2"/>
    <x v="3"/>
    <x v="1"/>
    <s v="Road"/>
    <x v="1"/>
    <n v="33.200000000000003"/>
    <n v="424"/>
    <n v="6"/>
    <n v="6"/>
    <n v="1"/>
    <n v="0"/>
    <n v="18.47"/>
    <n v="0"/>
    <n v="1"/>
  </r>
  <r>
    <s v="SHP-502956"/>
    <d v="2025-02-17T00:00:00"/>
    <x v="1"/>
    <s v="Q1"/>
    <x v="1"/>
    <x v="4"/>
    <x v="1"/>
    <x v="1"/>
    <x v="2"/>
    <s v="Road"/>
    <x v="1"/>
    <n v="21.5"/>
    <n v="294"/>
    <n v="1"/>
    <n v="1"/>
    <n v="1"/>
    <n v="0"/>
    <n v="42.16"/>
    <n v="0"/>
    <n v="1"/>
  </r>
  <r>
    <s v="SHP-502957"/>
    <d v="2025-02-18T00:00:00"/>
    <x v="1"/>
    <s v="Q1"/>
    <x v="1"/>
    <x v="4"/>
    <x v="1"/>
    <x v="1"/>
    <x v="0"/>
    <s v="Road"/>
    <x v="1"/>
    <n v="6.5"/>
    <n v="193"/>
    <n v="3"/>
    <n v="3"/>
    <n v="1"/>
    <n v="0"/>
    <n v="11.92"/>
    <n v="0"/>
    <n v="1"/>
  </r>
  <r>
    <s v="SHP-502958"/>
    <d v="2025-02-18T00:00:00"/>
    <x v="1"/>
    <s v="Q1"/>
    <x v="1"/>
    <x v="4"/>
    <x v="1"/>
    <x v="2"/>
    <x v="0"/>
    <s v="Road"/>
    <x v="0"/>
    <n v="129.69999999999999"/>
    <n v="1002"/>
    <n v="5"/>
    <n v="4"/>
    <n v="1"/>
    <n v="0"/>
    <n v="77.86"/>
    <n v="0"/>
    <n v="1"/>
  </r>
  <r>
    <s v="SHP-502959"/>
    <d v="2025-02-18T00:00:00"/>
    <x v="1"/>
    <s v="Q1"/>
    <x v="1"/>
    <x v="0"/>
    <x v="1"/>
    <x v="0"/>
    <x v="2"/>
    <s v="Air"/>
    <x v="0"/>
    <n v="65.900000000000006"/>
    <n v="891"/>
    <n v="2"/>
    <n v="2"/>
    <n v="1"/>
    <n v="0"/>
    <n v="142.86000000000001"/>
    <n v="0"/>
    <n v="1"/>
  </r>
  <r>
    <s v="SHP-502960"/>
    <d v="2025-02-18T00:00:00"/>
    <x v="1"/>
    <s v="Q1"/>
    <x v="1"/>
    <x v="1"/>
    <x v="0"/>
    <x v="3"/>
    <x v="2"/>
    <s v="Road"/>
    <x v="1"/>
    <n v="4.8"/>
    <n v="477"/>
    <n v="2"/>
    <n v="2"/>
    <n v="1"/>
    <n v="0"/>
    <n v="30.35"/>
    <n v="0"/>
    <n v="1"/>
  </r>
  <r>
    <s v="SHP-502961"/>
    <d v="2025-02-18T00:00:00"/>
    <x v="1"/>
    <s v="Q1"/>
    <x v="1"/>
    <x v="1"/>
    <x v="1"/>
    <x v="1"/>
    <x v="0"/>
    <s v="Road"/>
    <x v="0"/>
    <n v="218.7"/>
    <n v="278"/>
    <n v="3"/>
    <n v="2"/>
    <n v="1"/>
    <n v="0"/>
    <n v="96.39"/>
    <n v="0"/>
    <n v="1"/>
  </r>
  <r>
    <s v="SHP-502962"/>
    <d v="2025-02-18T00:00:00"/>
    <x v="1"/>
    <s v="Q1"/>
    <x v="1"/>
    <x v="3"/>
    <x v="2"/>
    <x v="4"/>
    <x v="0"/>
    <s v="Road"/>
    <x v="0"/>
    <n v="22.1"/>
    <n v="1248"/>
    <n v="5"/>
    <n v="5"/>
    <n v="1"/>
    <n v="0"/>
    <n v="36.54"/>
    <n v="0"/>
    <n v="1"/>
  </r>
  <r>
    <s v="SHP-502963"/>
    <d v="2025-02-18T00:00:00"/>
    <x v="1"/>
    <s v="Q1"/>
    <x v="1"/>
    <x v="2"/>
    <x v="0"/>
    <x v="0"/>
    <x v="1"/>
    <s v="Road"/>
    <x v="1"/>
    <n v="6.7"/>
    <n v="829"/>
    <n v="6"/>
    <n v="5"/>
    <n v="1"/>
    <n v="0"/>
    <n v="12.21"/>
    <n v="0"/>
    <n v="1"/>
  </r>
  <r>
    <s v="SHP-502964"/>
    <d v="2025-02-18T00:00:00"/>
    <x v="1"/>
    <s v="Q1"/>
    <x v="1"/>
    <x v="2"/>
    <x v="2"/>
    <x v="0"/>
    <x v="1"/>
    <s v="Road"/>
    <x v="1"/>
    <n v="2.8"/>
    <n v="950"/>
    <n v="6"/>
    <n v="6"/>
    <n v="1"/>
    <n v="0"/>
    <n v="13.25"/>
    <n v="0"/>
    <n v="1"/>
  </r>
  <r>
    <s v="SHP-502965"/>
    <d v="2025-02-19T00:00:00"/>
    <x v="1"/>
    <s v="Q1"/>
    <x v="1"/>
    <x v="2"/>
    <x v="2"/>
    <x v="3"/>
    <x v="0"/>
    <s v="Road"/>
    <x v="0"/>
    <n v="268.2"/>
    <n v="369"/>
    <n v="4"/>
    <n v="3"/>
    <n v="1"/>
    <n v="0"/>
    <n v="95.22"/>
    <n v="0"/>
    <n v="1"/>
  </r>
  <r>
    <s v="SHP-502966"/>
    <d v="2025-02-19T00:00:00"/>
    <x v="1"/>
    <s v="Q1"/>
    <x v="1"/>
    <x v="4"/>
    <x v="1"/>
    <x v="1"/>
    <x v="1"/>
    <s v="Road"/>
    <x v="1"/>
    <n v="9.9"/>
    <n v="225"/>
    <n v="5"/>
    <n v="5"/>
    <n v="1"/>
    <n v="0"/>
    <n v="11.74"/>
    <n v="0"/>
    <n v="1"/>
  </r>
  <r>
    <s v="SHP-502967"/>
    <d v="2025-02-19T00:00:00"/>
    <x v="1"/>
    <s v="Q1"/>
    <x v="1"/>
    <x v="4"/>
    <x v="1"/>
    <x v="0"/>
    <x v="0"/>
    <s v="Road"/>
    <x v="1"/>
    <n v="2.8"/>
    <n v="1218"/>
    <n v="4"/>
    <n v="4"/>
    <n v="1"/>
    <n v="0"/>
    <n v="24.69"/>
    <n v="0"/>
    <n v="1"/>
  </r>
  <r>
    <s v="SHP-502968"/>
    <d v="2025-02-19T00:00:00"/>
    <x v="1"/>
    <s v="Q1"/>
    <x v="1"/>
    <x v="0"/>
    <x v="2"/>
    <x v="0"/>
    <x v="1"/>
    <s v="Road"/>
    <x v="1"/>
    <n v="7"/>
    <n v="645"/>
    <n v="6"/>
    <n v="6"/>
    <n v="1"/>
    <n v="0"/>
    <n v="12.78"/>
    <n v="0"/>
    <n v="1"/>
  </r>
  <r>
    <s v="SHP-502969"/>
    <d v="2025-02-19T00:00:00"/>
    <x v="1"/>
    <s v="Q1"/>
    <x v="1"/>
    <x v="1"/>
    <x v="2"/>
    <x v="0"/>
    <x v="0"/>
    <s v="Road"/>
    <x v="1"/>
    <n v="4.7"/>
    <n v="976"/>
    <n v="4"/>
    <n v="4"/>
    <n v="1"/>
    <n v="0"/>
    <n v="21.1"/>
    <n v="0"/>
    <n v="1"/>
  </r>
  <r>
    <s v="SHP-502970"/>
    <d v="2025-02-20T00:00:00"/>
    <x v="1"/>
    <s v="Q1"/>
    <x v="1"/>
    <x v="4"/>
    <x v="0"/>
    <x v="0"/>
    <x v="1"/>
    <s v="Road"/>
    <x v="1"/>
    <n v="17"/>
    <n v="741"/>
    <n v="6"/>
    <n v="6"/>
    <n v="1"/>
    <n v="0"/>
    <n v="17.79"/>
    <n v="0"/>
    <n v="1"/>
  </r>
  <r>
    <s v="SHP-502971"/>
    <d v="2025-02-20T00:00:00"/>
    <x v="1"/>
    <s v="Q1"/>
    <x v="1"/>
    <x v="4"/>
    <x v="0"/>
    <x v="1"/>
    <x v="1"/>
    <s v="Road"/>
    <x v="0"/>
    <n v="46.1"/>
    <n v="238"/>
    <n v="5"/>
    <n v="5"/>
    <n v="1"/>
    <n v="0"/>
    <n v="22.27"/>
    <n v="0"/>
    <n v="1"/>
  </r>
  <r>
    <s v="SHP-502972"/>
    <d v="2025-02-20T00:00:00"/>
    <x v="1"/>
    <s v="Q1"/>
    <x v="1"/>
    <x v="3"/>
    <x v="1"/>
    <x v="1"/>
    <x v="2"/>
    <s v="Road"/>
    <x v="1"/>
    <n v="3.1"/>
    <n v="312"/>
    <n v="1"/>
    <n v="1"/>
    <n v="1"/>
    <n v="0"/>
    <n v="27.79"/>
    <n v="0"/>
    <n v="1"/>
  </r>
  <r>
    <s v="SHP-502973"/>
    <d v="2025-02-20T00:00:00"/>
    <x v="1"/>
    <s v="Q1"/>
    <x v="1"/>
    <x v="3"/>
    <x v="2"/>
    <x v="1"/>
    <x v="0"/>
    <s v="Road"/>
    <x v="0"/>
    <n v="159.6"/>
    <n v="181"/>
    <n v="3"/>
    <n v="3"/>
    <n v="1"/>
    <n v="0"/>
    <n v="88.64"/>
    <n v="0"/>
    <n v="1"/>
  </r>
  <r>
    <s v="SHP-502974"/>
    <d v="2025-02-20T00:00:00"/>
    <x v="1"/>
    <s v="Q1"/>
    <x v="1"/>
    <x v="1"/>
    <x v="2"/>
    <x v="1"/>
    <x v="1"/>
    <s v="Road"/>
    <x v="0"/>
    <n v="100.2"/>
    <n v="187"/>
    <n v="5"/>
    <n v="5"/>
    <n v="1"/>
    <n v="0"/>
    <n v="37.06"/>
    <n v="0"/>
    <n v="1"/>
  </r>
  <r>
    <s v="SHP-502975"/>
    <d v="2025-02-20T00:00:00"/>
    <x v="1"/>
    <s v="Q1"/>
    <x v="1"/>
    <x v="3"/>
    <x v="2"/>
    <x v="1"/>
    <x v="0"/>
    <s v="Road"/>
    <x v="1"/>
    <n v="4.9000000000000004"/>
    <n v="228"/>
    <n v="3"/>
    <n v="3"/>
    <n v="1"/>
    <n v="0"/>
    <n v="14.1"/>
    <n v="0"/>
    <n v="1"/>
  </r>
  <r>
    <s v="SHP-502976"/>
    <d v="2025-02-20T00:00:00"/>
    <x v="1"/>
    <s v="Q1"/>
    <x v="1"/>
    <x v="3"/>
    <x v="1"/>
    <x v="0"/>
    <x v="1"/>
    <s v="Road"/>
    <x v="0"/>
    <n v="159.6"/>
    <n v="901"/>
    <n v="6"/>
    <n v="6"/>
    <n v="1"/>
    <n v="0"/>
    <n v="71.47"/>
    <n v="0"/>
    <n v="1"/>
  </r>
  <r>
    <s v="SHP-502977"/>
    <d v="2025-02-20T00:00:00"/>
    <x v="1"/>
    <s v="Q1"/>
    <x v="1"/>
    <x v="1"/>
    <x v="2"/>
    <x v="1"/>
    <x v="1"/>
    <s v="Road"/>
    <x v="1"/>
    <n v="4.7"/>
    <n v="250"/>
    <n v="5"/>
    <n v="4"/>
    <n v="1"/>
    <n v="0"/>
    <n v="9.4"/>
    <n v="0"/>
    <n v="1"/>
  </r>
  <r>
    <s v="SHP-502978"/>
    <d v="2025-02-20T00:00:00"/>
    <x v="1"/>
    <s v="Q1"/>
    <x v="1"/>
    <x v="4"/>
    <x v="1"/>
    <x v="3"/>
    <x v="2"/>
    <s v="Road"/>
    <x v="1"/>
    <n v="8.3000000000000007"/>
    <n v="564"/>
    <n v="2"/>
    <n v="2"/>
    <n v="1"/>
    <n v="0"/>
    <n v="33.07"/>
    <n v="0"/>
    <n v="1"/>
  </r>
  <r>
    <s v="SHP-502979"/>
    <d v="2025-02-20T00:00:00"/>
    <x v="1"/>
    <s v="Q1"/>
    <x v="1"/>
    <x v="3"/>
    <x v="1"/>
    <x v="2"/>
    <x v="0"/>
    <s v="Road"/>
    <x v="1"/>
    <n v="9"/>
    <n v="1313"/>
    <n v="5"/>
    <n v="4"/>
    <n v="1"/>
    <n v="0"/>
    <n v="28.31"/>
    <n v="0"/>
    <n v="1"/>
  </r>
  <r>
    <s v="SHP-502980"/>
    <d v="2025-02-20T00:00:00"/>
    <x v="1"/>
    <s v="Q1"/>
    <x v="1"/>
    <x v="0"/>
    <x v="2"/>
    <x v="1"/>
    <x v="1"/>
    <s v="Road"/>
    <x v="1"/>
    <n v="6.3"/>
    <n v="226"/>
    <n v="5"/>
    <n v="5"/>
    <n v="1"/>
    <n v="0"/>
    <n v="8.92"/>
    <n v="0"/>
    <n v="1"/>
  </r>
  <r>
    <s v="SHP-502981"/>
    <d v="2025-02-20T00:00:00"/>
    <x v="1"/>
    <s v="Q1"/>
    <x v="1"/>
    <x v="4"/>
    <x v="2"/>
    <x v="0"/>
    <x v="0"/>
    <s v="Road"/>
    <x v="0"/>
    <n v="33.200000000000003"/>
    <n v="904"/>
    <n v="4"/>
    <n v="3"/>
    <n v="1"/>
    <n v="0"/>
    <n v="37"/>
    <n v="0"/>
    <n v="1"/>
  </r>
  <r>
    <s v="SHP-502982"/>
    <d v="2025-02-20T00:00:00"/>
    <x v="1"/>
    <s v="Q1"/>
    <x v="1"/>
    <x v="3"/>
    <x v="1"/>
    <x v="1"/>
    <x v="1"/>
    <s v="Road"/>
    <x v="0"/>
    <n v="69.599999999999994"/>
    <n v="227"/>
    <n v="5"/>
    <n v="5"/>
    <n v="1"/>
    <n v="0"/>
    <n v="34"/>
    <n v="0"/>
    <n v="1"/>
  </r>
  <r>
    <s v="SHP-502983"/>
    <d v="2025-02-21T00:00:00"/>
    <x v="1"/>
    <s v="Q1"/>
    <x v="1"/>
    <x v="0"/>
    <x v="0"/>
    <x v="0"/>
    <x v="2"/>
    <s v="Air"/>
    <x v="1"/>
    <n v="5.7"/>
    <n v="879"/>
    <n v="2"/>
    <n v="2"/>
    <n v="1"/>
    <n v="0"/>
    <n v="57.12"/>
    <n v="0"/>
    <n v="1"/>
  </r>
  <r>
    <s v="SHP-502984"/>
    <d v="2025-02-21T00:00:00"/>
    <x v="1"/>
    <s v="Q1"/>
    <x v="1"/>
    <x v="1"/>
    <x v="1"/>
    <x v="4"/>
    <x v="0"/>
    <s v="Road"/>
    <x v="1"/>
    <n v="10.7"/>
    <n v="1026"/>
    <n v="5"/>
    <n v="5"/>
    <n v="1"/>
    <n v="0"/>
    <n v="24.89"/>
    <n v="0"/>
    <n v="1"/>
  </r>
  <r>
    <s v="SHP-502985"/>
    <d v="2025-02-21T00:00:00"/>
    <x v="1"/>
    <s v="Q1"/>
    <x v="1"/>
    <x v="4"/>
    <x v="2"/>
    <x v="3"/>
    <x v="0"/>
    <s v="Road"/>
    <x v="1"/>
    <n v="17.600000000000001"/>
    <n v="497"/>
    <n v="4"/>
    <n v="4"/>
    <n v="1"/>
    <n v="0"/>
    <n v="21.97"/>
    <n v="1"/>
    <n v="1"/>
  </r>
  <r>
    <s v="SHP-502986"/>
    <d v="2025-02-21T00:00:00"/>
    <x v="1"/>
    <s v="Q1"/>
    <x v="1"/>
    <x v="2"/>
    <x v="1"/>
    <x v="1"/>
    <x v="0"/>
    <s v="Road"/>
    <x v="1"/>
    <n v="6.2"/>
    <n v="219"/>
    <n v="3"/>
    <n v="2"/>
    <n v="1"/>
    <n v="0"/>
    <n v="11.58"/>
    <n v="0"/>
    <n v="1"/>
  </r>
  <r>
    <s v="SHP-502987"/>
    <d v="2025-02-21T00:00:00"/>
    <x v="1"/>
    <s v="Q1"/>
    <x v="1"/>
    <x v="1"/>
    <x v="0"/>
    <x v="1"/>
    <x v="0"/>
    <s v="Road"/>
    <x v="1"/>
    <n v="6.9"/>
    <n v="244"/>
    <n v="3"/>
    <n v="2"/>
    <n v="1"/>
    <n v="0"/>
    <n v="14.63"/>
    <n v="0"/>
    <n v="1"/>
  </r>
  <r>
    <s v="SHP-502988"/>
    <d v="2025-02-21T00:00:00"/>
    <x v="1"/>
    <s v="Q1"/>
    <x v="1"/>
    <x v="4"/>
    <x v="1"/>
    <x v="3"/>
    <x v="0"/>
    <s v="Road"/>
    <x v="1"/>
    <n v="5"/>
    <n v="479"/>
    <n v="4"/>
    <n v="4"/>
    <n v="1"/>
    <n v="0"/>
    <n v="15.8"/>
    <n v="0"/>
    <n v="1"/>
  </r>
  <r>
    <s v="SHP-502989"/>
    <d v="2025-02-21T00:00:00"/>
    <x v="1"/>
    <s v="Q1"/>
    <x v="1"/>
    <x v="4"/>
    <x v="1"/>
    <x v="0"/>
    <x v="1"/>
    <s v="Road"/>
    <x v="1"/>
    <n v="1.7"/>
    <n v="739"/>
    <n v="6"/>
    <n v="6"/>
    <n v="1"/>
    <n v="0"/>
    <n v="11.8"/>
    <n v="0"/>
    <n v="1"/>
  </r>
  <r>
    <s v="SHP-502990"/>
    <d v="2025-02-22T00:00:00"/>
    <x v="1"/>
    <s v="Q1"/>
    <x v="1"/>
    <x v="2"/>
    <x v="1"/>
    <x v="0"/>
    <x v="0"/>
    <s v="Road"/>
    <x v="0"/>
    <n v="174.2"/>
    <n v="779"/>
    <n v="4"/>
    <n v="4"/>
    <n v="1"/>
    <n v="0"/>
    <n v="74.69"/>
    <n v="0"/>
    <n v="1"/>
  </r>
  <r>
    <s v="SHP-502991"/>
    <d v="2025-02-22T00:00:00"/>
    <x v="1"/>
    <s v="Q1"/>
    <x v="1"/>
    <x v="2"/>
    <x v="1"/>
    <x v="0"/>
    <x v="0"/>
    <s v="Road"/>
    <x v="0"/>
    <n v="103.7"/>
    <n v="757"/>
    <n v="4"/>
    <n v="3"/>
    <n v="1"/>
    <n v="0"/>
    <n v="53.46"/>
    <n v="0"/>
    <n v="1"/>
  </r>
  <r>
    <s v="SHP-502992"/>
    <d v="2025-02-22T00:00:00"/>
    <x v="1"/>
    <s v="Q1"/>
    <x v="1"/>
    <x v="3"/>
    <x v="1"/>
    <x v="1"/>
    <x v="0"/>
    <s v="Road"/>
    <x v="1"/>
    <n v="1.7"/>
    <n v="197"/>
    <n v="3"/>
    <n v="6"/>
    <n v="0"/>
    <n v="3"/>
    <n v="11.15"/>
    <n v="0"/>
    <n v="1"/>
  </r>
  <r>
    <s v="SHP-502993"/>
    <d v="2025-02-22T00:00:00"/>
    <x v="1"/>
    <s v="Q1"/>
    <x v="1"/>
    <x v="4"/>
    <x v="0"/>
    <x v="4"/>
    <x v="1"/>
    <s v="Road"/>
    <x v="0"/>
    <n v="205.5"/>
    <n v="1043"/>
    <n v="7"/>
    <n v="7"/>
    <n v="1"/>
    <n v="0"/>
    <n v="74.89"/>
    <n v="0"/>
    <n v="1"/>
  </r>
  <r>
    <s v="SHP-502994"/>
    <d v="2025-02-22T00:00:00"/>
    <x v="1"/>
    <s v="Q1"/>
    <x v="1"/>
    <x v="3"/>
    <x v="2"/>
    <x v="3"/>
    <x v="1"/>
    <s v="Road"/>
    <x v="1"/>
    <n v="17.3"/>
    <n v="645"/>
    <n v="6"/>
    <n v="6"/>
    <n v="1"/>
    <n v="0"/>
    <n v="19.559999999999999"/>
    <n v="0"/>
    <n v="1"/>
  </r>
  <r>
    <s v="SHP-502995"/>
    <d v="2025-02-22T00:00:00"/>
    <x v="1"/>
    <s v="Q1"/>
    <x v="1"/>
    <x v="4"/>
    <x v="0"/>
    <x v="1"/>
    <x v="0"/>
    <s v="Road"/>
    <x v="1"/>
    <n v="6.2"/>
    <n v="259"/>
    <n v="3"/>
    <n v="3"/>
    <n v="1"/>
    <n v="0"/>
    <n v="12.42"/>
    <n v="0"/>
    <n v="1"/>
  </r>
  <r>
    <s v="SHP-502996"/>
    <d v="2025-02-23T00:00:00"/>
    <x v="1"/>
    <s v="Q1"/>
    <x v="1"/>
    <x v="2"/>
    <x v="2"/>
    <x v="2"/>
    <x v="2"/>
    <s v="Air"/>
    <x v="0"/>
    <n v="53.9"/>
    <n v="1288"/>
    <n v="3"/>
    <n v="4"/>
    <n v="0"/>
    <n v="1"/>
    <n v="134.33000000000001"/>
    <n v="0"/>
    <n v="1"/>
  </r>
  <r>
    <s v="SHP-502997"/>
    <d v="2025-02-23T00:00:00"/>
    <x v="1"/>
    <s v="Q1"/>
    <x v="1"/>
    <x v="1"/>
    <x v="1"/>
    <x v="0"/>
    <x v="1"/>
    <s v="Road"/>
    <x v="1"/>
    <n v="11.6"/>
    <n v="751"/>
    <n v="6"/>
    <n v="6"/>
    <n v="1"/>
    <n v="0"/>
    <n v="17.059999999999999"/>
    <n v="0"/>
    <n v="1"/>
  </r>
  <r>
    <s v="SHP-502998"/>
    <d v="2025-02-23T00:00:00"/>
    <x v="1"/>
    <s v="Q1"/>
    <x v="1"/>
    <x v="2"/>
    <x v="0"/>
    <x v="0"/>
    <x v="2"/>
    <s v="Air"/>
    <x v="1"/>
    <n v="4.2"/>
    <n v="961"/>
    <n v="2"/>
    <n v="1"/>
    <n v="1"/>
    <n v="0"/>
    <n v="55.55"/>
    <n v="0"/>
    <n v="1"/>
  </r>
  <r>
    <s v="SHP-502999"/>
    <d v="2025-02-24T00:00:00"/>
    <x v="1"/>
    <s v="Q1"/>
    <x v="1"/>
    <x v="1"/>
    <x v="1"/>
    <x v="1"/>
    <x v="0"/>
    <s v="Road"/>
    <x v="1"/>
    <n v="2.1"/>
    <n v="257"/>
    <n v="3"/>
    <n v="2"/>
    <n v="1"/>
    <n v="0"/>
    <n v="10.36"/>
    <n v="0"/>
    <n v="1"/>
  </r>
  <r>
    <s v="SHP-503000"/>
    <d v="2025-02-24T00:00:00"/>
    <x v="1"/>
    <s v="Q1"/>
    <x v="1"/>
    <x v="4"/>
    <x v="2"/>
    <x v="2"/>
    <x v="0"/>
    <s v="Road"/>
    <x v="1"/>
    <n v="4.3"/>
    <n v="1224"/>
    <n v="5"/>
    <n v="5"/>
    <n v="1"/>
    <n v="0"/>
    <n v="23.9"/>
    <n v="0"/>
    <n v="1"/>
  </r>
  <r>
    <s v="SHP-503001"/>
    <d v="2025-02-24T00:00:00"/>
    <x v="1"/>
    <s v="Q1"/>
    <x v="1"/>
    <x v="2"/>
    <x v="1"/>
    <x v="4"/>
    <x v="1"/>
    <s v="Road"/>
    <x v="1"/>
    <n v="5.6"/>
    <n v="769"/>
    <n v="7"/>
    <n v="6"/>
    <n v="1"/>
    <n v="0"/>
    <n v="10.68"/>
    <n v="0"/>
    <n v="1"/>
  </r>
  <r>
    <s v="SHP-503002"/>
    <d v="2025-02-24T00:00:00"/>
    <x v="1"/>
    <s v="Q1"/>
    <x v="1"/>
    <x v="1"/>
    <x v="2"/>
    <x v="1"/>
    <x v="0"/>
    <s v="Road"/>
    <x v="1"/>
    <n v="10.199999999999999"/>
    <n v="327"/>
    <n v="3"/>
    <n v="3"/>
    <n v="1"/>
    <n v="0"/>
    <n v="18.690000000000001"/>
    <n v="0"/>
    <n v="1"/>
  </r>
  <r>
    <s v="SHP-503003"/>
    <d v="2025-02-24T00:00:00"/>
    <x v="1"/>
    <s v="Q1"/>
    <x v="1"/>
    <x v="4"/>
    <x v="0"/>
    <x v="0"/>
    <x v="2"/>
    <s v="Air"/>
    <x v="1"/>
    <n v="9.1999999999999993"/>
    <n v="944"/>
    <n v="2"/>
    <n v="1"/>
    <n v="1"/>
    <n v="0"/>
    <n v="75.33"/>
    <n v="0"/>
    <n v="1"/>
  </r>
  <r>
    <s v="SHP-503004"/>
    <d v="2025-02-24T00:00:00"/>
    <x v="1"/>
    <s v="Q1"/>
    <x v="1"/>
    <x v="0"/>
    <x v="1"/>
    <x v="1"/>
    <x v="0"/>
    <s v="Road"/>
    <x v="1"/>
    <n v="2.4"/>
    <n v="230"/>
    <n v="3"/>
    <n v="3"/>
    <n v="1"/>
    <n v="0"/>
    <n v="9.98"/>
    <n v="0"/>
    <n v="1"/>
  </r>
  <r>
    <s v="SHP-503005"/>
    <d v="2025-02-24T00:00:00"/>
    <x v="1"/>
    <s v="Q1"/>
    <x v="1"/>
    <x v="4"/>
    <x v="2"/>
    <x v="2"/>
    <x v="0"/>
    <s v="Road"/>
    <x v="0"/>
    <n v="150.1"/>
    <n v="1069"/>
    <n v="5"/>
    <n v="5"/>
    <n v="1"/>
    <n v="0"/>
    <n v="85.47"/>
    <n v="0"/>
    <n v="1"/>
  </r>
  <r>
    <s v="SHP-503006"/>
    <d v="2025-02-24T00:00:00"/>
    <x v="1"/>
    <s v="Q1"/>
    <x v="1"/>
    <x v="4"/>
    <x v="2"/>
    <x v="2"/>
    <x v="0"/>
    <s v="Road"/>
    <x v="0"/>
    <n v="205.5"/>
    <n v="1114"/>
    <n v="5"/>
    <n v="4"/>
    <n v="1"/>
    <n v="0"/>
    <n v="105.61"/>
    <n v="0"/>
    <n v="1"/>
  </r>
  <r>
    <s v="SHP-503007"/>
    <d v="2025-02-25T00:00:00"/>
    <x v="1"/>
    <s v="Q1"/>
    <x v="1"/>
    <x v="3"/>
    <x v="2"/>
    <x v="3"/>
    <x v="1"/>
    <s v="Road"/>
    <x v="1"/>
    <n v="3.8"/>
    <n v="547"/>
    <n v="6"/>
    <n v="5"/>
    <n v="1"/>
    <n v="0"/>
    <n v="12.68"/>
    <n v="0"/>
    <n v="1"/>
  </r>
  <r>
    <s v="SHP-503008"/>
    <d v="2025-02-25T00:00:00"/>
    <x v="1"/>
    <s v="Q1"/>
    <x v="1"/>
    <x v="3"/>
    <x v="2"/>
    <x v="0"/>
    <x v="0"/>
    <s v="Road"/>
    <x v="0"/>
    <n v="63.4"/>
    <n v="880"/>
    <n v="4"/>
    <n v="4"/>
    <n v="1"/>
    <n v="0"/>
    <n v="55.47"/>
    <n v="0"/>
    <n v="1"/>
  </r>
  <r>
    <s v="SHP-503009"/>
    <d v="2025-02-25T00:00:00"/>
    <x v="1"/>
    <s v="Q1"/>
    <x v="1"/>
    <x v="2"/>
    <x v="2"/>
    <x v="4"/>
    <x v="0"/>
    <s v="Road"/>
    <x v="0"/>
    <n v="165.3"/>
    <n v="998"/>
    <n v="5"/>
    <n v="4"/>
    <n v="1"/>
    <n v="0"/>
    <n v="74.17"/>
    <n v="0"/>
    <n v="1"/>
  </r>
  <r>
    <s v="SHP-503010"/>
    <d v="2025-02-25T00:00:00"/>
    <x v="1"/>
    <s v="Q1"/>
    <x v="1"/>
    <x v="2"/>
    <x v="1"/>
    <x v="1"/>
    <x v="1"/>
    <s v="Road"/>
    <x v="1"/>
    <n v="6.2"/>
    <n v="201"/>
    <n v="5"/>
    <n v="6"/>
    <n v="0"/>
    <n v="1"/>
    <n v="7.24"/>
    <n v="0"/>
    <n v="1"/>
  </r>
  <r>
    <s v="SHP-503011"/>
    <d v="2025-02-25T00:00:00"/>
    <x v="1"/>
    <s v="Q1"/>
    <x v="1"/>
    <x v="1"/>
    <x v="0"/>
    <x v="3"/>
    <x v="0"/>
    <s v="Road"/>
    <x v="1"/>
    <n v="6.7"/>
    <n v="463"/>
    <n v="4"/>
    <n v="3"/>
    <n v="1"/>
    <n v="0"/>
    <n v="16.600000000000001"/>
    <n v="1"/>
    <n v="1"/>
  </r>
  <r>
    <s v="SHP-503012"/>
    <d v="2025-02-26T00:00:00"/>
    <x v="1"/>
    <s v="Q1"/>
    <x v="1"/>
    <x v="4"/>
    <x v="2"/>
    <x v="3"/>
    <x v="0"/>
    <s v="Road"/>
    <x v="1"/>
    <n v="1.5"/>
    <n v="509"/>
    <n v="4"/>
    <n v="3"/>
    <n v="1"/>
    <n v="0"/>
    <n v="15.66"/>
    <n v="0"/>
    <n v="1"/>
  </r>
  <r>
    <s v="SHP-503013"/>
    <d v="2025-02-26T00:00:00"/>
    <x v="1"/>
    <s v="Q1"/>
    <x v="1"/>
    <x v="3"/>
    <x v="0"/>
    <x v="0"/>
    <x v="2"/>
    <s v="Air"/>
    <x v="0"/>
    <n v="211.8"/>
    <n v="926"/>
    <n v="2"/>
    <n v="2"/>
    <n v="1"/>
    <n v="0"/>
    <n v="322.83999999999997"/>
    <n v="0"/>
    <n v="1"/>
  </r>
  <r>
    <s v="SHP-503014"/>
    <d v="2025-02-26T00:00:00"/>
    <x v="1"/>
    <s v="Q1"/>
    <x v="1"/>
    <x v="4"/>
    <x v="1"/>
    <x v="0"/>
    <x v="0"/>
    <s v="Road"/>
    <x v="0"/>
    <n v="117.8"/>
    <n v="791"/>
    <n v="4"/>
    <n v="4"/>
    <n v="1"/>
    <n v="0"/>
    <n v="58.69"/>
    <n v="0"/>
    <n v="1"/>
  </r>
  <r>
    <s v="SHP-503015"/>
    <d v="2025-02-26T00:00:00"/>
    <x v="1"/>
    <s v="Q1"/>
    <x v="1"/>
    <x v="1"/>
    <x v="2"/>
    <x v="3"/>
    <x v="1"/>
    <s v="Road"/>
    <x v="0"/>
    <n v="511.4"/>
    <n v="474"/>
    <n v="6"/>
    <n v="6"/>
    <n v="1"/>
    <n v="0"/>
    <n v="143.51"/>
    <n v="0"/>
    <n v="1"/>
  </r>
  <r>
    <s v="SHP-503016"/>
    <d v="2025-02-27T00:00:00"/>
    <x v="1"/>
    <s v="Q1"/>
    <x v="1"/>
    <x v="2"/>
    <x v="2"/>
    <x v="0"/>
    <x v="1"/>
    <s v="Road"/>
    <x v="1"/>
    <n v="3"/>
    <n v="821"/>
    <n v="6"/>
    <n v="6"/>
    <n v="1"/>
    <n v="0"/>
    <n v="11.62"/>
    <n v="0"/>
    <n v="1"/>
  </r>
  <r>
    <s v="SHP-503017"/>
    <d v="2025-02-27T00:00:00"/>
    <x v="1"/>
    <s v="Q1"/>
    <x v="1"/>
    <x v="2"/>
    <x v="1"/>
    <x v="3"/>
    <x v="0"/>
    <s v="Road"/>
    <x v="0"/>
    <n v="38.799999999999997"/>
    <n v="505"/>
    <n v="4"/>
    <n v="4"/>
    <n v="1"/>
    <n v="0"/>
    <n v="26.41"/>
    <n v="0"/>
    <n v="1"/>
  </r>
  <r>
    <s v="SHP-503018"/>
    <d v="2025-02-27T00:00:00"/>
    <x v="1"/>
    <s v="Q1"/>
    <x v="1"/>
    <x v="4"/>
    <x v="1"/>
    <x v="3"/>
    <x v="1"/>
    <s v="Road"/>
    <x v="0"/>
    <n v="25.1"/>
    <n v="435"/>
    <n v="6"/>
    <n v="6"/>
    <n v="1"/>
    <n v="0"/>
    <n v="17.96"/>
    <n v="0"/>
    <n v="1"/>
  </r>
  <r>
    <s v="SHP-503019"/>
    <d v="2025-02-27T00:00:00"/>
    <x v="1"/>
    <s v="Q1"/>
    <x v="1"/>
    <x v="2"/>
    <x v="0"/>
    <x v="1"/>
    <x v="2"/>
    <s v="Road"/>
    <x v="1"/>
    <n v="5.3"/>
    <n v="222"/>
    <n v="1"/>
    <n v="1"/>
    <n v="1"/>
    <n v="0"/>
    <n v="20.13"/>
    <n v="0"/>
    <n v="1"/>
  </r>
  <r>
    <s v="SHP-503020"/>
    <d v="2025-02-28T00:00:00"/>
    <x v="1"/>
    <s v="Q1"/>
    <x v="1"/>
    <x v="4"/>
    <x v="2"/>
    <x v="1"/>
    <x v="0"/>
    <s v="Road"/>
    <x v="0"/>
    <n v="49.1"/>
    <n v="232"/>
    <n v="3"/>
    <n v="3"/>
    <n v="1"/>
    <n v="0"/>
    <n v="34.75"/>
    <n v="0"/>
    <n v="1"/>
  </r>
  <r>
    <s v="SHP-503021"/>
    <d v="2025-02-28T00:00:00"/>
    <x v="1"/>
    <s v="Q1"/>
    <x v="1"/>
    <x v="0"/>
    <x v="0"/>
    <x v="1"/>
    <x v="0"/>
    <s v="Road"/>
    <x v="1"/>
    <n v="1.6"/>
    <n v="227"/>
    <n v="3"/>
    <n v="3"/>
    <n v="1"/>
    <n v="0"/>
    <n v="9.32"/>
    <n v="0"/>
    <n v="1"/>
  </r>
  <r>
    <s v="SHP-503022"/>
    <d v="2025-02-28T00:00:00"/>
    <x v="1"/>
    <s v="Q1"/>
    <x v="1"/>
    <x v="3"/>
    <x v="2"/>
    <x v="3"/>
    <x v="0"/>
    <s v="Road"/>
    <x v="0"/>
    <n v="373.4"/>
    <n v="520"/>
    <n v="4"/>
    <n v="4"/>
    <n v="1"/>
    <n v="0"/>
    <n v="168.77"/>
    <n v="0"/>
    <n v="1"/>
  </r>
  <r>
    <s v="SHP-503023"/>
    <d v="2025-02-28T00:00:00"/>
    <x v="1"/>
    <s v="Q1"/>
    <x v="1"/>
    <x v="4"/>
    <x v="2"/>
    <x v="0"/>
    <x v="0"/>
    <s v="Road"/>
    <x v="1"/>
    <n v="1.7"/>
    <n v="665"/>
    <n v="4"/>
    <n v="3"/>
    <n v="1"/>
    <n v="0"/>
    <n v="16.059999999999999"/>
    <n v="0"/>
    <n v="1"/>
  </r>
  <r>
    <s v="SHP-503024"/>
    <d v="2025-02-28T00:00:00"/>
    <x v="1"/>
    <s v="Q1"/>
    <x v="1"/>
    <x v="1"/>
    <x v="1"/>
    <x v="3"/>
    <x v="1"/>
    <s v="Road"/>
    <x v="1"/>
    <n v="13.2"/>
    <n v="529"/>
    <n v="6"/>
    <n v="6"/>
    <n v="1"/>
    <n v="0"/>
    <n v="16.010000000000002"/>
    <n v="0"/>
    <n v="1"/>
  </r>
  <r>
    <s v="SHP-503025"/>
    <d v="2025-02-28T00:00:00"/>
    <x v="1"/>
    <s v="Q1"/>
    <x v="1"/>
    <x v="2"/>
    <x v="1"/>
    <x v="0"/>
    <x v="0"/>
    <s v="Road"/>
    <x v="0"/>
    <n v="140.5"/>
    <n v="813"/>
    <n v="4"/>
    <n v="5"/>
    <n v="0"/>
    <n v="1"/>
    <n v="63.71"/>
    <n v="0"/>
    <n v="1"/>
  </r>
  <r>
    <s v="SHP-503026"/>
    <d v="2025-03-01T00:00:00"/>
    <x v="1"/>
    <s v="Q1"/>
    <x v="2"/>
    <x v="1"/>
    <x v="2"/>
    <x v="0"/>
    <x v="1"/>
    <s v="Road"/>
    <x v="0"/>
    <n v="49.7"/>
    <n v="700"/>
    <n v="6"/>
    <n v="9"/>
    <n v="0"/>
    <n v="3"/>
    <n v="29.41"/>
    <n v="0"/>
    <n v="1"/>
  </r>
  <r>
    <s v="SHP-503027"/>
    <d v="2025-03-01T00:00:00"/>
    <x v="1"/>
    <s v="Q1"/>
    <x v="2"/>
    <x v="2"/>
    <x v="1"/>
    <x v="0"/>
    <x v="0"/>
    <s v="Road"/>
    <x v="1"/>
    <n v="7.8"/>
    <n v="730"/>
    <n v="4"/>
    <n v="4"/>
    <n v="1"/>
    <n v="0"/>
    <n v="17.18"/>
    <n v="0"/>
    <n v="1"/>
  </r>
  <r>
    <s v="SHP-503028"/>
    <d v="2025-03-01T00:00:00"/>
    <x v="1"/>
    <s v="Q1"/>
    <x v="2"/>
    <x v="0"/>
    <x v="1"/>
    <x v="0"/>
    <x v="0"/>
    <s v="Road"/>
    <x v="0"/>
    <n v="158.5"/>
    <n v="774"/>
    <n v="4"/>
    <n v="4"/>
    <n v="1"/>
    <n v="0"/>
    <n v="75.569999999999993"/>
    <n v="0"/>
    <n v="1"/>
  </r>
  <r>
    <s v="SHP-503029"/>
    <d v="2025-03-02T00:00:00"/>
    <x v="1"/>
    <s v="Q1"/>
    <x v="2"/>
    <x v="3"/>
    <x v="2"/>
    <x v="0"/>
    <x v="0"/>
    <s v="Road"/>
    <x v="1"/>
    <n v="3.9"/>
    <n v="1131"/>
    <n v="4"/>
    <n v="6"/>
    <n v="0"/>
    <n v="2"/>
    <n v="24.89"/>
    <n v="0"/>
    <n v="1"/>
  </r>
  <r>
    <s v="SHP-503030"/>
    <d v="2025-03-02T00:00:00"/>
    <x v="1"/>
    <s v="Q1"/>
    <x v="2"/>
    <x v="3"/>
    <x v="2"/>
    <x v="2"/>
    <x v="0"/>
    <s v="Road"/>
    <x v="1"/>
    <n v="3.2"/>
    <n v="984"/>
    <n v="5"/>
    <n v="4"/>
    <n v="1"/>
    <n v="0"/>
    <n v="22.32"/>
    <n v="0"/>
    <n v="1"/>
  </r>
  <r>
    <s v="SHP-503031"/>
    <d v="2025-03-02T00:00:00"/>
    <x v="1"/>
    <s v="Q1"/>
    <x v="2"/>
    <x v="4"/>
    <x v="0"/>
    <x v="2"/>
    <x v="1"/>
    <s v="Road"/>
    <x v="0"/>
    <n v="83.3"/>
    <n v="1223"/>
    <n v="7"/>
    <n v="7"/>
    <n v="1"/>
    <n v="0"/>
    <n v="44.56"/>
    <n v="0"/>
    <n v="1"/>
  </r>
  <r>
    <s v="SHP-503032"/>
    <d v="2025-03-02T00:00:00"/>
    <x v="1"/>
    <s v="Q1"/>
    <x v="2"/>
    <x v="1"/>
    <x v="2"/>
    <x v="0"/>
    <x v="1"/>
    <s v="Road"/>
    <x v="0"/>
    <n v="168.2"/>
    <n v="1165"/>
    <n v="6"/>
    <n v="5"/>
    <n v="1"/>
    <n v="0"/>
    <n v="70.349999999999994"/>
    <n v="0"/>
    <n v="1"/>
  </r>
  <r>
    <s v="SHP-503033"/>
    <d v="2025-03-03T00:00:00"/>
    <x v="1"/>
    <s v="Q1"/>
    <x v="2"/>
    <x v="4"/>
    <x v="2"/>
    <x v="3"/>
    <x v="1"/>
    <s v="Road"/>
    <x v="0"/>
    <n v="84.1"/>
    <n v="499"/>
    <n v="6"/>
    <n v="6"/>
    <n v="1"/>
    <n v="0"/>
    <n v="34.47"/>
    <n v="0"/>
    <n v="1"/>
  </r>
  <r>
    <s v="SHP-503034"/>
    <d v="2025-03-03T00:00:00"/>
    <x v="1"/>
    <s v="Q1"/>
    <x v="2"/>
    <x v="2"/>
    <x v="2"/>
    <x v="3"/>
    <x v="2"/>
    <s v="Road"/>
    <x v="0"/>
    <n v="93.2"/>
    <n v="512"/>
    <n v="2"/>
    <n v="7"/>
    <n v="0"/>
    <n v="5"/>
    <n v="91.69"/>
    <n v="0"/>
    <n v="1"/>
  </r>
  <r>
    <s v="SHP-503035"/>
    <d v="2025-03-03T00:00:00"/>
    <x v="1"/>
    <s v="Q1"/>
    <x v="2"/>
    <x v="4"/>
    <x v="2"/>
    <x v="0"/>
    <x v="0"/>
    <s v="Road"/>
    <x v="1"/>
    <n v="13.8"/>
    <n v="740"/>
    <n v="4"/>
    <n v="4"/>
    <n v="1"/>
    <n v="0"/>
    <n v="23.77"/>
    <n v="0"/>
    <n v="1"/>
  </r>
  <r>
    <s v="SHP-503036"/>
    <d v="2025-03-03T00:00:00"/>
    <x v="1"/>
    <s v="Q1"/>
    <x v="2"/>
    <x v="4"/>
    <x v="1"/>
    <x v="1"/>
    <x v="2"/>
    <s v="Road"/>
    <x v="0"/>
    <n v="214.9"/>
    <n v="211"/>
    <n v="1"/>
    <n v="1"/>
    <n v="1"/>
    <n v="0"/>
    <n v="166.39"/>
    <n v="0"/>
    <n v="1"/>
  </r>
  <r>
    <s v="SHP-503037"/>
    <d v="2025-03-03T00:00:00"/>
    <x v="1"/>
    <s v="Q1"/>
    <x v="2"/>
    <x v="1"/>
    <x v="1"/>
    <x v="3"/>
    <x v="2"/>
    <s v="Road"/>
    <x v="0"/>
    <n v="145.4"/>
    <n v="480"/>
    <n v="2"/>
    <n v="2"/>
    <n v="1"/>
    <n v="0"/>
    <n v="141.03"/>
    <n v="0"/>
    <n v="1"/>
  </r>
  <r>
    <s v="SHP-503038"/>
    <d v="2025-03-04T00:00:00"/>
    <x v="1"/>
    <s v="Q1"/>
    <x v="2"/>
    <x v="2"/>
    <x v="0"/>
    <x v="0"/>
    <x v="2"/>
    <s v="Air"/>
    <x v="0"/>
    <n v="130.4"/>
    <n v="1030"/>
    <n v="2"/>
    <n v="2"/>
    <n v="1"/>
    <n v="0"/>
    <n v="204.62"/>
    <n v="1"/>
    <n v="1"/>
  </r>
  <r>
    <s v="SHP-503039"/>
    <d v="2025-03-04T00:00:00"/>
    <x v="1"/>
    <s v="Q1"/>
    <x v="2"/>
    <x v="1"/>
    <x v="2"/>
    <x v="1"/>
    <x v="1"/>
    <s v="Road"/>
    <x v="0"/>
    <n v="322.7"/>
    <n v="259"/>
    <n v="5"/>
    <n v="5"/>
    <n v="1"/>
    <n v="0"/>
    <n v="96.91"/>
    <n v="0"/>
    <n v="1"/>
  </r>
  <r>
    <s v="SHP-503040"/>
    <d v="2025-03-04T00:00:00"/>
    <x v="1"/>
    <s v="Q1"/>
    <x v="2"/>
    <x v="4"/>
    <x v="2"/>
    <x v="3"/>
    <x v="0"/>
    <s v="Road"/>
    <x v="1"/>
    <n v="1.6"/>
    <n v="386"/>
    <n v="4"/>
    <n v="4"/>
    <n v="1"/>
    <n v="0"/>
    <n v="11.9"/>
    <n v="0"/>
    <n v="1"/>
  </r>
  <r>
    <s v="SHP-503041"/>
    <d v="2025-03-04T00:00:00"/>
    <x v="1"/>
    <s v="Q1"/>
    <x v="2"/>
    <x v="4"/>
    <x v="0"/>
    <x v="2"/>
    <x v="2"/>
    <s v="Air"/>
    <x v="1"/>
    <n v="3.2"/>
    <n v="923"/>
    <n v="3"/>
    <n v="3"/>
    <n v="1"/>
    <n v="0"/>
    <n v="55.61"/>
    <n v="0"/>
    <n v="1"/>
  </r>
  <r>
    <s v="SHP-503042"/>
    <d v="2025-03-04T00:00:00"/>
    <x v="1"/>
    <s v="Q1"/>
    <x v="2"/>
    <x v="3"/>
    <x v="1"/>
    <x v="2"/>
    <x v="2"/>
    <s v="Air"/>
    <x v="1"/>
    <n v="4.3"/>
    <n v="1085"/>
    <n v="3"/>
    <n v="3"/>
    <n v="1"/>
    <n v="0"/>
    <n v="66"/>
    <n v="0"/>
    <n v="1"/>
  </r>
  <r>
    <s v="SHP-503043"/>
    <d v="2025-03-04T00:00:00"/>
    <x v="1"/>
    <s v="Q1"/>
    <x v="2"/>
    <x v="1"/>
    <x v="2"/>
    <x v="1"/>
    <x v="0"/>
    <s v="Road"/>
    <x v="1"/>
    <n v="2.8"/>
    <n v="256"/>
    <n v="3"/>
    <n v="6"/>
    <n v="0"/>
    <n v="3"/>
    <n v="12.73"/>
    <n v="0"/>
    <n v="1"/>
  </r>
  <r>
    <s v="SHP-503044"/>
    <d v="2025-03-04T00:00:00"/>
    <x v="1"/>
    <s v="Q1"/>
    <x v="2"/>
    <x v="4"/>
    <x v="1"/>
    <x v="3"/>
    <x v="0"/>
    <s v="Road"/>
    <x v="0"/>
    <n v="49.9"/>
    <n v="581"/>
    <n v="4"/>
    <n v="3"/>
    <n v="1"/>
    <n v="0"/>
    <n v="37.17"/>
    <n v="0"/>
    <n v="1"/>
  </r>
  <r>
    <s v="SHP-503045"/>
    <d v="2025-03-04T00:00:00"/>
    <x v="1"/>
    <s v="Q1"/>
    <x v="2"/>
    <x v="4"/>
    <x v="2"/>
    <x v="1"/>
    <x v="1"/>
    <s v="Road"/>
    <x v="1"/>
    <n v="14.4"/>
    <n v="284"/>
    <n v="5"/>
    <n v="5"/>
    <n v="1"/>
    <n v="0"/>
    <n v="12.36"/>
    <n v="0"/>
    <n v="1"/>
  </r>
  <r>
    <s v="SHP-503046"/>
    <d v="2025-03-05T00:00:00"/>
    <x v="1"/>
    <s v="Q1"/>
    <x v="2"/>
    <x v="3"/>
    <x v="1"/>
    <x v="2"/>
    <x v="0"/>
    <s v="Road"/>
    <x v="1"/>
    <n v="1.6"/>
    <n v="1292"/>
    <n v="5"/>
    <n v="5"/>
    <n v="1"/>
    <n v="0"/>
    <n v="25.02"/>
    <n v="0"/>
    <n v="1"/>
  </r>
  <r>
    <s v="SHP-503047"/>
    <d v="2025-03-05T00:00:00"/>
    <x v="1"/>
    <s v="Q1"/>
    <x v="2"/>
    <x v="2"/>
    <x v="2"/>
    <x v="4"/>
    <x v="2"/>
    <s v="Air"/>
    <x v="0"/>
    <n v="57"/>
    <n v="1307"/>
    <n v="3"/>
    <n v="2"/>
    <n v="1"/>
    <n v="0"/>
    <n v="131.51"/>
    <n v="0"/>
    <n v="1"/>
  </r>
  <r>
    <s v="SHP-503048"/>
    <d v="2025-03-05T00:00:00"/>
    <x v="1"/>
    <s v="Q1"/>
    <x v="2"/>
    <x v="1"/>
    <x v="2"/>
    <x v="4"/>
    <x v="2"/>
    <s v="Air"/>
    <x v="1"/>
    <n v="39.1"/>
    <n v="1056"/>
    <n v="3"/>
    <n v="6"/>
    <n v="0"/>
    <n v="3"/>
    <n v="131.13"/>
    <n v="0"/>
    <n v="1"/>
  </r>
  <r>
    <s v="SHP-503049"/>
    <d v="2025-03-05T00:00:00"/>
    <x v="1"/>
    <s v="Q1"/>
    <x v="2"/>
    <x v="1"/>
    <x v="2"/>
    <x v="1"/>
    <x v="2"/>
    <s v="Road"/>
    <x v="1"/>
    <n v="2.4"/>
    <n v="238"/>
    <n v="1"/>
    <n v="1"/>
    <n v="1"/>
    <n v="0"/>
    <n v="20.07"/>
    <n v="0"/>
    <n v="1"/>
  </r>
  <r>
    <s v="SHP-503050"/>
    <d v="2025-03-05T00:00:00"/>
    <x v="1"/>
    <s v="Q1"/>
    <x v="2"/>
    <x v="0"/>
    <x v="1"/>
    <x v="0"/>
    <x v="1"/>
    <s v="Road"/>
    <x v="1"/>
    <n v="2.4"/>
    <n v="1059"/>
    <n v="6"/>
    <n v="6"/>
    <n v="1"/>
    <n v="0"/>
    <n v="13.68"/>
    <n v="0"/>
    <n v="1"/>
  </r>
  <r>
    <s v="SHP-503051"/>
    <d v="2025-03-05T00:00:00"/>
    <x v="1"/>
    <s v="Q1"/>
    <x v="2"/>
    <x v="2"/>
    <x v="1"/>
    <x v="3"/>
    <x v="1"/>
    <s v="Road"/>
    <x v="1"/>
    <n v="5"/>
    <n v="576"/>
    <n v="6"/>
    <n v="6"/>
    <n v="1"/>
    <n v="0"/>
    <n v="10.24"/>
    <n v="0"/>
    <n v="1"/>
  </r>
  <r>
    <s v="SHP-503052"/>
    <d v="2025-03-05T00:00:00"/>
    <x v="1"/>
    <s v="Q1"/>
    <x v="2"/>
    <x v="1"/>
    <x v="0"/>
    <x v="4"/>
    <x v="1"/>
    <s v="Road"/>
    <x v="0"/>
    <n v="73.5"/>
    <n v="1302"/>
    <n v="7"/>
    <n v="7"/>
    <n v="1"/>
    <n v="0"/>
    <n v="45.58"/>
    <n v="0"/>
    <n v="1"/>
  </r>
  <r>
    <s v="SHP-503053"/>
    <d v="2025-03-05T00:00:00"/>
    <x v="1"/>
    <s v="Q1"/>
    <x v="2"/>
    <x v="2"/>
    <x v="1"/>
    <x v="0"/>
    <x v="0"/>
    <s v="Road"/>
    <x v="1"/>
    <n v="3.5"/>
    <n v="1150"/>
    <n v="4"/>
    <n v="4"/>
    <n v="1"/>
    <n v="0"/>
    <n v="18.61"/>
    <n v="0"/>
    <n v="1"/>
  </r>
  <r>
    <s v="SHP-503054"/>
    <d v="2025-03-05T00:00:00"/>
    <x v="1"/>
    <s v="Q1"/>
    <x v="2"/>
    <x v="1"/>
    <x v="1"/>
    <x v="0"/>
    <x v="2"/>
    <s v="Air"/>
    <x v="1"/>
    <n v="6.2"/>
    <n v="710"/>
    <n v="2"/>
    <n v="4"/>
    <n v="0"/>
    <n v="2"/>
    <n v="68.150000000000006"/>
    <n v="0"/>
    <n v="1"/>
  </r>
  <r>
    <s v="SHP-503055"/>
    <d v="2025-03-05T00:00:00"/>
    <x v="1"/>
    <s v="Q1"/>
    <x v="2"/>
    <x v="2"/>
    <x v="0"/>
    <x v="1"/>
    <x v="1"/>
    <s v="Road"/>
    <x v="0"/>
    <n v="82"/>
    <n v="192"/>
    <n v="5"/>
    <n v="4"/>
    <n v="1"/>
    <n v="0"/>
    <n v="29.94"/>
    <n v="0"/>
    <n v="1"/>
  </r>
  <r>
    <s v="SHP-503056"/>
    <d v="2025-03-05T00:00:00"/>
    <x v="1"/>
    <s v="Q1"/>
    <x v="2"/>
    <x v="3"/>
    <x v="2"/>
    <x v="2"/>
    <x v="0"/>
    <s v="Road"/>
    <x v="1"/>
    <n v="6.4"/>
    <n v="1199"/>
    <n v="5"/>
    <n v="5"/>
    <n v="1"/>
    <n v="0"/>
    <n v="28"/>
    <n v="0"/>
    <n v="1"/>
  </r>
  <r>
    <s v="SHP-503057"/>
    <d v="2025-03-05T00:00:00"/>
    <x v="1"/>
    <s v="Q1"/>
    <x v="2"/>
    <x v="2"/>
    <x v="2"/>
    <x v="1"/>
    <x v="0"/>
    <s v="Road"/>
    <x v="0"/>
    <n v="70.2"/>
    <n v="314"/>
    <n v="3"/>
    <n v="2"/>
    <n v="1"/>
    <n v="0"/>
    <n v="37.340000000000003"/>
    <n v="0"/>
    <n v="1"/>
  </r>
  <r>
    <s v="SHP-503058"/>
    <d v="2025-03-05T00:00:00"/>
    <x v="1"/>
    <s v="Q1"/>
    <x v="2"/>
    <x v="2"/>
    <x v="2"/>
    <x v="3"/>
    <x v="1"/>
    <s v="Road"/>
    <x v="0"/>
    <n v="80"/>
    <n v="435"/>
    <n v="6"/>
    <n v="5"/>
    <n v="1"/>
    <n v="0"/>
    <n v="30.55"/>
    <n v="0"/>
    <n v="1"/>
  </r>
  <r>
    <s v="SHP-503059"/>
    <d v="2025-03-05T00:00:00"/>
    <x v="1"/>
    <s v="Q1"/>
    <x v="2"/>
    <x v="3"/>
    <x v="2"/>
    <x v="2"/>
    <x v="0"/>
    <s v="Road"/>
    <x v="0"/>
    <n v="50.3"/>
    <n v="1291"/>
    <n v="5"/>
    <n v="4"/>
    <n v="1"/>
    <n v="0"/>
    <n v="46.86"/>
    <n v="0"/>
    <n v="1"/>
  </r>
  <r>
    <s v="SHP-503060"/>
    <d v="2025-03-06T00:00:00"/>
    <x v="1"/>
    <s v="Q1"/>
    <x v="2"/>
    <x v="3"/>
    <x v="1"/>
    <x v="1"/>
    <x v="0"/>
    <s v="Road"/>
    <x v="1"/>
    <n v="2.9"/>
    <n v="277"/>
    <n v="3"/>
    <n v="3"/>
    <n v="1"/>
    <n v="0"/>
    <n v="12.43"/>
    <n v="0"/>
    <n v="1"/>
  </r>
  <r>
    <s v="SHP-503061"/>
    <d v="2025-03-06T00:00:00"/>
    <x v="1"/>
    <s v="Q1"/>
    <x v="2"/>
    <x v="4"/>
    <x v="2"/>
    <x v="0"/>
    <x v="0"/>
    <s v="Road"/>
    <x v="1"/>
    <n v="9.8000000000000007"/>
    <n v="960"/>
    <n v="4"/>
    <n v="3"/>
    <n v="1"/>
    <n v="0"/>
    <n v="24.99"/>
    <n v="0"/>
    <n v="1"/>
  </r>
  <r>
    <s v="SHP-503062"/>
    <d v="2025-03-06T00:00:00"/>
    <x v="1"/>
    <s v="Q1"/>
    <x v="2"/>
    <x v="1"/>
    <x v="2"/>
    <x v="1"/>
    <x v="1"/>
    <s v="Road"/>
    <x v="1"/>
    <n v="11.4"/>
    <n v="282"/>
    <n v="5"/>
    <n v="5"/>
    <n v="1"/>
    <n v="0"/>
    <n v="12.16"/>
    <n v="0"/>
    <n v="1"/>
  </r>
  <r>
    <s v="SHP-503063"/>
    <d v="2025-03-06T00:00:00"/>
    <x v="1"/>
    <s v="Q1"/>
    <x v="2"/>
    <x v="0"/>
    <x v="2"/>
    <x v="1"/>
    <x v="0"/>
    <s v="Road"/>
    <x v="1"/>
    <n v="17.2"/>
    <n v="225"/>
    <n v="3"/>
    <n v="3"/>
    <n v="1"/>
    <n v="0"/>
    <n v="19.05"/>
    <n v="0"/>
    <n v="1"/>
  </r>
  <r>
    <s v="SHP-503064"/>
    <d v="2025-03-06T00:00:00"/>
    <x v="1"/>
    <s v="Q1"/>
    <x v="2"/>
    <x v="2"/>
    <x v="2"/>
    <x v="2"/>
    <x v="0"/>
    <s v="Road"/>
    <x v="0"/>
    <n v="144.4"/>
    <n v="1014"/>
    <n v="5"/>
    <n v="4"/>
    <n v="1"/>
    <n v="0"/>
    <n v="67.97"/>
    <n v="0"/>
    <n v="1"/>
  </r>
  <r>
    <s v="SHP-503065"/>
    <d v="2025-03-06T00:00:00"/>
    <x v="1"/>
    <s v="Q1"/>
    <x v="2"/>
    <x v="4"/>
    <x v="2"/>
    <x v="1"/>
    <x v="2"/>
    <s v="Road"/>
    <x v="1"/>
    <n v="9.4"/>
    <n v="232"/>
    <n v="1"/>
    <n v="1"/>
    <n v="1"/>
    <n v="0"/>
    <n v="28.98"/>
    <n v="0"/>
    <n v="1"/>
  </r>
  <r>
    <s v="SHP-503066"/>
    <d v="2025-03-06T00:00:00"/>
    <x v="1"/>
    <s v="Q1"/>
    <x v="2"/>
    <x v="3"/>
    <x v="1"/>
    <x v="3"/>
    <x v="0"/>
    <s v="Road"/>
    <x v="0"/>
    <n v="61.5"/>
    <n v="439"/>
    <n v="4"/>
    <n v="4"/>
    <n v="1"/>
    <n v="0"/>
    <n v="45.96"/>
    <n v="0"/>
    <n v="1"/>
  </r>
  <r>
    <s v="SHP-503067"/>
    <d v="2025-03-06T00:00:00"/>
    <x v="1"/>
    <s v="Q1"/>
    <x v="2"/>
    <x v="2"/>
    <x v="1"/>
    <x v="3"/>
    <x v="0"/>
    <s v="Road"/>
    <x v="1"/>
    <n v="9.1999999999999993"/>
    <n v="501"/>
    <n v="4"/>
    <n v="4"/>
    <n v="1"/>
    <n v="0"/>
    <n v="15.84"/>
    <n v="0"/>
    <n v="1"/>
  </r>
  <r>
    <s v="SHP-503068"/>
    <d v="2025-03-06T00:00:00"/>
    <x v="1"/>
    <s v="Q1"/>
    <x v="2"/>
    <x v="4"/>
    <x v="0"/>
    <x v="2"/>
    <x v="0"/>
    <s v="Road"/>
    <x v="1"/>
    <n v="2.9"/>
    <n v="1309"/>
    <n v="5"/>
    <n v="5"/>
    <n v="1"/>
    <n v="0"/>
    <n v="25.03"/>
    <n v="0"/>
    <n v="1"/>
  </r>
  <r>
    <s v="SHP-503069"/>
    <d v="2025-03-06T00:00:00"/>
    <x v="1"/>
    <s v="Q1"/>
    <x v="2"/>
    <x v="2"/>
    <x v="1"/>
    <x v="2"/>
    <x v="2"/>
    <s v="Air"/>
    <x v="0"/>
    <n v="231.7"/>
    <n v="1156"/>
    <n v="3"/>
    <n v="3"/>
    <n v="1"/>
    <n v="0"/>
    <n v="290.63"/>
    <n v="0"/>
    <n v="1"/>
  </r>
  <r>
    <s v="SHP-503070"/>
    <d v="2025-03-06T00:00:00"/>
    <x v="1"/>
    <s v="Q1"/>
    <x v="2"/>
    <x v="3"/>
    <x v="2"/>
    <x v="1"/>
    <x v="2"/>
    <s v="Road"/>
    <x v="1"/>
    <n v="9.3000000000000007"/>
    <n v="199"/>
    <n v="1"/>
    <n v="1"/>
    <n v="1"/>
    <n v="0"/>
    <n v="27.02"/>
    <n v="0"/>
    <n v="1"/>
  </r>
  <r>
    <s v="SHP-503071"/>
    <d v="2025-03-06T00:00:00"/>
    <x v="1"/>
    <s v="Q1"/>
    <x v="2"/>
    <x v="2"/>
    <x v="1"/>
    <x v="2"/>
    <x v="0"/>
    <s v="Road"/>
    <x v="0"/>
    <n v="266.3"/>
    <n v="1165"/>
    <n v="5"/>
    <n v="5"/>
    <n v="1"/>
    <n v="0"/>
    <n v="113.98"/>
    <n v="0"/>
    <n v="1"/>
  </r>
  <r>
    <s v="SHP-503072"/>
    <d v="2025-03-06T00:00:00"/>
    <x v="1"/>
    <s v="Q1"/>
    <x v="2"/>
    <x v="0"/>
    <x v="1"/>
    <x v="1"/>
    <x v="0"/>
    <s v="Road"/>
    <x v="0"/>
    <n v="162.30000000000001"/>
    <n v="190"/>
    <n v="3"/>
    <n v="3"/>
    <n v="1"/>
    <n v="0"/>
    <n v="79.73"/>
    <n v="0"/>
    <n v="1"/>
  </r>
  <r>
    <s v="SHP-503073"/>
    <d v="2025-03-06T00:00:00"/>
    <x v="1"/>
    <s v="Q1"/>
    <x v="2"/>
    <x v="4"/>
    <x v="2"/>
    <x v="1"/>
    <x v="0"/>
    <s v="Road"/>
    <x v="1"/>
    <n v="6.4"/>
    <n v="320"/>
    <n v="3"/>
    <n v="3"/>
    <n v="1"/>
    <n v="0"/>
    <n v="15.16"/>
    <n v="0"/>
    <n v="1"/>
  </r>
  <r>
    <s v="SHP-503074"/>
    <d v="2025-03-06T00:00:00"/>
    <x v="1"/>
    <s v="Q1"/>
    <x v="2"/>
    <x v="2"/>
    <x v="2"/>
    <x v="3"/>
    <x v="1"/>
    <s v="Road"/>
    <x v="1"/>
    <n v="5.7"/>
    <n v="457"/>
    <n v="6"/>
    <n v="6"/>
    <n v="1"/>
    <n v="0"/>
    <n v="10"/>
    <n v="0"/>
    <n v="1"/>
  </r>
  <r>
    <s v="SHP-503075"/>
    <d v="2025-03-07T00:00:00"/>
    <x v="1"/>
    <s v="Q1"/>
    <x v="2"/>
    <x v="4"/>
    <x v="2"/>
    <x v="0"/>
    <x v="2"/>
    <s v="Air"/>
    <x v="0"/>
    <n v="79.400000000000006"/>
    <n v="827"/>
    <n v="2"/>
    <n v="2"/>
    <n v="1"/>
    <n v="0"/>
    <n v="159.66"/>
    <n v="0"/>
    <n v="1"/>
  </r>
  <r>
    <s v="SHP-503076"/>
    <d v="2025-03-07T00:00:00"/>
    <x v="1"/>
    <s v="Q1"/>
    <x v="2"/>
    <x v="2"/>
    <x v="2"/>
    <x v="1"/>
    <x v="0"/>
    <s v="Road"/>
    <x v="1"/>
    <n v="17.5"/>
    <n v="243"/>
    <n v="3"/>
    <n v="3"/>
    <n v="1"/>
    <n v="0"/>
    <n v="18.32"/>
    <n v="0"/>
    <n v="1"/>
  </r>
  <r>
    <s v="SHP-503077"/>
    <d v="2025-03-07T00:00:00"/>
    <x v="1"/>
    <s v="Q1"/>
    <x v="2"/>
    <x v="4"/>
    <x v="2"/>
    <x v="1"/>
    <x v="0"/>
    <s v="Road"/>
    <x v="1"/>
    <n v="4.5999999999999996"/>
    <n v="236"/>
    <n v="3"/>
    <n v="2"/>
    <n v="1"/>
    <n v="0"/>
    <n v="12.9"/>
    <n v="0"/>
    <n v="1"/>
  </r>
  <r>
    <s v="SHP-503078"/>
    <d v="2025-03-07T00:00:00"/>
    <x v="1"/>
    <s v="Q1"/>
    <x v="2"/>
    <x v="0"/>
    <x v="1"/>
    <x v="0"/>
    <x v="0"/>
    <s v="Road"/>
    <x v="0"/>
    <n v="191.4"/>
    <n v="746"/>
    <n v="4"/>
    <n v="8"/>
    <n v="0"/>
    <n v="4"/>
    <n v="90.81"/>
    <n v="0"/>
    <n v="1"/>
  </r>
  <r>
    <s v="SHP-503079"/>
    <d v="2025-03-07T00:00:00"/>
    <x v="1"/>
    <s v="Q1"/>
    <x v="2"/>
    <x v="1"/>
    <x v="0"/>
    <x v="4"/>
    <x v="0"/>
    <s v="Road"/>
    <x v="0"/>
    <n v="22"/>
    <n v="1039"/>
    <n v="5"/>
    <n v="5"/>
    <n v="1"/>
    <n v="0"/>
    <n v="31.58"/>
    <n v="0"/>
    <n v="1"/>
  </r>
  <r>
    <s v="SHP-503080"/>
    <d v="2025-03-08T00:00:00"/>
    <x v="1"/>
    <s v="Q1"/>
    <x v="2"/>
    <x v="4"/>
    <x v="0"/>
    <x v="1"/>
    <x v="2"/>
    <s v="Road"/>
    <x v="1"/>
    <n v="4.2"/>
    <n v="240"/>
    <n v="1"/>
    <n v="1"/>
    <n v="1"/>
    <n v="0"/>
    <n v="24.94"/>
    <n v="0"/>
    <n v="1"/>
  </r>
  <r>
    <s v="SHP-503081"/>
    <d v="2025-03-08T00:00:00"/>
    <x v="1"/>
    <s v="Q1"/>
    <x v="2"/>
    <x v="1"/>
    <x v="2"/>
    <x v="0"/>
    <x v="2"/>
    <s v="Air"/>
    <x v="0"/>
    <n v="142.6"/>
    <n v="881"/>
    <n v="2"/>
    <n v="2"/>
    <n v="1"/>
    <n v="0"/>
    <n v="246.83"/>
    <n v="0"/>
    <n v="1"/>
  </r>
  <r>
    <s v="SHP-503082"/>
    <d v="2025-03-08T00:00:00"/>
    <x v="1"/>
    <s v="Q1"/>
    <x v="2"/>
    <x v="4"/>
    <x v="2"/>
    <x v="0"/>
    <x v="0"/>
    <s v="Road"/>
    <x v="0"/>
    <n v="98.8"/>
    <n v="1020"/>
    <n v="4"/>
    <n v="4"/>
    <n v="1"/>
    <n v="0"/>
    <n v="70.430000000000007"/>
    <n v="0"/>
    <n v="1"/>
  </r>
  <r>
    <s v="SHP-503083"/>
    <d v="2025-03-08T00:00:00"/>
    <x v="1"/>
    <s v="Q1"/>
    <x v="2"/>
    <x v="4"/>
    <x v="2"/>
    <x v="4"/>
    <x v="0"/>
    <s v="Road"/>
    <x v="1"/>
    <n v="11"/>
    <n v="1012"/>
    <n v="5"/>
    <n v="5"/>
    <n v="1"/>
    <n v="0"/>
    <n v="26.35"/>
    <n v="0"/>
    <n v="1"/>
  </r>
  <r>
    <s v="SHP-503084"/>
    <d v="2025-03-08T00:00:00"/>
    <x v="1"/>
    <s v="Q1"/>
    <x v="2"/>
    <x v="1"/>
    <x v="1"/>
    <x v="1"/>
    <x v="0"/>
    <s v="Road"/>
    <x v="1"/>
    <n v="5.2"/>
    <n v="314"/>
    <n v="3"/>
    <n v="3"/>
    <n v="1"/>
    <n v="0"/>
    <n v="13.98"/>
    <n v="0"/>
    <n v="1"/>
  </r>
  <r>
    <s v="SHP-503085"/>
    <d v="2025-03-08T00:00:00"/>
    <x v="1"/>
    <s v="Q1"/>
    <x v="2"/>
    <x v="4"/>
    <x v="2"/>
    <x v="1"/>
    <x v="2"/>
    <s v="Road"/>
    <x v="1"/>
    <n v="14.3"/>
    <n v="303"/>
    <n v="1"/>
    <n v="1"/>
    <n v="1"/>
    <n v="0"/>
    <n v="34.840000000000003"/>
    <n v="0"/>
    <n v="1"/>
  </r>
  <r>
    <s v="SHP-503086"/>
    <d v="2025-03-08T00:00:00"/>
    <x v="1"/>
    <s v="Q1"/>
    <x v="2"/>
    <x v="4"/>
    <x v="0"/>
    <x v="1"/>
    <x v="2"/>
    <s v="Road"/>
    <x v="1"/>
    <n v="6.6"/>
    <n v="303"/>
    <n v="1"/>
    <n v="1"/>
    <n v="1"/>
    <n v="0"/>
    <n v="29.38"/>
    <n v="0"/>
    <n v="1"/>
  </r>
  <r>
    <s v="SHP-503087"/>
    <d v="2025-03-08T00:00:00"/>
    <x v="1"/>
    <s v="Q1"/>
    <x v="2"/>
    <x v="3"/>
    <x v="2"/>
    <x v="4"/>
    <x v="0"/>
    <s v="Road"/>
    <x v="1"/>
    <n v="8.1999999999999993"/>
    <n v="1112"/>
    <n v="5"/>
    <n v="6"/>
    <n v="0"/>
    <n v="1"/>
    <n v="31.63"/>
    <n v="0"/>
    <n v="1"/>
  </r>
  <r>
    <s v="SHP-503088"/>
    <d v="2025-03-08T00:00:00"/>
    <x v="1"/>
    <s v="Q1"/>
    <x v="2"/>
    <x v="4"/>
    <x v="0"/>
    <x v="3"/>
    <x v="0"/>
    <s v="Road"/>
    <x v="1"/>
    <n v="8.6"/>
    <n v="426"/>
    <n v="4"/>
    <n v="4"/>
    <n v="1"/>
    <n v="0"/>
    <n v="15.85"/>
    <n v="0"/>
    <n v="1"/>
  </r>
  <r>
    <s v="SHP-503089"/>
    <d v="2025-03-08T00:00:00"/>
    <x v="1"/>
    <s v="Q1"/>
    <x v="2"/>
    <x v="3"/>
    <x v="2"/>
    <x v="2"/>
    <x v="2"/>
    <s v="Air"/>
    <x v="0"/>
    <n v="21.9"/>
    <n v="1193"/>
    <n v="3"/>
    <n v="3"/>
    <n v="1"/>
    <n v="0"/>
    <n v="106.14"/>
    <n v="0"/>
    <n v="1"/>
  </r>
  <r>
    <s v="SHP-503090"/>
    <d v="2025-03-09T00:00:00"/>
    <x v="1"/>
    <s v="Q1"/>
    <x v="2"/>
    <x v="3"/>
    <x v="1"/>
    <x v="1"/>
    <x v="2"/>
    <s v="Road"/>
    <x v="0"/>
    <n v="438"/>
    <n v="254"/>
    <n v="1"/>
    <n v="1"/>
    <n v="1"/>
    <n v="0"/>
    <n v="361.21"/>
    <n v="0"/>
    <n v="1"/>
  </r>
  <r>
    <s v="SHP-503091"/>
    <d v="2025-03-09T00:00:00"/>
    <x v="1"/>
    <s v="Q1"/>
    <x v="2"/>
    <x v="3"/>
    <x v="2"/>
    <x v="1"/>
    <x v="2"/>
    <s v="Road"/>
    <x v="1"/>
    <n v="7.8"/>
    <n v="258"/>
    <n v="1"/>
    <n v="1"/>
    <n v="1"/>
    <n v="0"/>
    <n v="29.1"/>
    <n v="0"/>
    <n v="1"/>
  </r>
  <r>
    <s v="SHP-503092"/>
    <d v="2025-03-09T00:00:00"/>
    <x v="1"/>
    <s v="Q1"/>
    <x v="2"/>
    <x v="2"/>
    <x v="2"/>
    <x v="1"/>
    <x v="1"/>
    <s v="Road"/>
    <x v="1"/>
    <n v="2.9"/>
    <n v="288"/>
    <n v="5"/>
    <n v="4"/>
    <n v="1"/>
    <n v="0"/>
    <n v="7.23"/>
    <n v="0"/>
    <n v="1"/>
  </r>
  <r>
    <s v="SHP-503093"/>
    <d v="2025-03-10T00:00:00"/>
    <x v="1"/>
    <s v="Q1"/>
    <x v="2"/>
    <x v="2"/>
    <x v="0"/>
    <x v="4"/>
    <x v="2"/>
    <s v="Air"/>
    <x v="1"/>
    <n v="1.1000000000000001"/>
    <n v="801"/>
    <n v="3"/>
    <n v="2"/>
    <n v="1"/>
    <n v="0"/>
    <n v="45.92"/>
    <n v="0"/>
    <n v="1"/>
  </r>
  <r>
    <s v="SHP-503094"/>
    <d v="2025-03-10T00:00:00"/>
    <x v="1"/>
    <s v="Q1"/>
    <x v="2"/>
    <x v="2"/>
    <x v="0"/>
    <x v="0"/>
    <x v="2"/>
    <s v="Air"/>
    <x v="1"/>
    <n v="4.5"/>
    <n v="1049"/>
    <n v="2"/>
    <n v="2"/>
    <n v="1"/>
    <n v="0"/>
    <n v="56.74"/>
    <n v="0"/>
    <n v="1"/>
  </r>
  <r>
    <s v="SHP-503095"/>
    <d v="2025-03-10T00:00:00"/>
    <x v="1"/>
    <s v="Q1"/>
    <x v="2"/>
    <x v="4"/>
    <x v="2"/>
    <x v="4"/>
    <x v="0"/>
    <s v="Road"/>
    <x v="1"/>
    <n v="2.6"/>
    <n v="757"/>
    <n v="5"/>
    <n v="7"/>
    <n v="0"/>
    <n v="2"/>
    <n v="17.28"/>
    <n v="0"/>
    <n v="1"/>
  </r>
  <r>
    <s v="SHP-503096"/>
    <d v="2025-03-10T00:00:00"/>
    <x v="1"/>
    <s v="Q1"/>
    <x v="2"/>
    <x v="0"/>
    <x v="2"/>
    <x v="4"/>
    <x v="2"/>
    <s v="Air"/>
    <x v="1"/>
    <n v="14.7"/>
    <n v="984"/>
    <n v="3"/>
    <n v="3"/>
    <n v="1"/>
    <n v="0"/>
    <n v="65.83"/>
    <n v="0"/>
    <n v="1"/>
  </r>
  <r>
    <s v="SHP-503097"/>
    <d v="2025-03-10T00:00:00"/>
    <x v="1"/>
    <s v="Q1"/>
    <x v="2"/>
    <x v="2"/>
    <x v="0"/>
    <x v="0"/>
    <x v="1"/>
    <s v="Road"/>
    <x v="1"/>
    <n v="17.5"/>
    <n v="880"/>
    <n v="6"/>
    <n v="6"/>
    <n v="1"/>
    <n v="0"/>
    <n v="17.239999999999998"/>
    <n v="0"/>
    <n v="1"/>
  </r>
  <r>
    <s v="SHP-503098"/>
    <d v="2025-03-10T00:00:00"/>
    <x v="1"/>
    <s v="Q1"/>
    <x v="2"/>
    <x v="3"/>
    <x v="2"/>
    <x v="1"/>
    <x v="1"/>
    <s v="Road"/>
    <x v="1"/>
    <n v="6.2"/>
    <n v="256"/>
    <n v="5"/>
    <n v="7"/>
    <n v="0"/>
    <n v="2"/>
    <n v="10.64"/>
    <n v="0"/>
    <n v="1"/>
  </r>
  <r>
    <s v="SHP-503099"/>
    <d v="2025-03-10T00:00:00"/>
    <x v="1"/>
    <s v="Q1"/>
    <x v="2"/>
    <x v="0"/>
    <x v="1"/>
    <x v="0"/>
    <x v="1"/>
    <s v="Road"/>
    <x v="1"/>
    <n v="5.4"/>
    <n v="962"/>
    <n v="6"/>
    <n v="6"/>
    <n v="1"/>
    <n v="0"/>
    <n v="14.26"/>
    <n v="0"/>
    <n v="1"/>
  </r>
  <r>
    <s v="SHP-503100"/>
    <d v="2025-03-10T00:00:00"/>
    <x v="1"/>
    <s v="Q1"/>
    <x v="2"/>
    <x v="3"/>
    <x v="1"/>
    <x v="3"/>
    <x v="1"/>
    <s v="Road"/>
    <x v="1"/>
    <n v="1.5"/>
    <n v="488"/>
    <n v="6"/>
    <n v="5"/>
    <n v="1"/>
    <n v="0"/>
    <n v="10.210000000000001"/>
    <n v="0"/>
    <n v="1"/>
  </r>
  <r>
    <s v="SHP-503101"/>
    <d v="2025-03-10T00:00:00"/>
    <x v="1"/>
    <s v="Q1"/>
    <x v="2"/>
    <x v="2"/>
    <x v="1"/>
    <x v="0"/>
    <x v="1"/>
    <s v="Road"/>
    <x v="1"/>
    <n v="5.6"/>
    <n v="992"/>
    <n v="6"/>
    <n v="6"/>
    <n v="1"/>
    <n v="0"/>
    <n v="13.84"/>
    <n v="0"/>
    <n v="1"/>
  </r>
  <r>
    <s v="SHP-503102"/>
    <d v="2025-03-11T00:00:00"/>
    <x v="1"/>
    <s v="Q1"/>
    <x v="2"/>
    <x v="3"/>
    <x v="1"/>
    <x v="1"/>
    <x v="1"/>
    <s v="Road"/>
    <x v="1"/>
    <n v="7.8"/>
    <n v="173"/>
    <n v="5"/>
    <n v="4"/>
    <n v="1"/>
    <n v="0"/>
    <n v="10.35"/>
    <n v="0"/>
    <n v="1"/>
  </r>
  <r>
    <s v="SHP-503103"/>
    <d v="2025-03-11T00:00:00"/>
    <x v="1"/>
    <s v="Q1"/>
    <x v="2"/>
    <x v="0"/>
    <x v="1"/>
    <x v="0"/>
    <x v="1"/>
    <s v="Road"/>
    <x v="1"/>
    <n v="5.7"/>
    <n v="862"/>
    <n v="6"/>
    <n v="6"/>
    <n v="1"/>
    <n v="0"/>
    <n v="13.45"/>
    <n v="0"/>
    <n v="1"/>
  </r>
  <r>
    <s v="SHP-503104"/>
    <d v="2025-03-11T00:00:00"/>
    <x v="1"/>
    <s v="Q1"/>
    <x v="2"/>
    <x v="4"/>
    <x v="0"/>
    <x v="2"/>
    <x v="2"/>
    <s v="Air"/>
    <x v="1"/>
    <n v="4.3"/>
    <n v="1196"/>
    <n v="3"/>
    <n v="2"/>
    <n v="1"/>
    <n v="0"/>
    <n v="71.13"/>
    <n v="0"/>
    <n v="1"/>
  </r>
  <r>
    <s v="SHP-503105"/>
    <d v="2025-03-11T00:00:00"/>
    <x v="1"/>
    <s v="Q1"/>
    <x v="2"/>
    <x v="3"/>
    <x v="1"/>
    <x v="3"/>
    <x v="0"/>
    <s v="Road"/>
    <x v="0"/>
    <n v="302.3"/>
    <n v="474"/>
    <n v="4"/>
    <n v="4"/>
    <n v="1"/>
    <n v="0"/>
    <n v="137.94999999999999"/>
    <n v="0"/>
    <n v="1"/>
  </r>
  <r>
    <s v="SHP-503106"/>
    <d v="2025-03-11T00:00:00"/>
    <x v="1"/>
    <s v="Q1"/>
    <x v="2"/>
    <x v="4"/>
    <x v="0"/>
    <x v="1"/>
    <x v="0"/>
    <s v="Road"/>
    <x v="1"/>
    <n v="14.4"/>
    <n v="255"/>
    <n v="3"/>
    <n v="3"/>
    <n v="1"/>
    <n v="0"/>
    <n v="16.670000000000002"/>
    <n v="0"/>
    <n v="1"/>
  </r>
  <r>
    <s v="SHP-503107"/>
    <d v="2025-03-11T00:00:00"/>
    <x v="1"/>
    <s v="Q1"/>
    <x v="2"/>
    <x v="4"/>
    <x v="1"/>
    <x v="1"/>
    <x v="0"/>
    <s v="Road"/>
    <x v="0"/>
    <n v="216.9"/>
    <n v="298"/>
    <n v="3"/>
    <n v="3"/>
    <n v="1"/>
    <n v="0"/>
    <n v="96.08"/>
    <n v="0"/>
    <n v="1"/>
  </r>
  <r>
    <s v="SHP-503108"/>
    <d v="2025-03-11T00:00:00"/>
    <x v="1"/>
    <s v="Q1"/>
    <x v="2"/>
    <x v="0"/>
    <x v="2"/>
    <x v="0"/>
    <x v="0"/>
    <s v="Road"/>
    <x v="1"/>
    <n v="7.2"/>
    <n v="681"/>
    <n v="4"/>
    <n v="4"/>
    <n v="1"/>
    <n v="0"/>
    <n v="18.61"/>
    <n v="0"/>
    <n v="1"/>
  </r>
  <r>
    <s v="SHP-503109"/>
    <d v="2025-03-11T00:00:00"/>
    <x v="1"/>
    <s v="Q1"/>
    <x v="2"/>
    <x v="2"/>
    <x v="1"/>
    <x v="3"/>
    <x v="0"/>
    <s v="Road"/>
    <x v="1"/>
    <n v="6.9"/>
    <n v="443"/>
    <n v="4"/>
    <n v="5"/>
    <n v="0"/>
    <n v="1"/>
    <n v="12.71"/>
    <n v="0"/>
    <n v="1"/>
  </r>
  <r>
    <s v="SHP-503110"/>
    <d v="2025-03-11T00:00:00"/>
    <x v="1"/>
    <s v="Q1"/>
    <x v="2"/>
    <x v="3"/>
    <x v="0"/>
    <x v="3"/>
    <x v="0"/>
    <s v="Road"/>
    <x v="0"/>
    <n v="29.1"/>
    <n v="493"/>
    <n v="4"/>
    <n v="4"/>
    <n v="1"/>
    <n v="0"/>
    <n v="30.92"/>
    <n v="0"/>
    <n v="1"/>
  </r>
  <r>
    <s v="SHP-503111"/>
    <d v="2025-03-11T00:00:00"/>
    <x v="1"/>
    <s v="Q1"/>
    <x v="2"/>
    <x v="3"/>
    <x v="0"/>
    <x v="1"/>
    <x v="0"/>
    <s v="Road"/>
    <x v="1"/>
    <n v="7.7"/>
    <n v="239"/>
    <n v="3"/>
    <n v="3"/>
    <n v="1"/>
    <n v="0"/>
    <n v="15.86"/>
    <n v="0"/>
    <n v="1"/>
  </r>
  <r>
    <s v="SHP-503112"/>
    <d v="2025-03-11T00:00:00"/>
    <x v="1"/>
    <s v="Q1"/>
    <x v="2"/>
    <x v="3"/>
    <x v="2"/>
    <x v="0"/>
    <x v="0"/>
    <s v="Road"/>
    <x v="1"/>
    <n v="3.7"/>
    <n v="850"/>
    <n v="4"/>
    <n v="4"/>
    <n v="1"/>
    <n v="0"/>
    <n v="24.8"/>
    <n v="0"/>
    <n v="1"/>
  </r>
  <r>
    <s v="SHP-503113"/>
    <d v="2025-03-11T00:00:00"/>
    <x v="1"/>
    <s v="Q1"/>
    <x v="2"/>
    <x v="4"/>
    <x v="0"/>
    <x v="3"/>
    <x v="0"/>
    <s v="Road"/>
    <x v="0"/>
    <n v="67.3"/>
    <n v="344"/>
    <n v="4"/>
    <n v="4"/>
    <n v="1"/>
    <n v="0"/>
    <n v="40.07"/>
    <n v="0"/>
    <n v="1"/>
  </r>
  <r>
    <s v="SHP-503114"/>
    <d v="2025-03-12T00:00:00"/>
    <x v="1"/>
    <s v="Q1"/>
    <x v="2"/>
    <x v="0"/>
    <x v="2"/>
    <x v="4"/>
    <x v="0"/>
    <s v="Road"/>
    <x v="1"/>
    <n v="8.1"/>
    <n v="1246"/>
    <n v="5"/>
    <n v="5"/>
    <n v="1"/>
    <n v="0"/>
    <n v="23.86"/>
    <n v="0"/>
    <n v="1"/>
  </r>
  <r>
    <s v="SHP-503115"/>
    <d v="2025-03-12T00:00:00"/>
    <x v="1"/>
    <s v="Q1"/>
    <x v="2"/>
    <x v="3"/>
    <x v="2"/>
    <x v="0"/>
    <x v="0"/>
    <s v="Road"/>
    <x v="1"/>
    <n v="6.6"/>
    <n v="809"/>
    <n v="4"/>
    <n v="4"/>
    <n v="1"/>
    <n v="0"/>
    <n v="21.81"/>
    <n v="0"/>
    <n v="1"/>
  </r>
  <r>
    <s v="SHP-503116"/>
    <d v="2025-03-12T00:00:00"/>
    <x v="1"/>
    <s v="Q1"/>
    <x v="2"/>
    <x v="1"/>
    <x v="1"/>
    <x v="3"/>
    <x v="0"/>
    <s v="Road"/>
    <x v="1"/>
    <n v="11.1"/>
    <n v="540"/>
    <n v="4"/>
    <n v="4"/>
    <n v="1"/>
    <n v="0"/>
    <n v="20.69"/>
    <n v="0"/>
    <n v="1"/>
  </r>
  <r>
    <s v="SHP-503117"/>
    <d v="2025-03-12T00:00:00"/>
    <x v="1"/>
    <s v="Q1"/>
    <x v="2"/>
    <x v="1"/>
    <x v="1"/>
    <x v="1"/>
    <x v="0"/>
    <s v="Road"/>
    <x v="1"/>
    <n v="13"/>
    <n v="229"/>
    <n v="3"/>
    <n v="3"/>
    <n v="1"/>
    <n v="0"/>
    <n v="17.38"/>
    <n v="0"/>
    <n v="1"/>
  </r>
  <r>
    <s v="SHP-503118"/>
    <d v="2025-03-12T00:00:00"/>
    <x v="1"/>
    <s v="Q1"/>
    <x v="2"/>
    <x v="0"/>
    <x v="2"/>
    <x v="2"/>
    <x v="1"/>
    <s v="Road"/>
    <x v="1"/>
    <n v="6.7"/>
    <n v="713"/>
    <n v="7"/>
    <n v="7"/>
    <n v="1"/>
    <n v="0"/>
    <n v="13.76"/>
    <n v="0"/>
    <n v="1"/>
  </r>
  <r>
    <s v="SHP-503119"/>
    <d v="2025-03-12T00:00:00"/>
    <x v="1"/>
    <s v="Q1"/>
    <x v="2"/>
    <x v="3"/>
    <x v="2"/>
    <x v="1"/>
    <x v="0"/>
    <s v="Road"/>
    <x v="0"/>
    <n v="101.1"/>
    <n v="324"/>
    <n v="3"/>
    <n v="3"/>
    <n v="1"/>
    <n v="0"/>
    <n v="63.49"/>
    <n v="0"/>
    <n v="1"/>
  </r>
  <r>
    <s v="SHP-503120"/>
    <d v="2025-03-12T00:00:00"/>
    <x v="1"/>
    <s v="Q1"/>
    <x v="2"/>
    <x v="2"/>
    <x v="2"/>
    <x v="1"/>
    <x v="1"/>
    <s v="Road"/>
    <x v="1"/>
    <n v="9"/>
    <n v="228"/>
    <n v="5"/>
    <n v="5"/>
    <n v="1"/>
    <n v="0"/>
    <n v="10.16"/>
    <n v="0"/>
    <n v="1"/>
  </r>
  <r>
    <s v="SHP-503121"/>
    <d v="2025-03-12T00:00:00"/>
    <x v="1"/>
    <s v="Q1"/>
    <x v="2"/>
    <x v="1"/>
    <x v="2"/>
    <x v="4"/>
    <x v="0"/>
    <s v="Road"/>
    <x v="1"/>
    <n v="4.5999999999999996"/>
    <n v="676"/>
    <n v="5"/>
    <n v="5"/>
    <n v="1"/>
    <n v="0"/>
    <n v="19.48"/>
    <n v="0"/>
    <n v="1"/>
  </r>
  <r>
    <s v="SHP-503122"/>
    <d v="2025-03-12T00:00:00"/>
    <x v="1"/>
    <s v="Q1"/>
    <x v="2"/>
    <x v="3"/>
    <x v="1"/>
    <x v="2"/>
    <x v="1"/>
    <s v="Road"/>
    <x v="0"/>
    <n v="149.9"/>
    <n v="1298"/>
    <n v="7"/>
    <n v="7"/>
    <n v="1"/>
    <n v="0"/>
    <n v="75.8"/>
    <n v="0"/>
    <n v="1"/>
  </r>
  <r>
    <s v="SHP-503123"/>
    <d v="2025-03-12T00:00:00"/>
    <x v="1"/>
    <s v="Q1"/>
    <x v="2"/>
    <x v="4"/>
    <x v="0"/>
    <x v="2"/>
    <x v="1"/>
    <s v="Road"/>
    <x v="1"/>
    <n v="6.3"/>
    <n v="958"/>
    <n v="7"/>
    <n v="11"/>
    <n v="0"/>
    <n v="4"/>
    <n v="16.7"/>
    <n v="0"/>
    <n v="1"/>
  </r>
  <r>
    <s v="SHP-503124"/>
    <d v="2025-03-13T00:00:00"/>
    <x v="1"/>
    <s v="Q1"/>
    <x v="2"/>
    <x v="3"/>
    <x v="2"/>
    <x v="4"/>
    <x v="1"/>
    <s v="Road"/>
    <x v="1"/>
    <n v="9.1"/>
    <n v="917"/>
    <n v="7"/>
    <n v="6"/>
    <n v="1"/>
    <n v="0"/>
    <n v="18.98"/>
    <n v="0"/>
    <n v="1"/>
  </r>
  <r>
    <s v="SHP-503125"/>
    <d v="2025-03-13T00:00:00"/>
    <x v="1"/>
    <s v="Q1"/>
    <x v="2"/>
    <x v="3"/>
    <x v="2"/>
    <x v="3"/>
    <x v="2"/>
    <s v="Road"/>
    <x v="0"/>
    <n v="116"/>
    <n v="589"/>
    <n v="2"/>
    <n v="1"/>
    <n v="1"/>
    <n v="0"/>
    <n v="126.13"/>
    <n v="0"/>
    <n v="1"/>
  </r>
  <r>
    <s v="SHP-503126"/>
    <d v="2025-03-13T00:00:00"/>
    <x v="1"/>
    <s v="Q1"/>
    <x v="2"/>
    <x v="4"/>
    <x v="2"/>
    <x v="0"/>
    <x v="0"/>
    <s v="Road"/>
    <x v="0"/>
    <n v="96"/>
    <n v="882"/>
    <n v="4"/>
    <n v="3"/>
    <n v="1"/>
    <n v="0"/>
    <n v="62.4"/>
    <n v="0"/>
    <n v="1"/>
  </r>
  <r>
    <s v="SHP-503127"/>
    <d v="2025-03-13T00:00:00"/>
    <x v="1"/>
    <s v="Q1"/>
    <x v="2"/>
    <x v="3"/>
    <x v="2"/>
    <x v="0"/>
    <x v="2"/>
    <s v="Air"/>
    <x v="0"/>
    <n v="238.3"/>
    <n v="890"/>
    <n v="2"/>
    <n v="2"/>
    <n v="1"/>
    <n v="0"/>
    <n v="403.29"/>
    <n v="0"/>
    <n v="1"/>
  </r>
  <r>
    <s v="SHP-503128"/>
    <d v="2025-03-13T00:00:00"/>
    <x v="1"/>
    <s v="Q1"/>
    <x v="2"/>
    <x v="1"/>
    <x v="0"/>
    <x v="0"/>
    <x v="1"/>
    <s v="Road"/>
    <x v="1"/>
    <n v="8.1"/>
    <n v="986"/>
    <n v="6"/>
    <n v="6"/>
    <n v="1"/>
    <n v="0"/>
    <n v="15.98"/>
    <n v="0"/>
    <n v="1"/>
  </r>
  <r>
    <s v="SHP-503129"/>
    <d v="2025-03-13T00:00:00"/>
    <x v="1"/>
    <s v="Q1"/>
    <x v="2"/>
    <x v="3"/>
    <x v="2"/>
    <x v="2"/>
    <x v="2"/>
    <s v="Air"/>
    <x v="1"/>
    <n v="2.4"/>
    <n v="1087"/>
    <n v="3"/>
    <n v="3"/>
    <n v="1"/>
    <n v="0"/>
    <n v="68.08"/>
    <n v="0"/>
    <n v="1"/>
  </r>
  <r>
    <s v="SHP-503130"/>
    <d v="2025-03-13T00:00:00"/>
    <x v="1"/>
    <s v="Q1"/>
    <x v="2"/>
    <x v="0"/>
    <x v="2"/>
    <x v="4"/>
    <x v="1"/>
    <s v="Road"/>
    <x v="1"/>
    <n v="0.6"/>
    <n v="688"/>
    <n v="7"/>
    <n v="7"/>
    <n v="1"/>
    <n v="0"/>
    <n v="10.32"/>
    <n v="0"/>
    <n v="1"/>
  </r>
  <r>
    <s v="SHP-503131"/>
    <d v="2025-03-13T00:00:00"/>
    <x v="1"/>
    <s v="Q1"/>
    <x v="2"/>
    <x v="4"/>
    <x v="2"/>
    <x v="3"/>
    <x v="1"/>
    <s v="Road"/>
    <x v="0"/>
    <n v="104.6"/>
    <n v="539"/>
    <n v="6"/>
    <n v="6"/>
    <n v="1"/>
    <n v="0"/>
    <n v="42.01"/>
    <n v="0"/>
    <n v="1"/>
  </r>
  <r>
    <s v="SHP-503132"/>
    <d v="2025-03-14T00:00:00"/>
    <x v="1"/>
    <s v="Q1"/>
    <x v="2"/>
    <x v="0"/>
    <x v="2"/>
    <x v="0"/>
    <x v="1"/>
    <s v="Road"/>
    <x v="1"/>
    <n v="3.6"/>
    <n v="755"/>
    <n v="6"/>
    <n v="6"/>
    <n v="1"/>
    <n v="0"/>
    <n v="13"/>
    <n v="0"/>
    <n v="1"/>
  </r>
  <r>
    <s v="SHP-503133"/>
    <d v="2025-03-14T00:00:00"/>
    <x v="1"/>
    <s v="Q1"/>
    <x v="2"/>
    <x v="0"/>
    <x v="2"/>
    <x v="1"/>
    <x v="2"/>
    <s v="Road"/>
    <x v="0"/>
    <n v="125.7"/>
    <n v="254"/>
    <n v="1"/>
    <n v="1"/>
    <n v="1"/>
    <n v="0"/>
    <n v="117.38"/>
    <n v="0"/>
    <n v="1"/>
  </r>
  <r>
    <s v="SHP-503134"/>
    <d v="2025-03-14T00:00:00"/>
    <x v="1"/>
    <s v="Q1"/>
    <x v="2"/>
    <x v="4"/>
    <x v="1"/>
    <x v="0"/>
    <x v="2"/>
    <s v="Air"/>
    <x v="1"/>
    <n v="1.6"/>
    <n v="1060"/>
    <n v="2"/>
    <n v="2"/>
    <n v="1"/>
    <n v="0"/>
    <n v="61.56"/>
    <n v="0"/>
    <n v="1"/>
  </r>
  <r>
    <s v="SHP-503135"/>
    <d v="2025-03-14T00:00:00"/>
    <x v="1"/>
    <s v="Q1"/>
    <x v="2"/>
    <x v="4"/>
    <x v="2"/>
    <x v="1"/>
    <x v="1"/>
    <s v="Road"/>
    <x v="0"/>
    <n v="25"/>
    <n v="331"/>
    <n v="5"/>
    <n v="5"/>
    <n v="1"/>
    <n v="0"/>
    <n v="17.690000000000001"/>
    <n v="0"/>
    <n v="1"/>
  </r>
  <r>
    <s v="SHP-503136"/>
    <d v="2025-03-15T00:00:00"/>
    <x v="1"/>
    <s v="Q1"/>
    <x v="2"/>
    <x v="3"/>
    <x v="1"/>
    <x v="3"/>
    <x v="0"/>
    <s v="Road"/>
    <x v="1"/>
    <n v="2.2999999999999998"/>
    <n v="413"/>
    <n v="4"/>
    <n v="5"/>
    <n v="0"/>
    <n v="1"/>
    <n v="13.77"/>
    <n v="0"/>
    <n v="1"/>
  </r>
  <r>
    <s v="SHP-503137"/>
    <d v="2025-03-15T00:00:00"/>
    <x v="1"/>
    <s v="Q1"/>
    <x v="2"/>
    <x v="4"/>
    <x v="1"/>
    <x v="4"/>
    <x v="0"/>
    <s v="Road"/>
    <x v="1"/>
    <n v="27.4"/>
    <n v="896"/>
    <n v="5"/>
    <n v="5"/>
    <n v="1"/>
    <n v="0"/>
    <n v="32.44"/>
    <n v="0"/>
    <n v="1"/>
  </r>
  <r>
    <s v="SHP-503138"/>
    <d v="2025-03-15T00:00:00"/>
    <x v="1"/>
    <s v="Q1"/>
    <x v="2"/>
    <x v="1"/>
    <x v="1"/>
    <x v="3"/>
    <x v="1"/>
    <s v="Road"/>
    <x v="1"/>
    <n v="4.5999999999999996"/>
    <n v="548"/>
    <n v="6"/>
    <n v="5"/>
    <n v="1"/>
    <n v="0"/>
    <n v="11.06"/>
    <n v="0"/>
    <n v="1"/>
  </r>
  <r>
    <s v="SHP-503139"/>
    <d v="2025-03-16T00:00:00"/>
    <x v="1"/>
    <s v="Q1"/>
    <x v="2"/>
    <x v="0"/>
    <x v="1"/>
    <x v="1"/>
    <x v="1"/>
    <s v="Road"/>
    <x v="1"/>
    <n v="1.1000000000000001"/>
    <n v="153"/>
    <n v="5"/>
    <n v="5"/>
    <n v="1"/>
    <n v="0"/>
    <n v="6.57"/>
    <n v="0"/>
    <n v="1"/>
  </r>
  <r>
    <s v="SHP-503140"/>
    <d v="2025-03-16T00:00:00"/>
    <x v="1"/>
    <s v="Q1"/>
    <x v="2"/>
    <x v="1"/>
    <x v="1"/>
    <x v="1"/>
    <x v="0"/>
    <s v="Road"/>
    <x v="1"/>
    <n v="3"/>
    <n v="311"/>
    <n v="3"/>
    <n v="2"/>
    <n v="1"/>
    <n v="0"/>
    <n v="12.06"/>
    <n v="0"/>
    <n v="1"/>
  </r>
  <r>
    <s v="SHP-503141"/>
    <d v="2025-03-17T00:00:00"/>
    <x v="1"/>
    <s v="Q1"/>
    <x v="2"/>
    <x v="2"/>
    <x v="0"/>
    <x v="0"/>
    <x v="2"/>
    <s v="Air"/>
    <x v="1"/>
    <n v="6.7"/>
    <n v="1022"/>
    <n v="2"/>
    <n v="2"/>
    <n v="1"/>
    <n v="0"/>
    <n v="63.08"/>
    <n v="0"/>
    <n v="1"/>
  </r>
  <r>
    <s v="SHP-503142"/>
    <d v="2025-03-17T00:00:00"/>
    <x v="1"/>
    <s v="Q1"/>
    <x v="2"/>
    <x v="2"/>
    <x v="1"/>
    <x v="0"/>
    <x v="0"/>
    <s v="Road"/>
    <x v="0"/>
    <n v="264.2"/>
    <n v="1028"/>
    <n v="4"/>
    <n v="4"/>
    <n v="1"/>
    <n v="0"/>
    <n v="108.73"/>
    <n v="0"/>
    <n v="1"/>
  </r>
  <r>
    <s v="SHP-503143"/>
    <d v="2025-03-17T00:00:00"/>
    <x v="1"/>
    <s v="Q1"/>
    <x v="2"/>
    <x v="3"/>
    <x v="0"/>
    <x v="3"/>
    <x v="0"/>
    <s v="Road"/>
    <x v="1"/>
    <n v="6.2"/>
    <n v="525"/>
    <n v="4"/>
    <n v="3"/>
    <n v="1"/>
    <n v="0"/>
    <n v="17.05"/>
    <n v="0"/>
    <n v="1"/>
  </r>
  <r>
    <s v="SHP-503144"/>
    <d v="2025-03-17T00:00:00"/>
    <x v="1"/>
    <s v="Q1"/>
    <x v="2"/>
    <x v="0"/>
    <x v="2"/>
    <x v="0"/>
    <x v="0"/>
    <s v="Road"/>
    <x v="1"/>
    <n v="1.2"/>
    <n v="933"/>
    <n v="4"/>
    <n v="4"/>
    <n v="1"/>
    <n v="0"/>
    <n v="17.920000000000002"/>
    <n v="0"/>
    <n v="1"/>
  </r>
  <r>
    <s v="SHP-503145"/>
    <d v="2025-03-17T00:00:00"/>
    <x v="1"/>
    <s v="Q1"/>
    <x v="2"/>
    <x v="4"/>
    <x v="2"/>
    <x v="3"/>
    <x v="0"/>
    <s v="Road"/>
    <x v="0"/>
    <n v="76.3"/>
    <n v="622"/>
    <n v="4"/>
    <n v="4"/>
    <n v="1"/>
    <n v="0"/>
    <n v="48.97"/>
    <n v="0"/>
    <n v="1"/>
  </r>
  <r>
    <s v="SHP-503146"/>
    <d v="2025-03-17T00:00:00"/>
    <x v="1"/>
    <s v="Q1"/>
    <x v="2"/>
    <x v="1"/>
    <x v="0"/>
    <x v="3"/>
    <x v="2"/>
    <s v="Road"/>
    <x v="0"/>
    <n v="85"/>
    <n v="317"/>
    <n v="2"/>
    <n v="2"/>
    <n v="1"/>
    <n v="0"/>
    <n v="87.23"/>
    <n v="0"/>
    <n v="1"/>
  </r>
  <r>
    <s v="SHP-503147"/>
    <d v="2025-03-18T00:00:00"/>
    <x v="1"/>
    <s v="Q1"/>
    <x v="2"/>
    <x v="4"/>
    <x v="0"/>
    <x v="3"/>
    <x v="2"/>
    <s v="Road"/>
    <x v="1"/>
    <n v="21.1"/>
    <n v="465"/>
    <n v="2"/>
    <n v="1"/>
    <n v="1"/>
    <n v="0"/>
    <n v="43.34"/>
    <n v="0"/>
    <n v="1"/>
  </r>
  <r>
    <s v="SHP-503148"/>
    <d v="2025-03-18T00:00:00"/>
    <x v="1"/>
    <s v="Q1"/>
    <x v="2"/>
    <x v="3"/>
    <x v="2"/>
    <x v="1"/>
    <x v="0"/>
    <s v="Road"/>
    <x v="0"/>
    <n v="165.7"/>
    <n v="210"/>
    <n v="3"/>
    <n v="3"/>
    <n v="1"/>
    <n v="0"/>
    <n v="87.87"/>
    <n v="0"/>
    <n v="1"/>
  </r>
  <r>
    <s v="SHP-503149"/>
    <d v="2025-03-18T00:00:00"/>
    <x v="1"/>
    <s v="Q1"/>
    <x v="2"/>
    <x v="4"/>
    <x v="2"/>
    <x v="1"/>
    <x v="0"/>
    <s v="Road"/>
    <x v="1"/>
    <n v="1.9"/>
    <n v="223"/>
    <n v="3"/>
    <n v="3"/>
    <n v="1"/>
    <n v="0"/>
    <n v="11.28"/>
    <n v="0"/>
    <n v="1"/>
  </r>
  <r>
    <s v="SHP-503150"/>
    <d v="2025-03-18T00:00:00"/>
    <x v="1"/>
    <s v="Q1"/>
    <x v="2"/>
    <x v="4"/>
    <x v="2"/>
    <x v="1"/>
    <x v="2"/>
    <s v="Road"/>
    <x v="1"/>
    <n v="2.2999999999999998"/>
    <n v="255"/>
    <n v="1"/>
    <n v="1"/>
    <n v="1"/>
    <n v="0"/>
    <n v="20.39"/>
    <n v="0"/>
    <n v="1"/>
  </r>
  <r>
    <s v="SHP-503151"/>
    <d v="2025-03-18T00:00:00"/>
    <x v="1"/>
    <s v="Q1"/>
    <x v="2"/>
    <x v="2"/>
    <x v="0"/>
    <x v="0"/>
    <x v="0"/>
    <s v="Road"/>
    <x v="0"/>
    <n v="370.9"/>
    <n v="1115"/>
    <n v="4"/>
    <n v="4"/>
    <n v="1"/>
    <n v="0"/>
    <n v="142.12"/>
    <n v="0"/>
    <n v="1"/>
  </r>
  <r>
    <s v="SHP-503152"/>
    <d v="2025-03-18T00:00:00"/>
    <x v="1"/>
    <s v="Q1"/>
    <x v="2"/>
    <x v="3"/>
    <x v="1"/>
    <x v="1"/>
    <x v="0"/>
    <s v="Road"/>
    <x v="1"/>
    <n v="1.8"/>
    <n v="253"/>
    <n v="3"/>
    <n v="2"/>
    <n v="1"/>
    <n v="0"/>
    <n v="12.34"/>
    <n v="0"/>
    <n v="1"/>
  </r>
  <r>
    <s v="SHP-503153"/>
    <d v="2025-03-18T00:00:00"/>
    <x v="1"/>
    <s v="Q1"/>
    <x v="2"/>
    <x v="4"/>
    <x v="2"/>
    <x v="3"/>
    <x v="2"/>
    <s v="Road"/>
    <x v="1"/>
    <n v="3.1"/>
    <n v="516"/>
    <n v="2"/>
    <n v="1"/>
    <n v="1"/>
    <n v="0"/>
    <n v="28.59"/>
    <n v="0"/>
    <n v="1"/>
  </r>
  <r>
    <s v="SHP-503154"/>
    <d v="2025-03-19T00:00:00"/>
    <x v="1"/>
    <s v="Q1"/>
    <x v="2"/>
    <x v="3"/>
    <x v="2"/>
    <x v="3"/>
    <x v="2"/>
    <s v="Road"/>
    <x v="1"/>
    <n v="2.1"/>
    <n v="483"/>
    <n v="2"/>
    <n v="2"/>
    <n v="1"/>
    <n v="0"/>
    <n v="29.23"/>
    <n v="0"/>
    <n v="1"/>
  </r>
  <r>
    <s v="SHP-503155"/>
    <d v="2025-03-19T00:00:00"/>
    <x v="1"/>
    <s v="Q1"/>
    <x v="2"/>
    <x v="4"/>
    <x v="1"/>
    <x v="1"/>
    <x v="1"/>
    <s v="Road"/>
    <x v="0"/>
    <n v="242.9"/>
    <n v="264"/>
    <n v="5"/>
    <n v="5"/>
    <n v="1"/>
    <n v="0"/>
    <n v="76.73"/>
    <n v="0"/>
    <n v="1"/>
  </r>
  <r>
    <s v="SHP-503156"/>
    <d v="2025-03-19T00:00:00"/>
    <x v="1"/>
    <s v="Q1"/>
    <x v="2"/>
    <x v="3"/>
    <x v="1"/>
    <x v="0"/>
    <x v="2"/>
    <s v="Air"/>
    <x v="1"/>
    <n v="7.7"/>
    <n v="907"/>
    <n v="2"/>
    <n v="4"/>
    <n v="0"/>
    <n v="2"/>
    <n v="79.89"/>
    <n v="0"/>
    <n v="1"/>
  </r>
  <r>
    <s v="SHP-503157"/>
    <d v="2025-03-19T00:00:00"/>
    <x v="1"/>
    <s v="Q1"/>
    <x v="2"/>
    <x v="4"/>
    <x v="2"/>
    <x v="0"/>
    <x v="0"/>
    <s v="Road"/>
    <x v="1"/>
    <n v="13.1"/>
    <n v="774"/>
    <n v="4"/>
    <n v="4"/>
    <n v="1"/>
    <n v="0"/>
    <n v="21.93"/>
    <n v="0"/>
    <n v="1"/>
  </r>
  <r>
    <s v="SHP-503158"/>
    <d v="2025-03-20T00:00:00"/>
    <x v="1"/>
    <s v="Q1"/>
    <x v="2"/>
    <x v="0"/>
    <x v="0"/>
    <x v="4"/>
    <x v="1"/>
    <s v="Road"/>
    <x v="1"/>
    <n v="16.7"/>
    <n v="1040"/>
    <n v="7"/>
    <n v="8"/>
    <n v="0"/>
    <n v="1"/>
    <n v="19.649999999999999"/>
    <n v="0"/>
    <n v="1"/>
  </r>
  <r>
    <s v="SHP-503159"/>
    <d v="2025-03-20T00:00:00"/>
    <x v="1"/>
    <s v="Q1"/>
    <x v="2"/>
    <x v="4"/>
    <x v="1"/>
    <x v="3"/>
    <x v="0"/>
    <s v="Road"/>
    <x v="1"/>
    <n v="4.5"/>
    <n v="363"/>
    <n v="4"/>
    <n v="4"/>
    <n v="1"/>
    <n v="0"/>
    <n v="13.87"/>
    <n v="0"/>
    <n v="1"/>
  </r>
  <r>
    <s v="SHP-503160"/>
    <d v="2025-03-20T00:00:00"/>
    <x v="1"/>
    <s v="Q1"/>
    <x v="2"/>
    <x v="0"/>
    <x v="2"/>
    <x v="3"/>
    <x v="2"/>
    <s v="Road"/>
    <x v="0"/>
    <n v="210.4"/>
    <n v="573"/>
    <n v="2"/>
    <n v="2"/>
    <n v="1"/>
    <n v="0"/>
    <n v="200.41"/>
    <n v="0"/>
    <n v="1"/>
  </r>
  <r>
    <s v="SHP-503161"/>
    <d v="2025-03-20T00:00:00"/>
    <x v="1"/>
    <s v="Q1"/>
    <x v="2"/>
    <x v="0"/>
    <x v="2"/>
    <x v="2"/>
    <x v="1"/>
    <s v="Road"/>
    <x v="1"/>
    <n v="6.4"/>
    <n v="1176"/>
    <n v="7"/>
    <n v="9"/>
    <n v="0"/>
    <n v="2"/>
    <n v="17.399999999999999"/>
    <n v="0"/>
    <n v="1"/>
  </r>
  <r>
    <s v="SHP-503162"/>
    <d v="2025-03-20T00:00:00"/>
    <x v="1"/>
    <s v="Q1"/>
    <x v="2"/>
    <x v="1"/>
    <x v="2"/>
    <x v="4"/>
    <x v="0"/>
    <s v="Road"/>
    <x v="0"/>
    <n v="206.6"/>
    <n v="1126"/>
    <n v="5"/>
    <n v="5"/>
    <n v="1"/>
    <n v="0"/>
    <n v="104.74"/>
    <n v="0"/>
    <n v="1"/>
  </r>
  <r>
    <s v="SHP-503163"/>
    <d v="2025-03-20T00:00:00"/>
    <x v="1"/>
    <s v="Q1"/>
    <x v="2"/>
    <x v="2"/>
    <x v="2"/>
    <x v="1"/>
    <x v="0"/>
    <s v="Road"/>
    <x v="0"/>
    <n v="114.2"/>
    <n v="303"/>
    <n v="3"/>
    <n v="5"/>
    <n v="0"/>
    <n v="2"/>
    <n v="52.62"/>
    <n v="0"/>
    <n v="1"/>
  </r>
  <r>
    <s v="SHP-503164"/>
    <d v="2025-03-21T00:00:00"/>
    <x v="1"/>
    <s v="Q1"/>
    <x v="2"/>
    <x v="4"/>
    <x v="2"/>
    <x v="3"/>
    <x v="0"/>
    <s v="Road"/>
    <x v="0"/>
    <n v="101"/>
    <n v="507"/>
    <n v="4"/>
    <n v="4"/>
    <n v="1"/>
    <n v="0"/>
    <n v="49.8"/>
    <n v="0"/>
    <n v="1"/>
  </r>
  <r>
    <s v="SHP-503165"/>
    <d v="2025-03-21T00:00:00"/>
    <x v="1"/>
    <s v="Q1"/>
    <x v="2"/>
    <x v="0"/>
    <x v="1"/>
    <x v="1"/>
    <x v="0"/>
    <s v="Road"/>
    <x v="1"/>
    <n v="3"/>
    <n v="268"/>
    <n v="3"/>
    <n v="3"/>
    <n v="1"/>
    <n v="0"/>
    <n v="12.63"/>
    <n v="0"/>
    <n v="1"/>
  </r>
  <r>
    <s v="SHP-503166"/>
    <d v="2025-03-21T00:00:00"/>
    <x v="1"/>
    <s v="Q1"/>
    <x v="2"/>
    <x v="2"/>
    <x v="2"/>
    <x v="3"/>
    <x v="2"/>
    <s v="Road"/>
    <x v="1"/>
    <n v="8.6999999999999993"/>
    <n v="495"/>
    <n v="2"/>
    <n v="1"/>
    <n v="1"/>
    <n v="0"/>
    <n v="26.93"/>
    <n v="0"/>
    <n v="1"/>
  </r>
  <r>
    <s v="SHP-503167"/>
    <d v="2025-03-21T00:00:00"/>
    <x v="1"/>
    <s v="Q1"/>
    <x v="2"/>
    <x v="3"/>
    <x v="1"/>
    <x v="2"/>
    <x v="0"/>
    <s v="Road"/>
    <x v="1"/>
    <n v="2.2000000000000002"/>
    <n v="1302"/>
    <n v="5"/>
    <n v="5"/>
    <n v="1"/>
    <n v="0"/>
    <n v="23.47"/>
    <n v="0"/>
    <n v="1"/>
  </r>
  <r>
    <s v="SHP-503168"/>
    <d v="2025-03-21T00:00:00"/>
    <x v="1"/>
    <s v="Q1"/>
    <x v="2"/>
    <x v="0"/>
    <x v="0"/>
    <x v="3"/>
    <x v="1"/>
    <s v="Road"/>
    <x v="0"/>
    <n v="126.5"/>
    <n v="570"/>
    <n v="6"/>
    <n v="6"/>
    <n v="1"/>
    <n v="0"/>
    <n v="48.28"/>
    <n v="0"/>
    <n v="1"/>
  </r>
  <r>
    <s v="SHP-503169"/>
    <d v="2025-03-21T00:00:00"/>
    <x v="1"/>
    <s v="Q1"/>
    <x v="2"/>
    <x v="2"/>
    <x v="2"/>
    <x v="1"/>
    <x v="1"/>
    <s v="Road"/>
    <x v="1"/>
    <n v="7.1"/>
    <n v="240"/>
    <n v="5"/>
    <n v="5"/>
    <n v="1"/>
    <n v="0"/>
    <n v="8.06"/>
    <n v="0"/>
    <n v="1"/>
  </r>
  <r>
    <s v="SHP-503170"/>
    <d v="2025-03-22T00:00:00"/>
    <x v="1"/>
    <s v="Q1"/>
    <x v="2"/>
    <x v="4"/>
    <x v="2"/>
    <x v="3"/>
    <x v="2"/>
    <s v="Road"/>
    <x v="1"/>
    <n v="3.8"/>
    <n v="394"/>
    <n v="2"/>
    <n v="2"/>
    <n v="1"/>
    <n v="0"/>
    <n v="24.49"/>
    <n v="0"/>
    <n v="1"/>
  </r>
  <r>
    <s v="SHP-503171"/>
    <d v="2025-03-22T00:00:00"/>
    <x v="1"/>
    <s v="Q1"/>
    <x v="2"/>
    <x v="4"/>
    <x v="1"/>
    <x v="3"/>
    <x v="2"/>
    <s v="Road"/>
    <x v="0"/>
    <n v="71"/>
    <n v="478"/>
    <n v="2"/>
    <n v="2"/>
    <n v="1"/>
    <n v="0"/>
    <n v="96.76"/>
    <n v="0"/>
    <n v="1"/>
  </r>
  <r>
    <s v="SHP-503172"/>
    <d v="2025-03-22T00:00:00"/>
    <x v="1"/>
    <s v="Q1"/>
    <x v="2"/>
    <x v="0"/>
    <x v="1"/>
    <x v="0"/>
    <x v="0"/>
    <s v="Road"/>
    <x v="0"/>
    <n v="54.3"/>
    <n v="874"/>
    <n v="4"/>
    <n v="4"/>
    <n v="1"/>
    <n v="0"/>
    <n v="38.950000000000003"/>
    <n v="0"/>
    <n v="1"/>
  </r>
  <r>
    <s v="SHP-503173"/>
    <d v="2025-03-22T00:00:00"/>
    <x v="1"/>
    <s v="Q1"/>
    <x v="2"/>
    <x v="0"/>
    <x v="1"/>
    <x v="1"/>
    <x v="0"/>
    <s v="Road"/>
    <x v="0"/>
    <n v="350.5"/>
    <n v="260"/>
    <n v="3"/>
    <n v="2"/>
    <n v="1"/>
    <n v="0"/>
    <n v="126.37"/>
    <n v="0"/>
    <n v="1"/>
  </r>
  <r>
    <s v="SHP-503174"/>
    <d v="2025-03-23T00:00:00"/>
    <x v="1"/>
    <s v="Q1"/>
    <x v="2"/>
    <x v="2"/>
    <x v="1"/>
    <x v="3"/>
    <x v="2"/>
    <s v="Road"/>
    <x v="0"/>
    <n v="18.899999999999999"/>
    <n v="453"/>
    <n v="2"/>
    <n v="2"/>
    <n v="1"/>
    <n v="0"/>
    <n v="37.31"/>
    <n v="0"/>
    <n v="1"/>
  </r>
  <r>
    <s v="SHP-503175"/>
    <d v="2025-03-24T00:00:00"/>
    <x v="1"/>
    <s v="Q1"/>
    <x v="2"/>
    <x v="4"/>
    <x v="2"/>
    <x v="1"/>
    <x v="0"/>
    <s v="Road"/>
    <x v="1"/>
    <n v="17.7"/>
    <n v="257"/>
    <n v="3"/>
    <n v="3"/>
    <n v="1"/>
    <n v="0"/>
    <n v="21.06"/>
    <n v="0"/>
    <n v="1"/>
  </r>
  <r>
    <s v="SHP-503176"/>
    <d v="2025-03-24T00:00:00"/>
    <x v="1"/>
    <s v="Q1"/>
    <x v="2"/>
    <x v="3"/>
    <x v="2"/>
    <x v="1"/>
    <x v="2"/>
    <s v="Road"/>
    <x v="0"/>
    <n v="25.2"/>
    <n v="253"/>
    <n v="1"/>
    <n v="1"/>
    <n v="1"/>
    <n v="0"/>
    <n v="46.87"/>
    <n v="0"/>
    <n v="1"/>
  </r>
  <r>
    <s v="SHP-503177"/>
    <d v="2025-03-24T00:00:00"/>
    <x v="1"/>
    <s v="Q1"/>
    <x v="2"/>
    <x v="3"/>
    <x v="1"/>
    <x v="2"/>
    <x v="2"/>
    <s v="Air"/>
    <x v="0"/>
    <n v="104.4"/>
    <n v="1125"/>
    <n v="3"/>
    <n v="3"/>
    <n v="1"/>
    <n v="0"/>
    <n v="223.46"/>
    <n v="0"/>
    <n v="1"/>
  </r>
  <r>
    <s v="SHP-503178"/>
    <d v="2025-03-24T00:00:00"/>
    <x v="1"/>
    <s v="Q1"/>
    <x v="2"/>
    <x v="4"/>
    <x v="2"/>
    <x v="2"/>
    <x v="2"/>
    <s v="Air"/>
    <x v="1"/>
    <n v="5.7"/>
    <n v="1311"/>
    <n v="3"/>
    <n v="3"/>
    <n v="1"/>
    <n v="0"/>
    <n v="71.56"/>
    <n v="0"/>
    <n v="1"/>
  </r>
  <r>
    <s v="SHP-503179"/>
    <d v="2025-03-24T00:00:00"/>
    <x v="1"/>
    <s v="Q1"/>
    <x v="2"/>
    <x v="4"/>
    <x v="1"/>
    <x v="0"/>
    <x v="0"/>
    <s v="Road"/>
    <x v="0"/>
    <n v="85.4"/>
    <n v="988"/>
    <n v="4"/>
    <n v="4"/>
    <n v="1"/>
    <n v="0"/>
    <n v="57.77"/>
    <n v="0"/>
    <n v="1"/>
  </r>
  <r>
    <s v="SHP-503180"/>
    <d v="2025-03-24T00:00:00"/>
    <x v="1"/>
    <s v="Q1"/>
    <x v="2"/>
    <x v="2"/>
    <x v="2"/>
    <x v="3"/>
    <x v="0"/>
    <s v="Road"/>
    <x v="1"/>
    <n v="8.1"/>
    <n v="533"/>
    <n v="4"/>
    <n v="4"/>
    <n v="1"/>
    <n v="0"/>
    <n v="16.22"/>
    <n v="0"/>
    <n v="1"/>
  </r>
  <r>
    <s v="SHP-503181"/>
    <d v="2025-03-24T00:00:00"/>
    <x v="1"/>
    <s v="Q1"/>
    <x v="2"/>
    <x v="1"/>
    <x v="2"/>
    <x v="2"/>
    <x v="0"/>
    <s v="Road"/>
    <x v="1"/>
    <n v="4.5999999999999996"/>
    <n v="1128"/>
    <n v="5"/>
    <n v="7"/>
    <n v="0"/>
    <n v="2"/>
    <n v="22.69"/>
    <n v="0"/>
    <n v="1"/>
  </r>
  <r>
    <s v="SHP-503182"/>
    <d v="2025-03-24T00:00:00"/>
    <x v="1"/>
    <s v="Q1"/>
    <x v="2"/>
    <x v="3"/>
    <x v="2"/>
    <x v="4"/>
    <x v="1"/>
    <s v="Road"/>
    <x v="0"/>
    <n v="151.4"/>
    <n v="1168"/>
    <n v="7"/>
    <n v="7"/>
    <n v="1"/>
    <n v="0"/>
    <n v="70.98"/>
    <n v="0"/>
    <n v="1"/>
  </r>
  <r>
    <s v="SHP-503183"/>
    <d v="2025-03-24T00:00:00"/>
    <x v="1"/>
    <s v="Q1"/>
    <x v="2"/>
    <x v="4"/>
    <x v="2"/>
    <x v="4"/>
    <x v="1"/>
    <s v="Road"/>
    <x v="1"/>
    <n v="5.0999999999999996"/>
    <n v="1065"/>
    <n v="7"/>
    <n v="6"/>
    <n v="1"/>
    <n v="0"/>
    <n v="16.010000000000002"/>
    <n v="0"/>
    <n v="1"/>
  </r>
  <r>
    <s v="SHP-503184"/>
    <d v="2025-03-24T00:00:00"/>
    <x v="1"/>
    <s v="Q1"/>
    <x v="2"/>
    <x v="0"/>
    <x v="0"/>
    <x v="3"/>
    <x v="0"/>
    <s v="Road"/>
    <x v="1"/>
    <n v="2"/>
    <n v="358"/>
    <n v="4"/>
    <n v="4"/>
    <n v="1"/>
    <n v="0"/>
    <n v="11"/>
    <n v="0"/>
    <n v="1"/>
  </r>
  <r>
    <s v="SHP-503185"/>
    <d v="2025-03-24T00:00:00"/>
    <x v="1"/>
    <s v="Q1"/>
    <x v="2"/>
    <x v="2"/>
    <x v="1"/>
    <x v="4"/>
    <x v="1"/>
    <s v="Road"/>
    <x v="1"/>
    <n v="6"/>
    <n v="818"/>
    <n v="7"/>
    <n v="8"/>
    <n v="0"/>
    <n v="1"/>
    <n v="11.92"/>
    <n v="0"/>
    <n v="1"/>
  </r>
  <r>
    <s v="SHP-503186"/>
    <d v="2025-03-25T00:00:00"/>
    <x v="1"/>
    <s v="Q1"/>
    <x v="2"/>
    <x v="2"/>
    <x v="2"/>
    <x v="0"/>
    <x v="2"/>
    <s v="Air"/>
    <x v="0"/>
    <n v="101.5"/>
    <n v="713"/>
    <n v="2"/>
    <n v="2"/>
    <n v="1"/>
    <n v="0"/>
    <n v="169.32"/>
    <n v="0"/>
    <n v="1"/>
  </r>
  <r>
    <s v="SHP-503187"/>
    <d v="2025-03-25T00:00:00"/>
    <x v="1"/>
    <s v="Q1"/>
    <x v="2"/>
    <x v="2"/>
    <x v="0"/>
    <x v="1"/>
    <x v="0"/>
    <s v="Road"/>
    <x v="1"/>
    <n v="20"/>
    <n v="262"/>
    <n v="3"/>
    <n v="3"/>
    <n v="1"/>
    <n v="0"/>
    <n v="17.5"/>
    <n v="0"/>
    <n v="1"/>
  </r>
  <r>
    <s v="SHP-503188"/>
    <d v="2025-03-25T00:00:00"/>
    <x v="1"/>
    <s v="Q1"/>
    <x v="2"/>
    <x v="0"/>
    <x v="2"/>
    <x v="1"/>
    <x v="0"/>
    <s v="Road"/>
    <x v="1"/>
    <n v="5.8"/>
    <n v="270"/>
    <n v="3"/>
    <n v="3"/>
    <n v="1"/>
    <n v="0"/>
    <n v="12.47"/>
    <n v="0"/>
    <n v="1"/>
  </r>
  <r>
    <s v="SHP-503189"/>
    <d v="2025-03-25T00:00:00"/>
    <x v="1"/>
    <s v="Q1"/>
    <x v="2"/>
    <x v="3"/>
    <x v="1"/>
    <x v="3"/>
    <x v="1"/>
    <s v="Road"/>
    <x v="0"/>
    <n v="136.30000000000001"/>
    <n v="468"/>
    <n v="6"/>
    <n v="6"/>
    <n v="1"/>
    <n v="0"/>
    <n v="59.9"/>
    <n v="0"/>
    <n v="1"/>
  </r>
  <r>
    <s v="SHP-503190"/>
    <d v="2025-03-26T00:00:00"/>
    <x v="1"/>
    <s v="Q1"/>
    <x v="2"/>
    <x v="3"/>
    <x v="2"/>
    <x v="3"/>
    <x v="0"/>
    <s v="Road"/>
    <x v="1"/>
    <n v="34.9"/>
    <n v="416"/>
    <n v="4"/>
    <n v="4"/>
    <n v="1"/>
    <n v="0"/>
    <n v="33"/>
    <n v="0"/>
    <n v="1"/>
  </r>
  <r>
    <s v="SHP-503191"/>
    <d v="2025-03-26T00:00:00"/>
    <x v="1"/>
    <s v="Q1"/>
    <x v="2"/>
    <x v="4"/>
    <x v="1"/>
    <x v="0"/>
    <x v="2"/>
    <s v="Air"/>
    <x v="0"/>
    <n v="99.3"/>
    <n v="987"/>
    <n v="2"/>
    <n v="2"/>
    <n v="1"/>
    <n v="0"/>
    <n v="200.08"/>
    <n v="0"/>
    <n v="1"/>
  </r>
  <r>
    <s v="SHP-503192"/>
    <d v="2025-03-26T00:00:00"/>
    <x v="1"/>
    <s v="Q1"/>
    <x v="2"/>
    <x v="2"/>
    <x v="2"/>
    <x v="1"/>
    <x v="0"/>
    <s v="Road"/>
    <x v="0"/>
    <n v="52.9"/>
    <n v="290"/>
    <n v="3"/>
    <n v="3"/>
    <n v="1"/>
    <n v="0"/>
    <n v="33.89"/>
    <n v="0"/>
    <n v="1"/>
  </r>
  <r>
    <s v="SHP-503193"/>
    <d v="2025-03-26T00:00:00"/>
    <x v="1"/>
    <s v="Q1"/>
    <x v="2"/>
    <x v="0"/>
    <x v="1"/>
    <x v="0"/>
    <x v="2"/>
    <s v="Air"/>
    <x v="1"/>
    <n v="3.9"/>
    <n v="1080"/>
    <n v="2"/>
    <n v="1"/>
    <n v="1"/>
    <n v="0"/>
    <n v="62.36"/>
    <n v="0"/>
    <n v="1"/>
  </r>
  <r>
    <s v="SHP-503194"/>
    <d v="2025-03-26T00:00:00"/>
    <x v="1"/>
    <s v="Q1"/>
    <x v="2"/>
    <x v="2"/>
    <x v="1"/>
    <x v="1"/>
    <x v="0"/>
    <s v="Road"/>
    <x v="1"/>
    <n v="4.0999999999999996"/>
    <n v="285"/>
    <n v="3"/>
    <n v="3"/>
    <n v="1"/>
    <n v="0"/>
    <n v="11.43"/>
    <n v="0"/>
    <n v="1"/>
  </r>
  <r>
    <s v="SHP-503195"/>
    <d v="2025-03-27T00:00:00"/>
    <x v="1"/>
    <s v="Q1"/>
    <x v="2"/>
    <x v="3"/>
    <x v="1"/>
    <x v="3"/>
    <x v="0"/>
    <s v="Road"/>
    <x v="1"/>
    <n v="6.8"/>
    <n v="514"/>
    <n v="4"/>
    <n v="4"/>
    <n v="1"/>
    <n v="0"/>
    <n v="19.41"/>
    <n v="0"/>
    <n v="1"/>
  </r>
  <r>
    <s v="SHP-503196"/>
    <d v="2025-03-27T00:00:00"/>
    <x v="1"/>
    <s v="Q1"/>
    <x v="2"/>
    <x v="4"/>
    <x v="0"/>
    <x v="1"/>
    <x v="0"/>
    <s v="Road"/>
    <x v="0"/>
    <n v="127.1"/>
    <n v="208"/>
    <n v="3"/>
    <n v="3"/>
    <n v="1"/>
    <n v="0"/>
    <n v="63.75"/>
    <n v="0"/>
    <n v="1"/>
  </r>
  <r>
    <s v="SHP-503197"/>
    <d v="2025-03-27T00:00:00"/>
    <x v="1"/>
    <s v="Q1"/>
    <x v="2"/>
    <x v="0"/>
    <x v="0"/>
    <x v="3"/>
    <x v="2"/>
    <s v="Road"/>
    <x v="1"/>
    <n v="7.1"/>
    <n v="535"/>
    <n v="2"/>
    <n v="1"/>
    <n v="1"/>
    <n v="0"/>
    <n v="33.630000000000003"/>
    <n v="0"/>
    <n v="1"/>
  </r>
  <r>
    <s v="SHP-503198"/>
    <d v="2025-03-27T00:00:00"/>
    <x v="1"/>
    <s v="Q1"/>
    <x v="2"/>
    <x v="3"/>
    <x v="1"/>
    <x v="1"/>
    <x v="1"/>
    <s v="Road"/>
    <x v="0"/>
    <n v="88.4"/>
    <n v="215"/>
    <n v="5"/>
    <n v="5"/>
    <n v="1"/>
    <n v="0"/>
    <n v="35.270000000000003"/>
    <n v="0"/>
    <n v="1"/>
  </r>
  <r>
    <s v="SHP-503199"/>
    <d v="2025-03-27T00:00:00"/>
    <x v="1"/>
    <s v="Q1"/>
    <x v="2"/>
    <x v="3"/>
    <x v="2"/>
    <x v="4"/>
    <x v="1"/>
    <s v="Road"/>
    <x v="0"/>
    <n v="142.9"/>
    <n v="1086"/>
    <n v="7"/>
    <n v="7"/>
    <n v="1"/>
    <n v="0"/>
    <n v="62.32"/>
    <n v="0"/>
    <n v="1"/>
  </r>
  <r>
    <s v="SHP-503200"/>
    <d v="2025-03-27T00:00:00"/>
    <x v="1"/>
    <s v="Q1"/>
    <x v="2"/>
    <x v="1"/>
    <x v="2"/>
    <x v="1"/>
    <x v="0"/>
    <s v="Road"/>
    <x v="1"/>
    <n v="4.7"/>
    <n v="265"/>
    <n v="3"/>
    <n v="3"/>
    <n v="1"/>
    <n v="0"/>
    <n v="14.16"/>
    <n v="0"/>
    <n v="1"/>
  </r>
  <r>
    <s v="SHP-503201"/>
    <d v="2025-03-27T00:00:00"/>
    <x v="1"/>
    <s v="Q1"/>
    <x v="2"/>
    <x v="2"/>
    <x v="2"/>
    <x v="1"/>
    <x v="0"/>
    <s v="Road"/>
    <x v="0"/>
    <n v="138.1"/>
    <n v="283"/>
    <n v="3"/>
    <n v="2"/>
    <n v="1"/>
    <n v="0"/>
    <n v="63.36"/>
    <n v="0"/>
    <n v="1"/>
  </r>
  <r>
    <s v="SHP-503202"/>
    <d v="2025-03-28T00:00:00"/>
    <x v="1"/>
    <s v="Q1"/>
    <x v="2"/>
    <x v="2"/>
    <x v="0"/>
    <x v="3"/>
    <x v="0"/>
    <s v="Road"/>
    <x v="1"/>
    <n v="3.2"/>
    <n v="578"/>
    <n v="4"/>
    <n v="4"/>
    <n v="1"/>
    <n v="0"/>
    <n v="13.67"/>
    <n v="0"/>
    <n v="1"/>
  </r>
  <r>
    <s v="SHP-503203"/>
    <d v="2025-03-28T00:00:00"/>
    <x v="1"/>
    <s v="Q1"/>
    <x v="2"/>
    <x v="3"/>
    <x v="2"/>
    <x v="0"/>
    <x v="2"/>
    <s v="Air"/>
    <x v="1"/>
    <n v="8.3000000000000007"/>
    <n v="1024"/>
    <n v="2"/>
    <n v="2"/>
    <n v="1"/>
    <n v="0"/>
    <n v="74.86"/>
    <n v="0"/>
    <n v="1"/>
  </r>
  <r>
    <s v="SHP-503204"/>
    <d v="2025-03-28T00:00:00"/>
    <x v="1"/>
    <s v="Q1"/>
    <x v="2"/>
    <x v="2"/>
    <x v="0"/>
    <x v="3"/>
    <x v="0"/>
    <s v="Road"/>
    <x v="1"/>
    <n v="3.7"/>
    <n v="541"/>
    <n v="4"/>
    <n v="4"/>
    <n v="1"/>
    <n v="0"/>
    <n v="14.3"/>
    <n v="0"/>
    <n v="1"/>
  </r>
  <r>
    <s v="SHP-503205"/>
    <d v="2025-03-28T00:00:00"/>
    <x v="1"/>
    <s v="Q1"/>
    <x v="2"/>
    <x v="2"/>
    <x v="2"/>
    <x v="1"/>
    <x v="0"/>
    <s v="Road"/>
    <x v="0"/>
    <n v="95"/>
    <n v="202"/>
    <n v="3"/>
    <n v="3"/>
    <n v="1"/>
    <n v="0"/>
    <n v="41.76"/>
    <n v="0"/>
    <n v="1"/>
  </r>
  <r>
    <s v="SHP-503206"/>
    <d v="2025-03-28T00:00:00"/>
    <x v="1"/>
    <s v="Q1"/>
    <x v="2"/>
    <x v="3"/>
    <x v="2"/>
    <x v="0"/>
    <x v="0"/>
    <s v="Road"/>
    <x v="0"/>
    <n v="91.8"/>
    <n v="760"/>
    <n v="4"/>
    <n v="3"/>
    <n v="1"/>
    <n v="0"/>
    <n v="56.99"/>
    <n v="0"/>
    <n v="1"/>
  </r>
  <r>
    <s v="SHP-503207"/>
    <d v="2025-03-28T00:00:00"/>
    <x v="1"/>
    <s v="Q1"/>
    <x v="2"/>
    <x v="1"/>
    <x v="2"/>
    <x v="1"/>
    <x v="0"/>
    <s v="Road"/>
    <x v="1"/>
    <n v="3.9"/>
    <n v="316"/>
    <n v="3"/>
    <n v="3"/>
    <n v="1"/>
    <n v="0"/>
    <n v="14.24"/>
    <n v="0"/>
    <n v="1"/>
  </r>
  <r>
    <s v="SHP-503208"/>
    <d v="2025-03-28T00:00:00"/>
    <x v="1"/>
    <s v="Q1"/>
    <x v="2"/>
    <x v="1"/>
    <x v="2"/>
    <x v="1"/>
    <x v="0"/>
    <s v="Road"/>
    <x v="1"/>
    <n v="3.2"/>
    <n v="314"/>
    <n v="3"/>
    <n v="3"/>
    <n v="1"/>
    <n v="0"/>
    <n v="15.16"/>
    <n v="0"/>
    <n v="1"/>
  </r>
  <r>
    <s v="SHP-503209"/>
    <d v="2025-03-29T00:00:00"/>
    <x v="1"/>
    <s v="Q1"/>
    <x v="2"/>
    <x v="1"/>
    <x v="2"/>
    <x v="4"/>
    <x v="0"/>
    <s v="Road"/>
    <x v="0"/>
    <n v="102.4"/>
    <n v="1162"/>
    <n v="5"/>
    <n v="5"/>
    <n v="1"/>
    <n v="0"/>
    <n v="69.209999999999994"/>
    <n v="0"/>
    <n v="1"/>
  </r>
  <r>
    <s v="SHP-503210"/>
    <d v="2025-03-29T00:00:00"/>
    <x v="1"/>
    <s v="Q1"/>
    <x v="2"/>
    <x v="4"/>
    <x v="1"/>
    <x v="3"/>
    <x v="0"/>
    <s v="Road"/>
    <x v="1"/>
    <n v="4.5999999999999996"/>
    <n v="507"/>
    <n v="4"/>
    <n v="4"/>
    <n v="1"/>
    <n v="0"/>
    <n v="15.35"/>
    <n v="0"/>
    <n v="1"/>
  </r>
  <r>
    <s v="SHP-503211"/>
    <d v="2025-03-29T00:00:00"/>
    <x v="1"/>
    <s v="Q1"/>
    <x v="2"/>
    <x v="3"/>
    <x v="2"/>
    <x v="3"/>
    <x v="0"/>
    <s v="Road"/>
    <x v="0"/>
    <n v="98.2"/>
    <n v="381"/>
    <n v="4"/>
    <n v="4"/>
    <n v="1"/>
    <n v="0"/>
    <n v="66.16"/>
    <n v="0"/>
    <n v="1"/>
  </r>
  <r>
    <s v="SHP-503212"/>
    <d v="2025-03-29T00:00:00"/>
    <x v="1"/>
    <s v="Q1"/>
    <x v="2"/>
    <x v="0"/>
    <x v="1"/>
    <x v="4"/>
    <x v="1"/>
    <s v="Road"/>
    <x v="1"/>
    <n v="11.1"/>
    <n v="978"/>
    <n v="7"/>
    <n v="7"/>
    <n v="1"/>
    <n v="0"/>
    <n v="17.34"/>
    <n v="0"/>
    <n v="1"/>
  </r>
  <r>
    <s v="SHP-503213"/>
    <d v="2025-03-29T00:00:00"/>
    <x v="1"/>
    <s v="Q1"/>
    <x v="2"/>
    <x v="4"/>
    <x v="2"/>
    <x v="2"/>
    <x v="2"/>
    <s v="Air"/>
    <x v="0"/>
    <n v="70.7"/>
    <n v="1075"/>
    <n v="3"/>
    <n v="3"/>
    <n v="1"/>
    <n v="0"/>
    <n v="162.13999999999999"/>
    <n v="0"/>
    <n v="1"/>
  </r>
  <r>
    <s v="SHP-503214"/>
    <d v="2025-03-29T00:00:00"/>
    <x v="1"/>
    <s v="Q1"/>
    <x v="2"/>
    <x v="1"/>
    <x v="2"/>
    <x v="3"/>
    <x v="0"/>
    <s v="Road"/>
    <x v="0"/>
    <n v="175"/>
    <n v="503"/>
    <n v="4"/>
    <n v="4"/>
    <n v="1"/>
    <n v="0"/>
    <n v="87.38"/>
    <n v="0"/>
    <n v="1"/>
  </r>
  <r>
    <s v="SHP-503215"/>
    <d v="2025-03-29T00:00:00"/>
    <x v="1"/>
    <s v="Q1"/>
    <x v="2"/>
    <x v="1"/>
    <x v="1"/>
    <x v="1"/>
    <x v="1"/>
    <s v="Road"/>
    <x v="0"/>
    <n v="54.5"/>
    <n v="311"/>
    <n v="5"/>
    <n v="4"/>
    <n v="1"/>
    <n v="0"/>
    <n v="28.53"/>
    <n v="0"/>
    <n v="1"/>
  </r>
  <r>
    <s v="SHP-503216"/>
    <d v="2025-03-29T00:00:00"/>
    <x v="1"/>
    <s v="Q1"/>
    <x v="2"/>
    <x v="1"/>
    <x v="0"/>
    <x v="4"/>
    <x v="0"/>
    <s v="Road"/>
    <x v="1"/>
    <n v="1.4"/>
    <n v="1196"/>
    <n v="5"/>
    <n v="5"/>
    <n v="1"/>
    <n v="0"/>
    <n v="22.73"/>
    <n v="0"/>
    <n v="1"/>
  </r>
  <r>
    <s v="SHP-503217"/>
    <d v="2025-03-29T00:00:00"/>
    <x v="1"/>
    <s v="Q1"/>
    <x v="2"/>
    <x v="0"/>
    <x v="2"/>
    <x v="3"/>
    <x v="1"/>
    <s v="Road"/>
    <x v="1"/>
    <n v="5.3"/>
    <n v="387"/>
    <n v="6"/>
    <n v="5"/>
    <n v="1"/>
    <n v="0"/>
    <n v="10.82"/>
    <n v="1"/>
    <n v="1"/>
  </r>
  <r>
    <s v="SHP-503218"/>
    <d v="2025-03-30T00:00:00"/>
    <x v="1"/>
    <s v="Q1"/>
    <x v="2"/>
    <x v="4"/>
    <x v="2"/>
    <x v="1"/>
    <x v="1"/>
    <s v="Road"/>
    <x v="1"/>
    <n v="5.5"/>
    <n v="270"/>
    <n v="5"/>
    <n v="4"/>
    <n v="1"/>
    <n v="0"/>
    <n v="9.8699999999999992"/>
    <n v="0"/>
    <n v="1"/>
  </r>
  <r>
    <s v="SHP-503219"/>
    <d v="2025-03-30T00:00:00"/>
    <x v="1"/>
    <s v="Q1"/>
    <x v="2"/>
    <x v="0"/>
    <x v="2"/>
    <x v="1"/>
    <x v="1"/>
    <s v="Road"/>
    <x v="0"/>
    <n v="24.7"/>
    <n v="278"/>
    <n v="5"/>
    <n v="4"/>
    <n v="1"/>
    <n v="0"/>
    <n v="16.48"/>
    <n v="0"/>
    <n v="1"/>
  </r>
  <r>
    <s v="SHP-503220"/>
    <d v="2025-03-30T00:00:00"/>
    <x v="1"/>
    <s v="Q1"/>
    <x v="2"/>
    <x v="4"/>
    <x v="2"/>
    <x v="1"/>
    <x v="0"/>
    <s v="Road"/>
    <x v="1"/>
    <n v="3.6"/>
    <n v="185"/>
    <n v="3"/>
    <n v="3"/>
    <n v="1"/>
    <n v="0"/>
    <n v="10.52"/>
    <n v="0"/>
    <n v="1"/>
  </r>
  <r>
    <s v="SHP-503221"/>
    <d v="2025-03-30T00:00:00"/>
    <x v="1"/>
    <s v="Q1"/>
    <x v="2"/>
    <x v="4"/>
    <x v="1"/>
    <x v="1"/>
    <x v="1"/>
    <s v="Road"/>
    <x v="0"/>
    <n v="32.799999999999997"/>
    <n v="191"/>
    <n v="5"/>
    <n v="5"/>
    <n v="1"/>
    <n v="0"/>
    <n v="18.13"/>
    <n v="0"/>
    <n v="1"/>
  </r>
  <r>
    <s v="SHP-503222"/>
    <d v="2025-03-30T00:00:00"/>
    <x v="1"/>
    <s v="Q1"/>
    <x v="2"/>
    <x v="3"/>
    <x v="1"/>
    <x v="3"/>
    <x v="1"/>
    <s v="Road"/>
    <x v="1"/>
    <n v="7.9"/>
    <n v="546"/>
    <n v="6"/>
    <n v="6"/>
    <n v="1"/>
    <n v="0"/>
    <n v="12.46"/>
    <n v="0"/>
    <n v="1"/>
  </r>
  <r>
    <s v="SHP-503223"/>
    <d v="2025-03-31T00:00:00"/>
    <x v="1"/>
    <s v="Q1"/>
    <x v="2"/>
    <x v="3"/>
    <x v="2"/>
    <x v="1"/>
    <x v="1"/>
    <s v="Road"/>
    <x v="0"/>
    <n v="229.4"/>
    <n v="222"/>
    <n v="5"/>
    <n v="5"/>
    <n v="1"/>
    <n v="0"/>
    <n v="77.150000000000006"/>
    <n v="0"/>
    <n v="1"/>
  </r>
  <r>
    <s v="SHP-503224"/>
    <d v="2025-03-31T00:00:00"/>
    <x v="1"/>
    <s v="Q1"/>
    <x v="2"/>
    <x v="1"/>
    <x v="0"/>
    <x v="1"/>
    <x v="0"/>
    <s v="Road"/>
    <x v="1"/>
    <n v="2.2000000000000002"/>
    <n v="239"/>
    <n v="3"/>
    <n v="3"/>
    <n v="1"/>
    <n v="0"/>
    <n v="11.91"/>
    <n v="0"/>
    <n v="1"/>
  </r>
  <r>
    <s v="SHP-503225"/>
    <d v="2025-03-31T00:00:00"/>
    <x v="1"/>
    <s v="Q1"/>
    <x v="2"/>
    <x v="0"/>
    <x v="2"/>
    <x v="1"/>
    <x v="0"/>
    <s v="Road"/>
    <x v="1"/>
    <n v="1.6"/>
    <n v="214"/>
    <n v="3"/>
    <n v="3"/>
    <n v="1"/>
    <n v="0"/>
    <n v="9.0299999999999994"/>
    <n v="0"/>
    <n v="1"/>
  </r>
  <r>
    <s v="SHP-503226"/>
    <d v="2025-03-31T00:00:00"/>
    <x v="1"/>
    <s v="Q1"/>
    <x v="2"/>
    <x v="3"/>
    <x v="1"/>
    <x v="3"/>
    <x v="1"/>
    <s v="Road"/>
    <x v="1"/>
    <n v="0.6"/>
    <n v="590"/>
    <n v="6"/>
    <n v="6"/>
    <n v="1"/>
    <n v="0"/>
    <n v="11.26"/>
    <n v="0"/>
    <n v="1"/>
  </r>
  <r>
    <s v="SHP-503227"/>
    <d v="2025-03-31T00:00:00"/>
    <x v="1"/>
    <s v="Q1"/>
    <x v="2"/>
    <x v="1"/>
    <x v="1"/>
    <x v="3"/>
    <x v="1"/>
    <s v="Road"/>
    <x v="0"/>
    <n v="238.1"/>
    <n v="385"/>
    <n v="6"/>
    <n v="7"/>
    <n v="0"/>
    <n v="1"/>
    <n v="80.25"/>
    <n v="0"/>
    <n v="1"/>
  </r>
  <r>
    <s v="SHP-503228"/>
    <d v="2025-03-31T00:00:00"/>
    <x v="1"/>
    <s v="Q1"/>
    <x v="2"/>
    <x v="1"/>
    <x v="0"/>
    <x v="0"/>
    <x v="1"/>
    <s v="Road"/>
    <x v="0"/>
    <n v="129.9"/>
    <n v="1089"/>
    <n v="6"/>
    <n v="7"/>
    <n v="0"/>
    <n v="1"/>
    <n v="61.05"/>
    <n v="0"/>
    <n v="1"/>
  </r>
  <r>
    <s v="SHP-503229"/>
    <d v="2025-03-31T00:00:00"/>
    <x v="1"/>
    <s v="Q1"/>
    <x v="2"/>
    <x v="4"/>
    <x v="1"/>
    <x v="3"/>
    <x v="0"/>
    <s v="Road"/>
    <x v="1"/>
    <n v="2.9"/>
    <n v="588"/>
    <n v="4"/>
    <n v="4"/>
    <n v="1"/>
    <n v="0"/>
    <n v="15.04"/>
    <n v="0"/>
    <n v="1"/>
  </r>
  <r>
    <s v="SHP-503230"/>
    <d v="2025-03-31T00:00:00"/>
    <x v="1"/>
    <s v="Q1"/>
    <x v="2"/>
    <x v="0"/>
    <x v="2"/>
    <x v="0"/>
    <x v="2"/>
    <s v="Air"/>
    <x v="1"/>
    <n v="3.8"/>
    <n v="881"/>
    <n v="2"/>
    <n v="2"/>
    <n v="1"/>
    <n v="0"/>
    <n v="55.98"/>
    <n v="0"/>
    <n v="1"/>
  </r>
  <r>
    <s v="SHP-503231"/>
    <d v="2025-03-31T00:00:00"/>
    <x v="1"/>
    <s v="Q1"/>
    <x v="2"/>
    <x v="3"/>
    <x v="2"/>
    <x v="1"/>
    <x v="1"/>
    <s v="Road"/>
    <x v="1"/>
    <n v="8.6999999999999993"/>
    <n v="264"/>
    <n v="5"/>
    <n v="5"/>
    <n v="1"/>
    <n v="0"/>
    <n v="12.7"/>
    <n v="0"/>
    <n v="1"/>
  </r>
  <r>
    <s v="SHP-503232"/>
    <d v="2025-03-31T00:00:00"/>
    <x v="1"/>
    <s v="Q1"/>
    <x v="2"/>
    <x v="3"/>
    <x v="2"/>
    <x v="0"/>
    <x v="2"/>
    <s v="Air"/>
    <x v="0"/>
    <n v="82.4"/>
    <n v="1164"/>
    <n v="2"/>
    <n v="2"/>
    <n v="1"/>
    <n v="0"/>
    <n v="189.57"/>
    <n v="0"/>
    <n v="1"/>
  </r>
  <r>
    <s v="SHP-503233"/>
    <d v="2025-03-31T00:00:00"/>
    <x v="1"/>
    <s v="Q1"/>
    <x v="2"/>
    <x v="2"/>
    <x v="1"/>
    <x v="3"/>
    <x v="0"/>
    <s v="Road"/>
    <x v="1"/>
    <n v="13.5"/>
    <n v="417"/>
    <n v="4"/>
    <n v="4"/>
    <n v="1"/>
    <n v="0"/>
    <n v="14.96"/>
    <n v="0"/>
    <n v="1"/>
  </r>
  <r>
    <s v="SHP-503234"/>
    <d v="2025-03-31T00:00:00"/>
    <x v="1"/>
    <s v="Q1"/>
    <x v="2"/>
    <x v="1"/>
    <x v="0"/>
    <x v="1"/>
    <x v="0"/>
    <s v="Road"/>
    <x v="0"/>
    <n v="134.1"/>
    <n v="186"/>
    <n v="3"/>
    <n v="2"/>
    <n v="1"/>
    <n v="0"/>
    <n v="65.349999999999994"/>
    <n v="0"/>
    <n v="1"/>
  </r>
  <r>
    <s v="SHP-503235"/>
    <d v="2025-03-31T00:00:00"/>
    <x v="1"/>
    <s v="Q1"/>
    <x v="2"/>
    <x v="0"/>
    <x v="2"/>
    <x v="4"/>
    <x v="1"/>
    <s v="Road"/>
    <x v="0"/>
    <n v="17.3"/>
    <n v="986"/>
    <n v="7"/>
    <n v="7"/>
    <n v="1"/>
    <n v="0"/>
    <n v="21.02"/>
    <n v="0"/>
    <n v="1"/>
  </r>
  <r>
    <s v="SHP-503236"/>
    <d v="2025-04-01T00:00:00"/>
    <x v="1"/>
    <s v="Q2"/>
    <x v="3"/>
    <x v="4"/>
    <x v="0"/>
    <x v="3"/>
    <x v="0"/>
    <s v="Road"/>
    <x v="1"/>
    <n v="1.2"/>
    <n v="447"/>
    <n v="4"/>
    <n v="3"/>
    <n v="1"/>
    <n v="0"/>
    <n v="12.7"/>
    <n v="0"/>
    <n v="1"/>
  </r>
  <r>
    <s v="SHP-503237"/>
    <d v="2025-04-01T00:00:00"/>
    <x v="1"/>
    <s v="Q2"/>
    <x v="3"/>
    <x v="0"/>
    <x v="1"/>
    <x v="3"/>
    <x v="0"/>
    <s v="Road"/>
    <x v="1"/>
    <n v="5"/>
    <n v="440"/>
    <n v="4"/>
    <n v="6"/>
    <n v="0"/>
    <n v="2"/>
    <n v="13.81"/>
    <n v="0"/>
    <n v="1"/>
  </r>
  <r>
    <s v="SHP-503238"/>
    <d v="2025-04-01T00:00:00"/>
    <x v="1"/>
    <s v="Q2"/>
    <x v="3"/>
    <x v="2"/>
    <x v="0"/>
    <x v="3"/>
    <x v="2"/>
    <s v="Road"/>
    <x v="0"/>
    <n v="76.900000000000006"/>
    <n v="606"/>
    <n v="2"/>
    <n v="2"/>
    <n v="1"/>
    <n v="0"/>
    <n v="96.85"/>
    <n v="0"/>
    <n v="1"/>
  </r>
  <r>
    <s v="SHP-503239"/>
    <d v="2025-04-01T00:00:00"/>
    <x v="1"/>
    <s v="Q2"/>
    <x v="3"/>
    <x v="0"/>
    <x v="1"/>
    <x v="0"/>
    <x v="0"/>
    <s v="Road"/>
    <x v="1"/>
    <n v="1.8"/>
    <n v="926"/>
    <n v="4"/>
    <n v="3"/>
    <n v="1"/>
    <n v="0"/>
    <n v="17.940000000000001"/>
    <n v="0"/>
    <n v="1"/>
  </r>
  <r>
    <s v="SHP-503240"/>
    <d v="2025-04-01T00:00:00"/>
    <x v="1"/>
    <s v="Q2"/>
    <x v="3"/>
    <x v="2"/>
    <x v="2"/>
    <x v="0"/>
    <x v="1"/>
    <s v="Road"/>
    <x v="1"/>
    <n v="4.2"/>
    <n v="857"/>
    <n v="6"/>
    <n v="5"/>
    <n v="1"/>
    <n v="0"/>
    <n v="13.31"/>
    <n v="0"/>
    <n v="1"/>
  </r>
  <r>
    <s v="SHP-503241"/>
    <d v="2025-04-01T00:00:00"/>
    <x v="1"/>
    <s v="Q2"/>
    <x v="3"/>
    <x v="3"/>
    <x v="0"/>
    <x v="0"/>
    <x v="0"/>
    <s v="Road"/>
    <x v="1"/>
    <n v="2.9"/>
    <n v="880"/>
    <n v="4"/>
    <n v="4"/>
    <n v="1"/>
    <n v="0"/>
    <n v="20.94"/>
    <n v="0"/>
    <n v="1"/>
  </r>
  <r>
    <s v="SHP-503242"/>
    <d v="2025-04-01T00:00:00"/>
    <x v="1"/>
    <s v="Q2"/>
    <x v="3"/>
    <x v="2"/>
    <x v="1"/>
    <x v="2"/>
    <x v="2"/>
    <s v="Air"/>
    <x v="1"/>
    <n v="6.1"/>
    <n v="1518"/>
    <n v="3"/>
    <n v="2"/>
    <n v="1"/>
    <n v="0"/>
    <n v="76.52"/>
    <n v="0"/>
    <n v="1"/>
  </r>
  <r>
    <s v="SHP-503243"/>
    <d v="2025-04-01T00:00:00"/>
    <x v="1"/>
    <s v="Q2"/>
    <x v="3"/>
    <x v="0"/>
    <x v="0"/>
    <x v="0"/>
    <x v="0"/>
    <s v="Road"/>
    <x v="0"/>
    <n v="170"/>
    <n v="788"/>
    <n v="4"/>
    <n v="4"/>
    <n v="1"/>
    <n v="0"/>
    <n v="88.02"/>
    <n v="0"/>
    <n v="1"/>
  </r>
  <r>
    <s v="SHP-503244"/>
    <d v="2025-04-01T00:00:00"/>
    <x v="1"/>
    <s v="Q2"/>
    <x v="3"/>
    <x v="1"/>
    <x v="0"/>
    <x v="3"/>
    <x v="0"/>
    <s v="Road"/>
    <x v="1"/>
    <n v="8.6999999999999993"/>
    <n v="498"/>
    <n v="4"/>
    <n v="3"/>
    <n v="1"/>
    <n v="0"/>
    <n v="19.13"/>
    <n v="0"/>
    <n v="1"/>
  </r>
  <r>
    <s v="SHP-503245"/>
    <d v="2025-04-01T00:00:00"/>
    <x v="1"/>
    <s v="Q2"/>
    <x v="3"/>
    <x v="3"/>
    <x v="0"/>
    <x v="1"/>
    <x v="0"/>
    <s v="Road"/>
    <x v="1"/>
    <n v="4.5999999999999996"/>
    <n v="240"/>
    <n v="3"/>
    <n v="3"/>
    <n v="1"/>
    <n v="0"/>
    <n v="13.72"/>
    <n v="0"/>
    <n v="1"/>
  </r>
  <r>
    <s v="SHP-503246"/>
    <d v="2025-04-01T00:00:00"/>
    <x v="1"/>
    <s v="Q2"/>
    <x v="3"/>
    <x v="0"/>
    <x v="1"/>
    <x v="3"/>
    <x v="1"/>
    <s v="Road"/>
    <x v="1"/>
    <n v="11"/>
    <n v="488"/>
    <n v="6"/>
    <n v="6"/>
    <n v="1"/>
    <n v="0"/>
    <n v="13.1"/>
    <n v="0"/>
    <n v="1"/>
  </r>
  <r>
    <s v="SHP-503247"/>
    <d v="2025-04-01T00:00:00"/>
    <x v="1"/>
    <s v="Q2"/>
    <x v="3"/>
    <x v="4"/>
    <x v="1"/>
    <x v="3"/>
    <x v="0"/>
    <s v="Road"/>
    <x v="0"/>
    <n v="109.3"/>
    <n v="586"/>
    <n v="4"/>
    <n v="3"/>
    <n v="1"/>
    <n v="0"/>
    <n v="66.19"/>
    <n v="0"/>
    <n v="1"/>
  </r>
  <r>
    <s v="SHP-503248"/>
    <d v="2025-04-02T00:00:00"/>
    <x v="1"/>
    <s v="Q2"/>
    <x v="3"/>
    <x v="0"/>
    <x v="1"/>
    <x v="1"/>
    <x v="1"/>
    <s v="Road"/>
    <x v="0"/>
    <n v="93.8"/>
    <n v="224"/>
    <n v="5"/>
    <n v="5"/>
    <n v="1"/>
    <n v="0"/>
    <n v="34.53"/>
    <n v="0"/>
    <n v="1"/>
  </r>
  <r>
    <s v="SHP-503249"/>
    <d v="2025-04-02T00:00:00"/>
    <x v="1"/>
    <s v="Q2"/>
    <x v="3"/>
    <x v="1"/>
    <x v="1"/>
    <x v="1"/>
    <x v="2"/>
    <s v="Road"/>
    <x v="1"/>
    <n v="6.6"/>
    <n v="255"/>
    <n v="1"/>
    <n v="1"/>
    <n v="1"/>
    <n v="0"/>
    <n v="25.33"/>
    <n v="0"/>
    <n v="1"/>
  </r>
  <r>
    <s v="SHP-503250"/>
    <d v="2025-04-02T00:00:00"/>
    <x v="1"/>
    <s v="Q2"/>
    <x v="3"/>
    <x v="4"/>
    <x v="2"/>
    <x v="0"/>
    <x v="0"/>
    <s v="Road"/>
    <x v="1"/>
    <n v="1.3"/>
    <n v="1176"/>
    <n v="4"/>
    <n v="4"/>
    <n v="1"/>
    <n v="0"/>
    <n v="19.149999999999999"/>
    <n v="0"/>
    <n v="1"/>
  </r>
  <r>
    <s v="SHP-503251"/>
    <d v="2025-04-02T00:00:00"/>
    <x v="1"/>
    <s v="Q2"/>
    <x v="3"/>
    <x v="2"/>
    <x v="1"/>
    <x v="4"/>
    <x v="0"/>
    <s v="Road"/>
    <x v="0"/>
    <n v="63.7"/>
    <n v="1042"/>
    <n v="5"/>
    <n v="5"/>
    <n v="1"/>
    <n v="0"/>
    <n v="39.78"/>
    <n v="0"/>
    <n v="1"/>
  </r>
  <r>
    <s v="SHP-503252"/>
    <d v="2025-04-02T00:00:00"/>
    <x v="1"/>
    <s v="Q2"/>
    <x v="3"/>
    <x v="3"/>
    <x v="2"/>
    <x v="0"/>
    <x v="0"/>
    <s v="Road"/>
    <x v="1"/>
    <n v="1.8"/>
    <n v="887"/>
    <n v="4"/>
    <n v="4"/>
    <n v="1"/>
    <n v="0"/>
    <n v="20.67"/>
    <n v="0"/>
    <n v="1"/>
  </r>
  <r>
    <s v="SHP-503253"/>
    <d v="2025-04-02T00:00:00"/>
    <x v="1"/>
    <s v="Q2"/>
    <x v="3"/>
    <x v="2"/>
    <x v="2"/>
    <x v="3"/>
    <x v="0"/>
    <s v="Road"/>
    <x v="0"/>
    <n v="13.1"/>
    <n v="430"/>
    <n v="4"/>
    <n v="4"/>
    <n v="1"/>
    <n v="0"/>
    <n v="16.16"/>
    <n v="0"/>
    <n v="1"/>
  </r>
  <r>
    <s v="SHP-503254"/>
    <d v="2025-04-02T00:00:00"/>
    <x v="1"/>
    <s v="Q2"/>
    <x v="3"/>
    <x v="4"/>
    <x v="2"/>
    <x v="1"/>
    <x v="0"/>
    <s v="Road"/>
    <x v="1"/>
    <n v="18.5"/>
    <n v="199"/>
    <n v="3"/>
    <n v="2"/>
    <n v="1"/>
    <n v="0"/>
    <n v="17.07"/>
    <n v="0"/>
    <n v="1"/>
  </r>
  <r>
    <s v="SHP-503255"/>
    <d v="2025-04-02T00:00:00"/>
    <x v="1"/>
    <s v="Q2"/>
    <x v="3"/>
    <x v="4"/>
    <x v="1"/>
    <x v="3"/>
    <x v="0"/>
    <s v="Road"/>
    <x v="1"/>
    <n v="3.2"/>
    <n v="512"/>
    <n v="4"/>
    <n v="4"/>
    <n v="1"/>
    <n v="0"/>
    <n v="13.74"/>
    <n v="0"/>
    <n v="1"/>
  </r>
  <r>
    <s v="SHP-503256"/>
    <d v="2025-04-02T00:00:00"/>
    <x v="1"/>
    <s v="Q2"/>
    <x v="3"/>
    <x v="0"/>
    <x v="1"/>
    <x v="4"/>
    <x v="1"/>
    <s v="Road"/>
    <x v="0"/>
    <n v="134.9"/>
    <n v="1092"/>
    <n v="7"/>
    <n v="7"/>
    <n v="1"/>
    <n v="0"/>
    <n v="55.47"/>
    <n v="0"/>
    <n v="1"/>
  </r>
  <r>
    <s v="SHP-503257"/>
    <d v="2025-04-02T00:00:00"/>
    <x v="1"/>
    <s v="Q2"/>
    <x v="3"/>
    <x v="4"/>
    <x v="1"/>
    <x v="4"/>
    <x v="2"/>
    <s v="Air"/>
    <x v="1"/>
    <n v="7.4"/>
    <n v="914"/>
    <n v="3"/>
    <n v="3"/>
    <n v="1"/>
    <n v="0"/>
    <n v="67.150000000000006"/>
    <n v="0"/>
    <n v="1"/>
  </r>
  <r>
    <s v="SHP-503258"/>
    <d v="2025-04-03T00:00:00"/>
    <x v="1"/>
    <s v="Q2"/>
    <x v="3"/>
    <x v="3"/>
    <x v="1"/>
    <x v="3"/>
    <x v="0"/>
    <s v="Road"/>
    <x v="1"/>
    <n v="16"/>
    <n v="461"/>
    <n v="4"/>
    <n v="3"/>
    <n v="1"/>
    <n v="0"/>
    <n v="23.73"/>
    <n v="0"/>
    <n v="1"/>
  </r>
  <r>
    <s v="SHP-503259"/>
    <d v="2025-04-03T00:00:00"/>
    <x v="1"/>
    <s v="Q2"/>
    <x v="3"/>
    <x v="3"/>
    <x v="2"/>
    <x v="3"/>
    <x v="2"/>
    <s v="Road"/>
    <x v="0"/>
    <n v="156.1"/>
    <n v="424"/>
    <n v="2"/>
    <n v="1"/>
    <n v="1"/>
    <n v="0"/>
    <n v="188.37"/>
    <n v="0"/>
    <n v="1"/>
  </r>
  <r>
    <s v="SHP-503260"/>
    <d v="2025-04-03T00:00:00"/>
    <x v="1"/>
    <s v="Q2"/>
    <x v="3"/>
    <x v="1"/>
    <x v="2"/>
    <x v="0"/>
    <x v="0"/>
    <s v="Road"/>
    <x v="1"/>
    <n v="4.5"/>
    <n v="946"/>
    <n v="4"/>
    <n v="4"/>
    <n v="1"/>
    <n v="0"/>
    <n v="20.87"/>
    <n v="0"/>
    <n v="1"/>
  </r>
  <r>
    <s v="SHP-503261"/>
    <d v="2025-04-03T00:00:00"/>
    <x v="1"/>
    <s v="Q2"/>
    <x v="3"/>
    <x v="1"/>
    <x v="2"/>
    <x v="3"/>
    <x v="2"/>
    <s v="Road"/>
    <x v="0"/>
    <n v="77.5"/>
    <n v="431"/>
    <n v="2"/>
    <n v="2"/>
    <n v="1"/>
    <n v="0"/>
    <n v="98.61"/>
    <n v="0"/>
    <n v="1"/>
  </r>
  <r>
    <s v="SHP-503262"/>
    <d v="2025-04-03T00:00:00"/>
    <x v="1"/>
    <s v="Q2"/>
    <x v="3"/>
    <x v="4"/>
    <x v="1"/>
    <x v="1"/>
    <x v="0"/>
    <s v="Road"/>
    <x v="1"/>
    <n v="5.2"/>
    <n v="242"/>
    <n v="3"/>
    <n v="2"/>
    <n v="1"/>
    <n v="0"/>
    <n v="10.69"/>
    <n v="0"/>
    <n v="1"/>
  </r>
  <r>
    <s v="SHP-503263"/>
    <d v="2025-04-03T00:00:00"/>
    <x v="1"/>
    <s v="Q2"/>
    <x v="3"/>
    <x v="4"/>
    <x v="0"/>
    <x v="2"/>
    <x v="0"/>
    <s v="Road"/>
    <x v="1"/>
    <n v="2.8"/>
    <n v="1186"/>
    <n v="5"/>
    <n v="4"/>
    <n v="1"/>
    <n v="0"/>
    <n v="20.71"/>
    <n v="0"/>
    <n v="1"/>
  </r>
  <r>
    <s v="SHP-503264"/>
    <d v="2025-04-04T00:00:00"/>
    <x v="1"/>
    <s v="Q2"/>
    <x v="3"/>
    <x v="2"/>
    <x v="2"/>
    <x v="1"/>
    <x v="0"/>
    <s v="Road"/>
    <x v="1"/>
    <n v="1.3"/>
    <n v="249"/>
    <n v="3"/>
    <n v="2"/>
    <n v="1"/>
    <n v="0"/>
    <n v="9.25"/>
    <n v="0"/>
    <n v="1"/>
  </r>
  <r>
    <s v="SHP-503265"/>
    <d v="2025-04-04T00:00:00"/>
    <x v="1"/>
    <s v="Q2"/>
    <x v="3"/>
    <x v="1"/>
    <x v="2"/>
    <x v="3"/>
    <x v="1"/>
    <s v="Road"/>
    <x v="1"/>
    <n v="1.7"/>
    <n v="369"/>
    <n v="6"/>
    <n v="6"/>
    <n v="1"/>
    <n v="0"/>
    <n v="9.31"/>
    <n v="0"/>
    <n v="1"/>
  </r>
  <r>
    <s v="SHP-503266"/>
    <d v="2025-04-04T00:00:00"/>
    <x v="1"/>
    <s v="Q2"/>
    <x v="3"/>
    <x v="4"/>
    <x v="0"/>
    <x v="3"/>
    <x v="2"/>
    <s v="Road"/>
    <x v="1"/>
    <n v="12"/>
    <n v="556"/>
    <n v="2"/>
    <n v="2"/>
    <n v="1"/>
    <n v="0"/>
    <n v="38.43"/>
    <n v="0"/>
    <n v="1"/>
  </r>
  <r>
    <s v="SHP-503267"/>
    <d v="2025-04-04T00:00:00"/>
    <x v="1"/>
    <s v="Q2"/>
    <x v="3"/>
    <x v="2"/>
    <x v="2"/>
    <x v="1"/>
    <x v="2"/>
    <s v="Road"/>
    <x v="1"/>
    <n v="7.3"/>
    <n v="196"/>
    <n v="1"/>
    <n v="1"/>
    <n v="1"/>
    <n v="0"/>
    <n v="21.13"/>
    <n v="0"/>
    <n v="1"/>
  </r>
  <r>
    <s v="SHP-503268"/>
    <d v="2025-04-04T00:00:00"/>
    <x v="1"/>
    <s v="Q2"/>
    <x v="3"/>
    <x v="2"/>
    <x v="2"/>
    <x v="0"/>
    <x v="2"/>
    <s v="Air"/>
    <x v="1"/>
    <n v="11.8"/>
    <n v="841"/>
    <n v="2"/>
    <n v="3"/>
    <n v="0"/>
    <n v="1"/>
    <n v="58.69"/>
    <n v="0"/>
    <n v="1"/>
  </r>
  <r>
    <s v="SHP-503269"/>
    <d v="2025-04-04T00:00:00"/>
    <x v="1"/>
    <s v="Q2"/>
    <x v="3"/>
    <x v="4"/>
    <x v="0"/>
    <x v="2"/>
    <x v="0"/>
    <s v="Road"/>
    <x v="1"/>
    <n v="28"/>
    <n v="1316"/>
    <n v="5"/>
    <n v="5"/>
    <n v="1"/>
    <n v="0"/>
    <n v="38.99"/>
    <n v="0"/>
    <n v="1"/>
  </r>
  <r>
    <s v="SHP-503270"/>
    <d v="2025-04-04T00:00:00"/>
    <x v="1"/>
    <s v="Q2"/>
    <x v="3"/>
    <x v="4"/>
    <x v="1"/>
    <x v="3"/>
    <x v="1"/>
    <s v="Road"/>
    <x v="1"/>
    <n v="2.6"/>
    <n v="453"/>
    <n v="6"/>
    <n v="5"/>
    <n v="1"/>
    <n v="0"/>
    <n v="9.02"/>
    <n v="0"/>
    <n v="1"/>
  </r>
  <r>
    <s v="SHP-503271"/>
    <d v="2025-04-04T00:00:00"/>
    <x v="1"/>
    <s v="Q2"/>
    <x v="3"/>
    <x v="4"/>
    <x v="0"/>
    <x v="2"/>
    <x v="0"/>
    <s v="Road"/>
    <x v="1"/>
    <n v="6.3"/>
    <n v="959"/>
    <n v="5"/>
    <n v="7"/>
    <n v="0"/>
    <n v="2"/>
    <n v="21.62"/>
    <n v="0"/>
    <n v="1"/>
  </r>
  <r>
    <s v="SHP-503272"/>
    <d v="2025-04-04T00:00:00"/>
    <x v="1"/>
    <s v="Q2"/>
    <x v="3"/>
    <x v="0"/>
    <x v="1"/>
    <x v="0"/>
    <x v="1"/>
    <s v="Road"/>
    <x v="1"/>
    <n v="21.6"/>
    <n v="772"/>
    <n v="6"/>
    <n v="6"/>
    <n v="1"/>
    <n v="0"/>
    <n v="19.600000000000001"/>
    <n v="0"/>
    <n v="1"/>
  </r>
  <r>
    <s v="SHP-503273"/>
    <d v="2025-04-04T00:00:00"/>
    <x v="1"/>
    <s v="Q2"/>
    <x v="3"/>
    <x v="3"/>
    <x v="2"/>
    <x v="2"/>
    <x v="2"/>
    <s v="Air"/>
    <x v="0"/>
    <n v="52.6"/>
    <n v="1149"/>
    <n v="3"/>
    <n v="3"/>
    <n v="1"/>
    <n v="0"/>
    <n v="143.96"/>
    <n v="0"/>
    <n v="1"/>
  </r>
  <r>
    <s v="SHP-503274"/>
    <d v="2025-04-05T00:00:00"/>
    <x v="1"/>
    <s v="Q2"/>
    <x v="3"/>
    <x v="4"/>
    <x v="2"/>
    <x v="2"/>
    <x v="1"/>
    <s v="Road"/>
    <x v="1"/>
    <n v="5.0999999999999996"/>
    <n v="1048"/>
    <n v="7"/>
    <n v="6"/>
    <n v="1"/>
    <n v="0"/>
    <n v="18.29"/>
    <n v="0"/>
    <n v="1"/>
  </r>
  <r>
    <s v="SHP-503275"/>
    <d v="2025-04-05T00:00:00"/>
    <x v="1"/>
    <s v="Q2"/>
    <x v="3"/>
    <x v="0"/>
    <x v="1"/>
    <x v="3"/>
    <x v="0"/>
    <s v="Road"/>
    <x v="1"/>
    <n v="2"/>
    <n v="352"/>
    <n v="4"/>
    <n v="6"/>
    <n v="0"/>
    <n v="2"/>
    <n v="12.2"/>
    <n v="0"/>
    <n v="1"/>
  </r>
  <r>
    <s v="SHP-503276"/>
    <d v="2025-04-05T00:00:00"/>
    <x v="1"/>
    <s v="Q2"/>
    <x v="3"/>
    <x v="3"/>
    <x v="2"/>
    <x v="3"/>
    <x v="0"/>
    <s v="Road"/>
    <x v="1"/>
    <n v="5"/>
    <n v="419"/>
    <n v="4"/>
    <n v="4"/>
    <n v="1"/>
    <n v="0"/>
    <n v="17.309999999999999"/>
    <n v="0"/>
    <n v="1"/>
  </r>
  <r>
    <s v="SHP-503277"/>
    <d v="2025-04-05T00:00:00"/>
    <x v="1"/>
    <s v="Q2"/>
    <x v="3"/>
    <x v="4"/>
    <x v="2"/>
    <x v="0"/>
    <x v="0"/>
    <s v="Road"/>
    <x v="1"/>
    <n v="3.6"/>
    <n v="902"/>
    <n v="4"/>
    <n v="4"/>
    <n v="1"/>
    <n v="0"/>
    <n v="19.079999999999998"/>
    <n v="0"/>
    <n v="1"/>
  </r>
  <r>
    <s v="SHP-503278"/>
    <d v="2025-04-06T00:00:00"/>
    <x v="1"/>
    <s v="Q2"/>
    <x v="3"/>
    <x v="4"/>
    <x v="0"/>
    <x v="1"/>
    <x v="1"/>
    <s v="Road"/>
    <x v="1"/>
    <n v="5.3"/>
    <n v="300"/>
    <n v="5"/>
    <n v="5"/>
    <n v="1"/>
    <n v="0"/>
    <n v="10.37"/>
    <n v="0"/>
    <n v="1"/>
  </r>
  <r>
    <s v="SHP-503279"/>
    <d v="2025-04-06T00:00:00"/>
    <x v="1"/>
    <s v="Q2"/>
    <x v="3"/>
    <x v="1"/>
    <x v="2"/>
    <x v="4"/>
    <x v="2"/>
    <s v="Air"/>
    <x v="1"/>
    <n v="6.4"/>
    <n v="1045"/>
    <n v="3"/>
    <n v="3"/>
    <n v="1"/>
    <n v="0"/>
    <n v="68.8"/>
    <n v="0"/>
    <n v="1"/>
  </r>
  <r>
    <s v="SHP-503280"/>
    <d v="2025-04-07T00:00:00"/>
    <x v="1"/>
    <s v="Q2"/>
    <x v="3"/>
    <x v="2"/>
    <x v="2"/>
    <x v="3"/>
    <x v="0"/>
    <s v="Road"/>
    <x v="0"/>
    <n v="79.400000000000006"/>
    <n v="429"/>
    <n v="4"/>
    <n v="4"/>
    <n v="1"/>
    <n v="0"/>
    <n v="38.659999999999997"/>
    <n v="0"/>
    <n v="1"/>
  </r>
  <r>
    <s v="SHP-503281"/>
    <d v="2025-04-07T00:00:00"/>
    <x v="1"/>
    <s v="Q2"/>
    <x v="3"/>
    <x v="3"/>
    <x v="2"/>
    <x v="2"/>
    <x v="0"/>
    <s v="Road"/>
    <x v="0"/>
    <n v="98.8"/>
    <n v="1097"/>
    <n v="5"/>
    <n v="5"/>
    <n v="1"/>
    <n v="0"/>
    <n v="65.7"/>
    <n v="0"/>
    <n v="1"/>
  </r>
  <r>
    <s v="SHP-503282"/>
    <d v="2025-04-07T00:00:00"/>
    <x v="1"/>
    <s v="Q2"/>
    <x v="3"/>
    <x v="3"/>
    <x v="2"/>
    <x v="2"/>
    <x v="0"/>
    <s v="Road"/>
    <x v="1"/>
    <n v="14.4"/>
    <n v="1366"/>
    <n v="5"/>
    <n v="5"/>
    <n v="1"/>
    <n v="0"/>
    <n v="33.549999999999997"/>
    <n v="0"/>
    <n v="1"/>
  </r>
  <r>
    <s v="SHP-503283"/>
    <d v="2025-04-07T00:00:00"/>
    <x v="1"/>
    <s v="Q2"/>
    <x v="3"/>
    <x v="4"/>
    <x v="1"/>
    <x v="1"/>
    <x v="2"/>
    <s v="Road"/>
    <x v="1"/>
    <n v="9.6"/>
    <n v="298"/>
    <n v="1"/>
    <n v="4"/>
    <n v="0"/>
    <n v="3"/>
    <n v="31.32"/>
    <n v="0"/>
    <n v="1"/>
  </r>
  <r>
    <s v="SHP-503284"/>
    <d v="2025-04-07T00:00:00"/>
    <x v="1"/>
    <s v="Q2"/>
    <x v="3"/>
    <x v="1"/>
    <x v="0"/>
    <x v="0"/>
    <x v="2"/>
    <s v="Air"/>
    <x v="0"/>
    <n v="121.8"/>
    <n v="947"/>
    <n v="2"/>
    <n v="2"/>
    <n v="1"/>
    <n v="0"/>
    <n v="225.51"/>
    <n v="0"/>
    <n v="1"/>
  </r>
  <r>
    <s v="SHP-503285"/>
    <d v="2025-04-07T00:00:00"/>
    <x v="1"/>
    <s v="Q2"/>
    <x v="3"/>
    <x v="2"/>
    <x v="1"/>
    <x v="0"/>
    <x v="2"/>
    <s v="Air"/>
    <x v="1"/>
    <n v="1.8"/>
    <n v="585"/>
    <n v="2"/>
    <n v="2"/>
    <n v="1"/>
    <n v="0"/>
    <n v="40.14"/>
    <n v="0"/>
    <n v="1"/>
  </r>
  <r>
    <s v="SHP-503286"/>
    <d v="2025-04-07T00:00:00"/>
    <x v="1"/>
    <s v="Q2"/>
    <x v="3"/>
    <x v="0"/>
    <x v="2"/>
    <x v="0"/>
    <x v="0"/>
    <s v="Road"/>
    <x v="0"/>
    <n v="45.2"/>
    <n v="748"/>
    <n v="4"/>
    <n v="4"/>
    <n v="1"/>
    <n v="0"/>
    <n v="38.4"/>
    <n v="0"/>
    <n v="1"/>
  </r>
  <r>
    <s v="SHP-503287"/>
    <d v="2025-04-07T00:00:00"/>
    <x v="1"/>
    <s v="Q2"/>
    <x v="3"/>
    <x v="1"/>
    <x v="1"/>
    <x v="3"/>
    <x v="1"/>
    <s v="Road"/>
    <x v="1"/>
    <n v="4.8"/>
    <n v="462"/>
    <n v="6"/>
    <n v="5"/>
    <n v="1"/>
    <n v="0"/>
    <n v="12.3"/>
    <n v="0"/>
    <n v="1"/>
  </r>
  <r>
    <s v="SHP-503288"/>
    <d v="2025-04-07T00:00:00"/>
    <x v="1"/>
    <s v="Q2"/>
    <x v="3"/>
    <x v="3"/>
    <x v="1"/>
    <x v="1"/>
    <x v="0"/>
    <s v="Road"/>
    <x v="0"/>
    <n v="52.9"/>
    <n v="280"/>
    <n v="3"/>
    <n v="3"/>
    <n v="1"/>
    <n v="0"/>
    <n v="39.69"/>
    <n v="0"/>
    <n v="1"/>
  </r>
  <r>
    <s v="SHP-503289"/>
    <d v="2025-04-07T00:00:00"/>
    <x v="1"/>
    <s v="Q2"/>
    <x v="3"/>
    <x v="1"/>
    <x v="0"/>
    <x v="1"/>
    <x v="0"/>
    <s v="Road"/>
    <x v="0"/>
    <n v="88.3"/>
    <n v="259"/>
    <n v="3"/>
    <n v="2"/>
    <n v="1"/>
    <n v="0"/>
    <n v="54.36"/>
    <n v="0"/>
    <n v="1"/>
  </r>
  <r>
    <s v="SHP-503290"/>
    <d v="2025-04-07T00:00:00"/>
    <x v="1"/>
    <s v="Q2"/>
    <x v="3"/>
    <x v="4"/>
    <x v="0"/>
    <x v="1"/>
    <x v="0"/>
    <s v="Road"/>
    <x v="0"/>
    <n v="46.4"/>
    <n v="292"/>
    <n v="3"/>
    <n v="3"/>
    <n v="1"/>
    <n v="0"/>
    <n v="34.659999999999997"/>
    <n v="0"/>
    <n v="1"/>
  </r>
  <r>
    <s v="SHP-503291"/>
    <d v="2025-04-07T00:00:00"/>
    <x v="1"/>
    <s v="Q2"/>
    <x v="3"/>
    <x v="2"/>
    <x v="1"/>
    <x v="1"/>
    <x v="1"/>
    <s v="Road"/>
    <x v="1"/>
    <n v="2.2000000000000002"/>
    <n v="248"/>
    <n v="5"/>
    <n v="5"/>
    <n v="1"/>
    <n v="0"/>
    <n v="6.37"/>
    <n v="0"/>
    <n v="1"/>
  </r>
  <r>
    <s v="SHP-503292"/>
    <d v="2025-04-07T00:00:00"/>
    <x v="1"/>
    <s v="Q2"/>
    <x v="3"/>
    <x v="0"/>
    <x v="1"/>
    <x v="2"/>
    <x v="2"/>
    <s v="Air"/>
    <x v="0"/>
    <n v="15.9"/>
    <n v="968"/>
    <n v="3"/>
    <n v="2"/>
    <n v="1"/>
    <n v="0"/>
    <n v="78.33"/>
    <n v="0"/>
    <n v="1"/>
  </r>
  <r>
    <s v="SHP-503293"/>
    <d v="2025-04-07T00:00:00"/>
    <x v="1"/>
    <s v="Q2"/>
    <x v="3"/>
    <x v="3"/>
    <x v="2"/>
    <x v="2"/>
    <x v="0"/>
    <s v="Road"/>
    <x v="1"/>
    <n v="9"/>
    <n v="1262"/>
    <n v="5"/>
    <n v="5"/>
    <n v="1"/>
    <n v="0"/>
    <n v="32.799999999999997"/>
    <n v="0"/>
    <n v="1"/>
  </r>
  <r>
    <s v="SHP-503294"/>
    <d v="2025-04-07T00:00:00"/>
    <x v="1"/>
    <s v="Q2"/>
    <x v="3"/>
    <x v="2"/>
    <x v="2"/>
    <x v="1"/>
    <x v="1"/>
    <s v="Road"/>
    <x v="1"/>
    <n v="1.7"/>
    <n v="245"/>
    <n v="5"/>
    <n v="4"/>
    <n v="1"/>
    <n v="0"/>
    <n v="5.97"/>
    <n v="0"/>
    <n v="1"/>
  </r>
  <r>
    <s v="SHP-503295"/>
    <d v="2025-04-07T00:00:00"/>
    <x v="1"/>
    <s v="Q2"/>
    <x v="3"/>
    <x v="0"/>
    <x v="0"/>
    <x v="3"/>
    <x v="1"/>
    <s v="Road"/>
    <x v="1"/>
    <n v="5.5"/>
    <n v="447"/>
    <n v="6"/>
    <n v="5"/>
    <n v="1"/>
    <n v="0"/>
    <n v="10.75"/>
    <n v="0"/>
    <n v="1"/>
  </r>
  <r>
    <s v="SHP-503296"/>
    <d v="2025-04-08T00:00:00"/>
    <x v="1"/>
    <s v="Q2"/>
    <x v="3"/>
    <x v="2"/>
    <x v="1"/>
    <x v="4"/>
    <x v="2"/>
    <s v="Air"/>
    <x v="1"/>
    <n v="2.2000000000000002"/>
    <n v="987"/>
    <n v="3"/>
    <n v="3"/>
    <n v="1"/>
    <n v="0"/>
    <n v="55.08"/>
    <n v="0"/>
    <n v="1"/>
  </r>
  <r>
    <s v="SHP-503297"/>
    <d v="2025-04-08T00:00:00"/>
    <x v="1"/>
    <s v="Q2"/>
    <x v="3"/>
    <x v="0"/>
    <x v="1"/>
    <x v="3"/>
    <x v="0"/>
    <s v="Road"/>
    <x v="1"/>
    <n v="4.8"/>
    <n v="419"/>
    <n v="4"/>
    <n v="3"/>
    <n v="1"/>
    <n v="0"/>
    <n v="12.66"/>
    <n v="0"/>
    <n v="1"/>
  </r>
  <r>
    <s v="SHP-503298"/>
    <d v="2025-04-09T00:00:00"/>
    <x v="1"/>
    <s v="Q2"/>
    <x v="3"/>
    <x v="1"/>
    <x v="2"/>
    <x v="0"/>
    <x v="1"/>
    <s v="Road"/>
    <x v="1"/>
    <n v="1.8"/>
    <n v="719"/>
    <n v="6"/>
    <n v="6"/>
    <n v="1"/>
    <n v="0"/>
    <n v="11.56"/>
    <n v="0"/>
    <n v="1"/>
  </r>
  <r>
    <s v="SHP-503299"/>
    <d v="2025-04-09T00:00:00"/>
    <x v="1"/>
    <s v="Q2"/>
    <x v="3"/>
    <x v="2"/>
    <x v="1"/>
    <x v="1"/>
    <x v="2"/>
    <s v="Road"/>
    <x v="0"/>
    <n v="142.19999999999999"/>
    <n v="251"/>
    <n v="1"/>
    <n v="1"/>
    <n v="1"/>
    <n v="0"/>
    <n v="110.32"/>
    <n v="0"/>
    <n v="1"/>
  </r>
  <r>
    <s v="SHP-503300"/>
    <d v="2025-04-09T00:00:00"/>
    <x v="1"/>
    <s v="Q2"/>
    <x v="3"/>
    <x v="2"/>
    <x v="2"/>
    <x v="4"/>
    <x v="0"/>
    <s v="Road"/>
    <x v="1"/>
    <n v="6.1"/>
    <n v="1044"/>
    <n v="5"/>
    <n v="5"/>
    <n v="1"/>
    <n v="0"/>
    <n v="20.61"/>
    <n v="0"/>
    <n v="1"/>
  </r>
  <r>
    <s v="SHP-503301"/>
    <d v="2025-04-09T00:00:00"/>
    <x v="1"/>
    <s v="Q2"/>
    <x v="3"/>
    <x v="1"/>
    <x v="2"/>
    <x v="2"/>
    <x v="0"/>
    <s v="Road"/>
    <x v="1"/>
    <n v="7.1"/>
    <n v="1003"/>
    <n v="5"/>
    <n v="5"/>
    <n v="1"/>
    <n v="0"/>
    <n v="21.78"/>
    <n v="0"/>
    <n v="1"/>
  </r>
  <r>
    <s v="SHP-503302"/>
    <d v="2025-04-09T00:00:00"/>
    <x v="1"/>
    <s v="Q2"/>
    <x v="3"/>
    <x v="1"/>
    <x v="2"/>
    <x v="0"/>
    <x v="2"/>
    <s v="Air"/>
    <x v="0"/>
    <n v="39.700000000000003"/>
    <n v="677"/>
    <n v="2"/>
    <n v="1"/>
    <n v="1"/>
    <n v="0"/>
    <n v="103.25"/>
    <n v="0"/>
    <n v="1"/>
  </r>
  <r>
    <s v="SHP-503303"/>
    <d v="2025-04-09T00:00:00"/>
    <x v="1"/>
    <s v="Q2"/>
    <x v="3"/>
    <x v="2"/>
    <x v="0"/>
    <x v="4"/>
    <x v="0"/>
    <s v="Road"/>
    <x v="0"/>
    <n v="131.4"/>
    <n v="993"/>
    <n v="5"/>
    <n v="5"/>
    <n v="1"/>
    <n v="0"/>
    <n v="57.88"/>
    <n v="0"/>
    <n v="1"/>
  </r>
  <r>
    <s v="SHP-503304"/>
    <d v="2025-04-09T00:00:00"/>
    <x v="1"/>
    <s v="Q2"/>
    <x v="3"/>
    <x v="2"/>
    <x v="2"/>
    <x v="3"/>
    <x v="1"/>
    <s v="Road"/>
    <x v="1"/>
    <n v="13.1"/>
    <n v="599"/>
    <n v="6"/>
    <n v="6"/>
    <n v="1"/>
    <n v="0"/>
    <n v="13.4"/>
    <n v="0"/>
    <n v="1"/>
  </r>
  <r>
    <s v="SHP-503305"/>
    <d v="2025-04-09T00:00:00"/>
    <x v="1"/>
    <s v="Q2"/>
    <x v="3"/>
    <x v="0"/>
    <x v="2"/>
    <x v="3"/>
    <x v="2"/>
    <s v="Road"/>
    <x v="0"/>
    <n v="109.6"/>
    <n v="596"/>
    <n v="2"/>
    <n v="1"/>
    <n v="1"/>
    <n v="0"/>
    <n v="108.11"/>
    <n v="0"/>
    <n v="1"/>
  </r>
  <r>
    <s v="SHP-503306"/>
    <d v="2025-04-10T00:00:00"/>
    <x v="1"/>
    <s v="Q2"/>
    <x v="3"/>
    <x v="0"/>
    <x v="2"/>
    <x v="3"/>
    <x v="1"/>
    <s v="Road"/>
    <x v="0"/>
    <n v="39.299999999999997"/>
    <n v="367"/>
    <n v="6"/>
    <n v="5"/>
    <n v="1"/>
    <n v="0"/>
    <n v="21.86"/>
    <n v="0"/>
    <n v="1"/>
  </r>
  <r>
    <s v="SHP-503307"/>
    <d v="2025-04-10T00:00:00"/>
    <x v="1"/>
    <s v="Q2"/>
    <x v="3"/>
    <x v="1"/>
    <x v="2"/>
    <x v="2"/>
    <x v="1"/>
    <s v="Road"/>
    <x v="1"/>
    <n v="5.0999999999999996"/>
    <n v="1141"/>
    <n v="7"/>
    <n v="7"/>
    <n v="1"/>
    <n v="0"/>
    <n v="19.39"/>
    <n v="0"/>
    <n v="1"/>
  </r>
  <r>
    <s v="SHP-503308"/>
    <d v="2025-04-10T00:00:00"/>
    <x v="1"/>
    <s v="Q2"/>
    <x v="3"/>
    <x v="1"/>
    <x v="0"/>
    <x v="0"/>
    <x v="0"/>
    <s v="Road"/>
    <x v="0"/>
    <n v="418.5"/>
    <n v="692"/>
    <n v="4"/>
    <n v="3"/>
    <n v="1"/>
    <n v="0"/>
    <n v="175.91"/>
    <n v="0"/>
    <n v="1"/>
  </r>
  <r>
    <s v="SHP-503309"/>
    <d v="2025-04-10T00:00:00"/>
    <x v="1"/>
    <s v="Q2"/>
    <x v="3"/>
    <x v="3"/>
    <x v="0"/>
    <x v="1"/>
    <x v="2"/>
    <s v="Road"/>
    <x v="1"/>
    <n v="7.1"/>
    <n v="317"/>
    <n v="1"/>
    <n v="1"/>
    <n v="1"/>
    <n v="0"/>
    <n v="27.46"/>
    <n v="0"/>
    <n v="1"/>
  </r>
  <r>
    <s v="SHP-503310"/>
    <d v="2025-04-11T00:00:00"/>
    <x v="1"/>
    <s v="Q2"/>
    <x v="3"/>
    <x v="3"/>
    <x v="1"/>
    <x v="0"/>
    <x v="2"/>
    <s v="Air"/>
    <x v="0"/>
    <n v="59"/>
    <n v="931"/>
    <n v="2"/>
    <n v="2"/>
    <n v="1"/>
    <n v="0"/>
    <n v="164.79"/>
    <n v="0"/>
    <n v="1"/>
  </r>
  <r>
    <s v="SHP-503311"/>
    <d v="2025-04-11T00:00:00"/>
    <x v="1"/>
    <s v="Q2"/>
    <x v="3"/>
    <x v="4"/>
    <x v="2"/>
    <x v="2"/>
    <x v="0"/>
    <s v="Road"/>
    <x v="1"/>
    <n v="3"/>
    <n v="1130"/>
    <n v="5"/>
    <n v="5"/>
    <n v="1"/>
    <n v="0"/>
    <n v="23.17"/>
    <n v="0"/>
    <n v="1"/>
  </r>
  <r>
    <s v="SHP-503312"/>
    <d v="2025-04-11T00:00:00"/>
    <x v="1"/>
    <s v="Q2"/>
    <x v="3"/>
    <x v="2"/>
    <x v="0"/>
    <x v="0"/>
    <x v="2"/>
    <s v="Air"/>
    <x v="1"/>
    <n v="2.1"/>
    <n v="855"/>
    <n v="2"/>
    <n v="2"/>
    <n v="1"/>
    <n v="0"/>
    <n v="48.5"/>
    <n v="0"/>
    <n v="1"/>
  </r>
  <r>
    <s v="SHP-503313"/>
    <d v="2025-04-11T00:00:00"/>
    <x v="1"/>
    <s v="Q2"/>
    <x v="3"/>
    <x v="0"/>
    <x v="2"/>
    <x v="1"/>
    <x v="0"/>
    <s v="Road"/>
    <x v="1"/>
    <n v="4.5999999999999996"/>
    <n v="225"/>
    <n v="3"/>
    <n v="3"/>
    <n v="1"/>
    <n v="0"/>
    <n v="12.87"/>
    <n v="0"/>
    <n v="1"/>
  </r>
  <r>
    <s v="SHP-503314"/>
    <d v="2025-04-11T00:00:00"/>
    <x v="1"/>
    <s v="Q2"/>
    <x v="3"/>
    <x v="2"/>
    <x v="1"/>
    <x v="4"/>
    <x v="1"/>
    <s v="Road"/>
    <x v="1"/>
    <n v="12.4"/>
    <n v="1165"/>
    <n v="7"/>
    <n v="7"/>
    <n v="1"/>
    <n v="0"/>
    <n v="15.84"/>
    <n v="0"/>
    <n v="1"/>
  </r>
  <r>
    <s v="SHP-503315"/>
    <d v="2025-04-11T00:00:00"/>
    <x v="1"/>
    <s v="Q2"/>
    <x v="3"/>
    <x v="4"/>
    <x v="1"/>
    <x v="0"/>
    <x v="0"/>
    <s v="Road"/>
    <x v="1"/>
    <n v="3.7"/>
    <n v="1031"/>
    <n v="4"/>
    <n v="6"/>
    <n v="0"/>
    <n v="2"/>
    <n v="23.18"/>
    <n v="0"/>
    <n v="1"/>
  </r>
  <r>
    <s v="SHP-503316"/>
    <d v="2025-04-11T00:00:00"/>
    <x v="1"/>
    <s v="Q2"/>
    <x v="3"/>
    <x v="3"/>
    <x v="0"/>
    <x v="4"/>
    <x v="0"/>
    <s v="Road"/>
    <x v="0"/>
    <n v="27"/>
    <n v="836"/>
    <n v="5"/>
    <n v="5"/>
    <n v="1"/>
    <n v="0"/>
    <n v="38.35"/>
    <n v="0"/>
    <n v="1"/>
  </r>
  <r>
    <s v="SHP-503317"/>
    <d v="2025-04-11T00:00:00"/>
    <x v="1"/>
    <s v="Q2"/>
    <x v="3"/>
    <x v="2"/>
    <x v="2"/>
    <x v="0"/>
    <x v="0"/>
    <s v="Road"/>
    <x v="0"/>
    <n v="130.19999999999999"/>
    <n v="910"/>
    <n v="4"/>
    <n v="4"/>
    <n v="1"/>
    <n v="0"/>
    <n v="62.68"/>
    <n v="0"/>
    <n v="1"/>
  </r>
  <r>
    <s v="SHP-503318"/>
    <d v="2025-04-11T00:00:00"/>
    <x v="1"/>
    <s v="Q2"/>
    <x v="3"/>
    <x v="0"/>
    <x v="1"/>
    <x v="1"/>
    <x v="0"/>
    <s v="Road"/>
    <x v="0"/>
    <n v="146.9"/>
    <n v="259"/>
    <n v="3"/>
    <n v="3"/>
    <n v="1"/>
    <n v="0"/>
    <n v="65.47"/>
    <n v="0"/>
    <n v="1"/>
  </r>
  <r>
    <s v="SHP-503319"/>
    <d v="2025-04-11T00:00:00"/>
    <x v="1"/>
    <s v="Q2"/>
    <x v="3"/>
    <x v="1"/>
    <x v="2"/>
    <x v="2"/>
    <x v="2"/>
    <s v="Air"/>
    <x v="1"/>
    <n v="12.5"/>
    <n v="906"/>
    <n v="3"/>
    <n v="3"/>
    <n v="1"/>
    <n v="0"/>
    <n v="71.89"/>
    <n v="0"/>
    <n v="1"/>
  </r>
  <r>
    <s v="SHP-503320"/>
    <d v="2025-04-11T00:00:00"/>
    <x v="1"/>
    <s v="Q2"/>
    <x v="3"/>
    <x v="0"/>
    <x v="0"/>
    <x v="1"/>
    <x v="0"/>
    <s v="Road"/>
    <x v="0"/>
    <n v="136.9"/>
    <n v="235"/>
    <n v="3"/>
    <n v="3"/>
    <n v="1"/>
    <n v="0"/>
    <n v="62.58"/>
    <n v="0"/>
    <n v="1"/>
  </r>
  <r>
    <s v="SHP-503321"/>
    <d v="2025-04-11T00:00:00"/>
    <x v="1"/>
    <s v="Q2"/>
    <x v="3"/>
    <x v="3"/>
    <x v="2"/>
    <x v="3"/>
    <x v="0"/>
    <s v="Road"/>
    <x v="0"/>
    <n v="182.7"/>
    <n v="362"/>
    <n v="4"/>
    <n v="4"/>
    <n v="1"/>
    <n v="0"/>
    <n v="94.81"/>
    <n v="0"/>
    <n v="1"/>
  </r>
  <r>
    <s v="SHP-503322"/>
    <d v="2025-04-11T00:00:00"/>
    <x v="1"/>
    <s v="Q2"/>
    <x v="3"/>
    <x v="4"/>
    <x v="0"/>
    <x v="0"/>
    <x v="0"/>
    <s v="Road"/>
    <x v="1"/>
    <n v="9"/>
    <n v="902"/>
    <n v="4"/>
    <n v="5"/>
    <n v="0"/>
    <n v="1"/>
    <n v="19.8"/>
    <n v="0"/>
    <n v="1"/>
  </r>
  <r>
    <s v="SHP-503323"/>
    <d v="2025-04-11T00:00:00"/>
    <x v="1"/>
    <s v="Q2"/>
    <x v="3"/>
    <x v="1"/>
    <x v="0"/>
    <x v="2"/>
    <x v="0"/>
    <s v="Road"/>
    <x v="0"/>
    <n v="124.8"/>
    <n v="1105"/>
    <n v="5"/>
    <n v="5"/>
    <n v="1"/>
    <n v="0"/>
    <n v="78.14"/>
    <n v="0"/>
    <n v="1"/>
  </r>
  <r>
    <s v="SHP-503324"/>
    <d v="2025-04-12T00:00:00"/>
    <x v="1"/>
    <s v="Q2"/>
    <x v="3"/>
    <x v="0"/>
    <x v="1"/>
    <x v="3"/>
    <x v="2"/>
    <s v="Road"/>
    <x v="1"/>
    <n v="16.399999999999999"/>
    <n v="536"/>
    <n v="2"/>
    <n v="5"/>
    <n v="0"/>
    <n v="3"/>
    <n v="41.42"/>
    <n v="0"/>
    <n v="1"/>
  </r>
  <r>
    <s v="SHP-503325"/>
    <d v="2025-04-12T00:00:00"/>
    <x v="1"/>
    <s v="Q2"/>
    <x v="3"/>
    <x v="4"/>
    <x v="0"/>
    <x v="0"/>
    <x v="0"/>
    <s v="Road"/>
    <x v="0"/>
    <n v="152.19999999999999"/>
    <n v="901"/>
    <n v="4"/>
    <n v="4"/>
    <n v="1"/>
    <n v="0"/>
    <n v="85.88"/>
    <n v="0"/>
    <n v="1"/>
  </r>
  <r>
    <s v="SHP-503326"/>
    <d v="2025-04-12T00:00:00"/>
    <x v="1"/>
    <s v="Q2"/>
    <x v="3"/>
    <x v="2"/>
    <x v="1"/>
    <x v="4"/>
    <x v="2"/>
    <s v="Air"/>
    <x v="0"/>
    <n v="44.2"/>
    <n v="1033"/>
    <n v="3"/>
    <n v="3"/>
    <n v="1"/>
    <n v="0"/>
    <n v="99.64"/>
    <n v="0"/>
    <n v="1"/>
  </r>
  <r>
    <s v="SHP-503327"/>
    <d v="2025-04-12T00:00:00"/>
    <x v="1"/>
    <s v="Q2"/>
    <x v="3"/>
    <x v="4"/>
    <x v="2"/>
    <x v="0"/>
    <x v="1"/>
    <s v="Road"/>
    <x v="0"/>
    <n v="169.3"/>
    <n v="1110"/>
    <n v="6"/>
    <n v="5"/>
    <n v="1"/>
    <n v="0"/>
    <n v="63.71"/>
    <n v="0"/>
    <n v="1"/>
  </r>
  <r>
    <s v="SHP-503328"/>
    <d v="2025-04-12T00:00:00"/>
    <x v="1"/>
    <s v="Q2"/>
    <x v="3"/>
    <x v="0"/>
    <x v="0"/>
    <x v="1"/>
    <x v="2"/>
    <s v="Road"/>
    <x v="1"/>
    <n v="4.7"/>
    <n v="333"/>
    <n v="1"/>
    <n v="1"/>
    <n v="1"/>
    <n v="0"/>
    <n v="24.77"/>
    <n v="0"/>
    <n v="1"/>
  </r>
  <r>
    <s v="SHP-503329"/>
    <d v="2025-04-12T00:00:00"/>
    <x v="1"/>
    <s v="Q2"/>
    <x v="3"/>
    <x v="3"/>
    <x v="2"/>
    <x v="3"/>
    <x v="0"/>
    <s v="Road"/>
    <x v="1"/>
    <n v="8.3000000000000007"/>
    <n v="423"/>
    <n v="4"/>
    <n v="4"/>
    <n v="1"/>
    <n v="0"/>
    <n v="18.899999999999999"/>
    <n v="0"/>
    <n v="1"/>
  </r>
  <r>
    <s v="SHP-503330"/>
    <d v="2025-04-13T00:00:00"/>
    <x v="1"/>
    <s v="Q2"/>
    <x v="3"/>
    <x v="1"/>
    <x v="0"/>
    <x v="1"/>
    <x v="0"/>
    <s v="Road"/>
    <x v="0"/>
    <n v="115.1"/>
    <n v="269"/>
    <n v="3"/>
    <n v="3"/>
    <n v="1"/>
    <n v="0"/>
    <n v="59.22"/>
    <n v="0"/>
    <n v="1"/>
  </r>
  <r>
    <s v="SHP-503331"/>
    <d v="2025-04-13T00:00:00"/>
    <x v="1"/>
    <s v="Q2"/>
    <x v="3"/>
    <x v="2"/>
    <x v="2"/>
    <x v="0"/>
    <x v="2"/>
    <s v="Air"/>
    <x v="0"/>
    <n v="132.19999999999999"/>
    <n v="927"/>
    <n v="2"/>
    <n v="2"/>
    <n v="1"/>
    <n v="0"/>
    <n v="186.98"/>
    <n v="0"/>
    <n v="1"/>
  </r>
  <r>
    <s v="SHP-503332"/>
    <d v="2025-04-13T00:00:00"/>
    <x v="1"/>
    <s v="Q2"/>
    <x v="3"/>
    <x v="3"/>
    <x v="2"/>
    <x v="2"/>
    <x v="1"/>
    <s v="Road"/>
    <x v="0"/>
    <n v="108.9"/>
    <n v="995"/>
    <n v="7"/>
    <n v="7"/>
    <n v="1"/>
    <n v="0"/>
    <n v="50.88"/>
    <n v="0"/>
    <n v="1"/>
  </r>
  <r>
    <s v="SHP-503333"/>
    <d v="2025-04-13T00:00:00"/>
    <x v="1"/>
    <s v="Q2"/>
    <x v="3"/>
    <x v="2"/>
    <x v="2"/>
    <x v="1"/>
    <x v="1"/>
    <s v="Road"/>
    <x v="0"/>
    <n v="158.69999999999999"/>
    <n v="265"/>
    <n v="5"/>
    <n v="5"/>
    <n v="1"/>
    <n v="0"/>
    <n v="48.27"/>
    <n v="0"/>
    <n v="1"/>
  </r>
  <r>
    <s v="SHP-503334"/>
    <d v="2025-04-14T00:00:00"/>
    <x v="1"/>
    <s v="Q2"/>
    <x v="3"/>
    <x v="3"/>
    <x v="1"/>
    <x v="1"/>
    <x v="0"/>
    <s v="Road"/>
    <x v="1"/>
    <n v="4.7"/>
    <n v="263"/>
    <n v="3"/>
    <n v="3"/>
    <n v="1"/>
    <n v="0"/>
    <n v="14.59"/>
    <n v="0"/>
    <n v="1"/>
  </r>
  <r>
    <s v="SHP-503335"/>
    <d v="2025-04-14T00:00:00"/>
    <x v="1"/>
    <s v="Q2"/>
    <x v="3"/>
    <x v="2"/>
    <x v="1"/>
    <x v="3"/>
    <x v="1"/>
    <s v="Road"/>
    <x v="1"/>
    <n v="11.1"/>
    <n v="524"/>
    <n v="6"/>
    <n v="6"/>
    <n v="1"/>
    <n v="0"/>
    <n v="11.88"/>
    <n v="0"/>
    <n v="1"/>
  </r>
  <r>
    <s v="SHP-503336"/>
    <d v="2025-04-14T00:00:00"/>
    <x v="1"/>
    <s v="Q2"/>
    <x v="3"/>
    <x v="2"/>
    <x v="2"/>
    <x v="0"/>
    <x v="0"/>
    <s v="Road"/>
    <x v="1"/>
    <n v="5.3"/>
    <n v="900"/>
    <n v="4"/>
    <n v="3"/>
    <n v="1"/>
    <n v="0"/>
    <n v="17.579999999999998"/>
    <n v="0"/>
    <n v="1"/>
  </r>
  <r>
    <s v="SHP-503337"/>
    <d v="2025-04-14T00:00:00"/>
    <x v="1"/>
    <s v="Q2"/>
    <x v="3"/>
    <x v="1"/>
    <x v="2"/>
    <x v="0"/>
    <x v="2"/>
    <s v="Air"/>
    <x v="1"/>
    <n v="6.5"/>
    <n v="950"/>
    <n v="2"/>
    <n v="1"/>
    <n v="1"/>
    <n v="0"/>
    <n v="66.400000000000006"/>
    <n v="0"/>
    <n v="1"/>
  </r>
  <r>
    <s v="SHP-503338"/>
    <d v="2025-04-14T00:00:00"/>
    <x v="1"/>
    <s v="Q2"/>
    <x v="3"/>
    <x v="0"/>
    <x v="2"/>
    <x v="0"/>
    <x v="2"/>
    <s v="Air"/>
    <x v="1"/>
    <n v="6.2"/>
    <n v="862"/>
    <n v="2"/>
    <n v="2"/>
    <n v="1"/>
    <n v="0"/>
    <n v="53.56"/>
    <n v="0"/>
    <n v="1"/>
  </r>
  <r>
    <s v="SHP-503339"/>
    <d v="2025-04-14T00:00:00"/>
    <x v="1"/>
    <s v="Q2"/>
    <x v="3"/>
    <x v="3"/>
    <x v="1"/>
    <x v="1"/>
    <x v="0"/>
    <s v="Road"/>
    <x v="0"/>
    <n v="62.2"/>
    <n v="230"/>
    <n v="3"/>
    <n v="3"/>
    <n v="1"/>
    <n v="0"/>
    <n v="40.119999999999997"/>
    <n v="0"/>
    <n v="1"/>
  </r>
  <r>
    <s v="SHP-503340"/>
    <d v="2025-04-14T00:00:00"/>
    <x v="1"/>
    <s v="Q2"/>
    <x v="3"/>
    <x v="0"/>
    <x v="1"/>
    <x v="0"/>
    <x v="1"/>
    <s v="Road"/>
    <x v="0"/>
    <n v="30"/>
    <n v="1132"/>
    <n v="6"/>
    <n v="6"/>
    <n v="1"/>
    <n v="0"/>
    <n v="26.11"/>
    <n v="0"/>
    <n v="1"/>
  </r>
  <r>
    <s v="SHP-503341"/>
    <d v="2025-04-14T00:00:00"/>
    <x v="1"/>
    <s v="Q2"/>
    <x v="3"/>
    <x v="1"/>
    <x v="2"/>
    <x v="0"/>
    <x v="2"/>
    <s v="Air"/>
    <x v="1"/>
    <n v="13.2"/>
    <n v="974"/>
    <n v="2"/>
    <n v="2"/>
    <n v="1"/>
    <n v="0"/>
    <n v="74.87"/>
    <n v="0"/>
    <n v="1"/>
  </r>
  <r>
    <s v="SHP-503342"/>
    <d v="2025-04-14T00:00:00"/>
    <x v="1"/>
    <s v="Q2"/>
    <x v="3"/>
    <x v="0"/>
    <x v="1"/>
    <x v="2"/>
    <x v="1"/>
    <s v="Road"/>
    <x v="1"/>
    <n v="7.4"/>
    <n v="1011"/>
    <n v="7"/>
    <n v="7"/>
    <n v="1"/>
    <n v="0"/>
    <n v="16.100000000000001"/>
    <n v="0"/>
    <n v="1"/>
  </r>
  <r>
    <s v="SHP-503343"/>
    <d v="2025-04-15T00:00:00"/>
    <x v="1"/>
    <s v="Q2"/>
    <x v="3"/>
    <x v="1"/>
    <x v="1"/>
    <x v="2"/>
    <x v="2"/>
    <s v="Air"/>
    <x v="0"/>
    <n v="91.2"/>
    <n v="1099"/>
    <n v="3"/>
    <n v="3"/>
    <n v="1"/>
    <n v="0"/>
    <n v="183.09"/>
    <n v="0"/>
    <n v="1"/>
  </r>
  <r>
    <s v="SHP-503344"/>
    <d v="2025-04-15T00:00:00"/>
    <x v="1"/>
    <s v="Q2"/>
    <x v="3"/>
    <x v="2"/>
    <x v="2"/>
    <x v="0"/>
    <x v="0"/>
    <s v="Road"/>
    <x v="1"/>
    <n v="6.6"/>
    <n v="928"/>
    <n v="4"/>
    <n v="7"/>
    <n v="0"/>
    <n v="3"/>
    <n v="18.600000000000001"/>
    <n v="0"/>
    <n v="1"/>
  </r>
  <r>
    <s v="SHP-503345"/>
    <d v="2025-04-15T00:00:00"/>
    <x v="1"/>
    <s v="Q2"/>
    <x v="3"/>
    <x v="4"/>
    <x v="2"/>
    <x v="3"/>
    <x v="2"/>
    <s v="Road"/>
    <x v="1"/>
    <n v="11.2"/>
    <n v="577"/>
    <n v="2"/>
    <n v="1"/>
    <n v="1"/>
    <n v="0"/>
    <n v="40.71"/>
    <n v="0"/>
    <n v="1"/>
  </r>
  <r>
    <s v="SHP-503346"/>
    <d v="2025-04-15T00:00:00"/>
    <x v="1"/>
    <s v="Q2"/>
    <x v="3"/>
    <x v="1"/>
    <x v="2"/>
    <x v="2"/>
    <x v="0"/>
    <s v="Road"/>
    <x v="0"/>
    <n v="167"/>
    <n v="1026"/>
    <n v="5"/>
    <n v="5"/>
    <n v="1"/>
    <n v="0"/>
    <n v="91.28"/>
    <n v="0"/>
    <n v="1"/>
  </r>
  <r>
    <s v="SHP-503347"/>
    <d v="2025-04-15T00:00:00"/>
    <x v="1"/>
    <s v="Q2"/>
    <x v="3"/>
    <x v="3"/>
    <x v="1"/>
    <x v="1"/>
    <x v="1"/>
    <s v="Road"/>
    <x v="1"/>
    <n v="6.2"/>
    <n v="221"/>
    <n v="5"/>
    <n v="5"/>
    <n v="1"/>
    <n v="0"/>
    <n v="10.62"/>
    <n v="0"/>
    <n v="1"/>
  </r>
  <r>
    <s v="SHP-503348"/>
    <d v="2025-04-15T00:00:00"/>
    <x v="1"/>
    <s v="Q2"/>
    <x v="3"/>
    <x v="1"/>
    <x v="2"/>
    <x v="0"/>
    <x v="1"/>
    <s v="Road"/>
    <x v="1"/>
    <n v="5.9"/>
    <n v="823"/>
    <n v="6"/>
    <n v="6"/>
    <n v="1"/>
    <n v="0"/>
    <n v="15.45"/>
    <n v="0"/>
    <n v="1"/>
  </r>
  <r>
    <s v="SHP-503349"/>
    <d v="2025-04-15T00:00:00"/>
    <x v="1"/>
    <s v="Q2"/>
    <x v="3"/>
    <x v="1"/>
    <x v="0"/>
    <x v="0"/>
    <x v="0"/>
    <s v="Road"/>
    <x v="0"/>
    <n v="9"/>
    <n v="763"/>
    <n v="4"/>
    <n v="4"/>
    <n v="1"/>
    <n v="0"/>
    <n v="19.95"/>
    <n v="0"/>
    <n v="1"/>
  </r>
  <r>
    <s v="SHP-503350"/>
    <d v="2025-04-15T00:00:00"/>
    <x v="1"/>
    <s v="Q2"/>
    <x v="3"/>
    <x v="2"/>
    <x v="2"/>
    <x v="2"/>
    <x v="0"/>
    <s v="Road"/>
    <x v="1"/>
    <n v="17.899999999999999"/>
    <n v="1132"/>
    <n v="5"/>
    <n v="5"/>
    <n v="1"/>
    <n v="0"/>
    <n v="23.96"/>
    <n v="0"/>
    <n v="1"/>
  </r>
  <r>
    <s v="SHP-503351"/>
    <d v="2025-04-16T00:00:00"/>
    <x v="1"/>
    <s v="Q2"/>
    <x v="3"/>
    <x v="1"/>
    <x v="1"/>
    <x v="4"/>
    <x v="1"/>
    <s v="Road"/>
    <x v="1"/>
    <n v="13.4"/>
    <n v="992"/>
    <n v="7"/>
    <n v="6"/>
    <n v="1"/>
    <n v="0"/>
    <n v="18.62"/>
    <n v="0"/>
    <n v="1"/>
  </r>
  <r>
    <s v="SHP-503352"/>
    <d v="2025-04-16T00:00:00"/>
    <x v="1"/>
    <s v="Q2"/>
    <x v="3"/>
    <x v="3"/>
    <x v="0"/>
    <x v="2"/>
    <x v="0"/>
    <s v="Road"/>
    <x v="0"/>
    <n v="126.4"/>
    <n v="1094"/>
    <n v="5"/>
    <n v="5"/>
    <n v="1"/>
    <n v="0"/>
    <n v="75.53"/>
    <n v="0"/>
    <n v="1"/>
  </r>
  <r>
    <s v="SHP-503353"/>
    <d v="2025-04-16T00:00:00"/>
    <x v="1"/>
    <s v="Q2"/>
    <x v="3"/>
    <x v="2"/>
    <x v="1"/>
    <x v="0"/>
    <x v="0"/>
    <s v="Road"/>
    <x v="1"/>
    <n v="5.6"/>
    <n v="747"/>
    <n v="4"/>
    <n v="4"/>
    <n v="1"/>
    <n v="0"/>
    <n v="16.010000000000002"/>
    <n v="1"/>
    <n v="1"/>
  </r>
  <r>
    <s v="SHP-503354"/>
    <d v="2025-04-16T00:00:00"/>
    <x v="1"/>
    <s v="Q2"/>
    <x v="3"/>
    <x v="3"/>
    <x v="1"/>
    <x v="0"/>
    <x v="0"/>
    <s v="Road"/>
    <x v="0"/>
    <n v="57.8"/>
    <n v="803"/>
    <n v="4"/>
    <n v="3"/>
    <n v="1"/>
    <n v="0"/>
    <n v="49.08"/>
    <n v="0"/>
    <n v="1"/>
  </r>
  <r>
    <s v="SHP-503355"/>
    <d v="2025-04-16T00:00:00"/>
    <x v="1"/>
    <s v="Q2"/>
    <x v="3"/>
    <x v="3"/>
    <x v="2"/>
    <x v="1"/>
    <x v="2"/>
    <s v="Road"/>
    <x v="1"/>
    <n v="4.7"/>
    <n v="229"/>
    <n v="1"/>
    <n v="1"/>
    <n v="1"/>
    <n v="0"/>
    <n v="28.11"/>
    <n v="0"/>
    <n v="1"/>
  </r>
  <r>
    <s v="SHP-503356"/>
    <d v="2025-04-16T00:00:00"/>
    <x v="1"/>
    <s v="Q2"/>
    <x v="3"/>
    <x v="2"/>
    <x v="0"/>
    <x v="1"/>
    <x v="1"/>
    <s v="Road"/>
    <x v="0"/>
    <n v="146.19999999999999"/>
    <n v="276"/>
    <n v="5"/>
    <n v="5"/>
    <n v="1"/>
    <n v="0"/>
    <n v="41.13"/>
    <n v="0"/>
    <n v="1"/>
  </r>
  <r>
    <s v="SHP-503357"/>
    <d v="2025-04-16T00:00:00"/>
    <x v="1"/>
    <s v="Q2"/>
    <x v="3"/>
    <x v="0"/>
    <x v="2"/>
    <x v="3"/>
    <x v="0"/>
    <s v="Road"/>
    <x v="0"/>
    <n v="66.900000000000006"/>
    <n v="533"/>
    <n v="4"/>
    <n v="4"/>
    <n v="1"/>
    <n v="0"/>
    <n v="41.29"/>
    <n v="0"/>
    <n v="1"/>
  </r>
  <r>
    <s v="SHP-503358"/>
    <d v="2025-04-16T00:00:00"/>
    <x v="1"/>
    <s v="Q2"/>
    <x v="3"/>
    <x v="0"/>
    <x v="2"/>
    <x v="4"/>
    <x v="1"/>
    <s v="Road"/>
    <x v="0"/>
    <n v="151.80000000000001"/>
    <n v="1083"/>
    <n v="7"/>
    <n v="7"/>
    <n v="1"/>
    <n v="0"/>
    <n v="50.39"/>
    <n v="0"/>
    <n v="1"/>
  </r>
  <r>
    <s v="SHP-503359"/>
    <d v="2025-04-16T00:00:00"/>
    <x v="1"/>
    <s v="Q2"/>
    <x v="3"/>
    <x v="2"/>
    <x v="0"/>
    <x v="1"/>
    <x v="2"/>
    <s v="Road"/>
    <x v="0"/>
    <n v="241.7"/>
    <n v="226"/>
    <n v="1"/>
    <n v="1"/>
    <n v="1"/>
    <n v="0"/>
    <n v="172.52"/>
    <n v="0"/>
    <n v="1"/>
  </r>
  <r>
    <s v="SHP-503360"/>
    <d v="2025-04-16T00:00:00"/>
    <x v="1"/>
    <s v="Q2"/>
    <x v="3"/>
    <x v="3"/>
    <x v="2"/>
    <x v="1"/>
    <x v="0"/>
    <s v="Road"/>
    <x v="1"/>
    <n v="5.4"/>
    <n v="236"/>
    <n v="3"/>
    <n v="3"/>
    <n v="1"/>
    <n v="0"/>
    <n v="12.88"/>
    <n v="0"/>
    <n v="1"/>
  </r>
  <r>
    <s v="SHP-503361"/>
    <d v="2025-04-17T00:00:00"/>
    <x v="1"/>
    <s v="Q2"/>
    <x v="3"/>
    <x v="0"/>
    <x v="2"/>
    <x v="1"/>
    <x v="0"/>
    <s v="Road"/>
    <x v="1"/>
    <n v="22.6"/>
    <n v="218"/>
    <n v="3"/>
    <n v="2"/>
    <n v="1"/>
    <n v="0"/>
    <n v="21.98"/>
    <n v="0"/>
    <n v="1"/>
  </r>
  <r>
    <s v="SHP-503362"/>
    <d v="2025-04-17T00:00:00"/>
    <x v="1"/>
    <s v="Q2"/>
    <x v="3"/>
    <x v="1"/>
    <x v="2"/>
    <x v="0"/>
    <x v="1"/>
    <s v="Road"/>
    <x v="1"/>
    <n v="4.4000000000000004"/>
    <n v="1008"/>
    <n v="6"/>
    <n v="6"/>
    <n v="1"/>
    <n v="0"/>
    <n v="15.91"/>
    <n v="0"/>
    <n v="1"/>
  </r>
  <r>
    <s v="SHP-503363"/>
    <d v="2025-04-17T00:00:00"/>
    <x v="1"/>
    <s v="Q2"/>
    <x v="3"/>
    <x v="0"/>
    <x v="1"/>
    <x v="1"/>
    <x v="1"/>
    <s v="Road"/>
    <x v="0"/>
    <n v="241.8"/>
    <n v="169"/>
    <n v="5"/>
    <n v="5"/>
    <n v="1"/>
    <n v="0"/>
    <n v="73.25"/>
    <n v="0"/>
    <n v="1"/>
  </r>
  <r>
    <s v="SHP-503364"/>
    <d v="2025-04-17T00:00:00"/>
    <x v="1"/>
    <s v="Q2"/>
    <x v="3"/>
    <x v="2"/>
    <x v="2"/>
    <x v="1"/>
    <x v="2"/>
    <s v="Road"/>
    <x v="0"/>
    <n v="88.5"/>
    <n v="221"/>
    <n v="1"/>
    <n v="1"/>
    <n v="1"/>
    <n v="0"/>
    <n v="79.150000000000006"/>
    <n v="0"/>
    <n v="1"/>
  </r>
  <r>
    <s v="SHP-503365"/>
    <d v="2025-04-17T00:00:00"/>
    <x v="1"/>
    <s v="Q2"/>
    <x v="3"/>
    <x v="4"/>
    <x v="1"/>
    <x v="2"/>
    <x v="2"/>
    <s v="Air"/>
    <x v="1"/>
    <n v="3.8"/>
    <n v="1067"/>
    <n v="3"/>
    <n v="2"/>
    <n v="1"/>
    <n v="0"/>
    <n v="66.8"/>
    <n v="0"/>
    <n v="1"/>
  </r>
  <r>
    <s v="SHP-503366"/>
    <d v="2025-04-17T00:00:00"/>
    <x v="1"/>
    <s v="Q2"/>
    <x v="3"/>
    <x v="4"/>
    <x v="2"/>
    <x v="0"/>
    <x v="0"/>
    <s v="Road"/>
    <x v="0"/>
    <n v="62.5"/>
    <n v="992"/>
    <n v="4"/>
    <n v="3"/>
    <n v="1"/>
    <n v="0"/>
    <n v="50.55"/>
    <n v="0"/>
    <n v="1"/>
  </r>
  <r>
    <s v="SHP-503367"/>
    <d v="2025-04-17T00:00:00"/>
    <x v="1"/>
    <s v="Q2"/>
    <x v="3"/>
    <x v="2"/>
    <x v="1"/>
    <x v="1"/>
    <x v="0"/>
    <s v="Road"/>
    <x v="1"/>
    <n v="5.8"/>
    <n v="234"/>
    <n v="3"/>
    <n v="5"/>
    <n v="0"/>
    <n v="2"/>
    <n v="11.47"/>
    <n v="0"/>
    <n v="1"/>
  </r>
  <r>
    <s v="SHP-503368"/>
    <d v="2025-04-17T00:00:00"/>
    <x v="1"/>
    <s v="Q2"/>
    <x v="3"/>
    <x v="4"/>
    <x v="2"/>
    <x v="1"/>
    <x v="0"/>
    <s v="Road"/>
    <x v="1"/>
    <n v="6.5"/>
    <n v="254"/>
    <n v="3"/>
    <n v="3"/>
    <n v="1"/>
    <n v="0"/>
    <n v="13.78"/>
    <n v="0"/>
    <n v="1"/>
  </r>
  <r>
    <s v="SHP-503369"/>
    <d v="2025-04-17T00:00:00"/>
    <x v="1"/>
    <s v="Q2"/>
    <x v="3"/>
    <x v="4"/>
    <x v="2"/>
    <x v="2"/>
    <x v="2"/>
    <s v="Air"/>
    <x v="0"/>
    <n v="30.4"/>
    <n v="1113"/>
    <n v="3"/>
    <n v="3"/>
    <n v="1"/>
    <n v="0"/>
    <n v="104.07"/>
    <n v="0"/>
    <n v="1"/>
  </r>
  <r>
    <s v="SHP-503370"/>
    <d v="2025-04-17T00:00:00"/>
    <x v="1"/>
    <s v="Q2"/>
    <x v="3"/>
    <x v="3"/>
    <x v="1"/>
    <x v="3"/>
    <x v="1"/>
    <s v="Road"/>
    <x v="1"/>
    <n v="1.6"/>
    <n v="526"/>
    <n v="6"/>
    <n v="5"/>
    <n v="1"/>
    <n v="0"/>
    <n v="11.35"/>
    <n v="0"/>
    <n v="1"/>
  </r>
  <r>
    <s v="SHP-503371"/>
    <d v="2025-04-17T00:00:00"/>
    <x v="1"/>
    <s v="Q2"/>
    <x v="3"/>
    <x v="4"/>
    <x v="1"/>
    <x v="3"/>
    <x v="1"/>
    <s v="Road"/>
    <x v="0"/>
    <n v="122.7"/>
    <n v="338"/>
    <n v="6"/>
    <n v="6"/>
    <n v="1"/>
    <n v="0"/>
    <n v="49.09"/>
    <n v="0"/>
    <n v="1"/>
  </r>
  <r>
    <s v="SHP-503372"/>
    <d v="2025-04-18T00:00:00"/>
    <x v="1"/>
    <s v="Q2"/>
    <x v="3"/>
    <x v="4"/>
    <x v="2"/>
    <x v="1"/>
    <x v="0"/>
    <s v="Road"/>
    <x v="1"/>
    <n v="6"/>
    <n v="257"/>
    <n v="3"/>
    <n v="2"/>
    <n v="1"/>
    <n v="0"/>
    <n v="12.66"/>
    <n v="0"/>
    <n v="1"/>
  </r>
  <r>
    <s v="SHP-503373"/>
    <d v="2025-04-18T00:00:00"/>
    <x v="1"/>
    <s v="Q2"/>
    <x v="3"/>
    <x v="3"/>
    <x v="1"/>
    <x v="1"/>
    <x v="0"/>
    <s v="Road"/>
    <x v="0"/>
    <n v="100"/>
    <n v="250"/>
    <n v="3"/>
    <n v="3"/>
    <n v="1"/>
    <n v="0"/>
    <n v="65.37"/>
    <n v="0"/>
    <n v="1"/>
  </r>
  <r>
    <s v="SHP-503374"/>
    <d v="2025-04-18T00:00:00"/>
    <x v="1"/>
    <s v="Q2"/>
    <x v="3"/>
    <x v="3"/>
    <x v="1"/>
    <x v="3"/>
    <x v="0"/>
    <s v="Road"/>
    <x v="1"/>
    <n v="6.5"/>
    <n v="593"/>
    <n v="4"/>
    <n v="3"/>
    <n v="1"/>
    <n v="0"/>
    <n v="18.07"/>
    <n v="0"/>
    <n v="1"/>
  </r>
  <r>
    <s v="SHP-503375"/>
    <d v="2025-04-18T00:00:00"/>
    <x v="1"/>
    <s v="Q2"/>
    <x v="3"/>
    <x v="3"/>
    <x v="1"/>
    <x v="3"/>
    <x v="1"/>
    <s v="Road"/>
    <x v="1"/>
    <n v="4.9000000000000004"/>
    <n v="508"/>
    <n v="6"/>
    <n v="6"/>
    <n v="1"/>
    <n v="0"/>
    <n v="11.72"/>
    <n v="0"/>
    <n v="1"/>
  </r>
  <r>
    <s v="SHP-503376"/>
    <d v="2025-04-18T00:00:00"/>
    <x v="1"/>
    <s v="Q2"/>
    <x v="3"/>
    <x v="4"/>
    <x v="0"/>
    <x v="1"/>
    <x v="2"/>
    <s v="Road"/>
    <x v="0"/>
    <n v="52.8"/>
    <n v="244"/>
    <n v="1"/>
    <n v="1"/>
    <n v="1"/>
    <n v="0"/>
    <n v="62.9"/>
    <n v="0"/>
    <n v="1"/>
  </r>
  <r>
    <s v="SHP-503377"/>
    <d v="2025-04-18T00:00:00"/>
    <x v="1"/>
    <s v="Q2"/>
    <x v="3"/>
    <x v="0"/>
    <x v="2"/>
    <x v="0"/>
    <x v="0"/>
    <s v="Road"/>
    <x v="0"/>
    <n v="157.4"/>
    <n v="824"/>
    <n v="4"/>
    <n v="3"/>
    <n v="1"/>
    <n v="0"/>
    <n v="80.67"/>
    <n v="0"/>
    <n v="1"/>
  </r>
  <r>
    <s v="SHP-503378"/>
    <d v="2025-04-18T00:00:00"/>
    <x v="1"/>
    <s v="Q2"/>
    <x v="3"/>
    <x v="4"/>
    <x v="2"/>
    <x v="1"/>
    <x v="0"/>
    <s v="Road"/>
    <x v="0"/>
    <n v="120.8"/>
    <n v="261"/>
    <n v="3"/>
    <n v="3"/>
    <n v="1"/>
    <n v="0"/>
    <n v="58.64"/>
    <n v="0"/>
    <n v="1"/>
  </r>
  <r>
    <s v="SHP-503379"/>
    <d v="2025-04-18T00:00:00"/>
    <x v="1"/>
    <s v="Q2"/>
    <x v="3"/>
    <x v="0"/>
    <x v="2"/>
    <x v="0"/>
    <x v="0"/>
    <s v="Road"/>
    <x v="1"/>
    <n v="5.7"/>
    <n v="768"/>
    <n v="4"/>
    <n v="3"/>
    <n v="1"/>
    <n v="0"/>
    <n v="18.93"/>
    <n v="0"/>
    <n v="1"/>
  </r>
  <r>
    <s v="SHP-503380"/>
    <d v="2025-04-18T00:00:00"/>
    <x v="1"/>
    <s v="Q2"/>
    <x v="3"/>
    <x v="2"/>
    <x v="2"/>
    <x v="1"/>
    <x v="0"/>
    <s v="Road"/>
    <x v="0"/>
    <n v="139.6"/>
    <n v="285"/>
    <n v="3"/>
    <n v="4"/>
    <n v="0"/>
    <n v="1"/>
    <n v="58.84"/>
    <n v="0"/>
    <n v="1"/>
  </r>
  <r>
    <s v="SHP-503381"/>
    <d v="2025-04-18T00:00:00"/>
    <x v="1"/>
    <s v="Q2"/>
    <x v="3"/>
    <x v="4"/>
    <x v="0"/>
    <x v="1"/>
    <x v="2"/>
    <s v="Road"/>
    <x v="0"/>
    <n v="93.2"/>
    <n v="274"/>
    <n v="1"/>
    <n v="1"/>
    <n v="1"/>
    <n v="0"/>
    <n v="98.46"/>
    <n v="0"/>
    <n v="1"/>
  </r>
  <r>
    <s v="SHP-503382"/>
    <d v="2025-04-18T00:00:00"/>
    <x v="1"/>
    <s v="Q2"/>
    <x v="3"/>
    <x v="2"/>
    <x v="1"/>
    <x v="1"/>
    <x v="0"/>
    <s v="Road"/>
    <x v="1"/>
    <n v="3.4"/>
    <n v="258"/>
    <n v="3"/>
    <n v="3"/>
    <n v="1"/>
    <n v="0"/>
    <n v="10.39"/>
    <n v="0"/>
    <n v="1"/>
  </r>
  <r>
    <s v="SHP-503383"/>
    <d v="2025-04-19T00:00:00"/>
    <x v="1"/>
    <s v="Q2"/>
    <x v="3"/>
    <x v="3"/>
    <x v="2"/>
    <x v="3"/>
    <x v="1"/>
    <s v="Road"/>
    <x v="1"/>
    <n v="2.8"/>
    <n v="285"/>
    <n v="6"/>
    <n v="6"/>
    <n v="1"/>
    <n v="0"/>
    <n v="9.49"/>
    <n v="0"/>
    <n v="1"/>
  </r>
  <r>
    <s v="SHP-503384"/>
    <d v="2025-04-19T00:00:00"/>
    <x v="1"/>
    <s v="Q2"/>
    <x v="3"/>
    <x v="3"/>
    <x v="2"/>
    <x v="0"/>
    <x v="1"/>
    <s v="Road"/>
    <x v="0"/>
    <n v="252"/>
    <n v="1104"/>
    <n v="6"/>
    <n v="6"/>
    <n v="1"/>
    <n v="0"/>
    <n v="93.51"/>
    <n v="0"/>
    <n v="1"/>
  </r>
  <r>
    <s v="SHP-503385"/>
    <d v="2025-04-20T00:00:00"/>
    <x v="1"/>
    <s v="Q2"/>
    <x v="3"/>
    <x v="3"/>
    <x v="1"/>
    <x v="4"/>
    <x v="1"/>
    <s v="Road"/>
    <x v="1"/>
    <n v="14.8"/>
    <n v="946"/>
    <n v="7"/>
    <n v="7"/>
    <n v="1"/>
    <n v="0"/>
    <n v="20.77"/>
    <n v="0"/>
    <n v="1"/>
  </r>
  <r>
    <s v="SHP-503386"/>
    <d v="2025-04-20T00:00:00"/>
    <x v="1"/>
    <s v="Q2"/>
    <x v="3"/>
    <x v="4"/>
    <x v="0"/>
    <x v="1"/>
    <x v="0"/>
    <s v="Road"/>
    <x v="0"/>
    <n v="266.39999999999998"/>
    <n v="256"/>
    <n v="3"/>
    <n v="3"/>
    <n v="1"/>
    <n v="0"/>
    <n v="118.84"/>
    <n v="0"/>
    <n v="1"/>
  </r>
  <r>
    <s v="SHP-503387"/>
    <d v="2025-04-20T00:00:00"/>
    <x v="1"/>
    <s v="Q2"/>
    <x v="3"/>
    <x v="2"/>
    <x v="2"/>
    <x v="0"/>
    <x v="0"/>
    <s v="Road"/>
    <x v="1"/>
    <n v="5.4"/>
    <n v="766"/>
    <n v="4"/>
    <n v="4"/>
    <n v="1"/>
    <n v="0"/>
    <n v="17.170000000000002"/>
    <n v="0"/>
    <n v="1"/>
  </r>
  <r>
    <s v="SHP-503388"/>
    <d v="2025-04-20T00:00:00"/>
    <x v="1"/>
    <s v="Q2"/>
    <x v="3"/>
    <x v="3"/>
    <x v="1"/>
    <x v="1"/>
    <x v="2"/>
    <s v="Road"/>
    <x v="1"/>
    <n v="14.8"/>
    <n v="212"/>
    <n v="1"/>
    <n v="1"/>
    <n v="1"/>
    <n v="0"/>
    <n v="36.68"/>
    <n v="0"/>
    <n v="1"/>
  </r>
  <r>
    <s v="SHP-503389"/>
    <d v="2025-04-21T00:00:00"/>
    <x v="1"/>
    <s v="Q2"/>
    <x v="3"/>
    <x v="0"/>
    <x v="1"/>
    <x v="0"/>
    <x v="1"/>
    <s v="Road"/>
    <x v="1"/>
    <n v="7"/>
    <n v="672"/>
    <n v="6"/>
    <n v="6"/>
    <n v="1"/>
    <n v="0"/>
    <n v="13.06"/>
    <n v="0"/>
    <n v="1"/>
  </r>
  <r>
    <s v="SHP-503390"/>
    <d v="2025-04-21T00:00:00"/>
    <x v="1"/>
    <s v="Q2"/>
    <x v="3"/>
    <x v="4"/>
    <x v="2"/>
    <x v="4"/>
    <x v="1"/>
    <s v="Road"/>
    <x v="0"/>
    <n v="51.9"/>
    <n v="875"/>
    <n v="7"/>
    <n v="7"/>
    <n v="1"/>
    <n v="0"/>
    <n v="31.44"/>
    <n v="0"/>
    <n v="1"/>
  </r>
  <r>
    <s v="SHP-503391"/>
    <d v="2025-04-21T00:00:00"/>
    <x v="1"/>
    <s v="Q2"/>
    <x v="3"/>
    <x v="4"/>
    <x v="2"/>
    <x v="1"/>
    <x v="0"/>
    <s v="Road"/>
    <x v="1"/>
    <n v="13.1"/>
    <n v="252"/>
    <n v="3"/>
    <n v="2"/>
    <n v="1"/>
    <n v="0"/>
    <n v="18.010000000000002"/>
    <n v="0"/>
    <n v="1"/>
  </r>
  <r>
    <s v="SHP-503392"/>
    <d v="2025-04-21T00:00:00"/>
    <x v="1"/>
    <s v="Q2"/>
    <x v="3"/>
    <x v="2"/>
    <x v="1"/>
    <x v="1"/>
    <x v="0"/>
    <s v="Road"/>
    <x v="1"/>
    <n v="4.3"/>
    <n v="228"/>
    <n v="3"/>
    <n v="2"/>
    <n v="1"/>
    <n v="0"/>
    <n v="10.23"/>
    <n v="0"/>
    <n v="1"/>
  </r>
  <r>
    <s v="SHP-503393"/>
    <d v="2025-04-21T00:00:00"/>
    <x v="1"/>
    <s v="Q2"/>
    <x v="3"/>
    <x v="0"/>
    <x v="2"/>
    <x v="1"/>
    <x v="0"/>
    <s v="Road"/>
    <x v="0"/>
    <n v="116.4"/>
    <n v="299"/>
    <n v="3"/>
    <n v="2"/>
    <n v="1"/>
    <n v="0"/>
    <n v="60.39"/>
    <n v="0"/>
    <n v="1"/>
  </r>
  <r>
    <s v="SHP-503394"/>
    <d v="2025-04-21T00:00:00"/>
    <x v="1"/>
    <s v="Q2"/>
    <x v="3"/>
    <x v="1"/>
    <x v="2"/>
    <x v="4"/>
    <x v="0"/>
    <s v="Road"/>
    <x v="0"/>
    <n v="116.5"/>
    <n v="1339"/>
    <n v="5"/>
    <n v="5"/>
    <n v="1"/>
    <n v="0"/>
    <n v="75.59"/>
    <n v="0"/>
    <n v="1"/>
  </r>
  <r>
    <s v="SHP-503395"/>
    <d v="2025-04-21T00:00:00"/>
    <x v="1"/>
    <s v="Q2"/>
    <x v="3"/>
    <x v="0"/>
    <x v="2"/>
    <x v="2"/>
    <x v="2"/>
    <s v="Air"/>
    <x v="0"/>
    <n v="44.9"/>
    <n v="1237"/>
    <n v="3"/>
    <n v="2"/>
    <n v="1"/>
    <n v="0"/>
    <n v="139.94"/>
    <n v="0"/>
    <n v="1"/>
  </r>
  <r>
    <s v="SHP-503396"/>
    <d v="2025-04-21T00:00:00"/>
    <x v="1"/>
    <s v="Q2"/>
    <x v="3"/>
    <x v="3"/>
    <x v="0"/>
    <x v="3"/>
    <x v="0"/>
    <s v="Road"/>
    <x v="1"/>
    <n v="4"/>
    <n v="479"/>
    <n v="4"/>
    <n v="4"/>
    <n v="1"/>
    <n v="0"/>
    <n v="17.989999999999998"/>
    <n v="0"/>
    <n v="1"/>
  </r>
  <r>
    <s v="SHP-503397"/>
    <d v="2025-04-21T00:00:00"/>
    <x v="1"/>
    <s v="Q2"/>
    <x v="3"/>
    <x v="0"/>
    <x v="1"/>
    <x v="0"/>
    <x v="0"/>
    <s v="Road"/>
    <x v="0"/>
    <n v="106.3"/>
    <n v="932"/>
    <n v="4"/>
    <n v="4"/>
    <n v="1"/>
    <n v="0"/>
    <n v="61.74"/>
    <n v="0"/>
    <n v="1"/>
  </r>
  <r>
    <s v="SHP-503398"/>
    <d v="2025-04-21T00:00:00"/>
    <x v="1"/>
    <s v="Q2"/>
    <x v="3"/>
    <x v="2"/>
    <x v="1"/>
    <x v="3"/>
    <x v="0"/>
    <s v="Road"/>
    <x v="0"/>
    <n v="150.30000000000001"/>
    <n v="412"/>
    <n v="4"/>
    <n v="4"/>
    <n v="1"/>
    <n v="0"/>
    <n v="60.97"/>
    <n v="0"/>
    <n v="1"/>
  </r>
  <r>
    <s v="SHP-503399"/>
    <d v="2025-04-21T00:00:00"/>
    <x v="1"/>
    <s v="Q2"/>
    <x v="3"/>
    <x v="0"/>
    <x v="2"/>
    <x v="1"/>
    <x v="2"/>
    <s v="Road"/>
    <x v="1"/>
    <n v="2.5"/>
    <n v="250"/>
    <n v="1"/>
    <n v="1"/>
    <n v="1"/>
    <n v="0"/>
    <n v="21.51"/>
    <n v="0"/>
    <n v="1"/>
  </r>
  <r>
    <s v="SHP-503400"/>
    <d v="2025-04-21T00:00:00"/>
    <x v="1"/>
    <s v="Q2"/>
    <x v="3"/>
    <x v="2"/>
    <x v="1"/>
    <x v="3"/>
    <x v="2"/>
    <s v="Road"/>
    <x v="0"/>
    <n v="10.199999999999999"/>
    <n v="565"/>
    <n v="2"/>
    <n v="2"/>
    <n v="1"/>
    <n v="0"/>
    <n v="30.05"/>
    <n v="0"/>
    <n v="1"/>
  </r>
  <r>
    <s v="SHP-503401"/>
    <d v="2025-04-21T00:00:00"/>
    <x v="1"/>
    <s v="Q2"/>
    <x v="3"/>
    <x v="3"/>
    <x v="0"/>
    <x v="0"/>
    <x v="0"/>
    <s v="Road"/>
    <x v="1"/>
    <n v="2.6"/>
    <n v="883"/>
    <n v="4"/>
    <n v="3"/>
    <n v="1"/>
    <n v="0"/>
    <n v="21.45"/>
    <n v="0"/>
    <n v="1"/>
  </r>
  <r>
    <s v="SHP-503402"/>
    <d v="2025-04-22T00:00:00"/>
    <x v="1"/>
    <s v="Q2"/>
    <x v="3"/>
    <x v="4"/>
    <x v="2"/>
    <x v="1"/>
    <x v="1"/>
    <s v="Road"/>
    <x v="1"/>
    <n v="8.9"/>
    <n v="293"/>
    <n v="5"/>
    <n v="5"/>
    <n v="1"/>
    <n v="0"/>
    <n v="10.17"/>
    <n v="0"/>
    <n v="1"/>
  </r>
  <r>
    <s v="SHP-503403"/>
    <d v="2025-04-22T00:00:00"/>
    <x v="1"/>
    <s v="Q2"/>
    <x v="3"/>
    <x v="0"/>
    <x v="1"/>
    <x v="2"/>
    <x v="2"/>
    <s v="Air"/>
    <x v="0"/>
    <n v="27.5"/>
    <n v="1167"/>
    <n v="3"/>
    <n v="3"/>
    <n v="1"/>
    <n v="0"/>
    <n v="99.15"/>
    <n v="1"/>
    <n v="1"/>
  </r>
  <r>
    <s v="SHP-503404"/>
    <d v="2025-04-22T00:00:00"/>
    <x v="1"/>
    <s v="Q2"/>
    <x v="3"/>
    <x v="2"/>
    <x v="1"/>
    <x v="1"/>
    <x v="2"/>
    <s v="Road"/>
    <x v="0"/>
    <n v="149.30000000000001"/>
    <n v="173"/>
    <n v="1"/>
    <n v="1"/>
    <n v="1"/>
    <n v="0"/>
    <n v="107.81"/>
    <n v="0"/>
    <n v="1"/>
  </r>
  <r>
    <s v="SHP-503405"/>
    <d v="2025-04-22T00:00:00"/>
    <x v="1"/>
    <s v="Q2"/>
    <x v="3"/>
    <x v="0"/>
    <x v="2"/>
    <x v="4"/>
    <x v="0"/>
    <s v="Road"/>
    <x v="1"/>
    <n v="4.2"/>
    <n v="1096"/>
    <n v="5"/>
    <n v="5"/>
    <n v="1"/>
    <n v="0"/>
    <n v="21.32"/>
    <n v="0"/>
    <n v="1"/>
  </r>
  <r>
    <s v="SHP-503406"/>
    <d v="2025-04-22T00:00:00"/>
    <x v="1"/>
    <s v="Q2"/>
    <x v="3"/>
    <x v="4"/>
    <x v="0"/>
    <x v="3"/>
    <x v="0"/>
    <s v="Road"/>
    <x v="0"/>
    <n v="265.2"/>
    <n v="587"/>
    <n v="4"/>
    <n v="4"/>
    <n v="1"/>
    <n v="0"/>
    <n v="125.61"/>
    <n v="0"/>
    <n v="1"/>
  </r>
  <r>
    <s v="SHP-503407"/>
    <d v="2025-04-22T00:00:00"/>
    <x v="1"/>
    <s v="Q2"/>
    <x v="3"/>
    <x v="4"/>
    <x v="1"/>
    <x v="4"/>
    <x v="0"/>
    <s v="Road"/>
    <x v="1"/>
    <n v="5.2"/>
    <n v="1246"/>
    <n v="5"/>
    <n v="5"/>
    <n v="1"/>
    <n v="0"/>
    <n v="22.06"/>
    <n v="0"/>
    <n v="1"/>
  </r>
  <r>
    <s v="SHP-503408"/>
    <d v="2025-04-22T00:00:00"/>
    <x v="1"/>
    <s v="Q2"/>
    <x v="3"/>
    <x v="4"/>
    <x v="0"/>
    <x v="1"/>
    <x v="1"/>
    <s v="Road"/>
    <x v="0"/>
    <n v="41.1"/>
    <n v="234"/>
    <n v="5"/>
    <n v="5"/>
    <n v="1"/>
    <n v="0"/>
    <n v="20.47"/>
    <n v="0"/>
    <n v="1"/>
  </r>
  <r>
    <s v="SHP-503409"/>
    <d v="2025-04-23T00:00:00"/>
    <x v="1"/>
    <s v="Q2"/>
    <x v="3"/>
    <x v="2"/>
    <x v="2"/>
    <x v="4"/>
    <x v="0"/>
    <s v="Road"/>
    <x v="0"/>
    <n v="18.899999999999999"/>
    <n v="1102"/>
    <n v="5"/>
    <n v="5"/>
    <n v="1"/>
    <n v="0"/>
    <n v="29.27"/>
    <n v="0"/>
    <n v="1"/>
  </r>
  <r>
    <s v="SHP-503410"/>
    <d v="2025-04-23T00:00:00"/>
    <x v="1"/>
    <s v="Q2"/>
    <x v="3"/>
    <x v="3"/>
    <x v="2"/>
    <x v="0"/>
    <x v="1"/>
    <s v="Road"/>
    <x v="0"/>
    <n v="316.5"/>
    <n v="1203"/>
    <n v="6"/>
    <n v="5"/>
    <n v="1"/>
    <n v="0"/>
    <n v="118.69"/>
    <n v="0"/>
    <n v="1"/>
  </r>
  <r>
    <s v="SHP-503411"/>
    <d v="2025-04-23T00:00:00"/>
    <x v="1"/>
    <s v="Q2"/>
    <x v="3"/>
    <x v="4"/>
    <x v="0"/>
    <x v="4"/>
    <x v="0"/>
    <s v="Road"/>
    <x v="1"/>
    <n v="2.7"/>
    <n v="1123"/>
    <n v="5"/>
    <n v="5"/>
    <n v="1"/>
    <n v="0"/>
    <n v="22.37"/>
    <n v="0"/>
    <n v="1"/>
  </r>
  <r>
    <s v="SHP-503412"/>
    <d v="2025-04-23T00:00:00"/>
    <x v="1"/>
    <s v="Q2"/>
    <x v="3"/>
    <x v="3"/>
    <x v="1"/>
    <x v="3"/>
    <x v="0"/>
    <s v="Road"/>
    <x v="0"/>
    <n v="118.4"/>
    <n v="454"/>
    <n v="4"/>
    <n v="3"/>
    <n v="1"/>
    <n v="0"/>
    <n v="72.55"/>
    <n v="0"/>
    <n v="1"/>
  </r>
  <r>
    <s v="SHP-503413"/>
    <d v="2025-04-23T00:00:00"/>
    <x v="1"/>
    <s v="Q2"/>
    <x v="3"/>
    <x v="0"/>
    <x v="1"/>
    <x v="0"/>
    <x v="0"/>
    <s v="Road"/>
    <x v="0"/>
    <n v="45.9"/>
    <n v="964"/>
    <n v="4"/>
    <n v="4"/>
    <n v="1"/>
    <n v="0"/>
    <n v="41.6"/>
    <n v="0"/>
    <n v="1"/>
  </r>
  <r>
    <s v="SHP-503414"/>
    <d v="2025-04-23T00:00:00"/>
    <x v="1"/>
    <s v="Q2"/>
    <x v="3"/>
    <x v="3"/>
    <x v="2"/>
    <x v="0"/>
    <x v="0"/>
    <s v="Road"/>
    <x v="1"/>
    <n v="8"/>
    <n v="995"/>
    <n v="4"/>
    <n v="3"/>
    <n v="1"/>
    <n v="0"/>
    <n v="25.16"/>
    <n v="0"/>
    <n v="1"/>
  </r>
  <r>
    <s v="SHP-503415"/>
    <d v="2025-04-23T00:00:00"/>
    <x v="1"/>
    <s v="Q2"/>
    <x v="3"/>
    <x v="1"/>
    <x v="2"/>
    <x v="3"/>
    <x v="2"/>
    <s v="Road"/>
    <x v="1"/>
    <n v="17.399999999999999"/>
    <n v="492"/>
    <n v="2"/>
    <n v="1"/>
    <n v="1"/>
    <n v="0"/>
    <n v="42.84"/>
    <n v="0"/>
    <n v="1"/>
  </r>
  <r>
    <s v="SHP-503416"/>
    <d v="2025-04-23T00:00:00"/>
    <x v="1"/>
    <s v="Q2"/>
    <x v="3"/>
    <x v="2"/>
    <x v="1"/>
    <x v="4"/>
    <x v="1"/>
    <s v="Road"/>
    <x v="1"/>
    <n v="3.1"/>
    <n v="1310"/>
    <n v="7"/>
    <n v="7"/>
    <n v="1"/>
    <n v="0"/>
    <n v="14.18"/>
    <n v="0"/>
    <n v="1"/>
  </r>
  <r>
    <s v="SHP-503417"/>
    <d v="2025-04-23T00:00:00"/>
    <x v="1"/>
    <s v="Q2"/>
    <x v="3"/>
    <x v="3"/>
    <x v="0"/>
    <x v="2"/>
    <x v="1"/>
    <s v="Road"/>
    <x v="1"/>
    <n v="14.9"/>
    <n v="1176"/>
    <n v="7"/>
    <n v="6"/>
    <n v="1"/>
    <n v="0"/>
    <n v="23.79"/>
    <n v="0"/>
    <n v="1"/>
  </r>
  <r>
    <s v="SHP-503418"/>
    <d v="2025-04-23T00:00:00"/>
    <x v="1"/>
    <s v="Q2"/>
    <x v="3"/>
    <x v="1"/>
    <x v="1"/>
    <x v="0"/>
    <x v="0"/>
    <s v="Road"/>
    <x v="1"/>
    <n v="8.6999999999999993"/>
    <n v="899"/>
    <n v="4"/>
    <n v="4"/>
    <n v="1"/>
    <n v="0"/>
    <n v="25.23"/>
    <n v="0"/>
    <n v="1"/>
  </r>
  <r>
    <s v="SHP-503419"/>
    <d v="2025-04-23T00:00:00"/>
    <x v="1"/>
    <s v="Q2"/>
    <x v="3"/>
    <x v="4"/>
    <x v="1"/>
    <x v="0"/>
    <x v="0"/>
    <s v="Road"/>
    <x v="0"/>
    <n v="198.7"/>
    <n v="879"/>
    <n v="4"/>
    <n v="3"/>
    <n v="1"/>
    <n v="0"/>
    <n v="97.9"/>
    <n v="0"/>
    <n v="1"/>
  </r>
  <r>
    <s v="SHP-503420"/>
    <d v="2025-04-23T00:00:00"/>
    <x v="1"/>
    <s v="Q2"/>
    <x v="3"/>
    <x v="3"/>
    <x v="0"/>
    <x v="4"/>
    <x v="0"/>
    <s v="Road"/>
    <x v="1"/>
    <n v="7.3"/>
    <n v="1027"/>
    <n v="5"/>
    <n v="5"/>
    <n v="1"/>
    <n v="0"/>
    <n v="25.97"/>
    <n v="0"/>
    <n v="1"/>
  </r>
  <r>
    <s v="SHP-503421"/>
    <d v="2025-04-24T00:00:00"/>
    <x v="1"/>
    <s v="Q2"/>
    <x v="3"/>
    <x v="1"/>
    <x v="2"/>
    <x v="0"/>
    <x v="2"/>
    <s v="Air"/>
    <x v="0"/>
    <n v="222.5"/>
    <n v="902"/>
    <n v="2"/>
    <n v="2"/>
    <n v="1"/>
    <n v="0"/>
    <n v="316.2"/>
    <n v="0"/>
    <n v="1"/>
  </r>
  <r>
    <s v="SHP-503422"/>
    <d v="2025-04-24T00:00:00"/>
    <x v="1"/>
    <s v="Q2"/>
    <x v="3"/>
    <x v="2"/>
    <x v="1"/>
    <x v="2"/>
    <x v="0"/>
    <s v="Road"/>
    <x v="1"/>
    <n v="8.4"/>
    <n v="882"/>
    <n v="5"/>
    <n v="4"/>
    <n v="1"/>
    <n v="0"/>
    <n v="18.829999999999998"/>
    <n v="0"/>
    <n v="1"/>
  </r>
  <r>
    <s v="SHP-503423"/>
    <d v="2025-04-24T00:00:00"/>
    <x v="1"/>
    <s v="Q2"/>
    <x v="3"/>
    <x v="3"/>
    <x v="2"/>
    <x v="0"/>
    <x v="2"/>
    <s v="Air"/>
    <x v="1"/>
    <n v="1.2"/>
    <n v="743"/>
    <n v="2"/>
    <n v="2"/>
    <n v="1"/>
    <n v="0"/>
    <n v="55.55"/>
    <n v="0"/>
    <n v="1"/>
  </r>
  <r>
    <s v="SHP-503424"/>
    <d v="2025-04-24T00:00:00"/>
    <x v="1"/>
    <s v="Q2"/>
    <x v="3"/>
    <x v="4"/>
    <x v="2"/>
    <x v="0"/>
    <x v="0"/>
    <s v="Road"/>
    <x v="1"/>
    <n v="8.6"/>
    <n v="982"/>
    <n v="4"/>
    <n v="4"/>
    <n v="1"/>
    <n v="0"/>
    <n v="22.95"/>
    <n v="0"/>
    <n v="1"/>
  </r>
  <r>
    <s v="SHP-503425"/>
    <d v="2025-04-24T00:00:00"/>
    <x v="1"/>
    <s v="Q2"/>
    <x v="3"/>
    <x v="0"/>
    <x v="2"/>
    <x v="3"/>
    <x v="1"/>
    <s v="Road"/>
    <x v="1"/>
    <n v="5.8"/>
    <n v="565"/>
    <n v="6"/>
    <n v="7"/>
    <n v="0"/>
    <n v="1"/>
    <n v="12.82"/>
    <n v="0"/>
    <n v="1"/>
  </r>
  <r>
    <s v="SHP-503426"/>
    <d v="2025-04-24T00:00:00"/>
    <x v="1"/>
    <s v="Q2"/>
    <x v="3"/>
    <x v="3"/>
    <x v="1"/>
    <x v="4"/>
    <x v="2"/>
    <s v="Air"/>
    <x v="1"/>
    <n v="2.7"/>
    <n v="644"/>
    <n v="3"/>
    <n v="2"/>
    <n v="1"/>
    <n v="0"/>
    <n v="53.29"/>
    <n v="0"/>
    <n v="1"/>
  </r>
  <r>
    <s v="SHP-503427"/>
    <d v="2025-04-24T00:00:00"/>
    <x v="1"/>
    <s v="Q2"/>
    <x v="3"/>
    <x v="1"/>
    <x v="1"/>
    <x v="1"/>
    <x v="1"/>
    <s v="Road"/>
    <x v="0"/>
    <n v="83.7"/>
    <n v="145"/>
    <n v="5"/>
    <n v="5"/>
    <n v="1"/>
    <n v="0"/>
    <n v="34.369999999999997"/>
    <n v="0"/>
    <n v="1"/>
  </r>
  <r>
    <s v="SHP-503428"/>
    <d v="2025-04-24T00:00:00"/>
    <x v="1"/>
    <s v="Q2"/>
    <x v="3"/>
    <x v="4"/>
    <x v="2"/>
    <x v="2"/>
    <x v="0"/>
    <s v="Road"/>
    <x v="1"/>
    <n v="2.7"/>
    <n v="1343"/>
    <n v="5"/>
    <n v="5"/>
    <n v="1"/>
    <n v="0"/>
    <n v="25.73"/>
    <n v="0"/>
    <n v="1"/>
  </r>
  <r>
    <s v="SHP-503429"/>
    <d v="2025-04-24T00:00:00"/>
    <x v="1"/>
    <s v="Q2"/>
    <x v="3"/>
    <x v="4"/>
    <x v="1"/>
    <x v="1"/>
    <x v="0"/>
    <s v="Road"/>
    <x v="1"/>
    <n v="8.4"/>
    <n v="194"/>
    <n v="3"/>
    <n v="3"/>
    <n v="1"/>
    <n v="0"/>
    <n v="14.04"/>
    <n v="0"/>
    <n v="1"/>
  </r>
  <r>
    <s v="SHP-503430"/>
    <d v="2025-04-24T00:00:00"/>
    <x v="1"/>
    <s v="Q2"/>
    <x v="3"/>
    <x v="3"/>
    <x v="2"/>
    <x v="4"/>
    <x v="1"/>
    <s v="Road"/>
    <x v="1"/>
    <n v="16"/>
    <n v="1033"/>
    <n v="7"/>
    <n v="7"/>
    <n v="1"/>
    <n v="0"/>
    <n v="21.73"/>
    <n v="0"/>
    <n v="1"/>
  </r>
  <r>
    <s v="SHP-503431"/>
    <d v="2025-04-24T00:00:00"/>
    <x v="1"/>
    <s v="Q2"/>
    <x v="3"/>
    <x v="0"/>
    <x v="2"/>
    <x v="1"/>
    <x v="0"/>
    <s v="Road"/>
    <x v="0"/>
    <n v="150.5"/>
    <n v="262"/>
    <n v="3"/>
    <n v="3"/>
    <n v="1"/>
    <n v="0"/>
    <n v="70.540000000000006"/>
    <n v="0"/>
    <n v="1"/>
  </r>
  <r>
    <s v="SHP-503432"/>
    <d v="2025-04-24T00:00:00"/>
    <x v="1"/>
    <s v="Q2"/>
    <x v="3"/>
    <x v="4"/>
    <x v="2"/>
    <x v="1"/>
    <x v="2"/>
    <s v="Road"/>
    <x v="1"/>
    <n v="4.3"/>
    <n v="227"/>
    <n v="1"/>
    <n v="1"/>
    <n v="1"/>
    <n v="0"/>
    <n v="20.37"/>
    <n v="0"/>
    <n v="1"/>
  </r>
  <r>
    <s v="SHP-503433"/>
    <d v="2025-04-24T00:00:00"/>
    <x v="1"/>
    <s v="Q2"/>
    <x v="3"/>
    <x v="0"/>
    <x v="0"/>
    <x v="3"/>
    <x v="0"/>
    <s v="Road"/>
    <x v="0"/>
    <n v="74.2"/>
    <n v="625"/>
    <n v="4"/>
    <n v="4"/>
    <n v="1"/>
    <n v="0"/>
    <n v="46.76"/>
    <n v="0"/>
    <n v="1"/>
  </r>
  <r>
    <s v="SHP-503434"/>
    <d v="2025-04-25T00:00:00"/>
    <x v="1"/>
    <s v="Q2"/>
    <x v="3"/>
    <x v="2"/>
    <x v="2"/>
    <x v="0"/>
    <x v="1"/>
    <s v="Road"/>
    <x v="1"/>
    <n v="5.2"/>
    <n v="672"/>
    <n v="6"/>
    <n v="6"/>
    <n v="1"/>
    <n v="0"/>
    <n v="11.52"/>
    <n v="0"/>
    <n v="1"/>
  </r>
  <r>
    <s v="SHP-503435"/>
    <d v="2025-04-25T00:00:00"/>
    <x v="1"/>
    <s v="Q2"/>
    <x v="3"/>
    <x v="1"/>
    <x v="2"/>
    <x v="1"/>
    <x v="0"/>
    <s v="Road"/>
    <x v="1"/>
    <n v="10"/>
    <n v="218"/>
    <n v="3"/>
    <n v="2"/>
    <n v="1"/>
    <n v="0"/>
    <n v="15.91"/>
    <n v="0"/>
    <n v="1"/>
  </r>
  <r>
    <s v="SHP-503436"/>
    <d v="2025-04-25T00:00:00"/>
    <x v="1"/>
    <s v="Q2"/>
    <x v="3"/>
    <x v="4"/>
    <x v="1"/>
    <x v="2"/>
    <x v="2"/>
    <s v="Air"/>
    <x v="0"/>
    <n v="161.5"/>
    <n v="1242"/>
    <n v="3"/>
    <n v="8"/>
    <n v="0"/>
    <n v="5"/>
    <n v="275.77999999999997"/>
    <n v="0"/>
    <n v="1"/>
  </r>
  <r>
    <s v="SHP-503437"/>
    <d v="2025-04-25T00:00:00"/>
    <x v="1"/>
    <s v="Q2"/>
    <x v="3"/>
    <x v="1"/>
    <x v="2"/>
    <x v="3"/>
    <x v="2"/>
    <s v="Road"/>
    <x v="1"/>
    <n v="8.4"/>
    <n v="454"/>
    <n v="2"/>
    <n v="2"/>
    <n v="1"/>
    <n v="0"/>
    <n v="32.28"/>
    <n v="0"/>
    <n v="1"/>
  </r>
  <r>
    <s v="SHP-503438"/>
    <d v="2025-04-25T00:00:00"/>
    <x v="1"/>
    <s v="Q2"/>
    <x v="3"/>
    <x v="4"/>
    <x v="1"/>
    <x v="1"/>
    <x v="0"/>
    <s v="Road"/>
    <x v="0"/>
    <n v="192.7"/>
    <n v="211"/>
    <n v="3"/>
    <n v="3"/>
    <n v="1"/>
    <n v="0"/>
    <n v="91.13"/>
    <n v="0"/>
    <n v="1"/>
  </r>
  <r>
    <s v="SHP-503439"/>
    <d v="2025-04-25T00:00:00"/>
    <x v="1"/>
    <s v="Q2"/>
    <x v="3"/>
    <x v="4"/>
    <x v="0"/>
    <x v="2"/>
    <x v="2"/>
    <s v="Air"/>
    <x v="1"/>
    <n v="10.4"/>
    <n v="987"/>
    <n v="3"/>
    <n v="3"/>
    <n v="1"/>
    <n v="0"/>
    <n v="68.430000000000007"/>
    <n v="0"/>
    <n v="1"/>
  </r>
  <r>
    <s v="SHP-503440"/>
    <d v="2025-04-25T00:00:00"/>
    <x v="1"/>
    <s v="Q2"/>
    <x v="3"/>
    <x v="4"/>
    <x v="2"/>
    <x v="3"/>
    <x v="1"/>
    <s v="Road"/>
    <x v="1"/>
    <n v="2.4"/>
    <n v="552"/>
    <n v="6"/>
    <n v="6"/>
    <n v="1"/>
    <n v="0"/>
    <n v="10.72"/>
    <n v="0"/>
    <n v="1"/>
  </r>
  <r>
    <s v="SHP-503441"/>
    <d v="2025-04-25T00:00:00"/>
    <x v="1"/>
    <s v="Q2"/>
    <x v="3"/>
    <x v="3"/>
    <x v="1"/>
    <x v="0"/>
    <x v="0"/>
    <s v="Road"/>
    <x v="1"/>
    <n v="7.1"/>
    <n v="909"/>
    <n v="4"/>
    <n v="4"/>
    <n v="1"/>
    <n v="0"/>
    <n v="23.81"/>
    <n v="0"/>
    <n v="1"/>
  </r>
  <r>
    <s v="SHP-503442"/>
    <d v="2025-04-25T00:00:00"/>
    <x v="1"/>
    <s v="Q2"/>
    <x v="3"/>
    <x v="1"/>
    <x v="2"/>
    <x v="3"/>
    <x v="0"/>
    <s v="Road"/>
    <x v="1"/>
    <n v="6.3"/>
    <n v="510"/>
    <n v="4"/>
    <n v="3"/>
    <n v="1"/>
    <n v="0"/>
    <n v="16.18"/>
    <n v="0"/>
    <n v="1"/>
  </r>
  <r>
    <s v="SHP-503443"/>
    <d v="2025-04-26T00:00:00"/>
    <x v="1"/>
    <s v="Q2"/>
    <x v="3"/>
    <x v="1"/>
    <x v="1"/>
    <x v="0"/>
    <x v="0"/>
    <s v="Road"/>
    <x v="0"/>
    <n v="86.6"/>
    <n v="705"/>
    <n v="4"/>
    <n v="5"/>
    <n v="0"/>
    <n v="1"/>
    <n v="53.96"/>
    <n v="0"/>
    <n v="1"/>
  </r>
  <r>
    <s v="SHP-503444"/>
    <d v="2025-04-26T00:00:00"/>
    <x v="1"/>
    <s v="Q2"/>
    <x v="3"/>
    <x v="2"/>
    <x v="2"/>
    <x v="4"/>
    <x v="2"/>
    <s v="Air"/>
    <x v="1"/>
    <n v="4.2"/>
    <n v="1435"/>
    <n v="3"/>
    <n v="3"/>
    <n v="1"/>
    <n v="0"/>
    <n v="70.05"/>
    <n v="0"/>
    <n v="1"/>
  </r>
  <r>
    <s v="SHP-503445"/>
    <d v="2025-04-26T00:00:00"/>
    <x v="1"/>
    <s v="Q2"/>
    <x v="3"/>
    <x v="2"/>
    <x v="1"/>
    <x v="2"/>
    <x v="0"/>
    <s v="Road"/>
    <x v="1"/>
    <n v="2.4"/>
    <n v="1053"/>
    <n v="5"/>
    <n v="5"/>
    <n v="1"/>
    <n v="0"/>
    <n v="16.170000000000002"/>
    <n v="0"/>
    <n v="1"/>
  </r>
  <r>
    <s v="SHP-503446"/>
    <d v="2025-04-26T00:00:00"/>
    <x v="1"/>
    <s v="Q2"/>
    <x v="3"/>
    <x v="3"/>
    <x v="1"/>
    <x v="3"/>
    <x v="0"/>
    <s v="Road"/>
    <x v="1"/>
    <n v="5.2"/>
    <n v="400"/>
    <n v="4"/>
    <n v="4"/>
    <n v="1"/>
    <n v="0"/>
    <n v="15.37"/>
    <n v="0"/>
    <n v="1"/>
  </r>
  <r>
    <s v="SHP-503447"/>
    <d v="2025-04-26T00:00:00"/>
    <x v="1"/>
    <s v="Q2"/>
    <x v="3"/>
    <x v="3"/>
    <x v="1"/>
    <x v="4"/>
    <x v="1"/>
    <s v="Road"/>
    <x v="1"/>
    <n v="10.9"/>
    <n v="1082"/>
    <n v="7"/>
    <n v="7"/>
    <n v="1"/>
    <n v="0"/>
    <n v="19.37"/>
    <n v="0"/>
    <n v="1"/>
  </r>
  <r>
    <s v="SHP-503448"/>
    <d v="2025-04-27T00:00:00"/>
    <x v="1"/>
    <s v="Q2"/>
    <x v="3"/>
    <x v="1"/>
    <x v="0"/>
    <x v="2"/>
    <x v="1"/>
    <s v="Road"/>
    <x v="1"/>
    <n v="5.8"/>
    <n v="1426"/>
    <n v="7"/>
    <n v="9"/>
    <n v="0"/>
    <n v="2"/>
    <n v="18.829999999999998"/>
    <n v="0"/>
    <n v="1"/>
  </r>
  <r>
    <s v="SHP-503449"/>
    <d v="2025-04-27T00:00:00"/>
    <x v="1"/>
    <s v="Q2"/>
    <x v="3"/>
    <x v="2"/>
    <x v="2"/>
    <x v="0"/>
    <x v="2"/>
    <s v="Air"/>
    <x v="1"/>
    <n v="9.3000000000000007"/>
    <n v="739"/>
    <n v="2"/>
    <n v="2"/>
    <n v="1"/>
    <n v="0"/>
    <n v="55.88"/>
    <n v="0"/>
    <n v="1"/>
  </r>
  <r>
    <s v="SHP-503450"/>
    <d v="2025-04-28T00:00:00"/>
    <x v="1"/>
    <s v="Q2"/>
    <x v="3"/>
    <x v="1"/>
    <x v="2"/>
    <x v="3"/>
    <x v="0"/>
    <s v="Road"/>
    <x v="1"/>
    <n v="23"/>
    <n v="552"/>
    <n v="4"/>
    <n v="3"/>
    <n v="1"/>
    <n v="0"/>
    <n v="27.91"/>
    <n v="0"/>
    <n v="1"/>
  </r>
  <r>
    <s v="SHP-503451"/>
    <d v="2025-04-28T00:00:00"/>
    <x v="1"/>
    <s v="Q2"/>
    <x v="3"/>
    <x v="0"/>
    <x v="2"/>
    <x v="4"/>
    <x v="1"/>
    <s v="Road"/>
    <x v="0"/>
    <n v="86.6"/>
    <n v="1335"/>
    <n v="7"/>
    <n v="9"/>
    <n v="0"/>
    <n v="2"/>
    <n v="42.88"/>
    <n v="0"/>
    <n v="1"/>
  </r>
  <r>
    <s v="SHP-503452"/>
    <d v="2025-04-28T00:00:00"/>
    <x v="1"/>
    <s v="Q2"/>
    <x v="3"/>
    <x v="3"/>
    <x v="1"/>
    <x v="0"/>
    <x v="0"/>
    <s v="Road"/>
    <x v="1"/>
    <n v="11.7"/>
    <n v="787"/>
    <n v="4"/>
    <n v="4"/>
    <n v="1"/>
    <n v="0"/>
    <n v="25.11"/>
    <n v="0"/>
    <n v="1"/>
  </r>
  <r>
    <s v="SHP-503453"/>
    <d v="2025-04-28T00:00:00"/>
    <x v="1"/>
    <s v="Q2"/>
    <x v="3"/>
    <x v="1"/>
    <x v="0"/>
    <x v="1"/>
    <x v="0"/>
    <s v="Road"/>
    <x v="0"/>
    <n v="161.19999999999999"/>
    <n v="178"/>
    <n v="3"/>
    <n v="3"/>
    <n v="1"/>
    <n v="0"/>
    <n v="77.83"/>
    <n v="1"/>
    <n v="1"/>
  </r>
  <r>
    <s v="SHP-503454"/>
    <d v="2025-04-28T00:00:00"/>
    <x v="1"/>
    <s v="Q2"/>
    <x v="3"/>
    <x v="0"/>
    <x v="0"/>
    <x v="4"/>
    <x v="1"/>
    <s v="Road"/>
    <x v="1"/>
    <n v="3"/>
    <n v="875"/>
    <n v="7"/>
    <n v="8"/>
    <n v="0"/>
    <n v="1"/>
    <n v="13.64"/>
    <n v="0"/>
    <n v="1"/>
  </r>
  <r>
    <s v="SHP-503455"/>
    <d v="2025-04-28T00:00:00"/>
    <x v="1"/>
    <s v="Q2"/>
    <x v="3"/>
    <x v="0"/>
    <x v="2"/>
    <x v="3"/>
    <x v="0"/>
    <s v="Road"/>
    <x v="1"/>
    <n v="1.1000000000000001"/>
    <n v="457"/>
    <n v="4"/>
    <n v="4"/>
    <n v="1"/>
    <n v="0"/>
    <n v="13.14"/>
    <n v="0"/>
    <n v="1"/>
  </r>
  <r>
    <s v="SHP-503456"/>
    <d v="2025-04-28T00:00:00"/>
    <x v="1"/>
    <s v="Q2"/>
    <x v="3"/>
    <x v="2"/>
    <x v="0"/>
    <x v="4"/>
    <x v="2"/>
    <s v="Air"/>
    <x v="0"/>
    <n v="211.6"/>
    <n v="1246"/>
    <n v="3"/>
    <n v="4"/>
    <n v="0"/>
    <n v="1"/>
    <n v="257.95999999999998"/>
    <n v="0"/>
    <n v="1"/>
  </r>
  <r>
    <s v="SHP-503457"/>
    <d v="2025-04-28T00:00:00"/>
    <x v="1"/>
    <s v="Q2"/>
    <x v="3"/>
    <x v="4"/>
    <x v="2"/>
    <x v="2"/>
    <x v="1"/>
    <s v="Road"/>
    <x v="0"/>
    <n v="71"/>
    <n v="1216"/>
    <n v="7"/>
    <n v="7"/>
    <n v="1"/>
    <n v="0"/>
    <n v="39.950000000000003"/>
    <n v="0"/>
    <n v="1"/>
  </r>
  <r>
    <s v="SHP-503458"/>
    <d v="2025-04-28T00:00:00"/>
    <x v="1"/>
    <s v="Q2"/>
    <x v="3"/>
    <x v="4"/>
    <x v="2"/>
    <x v="1"/>
    <x v="0"/>
    <s v="Road"/>
    <x v="0"/>
    <n v="7.6"/>
    <n v="271"/>
    <n v="3"/>
    <n v="3"/>
    <n v="1"/>
    <n v="0"/>
    <n v="13.5"/>
    <n v="0"/>
    <n v="1"/>
  </r>
  <r>
    <s v="SHP-503459"/>
    <d v="2025-04-29T00:00:00"/>
    <x v="1"/>
    <s v="Q2"/>
    <x v="3"/>
    <x v="4"/>
    <x v="2"/>
    <x v="2"/>
    <x v="0"/>
    <s v="Road"/>
    <x v="0"/>
    <n v="14"/>
    <n v="898"/>
    <n v="5"/>
    <n v="5"/>
    <n v="1"/>
    <n v="0"/>
    <n v="27.32"/>
    <n v="0"/>
    <n v="1"/>
  </r>
  <r>
    <s v="SHP-503460"/>
    <d v="2025-04-29T00:00:00"/>
    <x v="1"/>
    <s v="Q2"/>
    <x v="3"/>
    <x v="0"/>
    <x v="1"/>
    <x v="1"/>
    <x v="0"/>
    <s v="Road"/>
    <x v="1"/>
    <n v="14.2"/>
    <n v="270"/>
    <n v="3"/>
    <n v="3"/>
    <n v="1"/>
    <n v="0"/>
    <n v="16.149999999999999"/>
    <n v="0"/>
    <n v="1"/>
  </r>
  <r>
    <s v="SHP-503461"/>
    <d v="2025-04-29T00:00:00"/>
    <x v="1"/>
    <s v="Q2"/>
    <x v="3"/>
    <x v="0"/>
    <x v="2"/>
    <x v="1"/>
    <x v="0"/>
    <s v="Road"/>
    <x v="0"/>
    <n v="27.4"/>
    <n v="169"/>
    <n v="3"/>
    <n v="3"/>
    <n v="1"/>
    <n v="0"/>
    <n v="22.52"/>
    <n v="0"/>
    <n v="1"/>
  </r>
  <r>
    <s v="SHP-503462"/>
    <d v="2025-04-29T00:00:00"/>
    <x v="1"/>
    <s v="Q2"/>
    <x v="3"/>
    <x v="4"/>
    <x v="2"/>
    <x v="3"/>
    <x v="0"/>
    <s v="Road"/>
    <x v="1"/>
    <n v="5.5"/>
    <n v="674"/>
    <n v="4"/>
    <n v="4"/>
    <n v="1"/>
    <n v="0"/>
    <n v="15.66"/>
    <n v="0"/>
    <n v="1"/>
  </r>
  <r>
    <s v="SHP-503463"/>
    <d v="2025-04-29T00:00:00"/>
    <x v="1"/>
    <s v="Q2"/>
    <x v="3"/>
    <x v="4"/>
    <x v="2"/>
    <x v="1"/>
    <x v="2"/>
    <s v="Road"/>
    <x v="0"/>
    <n v="124.1"/>
    <n v="264"/>
    <n v="1"/>
    <n v="1"/>
    <n v="1"/>
    <n v="0"/>
    <n v="119.1"/>
    <n v="0"/>
    <n v="1"/>
  </r>
  <r>
    <s v="SHP-503464"/>
    <d v="2025-04-29T00:00:00"/>
    <x v="1"/>
    <s v="Q2"/>
    <x v="3"/>
    <x v="2"/>
    <x v="1"/>
    <x v="0"/>
    <x v="0"/>
    <s v="Road"/>
    <x v="0"/>
    <n v="173.1"/>
    <n v="959"/>
    <n v="4"/>
    <n v="4"/>
    <n v="1"/>
    <n v="0"/>
    <n v="75.290000000000006"/>
    <n v="0"/>
    <n v="1"/>
  </r>
  <r>
    <s v="SHP-503465"/>
    <d v="2025-04-29T00:00:00"/>
    <x v="1"/>
    <s v="Q2"/>
    <x v="3"/>
    <x v="4"/>
    <x v="2"/>
    <x v="1"/>
    <x v="0"/>
    <s v="Road"/>
    <x v="1"/>
    <n v="8.3000000000000007"/>
    <n v="199"/>
    <n v="3"/>
    <n v="2"/>
    <n v="1"/>
    <n v="0"/>
    <n v="13.2"/>
    <n v="0"/>
    <n v="1"/>
  </r>
  <r>
    <s v="SHP-503466"/>
    <d v="2025-04-29T00:00:00"/>
    <x v="1"/>
    <s v="Q2"/>
    <x v="3"/>
    <x v="1"/>
    <x v="1"/>
    <x v="0"/>
    <x v="2"/>
    <s v="Air"/>
    <x v="0"/>
    <n v="169.1"/>
    <n v="857"/>
    <n v="2"/>
    <n v="2"/>
    <n v="1"/>
    <n v="0"/>
    <n v="283.02"/>
    <n v="0"/>
    <n v="1"/>
  </r>
  <r>
    <s v="SHP-503467"/>
    <d v="2025-04-30T00:00:00"/>
    <x v="1"/>
    <s v="Q2"/>
    <x v="3"/>
    <x v="4"/>
    <x v="0"/>
    <x v="1"/>
    <x v="0"/>
    <s v="Road"/>
    <x v="1"/>
    <n v="5.6"/>
    <n v="264"/>
    <n v="3"/>
    <n v="2"/>
    <n v="1"/>
    <n v="0"/>
    <n v="13.12"/>
    <n v="0"/>
    <n v="1"/>
  </r>
  <r>
    <s v="SHP-503468"/>
    <d v="2025-04-30T00:00:00"/>
    <x v="1"/>
    <s v="Q2"/>
    <x v="3"/>
    <x v="2"/>
    <x v="0"/>
    <x v="4"/>
    <x v="2"/>
    <s v="Air"/>
    <x v="0"/>
    <n v="3.3"/>
    <n v="940"/>
    <n v="3"/>
    <n v="3"/>
    <n v="1"/>
    <n v="0"/>
    <n v="53.24"/>
    <n v="0"/>
    <n v="1"/>
  </r>
  <r>
    <s v="SHP-503469"/>
    <d v="2025-04-30T00:00:00"/>
    <x v="1"/>
    <s v="Q2"/>
    <x v="3"/>
    <x v="4"/>
    <x v="1"/>
    <x v="3"/>
    <x v="0"/>
    <s v="Road"/>
    <x v="0"/>
    <n v="7.3"/>
    <n v="464"/>
    <n v="4"/>
    <n v="4"/>
    <n v="1"/>
    <n v="0"/>
    <n v="15.02"/>
    <n v="0"/>
    <n v="1"/>
  </r>
  <r>
    <s v="SHP-503470"/>
    <d v="2025-04-30T00:00:00"/>
    <x v="1"/>
    <s v="Q2"/>
    <x v="3"/>
    <x v="1"/>
    <x v="1"/>
    <x v="3"/>
    <x v="1"/>
    <s v="Road"/>
    <x v="0"/>
    <n v="69.599999999999994"/>
    <n v="481"/>
    <n v="6"/>
    <n v="5"/>
    <n v="1"/>
    <n v="0"/>
    <n v="32.85"/>
    <n v="0"/>
    <n v="1"/>
  </r>
  <r>
    <s v="SHP-503471"/>
    <d v="2025-04-30T00:00:00"/>
    <x v="1"/>
    <s v="Q2"/>
    <x v="3"/>
    <x v="3"/>
    <x v="0"/>
    <x v="1"/>
    <x v="1"/>
    <s v="Road"/>
    <x v="1"/>
    <n v="3.4"/>
    <n v="303"/>
    <n v="5"/>
    <n v="4"/>
    <n v="1"/>
    <n v="0"/>
    <n v="9.4700000000000006"/>
    <n v="0"/>
    <n v="1"/>
  </r>
  <r>
    <s v="SHP-503472"/>
    <d v="2025-04-30T00:00:00"/>
    <x v="1"/>
    <s v="Q2"/>
    <x v="3"/>
    <x v="1"/>
    <x v="1"/>
    <x v="1"/>
    <x v="2"/>
    <s v="Road"/>
    <x v="1"/>
    <n v="3.9"/>
    <n v="265"/>
    <n v="1"/>
    <n v="1"/>
    <n v="1"/>
    <n v="0"/>
    <n v="22.7"/>
    <n v="0"/>
    <n v="1"/>
  </r>
  <r>
    <s v="SHP-503473"/>
    <d v="2025-04-30T00:00:00"/>
    <x v="1"/>
    <s v="Q2"/>
    <x v="3"/>
    <x v="2"/>
    <x v="1"/>
    <x v="1"/>
    <x v="2"/>
    <s v="Road"/>
    <x v="1"/>
    <n v="3.1"/>
    <n v="276"/>
    <n v="1"/>
    <n v="1"/>
    <n v="1"/>
    <n v="0"/>
    <n v="17.5"/>
    <n v="0"/>
    <n v="1"/>
  </r>
  <r>
    <s v="SHP-503474"/>
    <d v="2025-04-30T00:00:00"/>
    <x v="1"/>
    <s v="Q2"/>
    <x v="3"/>
    <x v="2"/>
    <x v="0"/>
    <x v="1"/>
    <x v="1"/>
    <s v="Road"/>
    <x v="1"/>
    <n v="10.7"/>
    <n v="253"/>
    <n v="5"/>
    <n v="5"/>
    <n v="1"/>
    <n v="0"/>
    <n v="9.66"/>
    <n v="0"/>
    <n v="1"/>
  </r>
  <r>
    <s v="SHP-503475"/>
    <d v="2025-04-30T00:00:00"/>
    <x v="1"/>
    <s v="Q2"/>
    <x v="3"/>
    <x v="4"/>
    <x v="1"/>
    <x v="1"/>
    <x v="2"/>
    <s v="Road"/>
    <x v="0"/>
    <n v="159.80000000000001"/>
    <n v="211"/>
    <n v="1"/>
    <n v="1"/>
    <n v="1"/>
    <n v="0"/>
    <n v="138.49"/>
    <n v="0"/>
    <n v="1"/>
  </r>
  <r>
    <s v="SHP-503476"/>
    <d v="2025-04-30T00:00:00"/>
    <x v="1"/>
    <s v="Q2"/>
    <x v="3"/>
    <x v="4"/>
    <x v="1"/>
    <x v="3"/>
    <x v="0"/>
    <s v="Road"/>
    <x v="1"/>
    <n v="0.7"/>
    <n v="365"/>
    <n v="4"/>
    <n v="5"/>
    <n v="0"/>
    <n v="1"/>
    <n v="11.63"/>
    <n v="0"/>
    <n v="1"/>
  </r>
  <r>
    <s v="SHP-503477"/>
    <d v="2025-04-30T00:00:00"/>
    <x v="1"/>
    <s v="Q2"/>
    <x v="3"/>
    <x v="1"/>
    <x v="2"/>
    <x v="3"/>
    <x v="2"/>
    <s v="Road"/>
    <x v="0"/>
    <n v="139.4"/>
    <n v="471"/>
    <n v="2"/>
    <n v="1"/>
    <n v="1"/>
    <n v="0"/>
    <n v="141.02000000000001"/>
    <n v="0"/>
    <n v="1"/>
  </r>
  <r>
    <s v="SHP-503478"/>
    <d v="2025-04-30T00:00:00"/>
    <x v="1"/>
    <s v="Q2"/>
    <x v="3"/>
    <x v="0"/>
    <x v="1"/>
    <x v="4"/>
    <x v="0"/>
    <s v="Road"/>
    <x v="1"/>
    <n v="6.4"/>
    <n v="901"/>
    <n v="5"/>
    <n v="5"/>
    <n v="1"/>
    <n v="0"/>
    <n v="21.72"/>
    <n v="0"/>
    <n v="1"/>
  </r>
  <r>
    <s v="SHP-503479"/>
    <d v="2025-04-30T00:00:00"/>
    <x v="1"/>
    <s v="Q2"/>
    <x v="3"/>
    <x v="0"/>
    <x v="2"/>
    <x v="1"/>
    <x v="0"/>
    <s v="Road"/>
    <x v="0"/>
    <n v="20.399999999999999"/>
    <n v="242"/>
    <n v="3"/>
    <n v="3"/>
    <n v="1"/>
    <n v="0"/>
    <n v="20.18"/>
    <n v="0"/>
    <n v="1"/>
  </r>
  <r>
    <s v="SHP-503480"/>
    <d v="2025-04-30T00:00:00"/>
    <x v="1"/>
    <s v="Q2"/>
    <x v="3"/>
    <x v="3"/>
    <x v="2"/>
    <x v="0"/>
    <x v="2"/>
    <s v="Air"/>
    <x v="1"/>
    <n v="12.5"/>
    <n v="841"/>
    <n v="2"/>
    <n v="2"/>
    <n v="1"/>
    <n v="0"/>
    <n v="79.680000000000007"/>
    <n v="0"/>
    <n v="1"/>
  </r>
  <r>
    <s v="SHP-503481"/>
    <d v="2025-05-01T00:00:00"/>
    <x v="1"/>
    <s v="Q2"/>
    <x v="4"/>
    <x v="0"/>
    <x v="0"/>
    <x v="1"/>
    <x v="2"/>
    <s v="Road"/>
    <x v="0"/>
    <n v="85.1"/>
    <n v="278"/>
    <n v="1"/>
    <n v="1"/>
    <n v="1"/>
    <n v="0"/>
    <n v="92.87"/>
    <n v="0"/>
    <n v="1"/>
  </r>
  <r>
    <s v="SHP-503482"/>
    <d v="2025-05-01T00:00:00"/>
    <x v="1"/>
    <s v="Q2"/>
    <x v="4"/>
    <x v="4"/>
    <x v="2"/>
    <x v="3"/>
    <x v="2"/>
    <s v="Road"/>
    <x v="0"/>
    <n v="176"/>
    <n v="479"/>
    <n v="2"/>
    <n v="2"/>
    <n v="1"/>
    <n v="0"/>
    <n v="173.19"/>
    <n v="0"/>
    <n v="1"/>
  </r>
  <r>
    <s v="SHP-503483"/>
    <d v="2025-05-01T00:00:00"/>
    <x v="1"/>
    <s v="Q2"/>
    <x v="4"/>
    <x v="2"/>
    <x v="2"/>
    <x v="2"/>
    <x v="0"/>
    <s v="Road"/>
    <x v="1"/>
    <n v="2.5"/>
    <n v="1112"/>
    <n v="5"/>
    <n v="9"/>
    <n v="0"/>
    <n v="4"/>
    <n v="17.8"/>
    <n v="0"/>
    <n v="1"/>
  </r>
  <r>
    <s v="SHP-503484"/>
    <d v="2025-05-01T00:00:00"/>
    <x v="1"/>
    <s v="Q2"/>
    <x v="4"/>
    <x v="3"/>
    <x v="0"/>
    <x v="0"/>
    <x v="0"/>
    <s v="Road"/>
    <x v="0"/>
    <n v="27.7"/>
    <n v="719"/>
    <n v="4"/>
    <n v="3"/>
    <n v="1"/>
    <n v="0"/>
    <n v="31.04"/>
    <n v="0"/>
    <n v="1"/>
  </r>
  <r>
    <s v="SHP-503485"/>
    <d v="2025-05-01T00:00:00"/>
    <x v="1"/>
    <s v="Q2"/>
    <x v="4"/>
    <x v="0"/>
    <x v="2"/>
    <x v="3"/>
    <x v="0"/>
    <s v="Road"/>
    <x v="1"/>
    <n v="3.4"/>
    <n v="384"/>
    <n v="4"/>
    <n v="4"/>
    <n v="1"/>
    <n v="0"/>
    <n v="12.39"/>
    <n v="0"/>
    <n v="1"/>
  </r>
  <r>
    <s v="SHP-503486"/>
    <d v="2025-05-01T00:00:00"/>
    <x v="1"/>
    <s v="Q2"/>
    <x v="4"/>
    <x v="3"/>
    <x v="1"/>
    <x v="0"/>
    <x v="2"/>
    <s v="Air"/>
    <x v="1"/>
    <n v="9.4"/>
    <n v="977"/>
    <n v="2"/>
    <n v="2"/>
    <n v="1"/>
    <n v="0"/>
    <n v="82.36"/>
    <n v="0"/>
    <n v="1"/>
  </r>
  <r>
    <s v="SHP-503487"/>
    <d v="2025-05-01T00:00:00"/>
    <x v="1"/>
    <s v="Q2"/>
    <x v="4"/>
    <x v="0"/>
    <x v="2"/>
    <x v="2"/>
    <x v="0"/>
    <s v="Road"/>
    <x v="0"/>
    <n v="192.7"/>
    <n v="1192"/>
    <n v="5"/>
    <n v="5"/>
    <n v="1"/>
    <n v="0"/>
    <n v="98.67"/>
    <n v="0"/>
    <n v="1"/>
  </r>
  <r>
    <s v="SHP-503488"/>
    <d v="2025-05-01T00:00:00"/>
    <x v="1"/>
    <s v="Q2"/>
    <x v="4"/>
    <x v="0"/>
    <x v="1"/>
    <x v="1"/>
    <x v="0"/>
    <s v="Road"/>
    <x v="0"/>
    <n v="65.900000000000006"/>
    <n v="259"/>
    <n v="3"/>
    <n v="3"/>
    <n v="1"/>
    <n v="0"/>
    <n v="40.18"/>
    <n v="0"/>
    <n v="1"/>
  </r>
  <r>
    <s v="SHP-503489"/>
    <d v="2025-05-01T00:00:00"/>
    <x v="1"/>
    <s v="Q2"/>
    <x v="4"/>
    <x v="1"/>
    <x v="1"/>
    <x v="4"/>
    <x v="0"/>
    <s v="Road"/>
    <x v="1"/>
    <n v="3"/>
    <n v="1149"/>
    <n v="5"/>
    <n v="5"/>
    <n v="1"/>
    <n v="0"/>
    <n v="23.18"/>
    <n v="0"/>
    <n v="1"/>
  </r>
  <r>
    <s v="SHP-503490"/>
    <d v="2025-05-01T00:00:00"/>
    <x v="1"/>
    <s v="Q2"/>
    <x v="4"/>
    <x v="2"/>
    <x v="0"/>
    <x v="0"/>
    <x v="0"/>
    <s v="Road"/>
    <x v="1"/>
    <n v="10"/>
    <n v="884"/>
    <n v="4"/>
    <n v="5"/>
    <n v="0"/>
    <n v="1"/>
    <n v="21.5"/>
    <n v="0"/>
    <n v="1"/>
  </r>
  <r>
    <s v="SHP-503491"/>
    <d v="2025-05-01T00:00:00"/>
    <x v="1"/>
    <s v="Q2"/>
    <x v="4"/>
    <x v="4"/>
    <x v="2"/>
    <x v="1"/>
    <x v="1"/>
    <s v="Road"/>
    <x v="1"/>
    <n v="2.9"/>
    <n v="274"/>
    <n v="5"/>
    <n v="4"/>
    <n v="1"/>
    <n v="0"/>
    <n v="7.59"/>
    <n v="0"/>
    <n v="1"/>
  </r>
  <r>
    <s v="SHP-503492"/>
    <d v="2025-05-01T00:00:00"/>
    <x v="1"/>
    <s v="Q2"/>
    <x v="4"/>
    <x v="3"/>
    <x v="0"/>
    <x v="0"/>
    <x v="1"/>
    <s v="Road"/>
    <x v="1"/>
    <n v="8.6"/>
    <n v="934"/>
    <n v="6"/>
    <n v="6"/>
    <n v="1"/>
    <n v="0"/>
    <n v="17.100000000000001"/>
    <n v="0"/>
    <n v="1"/>
  </r>
  <r>
    <s v="SHP-503493"/>
    <d v="2025-05-01T00:00:00"/>
    <x v="1"/>
    <s v="Q2"/>
    <x v="4"/>
    <x v="2"/>
    <x v="1"/>
    <x v="2"/>
    <x v="0"/>
    <s v="Road"/>
    <x v="1"/>
    <n v="6.8"/>
    <n v="1084"/>
    <n v="5"/>
    <n v="5"/>
    <n v="1"/>
    <n v="0"/>
    <n v="19.350000000000001"/>
    <n v="0"/>
    <n v="1"/>
  </r>
  <r>
    <s v="SHP-503494"/>
    <d v="2025-05-02T00:00:00"/>
    <x v="1"/>
    <s v="Q2"/>
    <x v="4"/>
    <x v="4"/>
    <x v="1"/>
    <x v="0"/>
    <x v="1"/>
    <s v="Road"/>
    <x v="0"/>
    <n v="241.6"/>
    <n v="1007"/>
    <n v="6"/>
    <n v="6"/>
    <n v="1"/>
    <n v="0"/>
    <n v="83.08"/>
    <n v="0"/>
    <n v="1"/>
  </r>
  <r>
    <s v="SHP-503495"/>
    <d v="2025-05-02T00:00:00"/>
    <x v="1"/>
    <s v="Q2"/>
    <x v="4"/>
    <x v="3"/>
    <x v="1"/>
    <x v="2"/>
    <x v="0"/>
    <s v="Road"/>
    <x v="1"/>
    <n v="17.3"/>
    <n v="802"/>
    <n v="5"/>
    <n v="5"/>
    <n v="1"/>
    <n v="0"/>
    <n v="30.54"/>
    <n v="0"/>
    <n v="1"/>
  </r>
  <r>
    <s v="SHP-503496"/>
    <d v="2025-05-02T00:00:00"/>
    <x v="1"/>
    <s v="Q2"/>
    <x v="4"/>
    <x v="3"/>
    <x v="2"/>
    <x v="1"/>
    <x v="0"/>
    <s v="Road"/>
    <x v="0"/>
    <n v="89.1"/>
    <n v="271"/>
    <n v="3"/>
    <n v="3"/>
    <n v="1"/>
    <n v="0"/>
    <n v="57.25"/>
    <n v="0"/>
    <n v="1"/>
  </r>
  <r>
    <s v="SHP-503497"/>
    <d v="2025-05-02T00:00:00"/>
    <x v="1"/>
    <s v="Q2"/>
    <x v="4"/>
    <x v="3"/>
    <x v="1"/>
    <x v="3"/>
    <x v="1"/>
    <s v="Road"/>
    <x v="1"/>
    <n v="9.1"/>
    <n v="433"/>
    <n v="6"/>
    <n v="5"/>
    <n v="1"/>
    <n v="0"/>
    <n v="13"/>
    <n v="0"/>
    <n v="1"/>
  </r>
  <r>
    <s v="SHP-503498"/>
    <d v="2025-05-02T00:00:00"/>
    <x v="1"/>
    <s v="Q2"/>
    <x v="4"/>
    <x v="2"/>
    <x v="2"/>
    <x v="1"/>
    <x v="0"/>
    <s v="Road"/>
    <x v="0"/>
    <n v="126.4"/>
    <n v="253"/>
    <n v="3"/>
    <n v="4"/>
    <n v="0"/>
    <n v="1"/>
    <n v="58.29"/>
    <n v="0"/>
    <n v="1"/>
  </r>
  <r>
    <s v="SHP-503499"/>
    <d v="2025-05-02T00:00:00"/>
    <x v="1"/>
    <s v="Q2"/>
    <x v="4"/>
    <x v="3"/>
    <x v="2"/>
    <x v="1"/>
    <x v="1"/>
    <s v="Road"/>
    <x v="1"/>
    <n v="11.2"/>
    <n v="285"/>
    <n v="5"/>
    <n v="5"/>
    <n v="1"/>
    <n v="0"/>
    <n v="12.65"/>
    <n v="0"/>
    <n v="1"/>
  </r>
  <r>
    <s v="SHP-503500"/>
    <d v="2025-05-02T00:00:00"/>
    <x v="1"/>
    <s v="Q2"/>
    <x v="4"/>
    <x v="4"/>
    <x v="1"/>
    <x v="3"/>
    <x v="1"/>
    <s v="Road"/>
    <x v="0"/>
    <n v="94.1"/>
    <n v="566"/>
    <n v="6"/>
    <n v="8"/>
    <n v="0"/>
    <n v="2"/>
    <n v="39.24"/>
    <n v="0"/>
    <n v="1"/>
  </r>
  <r>
    <s v="SHP-503501"/>
    <d v="2025-05-03T00:00:00"/>
    <x v="1"/>
    <s v="Q2"/>
    <x v="4"/>
    <x v="4"/>
    <x v="2"/>
    <x v="2"/>
    <x v="1"/>
    <s v="Road"/>
    <x v="0"/>
    <n v="48.3"/>
    <n v="1065"/>
    <n v="7"/>
    <n v="7"/>
    <n v="1"/>
    <n v="0"/>
    <n v="30.18"/>
    <n v="0"/>
    <n v="1"/>
  </r>
  <r>
    <s v="SHP-503502"/>
    <d v="2025-05-03T00:00:00"/>
    <x v="1"/>
    <s v="Q2"/>
    <x v="4"/>
    <x v="2"/>
    <x v="2"/>
    <x v="0"/>
    <x v="2"/>
    <s v="Air"/>
    <x v="0"/>
    <n v="101"/>
    <n v="937"/>
    <n v="2"/>
    <n v="2"/>
    <n v="1"/>
    <n v="0"/>
    <n v="155.33000000000001"/>
    <n v="0"/>
    <n v="1"/>
  </r>
  <r>
    <s v="SHP-503503"/>
    <d v="2025-05-03T00:00:00"/>
    <x v="1"/>
    <s v="Q2"/>
    <x v="4"/>
    <x v="0"/>
    <x v="0"/>
    <x v="0"/>
    <x v="0"/>
    <s v="Road"/>
    <x v="0"/>
    <n v="274.10000000000002"/>
    <n v="724"/>
    <n v="4"/>
    <n v="3"/>
    <n v="1"/>
    <n v="0"/>
    <n v="119.3"/>
    <n v="0"/>
    <n v="1"/>
  </r>
  <r>
    <s v="SHP-503504"/>
    <d v="2025-05-03T00:00:00"/>
    <x v="1"/>
    <s v="Q2"/>
    <x v="4"/>
    <x v="1"/>
    <x v="2"/>
    <x v="2"/>
    <x v="1"/>
    <s v="Road"/>
    <x v="1"/>
    <n v="0.7"/>
    <n v="1246"/>
    <n v="7"/>
    <n v="7"/>
    <n v="1"/>
    <n v="0"/>
    <n v="15.85"/>
    <n v="0"/>
    <n v="1"/>
  </r>
  <r>
    <s v="SHP-503505"/>
    <d v="2025-05-03T00:00:00"/>
    <x v="1"/>
    <s v="Q2"/>
    <x v="4"/>
    <x v="1"/>
    <x v="2"/>
    <x v="0"/>
    <x v="2"/>
    <s v="Air"/>
    <x v="1"/>
    <n v="20.6"/>
    <n v="667"/>
    <n v="2"/>
    <n v="5"/>
    <n v="0"/>
    <n v="3"/>
    <n v="84.45"/>
    <n v="0"/>
    <n v="1"/>
  </r>
  <r>
    <s v="SHP-503506"/>
    <d v="2025-05-03T00:00:00"/>
    <x v="1"/>
    <s v="Q2"/>
    <x v="4"/>
    <x v="2"/>
    <x v="1"/>
    <x v="0"/>
    <x v="0"/>
    <s v="Road"/>
    <x v="0"/>
    <n v="171.9"/>
    <n v="942"/>
    <n v="4"/>
    <n v="4"/>
    <n v="1"/>
    <n v="0"/>
    <n v="81.06"/>
    <n v="0"/>
    <n v="1"/>
  </r>
  <r>
    <s v="SHP-503507"/>
    <d v="2025-05-04T00:00:00"/>
    <x v="1"/>
    <s v="Q2"/>
    <x v="4"/>
    <x v="2"/>
    <x v="1"/>
    <x v="3"/>
    <x v="0"/>
    <s v="Road"/>
    <x v="1"/>
    <n v="2.8"/>
    <n v="382"/>
    <n v="4"/>
    <n v="5"/>
    <n v="0"/>
    <n v="1"/>
    <n v="11.1"/>
    <n v="0"/>
    <n v="1"/>
  </r>
  <r>
    <s v="SHP-503508"/>
    <d v="2025-05-04T00:00:00"/>
    <x v="1"/>
    <s v="Q2"/>
    <x v="4"/>
    <x v="2"/>
    <x v="1"/>
    <x v="1"/>
    <x v="0"/>
    <s v="Road"/>
    <x v="0"/>
    <n v="58.7"/>
    <n v="285"/>
    <n v="3"/>
    <n v="2"/>
    <n v="1"/>
    <n v="0"/>
    <n v="32.81"/>
    <n v="0"/>
    <n v="1"/>
  </r>
  <r>
    <s v="SHP-503509"/>
    <d v="2025-05-04T00:00:00"/>
    <x v="1"/>
    <s v="Q2"/>
    <x v="4"/>
    <x v="1"/>
    <x v="2"/>
    <x v="1"/>
    <x v="0"/>
    <s v="Road"/>
    <x v="0"/>
    <n v="182.5"/>
    <n v="218"/>
    <n v="3"/>
    <n v="3"/>
    <n v="1"/>
    <n v="0"/>
    <n v="84.23"/>
    <n v="0"/>
    <n v="1"/>
  </r>
  <r>
    <s v="SHP-503510"/>
    <d v="2025-05-04T00:00:00"/>
    <x v="1"/>
    <s v="Q2"/>
    <x v="4"/>
    <x v="2"/>
    <x v="1"/>
    <x v="1"/>
    <x v="0"/>
    <s v="Road"/>
    <x v="1"/>
    <n v="6.4"/>
    <n v="285"/>
    <n v="3"/>
    <n v="3"/>
    <n v="1"/>
    <n v="0"/>
    <n v="10.89"/>
    <n v="0"/>
    <n v="1"/>
  </r>
  <r>
    <s v="SHP-503511"/>
    <d v="2025-05-04T00:00:00"/>
    <x v="1"/>
    <s v="Q2"/>
    <x v="4"/>
    <x v="1"/>
    <x v="1"/>
    <x v="1"/>
    <x v="1"/>
    <s v="Road"/>
    <x v="1"/>
    <n v="8.3000000000000007"/>
    <n v="204"/>
    <n v="5"/>
    <n v="5"/>
    <n v="1"/>
    <n v="0"/>
    <n v="10.58"/>
    <n v="0"/>
    <n v="1"/>
  </r>
  <r>
    <s v="SHP-503512"/>
    <d v="2025-05-05T00:00:00"/>
    <x v="1"/>
    <s v="Q2"/>
    <x v="4"/>
    <x v="0"/>
    <x v="1"/>
    <x v="0"/>
    <x v="0"/>
    <s v="Road"/>
    <x v="0"/>
    <n v="137.19999999999999"/>
    <n v="734"/>
    <n v="4"/>
    <n v="4"/>
    <n v="1"/>
    <n v="0"/>
    <n v="71.53"/>
    <n v="0"/>
    <n v="1"/>
  </r>
  <r>
    <s v="SHP-503513"/>
    <d v="2025-05-05T00:00:00"/>
    <x v="1"/>
    <s v="Q2"/>
    <x v="4"/>
    <x v="3"/>
    <x v="2"/>
    <x v="1"/>
    <x v="1"/>
    <s v="Road"/>
    <x v="0"/>
    <n v="41.5"/>
    <n v="253"/>
    <n v="5"/>
    <n v="4"/>
    <n v="1"/>
    <n v="0"/>
    <n v="26.38"/>
    <n v="1"/>
    <n v="1"/>
  </r>
  <r>
    <s v="SHP-503514"/>
    <d v="2025-05-05T00:00:00"/>
    <x v="1"/>
    <s v="Q2"/>
    <x v="4"/>
    <x v="3"/>
    <x v="1"/>
    <x v="3"/>
    <x v="0"/>
    <s v="Road"/>
    <x v="1"/>
    <n v="13.3"/>
    <n v="381"/>
    <n v="4"/>
    <n v="4"/>
    <n v="1"/>
    <n v="0"/>
    <n v="20.82"/>
    <n v="0"/>
    <n v="1"/>
  </r>
  <r>
    <s v="SHP-503515"/>
    <d v="2025-05-05T00:00:00"/>
    <x v="1"/>
    <s v="Q2"/>
    <x v="4"/>
    <x v="0"/>
    <x v="0"/>
    <x v="4"/>
    <x v="0"/>
    <s v="Road"/>
    <x v="1"/>
    <n v="6"/>
    <n v="1264"/>
    <n v="5"/>
    <n v="4"/>
    <n v="1"/>
    <n v="0"/>
    <n v="25.02"/>
    <n v="0"/>
    <n v="1"/>
  </r>
  <r>
    <s v="SHP-503516"/>
    <d v="2025-05-05T00:00:00"/>
    <x v="1"/>
    <s v="Q2"/>
    <x v="4"/>
    <x v="2"/>
    <x v="2"/>
    <x v="2"/>
    <x v="0"/>
    <s v="Road"/>
    <x v="0"/>
    <n v="125"/>
    <n v="1156"/>
    <n v="5"/>
    <n v="5"/>
    <n v="1"/>
    <n v="0"/>
    <n v="65.53"/>
    <n v="0"/>
    <n v="1"/>
  </r>
  <r>
    <s v="SHP-503517"/>
    <d v="2025-05-05T00:00:00"/>
    <x v="1"/>
    <s v="Q2"/>
    <x v="4"/>
    <x v="1"/>
    <x v="2"/>
    <x v="3"/>
    <x v="0"/>
    <s v="Road"/>
    <x v="1"/>
    <n v="1"/>
    <n v="453"/>
    <n v="4"/>
    <n v="4"/>
    <n v="1"/>
    <n v="0"/>
    <n v="12.17"/>
    <n v="0"/>
    <n v="1"/>
  </r>
  <r>
    <s v="SHP-503518"/>
    <d v="2025-05-05T00:00:00"/>
    <x v="1"/>
    <s v="Q2"/>
    <x v="4"/>
    <x v="3"/>
    <x v="2"/>
    <x v="2"/>
    <x v="1"/>
    <s v="Road"/>
    <x v="1"/>
    <n v="1.4"/>
    <n v="1137"/>
    <n v="7"/>
    <n v="7"/>
    <n v="1"/>
    <n v="0"/>
    <n v="16.89"/>
    <n v="0"/>
    <n v="1"/>
  </r>
  <r>
    <s v="SHP-503519"/>
    <d v="2025-05-05T00:00:00"/>
    <x v="1"/>
    <s v="Q2"/>
    <x v="4"/>
    <x v="1"/>
    <x v="2"/>
    <x v="0"/>
    <x v="0"/>
    <s v="Road"/>
    <x v="1"/>
    <n v="11.5"/>
    <n v="800"/>
    <n v="4"/>
    <n v="4"/>
    <n v="1"/>
    <n v="0"/>
    <n v="24.5"/>
    <n v="0"/>
    <n v="1"/>
  </r>
  <r>
    <s v="SHP-503520"/>
    <d v="2025-05-05T00:00:00"/>
    <x v="1"/>
    <s v="Q2"/>
    <x v="4"/>
    <x v="3"/>
    <x v="1"/>
    <x v="1"/>
    <x v="1"/>
    <s v="Road"/>
    <x v="0"/>
    <n v="73.400000000000006"/>
    <n v="271"/>
    <n v="5"/>
    <n v="4"/>
    <n v="1"/>
    <n v="0"/>
    <n v="38.44"/>
    <n v="0"/>
    <n v="1"/>
  </r>
  <r>
    <s v="SHP-503521"/>
    <d v="2025-05-06T00:00:00"/>
    <x v="1"/>
    <s v="Q2"/>
    <x v="4"/>
    <x v="4"/>
    <x v="1"/>
    <x v="2"/>
    <x v="1"/>
    <s v="Road"/>
    <x v="0"/>
    <n v="154.6"/>
    <n v="1023"/>
    <n v="7"/>
    <n v="6"/>
    <n v="1"/>
    <n v="0"/>
    <n v="59.49"/>
    <n v="0"/>
    <n v="1"/>
  </r>
  <r>
    <s v="SHP-503522"/>
    <d v="2025-05-06T00:00:00"/>
    <x v="1"/>
    <s v="Q2"/>
    <x v="4"/>
    <x v="2"/>
    <x v="1"/>
    <x v="3"/>
    <x v="0"/>
    <s v="Road"/>
    <x v="1"/>
    <n v="8"/>
    <n v="568"/>
    <n v="4"/>
    <n v="4"/>
    <n v="1"/>
    <n v="0"/>
    <n v="16.57"/>
    <n v="0"/>
    <n v="1"/>
  </r>
  <r>
    <s v="SHP-503523"/>
    <d v="2025-05-06T00:00:00"/>
    <x v="1"/>
    <s v="Q2"/>
    <x v="4"/>
    <x v="3"/>
    <x v="0"/>
    <x v="0"/>
    <x v="0"/>
    <s v="Road"/>
    <x v="1"/>
    <n v="1.5"/>
    <n v="837"/>
    <n v="4"/>
    <n v="4"/>
    <n v="1"/>
    <n v="0"/>
    <n v="20.03"/>
    <n v="1"/>
    <n v="1"/>
  </r>
  <r>
    <s v="SHP-503524"/>
    <d v="2025-05-06T00:00:00"/>
    <x v="1"/>
    <s v="Q2"/>
    <x v="4"/>
    <x v="1"/>
    <x v="1"/>
    <x v="0"/>
    <x v="2"/>
    <s v="Air"/>
    <x v="0"/>
    <n v="7.6"/>
    <n v="1118"/>
    <n v="2"/>
    <n v="2"/>
    <n v="1"/>
    <n v="0"/>
    <n v="76.66"/>
    <n v="0"/>
    <n v="1"/>
  </r>
  <r>
    <s v="SHP-503525"/>
    <d v="2025-05-06T00:00:00"/>
    <x v="1"/>
    <s v="Q2"/>
    <x v="4"/>
    <x v="2"/>
    <x v="2"/>
    <x v="0"/>
    <x v="2"/>
    <s v="Air"/>
    <x v="0"/>
    <n v="58.1"/>
    <n v="708"/>
    <n v="2"/>
    <n v="2"/>
    <n v="1"/>
    <n v="0"/>
    <n v="109.3"/>
    <n v="0"/>
    <n v="1"/>
  </r>
  <r>
    <s v="SHP-503526"/>
    <d v="2025-05-06T00:00:00"/>
    <x v="1"/>
    <s v="Q2"/>
    <x v="4"/>
    <x v="2"/>
    <x v="2"/>
    <x v="0"/>
    <x v="0"/>
    <s v="Road"/>
    <x v="1"/>
    <n v="9.9"/>
    <n v="1023"/>
    <n v="4"/>
    <n v="4"/>
    <n v="1"/>
    <n v="0"/>
    <n v="21.11"/>
    <n v="0"/>
    <n v="1"/>
  </r>
  <r>
    <s v="SHP-503527"/>
    <d v="2025-05-06T00:00:00"/>
    <x v="1"/>
    <s v="Q2"/>
    <x v="4"/>
    <x v="0"/>
    <x v="1"/>
    <x v="1"/>
    <x v="2"/>
    <s v="Road"/>
    <x v="1"/>
    <n v="7.1"/>
    <n v="301"/>
    <n v="1"/>
    <n v="3"/>
    <n v="0"/>
    <n v="2"/>
    <n v="26.09"/>
    <n v="0"/>
    <n v="1"/>
  </r>
  <r>
    <s v="SHP-503528"/>
    <d v="2025-05-06T00:00:00"/>
    <x v="1"/>
    <s v="Q2"/>
    <x v="4"/>
    <x v="3"/>
    <x v="2"/>
    <x v="1"/>
    <x v="2"/>
    <s v="Road"/>
    <x v="0"/>
    <n v="50.5"/>
    <n v="211"/>
    <n v="1"/>
    <n v="1"/>
    <n v="1"/>
    <n v="0"/>
    <n v="75.489999999999995"/>
    <n v="0"/>
    <n v="1"/>
  </r>
  <r>
    <s v="SHP-503529"/>
    <d v="2025-05-06T00:00:00"/>
    <x v="1"/>
    <s v="Q2"/>
    <x v="4"/>
    <x v="0"/>
    <x v="0"/>
    <x v="3"/>
    <x v="0"/>
    <s v="Road"/>
    <x v="1"/>
    <n v="2.8"/>
    <n v="467"/>
    <n v="4"/>
    <n v="3"/>
    <n v="1"/>
    <n v="0"/>
    <n v="14.08"/>
    <n v="0"/>
    <n v="1"/>
  </r>
  <r>
    <s v="SHP-503530"/>
    <d v="2025-05-07T00:00:00"/>
    <x v="1"/>
    <s v="Q2"/>
    <x v="4"/>
    <x v="4"/>
    <x v="1"/>
    <x v="1"/>
    <x v="2"/>
    <s v="Road"/>
    <x v="1"/>
    <n v="2.1"/>
    <n v="288"/>
    <n v="1"/>
    <n v="1"/>
    <n v="1"/>
    <n v="0"/>
    <n v="22.24"/>
    <n v="0"/>
    <n v="1"/>
  </r>
  <r>
    <s v="SHP-503531"/>
    <d v="2025-05-07T00:00:00"/>
    <x v="1"/>
    <s v="Q2"/>
    <x v="4"/>
    <x v="3"/>
    <x v="0"/>
    <x v="1"/>
    <x v="0"/>
    <s v="Road"/>
    <x v="1"/>
    <n v="4.2"/>
    <n v="262"/>
    <n v="3"/>
    <n v="2"/>
    <n v="1"/>
    <n v="0"/>
    <n v="13.33"/>
    <n v="0"/>
    <n v="1"/>
  </r>
  <r>
    <s v="SHP-503532"/>
    <d v="2025-05-07T00:00:00"/>
    <x v="1"/>
    <s v="Q2"/>
    <x v="4"/>
    <x v="3"/>
    <x v="2"/>
    <x v="0"/>
    <x v="0"/>
    <s v="Road"/>
    <x v="0"/>
    <n v="68.900000000000006"/>
    <n v="962"/>
    <n v="4"/>
    <n v="4"/>
    <n v="1"/>
    <n v="0"/>
    <n v="55.55"/>
    <n v="0"/>
    <n v="1"/>
  </r>
  <r>
    <s v="SHP-503533"/>
    <d v="2025-05-07T00:00:00"/>
    <x v="1"/>
    <s v="Q2"/>
    <x v="4"/>
    <x v="4"/>
    <x v="2"/>
    <x v="4"/>
    <x v="0"/>
    <s v="Road"/>
    <x v="0"/>
    <n v="87.6"/>
    <n v="1099"/>
    <n v="5"/>
    <n v="5"/>
    <n v="1"/>
    <n v="0"/>
    <n v="61.3"/>
    <n v="0"/>
    <n v="1"/>
  </r>
  <r>
    <s v="SHP-503534"/>
    <d v="2025-05-07T00:00:00"/>
    <x v="1"/>
    <s v="Q2"/>
    <x v="4"/>
    <x v="2"/>
    <x v="2"/>
    <x v="4"/>
    <x v="0"/>
    <s v="Road"/>
    <x v="1"/>
    <n v="6.1"/>
    <n v="817"/>
    <n v="5"/>
    <n v="5"/>
    <n v="1"/>
    <n v="0"/>
    <n v="14.74"/>
    <n v="0"/>
    <n v="1"/>
  </r>
  <r>
    <s v="SHP-503535"/>
    <d v="2025-05-07T00:00:00"/>
    <x v="1"/>
    <s v="Q2"/>
    <x v="4"/>
    <x v="0"/>
    <x v="2"/>
    <x v="2"/>
    <x v="0"/>
    <s v="Road"/>
    <x v="1"/>
    <n v="4.5"/>
    <n v="1205"/>
    <n v="5"/>
    <n v="5"/>
    <n v="1"/>
    <n v="0"/>
    <n v="22.75"/>
    <n v="0"/>
    <n v="1"/>
  </r>
  <r>
    <s v="SHP-503536"/>
    <d v="2025-05-07T00:00:00"/>
    <x v="1"/>
    <s v="Q2"/>
    <x v="4"/>
    <x v="1"/>
    <x v="1"/>
    <x v="1"/>
    <x v="1"/>
    <s v="Road"/>
    <x v="1"/>
    <n v="2.2999999999999998"/>
    <n v="236"/>
    <n v="5"/>
    <n v="5"/>
    <n v="1"/>
    <n v="0"/>
    <n v="8.7100000000000009"/>
    <n v="0"/>
    <n v="1"/>
  </r>
  <r>
    <s v="SHP-503537"/>
    <d v="2025-05-07T00:00:00"/>
    <x v="1"/>
    <s v="Q2"/>
    <x v="4"/>
    <x v="1"/>
    <x v="1"/>
    <x v="0"/>
    <x v="0"/>
    <s v="Road"/>
    <x v="1"/>
    <n v="14.1"/>
    <n v="825"/>
    <n v="4"/>
    <n v="5"/>
    <n v="0"/>
    <n v="1"/>
    <n v="26.27"/>
    <n v="0"/>
    <n v="1"/>
  </r>
  <r>
    <s v="SHP-503538"/>
    <d v="2025-05-07T00:00:00"/>
    <x v="1"/>
    <s v="Q2"/>
    <x v="4"/>
    <x v="2"/>
    <x v="2"/>
    <x v="4"/>
    <x v="0"/>
    <s v="Road"/>
    <x v="1"/>
    <n v="1.1000000000000001"/>
    <n v="1302"/>
    <n v="5"/>
    <n v="5"/>
    <n v="1"/>
    <n v="0"/>
    <n v="20.190000000000001"/>
    <n v="0"/>
    <n v="1"/>
  </r>
  <r>
    <s v="SHP-503539"/>
    <d v="2025-05-07T00:00:00"/>
    <x v="1"/>
    <s v="Q2"/>
    <x v="4"/>
    <x v="1"/>
    <x v="0"/>
    <x v="0"/>
    <x v="0"/>
    <s v="Road"/>
    <x v="1"/>
    <n v="14.7"/>
    <n v="1056"/>
    <n v="4"/>
    <n v="8"/>
    <n v="0"/>
    <n v="4"/>
    <n v="29.51"/>
    <n v="0"/>
    <n v="1"/>
  </r>
  <r>
    <s v="SHP-503540"/>
    <d v="2025-05-07T00:00:00"/>
    <x v="1"/>
    <s v="Q2"/>
    <x v="4"/>
    <x v="4"/>
    <x v="1"/>
    <x v="0"/>
    <x v="1"/>
    <s v="Road"/>
    <x v="0"/>
    <n v="185.2"/>
    <n v="702"/>
    <n v="6"/>
    <n v="9"/>
    <n v="0"/>
    <n v="3"/>
    <n v="64.3"/>
    <n v="0"/>
    <n v="1"/>
  </r>
  <r>
    <s v="SHP-503541"/>
    <d v="2025-05-08T00:00:00"/>
    <x v="1"/>
    <s v="Q2"/>
    <x v="4"/>
    <x v="3"/>
    <x v="0"/>
    <x v="0"/>
    <x v="0"/>
    <s v="Road"/>
    <x v="1"/>
    <n v="9"/>
    <n v="891"/>
    <n v="4"/>
    <n v="5"/>
    <n v="0"/>
    <n v="1"/>
    <n v="22.04"/>
    <n v="0"/>
    <n v="1"/>
  </r>
  <r>
    <s v="SHP-503542"/>
    <d v="2025-05-08T00:00:00"/>
    <x v="1"/>
    <s v="Q2"/>
    <x v="4"/>
    <x v="3"/>
    <x v="1"/>
    <x v="2"/>
    <x v="0"/>
    <s v="Road"/>
    <x v="1"/>
    <n v="0.9"/>
    <n v="1098"/>
    <n v="5"/>
    <n v="5"/>
    <n v="1"/>
    <n v="0"/>
    <n v="25.19"/>
    <n v="0"/>
    <n v="1"/>
  </r>
  <r>
    <s v="SHP-503543"/>
    <d v="2025-05-08T00:00:00"/>
    <x v="1"/>
    <s v="Q2"/>
    <x v="4"/>
    <x v="2"/>
    <x v="2"/>
    <x v="1"/>
    <x v="2"/>
    <s v="Road"/>
    <x v="1"/>
    <n v="5.8"/>
    <n v="241"/>
    <n v="1"/>
    <n v="1"/>
    <n v="1"/>
    <n v="0"/>
    <n v="20.399999999999999"/>
    <n v="0"/>
    <n v="1"/>
  </r>
  <r>
    <s v="SHP-503544"/>
    <d v="2025-05-08T00:00:00"/>
    <x v="1"/>
    <s v="Q2"/>
    <x v="4"/>
    <x v="3"/>
    <x v="0"/>
    <x v="2"/>
    <x v="0"/>
    <s v="Road"/>
    <x v="0"/>
    <n v="152.9"/>
    <n v="1199"/>
    <n v="5"/>
    <n v="4"/>
    <n v="1"/>
    <n v="0"/>
    <n v="84.75"/>
    <n v="0"/>
    <n v="1"/>
  </r>
  <r>
    <s v="SHP-503545"/>
    <d v="2025-05-08T00:00:00"/>
    <x v="1"/>
    <s v="Q2"/>
    <x v="4"/>
    <x v="3"/>
    <x v="1"/>
    <x v="0"/>
    <x v="0"/>
    <s v="Road"/>
    <x v="1"/>
    <n v="3.6"/>
    <n v="816"/>
    <n v="4"/>
    <n v="3"/>
    <n v="1"/>
    <n v="0"/>
    <n v="19.440000000000001"/>
    <n v="0"/>
    <n v="1"/>
  </r>
  <r>
    <s v="SHP-503546"/>
    <d v="2025-05-09T00:00:00"/>
    <x v="1"/>
    <s v="Q2"/>
    <x v="4"/>
    <x v="3"/>
    <x v="2"/>
    <x v="1"/>
    <x v="2"/>
    <s v="Road"/>
    <x v="0"/>
    <n v="139"/>
    <n v="291"/>
    <n v="1"/>
    <n v="1"/>
    <n v="1"/>
    <n v="0"/>
    <n v="136.86000000000001"/>
    <n v="0"/>
    <n v="1"/>
  </r>
  <r>
    <s v="SHP-503547"/>
    <d v="2025-05-09T00:00:00"/>
    <x v="1"/>
    <s v="Q2"/>
    <x v="4"/>
    <x v="2"/>
    <x v="2"/>
    <x v="4"/>
    <x v="0"/>
    <s v="Road"/>
    <x v="1"/>
    <n v="1"/>
    <n v="1073"/>
    <n v="5"/>
    <n v="8"/>
    <n v="0"/>
    <n v="3"/>
    <n v="16.84"/>
    <n v="0"/>
    <n v="1"/>
  </r>
  <r>
    <s v="SHP-503548"/>
    <d v="2025-05-09T00:00:00"/>
    <x v="1"/>
    <s v="Q2"/>
    <x v="4"/>
    <x v="2"/>
    <x v="2"/>
    <x v="0"/>
    <x v="2"/>
    <s v="Air"/>
    <x v="0"/>
    <n v="123"/>
    <n v="1159"/>
    <n v="2"/>
    <n v="2"/>
    <n v="1"/>
    <n v="0"/>
    <n v="199.62"/>
    <n v="0"/>
    <n v="1"/>
  </r>
  <r>
    <s v="SHP-503549"/>
    <d v="2025-05-09T00:00:00"/>
    <x v="1"/>
    <s v="Q2"/>
    <x v="4"/>
    <x v="0"/>
    <x v="1"/>
    <x v="0"/>
    <x v="2"/>
    <s v="Air"/>
    <x v="1"/>
    <n v="7.7"/>
    <n v="714"/>
    <n v="2"/>
    <n v="2"/>
    <n v="1"/>
    <n v="0"/>
    <n v="61.51"/>
    <n v="0"/>
    <n v="1"/>
  </r>
  <r>
    <s v="SHP-503550"/>
    <d v="2025-05-09T00:00:00"/>
    <x v="1"/>
    <s v="Q2"/>
    <x v="4"/>
    <x v="0"/>
    <x v="2"/>
    <x v="0"/>
    <x v="1"/>
    <s v="Road"/>
    <x v="0"/>
    <n v="35.700000000000003"/>
    <n v="891"/>
    <n v="6"/>
    <n v="6"/>
    <n v="1"/>
    <n v="0"/>
    <n v="27.3"/>
    <n v="0"/>
    <n v="1"/>
  </r>
  <r>
    <s v="SHP-503551"/>
    <d v="2025-05-09T00:00:00"/>
    <x v="1"/>
    <s v="Q2"/>
    <x v="4"/>
    <x v="2"/>
    <x v="1"/>
    <x v="0"/>
    <x v="0"/>
    <s v="Road"/>
    <x v="1"/>
    <n v="12.4"/>
    <n v="850"/>
    <n v="4"/>
    <n v="3"/>
    <n v="1"/>
    <n v="0"/>
    <n v="18.260000000000002"/>
    <n v="0"/>
    <n v="1"/>
  </r>
  <r>
    <s v="SHP-503552"/>
    <d v="2025-05-09T00:00:00"/>
    <x v="1"/>
    <s v="Q2"/>
    <x v="4"/>
    <x v="3"/>
    <x v="0"/>
    <x v="3"/>
    <x v="1"/>
    <s v="Road"/>
    <x v="0"/>
    <n v="95.7"/>
    <n v="575"/>
    <n v="6"/>
    <n v="6"/>
    <n v="1"/>
    <n v="0"/>
    <n v="41.14"/>
    <n v="0"/>
    <n v="1"/>
  </r>
  <r>
    <s v="SHP-503553"/>
    <d v="2025-05-09T00:00:00"/>
    <x v="1"/>
    <s v="Q2"/>
    <x v="4"/>
    <x v="0"/>
    <x v="2"/>
    <x v="0"/>
    <x v="1"/>
    <s v="Road"/>
    <x v="0"/>
    <n v="67.5"/>
    <n v="917"/>
    <n v="6"/>
    <n v="5"/>
    <n v="1"/>
    <n v="0"/>
    <n v="34.979999999999997"/>
    <n v="0"/>
    <n v="1"/>
  </r>
  <r>
    <s v="SHP-503554"/>
    <d v="2025-05-09T00:00:00"/>
    <x v="1"/>
    <s v="Q2"/>
    <x v="4"/>
    <x v="1"/>
    <x v="2"/>
    <x v="4"/>
    <x v="1"/>
    <s v="Road"/>
    <x v="1"/>
    <n v="8.1999999999999993"/>
    <n v="1313"/>
    <n v="7"/>
    <n v="6"/>
    <n v="1"/>
    <n v="0"/>
    <n v="21.49"/>
    <n v="0"/>
    <n v="1"/>
  </r>
  <r>
    <s v="SHP-503555"/>
    <d v="2025-05-10T00:00:00"/>
    <x v="1"/>
    <s v="Q2"/>
    <x v="4"/>
    <x v="0"/>
    <x v="2"/>
    <x v="1"/>
    <x v="2"/>
    <s v="Road"/>
    <x v="1"/>
    <n v="1.3"/>
    <n v="273"/>
    <n v="1"/>
    <n v="1"/>
    <n v="1"/>
    <n v="0"/>
    <n v="20.239999999999998"/>
    <n v="0"/>
    <n v="1"/>
  </r>
  <r>
    <s v="SHP-503556"/>
    <d v="2025-05-10T00:00:00"/>
    <x v="1"/>
    <s v="Q2"/>
    <x v="4"/>
    <x v="2"/>
    <x v="1"/>
    <x v="4"/>
    <x v="0"/>
    <s v="Road"/>
    <x v="1"/>
    <n v="4.9000000000000004"/>
    <n v="1070"/>
    <n v="5"/>
    <n v="5"/>
    <n v="1"/>
    <n v="0"/>
    <n v="18.010000000000002"/>
    <n v="0"/>
    <n v="1"/>
  </r>
  <r>
    <s v="SHP-503557"/>
    <d v="2025-05-10T00:00:00"/>
    <x v="1"/>
    <s v="Q2"/>
    <x v="4"/>
    <x v="3"/>
    <x v="0"/>
    <x v="3"/>
    <x v="0"/>
    <s v="Road"/>
    <x v="0"/>
    <n v="49.6"/>
    <n v="561"/>
    <n v="4"/>
    <n v="3"/>
    <n v="1"/>
    <n v="0"/>
    <n v="38.1"/>
    <n v="0"/>
    <n v="1"/>
  </r>
  <r>
    <s v="SHP-503558"/>
    <d v="2025-05-10T00:00:00"/>
    <x v="1"/>
    <s v="Q2"/>
    <x v="4"/>
    <x v="4"/>
    <x v="1"/>
    <x v="3"/>
    <x v="0"/>
    <s v="Road"/>
    <x v="1"/>
    <n v="6"/>
    <n v="494"/>
    <n v="4"/>
    <n v="4"/>
    <n v="1"/>
    <n v="0"/>
    <n v="16.489999999999998"/>
    <n v="0"/>
    <n v="1"/>
  </r>
  <r>
    <s v="SHP-503559"/>
    <d v="2025-05-11T00:00:00"/>
    <x v="1"/>
    <s v="Q2"/>
    <x v="4"/>
    <x v="2"/>
    <x v="2"/>
    <x v="4"/>
    <x v="1"/>
    <s v="Road"/>
    <x v="0"/>
    <n v="93.9"/>
    <n v="1150"/>
    <n v="7"/>
    <n v="7"/>
    <n v="1"/>
    <n v="0"/>
    <n v="38.72"/>
    <n v="0"/>
    <n v="1"/>
  </r>
  <r>
    <s v="SHP-503560"/>
    <d v="2025-05-11T00:00:00"/>
    <x v="1"/>
    <s v="Q2"/>
    <x v="4"/>
    <x v="1"/>
    <x v="1"/>
    <x v="0"/>
    <x v="1"/>
    <s v="Road"/>
    <x v="1"/>
    <n v="1.5"/>
    <n v="890"/>
    <n v="6"/>
    <n v="5"/>
    <n v="1"/>
    <n v="0"/>
    <n v="12.83"/>
    <n v="0"/>
    <n v="1"/>
  </r>
  <r>
    <s v="SHP-503561"/>
    <d v="2025-05-11T00:00:00"/>
    <x v="1"/>
    <s v="Q2"/>
    <x v="4"/>
    <x v="2"/>
    <x v="1"/>
    <x v="2"/>
    <x v="0"/>
    <s v="Road"/>
    <x v="0"/>
    <n v="69"/>
    <n v="1214"/>
    <n v="5"/>
    <n v="4"/>
    <n v="1"/>
    <n v="0"/>
    <n v="43.25"/>
    <n v="0"/>
    <n v="1"/>
  </r>
  <r>
    <s v="SHP-503562"/>
    <d v="2025-05-11T00:00:00"/>
    <x v="1"/>
    <s v="Q2"/>
    <x v="4"/>
    <x v="0"/>
    <x v="1"/>
    <x v="3"/>
    <x v="1"/>
    <s v="Road"/>
    <x v="0"/>
    <n v="154.6"/>
    <n v="475"/>
    <n v="6"/>
    <n v="6"/>
    <n v="1"/>
    <n v="0"/>
    <n v="53.29"/>
    <n v="0"/>
    <n v="1"/>
  </r>
  <r>
    <s v="SHP-503563"/>
    <d v="2025-05-11T00:00:00"/>
    <x v="1"/>
    <s v="Q2"/>
    <x v="4"/>
    <x v="2"/>
    <x v="1"/>
    <x v="3"/>
    <x v="0"/>
    <s v="Road"/>
    <x v="1"/>
    <n v="1.9"/>
    <n v="593"/>
    <n v="4"/>
    <n v="6"/>
    <n v="0"/>
    <n v="2"/>
    <n v="12.97"/>
    <n v="0"/>
    <n v="1"/>
  </r>
  <r>
    <s v="SHP-503564"/>
    <d v="2025-05-12T00:00:00"/>
    <x v="1"/>
    <s v="Q2"/>
    <x v="4"/>
    <x v="1"/>
    <x v="1"/>
    <x v="2"/>
    <x v="1"/>
    <s v="Road"/>
    <x v="1"/>
    <n v="6"/>
    <n v="1304"/>
    <n v="7"/>
    <n v="7"/>
    <n v="1"/>
    <n v="0"/>
    <n v="18.45"/>
    <n v="0"/>
    <n v="1"/>
  </r>
  <r>
    <s v="SHP-503565"/>
    <d v="2025-05-12T00:00:00"/>
    <x v="1"/>
    <s v="Q2"/>
    <x v="4"/>
    <x v="3"/>
    <x v="0"/>
    <x v="2"/>
    <x v="0"/>
    <s v="Road"/>
    <x v="0"/>
    <n v="211.1"/>
    <n v="1090"/>
    <n v="5"/>
    <n v="4"/>
    <n v="1"/>
    <n v="0"/>
    <n v="130.72"/>
    <n v="0"/>
    <n v="1"/>
  </r>
  <r>
    <s v="SHP-503566"/>
    <d v="2025-05-12T00:00:00"/>
    <x v="1"/>
    <s v="Q2"/>
    <x v="4"/>
    <x v="2"/>
    <x v="1"/>
    <x v="4"/>
    <x v="1"/>
    <s v="Road"/>
    <x v="1"/>
    <n v="3.7"/>
    <n v="1022"/>
    <n v="7"/>
    <n v="7"/>
    <n v="1"/>
    <n v="0"/>
    <n v="11.7"/>
    <n v="0"/>
    <n v="1"/>
  </r>
  <r>
    <s v="SHP-503567"/>
    <d v="2025-05-12T00:00:00"/>
    <x v="1"/>
    <s v="Q2"/>
    <x v="4"/>
    <x v="0"/>
    <x v="1"/>
    <x v="4"/>
    <x v="0"/>
    <s v="Road"/>
    <x v="1"/>
    <n v="4.8"/>
    <n v="976"/>
    <n v="5"/>
    <n v="5"/>
    <n v="1"/>
    <n v="0"/>
    <n v="20.79"/>
    <n v="0"/>
    <n v="1"/>
  </r>
  <r>
    <s v="SHP-503568"/>
    <d v="2025-05-12T00:00:00"/>
    <x v="1"/>
    <s v="Q2"/>
    <x v="4"/>
    <x v="0"/>
    <x v="2"/>
    <x v="3"/>
    <x v="1"/>
    <s v="Road"/>
    <x v="0"/>
    <n v="364.1"/>
    <n v="580"/>
    <n v="6"/>
    <n v="6"/>
    <n v="1"/>
    <n v="0"/>
    <n v="106.01"/>
    <n v="0"/>
    <n v="1"/>
  </r>
  <r>
    <s v="SHP-503569"/>
    <d v="2025-05-12T00:00:00"/>
    <x v="1"/>
    <s v="Q2"/>
    <x v="4"/>
    <x v="0"/>
    <x v="1"/>
    <x v="1"/>
    <x v="0"/>
    <s v="Road"/>
    <x v="0"/>
    <n v="204.6"/>
    <n v="259"/>
    <n v="3"/>
    <n v="3"/>
    <n v="1"/>
    <n v="0"/>
    <n v="82.69"/>
    <n v="0"/>
    <n v="1"/>
  </r>
  <r>
    <s v="SHP-503570"/>
    <d v="2025-05-12T00:00:00"/>
    <x v="1"/>
    <s v="Q2"/>
    <x v="4"/>
    <x v="4"/>
    <x v="1"/>
    <x v="4"/>
    <x v="0"/>
    <s v="Road"/>
    <x v="1"/>
    <n v="4.5999999999999996"/>
    <n v="1197"/>
    <n v="5"/>
    <n v="6"/>
    <n v="0"/>
    <n v="1"/>
    <n v="24.12"/>
    <n v="0"/>
    <n v="1"/>
  </r>
  <r>
    <s v="SHP-503571"/>
    <d v="2025-05-12T00:00:00"/>
    <x v="1"/>
    <s v="Q2"/>
    <x v="4"/>
    <x v="2"/>
    <x v="2"/>
    <x v="1"/>
    <x v="1"/>
    <s v="Road"/>
    <x v="1"/>
    <n v="15.7"/>
    <n v="239"/>
    <n v="5"/>
    <n v="5"/>
    <n v="1"/>
    <n v="0"/>
    <n v="10.67"/>
    <n v="0"/>
    <n v="1"/>
  </r>
  <r>
    <s v="SHP-503572"/>
    <d v="2025-05-13T00:00:00"/>
    <x v="1"/>
    <s v="Q2"/>
    <x v="4"/>
    <x v="1"/>
    <x v="0"/>
    <x v="2"/>
    <x v="0"/>
    <s v="Road"/>
    <x v="1"/>
    <n v="6"/>
    <n v="937"/>
    <n v="5"/>
    <n v="5"/>
    <n v="1"/>
    <n v="0"/>
    <n v="22.98"/>
    <n v="0"/>
    <n v="1"/>
  </r>
  <r>
    <s v="SHP-503573"/>
    <d v="2025-05-13T00:00:00"/>
    <x v="1"/>
    <s v="Q2"/>
    <x v="4"/>
    <x v="4"/>
    <x v="2"/>
    <x v="3"/>
    <x v="1"/>
    <s v="Road"/>
    <x v="1"/>
    <n v="2.9"/>
    <n v="475"/>
    <n v="6"/>
    <n v="6"/>
    <n v="1"/>
    <n v="0"/>
    <n v="9.66"/>
    <n v="0"/>
    <n v="1"/>
  </r>
  <r>
    <s v="SHP-503574"/>
    <d v="2025-05-13T00:00:00"/>
    <x v="1"/>
    <s v="Q2"/>
    <x v="4"/>
    <x v="2"/>
    <x v="1"/>
    <x v="0"/>
    <x v="0"/>
    <s v="Road"/>
    <x v="1"/>
    <n v="1.3"/>
    <n v="935"/>
    <n v="4"/>
    <n v="4"/>
    <n v="1"/>
    <n v="0"/>
    <n v="15.25"/>
    <n v="0"/>
    <n v="1"/>
  </r>
  <r>
    <s v="SHP-503575"/>
    <d v="2025-05-13T00:00:00"/>
    <x v="1"/>
    <s v="Q2"/>
    <x v="4"/>
    <x v="3"/>
    <x v="0"/>
    <x v="3"/>
    <x v="1"/>
    <s v="Road"/>
    <x v="1"/>
    <n v="8.9"/>
    <n v="397"/>
    <n v="6"/>
    <n v="5"/>
    <n v="1"/>
    <n v="0"/>
    <n v="12.54"/>
    <n v="0"/>
    <n v="1"/>
  </r>
  <r>
    <s v="SHP-503576"/>
    <d v="2025-05-13T00:00:00"/>
    <x v="1"/>
    <s v="Q2"/>
    <x v="4"/>
    <x v="4"/>
    <x v="0"/>
    <x v="2"/>
    <x v="2"/>
    <s v="Air"/>
    <x v="1"/>
    <n v="8.6"/>
    <n v="968"/>
    <n v="3"/>
    <n v="6"/>
    <n v="0"/>
    <n v="3"/>
    <n v="70.41"/>
    <n v="0"/>
    <n v="1"/>
  </r>
  <r>
    <s v="SHP-503577"/>
    <d v="2025-05-14T00:00:00"/>
    <x v="1"/>
    <s v="Q2"/>
    <x v="4"/>
    <x v="3"/>
    <x v="0"/>
    <x v="3"/>
    <x v="0"/>
    <s v="Road"/>
    <x v="1"/>
    <n v="2.8"/>
    <n v="428"/>
    <n v="4"/>
    <n v="4"/>
    <n v="1"/>
    <n v="0"/>
    <n v="15.02"/>
    <n v="0"/>
    <n v="1"/>
  </r>
  <r>
    <s v="SHP-503578"/>
    <d v="2025-05-14T00:00:00"/>
    <x v="1"/>
    <s v="Q2"/>
    <x v="4"/>
    <x v="3"/>
    <x v="2"/>
    <x v="4"/>
    <x v="0"/>
    <s v="Road"/>
    <x v="1"/>
    <n v="9.8000000000000007"/>
    <n v="1143"/>
    <n v="5"/>
    <n v="5"/>
    <n v="1"/>
    <n v="0"/>
    <n v="31.64"/>
    <n v="0"/>
    <n v="1"/>
  </r>
  <r>
    <s v="SHP-503579"/>
    <d v="2025-05-14T00:00:00"/>
    <x v="1"/>
    <s v="Q2"/>
    <x v="4"/>
    <x v="3"/>
    <x v="1"/>
    <x v="3"/>
    <x v="0"/>
    <s v="Road"/>
    <x v="1"/>
    <n v="2.5"/>
    <n v="475"/>
    <n v="4"/>
    <n v="3"/>
    <n v="1"/>
    <n v="0"/>
    <n v="15.61"/>
    <n v="0"/>
    <n v="1"/>
  </r>
  <r>
    <s v="SHP-503580"/>
    <d v="2025-05-14T00:00:00"/>
    <x v="1"/>
    <s v="Q2"/>
    <x v="4"/>
    <x v="0"/>
    <x v="0"/>
    <x v="3"/>
    <x v="0"/>
    <s v="Road"/>
    <x v="1"/>
    <n v="9.5"/>
    <n v="429"/>
    <n v="4"/>
    <n v="4"/>
    <n v="1"/>
    <n v="0"/>
    <n v="17.64"/>
    <n v="0"/>
    <n v="1"/>
  </r>
  <r>
    <s v="SHP-503581"/>
    <d v="2025-05-14T00:00:00"/>
    <x v="1"/>
    <s v="Q2"/>
    <x v="4"/>
    <x v="0"/>
    <x v="0"/>
    <x v="1"/>
    <x v="0"/>
    <s v="Road"/>
    <x v="0"/>
    <n v="77.900000000000006"/>
    <n v="233"/>
    <n v="3"/>
    <n v="3"/>
    <n v="1"/>
    <n v="0"/>
    <n v="44.64"/>
    <n v="0"/>
    <n v="1"/>
  </r>
  <r>
    <s v="SHP-503582"/>
    <d v="2025-05-14T00:00:00"/>
    <x v="1"/>
    <s v="Q2"/>
    <x v="4"/>
    <x v="3"/>
    <x v="0"/>
    <x v="3"/>
    <x v="1"/>
    <s v="Road"/>
    <x v="1"/>
    <n v="9.9"/>
    <n v="470"/>
    <n v="6"/>
    <n v="6"/>
    <n v="1"/>
    <n v="0"/>
    <n v="13.64"/>
    <n v="0"/>
    <n v="1"/>
  </r>
  <r>
    <s v="SHP-503583"/>
    <d v="2025-05-14T00:00:00"/>
    <x v="1"/>
    <s v="Q2"/>
    <x v="4"/>
    <x v="4"/>
    <x v="1"/>
    <x v="3"/>
    <x v="2"/>
    <s v="Road"/>
    <x v="0"/>
    <n v="257.89999999999998"/>
    <n v="461"/>
    <n v="2"/>
    <n v="2"/>
    <n v="1"/>
    <n v="0"/>
    <n v="245.03"/>
    <n v="0"/>
    <n v="1"/>
  </r>
  <r>
    <s v="SHP-503584"/>
    <d v="2025-05-14T00:00:00"/>
    <x v="1"/>
    <s v="Q2"/>
    <x v="4"/>
    <x v="0"/>
    <x v="1"/>
    <x v="3"/>
    <x v="0"/>
    <s v="Road"/>
    <x v="0"/>
    <n v="118.8"/>
    <n v="448"/>
    <n v="4"/>
    <n v="4"/>
    <n v="1"/>
    <n v="0"/>
    <n v="65.260000000000005"/>
    <n v="0"/>
    <n v="1"/>
  </r>
  <r>
    <s v="SHP-503585"/>
    <d v="2025-05-14T00:00:00"/>
    <x v="1"/>
    <s v="Q2"/>
    <x v="4"/>
    <x v="4"/>
    <x v="2"/>
    <x v="0"/>
    <x v="2"/>
    <s v="Air"/>
    <x v="1"/>
    <n v="3.5"/>
    <n v="933"/>
    <n v="2"/>
    <n v="2"/>
    <n v="1"/>
    <n v="0"/>
    <n v="55.2"/>
    <n v="0"/>
    <n v="1"/>
  </r>
  <r>
    <s v="SHP-503586"/>
    <d v="2025-05-14T00:00:00"/>
    <x v="1"/>
    <s v="Q2"/>
    <x v="4"/>
    <x v="3"/>
    <x v="1"/>
    <x v="0"/>
    <x v="1"/>
    <s v="Road"/>
    <x v="1"/>
    <n v="14.2"/>
    <n v="1050"/>
    <n v="6"/>
    <n v="6"/>
    <n v="1"/>
    <n v="0"/>
    <n v="18.8"/>
    <n v="0"/>
    <n v="1"/>
  </r>
  <r>
    <s v="SHP-503587"/>
    <d v="2025-05-14T00:00:00"/>
    <x v="1"/>
    <s v="Q2"/>
    <x v="4"/>
    <x v="0"/>
    <x v="1"/>
    <x v="2"/>
    <x v="2"/>
    <s v="Air"/>
    <x v="1"/>
    <n v="1.4"/>
    <n v="1147"/>
    <n v="3"/>
    <n v="7"/>
    <n v="0"/>
    <n v="4"/>
    <n v="50.39"/>
    <n v="0"/>
    <n v="1"/>
  </r>
  <r>
    <s v="SHP-503588"/>
    <d v="2025-05-14T00:00:00"/>
    <x v="1"/>
    <s v="Q2"/>
    <x v="4"/>
    <x v="3"/>
    <x v="1"/>
    <x v="1"/>
    <x v="0"/>
    <s v="Road"/>
    <x v="1"/>
    <n v="15.7"/>
    <n v="260"/>
    <n v="3"/>
    <n v="3"/>
    <n v="1"/>
    <n v="0"/>
    <n v="19.239999999999998"/>
    <n v="0"/>
    <n v="1"/>
  </r>
  <r>
    <s v="SHP-503589"/>
    <d v="2025-05-14T00:00:00"/>
    <x v="1"/>
    <s v="Q2"/>
    <x v="4"/>
    <x v="2"/>
    <x v="2"/>
    <x v="2"/>
    <x v="0"/>
    <s v="Road"/>
    <x v="0"/>
    <n v="211.8"/>
    <n v="951"/>
    <n v="5"/>
    <n v="5"/>
    <n v="1"/>
    <n v="0"/>
    <n v="85.08"/>
    <n v="0"/>
    <n v="1"/>
  </r>
  <r>
    <s v="SHP-503590"/>
    <d v="2025-05-14T00:00:00"/>
    <x v="1"/>
    <s v="Q2"/>
    <x v="4"/>
    <x v="2"/>
    <x v="2"/>
    <x v="3"/>
    <x v="0"/>
    <s v="Road"/>
    <x v="1"/>
    <n v="4.8"/>
    <n v="472"/>
    <n v="4"/>
    <n v="4"/>
    <n v="1"/>
    <n v="0"/>
    <n v="13.14"/>
    <n v="0"/>
    <n v="1"/>
  </r>
  <r>
    <s v="SHP-503591"/>
    <d v="2025-05-15T00:00:00"/>
    <x v="1"/>
    <s v="Q2"/>
    <x v="4"/>
    <x v="3"/>
    <x v="2"/>
    <x v="1"/>
    <x v="0"/>
    <s v="Road"/>
    <x v="0"/>
    <n v="225.3"/>
    <n v="238"/>
    <n v="3"/>
    <n v="2"/>
    <n v="1"/>
    <n v="0"/>
    <n v="107.52"/>
    <n v="0"/>
    <n v="1"/>
  </r>
  <r>
    <s v="SHP-503592"/>
    <d v="2025-05-15T00:00:00"/>
    <x v="1"/>
    <s v="Q2"/>
    <x v="4"/>
    <x v="2"/>
    <x v="0"/>
    <x v="1"/>
    <x v="0"/>
    <s v="Road"/>
    <x v="1"/>
    <n v="2.7"/>
    <n v="285"/>
    <n v="3"/>
    <n v="2"/>
    <n v="1"/>
    <n v="0"/>
    <n v="9.84"/>
    <n v="0"/>
    <n v="1"/>
  </r>
  <r>
    <s v="SHP-503593"/>
    <d v="2025-05-15T00:00:00"/>
    <x v="1"/>
    <s v="Q2"/>
    <x v="4"/>
    <x v="4"/>
    <x v="0"/>
    <x v="4"/>
    <x v="0"/>
    <s v="Road"/>
    <x v="1"/>
    <n v="11.7"/>
    <n v="1256"/>
    <n v="5"/>
    <n v="5"/>
    <n v="1"/>
    <n v="0"/>
    <n v="28.48"/>
    <n v="0"/>
    <n v="1"/>
  </r>
  <r>
    <s v="SHP-503594"/>
    <d v="2025-05-16T00:00:00"/>
    <x v="1"/>
    <s v="Q2"/>
    <x v="4"/>
    <x v="2"/>
    <x v="2"/>
    <x v="4"/>
    <x v="0"/>
    <s v="Road"/>
    <x v="0"/>
    <n v="266.10000000000002"/>
    <n v="844"/>
    <n v="5"/>
    <n v="6"/>
    <n v="0"/>
    <n v="1"/>
    <n v="112.76"/>
    <n v="0"/>
    <n v="1"/>
  </r>
  <r>
    <s v="SHP-503595"/>
    <d v="2025-05-16T00:00:00"/>
    <x v="1"/>
    <s v="Q2"/>
    <x v="4"/>
    <x v="2"/>
    <x v="1"/>
    <x v="0"/>
    <x v="0"/>
    <s v="Road"/>
    <x v="1"/>
    <n v="1.7"/>
    <n v="679"/>
    <n v="4"/>
    <n v="4"/>
    <n v="1"/>
    <n v="0"/>
    <n v="13.92"/>
    <n v="0"/>
    <n v="1"/>
  </r>
  <r>
    <s v="SHP-503596"/>
    <d v="2025-05-16T00:00:00"/>
    <x v="1"/>
    <s v="Q2"/>
    <x v="4"/>
    <x v="1"/>
    <x v="1"/>
    <x v="1"/>
    <x v="0"/>
    <s v="Road"/>
    <x v="1"/>
    <n v="5.2"/>
    <n v="296"/>
    <n v="3"/>
    <n v="2"/>
    <n v="1"/>
    <n v="0"/>
    <n v="13.99"/>
    <n v="0"/>
    <n v="1"/>
  </r>
  <r>
    <s v="SHP-503597"/>
    <d v="2025-05-16T00:00:00"/>
    <x v="1"/>
    <s v="Q2"/>
    <x v="4"/>
    <x v="3"/>
    <x v="1"/>
    <x v="0"/>
    <x v="1"/>
    <s v="Road"/>
    <x v="1"/>
    <n v="4.9000000000000004"/>
    <n v="1093"/>
    <n v="6"/>
    <n v="6"/>
    <n v="1"/>
    <n v="0"/>
    <n v="18.010000000000002"/>
    <n v="0"/>
    <n v="1"/>
  </r>
  <r>
    <s v="SHP-503598"/>
    <d v="2025-05-16T00:00:00"/>
    <x v="1"/>
    <s v="Q2"/>
    <x v="4"/>
    <x v="0"/>
    <x v="1"/>
    <x v="1"/>
    <x v="1"/>
    <s v="Road"/>
    <x v="0"/>
    <n v="91.9"/>
    <n v="235"/>
    <n v="5"/>
    <n v="5"/>
    <n v="1"/>
    <n v="0"/>
    <n v="37.51"/>
    <n v="0"/>
    <n v="1"/>
  </r>
  <r>
    <s v="SHP-503599"/>
    <d v="2025-05-16T00:00:00"/>
    <x v="1"/>
    <s v="Q2"/>
    <x v="4"/>
    <x v="1"/>
    <x v="2"/>
    <x v="3"/>
    <x v="2"/>
    <s v="Road"/>
    <x v="1"/>
    <n v="5.5"/>
    <n v="565"/>
    <n v="2"/>
    <n v="2"/>
    <n v="1"/>
    <n v="0"/>
    <n v="30.65"/>
    <n v="0"/>
    <n v="1"/>
  </r>
  <r>
    <s v="SHP-503600"/>
    <d v="2025-05-16T00:00:00"/>
    <x v="1"/>
    <s v="Q2"/>
    <x v="4"/>
    <x v="0"/>
    <x v="2"/>
    <x v="2"/>
    <x v="0"/>
    <s v="Road"/>
    <x v="0"/>
    <n v="249.9"/>
    <n v="1190"/>
    <n v="5"/>
    <n v="5"/>
    <n v="1"/>
    <n v="0"/>
    <n v="107.76"/>
    <n v="0"/>
    <n v="1"/>
  </r>
  <r>
    <s v="SHP-503601"/>
    <d v="2025-05-16T00:00:00"/>
    <x v="1"/>
    <s v="Q2"/>
    <x v="4"/>
    <x v="4"/>
    <x v="2"/>
    <x v="2"/>
    <x v="1"/>
    <s v="Road"/>
    <x v="0"/>
    <n v="58.5"/>
    <n v="1155"/>
    <n v="7"/>
    <n v="7"/>
    <n v="1"/>
    <n v="0"/>
    <n v="31.92"/>
    <n v="0"/>
    <n v="1"/>
  </r>
  <r>
    <s v="SHP-503602"/>
    <d v="2025-05-17T00:00:00"/>
    <x v="1"/>
    <s v="Q2"/>
    <x v="4"/>
    <x v="2"/>
    <x v="2"/>
    <x v="1"/>
    <x v="0"/>
    <s v="Road"/>
    <x v="1"/>
    <n v="4.5"/>
    <n v="205"/>
    <n v="3"/>
    <n v="3"/>
    <n v="1"/>
    <n v="0"/>
    <n v="9.85"/>
    <n v="0"/>
    <n v="1"/>
  </r>
  <r>
    <s v="SHP-503603"/>
    <d v="2025-05-17T00:00:00"/>
    <x v="1"/>
    <s v="Q2"/>
    <x v="4"/>
    <x v="2"/>
    <x v="1"/>
    <x v="4"/>
    <x v="2"/>
    <s v="Air"/>
    <x v="0"/>
    <n v="92.1"/>
    <n v="940"/>
    <n v="3"/>
    <n v="6"/>
    <n v="0"/>
    <n v="3"/>
    <n v="155.96"/>
    <n v="0"/>
    <n v="1"/>
  </r>
  <r>
    <s v="SHP-503604"/>
    <d v="2025-05-17T00:00:00"/>
    <x v="1"/>
    <s v="Q2"/>
    <x v="4"/>
    <x v="1"/>
    <x v="2"/>
    <x v="2"/>
    <x v="0"/>
    <s v="Road"/>
    <x v="0"/>
    <n v="98.1"/>
    <n v="1293"/>
    <n v="5"/>
    <n v="5"/>
    <n v="1"/>
    <n v="0"/>
    <n v="67.88"/>
    <n v="0"/>
    <n v="1"/>
  </r>
  <r>
    <s v="SHP-503605"/>
    <d v="2025-05-17T00:00:00"/>
    <x v="1"/>
    <s v="Q2"/>
    <x v="4"/>
    <x v="1"/>
    <x v="0"/>
    <x v="0"/>
    <x v="0"/>
    <s v="Road"/>
    <x v="1"/>
    <n v="3.1"/>
    <n v="995"/>
    <n v="4"/>
    <n v="4"/>
    <n v="1"/>
    <n v="0"/>
    <n v="21.1"/>
    <n v="0"/>
    <n v="1"/>
  </r>
  <r>
    <s v="SHP-503606"/>
    <d v="2025-05-17T00:00:00"/>
    <x v="1"/>
    <s v="Q2"/>
    <x v="4"/>
    <x v="0"/>
    <x v="1"/>
    <x v="1"/>
    <x v="2"/>
    <s v="Road"/>
    <x v="1"/>
    <n v="7.9"/>
    <n v="233"/>
    <n v="1"/>
    <n v="1"/>
    <n v="1"/>
    <n v="0"/>
    <n v="26.76"/>
    <n v="0"/>
    <n v="1"/>
  </r>
  <r>
    <s v="SHP-503607"/>
    <d v="2025-05-17T00:00:00"/>
    <x v="1"/>
    <s v="Q2"/>
    <x v="4"/>
    <x v="4"/>
    <x v="1"/>
    <x v="3"/>
    <x v="2"/>
    <s v="Road"/>
    <x v="0"/>
    <n v="54.6"/>
    <n v="544"/>
    <n v="2"/>
    <n v="2"/>
    <n v="1"/>
    <n v="0"/>
    <n v="78.05"/>
    <n v="0"/>
    <n v="1"/>
  </r>
  <r>
    <s v="SHP-503608"/>
    <d v="2025-05-17T00:00:00"/>
    <x v="1"/>
    <s v="Q2"/>
    <x v="4"/>
    <x v="2"/>
    <x v="1"/>
    <x v="3"/>
    <x v="1"/>
    <s v="Road"/>
    <x v="0"/>
    <n v="71.599999999999994"/>
    <n v="385"/>
    <n v="6"/>
    <n v="6"/>
    <n v="1"/>
    <n v="0"/>
    <n v="29.02"/>
    <n v="0"/>
    <n v="1"/>
  </r>
  <r>
    <s v="SHP-503609"/>
    <d v="2025-05-18T00:00:00"/>
    <x v="1"/>
    <s v="Q2"/>
    <x v="4"/>
    <x v="4"/>
    <x v="2"/>
    <x v="1"/>
    <x v="2"/>
    <s v="Road"/>
    <x v="1"/>
    <n v="3.7"/>
    <n v="179"/>
    <n v="1"/>
    <n v="1"/>
    <n v="1"/>
    <n v="0"/>
    <n v="23.92"/>
    <n v="0"/>
    <n v="1"/>
  </r>
  <r>
    <s v="SHP-503610"/>
    <d v="2025-05-18T00:00:00"/>
    <x v="1"/>
    <s v="Q2"/>
    <x v="4"/>
    <x v="4"/>
    <x v="2"/>
    <x v="1"/>
    <x v="2"/>
    <s v="Road"/>
    <x v="1"/>
    <n v="1.1000000000000001"/>
    <n v="181"/>
    <n v="1"/>
    <n v="1"/>
    <n v="1"/>
    <n v="0"/>
    <n v="16.91"/>
    <n v="0"/>
    <n v="1"/>
  </r>
  <r>
    <s v="SHP-503611"/>
    <d v="2025-05-18T00:00:00"/>
    <x v="1"/>
    <s v="Q2"/>
    <x v="4"/>
    <x v="3"/>
    <x v="2"/>
    <x v="3"/>
    <x v="2"/>
    <s v="Road"/>
    <x v="1"/>
    <n v="6.5"/>
    <n v="484"/>
    <n v="2"/>
    <n v="2"/>
    <n v="1"/>
    <n v="0"/>
    <n v="36.44"/>
    <n v="0"/>
    <n v="1"/>
  </r>
  <r>
    <s v="SHP-503612"/>
    <d v="2025-05-18T00:00:00"/>
    <x v="1"/>
    <s v="Q2"/>
    <x v="4"/>
    <x v="3"/>
    <x v="0"/>
    <x v="2"/>
    <x v="0"/>
    <s v="Road"/>
    <x v="0"/>
    <n v="154.1"/>
    <n v="1263"/>
    <n v="5"/>
    <n v="4"/>
    <n v="1"/>
    <n v="0"/>
    <n v="88.6"/>
    <n v="0"/>
    <n v="1"/>
  </r>
  <r>
    <s v="SHP-503613"/>
    <d v="2025-05-18T00:00:00"/>
    <x v="1"/>
    <s v="Q2"/>
    <x v="4"/>
    <x v="2"/>
    <x v="0"/>
    <x v="1"/>
    <x v="0"/>
    <s v="Road"/>
    <x v="0"/>
    <n v="14.4"/>
    <n v="228"/>
    <n v="3"/>
    <n v="3"/>
    <n v="1"/>
    <n v="0"/>
    <n v="14.87"/>
    <n v="0"/>
    <n v="1"/>
  </r>
  <r>
    <s v="SHP-503614"/>
    <d v="2025-05-18T00:00:00"/>
    <x v="1"/>
    <s v="Q2"/>
    <x v="4"/>
    <x v="2"/>
    <x v="0"/>
    <x v="3"/>
    <x v="0"/>
    <s v="Road"/>
    <x v="1"/>
    <n v="2.8"/>
    <n v="444"/>
    <n v="4"/>
    <n v="4"/>
    <n v="1"/>
    <n v="0"/>
    <n v="11.3"/>
    <n v="0"/>
    <n v="1"/>
  </r>
  <r>
    <s v="SHP-503615"/>
    <d v="2025-05-18T00:00:00"/>
    <x v="1"/>
    <s v="Q2"/>
    <x v="4"/>
    <x v="1"/>
    <x v="2"/>
    <x v="4"/>
    <x v="0"/>
    <s v="Road"/>
    <x v="1"/>
    <n v="3.7"/>
    <n v="1174"/>
    <n v="5"/>
    <n v="4"/>
    <n v="1"/>
    <n v="0"/>
    <n v="22.24"/>
    <n v="0"/>
    <n v="1"/>
  </r>
  <r>
    <s v="SHP-503616"/>
    <d v="2025-05-19T00:00:00"/>
    <x v="1"/>
    <s v="Q2"/>
    <x v="4"/>
    <x v="0"/>
    <x v="2"/>
    <x v="0"/>
    <x v="0"/>
    <s v="Road"/>
    <x v="1"/>
    <n v="12.2"/>
    <n v="955"/>
    <n v="4"/>
    <n v="4"/>
    <n v="1"/>
    <n v="0"/>
    <n v="26.48"/>
    <n v="0"/>
    <n v="1"/>
  </r>
  <r>
    <s v="SHP-503617"/>
    <d v="2025-05-19T00:00:00"/>
    <x v="1"/>
    <s v="Q2"/>
    <x v="4"/>
    <x v="2"/>
    <x v="2"/>
    <x v="0"/>
    <x v="2"/>
    <s v="Air"/>
    <x v="0"/>
    <n v="81.7"/>
    <n v="782"/>
    <n v="2"/>
    <n v="3"/>
    <n v="0"/>
    <n v="1"/>
    <n v="122.45"/>
    <n v="0"/>
    <n v="1"/>
  </r>
  <r>
    <s v="SHP-503618"/>
    <d v="2025-05-19T00:00:00"/>
    <x v="1"/>
    <s v="Q2"/>
    <x v="4"/>
    <x v="3"/>
    <x v="0"/>
    <x v="1"/>
    <x v="1"/>
    <s v="Road"/>
    <x v="0"/>
    <n v="175.9"/>
    <n v="223"/>
    <n v="5"/>
    <n v="5"/>
    <n v="1"/>
    <n v="0"/>
    <n v="68.02"/>
    <n v="0"/>
    <n v="1"/>
  </r>
  <r>
    <s v="SHP-503619"/>
    <d v="2025-05-19T00:00:00"/>
    <x v="1"/>
    <s v="Q2"/>
    <x v="4"/>
    <x v="4"/>
    <x v="0"/>
    <x v="1"/>
    <x v="0"/>
    <s v="Road"/>
    <x v="1"/>
    <n v="11"/>
    <n v="247"/>
    <n v="3"/>
    <n v="3"/>
    <n v="1"/>
    <n v="0"/>
    <n v="17.3"/>
    <n v="0"/>
    <n v="1"/>
  </r>
  <r>
    <s v="SHP-503620"/>
    <d v="2025-05-19T00:00:00"/>
    <x v="1"/>
    <s v="Q2"/>
    <x v="4"/>
    <x v="1"/>
    <x v="1"/>
    <x v="1"/>
    <x v="0"/>
    <s v="Road"/>
    <x v="1"/>
    <n v="3.5"/>
    <n v="286"/>
    <n v="3"/>
    <n v="5"/>
    <n v="0"/>
    <n v="2"/>
    <n v="12.89"/>
    <n v="0"/>
    <n v="1"/>
  </r>
  <r>
    <s v="SHP-503621"/>
    <d v="2025-05-19T00:00:00"/>
    <x v="1"/>
    <s v="Q2"/>
    <x v="4"/>
    <x v="0"/>
    <x v="1"/>
    <x v="0"/>
    <x v="0"/>
    <s v="Road"/>
    <x v="1"/>
    <n v="2.8"/>
    <n v="598"/>
    <n v="4"/>
    <n v="5"/>
    <n v="0"/>
    <n v="1"/>
    <n v="15.78"/>
    <n v="0"/>
    <n v="1"/>
  </r>
  <r>
    <s v="SHP-503622"/>
    <d v="2025-05-19T00:00:00"/>
    <x v="1"/>
    <s v="Q2"/>
    <x v="4"/>
    <x v="1"/>
    <x v="1"/>
    <x v="0"/>
    <x v="0"/>
    <s v="Road"/>
    <x v="0"/>
    <n v="80.7"/>
    <n v="950"/>
    <n v="4"/>
    <n v="6"/>
    <n v="0"/>
    <n v="2"/>
    <n v="58.54"/>
    <n v="0"/>
    <n v="1"/>
  </r>
  <r>
    <s v="SHP-503623"/>
    <d v="2025-05-19T00:00:00"/>
    <x v="1"/>
    <s v="Q2"/>
    <x v="4"/>
    <x v="0"/>
    <x v="1"/>
    <x v="4"/>
    <x v="1"/>
    <s v="Road"/>
    <x v="1"/>
    <n v="1.5"/>
    <n v="1108"/>
    <n v="7"/>
    <n v="6"/>
    <n v="1"/>
    <n v="0"/>
    <n v="13.69"/>
    <n v="0"/>
    <n v="1"/>
  </r>
  <r>
    <s v="SHP-503624"/>
    <d v="2025-05-19T00:00:00"/>
    <x v="1"/>
    <s v="Q2"/>
    <x v="4"/>
    <x v="0"/>
    <x v="2"/>
    <x v="0"/>
    <x v="0"/>
    <s v="Road"/>
    <x v="0"/>
    <n v="159.9"/>
    <n v="905"/>
    <n v="4"/>
    <n v="4"/>
    <n v="1"/>
    <n v="0"/>
    <n v="87.25"/>
    <n v="0"/>
    <n v="1"/>
  </r>
  <r>
    <s v="SHP-503625"/>
    <d v="2025-05-19T00:00:00"/>
    <x v="1"/>
    <s v="Q2"/>
    <x v="4"/>
    <x v="4"/>
    <x v="0"/>
    <x v="0"/>
    <x v="2"/>
    <s v="Air"/>
    <x v="0"/>
    <n v="212.6"/>
    <n v="811"/>
    <n v="2"/>
    <n v="2"/>
    <n v="1"/>
    <n v="0"/>
    <n v="325.66000000000003"/>
    <n v="0"/>
    <n v="1"/>
  </r>
  <r>
    <s v="SHP-503626"/>
    <d v="2025-05-19T00:00:00"/>
    <x v="1"/>
    <s v="Q2"/>
    <x v="4"/>
    <x v="0"/>
    <x v="2"/>
    <x v="0"/>
    <x v="2"/>
    <s v="Air"/>
    <x v="0"/>
    <n v="134.6"/>
    <n v="833"/>
    <n v="2"/>
    <n v="1"/>
    <n v="1"/>
    <n v="0"/>
    <n v="235.09"/>
    <n v="0"/>
    <n v="1"/>
  </r>
  <r>
    <s v="SHP-503627"/>
    <d v="2025-05-19T00:00:00"/>
    <x v="1"/>
    <s v="Q2"/>
    <x v="4"/>
    <x v="2"/>
    <x v="2"/>
    <x v="4"/>
    <x v="0"/>
    <s v="Road"/>
    <x v="1"/>
    <n v="5.4"/>
    <n v="765"/>
    <n v="5"/>
    <n v="5"/>
    <n v="1"/>
    <n v="0"/>
    <n v="16.46"/>
    <n v="0"/>
    <n v="1"/>
  </r>
  <r>
    <s v="SHP-503628"/>
    <d v="2025-05-19T00:00:00"/>
    <x v="1"/>
    <s v="Q2"/>
    <x v="4"/>
    <x v="2"/>
    <x v="1"/>
    <x v="1"/>
    <x v="0"/>
    <s v="Road"/>
    <x v="1"/>
    <n v="2.4"/>
    <n v="316"/>
    <n v="3"/>
    <n v="3"/>
    <n v="1"/>
    <n v="0"/>
    <n v="9.6199999999999992"/>
    <n v="0"/>
    <n v="1"/>
  </r>
  <r>
    <s v="SHP-503629"/>
    <d v="2025-05-19T00:00:00"/>
    <x v="1"/>
    <s v="Q2"/>
    <x v="4"/>
    <x v="1"/>
    <x v="1"/>
    <x v="0"/>
    <x v="0"/>
    <s v="Road"/>
    <x v="0"/>
    <n v="52.1"/>
    <n v="1026"/>
    <n v="4"/>
    <n v="4"/>
    <n v="1"/>
    <n v="0"/>
    <n v="48.62"/>
    <n v="0"/>
    <n v="1"/>
  </r>
  <r>
    <s v="SHP-503630"/>
    <d v="2025-05-19T00:00:00"/>
    <x v="1"/>
    <s v="Q2"/>
    <x v="4"/>
    <x v="2"/>
    <x v="2"/>
    <x v="1"/>
    <x v="0"/>
    <s v="Road"/>
    <x v="0"/>
    <n v="119.9"/>
    <n v="237"/>
    <n v="3"/>
    <n v="7"/>
    <n v="0"/>
    <n v="4"/>
    <n v="52.88"/>
    <n v="0"/>
    <n v="1"/>
  </r>
  <r>
    <s v="SHP-503631"/>
    <d v="2025-05-19T00:00:00"/>
    <x v="1"/>
    <s v="Q2"/>
    <x v="4"/>
    <x v="4"/>
    <x v="1"/>
    <x v="0"/>
    <x v="0"/>
    <s v="Road"/>
    <x v="0"/>
    <n v="83.5"/>
    <n v="920"/>
    <n v="4"/>
    <n v="3"/>
    <n v="1"/>
    <n v="0"/>
    <n v="58.59"/>
    <n v="0"/>
    <n v="1"/>
  </r>
  <r>
    <s v="SHP-503632"/>
    <d v="2025-05-20T00:00:00"/>
    <x v="1"/>
    <s v="Q2"/>
    <x v="4"/>
    <x v="1"/>
    <x v="0"/>
    <x v="3"/>
    <x v="0"/>
    <s v="Road"/>
    <x v="0"/>
    <n v="44.1"/>
    <n v="540"/>
    <n v="4"/>
    <n v="3"/>
    <n v="1"/>
    <n v="0"/>
    <n v="39.93"/>
    <n v="0"/>
    <n v="1"/>
  </r>
  <r>
    <s v="SHP-503633"/>
    <d v="2025-05-20T00:00:00"/>
    <x v="1"/>
    <s v="Q2"/>
    <x v="4"/>
    <x v="1"/>
    <x v="1"/>
    <x v="0"/>
    <x v="1"/>
    <s v="Road"/>
    <x v="1"/>
    <n v="8.9"/>
    <n v="880"/>
    <n v="6"/>
    <n v="6"/>
    <n v="1"/>
    <n v="0"/>
    <n v="17.600000000000001"/>
    <n v="0"/>
    <n v="1"/>
  </r>
  <r>
    <s v="SHP-503634"/>
    <d v="2025-05-20T00:00:00"/>
    <x v="1"/>
    <s v="Q2"/>
    <x v="4"/>
    <x v="4"/>
    <x v="2"/>
    <x v="1"/>
    <x v="1"/>
    <s v="Road"/>
    <x v="1"/>
    <n v="12.5"/>
    <n v="259"/>
    <n v="5"/>
    <n v="5"/>
    <n v="1"/>
    <n v="0"/>
    <n v="13.04"/>
    <n v="0"/>
    <n v="1"/>
  </r>
  <r>
    <s v="SHP-503635"/>
    <d v="2025-05-20T00:00:00"/>
    <x v="1"/>
    <s v="Q2"/>
    <x v="4"/>
    <x v="0"/>
    <x v="0"/>
    <x v="4"/>
    <x v="0"/>
    <s v="Road"/>
    <x v="1"/>
    <n v="3.7"/>
    <n v="1136"/>
    <n v="5"/>
    <n v="5"/>
    <n v="1"/>
    <n v="0"/>
    <n v="22.16"/>
    <n v="0"/>
    <n v="1"/>
  </r>
  <r>
    <s v="SHP-503636"/>
    <d v="2025-05-20T00:00:00"/>
    <x v="1"/>
    <s v="Q2"/>
    <x v="4"/>
    <x v="3"/>
    <x v="1"/>
    <x v="0"/>
    <x v="0"/>
    <s v="Road"/>
    <x v="1"/>
    <n v="1.9"/>
    <n v="772"/>
    <n v="4"/>
    <n v="3"/>
    <n v="1"/>
    <n v="0"/>
    <n v="20.16"/>
    <n v="0"/>
    <n v="1"/>
  </r>
  <r>
    <s v="SHP-503637"/>
    <d v="2025-05-20T00:00:00"/>
    <x v="1"/>
    <s v="Q2"/>
    <x v="4"/>
    <x v="4"/>
    <x v="0"/>
    <x v="0"/>
    <x v="2"/>
    <s v="Air"/>
    <x v="0"/>
    <n v="83.8"/>
    <n v="946"/>
    <n v="2"/>
    <n v="1"/>
    <n v="1"/>
    <n v="0"/>
    <n v="177.87"/>
    <n v="0"/>
    <n v="1"/>
  </r>
  <r>
    <s v="SHP-503638"/>
    <d v="2025-05-20T00:00:00"/>
    <x v="1"/>
    <s v="Q2"/>
    <x v="4"/>
    <x v="0"/>
    <x v="2"/>
    <x v="3"/>
    <x v="0"/>
    <s v="Road"/>
    <x v="0"/>
    <n v="66.599999999999994"/>
    <n v="574"/>
    <n v="4"/>
    <n v="3"/>
    <n v="1"/>
    <n v="0"/>
    <n v="40.159999999999997"/>
    <n v="0"/>
    <n v="1"/>
  </r>
  <r>
    <s v="SHP-503639"/>
    <d v="2025-05-20T00:00:00"/>
    <x v="1"/>
    <s v="Q2"/>
    <x v="4"/>
    <x v="0"/>
    <x v="2"/>
    <x v="3"/>
    <x v="1"/>
    <s v="Road"/>
    <x v="1"/>
    <n v="2.7"/>
    <n v="423"/>
    <n v="6"/>
    <n v="6"/>
    <n v="1"/>
    <n v="0"/>
    <n v="9.3000000000000007"/>
    <n v="0"/>
    <n v="1"/>
  </r>
  <r>
    <s v="SHP-503640"/>
    <d v="2025-05-21T00:00:00"/>
    <x v="1"/>
    <s v="Q2"/>
    <x v="4"/>
    <x v="2"/>
    <x v="2"/>
    <x v="0"/>
    <x v="1"/>
    <s v="Road"/>
    <x v="1"/>
    <n v="5.0999999999999996"/>
    <n v="932"/>
    <n v="6"/>
    <n v="6"/>
    <n v="1"/>
    <n v="0"/>
    <n v="13.7"/>
    <n v="0"/>
    <n v="1"/>
  </r>
  <r>
    <s v="SHP-503641"/>
    <d v="2025-05-21T00:00:00"/>
    <x v="1"/>
    <s v="Q2"/>
    <x v="4"/>
    <x v="3"/>
    <x v="2"/>
    <x v="3"/>
    <x v="2"/>
    <s v="Road"/>
    <x v="1"/>
    <n v="6.4"/>
    <n v="484"/>
    <n v="2"/>
    <n v="2"/>
    <n v="1"/>
    <n v="0"/>
    <n v="33.19"/>
    <n v="0"/>
    <n v="1"/>
  </r>
  <r>
    <s v="SHP-503642"/>
    <d v="2025-05-21T00:00:00"/>
    <x v="1"/>
    <s v="Q2"/>
    <x v="4"/>
    <x v="3"/>
    <x v="2"/>
    <x v="3"/>
    <x v="1"/>
    <s v="Road"/>
    <x v="0"/>
    <n v="135.80000000000001"/>
    <n v="385"/>
    <n v="6"/>
    <n v="6"/>
    <n v="1"/>
    <n v="0"/>
    <n v="58.15"/>
    <n v="0"/>
    <n v="1"/>
  </r>
  <r>
    <s v="SHP-503643"/>
    <d v="2025-05-21T00:00:00"/>
    <x v="1"/>
    <s v="Q2"/>
    <x v="4"/>
    <x v="4"/>
    <x v="2"/>
    <x v="4"/>
    <x v="0"/>
    <s v="Road"/>
    <x v="0"/>
    <n v="128.4"/>
    <n v="1037"/>
    <n v="5"/>
    <n v="5"/>
    <n v="1"/>
    <n v="0"/>
    <n v="72.650000000000006"/>
    <n v="0"/>
    <n v="1"/>
  </r>
  <r>
    <s v="SHP-503644"/>
    <d v="2025-05-21T00:00:00"/>
    <x v="1"/>
    <s v="Q2"/>
    <x v="4"/>
    <x v="0"/>
    <x v="1"/>
    <x v="2"/>
    <x v="0"/>
    <s v="Road"/>
    <x v="0"/>
    <n v="204.2"/>
    <n v="1059"/>
    <n v="5"/>
    <n v="5"/>
    <n v="1"/>
    <n v="0"/>
    <n v="98.23"/>
    <n v="0"/>
    <n v="1"/>
  </r>
  <r>
    <s v="SHP-503645"/>
    <d v="2025-05-21T00:00:00"/>
    <x v="1"/>
    <s v="Q2"/>
    <x v="4"/>
    <x v="4"/>
    <x v="0"/>
    <x v="1"/>
    <x v="0"/>
    <s v="Road"/>
    <x v="1"/>
    <n v="12.5"/>
    <n v="255"/>
    <n v="3"/>
    <n v="3"/>
    <n v="1"/>
    <n v="0"/>
    <n v="16.96"/>
    <n v="0"/>
    <n v="1"/>
  </r>
  <r>
    <s v="SHP-503646"/>
    <d v="2025-05-21T00:00:00"/>
    <x v="1"/>
    <s v="Q2"/>
    <x v="4"/>
    <x v="0"/>
    <x v="2"/>
    <x v="3"/>
    <x v="0"/>
    <s v="Road"/>
    <x v="1"/>
    <n v="3.7"/>
    <n v="485"/>
    <n v="4"/>
    <n v="6"/>
    <n v="0"/>
    <n v="2"/>
    <n v="15.47"/>
    <n v="0"/>
    <n v="1"/>
  </r>
  <r>
    <s v="SHP-503647"/>
    <d v="2025-05-21T00:00:00"/>
    <x v="1"/>
    <s v="Q2"/>
    <x v="4"/>
    <x v="2"/>
    <x v="1"/>
    <x v="4"/>
    <x v="1"/>
    <s v="Road"/>
    <x v="1"/>
    <n v="8.9"/>
    <n v="955"/>
    <n v="7"/>
    <n v="8"/>
    <n v="0"/>
    <n v="1"/>
    <n v="12.81"/>
    <n v="0"/>
    <n v="1"/>
  </r>
  <r>
    <s v="SHP-503648"/>
    <d v="2025-05-21T00:00:00"/>
    <x v="1"/>
    <s v="Q2"/>
    <x v="4"/>
    <x v="3"/>
    <x v="0"/>
    <x v="0"/>
    <x v="1"/>
    <s v="Road"/>
    <x v="1"/>
    <n v="1.6"/>
    <n v="889"/>
    <n v="6"/>
    <n v="6"/>
    <n v="1"/>
    <n v="0"/>
    <n v="16.079999999999998"/>
    <n v="0"/>
    <n v="1"/>
  </r>
  <r>
    <s v="SHP-503649"/>
    <d v="2025-05-21T00:00:00"/>
    <x v="1"/>
    <s v="Q2"/>
    <x v="4"/>
    <x v="0"/>
    <x v="1"/>
    <x v="0"/>
    <x v="0"/>
    <s v="Road"/>
    <x v="0"/>
    <n v="62.5"/>
    <n v="1118"/>
    <n v="4"/>
    <n v="4"/>
    <n v="1"/>
    <n v="0"/>
    <n v="45.46"/>
    <n v="0"/>
    <n v="1"/>
  </r>
  <r>
    <s v="SHP-503650"/>
    <d v="2025-05-21T00:00:00"/>
    <x v="1"/>
    <s v="Q2"/>
    <x v="4"/>
    <x v="4"/>
    <x v="2"/>
    <x v="2"/>
    <x v="0"/>
    <s v="Road"/>
    <x v="0"/>
    <n v="115.4"/>
    <n v="1128"/>
    <n v="5"/>
    <n v="5"/>
    <n v="1"/>
    <n v="0"/>
    <n v="64.97"/>
    <n v="0"/>
    <n v="1"/>
  </r>
  <r>
    <s v="SHP-503651"/>
    <d v="2025-05-21T00:00:00"/>
    <x v="1"/>
    <s v="Q2"/>
    <x v="4"/>
    <x v="0"/>
    <x v="2"/>
    <x v="1"/>
    <x v="1"/>
    <s v="Road"/>
    <x v="1"/>
    <n v="14.3"/>
    <n v="253"/>
    <n v="5"/>
    <n v="5"/>
    <n v="1"/>
    <n v="0"/>
    <n v="12.58"/>
    <n v="0"/>
    <n v="1"/>
  </r>
  <r>
    <s v="SHP-503652"/>
    <d v="2025-05-21T00:00:00"/>
    <x v="1"/>
    <s v="Q2"/>
    <x v="4"/>
    <x v="0"/>
    <x v="0"/>
    <x v="1"/>
    <x v="0"/>
    <s v="Road"/>
    <x v="1"/>
    <n v="6.2"/>
    <n v="279"/>
    <n v="3"/>
    <n v="3"/>
    <n v="1"/>
    <n v="0"/>
    <n v="12.5"/>
    <n v="0"/>
    <n v="1"/>
  </r>
  <r>
    <s v="SHP-503653"/>
    <d v="2025-05-22T00:00:00"/>
    <x v="1"/>
    <s v="Q2"/>
    <x v="4"/>
    <x v="3"/>
    <x v="2"/>
    <x v="4"/>
    <x v="0"/>
    <s v="Road"/>
    <x v="1"/>
    <n v="0.8"/>
    <n v="1108"/>
    <n v="5"/>
    <n v="4"/>
    <n v="1"/>
    <n v="0"/>
    <n v="19.37"/>
    <n v="0"/>
    <n v="1"/>
  </r>
  <r>
    <s v="SHP-503654"/>
    <d v="2025-05-22T00:00:00"/>
    <x v="1"/>
    <s v="Q2"/>
    <x v="4"/>
    <x v="1"/>
    <x v="1"/>
    <x v="3"/>
    <x v="2"/>
    <s v="Road"/>
    <x v="1"/>
    <n v="6.5"/>
    <n v="583"/>
    <n v="2"/>
    <n v="1"/>
    <n v="1"/>
    <n v="0"/>
    <n v="37.1"/>
    <n v="0"/>
    <n v="1"/>
  </r>
  <r>
    <s v="SHP-503655"/>
    <d v="2025-05-22T00:00:00"/>
    <x v="1"/>
    <s v="Q2"/>
    <x v="4"/>
    <x v="2"/>
    <x v="2"/>
    <x v="3"/>
    <x v="1"/>
    <s v="Road"/>
    <x v="1"/>
    <n v="5.6"/>
    <n v="508"/>
    <n v="6"/>
    <n v="5"/>
    <n v="1"/>
    <n v="0"/>
    <n v="9.93"/>
    <n v="0"/>
    <n v="1"/>
  </r>
  <r>
    <s v="SHP-503656"/>
    <d v="2025-05-22T00:00:00"/>
    <x v="1"/>
    <s v="Q2"/>
    <x v="4"/>
    <x v="4"/>
    <x v="1"/>
    <x v="4"/>
    <x v="0"/>
    <s v="Road"/>
    <x v="1"/>
    <n v="5.7"/>
    <n v="1102"/>
    <n v="5"/>
    <n v="5"/>
    <n v="1"/>
    <n v="0"/>
    <n v="23.04"/>
    <n v="0"/>
    <n v="1"/>
  </r>
  <r>
    <s v="SHP-503657"/>
    <d v="2025-05-22T00:00:00"/>
    <x v="1"/>
    <s v="Q2"/>
    <x v="4"/>
    <x v="4"/>
    <x v="1"/>
    <x v="0"/>
    <x v="0"/>
    <s v="Road"/>
    <x v="1"/>
    <n v="3.5"/>
    <n v="1013"/>
    <n v="4"/>
    <n v="4"/>
    <n v="1"/>
    <n v="0"/>
    <n v="21.22"/>
    <n v="0"/>
    <n v="1"/>
  </r>
  <r>
    <s v="SHP-503658"/>
    <d v="2025-05-22T00:00:00"/>
    <x v="1"/>
    <s v="Q2"/>
    <x v="4"/>
    <x v="2"/>
    <x v="1"/>
    <x v="4"/>
    <x v="0"/>
    <s v="Road"/>
    <x v="1"/>
    <n v="6.5"/>
    <n v="918"/>
    <n v="5"/>
    <n v="5"/>
    <n v="1"/>
    <n v="0"/>
    <n v="20.350000000000001"/>
    <n v="0"/>
    <n v="1"/>
  </r>
  <r>
    <s v="SHP-503659"/>
    <d v="2025-05-22T00:00:00"/>
    <x v="1"/>
    <s v="Q2"/>
    <x v="4"/>
    <x v="1"/>
    <x v="2"/>
    <x v="0"/>
    <x v="0"/>
    <s v="Road"/>
    <x v="1"/>
    <n v="4.0999999999999996"/>
    <n v="955"/>
    <n v="4"/>
    <n v="4"/>
    <n v="1"/>
    <n v="0"/>
    <n v="21.65"/>
    <n v="0"/>
    <n v="1"/>
  </r>
  <r>
    <s v="SHP-503660"/>
    <d v="2025-05-22T00:00:00"/>
    <x v="1"/>
    <s v="Q2"/>
    <x v="4"/>
    <x v="4"/>
    <x v="0"/>
    <x v="4"/>
    <x v="0"/>
    <s v="Road"/>
    <x v="0"/>
    <n v="172.8"/>
    <n v="1149"/>
    <n v="5"/>
    <n v="4"/>
    <n v="1"/>
    <n v="0"/>
    <n v="92.87"/>
    <n v="0"/>
    <n v="1"/>
  </r>
  <r>
    <s v="SHP-503661"/>
    <d v="2025-05-22T00:00:00"/>
    <x v="1"/>
    <s v="Q2"/>
    <x v="4"/>
    <x v="3"/>
    <x v="2"/>
    <x v="4"/>
    <x v="0"/>
    <s v="Road"/>
    <x v="1"/>
    <n v="6.3"/>
    <n v="1476"/>
    <n v="5"/>
    <n v="5"/>
    <n v="1"/>
    <n v="0"/>
    <n v="30.52"/>
    <n v="0"/>
    <n v="1"/>
  </r>
  <r>
    <s v="SHP-503662"/>
    <d v="2025-05-22T00:00:00"/>
    <x v="1"/>
    <s v="Q2"/>
    <x v="4"/>
    <x v="3"/>
    <x v="2"/>
    <x v="2"/>
    <x v="1"/>
    <s v="Road"/>
    <x v="0"/>
    <n v="110.9"/>
    <n v="1240"/>
    <n v="7"/>
    <n v="6"/>
    <n v="1"/>
    <n v="0"/>
    <n v="56.72"/>
    <n v="0"/>
    <n v="1"/>
  </r>
  <r>
    <s v="SHP-503663"/>
    <d v="2025-05-22T00:00:00"/>
    <x v="1"/>
    <s v="Q2"/>
    <x v="4"/>
    <x v="3"/>
    <x v="0"/>
    <x v="3"/>
    <x v="1"/>
    <s v="Road"/>
    <x v="0"/>
    <n v="93.6"/>
    <n v="589"/>
    <n v="6"/>
    <n v="6"/>
    <n v="1"/>
    <n v="0"/>
    <n v="40.61"/>
    <n v="1"/>
    <n v="1"/>
  </r>
  <r>
    <s v="SHP-503664"/>
    <d v="2025-05-22T00:00:00"/>
    <x v="1"/>
    <s v="Q2"/>
    <x v="4"/>
    <x v="4"/>
    <x v="2"/>
    <x v="3"/>
    <x v="2"/>
    <s v="Road"/>
    <x v="1"/>
    <n v="3.1"/>
    <n v="385"/>
    <n v="2"/>
    <n v="2"/>
    <n v="1"/>
    <n v="0"/>
    <n v="25.9"/>
    <n v="0"/>
    <n v="1"/>
  </r>
  <r>
    <s v="SHP-503665"/>
    <d v="2025-05-23T00:00:00"/>
    <x v="1"/>
    <s v="Q2"/>
    <x v="4"/>
    <x v="4"/>
    <x v="2"/>
    <x v="1"/>
    <x v="0"/>
    <s v="Road"/>
    <x v="1"/>
    <n v="1.2"/>
    <n v="244"/>
    <n v="3"/>
    <n v="2"/>
    <n v="1"/>
    <n v="0"/>
    <n v="9.9700000000000006"/>
    <n v="0"/>
    <n v="1"/>
  </r>
  <r>
    <s v="SHP-503666"/>
    <d v="2025-05-23T00:00:00"/>
    <x v="1"/>
    <s v="Q2"/>
    <x v="4"/>
    <x v="1"/>
    <x v="0"/>
    <x v="1"/>
    <x v="2"/>
    <s v="Road"/>
    <x v="1"/>
    <n v="4.8"/>
    <n v="218"/>
    <n v="1"/>
    <n v="1"/>
    <n v="1"/>
    <n v="0"/>
    <n v="24.17"/>
    <n v="0"/>
    <n v="1"/>
  </r>
  <r>
    <s v="SHP-503667"/>
    <d v="2025-05-23T00:00:00"/>
    <x v="1"/>
    <s v="Q2"/>
    <x v="4"/>
    <x v="3"/>
    <x v="0"/>
    <x v="3"/>
    <x v="0"/>
    <s v="Road"/>
    <x v="0"/>
    <n v="87.3"/>
    <n v="492"/>
    <n v="4"/>
    <n v="4"/>
    <n v="1"/>
    <n v="0"/>
    <n v="59.21"/>
    <n v="0"/>
    <n v="1"/>
  </r>
  <r>
    <s v="SHP-503668"/>
    <d v="2025-05-23T00:00:00"/>
    <x v="1"/>
    <s v="Q2"/>
    <x v="4"/>
    <x v="1"/>
    <x v="2"/>
    <x v="3"/>
    <x v="2"/>
    <s v="Road"/>
    <x v="0"/>
    <n v="46.6"/>
    <n v="384"/>
    <n v="2"/>
    <n v="2"/>
    <n v="1"/>
    <n v="0"/>
    <n v="72.349999999999994"/>
    <n v="0"/>
    <n v="1"/>
  </r>
  <r>
    <s v="SHP-503669"/>
    <d v="2025-05-23T00:00:00"/>
    <x v="1"/>
    <s v="Q2"/>
    <x v="4"/>
    <x v="1"/>
    <x v="2"/>
    <x v="0"/>
    <x v="0"/>
    <s v="Road"/>
    <x v="0"/>
    <n v="78.2"/>
    <n v="889"/>
    <n v="4"/>
    <n v="3"/>
    <n v="1"/>
    <n v="0"/>
    <n v="55.8"/>
    <n v="0"/>
    <n v="1"/>
  </r>
  <r>
    <s v="SHP-503670"/>
    <d v="2025-05-23T00:00:00"/>
    <x v="1"/>
    <s v="Q2"/>
    <x v="4"/>
    <x v="2"/>
    <x v="0"/>
    <x v="4"/>
    <x v="2"/>
    <s v="Air"/>
    <x v="1"/>
    <n v="1.5"/>
    <n v="1250"/>
    <n v="3"/>
    <n v="6"/>
    <n v="0"/>
    <n v="3"/>
    <n v="60.24"/>
    <n v="0"/>
    <n v="1"/>
  </r>
  <r>
    <s v="SHP-503671"/>
    <d v="2025-05-23T00:00:00"/>
    <x v="1"/>
    <s v="Q2"/>
    <x v="4"/>
    <x v="3"/>
    <x v="2"/>
    <x v="4"/>
    <x v="0"/>
    <s v="Road"/>
    <x v="1"/>
    <n v="3.3"/>
    <n v="992"/>
    <n v="5"/>
    <n v="5"/>
    <n v="1"/>
    <n v="0"/>
    <n v="23.55"/>
    <n v="0"/>
    <n v="1"/>
  </r>
  <r>
    <s v="SHP-503672"/>
    <d v="2025-05-23T00:00:00"/>
    <x v="1"/>
    <s v="Q2"/>
    <x v="4"/>
    <x v="3"/>
    <x v="1"/>
    <x v="3"/>
    <x v="0"/>
    <s v="Road"/>
    <x v="1"/>
    <n v="5.6"/>
    <n v="444"/>
    <n v="4"/>
    <n v="4"/>
    <n v="1"/>
    <n v="0"/>
    <n v="15.95"/>
    <n v="0"/>
    <n v="1"/>
  </r>
  <r>
    <s v="SHP-503673"/>
    <d v="2025-05-24T00:00:00"/>
    <x v="1"/>
    <s v="Q2"/>
    <x v="4"/>
    <x v="1"/>
    <x v="2"/>
    <x v="3"/>
    <x v="1"/>
    <s v="Road"/>
    <x v="1"/>
    <n v="1.8"/>
    <n v="561"/>
    <n v="6"/>
    <n v="6"/>
    <n v="1"/>
    <n v="0"/>
    <n v="11.28"/>
    <n v="0"/>
    <n v="1"/>
  </r>
  <r>
    <s v="SHP-503674"/>
    <d v="2025-05-24T00:00:00"/>
    <x v="1"/>
    <s v="Q2"/>
    <x v="4"/>
    <x v="3"/>
    <x v="2"/>
    <x v="3"/>
    <x v="0"/>
    <s v="Road"/>
    <x v="0"/>
    <n v="84.8"/>
    <n v="501"/>
    <n v="4"/>
    <n v="4"/>
    <n v="1"/>
    <n v="0"/>
    <n v="60.95"/>
    <n v="0"/>
    <n v="1"/>
  </r>
  <r>
    <s v="SHP-503675"/>
    <d v="2025-05-25T00:00:00"/>
    <x v="1"/>
    <s v="Q2"/>
    <x v="4"/>
    <x v="1"/>
    <x v="1"/>
    <x v="0"/>
    <x v="0"/>
    <s v="Road"/>
    <x v="0"/>
    <n v="352.5"/>
    <n v="725"/>
    <n v="4"/>
    <n v="4"/>
    <n v="1"/>
    <n v="0"/>
    <n v="163.43"/>
    <n v="0"/>
    <n v="1"/>
  </r>
  <r>
    <s v="SHP-503676"/>
    <d v="2025-05-26T00:00:00"/>
    <x v="1"/>
    <s v="Q2"/>
    <x v="4"/>
    <x v="3"/>
    <x v="2"/>
    <x v="2"/>
    <x v="2"/>
    <s v="Air"/>
    <x v="1"/>
    <n v="21.8"/>
    <n v="1439"/>
    <n v="3"/>
    <n v="3"/>
    <n v="1"/>
    <n v="0"/>
    <n v="117.79"/>
    <n v="0"/>
    <n v="1"/>
  </r>
  <r>
    <s v="SHP-503677"/>
    <d v="2025-05-26T00:00:00"/>
    <x v="1"/>
    <s v="Q2"/>
    <x v="4"/>
    <x v="0"/>
    <x v="1"/>
    <x v="4"/>
    <x v="1"/>
    <s v="Road"/>
    <x v="1"/>
    <n v="11.9"/>
    <n v="1142"/>
    <n v="7"/>
    <n v="7"/>
    <n v="1"/>
    <n v="0"/>
    <n v="18.96"/>
    <n v="0"/>
    <n v="1"/>
  </r>
  <r>
    <s v="SHP-503678"/>
    <d v="2025-05-26T00:00:00"/>
    <x v="1"/>
    <s v="Q2"/>
    <x v="4"/>
    <x v="3"/>
    <x v="1"/>
    <x v="1"/>
    <x v="2"/>
    <s v="Road"/>
    <x v="1"/>
    <n v="11.7"/>
    <n v="256"/>
    <n v="1"/>
    <n v="1"/>
    <n v="1"/>
    <n v="0"/>
    <n v="37.090000000000003"/>
    <n v="0"/>
    <n v="1"/>
  </r>
  <r>
    <s v="SHP-503679"/>
    <d v="2025-05-26T00:00:00"/>
    <x v="1"/>
    <s v="Q2"/>
    <x v="4"/>
    <x v="3"/>
    <x v="1"/>
    <x v="2"/>
    <x v="1"/>
    <s v="Road"/>
    <x v="1"/>
    <n v="9.5"/>
    <n v="921"/>
    <n v="7"/>
    <n v="7"/>
    <n v="1"/>
    <n v="0"/>
    <n v="17.52"/>
    <n v="0"/>
    <n v="1"/>
  </r>
  <r>
    <s v="SHP-503680"/>
    <d v="2025-05-26T00:00:00"/>
    <x v="1"/>
    <s v="Q2"/>
    <x v="4"/>
    <x v="3"/>
    <x v="2"/>
    <x v="0"/>
    <x v="1"/>
    <s v="Road"/>
    <x v="1"/>
    <n v="20.100000000000001"/>
    <n v="789"/>
    <n v="6"/>
    <n v="6"/>
    <n v="1"/>
    <n v="0"/>
    <n v="22.64"/>
    <n v="0"/>
    <n v="1"/>
  </r>
  <r>
    <s v="SHP-503681"/>
    <d v="2025-05-26T00:00:00"/>
    <x v="1"/>
    <s v="Q2"/>
    <x v="4"/>
    <x v="0"/>
    <x v="2"/>
    <x v="4"/>
    <x v="0"/>
    <s v="Road"/>
    <x v="0"/>
    <n v="126.9"/>
    <n v="1034"/>
    <n v="5"/>
    <n v="5"/>
    <n v="1"/>
    <n v="0"/>
    <n v="75.400000000000006"/>
    <n v="0"/>
    <n v="1"/>
  </r>
  <r>
    <s v="SHP-503682"/>
    <d v="2025-05-26T00:00:00"/>
    <x v="1"/>
    <s v="Q2"/>
    <x v="4"/>
    <x v="2"/>
    <x v="2"/>
    <x v="1"/>
    <x v="0"/>
    <s v="Road"/>
    <x v="0"/>
    <n v="163.19999999999999"/>
    <n v="233"/>
    <n v="3"/>
    <n v="3"/>
    <n v="1"/>
    <n v="0"/>
    <n v="65.489999999999995"/>
    <n v="0"/>
    <n v="1"/>
  </r>
  <r>
    <s v="SHP-503683"/>
    <d v="2025-05-26T00:00:00"/>
    <x v="1"/>
    <s v="Q2"/>
    <x v="4"/>
    <x v="0"/>
    <x v="2"/>
    <x v="1"/>
    <x v="0"/>
    <s v="Road"/>
    <x v="1"/>
    <n v="13.3"/>
    <n v="264"/>
    <n v="3"/>
    <n v="3"/>
    <n v="1"/>
    <n v="0"/>
    <n v="17.52"/>
    <n v="0"/>
    <n v="1"/>
  </r>
  <r>
    <s v="SHP-503684"/>
    <d v="2025-05-26T00:00:00"/>
    <x v="1"/>
    <s v="Q2"/>
    <x v="4"/>
    <x v="4"/>
    <x v="0"/>
    <x v="0"/>
    <x v="1"/>
    <s v="Road"/>
    <x v="1"/>
    <n v="0.9"/>
    <n v="919"/>
    <n v="6"/>
    <n v="6"/>
    <n v="1"/>
    <n v="0"/>
    <n v="12.61"/>
    <n v="0"/>
    <n v="1"/>
  </r>
  <r>
    <s v="SHP-503685"/>
    <d v="2025-05-26T00:00:00"/>
    <x v="1"/>
    <s v="Q2"/>
    <x v="4"/>
    <x v="0"/>
    <x v="1"/>
    <x v="1"/>
    <x v="0"/>
    <s v="Road"/>
    <x v="1"/>
    <n v="7.1"/>
    <n v="241"/>
    <n v="3"/>
    <n v="2"/>
    <n v="1"/>
    <n v="0"/>
    <n v="13.64"/>
    <n v="0"/>
    <n v="1"/>
  </r>
  <r>
    <s v="SHP-503686"/>
    <d v="2025-05-27T00:00:00"/>
    <x v="1"/>
    <s v="Q2"/>
    <x v="4"/>
    <x v="2"/>
    <x v="0"/>
    <x v="3"/>
    <x v="2"/>
    <s v="Road"/>
    <x v="1"/>
    <n v="2.4"/>
    <n v="530"/>
    <n v="2"/>
    <n v="2"/>
    <n v="1"/>
    <n v="0"/>
    <n v="21.08"/>
    <n v="0"/>
    <n v="1"/>
  </r>
  <r>
    <s v="SHP-503687"/>
    <d v="2025-05-27T00:00:00"/>
    <x v="1"/>
    <s v="Q2"/>
    <x v="4"/>
    <x v="1"/>
    <x v="0"/>
    <x v="3"/>
    <x v="1"/>
    <s v="Road"/>
    <x v="0"/>
    <n v="186.8"/>
    <n v="494"/>
    <n v="6"/>
    <n v="5"/>
    <n v="1"/>
    <n v="0"/>
    <n v="68.45"/>
    <n v="0"/>
    <n v="1"/>
  </r>
  <r>
    <s v="SHP-503688"/>
    <d v="2025-05-27T00:00:00"/>
    <x v="1"/>
    <s v="Q2"/>
    <x v="4"/>
    <x v="0"/>
    <x v="2"/>
    <x v="3"/>
    <x v="1"/>
    <s v="Road"/>
    <x v="1"/>
    <n v="4.4000000000000004"/>
    <n v="312"/>
    <n v="6"/>
    <n v="5"/>
    <n v="1"/>
    <n v="0"/>
    <n v="9.77"/>
    <n v="0"/>
    <n v="1"/>
  </r>
  <r>
    <s v="SHP-503689"/>
    <d v="2025-05-27T00:00:00"/>
    <x v="1"/>
    <s v="Q2"/>
    <x v="4"/>
    <x v="3"/>
    <x v="0"/>
    <x v="2"/>
    <x v="2"/>
    <s v="Air"/>
    <x v="1"/>
    <n v="10.5"/>
    <n v="1010"/>
    <n v="3"/>
    <n v="3"/>
    <n v="1"/>
    <n v="0"/>
    <n v="78.510000000000005"/>
    <n v="0"/>
    <n v="1"/>
  </r>
  <r>
    <s v="SHP-503690"/>
    <d v="2025-05-27T00:00:00"/>
    <x v="1"/>
    <s v="Q2"/>
    <x v="4"/>
    <x v="2"/>
    <x v="1"/>
    <x v="3"/>
    <x v="1"/>
    <s v="Road"/>
    <x v="0"/>
    <n v="179.9"/>
    <n v="336"/>
    <n v="6"/>
    <n v="6"/>
    <n v="1"/>
    <n v="0"/>
    <n v="47.6"/>
    <n v="0"/>
    <n v="1"/>
  </r>
  <r>
    <s v="SHP-503691"/>
    <d v="2025-05-27T00:00:00"/>
    <x v="1"/>
    <s v="Q2"/>
    <x v="4"/>
    <x v="3"/>
    <x v="1"/>
    <x v="3"/>
    <x v="0"/>
    <s v="Road"/>
    <x v="1"/>
    <n v="2.2000000000000002"/>
    <n v="362"/>
    <n v="4"/>
    <n v="5"/>
    <n v="0"/>
    <n v="1"/>
    <n v="14.01"/>
    <n v="0"/>
    <n v="1"/>
  </r>
  <r>
    <s v="SHP-503692"/>
    <d v="2025-05-27T00:00:00"/>
    <x v="1"/>
    <s v="Q2"/>
    <x v="4"/>
    <x v="3"/>
    <x v="0"/>
    <x v="0"/>
    <x v="0"/>
    <s v="Road"/>
    <x v="0"/>
    <n v="17.3"/>
    <n v="939"/>
    <n v="4"/>
    <n v="4"/>
    <n v="1"/>
    <n v="0"/>
    <n v="31.24"/>
    <n v="0"/>
    <n v="1"/>
  </r>
  <r>
    <s v="SHP-503693"/>
    <d v="2025-05-28T00:00:00"/>
    <x v="1"/>
    <s v="Q2"/>
    <x v="4"/>
    <x v="4"/>
    <x v="1"/>
    <x v="3"/>
    <x v="0"/>
    <s v="Road"/>
    <x v="0"/>
    <n v="46"/>
    <n v="477"/>
    <n v="4"/>
    <n v="3"/>
    <n v="1"/>
    <n v="0"/>
    <n v="33.79"/>
    <n v="0"/>
    <n v="1"/>
  </r>
  <r>
    <s v="SHP-503694"/>
    <d v="2025-05-28T00:00:00"/>
    <x v="1"/>
    <s v="Q2"/>
    <x v="4"/>
    <x v="4"/>
    <x v="0"/>
    <x v="0"/>
    <x v="0"/>
    <s v="Road"/>
    <x v="0"/>
    <n v="265.8"/>
    <n v="711"/>
    <n v="4"/>
    <n v="4"/>
    <n v="1"/>
    <n v="0"/>
    <n v="121.25"/>
    <n v="0"/>
    <n v="1"/>
  </r>
  <r>
    <s v="SHP-503695"/>
    <d v="2025-05-28T00:00:00"/>
    <x v="1"/>
    <s v="Q2"/>
    <x v="4"/>
    <x v="4"/>
    <x v="1"/>
    <x v="1"/>
    <x v="0"/>
    <s v="Road"/>
    <x v="0"/>
    <n v="106.1"/>
    <n v="273"/>
    <n v="3"/>
    <n v="2"/>
    <n v="1"/>
    <n v="0"/>
    <n v="58.93"/>
    <n v="0"/>
    <n v="1"/>
  </r>
  <r>
    <s v="SHP-503696"/>
    <d v="2025-05-28T00:00:00"/>
    <x v="1"/>
    <s v="Q2"/>
    <x v="4"/>
    <x v="4"/>
    <x v="1"/>
    <x v="3"/>
    <x v="1"/>
    <s v="Road"/>
    <x v="1"/>
    <n v="2.5"/>
    <n v="391"/>
    <n v="6"/>
    <n v="6"/>
    <n v="1"/>
    <n v="0"/>
    <n v="8.42"/>
    <n v="0"/>
    <n v="1"/>
  </r>
  <r>
    <s v="SHP-503697"/>
    <d v="2025-05-28T00:00:00"/>
    <x v="1"/>
    <s v="Q2"/>
    <x v="4"/>
    <x v="3"/>
    <x v="1"/>
    <x v="3"/>
    <x v="0"/>
    <s v="Road"/>
    <x v="0"/>
    <n v="14.6"/>
    <n v="452"/>
    <n v="4"/>
    <n v="4"/>
    <n v="1"/>
    <n v="0"/>
    <n v="23.31"/>
    <n v="0"/>
    <n v="1"/>
  </r>
  <r>
    <s v="SHP-503698"/>
    <d v="2025-05-28T00:00:00"/>
    <x v="1"/>
    <s v="Q2"/>
    <x v="4"/>
    <x v="3"/>
    <x v="2"/>
    <x v="4"/>
    <x v="2"/>
    <s v="Air"/>
    <x v="0"/>
    <n v="99.2"/>
    <n v="1117"/>
    <n v="3"/>
    <n v="6"/>
    <n v="0"/>
    <n v="3"/>
    <n v="224.35"/>
    <n v="0"/>
    <n v="1"/>
  </r>
  <r>
    <s v="SHP-503699"/>
    <d v="2025-05-28T00:00:00"/>
    <x v="1"/>
    <s v="Q2"/>
    <x v="4"/>
    <x v="3"/>
    <x v="2"/>
    <x v="1"/>
    <x v="0"/>
    <s v="Road"/>
    <x v="1"/>
    <n v="8.6"/>
    <n v="220"/>
    <n v="3"/>
    <n v="2"/>
    <n v="1"/>
    <n v="0"/>
    <n v="14.93"/>
    <n v="0"/>
    <n v="1"/>
  </r>
  <r>
    <s v="SHP-503700"/>
    <d v="2025-05-28T00:00:00"/>
    <x v="1"/>
    <s v="Q2"/>
    <x v="4"/>
    <x v="3"/>
    <x v="2"/>
    <x v="2"/>
    <x v="2"/>
    <s v="Air"/>
    <x v="1"/>
    <n v="4.4000000000000004"/>
    <n v="1236"/>
    <n v="3"/>
    <n v="3"/>
    <n v="1"/>
    <n v="0"/>
    <n v="78.489999999999995"/>
    <n v="0"/>
    <n v="1"/>
  </r>
  <r>
    <s v="SHP-503701"/>
    <d v="2025-05-28T00:00:00"/>
    <x v="1"/>
    <s v="Q2"/>
    <x v="4"/>
    <x v="1"/>
    <x v="2"/>
    <x v="2"/>
    <x v="0"/>
    <s v="Road"/>
    <x v="1"/>
    <n v="17"/>
    <n v="1276"/>
    <n v="5"/>
    <n v="8"/>
    <n v="0"/>
    <n v="3"/>
    <n v="29.52"/>
    <n v="0"/>
    <n v="1"/>
  </r>
  <r>
    <s v="SHP-503702"/>
    <d v="2025-05-28T00:00:00"/>
    <x v="1"/>
    <s v="Q2"/>
    <x v="4"/>
    <x v="0"/>
    <x v="0"/>
    <x v="3"/>
    <x v="1"/>
    <s v="Road"/>
    <x v="1"/>
    <n v="8.4"/>
    <n v="261"/>
    <n v="6"/>
    <n v="5"/>
    <n v="1"/>
    <n v="0"/>
    <n v="9.7799999999999994"/>
    <n v="0"/>
    <n v="1"/>
  </r>
  <r>
    <s v="SHP-503703"/>
    <d v="2025-05-28T00:00:00"/>
    <x v="1"/>
    <s v="Q2"/>
    <x v="4"/>
    <x v="3"/>
    <x v="1"/>
    <x v="1"/>
    <x v="0"/>
    <s v="Road"/>
    <x v="0"/>
    <n v="190.9"/>
    <n v="275"/>
    <n v="3"/>
    <n v="6"/>
    <n v="0"/>
    <n v="3"/>
    <n v="90.46"/>
    <n v="0"/>
    <n v="1"/>
  </r>
  <r>
    <s v="SHP-503704"/>
    <d v="2025-05-28T00:00:00"/>
    <x v="1"/>
    <s v="Q2"/>
    <x v="4"/>
    <x v="4"/>
    <x v="0"/>
    <x v="2"/>
    <x v="1"/>
    <s v="Road"/>
    <x v="1"/>
    <n v="12.3"/>
    <n v="850"/>
    <n v="7"/>
    <n v="7"/>
    <n v="1"/>
    <n v="0"/>
    <n v="16.100000000000001"/>
    <n v="0"/>
    <n v="1"/>
  </r>
  <r>
    <s v="SHP-503705"/>
    <d v="2025-05-29T00:00:00"/>
    <x v="1"/>
    <s v="Q2"/>
    <x v="4"/>
    <x v="0"/>
    <x v="2"/>
    <x v="3"/>
    <x v="1"/>
    <s v="Road"/>
    <x v="1"/>
    <n v="6.6"/>
    <n v="565"/>
    <n v="6"/>
    <n v="6"/>
    <n v="1"/>
    <n v="0"/>
    <n v="12"/>
    <n v="0"/>
    <n v="1"/>
  </r>
  <r>
    <s v="SHP-503706"/>
    <d v="2025-05-29T00:00:00"/>
    <x v="1"/>
    <s v="Q2"/>
    <x v="4"/>
    <x v="2"/>
    <x v="2"/>
    <x v="4"/>
    <x v="1"/>
    <s v="Road"/>
    <x v="1"/>
    <n v="6.8"/>
    <n v="646"/>
    <n v="7"/>
    <n v="7"/>
    <n v="1"/>
    <n v="0"/>
    <n v="11.33"/>
    <n v="0"/>
    <n v="1"/>
  </r>
  <r>
    <s v="SHP-503707"/>
    <d v="2025-05-29T00:00:00"/>
    <x v="1"/>
    <s v="Q2"/>
    <x v="4"/>
    <x v="1"/>
    <x v="2"/>
    <x v="0"/>
    <x v="2"/>
    <s v="Air"/>
    <x v="1"/>
    <n v="11.4"/>
    <n v="690"/>
    <n v="2"/>
    <n v="2"/>
    <n v="1"/>
    <n v="0"/>
    <n v="71.239999999999995"/>
    <n v="0"/>
    <n v="1"/>
  </r>
  <r>
    <s v="SHP-503708"/>
    <d v="2025-05-29T00:00:00"/>
    <x v="1"/>
    <s v="Q2"/>
    <x v="4"/>
    <x v="0"/>
    <x v="2"/>
    <x v="0"/>
    <x v="1"/>
    <s v="Road"/>
    <x v="1"/>
    <n v="23.1"/>
    <n v="833"/>
    <n v="6"/>
    <n v="5"/>
    <n v="1"/>
    <n v="0"/>
    <n v="18.920000000000002"/>
    <n v="0"/>
    <n v="1"/>
  </r>
  <r>
    <s v="SHP-503709"/>
    <d v="2025-05-29T00:00:00"/>
    <x v="1"/>
    <s v="Q2"/>
    <x v="4"/>
    <x v="3"/>
    <x v="2"/>
    <x v="0"/>
    <x v="0"/>
    <s v="Road"/>
    <x v="0"/>
    <n v="90.3"/>
    <n v="1168"/>
    <n v="4"/>
    <n v="4"/>
    <n v="1"/>
    <n v="0"/>
    <n v="65.5"/>
    <n v="0"/>
    <n v="1"/>
  </r>
  <r>
    <s v="SHP-503710"/>
    <d v="2025-05-29T00:00:00"/>
    <x v="1"/>
    <s v="Q2"/>
    <x v="4"/>
    <x v="0"/>
    <x v="0"/>
    <x v="0"/>
    <x v="0"/>
    <s v="Road"/>
    <x v="1"/>
    <n v="4.5999999999999996"/>
    <n v="1187"/>
    <n v="4"/>
    <n v="4"/>
    <n v="1"/>
    <n v="0"/>
    <n v="21.14"/>
    <n v="0"/>
    <n v="1"/>
  </r>
  <r>
    <s v="SHP-503711"/>
    <d v="2025-05-29T00:00:00"/>
    <x v="1"/>
    <s v="Q2"/>
    <x v="4"/>
    <x v="4"/>
    <x v="2"/>
    <x v="0"/>
    <x v="0"/>
    <s v="Road"/>
    <x v="0"/>
    <n v="64.7"/>
    <n v="967"/>
    <n v="4"/>
    <n v="4"/>
    <n v="1"/>
    <n v="0"/>
    <n v="47.11"/>
    <n v="0"/>
    <n v="1"/>
  </r>
  <r>
    <s v="SHP-503712"/>
    <d v="2025-05-29T00:00:00"/>
    <x v="1"/>
    <s v="Q2"/>
    <x v="4"/>
    <x v="1"/>
    <x v="0"/>
    <x v="1"/>
    <x v="0"/>
    <s v="Road"/>
    <x v="0"/>
    <n v="170.9"/>
    <n v="219"/>
    <n v="3"/>
    <n v="2"/>
    <n v="1"/>
    <n v="0"/>
    <n v="85.34"/>
    <n v="0"/>
    <n v="1"/>
  </r>
  <r>
    <s v="SHP-503713"/>
    <d v="2025-05-29T00:00:00"/>
    <x v="1"/>
    <s v="Q2"/>
    <x v="4"/>
    <x v="3"/>
    <x v="1"/>
    <x v="3"/>
    <x v="0"/>
    <s v="Road"/>
    <x v="0"/>
    <n v="108"/>
    <n v="396"/>
    <n v="4"/>
    <n v="4"/>
    <n v="1"/>
    <n v="0"/>
    <n v="59.82"/>
    <n v="0"/>
    <n v="1"/>
  </r>
  <r>
    <s v="SHP-503714"/>
    <d v="2025-05-30T00:00:00"/>
    <x v="1"/>
    <s v="Q2"/>
    <x v="4"/>
    <x v="4"/>
    <x v="1"/>
    <x v="4"/>
    <x v="0"/>
    <s v="Road"/>
    <x v="0"/>
    <n v="73"/>
    <n v="923"/>
    <n v="5"/>
    <n v="4"/>
    <n v="1"/>
    <n v="0"/>
    <n v="51.03"/>
    <n v="0"/>
    <n v="1"/>
  </r>
  <r>
    <s v="SHP-503715"/>
    <d v="2025-05-30T00:00:00"/>
    <x v="1"/>
    <s v="Q2"/>
    <x v="4"/>
    <x v="1"/>
    <x v="0"/>
    <x v="1"/>
    <x v="0"/>
    <s v="Road"/>
    <x v="1"/>
    <n v="4.0999999999999996"/>
    <n v="262"/>
    <n v="3"/>
    <n v="5"/>
    <n v="0"/>
    <n v="2"/>
    <n v="12.45"/>
    <n v="0"/>
    <n v="1"/>
  </r>
  <r>
    <s v="SHP-503716"/>
    <d v="2025-05-30T00:00:00"/>
    <x v="1"/>
    <s v="Q2"/>
    <x v="4"/>
    <x v="3"/>
    <x v="1"/>
    <x v="0"/>
    <x v="0"/>
    <s v="Road"/>
    <x v="0"/>
    <n v="21.4"/>
    <n v="1077"/>
    <n v="4"/>
    <n v="3"/>
    <n v="1"/>
    <n v="0"/>
    <n v="33.75"/>
    <n v="0"/>
    <n v="1"/>
  </r>
  <r>
    <s v="SHP-503717"/>
    <d v="2025-05-30T00:00:00"/>
    <x v="1"/>
    <s v="Q2"/>
    <x v="4"/>
    <x v="3"/>
    <x v="0"/>
    <x v="3"/>
    <x v="1"/>
    <s v="Road"/>
    <x v="0"/>
    <n v="160.1"/>
    <n v="578"/>
    <n v="6"/>
    <n v="6"/>
    <n v="1"/>
    <n v="0"/>
    <n v="63.65"/>
    <n v="0"/>
    <n v="1"/>
  </r>
  <r>
    <s v="SHP-503718"/>
    <d v="2025-05-30T00:00:00"/>
    <x v="1"/>
    <s v="Q2"/>
    <x v="4"/>
    <x v="0"/>
    <x v="1"/>
    <x v="0"/>
    <x v="0"/>
    <s v="Road"/>
    <x v="0"/>
    <n v="56.1"/>
    <n v="1005"/>
    <n v="4"/>
    <n v="3"/>
    <n v="1"/>
    <n v="0"/>
    <n v="45.73"/>
    <n v="0"/>
    <n v="1"/>
  </r>
  <r>
    <s v="SHP-503719"/>
    <d v="2025-05-30T00:00:00"/>
    <x v="1"/>
    <s v="Q2"/>
    <x v="4"/>
    <x v="0"/>
    <x v="2"/>
    <x v="3"/>
    <x v="0"/>
    <s v="Road"/>
    <x v="1"/>
    <n v="10.1"/>
    <n v="464"/>
    <n v="4"/>
    <n v="5"/>
    <n v="0"/>
    <n v="1"/>
    <n v="16.46"/>
    <n v="0"/>
    <n v="1"/>
  </r>
  <r>
    <s v="SHP-503720"/>
    <d v="2025-05-30T00:00:00"/>
    <x v="1"/>
    <s v="Q2"/>
    <x v="4"/>
    <x v="4"/>
    <x v="1"/>
    <x v="3"/>
    <x v="0"/>
    <s v="Road"/>
    <x v="1"/>
    <n v="2.2000000000000002"/>
    <n v="600"/>
    <n v="4"/>
    <n v="3"/>
    <n v="1"/>
    <n v="0"/>
    <n v="14.99"/>
    <n v="0"/>
    <n v="1"/>
  </r>
  <r>
    <s v="SHP-503721"/>
    <d v="2025-05-30T00:00:00"/>
    <x v="1"/>
    <s v="Q2"/>
    <x v="4"/>
    <x v="3"/>
    <x v="2"/>
    <x v="1"/>
    <x v="0"/>
    <s v="Road"/>
    <x v="1"/>
    <n v="7.9"/>
    <n v="237"/>
    <n v="3"/>
    <n v="3"/>
    <n v="1"/>
    <n v="0"/>
    <n v="15.28"/>
    <n v="0"/>
    <n v="1"/>
  </r>
  <r>
    <s v="SHP-503722"/>
    <d v="2025-05-31T00:00:00"/>
    <x v="1"/>
    <s v="Q2"/>
    <x v="4"/>
    <x v="0"/>
    <x v="1"/>
    <x v="3"/>
    <x v="0"/>
    <s v="Road"/>
    <x v="0"/>
    <n v="26.5"/>
    <n v="619"/>
    <n v="4"/>
    <n v="3"/>
    <n v="1"/>
    <n v="0"/>
    <n v="27.94"/>
    <n v="0"/>
    <n v="1"/>
  </r>
  <r>
    <s v="SHP-503723"/>
    <d v="2025-05-31T00:00:00"/>
    <x v="1"/>
    <s v="Q2"/>
    <x v="4"/>
    <x v="1"/>
    <x v="1"/>
    <x v="1"/>
    <x v="0"/>
    <s v="Road"/>
    <x v="1"/>
    <n v="6.1"/>
    <n v="298"/>
    <n v="3"/>
    <n v="3"/>
    <n v="1"/>
    <n v="0"/>
    <n v="13.84"/>
    <n v="0"/>
    <n v="1"/>
  </r>
  <r>
    <s v="SHP-503724"/>
    <d v="2025-05-31T00:00:00"/>
    <x v="1"/>
    <s v="Q2"/>
    <x v="4"/>
    <x v="4"/>
    <x v="2"/>
    <x v="1"/>
    <x v="1"/>
    <s v="Road"/>
    <x v="0"/>
    <n v="120.8"/>
    <n v="243"/>
    <n v="5"/>
    <n v="5"/>
    <n v="1"/>
    <n v="0"/>
    <n v="48.79"/>
    <n v="0"/>
    <n v="1"/>
  </r>
  <r>
    <s v="SHP-503725"/>
    <d v="2025-05-31T00:00:00"/>
    <x v="1"/>
    <s v="Q2"/>
    <x v="4"/>
    <x v="4"/>
    <x v="2"/>
    <x v="0"/>
    <x v="0"/>
    <s v="Road"/>
    <x v="1"/>
    <n v="4.5999999999999996"/>
    <n v="1093"/>
    <n v="4"/>
    <n v="4"/>
    <n v="1"/>
    <n v="0"/>
    <n v="22.86"/>
    <n v="0"/>
    <n v="1"/>
  </r>
  <r>
    <s v="SHP-503726"/>
    <d v="2025-06-01T00:00:00"/>
    <x v="1"/>
    <s v="Q2"/>
    <x v="5"/>
    <x v="2"/>
    <x v="1"/>
    <x v="0"/>
    <x v="2"/>
    <s v="Air"/>
    <x v="1"/>
    <n v="3.8"/>
    <n v="813"/>
    <n v="2"/>
    <n v="5"/>
    <n v="0"/>
    <n v="3"/>
    <n v="47.94"/>
    <n v="0"/>
    <n v="1"/>
  </r>
  <r>
    <s v="SHP-503727"/>
    <d v="2025-06-01T00:00:00"/>
    <x v="1"/>
    <s v="Q2"/>
    <x v="5"/>
    <x v="4"/>
    <x v="2"/>
    <x v="1"/>
    <x v="1"/>
    <s v="Road"/>
    <x v="1"/>
    <n v="5.2"/>
    <n v="226"/>
    <n v="5"/>
    <n v="5"/>
    <n v="1"/>
    <n v="0"/>
    <n v="8.9600000000000009"/>
    <n v="0"/>
    <n v="1"/>
  </r>
  <r>
    <s v="SHP-503728"/>
    <d v="2025-06-02T00:00:00"/>
    <x v="1"/>
    <s v="Q2"/>
    <x v="5"/>
    <x v="4"/>
    <x v="2"/>
    <x v="2"/>
    <x v="0"/>
    <s v="Road"/>
    <x v="1"/>
    <n v="15.8"/>
    <n v="1376"/>
    <n v="5"/>
    <n v="7"/>
    <n v="0"/>
    <n v="2"/>
    <n v="35.409999999999997"/>
    <n v="0"/>
    <n v="1"/>
  </r>
  <r>
    <s v="SHP-503729"/>
    <d v="2025-06-02T00:00:00"/>
    <x v="1"/>
    <s v="Q2"/>
    <x v="5"/>
    <x v="4"/>
    <x v="2"/>
    <x v="0"/>
    <x v="1"/>
    <s v="Road"/>
    <x v="1"/>
    <n v="7.4"/>
    <n v="918"/>
    <n v="6"/>
    <n v="6"/>
    <n v="1"/>
    <n v="0"/>
    <n v="15.03"/>
    <n v="0"/>
    <n v="1"/>
  </r>
  <r>
    <s v="SHP-503730"/>
    <d v="2025-06-02T00:00:00"/>
    <x v="1"/>
    <s v="Q2"/>
    <x v="5"/>
    <x v="2"/>
    <x v="2"/>
    <x v="1"/>
    <x v="0"/>
    <s v="Road"/>
    <x v="1"/>
    <n v="5.0999999999999996"/>
    <n v="192"/>
    <n v="3"/>
    <n v="2"/>
    <n v="1"/>
    <n v="0"/>
    <n v="9.35"/>
    <n v="0"/>
    <n v="1"/>
  </r>
  <r>
    <s v="SHP-503731"/>
    <d v="2025-06-02T00:00:00"/>
    <x v="1"/>
    <s v="Q2"/>
    <x v="5"/>
    <x v="0"/>
    <x v="2"/>
    <x v="3"/>
    <x v="0"/>
    <s v="Road"/>
    <x v="0"/>
    <n v="131.30000000000001"/>
    <n v="517"/>
    <n v="4"/>
    <n v="4"/>
    <n v="1"/>
    <n v="0"/>
    <n v="75.739999999999995"/>
    <n v="0"/>
    <n v="1"/>
  </r>
  <r>
    <s v="SHP-503732"/>
    <d v="2025-06-02T00:00:00"/>
    <x v="1"/>
    <s v="Q2"/>
    <x v="5"/>
    <x v="3"/>
    <x v="1"/>
    <x v="3"/>
    <x v="2"/>
    <s v="Road"/>
    <x v="0"/>
    <n v="92.6"/>
    <n v="402"/>
    <n v="2"/>
    <n v="2"/>
    <n v="1"/>
    <n v="0"/>
    <n v="105.76"/>
    <n v="0"/>
    <n v="1"/>
  </r>
  <r>
    <s v="SHP-503733"/>
    <d v="2025-06-02T00:00:00"/>
    <x v="1"/>
    <s v="Q2"/>
    <x v="5"/>
    <x v="0"/>
    <x v="2"/>
    <x v="0"/>
    <x v="0"/>
    <s v="Road"/>
    <x v="0"/>
    <n v="122.5"/>
    <n v="1001"/>
    <n v="4"/>
    <n v="7"/>
    <n v="0"/>
    <n v="3"/>
    <n v="65.64"/>
    <n v="0"/>
    <n v="1"/>
  </r>
  <r>
    <s v="SHP-503734"/>
    <d v="2025-06-02T00:00:00"/>
    <x v="1"/>
    <s v="Q2"/>
    <x v="5"/>
    <x v="4"/>
    <x v="2"/>
    <x v="3"/>
    <x v="2"/>
    <s v="Road"/>
    <x v="1"/>
    <n v="4.0999999999999996"/>
    <n v="400"/>
    <n v="2"/>
    <n v="2"/>
    <n v="1"/>
    <n v="0"/>
    <n v="25.37"/>
    <n v="0"/>
    <n v="1"/>
  </r>
  <r>
    <s v="SHP-503735"/>
    <d v="2025-06-02T00:00:00"/>
    <x v="1"/>
    <s v="Q2"/>
    <x v="5"/>
    <x v="3"/>
    <x v="1"/>
    <x v="3"/>
    <x v="0"/>
    <s v="Road"/>
    <x v="1"/>
    <n v="12"/>
    <n v="529"/>
    <n v="4"/>
    <n v="4"/>
    <n v="1"/>
    <n v="0"/>
    <n v="22.48"/>
    <n v="0"/>
    <n v="1"/>
  </r>
  <r>
    <s v="SHP-503736"/>
    <d v="2025-06-02T00:00:00"/>
    <x v="1"/>
    <s v="Q2"/>
    <x v="5"/>
    <x v="2"/>
    <x v="2"/>
    <x v="2"/>
    <x v="0"/>
    <s v="Road"/>
    <x v="1"/>
    <n v="6.4"/>
    <n v="1085"/>
    <n v="5"/>
    <n v="5"/>
    <n v="1"/>
    <n v="0"/>
    <n v="21.07"/>
    <n v="0"/>
    <n v="1"/>
  </r>
  <r>
    <s v="SHP-503737"/>
    <d v="2025-06-02T00:00:00"/>
    <x v="1"/>
    <s v="Q2"/>
    <x v="5"/>
    <x v="2"/>
    <x v="1"/>
    <x v="3"/>
    <x v="0"/>
    <s v="Road"/>
    <x v="0"/>
    <n v="138"/>
    <n v="516"/>
    <n v="4"/>
    <n v="4"/>
    <n v="1"/>
    <n v="0"/>
    <n v="61.03"/>
    <n v="0"/>
    <n v="1"/>
  </r>
  <r>
    <s v="SHP-503738"/>
    <d v="2025-06-03T00:00:00"/>
    <x v="1"/>
    <s v="Q2"/>
    <x v="5"/>
    <x v="1"/>
    <x v="2"/>
    <x v="0"/>
    <x v="1"/>
    <s v="Road"/>
    <x v="0"/>
    <n v="25.5"/>
    <n v="1085"/>
    <n v="6"/>
    <n v="10"/>
    <n v="0"/>
    <n v="4"/>
    <n v="23.04"/>
    <n v="0"/>
    <n v="1"/>
  </r>
  <r>
    <s v="SHP-503739"/>
    <d v="2025-06-03T00:00:00"/>
    <x v="1"/>
    <s v="Q2"/>
    <x v="5"/>
    <x v="2"/>
    <x v="0"/>
    <x v="2"/>
    <x v="2"/>
    <s v="Air"/>
    <x v="0"/>
    <n v="182.3"/>
    <n v="1115"/>
    <n v="3"/>
    <n v="3"/>
    <n v="1"/>
    <n v="0"/>
    <n v="261.02999999999997"/>
    <n v="0"/>
    <n v="1"/>
  </r>
  <r>
    <s v="SHP-503740"/>
    <d v="2025-06-03T00:00:00"/>
    <x v="1"/>
    <s v="Q2"/>
    <x v="5"/>
    <x v="1"/>
    <x v="2"/>
    <x v="2"/>
    <x v="2"/>
    <s v="Air"/>
    <x v="0"/>
    <n v="196.6"/>
    <n v="1121"/>
    <n v="3"/>
    <n v="3"/>
    <n v="1"/>
    <n v="0"/>
    <n v="316.5"/>
    <n v="0"/>
    <n v="1"/>
  </r>
  <r>
    <s v="SHP-503741"/>
    <d v="2025-06-03T00:00:00"/>
    <x v="1"/>
    <s v="Q2"/>
    <x v="5"/>
    <x v="2"/>
    <x v="2"/>
    <x v="1"/>
    <x v="1"/>
    <s v="Road"/>
    <x v="1"/>
    <n v="4.3"/>
    <n v="249"/>
    <n v="5"/>
    <n v="5"/>
    <n v="1"/>
    <n v="0"/>
    <n v="6.93"/>
    <n v="0"/>
    <n v="1"/>
  </r>
  <r>
    <s v="SHP-503742"/>
    <d v="2025-06-03T00:00:00"/>
    <x v="1"/>
    <s v="Q2"/>
    <x v="5"/>
    <x v="1"/>
    <x v="2"/>
    <x v="2"/>
    <x v="2"/>
    <s v="Air"/>
    <x v="0"/>
    <n v="58.7"/>
    <n v="1227"/>
    <n v="3"/>
    <n v="3"/>
    <n v="1"/>
    <n v="0"/>
    <n v="160.94"/>
    <n v="0"/>
    <n v="1"/>
  </r>
  <r>
    <s v="SHP-503743"/>
    <d v="2025-06-03T00:00:00"/>
    <x v="1"/>
    <s v="Q2"/>
    <x v="5"/>
    <x v="1"/>
    <x v="2"/>
    <x v="3"/>
    <x v="2"/>
    <s v="Road"/>
    <x v="0"/>
    <n v="68.7"/>
    <n v="479"/>
    <n v="2"/>
    <n v="2"/>
    <n v="1"/>
    <n v="0"/>
    <n v="88.88"/>
    <n v="0"/>
    <n v="1"/>
  </r>
  <r>
    <s v="SHP-503744"/>
    <d v="2025-06-03T00:00:00"/>
    <x v="1"/>
    <s v="Q2"/>
    <x v="5"/>
    <x v="3"/>
    <x v="1"/>
    <x v="3"/>
    <x v="2"/>
    <s v="Road"/>
    <x v="1"/>
    <n v="1.4"/>
    <n v="465"/>
    <n v="2"/>
    <n v="1"/>
    <n v="1"/>
    <n v="0"/>
    <n v="26.35"/>
    <n v="0"/>
    <n v="1"/>
  </r>
  <r>
    <s v="SHP-503745"/>
    <d v="2025-06-04T00:00:00"/>
    <x v="1"/>
    <s v="Q2"/>
    <x v="5"/>
    <x v="2"/>
    <x v="2"/>
    <x v="1"/>
    <x v="1"/>
    <s v="Road"/>
    <x v="0"/>
    <n v="149.5"/>
    <n v="259"/>
    <n v="5"/>
    <n v="5"/>
    <n v="1"/>
    <n v="0"/>
    <n v="45.7"/>
    <n v="0"/>
    <n v="1"/>
  </r>
  <r>
    <s v="SHP-503746"/>
    <d v="2025-06-04T00:00:00"/>
    <x v="1"/>
    <s v="Q2"/>
    <x v="5"/>
    <x v="2"/>
    <x v="0"/>
    <x v="2"/>
    <x v="1"/>
    <s v="Road"/>
    <x v="0"/>
    <n v="53"/>
    <n v="1037"/>
    <n v="7"/>
    <n v="7"/>
    <n v="1"/>
    <n v="0"/>
    <n v="24.73"/>
    <n v="0"/>
    <n v="1"/>
  </r>
  <r>
    <s v="SHP-503747"/>
    <d v="2025-06-04T00:00:00"/>
    <x v="1"/>
    <s v="Q2"/>
    <x v="5"/>
    <x v="4"/>
    <x v="0"/>
    <x v="0"/>
    <x v="1"/>
    <s v="Road"/>
    <x v="1"/>
    <n v="1.8"/>
    <n v="901"/>
    <n v="6"/>
    <n v="6"/>
    <n v="1"/>
    <n v="0"/>
    <n v="11.95"/>
    <n v="1"/>
    <n v="1"/>
  </r>
  <r>
    <s v="SHP-503748"/>
    <d v="2025-06-04T00:00:00"/>
    <x v="1"/>
    <s v="Q2"/>
    <x v="5"/>
    <x v="2"/>
    <x v="0"/>
    <x v="0"/>
    <x v="0"/>
    <s v="Road"/>
    <x v="1"/>
    <n v="4.2"/>
    <n v="768"/>
    <n v="4"/>
    <n v="4"/>
    <n v="1"/>
    <n v="0"/>
    <n v="14.82"/>
    <n v="1"/>
    <n v="1"/>
  </r>
  <r>
    <s v="SHP-503749"/>
    <d v="2025-06-04T00:00:00"/>
    <x v="1"/>
    <s v="Q2"/>
    <x v="5"/>
    <x v="3"/>
    <x v="1"/>
    <x v="4"/>
    <x v="1"/>
    <s v="Road"/>
    <x v="1"/>
    <n v="1.6"/>
    <n v="1042"/>
    <n v="7"/>
    <n v="6"/>
    <n v="1"/>
    <n v="0"/>
    <n v="15.61"/>
    <n v="0"/>
    <n v="1"/>
  </r>
  <r>
    <s v="SHP-503750"/>
    <d v="2025-06-04T00:00:00"/>
    <x v="1"/>
    <s v="Q2"/>
    <x v="5"/>
    <x v="1"/>
    <x v="2"/>
    <x v="2"/>
    <x v="1"/>
    <s v="Road"/>
    <x v="0"/>
    <n v="170.2"/>
    <n v="1306"/>
    <n v="7"/>
    <n v="7"/>
    <n v="1"/>
    <n v="0"/>
    <n v="64.260000000000005"/>
    <n v="0"/>
    <n v="1"/>
  </r>
  <r>
    <s v="SHP-503751"/>
    <d v="2025-06-04T00:00:00"/>
    <x v="1"/>
    <s v="Q2"/>
    <x v="5"/>
    <x v="1"/>
    <x v="0"/>
    <x v="1"/>
    <x v="1"/>
    <s v="Road"/>
    <x v="1"/>
    <n v="3.5"/>
    <n v="262"/>
    <n v="5"/>
    <n v="5"/>
    <n v="1"/>
    <n v="0"/>
    <n v="10.09"/>
    <n v="0"/>
    <n v="1"/>
  </r>
  <r>
    <s v="SHP-503752"/>
    <d v="2025-06-04T00:00:00"/>
    <x v="1"/>
    <s v="Q2"/>
    <x v="5"/>
    <x v="0"/>
    <x v="2"/>
    <x v="4"/>
    <x v="0"/>
    <s v="Road"/>
    <x v="0"/>
    <n v="38.200000000000003"/>
    <n v="954"/>
    <n v="5"/>
    <n v="4"/>
    <n v="1"/>
    <n v="0"/>
    <n v="37.11"/>
    <n v="0"/>
    <n v="1"/>
  </r>
  <r>
    <s v="SHP-503753"/>
    <d v="2025-06-05T00:00:00"/>
    <x v="1"/>
    <s v="Q2"/>
    <x v="5"/>
    <x v="0"/>
    <x v="1"/>
    <x v="0"/>
    <x v="0"/>
    <s v="Road"/>
    <x v="1"/>
    <n v="12.2"/>
    <n v="1108"/>
    <n v="4"/>
    <n v="4"/>
    <n v="1"/>
    <n v="0"/>
    <n v="26.06"/>
    <n v="0"/>
    <n v="1"/>
  </r>
  <r>
    <s v="SHP-503754"/>
    <d v="2025-06-05T00:00:00"/>
    <x v="1"/>
    <s v="Q2"/>
    <x v="5"/>
    <x v="4"/>
    <x v="1"/>
    <x v="4"/>
    <x v="2"/>
    <s v="Air"/>
    <x v="1"/>
    <n v="1.2"/>
    <n v="1063"/>
    <n v="3"/>
    <n v="3"/>
    <n v="1"/>
    <n v="0"/>
    <n v="59.88"/>
    <n v="0"/>
    <n v="1"/>
  </r>
  <r>
    <s v="SHP-503755"/>
    <d v="2025-06-05T00:00:00"/>
    <x v="1"/>
    <s v="Q2"/>
    <x v="5"/>
    <x v="2"/>
    <x v="2"/>
    <x v="2"/>
    <x v="1"/>
    <s v="Road"/>
    <x v="1"/>
    <n v="4.8"/>
    <n v="1162"/>
    <n v="7"/>
    <n v="9"/>
    <n v="0"/>
    <n v="2"/>
    <n v="14"/>
    <n v="0"/>
    <n v="1"/>
  </r>
  <r>
    <s v="SHP-503756"/>
    <d v="2025-06-05T00:00:00"/>
    <x v="1"/>
    <s v="Q2"/>
    <x v="5"/>
    <x v="0"/>
    <x v="1"/>
    <x v="1"/>
    <x v="0"/>
    <s v="Road"/>
    <x v="1"/>
    <n v="2.1"/>
    <n v="227"/>
    <n v="3"/>
    <n v="3"/>
    <n v="1"/>
    <n v="0"/>
    <n v="9.41"/>
    <n v="0"/>
    <n v="1"/>
  </r>
  <r>
    <s v="SHP-503757"/>
    <d v="2025-06-05T00:00:00"/>
    <x v="1"/>
    <s v="Q2"/>
    <x v="5"/>
    <x v="3"/>
    <x v="2"/>
    <x v="1"/>
    <x v="2"/>
    <s v="Road"/>
    <x v="1"/>
    <n v="10.8"/>
    <n v="326"/>
    <n v="1"/>
    <n v="1"/>
    <n v="1"/>
    <n v="0"/>
    <n v="35.08"/>
    <n v="0"/>
    <n v="1"/>
  </r>
  <r>
    <s v="SHP-503758"/>
    <d v="2025-06-05T00:00:00"/>
    <x v="1"/>
    <s v="Q2"/>
    <x v="5"/>
    <x v="2"/>
    <x v="2"/>
    <x v="0"/>
    <x v="0"/>
    <s v="Road"/>
    <x v="1"/>
    <n v="4.0999999999999996"/>
    <n v="717"/>
    <n v="4"/>
    <n v="4"/>
    <n v="1"/>
    <n v="0"/>
    <n v="15.62"/>
    <n v="0"/>
    <n v="1"/>
  </r>
  <r>
    <s v="SHP-503759"/>
    <d v="2025-06-05T00:00:00"/>
    <x v="1"/>
    <s v="Q2"/>
    <x v="5"/>
    <x v="4"/>
    <x v="2"/>
    <x v="0"/>
    <x v="0"/>
    <s v="Road"/>
    <x v="1"/>
    <n v="4.9000000000000004"/>
    <n v="989"/>
    <n v="4"/>
    <n v="4"/>
    <n v="1"/>
    <n v="0"/>
    <n v="21.2"/>
    <n v="0"/>
    <n v="1"/>
  </r>
  <r>
    <s v="SHP-503760"/>
    <d v="2025-06-05T00:00:00"/>
    <x v="1"/>
    <s v="Q2"/>
    <x v="5"/>
    <x v="3"/>
    <x v="0"/>
    <x v="1"/>
    <x v="0"/>
    <s v="Road"/>
    <x v="1"/>
    <n v="6.8"/>
    <n v="243"/>
    <n v="3"/>
    <n v="6"/>
    <n v="0"/>
    <n v="3"/>
    <n v="14.82"/>
    <n v="0"/>
    <n v="1"/>
  </r>
  <r>
    <s v="SHP-503761"/>
    <d v="2025-06-05T00:00:00"/>
    <x v="1"/>
    <s v="Q2"/>
    <x v="5"/>
    <x v="2"/>
    <x v="0"/>
    <x v="4"/>
    <x v="2"/>
    <s v="Air"/>
    <x v="1"/>
    <n v="6.7"/>
    <n v="1184"/>
    <n v="3"/>
    <n v="6"/>
    <n v="0"/>
    <n v="3"/>
    <n v="60.43"/>
    <n v="0"/>
    <n v="1"/>
  </r>
  <r>
    <s v="SHP-503762"/>
    <d v="2025-06-06T00:00:00"/>
    <x v="1"/>
    <s v="Q2"/>
    <x v="5"/>
    <x v="2"/>
    <x v="0"/>
    <x v="0"/>
    <x v="0"/>
    <s v="Road"/>
    <x v="0"/>
    <n v="59.7"/>
    <n v="987"/>
    <n v="4"/>
    <n v="6"/>
    <n v="0"/>
    <n v="2"/>
    <n v="34.630000000000003"/>
    <n v="0"/>
    <n v="1"/>
  </r>
  <r>
    <s v="SHP-503763"/>
    <d v="2025-06-06T00:00:00"/>
    <x v="1"/>
    <s v="Q2"/>
    <x v="5"/>
    <x v="4"/>
    <x v="2"/>
    <x v="4"/>
    <x v="0"/>
    <s v="Road"/>
    <x v="0"/>
    <n v="36.4"/>
    <n v="1226"/>
    <n v="5"/>
    <n v="5"/>
    <n v="1"/>
    <n v="0"/>
    <n v="41.06"/>
    <n v="0"/>
    <n v="1"/>
  </r>
  <r>
    <s v="SHP-503764"/>
    <d v="2025-06-06T00:00:00"/>
    <x v="1"/>
    <s v="Q2"/>
    <x v="5"/>
    <x v="2"/>
    <x v="2"/>
    <x v="0"/>
    <x v="0"/>
    <s v="Road"/>
    <x v="1"/>
    <n v="11.1"/>
    <n v="897"/>
    <n v="4"/>
    <n v="4"/>
    <n v="1"/>
    <n v="0"/>
    <n v="20.170000000000002"/>
    <n v="0"/>
    <n v="1"/>
  </r>
  <r>
    <s v="SHP-503765"/>
    <d v="2025-06-06T00:00:00"/>
    <x v="1"/>
    <s v="Q2"/>
    <x v="5"/>
    <x v="2"/>
    <x v="1"/>
    <x v="0"/>
    <x v="0"/>
    <s v="Road"/>
    <x v="0"/>
    <n v="25.1"/>
    <n v="1214"/>
    <n v="4"/>
    <n v="8"/>
    <n v="0"/>
    <n v="4"/>
    <n v="31.82"/>
    <n v="0"/>
    <n v="1"/>
  </r>
  <r>
    <s v="SHP-503766"/>
    <d v="2025-06-06T00:00:00"/>
    <x v="1"/>
    <s v="Q2"/>
    <x v="5"/>
    <x v="3"/>
    <x v="1"/>
    <x v="0"/>
    <x v="1"/>
    <s v="Road"/>
    <x v="1"/>
    <n v="4.3"/>
    <n v="1053"/>
    <n v="6"/>
    <n v="6"/>
    <n v="1"/>
    <n v="0"/>
    <n v="19.329999999999998"/>
    <n v="0"/>
    <n v="1"/>
  </r>
  <r>
    <s v="SHP-503767"/>
    <d v="2025-06-06T00:00:00"/>
    <x v="1"/>
    <s v="Q2"/>
    <x v="5"/>
    <x v="3"/>
    <x v="1"/>
    <x v="3"/>
    <x v="0"/>
    <s v="Road"/>
    <x v="0"/>
    <n v="173.7"/>
    <n v="527"/>
    <n v="4"/>
    <n v="3"/>
    <n v="1"/>
    <n v="0"/>
    <n v="89.13"/>
    <n v="0"/>
    <n v="1"/>
  </r>
  <r>
    <s v="SHP-503768"/>
    <d v="2025-06-06T00:00:00"/>
    <x v="1"/>
    <s v="Q2"/>
    <x v="5"/>
    <x v="1"/>
    <x v="1"/>
    <x v="3"/>
    <x v="2"/>
    <s v="Road"/>
    <x v="0"/>
    <n v="101.6"/>
    <n v="501"/>
    <n v="2"/>
    <n v="2"/>
    <n v="1"/>
    <n v="0"/>
    <n v="119.45"/>
    <n v="0"/>
    <n v="1"/>
  </r>
  <r>
    <s v="SHP-503769"/>
    <d v="2025-06-07T00:00:00"/>
    <x v="1"/>
    <s v="Q2"/>
    <x v="5"/>
    <x v="4"/>
    <x v="1"/>
    <x v="3"/>
    <x v="0"/>
    <s v="Road"/>
    <x v="0"/>
    <n v="90.5"/>
    <n v="527"/>
    <n v="4"/>
    <n v="4"/>
    <n v="1"/>
    <n v="0"/>
    <n v="57.02"/>
    <n v="0"/>
    <n v="1"/>
  </r>
  <r>
    <s v="SHP-503770"/>
    <d v="2025-06-07T00:00:00"/>
    <x v="1"/>
    <s v="Q2"/>
    <x v="5"/>
    <x v="3"/>
    <x v="2"/>
    <x v="1"/>
    <x v="1"/>
    <s v="Road"/>
    <x v="1"/>
    <n v="5"/>
    <n v="233"/>
    <n v="5"/>
    <n v="5"/>
    <n v="1"/>
    <n v="0"/>
    <n v="9.1300000000000008"/>
    <n v="0"/>
    <n v="1"/>
  </r>
  <r>
    <s v="SHP-503771"/>
    <d v="2025-06-08T00:00:00"/>
    <x v="1"/>
    <s v="Q2"/>
    <x v="5"/>
    <x v="2"/>
    <x v="1"/>
    <x v="3"/>
    <x v="2"/>
    <s v="Road"/>
    <x v="0"/>
    <n v="41.8"/>
    <n v="514"/>
    <n v="2"/>
    <n v="3"/>
    <n v="0"/>
    <n v="1"/>
    <n v="53.84"/>
    <n v="0"/>
    <n v="1"/>
  </r>
  <r>
    <s v="SHP-503772"/>
    <d v="2025-06-08T00:00:00"/>
    <x v="1"/>
    <s v="Q2"/>
    <x v="5"/>
    <x v="0"/>
    <x v="1"/>
    <x v="2"/>
    <x v="2"/>
    <s v="Air"/>
    <x v="0"/>
    <n v="46.9"/>
    <n v="1358"/>
    <n v="3"/>
    <n v="3"/>
    <n v="1"/>
    <n v="0"/>
    <n v="120.17"/>
    <n v="0"/>
    <n v="1"/>
  </r>
  <r>
    <s v="SHP-503773"/>
    <d v="2025-06-08T00:00:00"/>
    <x v="1"/>
    <s v="Q2"/>
    <x v="5"/>
    <x v="1"/>
    <x v="2"/>
    <x v="1"/>
    <x v="0"/>
    <s v="Road"/>
    <x v="1"/>
    <n v="6.4"/>
    <n v="222"/>
    <n v="3"/>
    <n v="3"/>
    <n v="1"/>
    <n v="0"/>
    <n v="14.42"/>
    <n v="0"/>
    <n v="1"/>
  </r>
  <r>
    <s v="SHP-503774"/>
    <d v="2025-06-08T00:00:00"/>
    <x v="1"/>
    <s v="Q2"/>
    <x v="5"/>
    <x v="4"/>
    <x v="0"/>
    <x v="1"/>
    <x v="1"/>
    <s v="Road"/>
    <x v="1"/>
    <n v="11.2"/>
    <n v="266"/>
    <n v="5"/>
    <n v="9"/>
    <n v="0"/>
    <n v="4"/>
    <n v="12.72"/>
    <n v="0"/>
    <n v="1"/>
  </r>
  <r>
    <s v="SHP-503775"/>
    <d v="2025-06-09T00:00:00"/>
    <x v="1"/>
    <s v="Q2"/>
    <x v="5"/>
    <x v="3"/>
    <x v="2"/>
    <x v="1"/>
    <x v="1"/>
    <s v="Road"/>
    <x v="0"/>
    <n v="158"/>
    <n v="256"/>
    <n v="5"/>
    <n v="5"/>
    <n v="1"/>
    <n v="0"/>
    <n v="61.84"/>
    <n v="0"/>
    <n v="1"/>
  </r>
  <r>
    <s v="SHP-503776"/>
    <d v="2025-06-09T00:00:00"/>
    <x v="1"/>
    <s v="Q2"/>
    <x v="5"/>
    <x v="3"/>
    <x v="2"/>
    <x v="4"/>
    <x v="1"/>
    <s v="Road"/>
    <x v="1"/>
    <n v="6.2"/>
    <n v="858"/>
    <n v="7"/>
    <n v="7"/>
    <n v="1"/>
    <n v="0"/>
    <n v="17.98"/>
    <n v="0"/>
    <n v="1"/>
  </r>
  <r>
    <s v="SHP-503777"/>
    <d v="2025-06-09T00:00:00"/>
    <x v="1"/>
    <s v="Q2"/>
    <x v="5"/>
    <x v="3"/>
    <x v="2"/>
    <x v="1"/>
    <x v="1"/>
    <s v="Road"/>
    <x v="0"/>
    <n v="167.3"/>
    <n v="249"/>
    <n v="5"/>
    <n v="5"/>
    <n v="1"/>
    <n v="0"/>
    <n v="63.57"/>
    <n v="0"/>
    <n v="1"/>
  </r>
  <r>
    <s v="SHP-503778"/>
    <d v="2025-06-09T00:00:00"/>
    <x v="1"/>
    <s v="Q2"/>
    <x v="5"/>
    <x v="3"/>
    <x v="2"/>
    <x v="2"/>
    <x v="0"/>
    <s v="Road"/>
    <x v="0"/>
    <n v="78.7"/>
    <n v="1230"/>
    <n v="5"/>
    <n v="9"/>
    <n v="0"/>
    <n v="4"/>
    <n v="66.569999999999993"/>
    <n v="0"/>
    <n v="1"/>
  </r>
  <r>
    <s v="SHP-503779"/>
    <d v="2025-06-09T00:00:00"/>
    <x v="1"/>
    <s v="Q2"/>
    <x v="5"/>
    <x v="2"/>
    <x v="1"/>
    <x v="0"/>
    <x v="0"/>
    <s v="Road"/>
    <x v="1"/>
    <n v="4.9000000000000004"/>
    <n v="958"/>
    <n v="4"/>
    <n v="4"/>
    <n v="1"/>
    <n v="0"/>
    <n v="19.059999999999999"/>
    <n v="0"/>
    <n v="1"/>
  </r>
  <r>
    <s v="SHP-503780"/>
    <d v="2025-06-09T00:00:00"/>
    <x v="1"/>
    <s v="Q2"/>
    <x v="5"/>
    <x v="4"/>
    <x v="2"/>
    <x v="3"/>
    <x v="0"/>
    <s v="Road"/>
    <x v="0"/>
    <n v="36.5"/>
    <n v="432"/>
    <n v="4"/>
    <n v="4"/>
    <n v="1"/>
    <n v="0"/>
    <n v="32.549999999999997"/>
    <n v="0"/>
    <n v="1"/>
  </r>
  <r>
    <s v="SHP-503781"/>
    <d v="2025-06-10T00:00:00"/>
    <x v="1"/>
    <s v="Q2"/>
    <x v="5"/>
    <x v="3"/>
    <x v="2"/>
    <x v="3"/>
    <x v="1"/>
    <s v="Road"/>
    <x v="0"/>
    <n v="242.9"/>
    <n v="532"/>
    <n v="6"/>
    <n v="6"/>
    <n v="1"/>
    <n v="0"/>
    <n v="84.25"/>
    <n v="0"/>
    <n v="1"/>
  </r>
  <r>
    <s v="SHP-503782"/>
    <d v="2025-06-10T00:00:00"/>
    <x v="1"/>
    <s v="Q2"/>
    <x v="5"/>
    <x v="0"/>
    <x v="2"/>
    <x v="1"/>
    <x v="0"/>
    <s v="Road"/>
    <x v="1"/>
    <n v="12.8"/>
    <n v="242"/>
    <n v="3"/>
    <n v="3"/>
    <n v="1"/>
    <n v="0"/>
    <n v="16.079999999999998"/>
    <n v="0"/>
    <n v="1"/>
  </r>
  <r>
    <s v="SHP-503783"/>
    <d v="2025-06-10T00:00:00"/>
    <x v="1"/>
    <s v="Q2"/>
    <x v="5"/>
    <x v="4"/>
    <x v="1"/>
    <x v="1"/>
    <x v="2"/>
    <s v="Road"/>
    <x v="0"/>
    <n v="321.5"/>
    <n v="237"/>
    <n v="1"/>
    <n v="1"/>
    <n v="1"/>
    <n v="0"/>
    <n v="249.25"/>
    <n v="0"/>
    <n v="1"/>
  </r>
  <r>
    <s v="SHP-503784"/>
    <d v="2025-06-10T00:00:00"/>
    <x v="1"/>
    <s v="Q2"/>
    <x v="5"/>
    <x v="0"/>
    <x v="0"/>
    <x v="1"/>
    <x v="1"/>
    <s v="Road"/>
    <x v="1"/>
    <n v="5.6"/>
    <n v="263"/>
    <n v="5"/>
    <n v="5"/>
    <n v="1"/>
    <n v="0"/>
    <n v="9.11"/>
    <n v="0"/>
    <n v="1"/>
  </r>
  <r>
    <s v="SHP-503785"/>
    <d v="2025-06-10T00:00:00"/>
    <x v="1"/>
    <s v="Q2"/>
    <x v="5"/>
    <x v="2"/>
    <x v="1"/>
    <x v="2"/>
    <x v="0"/>
    <s v="Road"/>
    <x v="1"/>
    <n v="10.8"/>
    <n v="1343"/>
    <n v="5"/>
    <n v="5"/>
    <n v="1"/>
    <n v="0"/>
    <n v="24.57"/>
    <n v="0"/>
    <n v="1"/>
  </r>
  <r>
    <s v="SHP-503786"/>
    <d v="2025-06-10T00:00:00"/>
    <x v="1"/>
    <s v="Q2"/>
    <x v="5"/>
    <x v="4"/>
    <x v="0"/>
    <x v="4"/>
    <x v="0"/>
    <s v="Road"/>
    <x v="0"/>
    <n v="127.5"/>
    <n v="875"/>
    <n v="5"/>
    <n v="5"/>
    <n v="1"/>
    <n v="0"/>
    <n v="67.09"/>
    <n v="0"/>
    <n v="1"/>
  </r>
  <r>
    <s v="SHP-503787"/>
    <d v="2025-06-10T00:00:00"/>
    <x v="1"/>
    <s v="Q2"/>
    <x v="5"/>
    <x v="4"/>
    <x v="1"/>
    <x v="1"/>
    <x v="2"/>
    <s v="Road"/>
    <x v="1"/>
    <n v="2.1"/>
    <n v="318"/>
    <n v="1"/>
    <n v="1"/>
    <n v="1"/>
    <n v="0"/>
    <n v="21.84"/>
    <n v="0"/>
    <n v="1"/>
  </r>
  <r>
    <s v="SHP-503788"/>
    <d v="2025-06-10T00:00:00"/>
    <x v="1"/>
    <s v="Q2"/>
    <x v="5"/>
    <x v="3"/>
    <x v="1"/>
    <x v="0"/>
    <x v="0"/>
    <s v="Road"/>
    <x v="0"/>
    <n v="201.3"/>
    <n v="680"/>
    <n v="4"/>
    <n v="4"/>
    <n v="1"/>
    <n v="0"/>
    <n v="94.76"/>
    <n v="0"/>
    <n v="1"/>
  </r>
  <r>
    <s v="SHP-503789"/>
    <d v="2025-06-10T00:00:00"/>
    <x v="1"/>
    <s v="Q2"/>
    <x v="5"/>
    <x v="0"/>
    <x v="1"/>
    <x v="3"/>
    <x v="1"/>
    <s v="Road"/>
    <x v="0"/>
    <n v="152.30000000000001"/>
    <n v="561"/>
    <n v="6"/>
    <n v="6"/>
    <n v="1"/>
    <n v="0"/>
    <n v="47.03"/>
    <n v="0"/>
    <n v="1"/>
  </r>
  <r>
    <s v="SHP-503790"/>
    <d v="2025-06-10T00:00:00"/>
    <x v="1"/>
    <s v="Q2"/>
    <x v="5"/>
    <x v="3"/>
    <x v="2"/>
    <x v="0"/>
    <x v="1"/>
    <s v="Road"/>
    <x v="1"/>
    <n v="13"/>
    <n v="738"/>
    <n v="6"/>
    <n v="6"/>
    <n v="1"/>
    <n v="0"/>
    <n v="18.34"/>
    <n v="0"/>
    <n v="1"/>
  </r>
  <r>
    <s v="SHP-503791"/>
    <d v="2025-06-10T00:00:00"/>
    <x v="1"/>
    <s v="Q2"/>
    <x v="5"/>
    <x v="0"/>
    <x v="2"/>
    <x v="0"/>
    <x v="0"/>
    <s v="Road"/>
    <x v="1"/>
    <n v="7.6"/>
    <n v="898"/>
    <n v="4"/>
    <n v="4"/>
    <n v="1"/>
    <n v="0"/>
    <n v="19.579999999999998"/>
    <n v="0"/>
    <n v="1"/>
  </r>
  <r>
    <s v="SHP-503792"/>
    <d v="2025-06-11T00:00:00"/>
    <x v="1"/>
    <s v="Q2"/>
    <x v="5"/>
    <x v="0"/>
    <x v="2"/>
    <x v="2"/>
    <x v="0"/>
    <s v="Road"/>
    <x v="1"/>
    <n v="9.6"/>
    <n v="1185"/>
    <n v="5"/>
    <n v="5"/>
    <n v="1"/>
    <n v="0"/>
    <n v="27.11"/>
    <n v="0"/>
    <n v="1"/>
  </r>
  <r>
    <s v="SHP-503793"/>
    <d v="2025-06-11T00:00:00"/>
    <x v="1"/>
    <s v="Q2"/>
    <x v="5"/>
    <x v="4"/>
    <x v="2"/>
    <x v="1"/>
    <x v="1"/>
    <s v="Road"/>
    <x v="0"/>
    <n v="7.4"/>
    <n v="251"/>
    <n v="5"/>
    <n v="5"/>
    <n v="1"/>
    <n v="0"/>
    <n v="9.57"/>
    <n v="0"/>
    <n v="1"/>
  </r>
  <r>
    <s v="SHP-503794"/>
    <d v="2025-06-11T00:00:00"/>
    <x v="1"/>
    <s v="Q2"/>
    <x v="5"/>
    <x v="4"/>
    <x v="1"/>
    <x v="1"/>
    <x v="0"/>
    <s v="Road"/>
    <x v="1"/>
    <n v="34.700000000000003"/>
    <n v="350"/>
    <n v="3"/>
    <n v="2"/>
    <n v="1"/>
    <n v="0"/>
    <n v="28.79"/>
    <n v="1"/>
    <n v="1"/>
  </r>
  <r>
    <s v="SHP-503795"/>
    <d v="2025-06-11T00:00:00"/>
    <x v="1"/>
    <s v="Q2"/>
    <x v="5"/>
    <x v="1"/>
    <x v="2"/>
    <x v="0"/>
    <x v="1"/>
    <s v="Road"/>
    <x v="0"/>
    <n v="151.1"/>
    <n v="851"/>
    <n v="6"/>
    <n v="6"/>
    <n v="1"/>
    <n v="0"/>
    <n v="57.44"/>
    <n v="0"/>
    <n v="1"/>
  </r>
  <r>
    <s v="SHP-503796"/>
    <d v="2025-06-11T00:00:00"/>
    <x v="1"/>
    <s v="Q2"/>
    <x v="5"/>
    <x v="3"/>
    <x v="2"/>
    <x v="2"/>
    <x v="1"/>
    <s v="Road"/>
    <x v="1"/>
    <n v="25.6"/>
    <n v="884"/>
    <n v="7"/>
    <n v="7"/>
    <n v="1"/>
    <n v="0"/>
    <n v="23.6"/>
    <n v="0"/>
    <n v="1"/>
  </r>
  <r>
    <s v="SHP-503797"/>
    <d v="2025-06-11T00:00:00"/>
    <x v="1"/>
    <s v="Q2"/>
    <x v="5"/>
    <x v="2"/>
    <x v="2"/>
    <x v="0"/>
    <x v="1"/>
    <s v="Road"/>
    <x v="1"/>
    <n v="10.7"/>
    <n v="657"/>
    <n v="6"/>
    <n v="8"/>
    <n v="0"/>
    <n v="2"/>
    <n v="12.21"/>
    <n v="1"/>
    <n v="1"/>
  </r>
  <r>
    <s v="SHP-503798"/>
    <d v="2025-06-11T00:00:00"/>
    <x v="1"/>
    <s v="Q2"/>
    <x v="5"/>
    <x v="2"/>
    <x v="2"/>
    <x v="0"/>
    <x v="0"/>
    <s v="Road"/>
    <x v="1"/>
    <n v="2.2000000000000002"/>
    <n v="652"/>
    <n v="4"/>
    <n v="4"/>
    <n v="1"/>
    <n v="0"/>
    <n v="12.88"/>
    <n v="0"/>
    <n v="1"/>
  </r>
  <r>
    <s v="SHP-503799"/>
    <d v="2025-06-12T00:00:00"/>
    <x v="1"/>
    <s v="Q2"/>
    <x v="5"/>
    <x v="3"/>
    <x v="0"/>
    <x v="1"/>
    <x v="1"/>
    <s v="Road"/>
    <x v="0"/>
    <n v="40.200000000000003"/>
    <n v="255"/>
    <n v="5"/>
    <n v="5"/>
    <n v="1"/>
    <n v="0"/>
    <n v="25.54"/>
    <n v="0"/>
    <n v="1"/>
  </r>
  <r>
    <s v="SHP-503800"/>
    <d v="2025-06-12T00:00:00"/>
    <x v="1"/>
    <s v="Q2"/>
    <x v="5"/>
    <x v="3"/>
    <x v="0"/>
    <x v="3"/>
    <x v="2"/>
    <s v="Road"/>
    <x v="1"/>
    <n v="7.8"/>
    <n v="517"/>
    <n v="2"/>
    <n v="1"/>
    <n v="1"/>
    <n v="0"/>
    <n v="37.32"/>
    <n v="0"/>
    <n v="1"/>
  </r>
  <r>
    <s v="SHP-503801"/>
    <d v="2025-06-12T00:00:00"/>
    <x v="1"/>
    <s v="Q2"/>
    <x v="5"/>
    <x v="0"/>
    <x v="2"/>
    <x v="3"/>
    <x v="1"/>
    <s v="Road"/>
    <x v="1"/>
    <n v="14.5"/>
    <n v="388"/>
    <n v="6"/>
    <n v="6"/>
    <n v="1"/>
    <n v="0"/>
    <n v="14.19"/>
    <n v="0"/>
    <n v="1"/>
  </r>
  <r>
    <s v="SHP-503802"/>
    <d v="2025-06-12T00:00:00"/>
    <x v="1"/>
    <s v="Q2"/>
    <x v="5"/>
    <x v="1"/>
    <x v="1"/>
    <x v="3"/>
    <x v="0"/>
    <s v="Road"/>
    <x v="0"/>
    <n v="239.3"/>
    <n v="596"/>
    <n v="4"/>
    <n v="6"/>
    <n v="0"/>
    <n v="2"/>
    <n v="107.66"/>
    <n v="0"/>
    <n v="1"/>
  </r>
  <r>
    <s v="SHP-503803"/>
    <d v="2025-06-12T00:00:00"/>
    <x v="1"/>
    <s v="Q2"/>
    <x v="5"/>
    <x v="3"/>
    <x v="2"/>
    <x v="3"/>
    <x v="2"/>
    <s v="Road"/>
    <x v="1"/>
    <n v="4.7"/>
    <n v="439"/>
    <n v="2"/>
    <n v="2"/>
    <n v="1"/>
    <n v="0"/>
    <n v="31.88"/>
    <n v="0"/>
    <n v="1"/>
  </r>
  <r>
    <s v="SHP-503804"/>
    <d v="2025-06-12T00:00:00"/>
    <x v="1"/>
    <s v="Q2"/>
    <x v="5"/>
    <x v="3"/>
    <x v="1"/>
    <x v="3"/>
    <x v="0"/>
    <s v="Road"/>
    <x v="1"/>
    <n v="18.5"/>
    <n v="638"/>
    <n v="4"/>
    <n v="4"/>
    <n v="1"/>
    <n v="0"/>
    <n v="23.57"/>
    <n v="0"/>
    <n v="1"/>
  </r>
  <r>
    <s v="SHP-503805"/>
    <d v="2025-06-12T00:00:00"/>
    <x v="1"/>
    <s v="Q2"/>
    <x v="5"/>
    <x v="3"/>
    <x v="2"/>
    <x v="3"/>
    <x v="1"/>
    <s v="Road"/>
    <x v="1"/>
    <n v="2.7"/>
    <n v="538"/>
    <n v="6"/>
    <n v="6"/>
    <n v="1"/>
    <n v="0"/>
    <n v="11.21"/>
    <n v="0"/>
    <n v="1"/>
  </r>
  <r>
    <s v="SHP-503806"/>
    <d v="2025-06-12T00:00:00"/>
    <x v="1"/>
    <s v="Q2"/>
    <x v="5"/>
    <x v="4"/>
    <x v="2"/>
    <x v="3"/>
    <x v="1"/>
    <s v="Road"/>
    <x v="0"/>
    <n v="69.7"/>
    <n v="590"/>
    <n v="6"/>
    <n v="6"/>
    <n v="1"/>
    <n v="0"/>
    <n v="34.15"/>
    <n v="0"/>
    <n v="1"/>
  </r>
  <r>
    <s v="SHP-503807"/>
    <d v="2025-06-12T00:00:00"/>
    <x v="1"/>
    <s v="Q2"/>
    <x v="5"/>
    <x v="3"/>
    <x v="0"/>
    <x v="1"/>
    <x v="1"/>
    <s v="Road"/>
    <x v="0"/>
    <n v="99.7"/>
    <n v="235"/>
    <n v="5"/>
    <n v="5"/>
    <n v="1"/>
    <n v="0"/>
    <n v="42.81"/>
    <n v="0"/>
    <n v="1"/>
  </r>
  <r>
    <s v="SHP-503808"/>
    <d v="2025-06-12T00:00:00"/>
    <x v="1"/>
    <s v="Q2"/>
    <x v="5"/>
    <x v="2"/>
    <x v="2"/>
    <x v="4"/>
    <x v="0"/>
    <s v="Road"/>
    <x v="1"/>
    <n v="5.8"/>
    <n v="969"/>
    <n v="5"/>
    <n v="5"/>
    <n v="1"/>
    <n v="0"/>
    <n v="18.09"/>
    <n v="0"/>
    <n v="1"/>
  </r>
  <r>
    <s v="SHP-503809"/>
    <d v="2025-06-12T00:00:00"/>
    <x v="1"/>
    <s v="Q2"/>
    <x v="5"/>
    <x v="0"/>
    <x v="2"/>
    <x v="1"/>
    <x v="1"/>
    <s v="Road"/>
    <x v="1"/>
    <n v="5.9"/>
    <n v="313"/>
    <n v="5"/>
    <n v="9"/>
    <n v="0"/>
    <n v="4"/>
    <n v="9.33"/>
    <n v="0"/>
    <n v="1"/>
  </r>
  <r>
    <s v="SHP-503810"/>
    <d v="2025-06-12T00:00:00"/>
    <x v="1"/>
    <s v="Q2"/>
    <x v="5"/>
    <x v="4"/>
    <x v="0"/>
    <x v="1"/>
    <x v="2"/>
    <s v="Road"/>
    <x v="1"/>
    <n v="8.5"/>
    <n v="270"/>
    <n v="1"/>
    <n v="1"/>
    <n v="1"/>
    <n v="0"/>
    <n v="26.79"/>
    <n v="0"/>
    <n v="1"/>
  </r>
  <r>
    <s v="SHP-503811"/>
    <d v="2025-06-12T00:00:00"/>
    <x v="1"/>
    <s v="Q2"/>
    <x v="5"/>
    <x v="1"/>
    <x v="1"/>
    <x v="1"/>
    <x v="0"/>
    <s v="Road"/>
    <x v="1"/>
    <n v="1.2"/>
    <n v="213"/>
    <n v="3"/>
    <n v="3"/>
    <n v="1"/>
    <n v="0"/>
    <n v="9.2200000000000006"/>
    <n v="0"/>
    <n v="1"/>
  </r>
  <r>
    <s v="SHP-503812"/>
    <d v="2025-06-13T00:00:00"/>
    <x v="1"/>
    <s v="Q2"/>
    <x v="5"/>
    <x v="2"/>
    <x v="1"/>
    <x v="1"/>
    <x v="0"/>
    <s v="Road"/>
    <x v="0"/>
    <n v="58.7"/>
    <n v="301"/>
    <n v="3"/>
    <n v="3"/>
    <n v="1"/>
    <n v="0"/>
    <n v="31.59"/>
    <n v="0"/>
    <n v="1"/>
  </r>
  <r>
    <s v="SHP-503813"/>
    <d v="2025-06-13T00:00:00"/>
    <x v="1"/>
    <s v="Q2"/>
    <x v="5"/>
    <x v="2"/>
    <x v="1"/>
    <x v="0"/>
    <x v="1"/>
    <s v="Road"/>
    <x v="0"/>
    <n v="114"/>
    <n v="1090"/>
    <n v="6"/>
    <n v="6"/>
    <n v="1"/>
    <n v="0"/>
    <n v="42.05"/>
    <n v="0"/>
    <n v="1"/>
  </r>
  <r>
    <s v="SHP-503814"/>
    <d v="2025-06-13T00:00:00"/>
    <x v="1"/>
    <s v="Q2"/>
    <x v="5"/>
    <x v="2"/>
    <x v="1"/>
    <x v="1"/>
    <x v="0"/>
    <s v="Road"/>
    <x v="1"/>
    <n v="5.3"/>
    <n v="294"/>
    <n v="3"/>
    <n v="3"/>
    <n v="1"/>
    <n v="0"/>
    <n v="12.56"/>
    <n v="0"/>
    <n v="1"/>
  </r>
  <r>
    <s v="SHP-503815"/>
    <d v="2025-06-13T00:00:00"/>
    <x v="1"/>
    <s v="Q2"/>
    <x v="5"/>
    <x v="1"/>
    <x v="2"/>
    <x v="1"/>
    <x v="0"/>
    <s v="Road"/>
    <x v="1"/>
    <n v="0.8"/>
    <n v="281"/>
    <n v="3"/>
    <n v="3"/>
    <n v="1"/>
    <n v="0"/>
    <n v="10.74"/>
    <n v="0"/>
    <n v="1"/>
  </r>
  <r>
    <s v="SHP-503816"/>
    <d v="2025-06-13T00:00:00"/>
    <x v="1"/>
    <s v="Q2"/>
    <x v="5"/>
    <x v="4"/>
    <x v="2"/>
    <x v="1"/>
    <x v="2"/>
    <s v="Road"/>
    <x v="1"/>
    <n v="14.1"/>
    <n v="304"/>
    <n v="1"/>
    <n v="1"/>
    <n v="1"/>
    <n v="0"/>
    <n v="33.200000000000003"/>
    <n v="0"/>
    <n v="1"/>
  </r>
  <r>
    <s v="SHP-503817"/>
    <d v="2025-06-13T00:00:00"/>
    <x v="1"/>
    <s v="Q2"/>
    <x v="5"/>
    <x v="0"/>
    <x v="0"/>
    <x v="4"/>
    <x v="0"/>
    <s v="Road"/>
    <x v="1"/>
    <n v="14"/>
    <n v="1286"/>
    <n v="5"/>
    <n v="5"/>
    <n v="1"/>
    <n v="0"/>
    <n v="30.58"/>
    <n v="0"/>
    <n v="1"/>
  </r>
  <r>
    <s v="SHP-503818"/>
    <d v="2025-06-14T00:00:00"/>
    <x v="1"/>
    <s v="Q2"/>
    <x v="5"/>
    <x v="0"/>
    <x v="0"/>
    <x v="2"/>
    <x v="0"/>
    <s v="Road"/>
    <x v="1"/>
    <n v="1.6"/>
    <n v="1216"/>
    <n v="5"/>
    <n v="5"/>
    <n v="1"/>
    <n v="0"/>
    <n v="21.44"/>
    <n v="0"/>
    <n v="1"/>
  </r>
  <r>
    <s v="SHP-503819"/>
    <d v="2025-06-14T00:00:00"/>
    <x v="1"/>
    <s v="Q2"/>
    <x v="5"/>
    <x v="1"/>
    <x v="2"/>
    <x v="3"/>
    <x v="1"/>
    <s v="Road"/>
    <x v="1"/>
    <n v="4.5"/>
    <n v="504"/>
    <n v="6"/>
    <n v="6"/>
    <n v="1"/>
    <n v="0"/>
    <n v="12.05"/>
    <n v="0"/>
    <n v="1"/>
  </r>
  <r>
    <s v="SHP-503820"/>
    <d v="2025-06-14T00:00:00"/>
    <x v="1"/>
    <s v="Q2"/>
    <x v="5"/>
    <x v="2"/>
    <x v="2"/>
    <x v="0"/>
    <x v="0"/>
    <s v="Road"/>
    <x v="1"/>
    <n v="10.6"/>
    <n v="946"/>
    <n v="4"/>
    <n v="4"/>
    <n v="1"/>
    <n v="0"/>
    <n v="23.81"/>
    <n v="0"/>
    <n v="1"/>
  </r>
  <r>
    <s v="SHP-503821"/>
    <d v="2025-06-14T00:00:00"/>
    <x v="1"/>
    <s v="Q2"/>
    <x v="5"/>
    <x v="1"/>
    <x v="0"/>
    <x v="2"/>
    <x v="0"/>
    <s v="Road"/>
    <x v="1"/>
    <n v="2.8"/>
    <n v="1111"/>
    <n v="5"/>
    <n v="5"/>
    <n v="1"/>
    <n v="0"/>
    <n v="21.66"/>
    <n v="0"/>
    <n v="1"/>
  </r>
  <r>
    <s v="SHP-503822"/>
    <d v="2025-06-15T00:00:00"/>
    <x v="1"/>
    <s v="Q2"/>
    <x v="5"/>
    <x v="2"/>
    <x v="2"/>
    <x v="2"/>
    <x v="0"/>
    <s v="Road"/>
    <x v="1"/>
    <n v="2.8"/>
    <n v="1177"/>
    <n v="5"/>
    <n v="5"/>
    <n v="1"/>
    <n v="0"/>
    <n v="21.54"/>
    <n v="0"/>
    <n v="1"/>
  </r>
  <r>
    <s v="SHP-503823"/>
    <d v="2025-06-15T00:00:00"/>
    <x v="1"/>
    <s v="Q2"/>
    <x v="5"/>
    <x v="0"/>
    <x v="2"/>
    <x v="3"/>
    <x v="2"/>
    <s v="Road"/>
    <x v="1"/>
    <n v="7.3"/>
    <n v="553"/>
    <n v="2"/>
    <n v="2"/>
    <n v="1"/>
    <n v="0"/>
    <n v="30.07"/>
    <n v="0"/>
    <n v="1"/>
  </r>
  <r>
    <s v="SHP-503824"/>
    <d v="2025-06-15T00:00:00"/>
    <x v="1"/>
    <s v="Q2"/>
    <x v="5"/>
    <x v="0"/>
    <x v="2"/>
    <x v="0"/>
    <x v="2"/>
    <s v="Air"/>
    <x v="1"/>
    <n v="14.1"/>
    <n v="1073"/>
    <n v="2"/>
    <n v="2"/>
    <n v="1"/>
    <n v="0"/>
    <n v="74.14"/>
    <n v="0"/>
    <n v="1"/>
  </r>
  <r>
    <s v="SHP-503825"/>
    <d v="2025-06-16T00:00:00"/>
    <x v="1"/>
    <s v="Q2"/>
    <x v="5"/>
    <x v="0"/>
    <x v="2"/>
    <x v="0"/>
    <x v="1"/>
    <s v="Road"/>
    <x v="0"/>
    <n v="118.9"/>
    <n v="860"/>
    <n v="6"/>
    <n v="6"/>
    <n v="1"/>
    <n v="0"/>
    <n v="52.58"/>
    <n v="0"/>
    <n v="1"/>
  </r>
  <r>
    <s v="SHP-503826"/>
    <d v="2025-06-16T00:00:00"/>
    <x v="1"/>
    <s v="Q2"/>
    <x v="5"/>
    <x v="2"/>
    <x v="1"/>
    <x v="3"/>
    <x v="1"/>
    <s v="Road"/>
    <x v="0"/>
    <n v="183.5"/>
    <n v="435"/>
    <n v="6"/>
    <n v="6"/>
    <n v="1"/>
    <n v="0"/>
    <n v="49.37"/>
    <n v="0"/>
    <n v="1"/>
  </r>
  <r>
    <s v="SHP-503827"/>
    <d v="2025-06-16T00:00:00"/>
    <x v="1"/>
    <s v="Q2"/>
    <x v="5"/>
    <x v="3"/>
    <x v="2"/>
    <x v="0"/>
    <x v="0"/>
    <s v="Road"/>
    <x v="0"/>
    <n v="113.9"/>
    <n v="858"/>
    <n v="4"/>
    <n v="4"/>
    <n v="1"/>
    <n v="0"/>
    <n v="77.599999999999994"/>
    <n v="0"/>
    <n v="1"/>
  </r>
  <r>
    <s v="SHP-503828"/>
    <d v="2025-06-16T00:00:00"/>
    <x v="1"/>
    <s v="Q2"/>
    <x v="5"/>
    <x v="1"/>
    <x v="0"/>
    <x v="3"/>
    <x v="2"/>
    <s v="Road"/>
    <x v="1"/>
    <n v="5.2"/>
    <n v="466"/>
    <n v="2"/>
    <n v="2"/>
    <n v="1"/>
    <n v="0"/>
    <n v="30.02"/>
    <n v="0"/>
    <n v="1"/>
  </r>
  <r>
    <s v="SHP-503829"/>
    <d v="2025-06-16T00:00:00"/>
    <x v="1"/>
    <s v="Q2"/>
    <x v="5"/>
    <x v="2"/>
    <x v="0"/>
    <x v="3"/>
    <x v="1"/>
    <s v="Road"/>
    <x v="0"/>
    <n v="36.9"/>
    <n v="506"/>
    <n v="6"/>
    <n v="6"/>
    <n v="1"/>
    <n v="0"/>
    <n v="21.43"/>
    <n v="0"/>
    <n v="1"/>
  </r>
  <r>
    <s v="SHP-503830"/>
    <d v="2025-06-17T00:00:00"/>
    <x v="1"/>
    <s v="Q2"/>
    <x v="5"/>
    <x v="0"/>
    <x v="1"/>
    <x v="4"/>
    <x v="0"/>
    <s v="Road"/>
    <x v="0"/>
    <n v="175"/>
    <n v="1076"/>
    <n v="5"/>
    <n v="4"/>
    <n v="1"/>
    <n v="0"/>
    <n v="88.9"/>
    <n v="0"/>
    <n v="1"/>
  </r>
  <r>
    <s v="SHP-503831"/>
    <d v="2025-06-17T00:00:00"/>
    <x v="1"/>
    <s v="Q2"/>
    <x v="5"/>
    <x v="2"/>
    <x v="2"/>
    <x v="3"/>
    <x v="0"/>
    <s v="Road"/>
    <x v="0"/>
    <n v="54.3"/>
    <n v="614"/>
    <n v="4"/>
    <n v="4"/>
    <n v="1"/>
    <n v="0"/>
    <n v="31.71"/>
    <n v="0"/>
    <n v="1"/>
  </r>
  <r>
    <s v="SHP-503832"/>
    <d v="2025-06-17T00:00:00"/>
    <x v="1"/>
    <s v="Q2"/>
    <x v="5"/>
    <x v="3"/>
    <x v="2"/>
    <x v="0"/>
    <x v="0"/>
    <s v="Road"/>
    <x v="1"/>
    <n v="8.9"/>
    <n v="804"/>
    <n v="4"/>
    <n v="4"/>
    <n v="1"/>
    <n v="0"/>
    <n v="22.44"/>
    <n v="0"/>
    <n v="1"/>
  </r>
  <r>
    <s v="SHP-503833"/>
    <d v="2025-06-17T00:00:00"/>
    <x v="1"/>
    <s v="Q2"/>
    <x v="5"/>
    <x v="3"/>
    <x v="1"/>
    <x v="4"/>
    <x v="0"/>
    <s v="Road"/>
    <x v="0"/>
    <n v="33.299999999999997"/>
    <n v="1149"/>
    <n v="5"/>
    <n v="9"/>
    <n v="0"/>
    <n v="4"/>
    <n v="43.01"/>
    <n v="0"/>
    <n v="1"/>
  </r>
  <r>
    <s v="SHP-503834"/>
    <d v="2025-06-18T00:00:00"/>
    <x v="1"/>
    <s v="Q2"/>
    <x v="5"/>
    <x v="2"/>
    <x v="2"/>
    <x v="3"/>
    <x v="2"/>
    <s v="Road"/>
    <x v="0"/>
    <n v="138.4"/>
    <n v="537"/>
    <n v="2"/>
    <n v="2"/>
    <n v="1"/>
    <n v="0"/>
    <n v="113.47"/>
    <n v="0"/>
    <n v="1"/>
  </r>
  <r>
    <s v="SHP-503835"/>
    <d v="2025-06-18T00:00:00"/>
    <x v="1"/>
    <s v="Q2"/>
    <x v="5"/>
    <x v="0"/>
    <x v="1"/>
    <x v="3"/>
    <x v="0"/>
    <s v="Road"/>
    <x v="1"/>
    <n v="6.7"/>
    <n v="511"/>
    <n v="4"/>
    <n v="4"/>
    <n v="1"/>
    <n v="0"/>
    <n v="16.399999999999999"/>
    <n v="0"/>
    <n v="1"/>
  </r>
  <r>
    <s v="SHP-503836"/>
    <d v="2025-06-18T00:00:00"/>
    <x v="1"/>
    <s v="Q2"/>
    <x v="5"/>
    <x v="2"/>
    <x v="1"/>
    <x v="0"/>
    <x v="0"/>
    <s v="Road"/>
    <x v="1"/>
    <n v="1.3"/>
    <n v="895"/>
    <n v="4"/>
    <n v="7"/>
    <n v="0"/>
    <n v="3"/>
    <n v="16.16"/>
    <n v="0"/>
    <n v="1"/>
  </r>
  <r>
    <s v="SHP-503837"/>
    <d v="2025-06-18T00:00:00"/>
    <x v="1"/>
    <s v="Q2"/>
    <x v="5"/>
    <x v="3"/>
    <x v="2"/>
    <x v="1"/>
    <x v="2"/>
    <s v="Road"/>
    <x v="1"/>
    <n v="5.2"/>
    <n v="272"/>
    <n v="1"/>
    <n v="1"/>
    <n v="1"/>
    <n v="0"/>
    <n v="27.98"/>
    <n v="0"/>
    <n v="1"/>
  </r>
  <r>
    <s v="SHP-503838"/>
    <d v="2025-06-18T00:00:00"/>
    <x v="1"/>
    <s v="Q2"/>
    <x v="5"/>
    <x v="1"/>
    <x v="2"/>
    <x v="2"/>
    <x v="0"/>
    <s v="Road"/>
    <x v="1"/>
    <n v="10"/>
    <n v="1147"/>
    <n v="5"/>
    <n v="5"/>
    <n v="1"/>
    <n v="0"/>
    <n v="28.65"/>
    <n v="0"/>
    <n v="1"/>
  </r>
  <r>
    <s v="SHP-503839"/>
    <d v="2025-06-18T00:00:00"/>
    <x v="1"/>
    <s v="Q2"/>
    <x v="5"/>
    <x v="1"/>
    <x v="1"/>
    <x v="4"/>
    <x v="0"/>
    <s v="Road"/>
    <x v="0"/>
    <n v="59.8"/>
    <n v="1054"/>
    <n v="5"/>
    <n v="5"/>
    <n v="1"/>
    <n v="0"/>
    <n v="47.63"/>
    <n v="0"/>
    <n v="1"/>
  </r>
  <r>
    <s v="SHP-503840"/>
    <d v="2025-06-18T00:00:00"/>
    <x v="1"/>
    <s v="Q2"/>
    <x v="5"/>
    <x v="4"/>
    <x v="1"/>
    <x v="2"/>
    <x v="1"/>
    <s v="Road"/>
    <x v="0"/>
    <n v="172.5"/>
    <n v="949"/>
    <n v="7"/>
    <n v="7"/>
    <n v="1"/>
    <n v="0"/>
    <n v="59.25"/>
    <n v="0"/>
    <n v="1"/>
  </r>
  <r>
    <s v="SHP-503841"/>
    <d v="2025-06-18T00:00:00"/>
    <x v="1"/>
    <s v="Q2"/>
    <x v="5"/>
    <x v="2"/>
    <x v="2"/>
    <x v="0"/>
    <x v="0"/>
    <s v="Road"/>
    <x v="0"/>
    <n v="210.6"/>
    <n v="1076"/>
    <n v="4"/>
    <n v="4"/>
    <n v="1"/>
    <n v="0"/>
    <n v="86.24"/>
    <n v="0"/>
    <n v="1"/>
  </r>
  <r>
    <s v="SHP-503842"/>
    <d v="2025-06-18T00:00:00"/>
    <x v="1"/>
    <s v="Q2"/>
    <x v="5"/>
    <x v="4"/>
    <x v="1"/>
    <x v="1"/>
    <x v="2"/>
    <s v="Road"/>
    <x v="0"/>
    <n v="229.7"/>
    <n v="257"/>
    <n v="1"/>
    <n v="1"/>
    <n v="1"/>
    <n v="0"/>
    <n v="194.27"/>
    <n v="0"/>
    <n v="1"/>
  </r>
  <r>
    <s v="SHP-503843"/>
    <d v="2025-06-19T00:00:00"/>
    <x v="1"/>
    <s v="Q2"/>
    <x v="5"/>
    <x v="2"/>
    <x v="1"/>
    <x v="1"/>
    <x v="2"/>
    <s v="Road"/>
    <x v="1"/>
    <n v="10.8"/>
    <n v="192"/>
    <n v="1"/>
    <n v="4"/>
    <n v="0"/>
    <n v="3"/>
    <n v="26.52"/>
    <n v="0"/>
    <n v="1"/>
  </r>
  <r>
    <s v="SHP-503844"/>
    <d v="2025-06-19T00:00:00"/>
    <x v="1"/>
    <s v="Q2"/>
    <x v="5"/>
    <x v="2"/>
    <x v="0"/>
    <x v="0"/>
    <x v="0"/>
    <s v="Road"/>
    <x v="1"/>
    <n v="3.2"/>
    <n v="1121"/>
    <n v="4"/>
    <n v="3"/>
    <n v="1"/>
    <n v="0"/>
    <n v="19.18"/>
    <n v="0"/>
    <n v="1"/>
  </r>
  <r>
    <s v="SHP-503845"/>
    <d v="2025-06-19T00:00:00"/>
    <x v="1"/>
    <s v="Q2"/>
    <x v="5"/>
    <x v="4"/>
    <x v="2"/>
    <x v="0"/>
    <x v="1"/>
    <s v="Road"/>
    <x v="1"/>
    <n v="1.3"/>
    <n v="806"/>
    <n v="6"/>
    <n v="8"/>
    <n v="0"/>
    <n v="2"/>
    <n v="12.78"/>
    <n v="0"/>
    <n v="1"/>
  </r>
  <r>
    <s v="SHP-503846"/>
    <d v="2025-06-19T00:00:00"/>
    <x v="1"/>
    <s v="Q2"/>
    <x v="5"/>
    <x v="3"/>
    <x v="0"/>
    <x v="0"/>
    <x v="0"/>
    <s v="Road"/>
    <x v="0"/>
    <n v="176.3"/>
    <n v="1137"/>
    <n v="4"/>
    <n v="4"/>
    <n v="1"/>
    <n v="0"/>
    <n v="93.84"/>
    <n v="0"/>
    <n v="1"/>
  </r>
  <r>
    <s v="SHP-503847"/>
    <d v="2025-06-19T00:00:00"/>
    <x v="1"/>
    <s v="Q2"/>
    <x v="5"/>
    <x v="4"/>
    <x v="1"/>
    <x v="3"/>
    <x v="0"/>
    <s v="Road"/>
    <x v="1"/>
    <n v="13.3"/>
    <n v="388"/>
    <n v="4"/>
    <n v="4"/>
    <n v="1"/>
    <n v="0"/>
    <n v="20.77"/>
    <n v="0"/>
    <n v="1"/>
  </r>
  <r>
    <s v="SHP-503848"/>
    <d v="2025-06-19T00:00:00"/>
    <x v="1"/>
    <s v="Q2"/>
    <x v="5"/>
    <x v="2"/>
    <x v="2"/>
    <x v="2"/>
    <x v="1"/>
    <s v="Road"/>
    <x v="1"/>
    <n v="8.1999999999999993"/>
    <n v="1217"/>
    <n v="7"/>
    <n v="9"/>
    <n v="0"/>
    <n v="2"/>
    <n v="16.260000000000002"/>
    <n v="0"/>
    <n v="1"/>
  </r>
  <r>
    <s v="SHP-503849"/>
    <d v="2025-06-19T00:00:00"/>
    <x v="1"/>
    <s v="Q2"/>
    <x v="5"/>
    <x v="4"/>
    <x v="2"/>
    <x v="4"/>
    <x v="0"/>
    <s v="Road"/>
    <x v="1"/>
    <n v="5.0999999999999996"/>
    <n v="852"/>
    <n v="5"/>
    <n v="4"/>
    <n v="1"/>
    <n v="0"/>
    <n v="21.5"/>
    <n v="0"/>
    <n v="1"/>
  </r>
  <r>
    <s v="SHP-503850"/>
    <d v="2025-06-19T00:00:00"/>
    <x v="1"/>
    <s v="Q2"/>
    <x v="5"/>
    <x v="1"/>
    <x v="1"/>
    <x v="1"/>
    <x v="2"/>
    <s v="Road"/>
    <x v="1"/>
    <n v="0.8"/>
    <n v="227"/>
    <n v="1"/>
    <n v="1"/>
    <n v="1"/>
    <n v="0"/>
    <n v="18.32"/>
    <n v="0"/>
    <n v="1"/>
  </r>
  <r>
    <s v="SHP-503851"/>
    <d v="2025-06-19T00:00:00"/>
    <x v="1"/>
    <s v="Q2"/>
    <x v="5"/>
    <x v="3"/>
    <x v="1"/>
    <x v="0"/>
    <x v="2"/>
    <s v="Air"/>
    <x v="0"/>
    <n v="10"/>
    <n v="962"/>
    <n v="2"/>
    <n v="2"/>
    <n v="1"/>
    <n v="0"/>
    <n v="82.09"/>
    <n v="0"/>
    <n v="1"/>
  </r>
  <r>
    <s v="SHP-503852"/>
    <d v="2025-06-19T00:00:00"/>
    <x v="1"/>
    <s v="Q2"/>
    <x v="5"/>
    <x v="0"/>
    <x v="2"/>
    <x v="2"/>
    <x v="0"/>
    <s v="Road"/>
    <x v="0"/>
    <n v="40"/>
    <n v="1187"/>
    <n v="5"/>
    <n v="4"/>
    <n v="1"/>
    <n v="0"/>
    <n v="40.57"/>
    <n v="0"/>
    <n v="1"/>
  </r>
  <r>
    <s v="SHP-503853"/>
    <d v="2025-06-19T00:00:00"/>
    <x v="1"/>
    <s v="Q2"/>
    <x v="5"/>
    <x v="1"/>
    <x v="2"/>
    <x v="0"/>
    <x v="0"/>
    <s v="Road"/>
    <x v="1"/>
    <n v="5.8"/>
    <n v="841"/>
    <n v="4"/>
    <n v="5"/>
    <n v="0"/>
    <n v="1"/>
    <n v="20.64"/>
    <n v="0"/>
    <n v="1"/>
  </r>
  <r>
    <s v="SHP-503854"/>
    <d v="2025-06-19T00:00:00"/>
    <x v="1"/>
    <s v="Q2"/>
    <x v="5"/>
    <x v="2"/>
    <x v="2"/>
    <x v="2"/>
    <x v="0"/>
    <s v="Road"/>
    <x v="1"/>
    <n v="7"/>
    <n v="858"/>
    <n v="5"/>
    <n v="5"/>
    <n v="1"/>
    <n v="0"/>
    <n v="17.45"/>
    <n v="0"/>
    <n v="1"/>
  </r>
  <r>
    <s v="SHP-503855"/>
    <d v="2025-06-19T00:00:00"/>
    <x v="1"/>
    <s v="Q2"/>
    <x v="5"/>
    <x v="3"/>
    <x v="2"/>
    <x v="1"/>
    <x v="2"/>
    <s v="Road"/>
    <x v="0"/>
    <n v="163.69999999999999"/>
    <n v="291"/>
    <n v="1"/>
    <n v="1"/>
    <n v="1"/>
    <n v="0"/>
    <n v="153.86000000000001"/>
    <n v="0"/>
    <n v="1"/>
  </r>
  <r>
    <s v="SHP-503856"/>
    <d v="2025-06-20T00:00:00"/>
    <x v="1"/>
    <s v="Q2"/>
    <x v="5"/>
    <x v="0"/>
    <x v="2"/>
    <x v="3"/>
    <x v="2"/>
    <s v="Road"/>
    <x v="1"/>
    <n v="0.7"/>
    <n v="499"/>
    <n v="2"/>
    <n v="2"/>
    <n v="1"/>
    <n v="0"/>
    <n v="21.55"/>
    <n v="0"/>
    <n v="1"/>
  </r>
  <r>
    <s v="SHP-503857"/>
    <d v="2025-06-20T00:00:00"/>
    <x v="1"/>
    <s v="Q2"/>
    <x v="5"/>
    <x v="0"/>
    <x v="2"/>
    <x v="3"/>
    <x v="0"/>
    <s v="Road"/>
    <x v="1"/>
    <n v="6.2"/>
    <n v="554"/>
    <n v="4"/>
    <n v="9"/>
    <n v="0"/>
    <n v="5"/>
    <n v="16.87"/>
    <n v="0"/>
    <n v="1"/>
  </r>
  <r>
    <s v="SHP-503858"/>
    <d v="2025-06-20T00:00:00"/>
    <x v="1"/>
    <s v="Q2"/>
    <x v="5"/>
    <x v="1"/>
    <x v="1"/>
    <x v="1"/>
    <x v="1"/>
    <s v="Road"/>
    <x v="1"/>
    <n v="7.4"/>
    <n v="219"/>
    <n v="5"/>
    <n v="5"/>
    <n v="1"/>
    <n v="0"/>
    <n v="10.91"/>
    <n v="0"/>
    <n v="1"/>
  </r>
  <r>
    <s v="SHP-503859"/>
    <d v="2025-06-20T00:00:00"/>
    <x v="1"/>
    <s v="Q2"/>
    <x v="5"/>
    <x v="2"/>
    <x v="1"/>
    <x v="4"/>
    <x v="0"/>
    <s v="Road"/>
    <x v="0"/>
    <n v="176.6"/>
    <n v="1038"/>
    <n v="5"/>
    <n v="5"/>
    <n v="1"/>
    <n v="0"/>
    <n v="76.489999999999995"/>
    <n v="0"/>
    <n v="1"/>
  </r>
  <r>
    <s v="SHP-503860"/>
    <d v="2025-06-20T00:00:00"/>
    <x v="1"/>
    <s v="Q2"/>
    <x v="5"/>
    <x v="2"/>
    <x v="1"/>
    <x v="1"/>
    <x v="0"/>
    <s v="Road"/>
    <x v="1"/>
    <n v="6.7"/>
    <n v="277"/>
    <n v="3"/>
    <n v="2"/>
    <n v="1"/>
    <n v="0"/>
    <n v="11.98"/>
    <n v="0"/>
    <n v="1"/>
  </r>
  <r>
    <s v="SHP-503861"/>
    <d v="2025-06-20T00:00:00"/>
    <x v="1"/>
    <s v="Q2"/>
    <x v="5"/>
    <x v="0"/>
    <x v="1"/>
    <x v="0"/>
    <x v="1"/>
    <s v="Road"/>
    <x v="1"/>
    <n v="6.7"/>
    <n v="838"/>
    <n v="6"/>
    <n v="6"/>
    <n v="1"/>
    <n v="0"/>
    <n v="14.45"/>
    <n v="0"/>
    <n v="1"/>
  </r>
  <r>
    <s v="SHP-503862"/>
    <d v="2025-06-20T00:00:00"/>
    <x v="1"/>
    <s v="Q2"/>
    <x v="5"/>
    <x v="0"/>
    <x v="0"/>
    <x v="4"/>
    <x v="0"/>
    <s v="Road"/>
    <x v="1"/>
    <n v="4.0999999999999996"/>
    <n v="1069"/>
    <n v="5"/>
    <n v="6"/>
    <n v="0"/>
    <n v="1"/>
    <n v="23.27"/>
    <n v="0"/>
    <n v="1"/>
  </r>
  <r>
    <s v="SHP-503863"/>
    <d v="2025-06-20T00:00:00"/>
    <x v="1"/>
    <s v="Q2"/>
    <x v="5"/>
    <x v="0"/>
    <x v="2"/>
    <x v="1"/>
    <x v="0"/>
    <s v="Road"/>
    <x v="0"/>
    <n v="169.4"/>
    <n v="279"/>
    <n v="3"/>
    <n v="2"/>
    <n v="1"/>
    <n v="0"/>
    <n v="76.88"/>
    <n v="0"/>
    <n v="1"/>
  </r>
  <r>
    <s v="SHP-503864"/>
    <d v="2025-06-20T00:00:00"/>
    <x v="1"/>
    <s v="Q2"/>
    <x v="5"/>
    <x v="3"/>
    <x v="2"/>
    <x v="2"/>
    <x v="2"/>
    <s v="Air"/>
    <x v="1"/>
    <n v="7.9"/>
    <n v="1139"/>
    <n v="3"/>
    <n v="3"/>
    <n v="1"/>
    <n v="0"/>
    <n v="98.92"/>
    <n v="0"/>
    <n v="1"/>
  </r>
  <r>
    <s v="SHP-503865"/>
    <d v="2025-06-20T00:00:00"/>
    <x v="1"/>
    <s v="Q2"/>
    <x v="5"/>
    <x v="1"/>
    <x v="1"/>
    <x v="0"/>
    <x v="1"/>
    <s v="Road"/>
    <x v="0"/>
    <n v="95.4"/>
    <n v="846"/>
    <n v="6"/>
    <n v="6"/>
    <n v="1"/>
    <n v="0"/>
    <n v="43.85"/>
    <n v="0"/>
    <n v="1"/>
  </r>
  <r>
    <s v="SHP-503866"/>
    <d v="2025-06-21T00:00:00"/>
    <x v="1"/>
    <s v="Q2"/>
    <x v="5"/>
    <x v="4"/>
    <x v="0"/>
    <x v="4"/>
    <x v="0"/>
    <s v="Road"/>
    <x v="0"/>
    <n v="57"/>
    <n v="1003"/>
    <n v="5"/>
    <n v="5"/>
    <n v="1"/>
    <n v="0"/>
    <n v="46.06"/>
    <n v="0"/>
    <n v="1"/>
  </r>
  <r>
    <s v="SHP-503867"/>
    <d v="2025-06-21T00:00:00"/>
    <x v="1"/>
    <s v="Q2"/>
    <x v="5"/>
    <x v="0"/>
    <x v="0"/>
    <x v="3"/>
    <x v="2"/>
    <s v="Road"/>
    <x v="1"/>
    <n v="6.8"/>
    <n v="387"/>
    <n v="2"/>
    <n v="1"/>
    <n v="1"/>
    <n v="0"/>
    <n v="30.7"/>
    <n v="0"/>
    <n v="1"/>
  </r>
  <r>
    <s v="SHP-503868"/>
    <d v="2025-06-21T00:00:00"/>
    <x v="1"/>
    <s v="Q2"/>
    <x v="5"/>
    <x v="4"/>
    <x v="2"/>
    <x v="2"/>
    <x v="0"/>
    <s v="Road"/>
    <x v="0"/>
    <n v="46.8"/>
    <n v="1125"/>
    <n v="5"/>
    <n v="5"/>
    <n v="1"/>
    <n v="0"/>
    <n v="46.56"/>
    <n v="0"/>
    <n v="1"/>
  </r>
  <r>
    <s v="SHP-503869"/>
    <d v="2025-06-22T00:00:00"/>
    <x v="1"/>
    <s v="Q2"/>
    <x v="5"/>
    <x v="1"/>
    <x v="2"/>
    <x v="0"/>
    <x v="0"/>
    <s v="Road"/>
    <x v="0"/>
    <n v="243.3"/>
    <n v="1212"/>
    <n v="4"/>
    <n v="4"/>
    <n v="1"/>
    <n v="0"/>
    <n v="131.24"/>
    <n v="0"/>
    <n v="1"/>
  </r>
  <r>
    <s v="SHP-503870"/>
    <d v="2025-06-22T00:00:00"/>
    <x v="1"/>
    <s v="Q2"/>
    <x v="5"/>
    <x v="3"/>
    <x v="1"/>
    <x v="1"/>
    <x v="0"/>
    <s v="Road"/>
    <x v="0"/>
    <n v="274.39999999999998"/>
    <n v="271"/>
    <n v="3"/>
    <n v="2"/>
    <n v="1"/>
    <n v="0"/>
    <n v="132.81"/>
    <n v="0"/>
    <n v="1"/>
  </r>
  <r>
    <s v="SHP-503871"/>
    <d v="2025-06-22T00:00:00"/>
    <x v="1"/>
    <s v="Q2"/>
    <x v="5"/>
    <x v="2"/>
    <x v="2"/>
    <x v="0"/>
    <x v="0"/>
    <s v="Road"/>
    <x v="1"/>
    <n v="3.4"/>
    <n v="926"/>
    <n v="4"/>
    <n v="3"/>
    <n v="1"/>
    <n v="0"/>
    <n v="17.059999999999999"/>
    <n v="0"/>
    <n v="1"/>
  </r>
  <r>
    <s v="SHP-503872"/>
    <d v="2025-06-23T00:00:00"/>
    <x v="1"/>
    <s v="Q2"/>
    <x v="5"/>
    <x v="4"/>
    <x v="1"/>
    <x v="3"/>
    <x v="2"/>
    <s v="Road"/>
    <x v="0"/>
    <n v="80"/>
    <n v="458"/>
    <n v="2"/>
    <n v="2"/>
    <n v="1"/>
    <n v="0"/>
    <n v="89.27"/>
    <n v="0"/>
    <n v="1"/>
  </r>
  <r>
    <s v="SHP-503873"/>
    <d v="2025-06-23T00:00:00"/>
    <x v="1"/>
    <s v="Q2"/>
    <x v="5"/>
    <x v="3"/>
    <x v="2"/>
    <x v="4"/>
    <x v="2"/>
    <s v="Air"/>
    <x v="1"/>
    <n v="3.4"/>
    <n v="1078"/>
    <n v="3"/>
    <n v="2"/>
    <n v="1"/>
    <n v="0"/>
    <n v="69.989999999999995"/>
    <n v="0"/>
    <n v="1"/>
  </r>
  <r>
    <s v="SHP-503874"/>
    <d v="2025-06-23T00:00:00"/>
    <x v="1"/>
    <s v="Q2"/>
    <x v="5"/>
    <x v="3"/>
    <x v="1"/>
    <x v="1"/>
    <x v="0"/>
    <s v="Road"/>
    <x v="1"/>
    <n v="4.5999999999999996"/>
    <n v="187"/>
    <n v="3"/>
    <n v="3"/>
    <n v="1"/>
    <n v="0"/>
    <n v="12.04"/>
    <n v="0"/>
    <n v="1"/>
  </r>
  <r>
    <s v="SHP-503875"/>
    <d v="2025-06-23T00:00:00"/>
    <x v="1"/>
    <s v="Q2"/>
    <x v="5"/>
    <x v="1"/>
    <x v="2"/>
    <x v="2"/>
    <x v="1"/>
    <s v="Road"/>
    <x v="0"/>
    <n v="126.1"/>
    <n v="767"/>
    <n v="7"/>
    <n v="7"/>
    <n v="1"/>
    <n v="0"/>
    <n v="60.77"/>
    <n v="0"/>
    <n v="1"/>
  </r>
  <r>
    <s v="SHP-503876"/>
    <d v="2025-06-23T00:00:00"/>
    <x v="1"/>
    <s v="Q2"/>
    <x v="5"/>
    <x v="3"/>
    <x v="0"/>
    <x v="1"/>
    <x v="1"/>
    <s v="Road"/>
    <x v="0"/>
    <n v="108.8"/>
    <n v="266"/>
    <n v="5"/>
    <n v="5"/>
    <n v="1"/>
    <n v="0"/>
    <n v="41.94"/>
    <n v="0"/>
    <n v="1"/>
  </r>
  <r>
    <s v="SHP-503877"/>
    <d v="2025-06-23T00:00:00"/>
    <x v="1"/>
    <s v="Q2"/>
    <x v="5"/>
    <x v="4"/>
    <x v="1"/>
    <x v="3"/>
    <x v="0"/>
    <s v="Road"/>
    <x v="0"/>
    <n v="294.5"/>
    <n v="436"/>
    <n v="4"/>
    <n v="4"/>
    <n v="1"/>
    <n v="0"/>
    <n v="116.7"/>
    <n v="0"/>
    <n v="1"/>
  </r>
  <r>
    <s v="SHP-503878"/>
    <d v="2025-06-23T00:00:00"/>
    <x v="1"/>
    <s v="Q2"/>
    <x v="5"/>
    <x v="3"/>
    <x v="2"/>
    <x v="0"/>
    <x v="1"/>
    <s v="Road"/>
    <x v="1"/>
    <n v="5.3"/>
    <n v="1129"/>
    <n v="6"/>
    <n v="6"/>
    <n v="1"/>
    <n v="0"/>
    <n v="19.75"/>
    <n v="0"/>
    <n v="1"/>
  </r>
  <r>
    <s v="SHP-503879"/>
    <d v="2025-06-23T00:00:00"/>
    <x v="1"/>
    <s v="Q2"/>
    <x v="5"/>
    <x v="2"/>
    <x v="0"/>
    <x v="1"/>
    <x v="1"/>
    <s v="Road"/>
    <x v="0"/>
    <n v="355.8"/>
    <n v="239"/>
    <n v="5"/>
    <n v="5"/>
    <n v="1"/>
    <n v="0"/>
    <n v="95.83"/>
    <n v="0"/>
    <n v="1"/>
  </r>
  <r>
    <s v="SHP-503880"/>
    <d v="2025-06-23T00:00:00"/>
    <x v="1"/>
    <s v="Q2"/>
    <x v="5"/>
    <x v="2"/>
    <x v="2"/>
    <x v="1"/>
    <x v="1"/>
    <s v="Road"/>
    <x v="0"/>
    <n v="64.400000000000006"/>
    <n v="290"/>
    <n v="5"/>
    <n v="8"/>
    <n v="0"/>
    <n v="3"/>
    <n v="25.37"/>
    <n v="0"/>
    <n v="1"/>
  </r>
  <r>
    <s v="SHP-503881"/>
    <d v="2025-06-23T00:00:00"/>
    <x v="1"/>
    <s v="Q2"/>
    <x v="5"/>
    <x v="3"/>
    <x v="1"/>
    <x v="4"/>
    <x v="0"/>
    <s v="Road"/>
    <x v="1"/>
    <n v="2.5"/>
    <n v="1288"/>
    <n v="5"/>
    <n v="5"/>
    <n v="1"/>
    <n v="0"/>
    <n v="28.77"/>
    <n v="0"/>
    <n v="1"/>
  </r>
  <r>
    <s v="SHP-503882"/>
    <d v="2025-06-24T00:00:00"/>
    <x v="1"/>
    <s v="Q2"/>
    <x v="5"/>
    <x v="1"/>
    <x v="1"/>
    <x v="1"/>
    <x v="0"/>
    <s v="Road"/>
    <x v="1"/>
    <n v="13.3"/>
    <n v="334"/>
    <n v="3"/>
    <n v="2"/>
    <n v="1"/>
    <n v="0"/>
    <n v="18.829999999999998"/>
    <n v="0"/>
    <n v="1"/>
  </r>
  <r>
    <s v="SHP-503883"/>
    <d v="2025-06-24T00:00:00"/>
    <x v="1"/>
    <s v="Q2"/>
    <x v="5"/>
    <x v="4"/>
    <x v="1"/>
    <x v="1"/>
    <x v="0"/>
    <s v="Road"/>
    <x v="1"/>
    <n v="13"/>
    <n v="185"/>
    <n v="3"/>
    <n v="3"/>
    <n v="1"/>
    <n v="0"/>
    <n v="15.47"/>
    <n v="0"/>
    <n v="1"/>
  </r>
  <r>
    <s v="SHP-503884"/>
    <d v="2025-06-24T00:00:00"/>
    <x v="1"/>
    <s v="Q2"/>
    <x v="5"/>
    <x v="3"/>
    <x v="0"/>
    <x v="1"/>
    <x v="2"/>
    <s v="Road"/>
    <x v="1"/>
    <n v="3.9"/>
    <n v="249"/>
    <n v="1"/>
    <n v="1"/>
    <n v="1"/>
    <n v="0"/>
    <n v="24.74"/>
    <n v="0"/>
    <n v="1"/>
  </r>
  <r>
    <s v="SHP-503885"/>
    <d v="2025-06-24T00:00:00"/>
    <x v="1"/>
    <s v="Q2"/>
    <x v="5"/>
    <x v="1"/>
    <x v="2"/>
    <x v="2"/>
    <x v="2"/>
    <s v="Air"/>
    <x v="0"/>
    <n v="29.5"/>
    <n v="1243"/>
    <n v="3"/>
    <n v="3"/>
    <n v="1"/>
    <n v="0"/>
    <n v="127.84"/>
    <n v="0"/>
    <n v="1"/>
  </r>
  <r>
    <s v="SHP-503886"/>
    <d v="2025-06-24T00:00:00"/>
    <x v="1"/>
    <s v="Q2"/>
    <x v="5"/>
    <x v="0"/>
    <x v="2"/>
    <x v="0"/>
    <x v="0"/>
    <s v="Road"/>
    <x v="1"/>
    <n v="7.8"/>
    <n v="1129"/>
    <n v="4"/>
    <n v="4"/>
    <n v="1"/>
    <n v="0"/>
    <n v="25.26"/>
    <n v="0"/>
    <n v="1"/>
  </r>
  <r>
    <s v="SHP-503887"/>
    <d v="2025-06-24T00:00:00"/>
    <x v="1"/>
    <s v="Q2"/>
    <x v="5"/>
    <x v="1"/>
    <x v="0"/>
    <x v="1"/>
    <x v="2"/>
    <s v="Road"/>
    <x v="1"/>
    <n v="12.9"/>
    <n v="271"/>
    <n v="1"/>
    <n v="1"/>
    <n v="1"/>
    <n v="0"/>
    <n v="33.85"/>
    <n v="0"/>
    <n v="1"/>
  </r>
  <r>
    <s v="SHP-503888"/>
    <d v="2025-06-24T00:00:00"/>
    <x v="1"/>
    <s v="Q2"/>
    <x v="5"/>
    <x v="0"/>
    <x v="2"/>
    <x v="4"/>
    <x v="0"/>
    <s v="Road"/>
    <x v="0"/>
    <n v="162.80000000000001"/>
    <n v="923"/>
    <n v="5"/>
    <n v="5"/>
    <n v="1"/>
    <n v="0"/>
    <n v="77.28"/>
    <n v="0"/>
    <n v="1"/>
  </r>
  <r>
    <s v="SHP-503889"/>
    <d v="2025-06-24T00:00:00"/>
    <x v="1"/>
    <s v="Q2"/>
    <x v="5"/>
    <x v="1"/>
    <x v="2"/>
    <x v="3"/>
    <x v="0"/>
    <s v="Road"/>
    <x v="1"/>
    <n v="2.7"/>
    <n v="540"/>
    <n v="4"/>
    <n v="4"/>
    <n v="1"/>
    <n v="0"/>
    <n v="16.239999999999998"/>
    <n v="0"/>
    <n v="1"/>
  </r>
  <r>
    <s v="SHP-503890"/>
    <d v="2025-06-24T00:00:00"/>
    <x v="1"/>
    <s v="Q2"/>
    <x v="5"/>
    <x v="3"/>
    <x v="2"/>
    <x v="1"/>
    <x v="2"/>
    <s v="Road"/>
    <x v="0"/>
    <n v="66.2"/>
    <n v="217"/>
    <n v="1"/>
    <n v="1"/>
    <n v="1"/>
    <n v="0"/>
    <n v="83.91"/>
    <n v="0"/>
    <n v="1"/>
  </r>
  <r>
    <s v="SHP-503891"/>
    <d v="2025-06-24T00:00:00"/>
    <x v="1"/>
    <s v="Q2"/>
    <x v="5"/>
    <x v="2"/>
    <x v="1"/>
    <x v="0"/>
    <x v="0"/>
    <s v="Road"/>
    <x v="1"/>
    <n v="10.6"/>
    <n v="837"/>
    <n v="4"/>
    <n v="6"/>
    <n v="0"/>
    <n v="2"/>
    <n v="18.22"/>
    <n v="0"/>
    <n v="1"/>
  </r>
  <r>
    <s v="SHP-503892"/>
    <d v="2025-06-24T00:00:00"/>
    <x v="1"/>
    <s v="Q2"/>
    <x v="5"/>
    <x v="4"/>
    <x v="1"/>
    <x v="3"/>
    <x v="1"/>
    <s v="Road"/>
    <x v="0"/>
    <n v="61.6"/>
    <n v="398"/>
    <n v="6"/>
    <n v="7"/>
    <n v="0"/>
    <n v="1"/>
    <n v="30"/>
    <n v="0"/>
    <n v="1"/>
  </r>
  <r>
    <s v="SHP-503893"/>
    <d v="2025-06-24T00:00:00"/>
    <x v="1"/>
    <s v="Q2"/>
    <x v="5"/>
    <x v="2"/>
    <x v="2"/>
    <x v="2"/>
    <x v="0"/>
    <s v="Road"/>
    <x v="0"/>
    <n v="56"/>
    <n v="1243"/>
    <n v="5"/>
    <n v="5"/>
    <n v="1"/>
    <n v="0"/>
    <n v="40.299999999999997"/>
    <n v="0"/>
    <n v="1"/>
  </r>
  <r>
    <s v="SHP-503894"/>
    <d v="2025-06-25T00:00:00"/>
    <x v="1"/>
    <s v="Q2"/>
    <x v="5"/>
    <x v="3"/>
    <x v="1"/>
    <x v="3"/>
    <x v="1"/>
    <s v="Road"/>
    <x v="1"/>
    <n v="10.8"/>
    <n v="450"/>
    <n v="6"/>
    <n v="6"/>
    <n v="1"/>
    <n v="0"/>
    <n v="14.31"/>
    <n v="0"/>
    <n v="1"/>
  </r>
  <r>
    <s v="SHP-503895"/>
    <d v="2025-06-25T00:00:00"/>
    <x v="1"/>
    <s v="Q2"/>
    <x v="5"/>
    <x v="3"/>
    <x v="1"/>
    <x v="3"/>
    <x v="0"/>
    <s v="Road"/>
    <x v="0"/>
    <n v="143.30000000000001"/>
    <n v="557"/>
    <n v="4"/>
    <n v="4"/>
    <n v="1"/>
    <n v="0"/>
    <n v="86.02"/>
    <n v="0"/>
    <n v="1"/>
  </r>
  <r>
    <s v="SHP-503896"/>
    <d v="2025-06-25T00:00:00"/>
    <x v="1"/>
    <s v="Q2"/>
    <x v="5"/>
    <x v="1"/>
    <x v="1"/>
    <x v="3"/>
    <x v="0"/>
    <s v="Road"/>
    <x v="1"/>
    <n v="2.4"/>
    <n v="322"/>
    <n v="4"/>
    <n v="4"/>
    <n v="1"/>
    <n v="0"/>
    <n v="12.25"/>
    <n v="0"/>
    <n v="1"/>
  </r>
  <r>
    <s v="SHP-503897"/>
    <d v="2025-06-25T00:00:00"/>
    <x v="1"/>
    <s v="Q2"/>
    <x v="5"/>
    <x v="1"/>
    <x v="2"/>
    <x v="1"/>
    <x v="0"/>
    <s v="Road"/>
    <x v="1"/>
    <n v="7.7"/>
    <n v="269"/>
    <n v="3"/>
    <n v="5"/>
    <n v="0"/>
    <n v="2"/>
    <n v="14.97"/>
    <n v="0"/>
    <n v="1"/>
  </r>
  <r>
    <s v="SHP-503898"/>
    <d v="2025-06-25T00:00:00"/>
    <x v="1"/>
    <s v="Q2"/>
    <x v="5"/>
    <x v="4"/>
    <x v="1"/>
    <x v="4"/>
    <x v="2"/>
    <s v="Air"/>
    <x v="0"/>
    <n v="151.6"/>
    <n v="990"/>
    <n v="3"/>
    <n v="3"/>
    <n v="1"/>
    <n v="0"/>
    <n v="248.28"/>
    <n v="0"/>
    <n v="1"/>
  </r>
  <r>
    <s v="SHP-503899"/>
    <d v="2025-06-25T00:00:00"/>
    <x v="1"/>
    <s v="Q2"/>
    <x v="5"/>
    <x v="3"/>
    <x v="1"/>
    <x v="3"/>
    <x v="1"/>
    <s v="Road"/>
    <x v="0"/>
    <n v="192"/>
    <n v="639"/>
    <n v="6"/>
    <n v="6"/>
    <n v="1"/>
    <n v="0"/>
    <n v="79.3"/>
    <n v="0"/>
    <n v="1"/>
  </r>
  <r>
    <s v="SHP-503900"/>
    <d v="2025-06-25T00:00:00"/>
    <x v="1"/>
    <s v="Q2"/>
    <x v="5"/>
    <x v="2"/>
    <x v="2"/>
    <x v="1"/>
    <x v="0"/>
    <s v="Road"/>
    <x v="0"/>
    <n v="118"/>
    <n v="239"/>
    <n v="3"/>
    <n v="3"/>
    <n v="1"/>
    <n v="0"/>
    <n v="55.28"/>
    <n v="0"/>
    <n v="1"/>
  </r>
  <r>
    <s v="SHP-503901"/>
    <d v="2025-06-25T00:00:00"/>
    <x v="1"/>
    <s v="Q2"/>
    <x v="5"/>
    <x v="2"/>
    <x v="2"/>
    <x v="3"/>
    <x v="0"/>
    <s v="Road"/>
    <x v="1"/>
    <n v="7.7"/>
    <n v="494"/>
    <n v="4"/>
    <n v="6"/>
    <n v="0"/>
    <n v="2"/>
    <n v="14.31"/>
    <n v="0"/>
    <n v="1"/>
  </r>
  <r>
    <s v="SHP-503902"/>
    <d v="2025-06-25T00:00:00"/>
    <x v="1"/>
    <s v="Q2"/>
    <x v="5"/>
    <x v="2"/>
    <x v="1"/>
    <x v="1"/>
    <x v="0"/>
    <s v="Road"/>
    <x v="1"/>
    <n v="3.5"/>
    <n v="235"/>
    <n v="3"/>
    <n v="3"/>
    <n v="1"/>
    <n v="0"/>
    <n v="9.86"/>
    <n v="0"/>
    <n v="1"/>
  </r>
  <r>
    <s v="SHP-503903"/>
    <d v="2025-06-25T00:00:00"/>
    <x v="1"/>
    <s v="Q2"/>
    <x v="5"/>
    <x v="2"/>
    <x v="2"/>
    <x v="0"/>
    <x v="2"/>
    <s v="Air"/>
    <x v="0"/>
    <n v="110.2"/>
    <n v="828"/>
    <n v="2"/>
    <n v="2"/>
    <n v="1"/>
    <n v="0"/>
    <n v="160.03"/>
    <n v="0"/>
    <n v="1"/>
  </r>
  <r>
    <s v="SHP-503904"/>
    <d v="2025-06-25T00:00:00"/>
    <x v="1"/>
    <s v="Q2"/>
    <x v="5"/>
    <x v="4"/>
    <x v="1"/>
    <x v="0"/>
    <x v="0"/>
    <s v="Road"/>
    <x v="1"/>
    <n v="3"/>
    <n v="1014"/>
    <n v="4"/>
    <n v="4"/>
    <n v="1"/>
    <n v="0"/>
    <n v="21.08"/>
    <n v="0"/>
    <n v="1"/>
  </r>
  <r>
    <s v="SHP-503905"/>
    <d v="2025-06-26T00:00:00"/>
    <x v="1"/>
    <s v="Q2"/>
    <x v="5"/>
    <x v="2"/>
    <x v="1"/>
    <x v="2"/>
    <x v="1"/>
    <s v="Road"/>
    <x v="1"/>
    <n v="9.6999999999999993"/>
    <n v="1395"/>
    <n v="7"/>
    <n v="7"/>
    <n v="1"/>
    <n v="0"/>
    <n v="18.68"/>
    <n v="0"/>
    <n v="1"/>
  </r>
  <r>
    <s v="SHP-503906"/>
    <d v="2025-06-26T00:00:00"/>
    <x v="1"/>
    <s v="Q2"/>
    <x v="5"/>
    <x v="2"/>
    <x v="2"/>
    <x v="1"/>
    <x v="2"/>
    <s v="Road"/>
    <x v="1"/>
    <n v="4.7"/>
    <n v="222"/>
    <n v="1"/>
    <n v="1"/>
    <n v="1"/>
    <n v="0"/>
    <n v="19.98"/>
    <n v="0"/>
    <n v="1"/>
  </r>
  <r>
    <s v="SHP-503907"/>
    <d v="2025-06-26T00:00:00"/>
    <x v="1"/>
    <s v="Q2"/>
    <x v="5"/>
    <x v="3"/>
    <x v="2"/>
    <x v="1"/>
    <x v="2"/>
    <s v="Road"/>
    <x v="1"/>
    <n v="0.7"/>
    <n v="211"/>
    <n v="1"/>
    <n v="1"/>
    <n v="1"/>
    <n v="0"/>
    <n v="18.78"/>
    <n v="0"/>
    <n v="1"/>
  </r>
  <r>
    <s v="SHP-503908"/>
    <d v="2025-06-26T00:00:00"/>
    <x v="1"/>
    <s v="Q2"/>
    <x v="5"/>
    <x v="0"/>
    <x v="2"/>
    <x v="4"/>
    <x v="1"/>
    <s v="Road"/>
    <x v="1"/>
    <n v="4.2"/>
    <n v="1062"/>
    <n v="7"/>
    <n v="6"/>
    <n v="1"/>
    <n v="0"/>
    <n v="15.17"/>
    <n v="0"/>
    <n v="1"/>
  </r>
  <r>
    <s v="SHP-503909"/>
    <d v="2025-06-26T00:00:00"/>
    <x v="1"/>
    <s v="Q2"/>
    <x v="5"/>
    <x v="2"/>
    <x v="0"/>
    <x v="0"/>
    <x v="2"/>
    <s v="Air"/>
    <x v="1"/>
    <n v="5.9"/>
    <n v="946"/>
    <n v="2"/>
    <n v="2"/>
    <n v="1"/>
    <n v="0"/>
    <n v="54.83"/>
    <n v="0"/>
    <n v="1"/>
  </r>
  <r>
    <s v="SHP-503910"/>
    <d v="2025-06-26T00:00:00"/>
    <x v="1"/>
    <s v="Q2"/>
    <x v="5"/>
    <x v="2"/>
    <x v="1"/>
    <x v="2"/>
    <x v="0"/>
    <s v="Road"/>
    <x v="0"/>
    <n v="17.5"/>
    <n v="1018"/>
    <n v="5"/>
    <n v="4"/>
    <n v="1"/>
    <n v="0"/>
    <n v="24.22"/>
    <n v="0"/>
    <n v="1"/>
  </r>
  <r>
    <s v="SHP-503911"/>
    <d v="2025-06-26T00:00:00"/>
    <x v="1"/>
    <s v="Q2"/>
    <x v="5"/>
    <x v="0"/>
    <x v="1"/>
    <x v="3"/>
    <x v="1"/>
    <s v="Road"/>
    <x v="0"/>
    <n v="248.2"/>
    <n v="468"/>
    <n v="6"/>
    <n v="7"/>
    <n v="0"/>
    <n v="1"/>
    <n v="66.64"/>
    <n v="0"/>
    <n v="1"/>
  </r>
  <r>
    <s v="SHP-503912"/>
    <d v="2025-06-27T00:00:00"/>
    <x v="1"/>
    <s v="Q2"/>
    <x v="5"/>
    <x v="4"/>
    <x v="1"/>
    <x v="1"/>
    <x v="0"/>
    <s v="Road"/>
    <x v="1"/>
    <n v="3.3"/>
    <n v="257"/>
    <n v="3"/>
    <n v="3"/>
    <n v="1"/>
    <n v="0"/>
    <n v="11.6"/>
    <n v="0"/>
    <n v="1"/>
  </r>
  <r>
    <s v="SHP-503913"/>
    <d v="2025-06-27T00:00:00"/>
    <x v="1"/>
    <s v="Q2"/>
    <x v="5"/>
    <x v="3"/>
    <x v="0"/>
    <x v="0"/>
    <x v="0"/>
    <s v="Road"/>
    <x v="1"/>
    <n v="4.5"/>
    <n v="1028"/>
    <n v="4"/>
    <n v="3"/>
    <n v="1"/>
    <n v="0"/>
    <n v="21.87"/>
    <n v="0"/>
    <n v="1"/>
  </r>
  <r>
    <s v="SHP-503914"/>
    <d v="2025-06-27T00:00:00"/>
    <x v="1"/>
    <s v="Q2"/>
    <x v="5"/>
    <x v="4"/>
    <x v="2"/>
    <x v="0"/>
    <x v="0"/>
    <s v="Road"/>
    <x v="1"/>
    <n v="2.8"/>
    <n v="886"/>
    <n v="4"/>
    <n v="4"/>
    <n v="1"/>
    <n v="0"/>
    <n v="18.64"/>
    <n v="0"/>
    <n v="1"/>
  </r>
  <r>
    <s v="SHP-503915"/>
    <d v="2025-06-27T00:00:00"/>
    <x v="1"/>
    <s v="Q2"/>
    <x v="5"/>
    <x v="3"/>
    <x v="1"/>
    <x v="0"/>
    <x v="0"/>
    <s v="Road"/>
    <x v="0"/>
    <n v="81.8"/>
    <n v="1060"/>
    <n v="4"/>
    <n v="4"/>
    <n v="1"/>
    <n v="0"/>
    <n v="63.38"/>
    <n v="0"/>
    <n v="1"/>
  </r>
  <r>
    <s v="SHP-503916"/>
    <d v="2025-06-27T00:00:00"/>
    <x v="1"/>
    <s v="Q2"/>
    <x v="5"/>
    <x v="2"/>
    <x v="0"/>
    <x v="1"/>
    <x v="0"/>
    <s v="Road"/>
    <x v="1"/>
    <n v="11.5"/>
    <n v="270"/>
    <n v="3"/>
    <n v="2"/>
    <n v="1"/>
    <n v="0"/>
    <n v="14.27"/>
    <n v="0"/>
    <n v="1"/>
  </r>
  <r>
    <s v="SHP-503917"/>
    <d v="2025-06-27T00:00:00"/>
    <x v="1"/>
    <s v="Q2"/>
    <x v="5"/>
    <x v="2"/>
    <x v="2"/>
    <x v="3"/>
    <x v="2"/>
    <s v="Road"/>
    <x v="1"/>
    <n v="2.4"/>
    <n v="517"/>
    <n v="2"/>
    <n v="3"/>
    <n v="0"/>
    <n v="1"/>
    <n v="24.06"/>
    <n v="0"/>
    <n v="1"/>
  </r>
  <r>
    <s v="SHP-503918"/>
    <d v="2025-06-27T00:00:00"/>
    <x v="1"/>
    <s v="Q2"/>
    <x v="5"/>
    <x v="4"/>
    <x v="2"/>
    <x v="0"/>
    <x v="2"/>
    <s v="Air"/>
    <x v="1"/>
    <n v="9"/>
    <n v="1064"/>
    <n v="2"/>
    <n v="1"/>
    <n v="1"/>
    <n v="0"/>
    <n v="82.4"/>
    <n v="0"/>
    <n v="1"/>
  </r>
  <r>
    <s v="SHP-503919"/>
    <d v="2025-06-28T00:00:00"/>
    <x v="1"/>
    <s v="Q2"/>
    <x v="5"/>
    <x v="1"/>
    <x v="2"/>
    <x v="2"/>
    <x v="1"/>
    <s v="Road"/>
    <x v="1"/>
    <n v="10.199999999999999"/>
    <n v="1085"/>
    <n v="7"/>
    <n v="6"/>
    <n v="1"/>
    <n v="0"/>
    <n v="22.09"/>
    <n v="0"/>
    <n v="1"/>
  </r>
  <r>
    <s v="SHP-503920"/>
    <d v="2025-06-28T00:00:00"/>
    <x v="1"/>
    <s v="Q2"/>
    <x v="5"/>
    <x v="4"/>
    <x v="1"/>
    <x v="0"/>
    <x v="1"/>
    <s v="Road"/>
    <x v="1"/>
    <n v="12.3"/>
    <n v="1046"/>
    <n v="6"/>
    <n v="6"/>
    <n v="1"/>
    <n v="0"/>
    <n v="17.43"/>
    <n v="0"/>
    <n v="1"/>
  </r>
  <r>
    <s v="SHP-503921"/>
    <d v="2025-06-28T00:00:00"/>
    <x v="1"/>
    <s v="Q2"/>
    <x v="5"/>
    <x v="4"/>
    <x v="0"/>
    <x v="1"/>
    <x v="0"/>
    <s v="Road"/>
    <x v="0"/>
    <n v="167.8"/>
    <n v="247"/>
    <n v="3"/>
    <n v="4"/>
    <n v="0"/>
    <n v="1"/>
    <n v="86.79"/>
    <n v="0"/>
    <n v="1"/>
  </r>
  <r>
    <s v="SHP-503922"/>
    <d v="2025-06-28T00:00:00"/>
    <x v="1"/>
    <s v="Q2"/>
    <x v="5"/>
    <x v="1"/>
    <x v="1"/>
    <x v="2"/>
    <x v="1"/>
    <s v="Road"/>
    <x v="0"/>
    <n v="96.9"/>
    <n v="769"/>
    <n v="7"/>
    <n v="7"/>
    <n v="1"/>
    <n v="0"/>
    <n v="45.54"/>
    <n v="0"/>
    <n v="1"/>
  </r>
  <r>
    <s v="SHP-503923"/>
    <d v="2025-06-29T00:00:00"/>
    <x v="1"/>
    <s v="Q2"/>
    <x v="5"/>
    <x v="0"/>
    <x v="1"/>
    <x v="1"/>
    <x v="0"/>
    <s v="Road"/>
    <x v="1"/>
    <n v="4.9000000000000004"/>
    <n v="226"/>
    <n v="3"/>
    <n v="3"/>
    <n v="1"/>
    <n v="0"/>
    <n v="11.72"/>
    <n v="0"/>
    <n v="1"/>
  </r>
  <r>
    <s v="SHP-503924"/>
    <d v="2025-06-29T00:00:00"/>
    <x v="1"/>
    <s v="Q2"/>
    <x v="5"/>
    <x v="2"/>
    <x v="1"/>
    <x v="0"/>
    <x v="0"/>
    <s v="Road"/>
    <x v="0"/>
    <n v="28.8"/>
    <n v="951"/>
    <n v="4"/>
    <n v="4"/>
    <n v="1"/>
    <n v="0"/>
    <n v="27.57"/>
    <n v="0"/>
    <n v="1"/>
  </r>
  <r>
    <s v="SHP-503925"/>
    <d v="2025-06-29T00:00:00"/>
    <x v="1"/>
    <s v="Q2"/>
    <x v="5"/>
    <x v="3"/>
    <x v="0"/>
    <x v="0"/>
    <x v="0"/>
    <s v="Road"/>
    <x v="1"/>
    <n v="6.4"/>
    <n v="909"/>
    <n v="4"/>
    <n v="4"/>
    <n v="1"/>
    <n v="0"/>
    <n v="26.86"/>
    <n v="0"/>
    <n v="1"/>
  </r>
  <r>
    <s v="SHP-503926"/>
    <d v="2025-06-29T00:00:00"/>
    <x v="1"/>
    <s v="Q2"/>
    <x v="5"/>
    <x v="0"/>
    <x v="2"/>
    <x v="4"/>
    <x v="2"/>
    <s v="Air"/>
    <x v="1"/>
    <n v="7.5"/>
    <n v="817"/>
    <n v="3"/>
    <n v="3"/>
    <n v="1"/>
    <n v="0"/>
    <n v="65.52"/>
    <n v="0"/>
    <n v="1"/>
  </r>
  <r>
    <s v="SHP-503927"/>
    <d v="2025-06-29T00:00:00"/>
    <x v="1"/>
    <s v="Q2"/>
    <x v="5"/>
    <x v="2"/>
    <x v="1"/>
    <x v="2"/>
    <x v="2"/>
    <s v="Air"/>
    <x v="0"/>
    <n v="97.9"/>
    <n v="1187"/>
    <n v="3"/>
    <n v="5"/>
    <n v="0"/>
    <n v="2"/>
    <n v="165.73"/>
    <n v="0"/>
    <n v="1"/>
  </r>
  <r>
    <s v="SHP-503928"/>
    <d v="2025-06-29T00:00:00"/>
    <x v="1"/>
    <s v="Q2"/>
    <x v="5"/>
    <x v="3"/>
    <x v="1"/>
    <x v="0"/>
    <x v="1"/>
    <s v="Road"/>
    <x v="0"/>
    <n v="153.5"/>
    <n v="834"/>
    <n v="6"/>
    <n v="6"/>
    <n v="1"/>
    <n v="0"/>
    <n v="61.44"/>
    <n v="0"/>
    <n v="1"/>
  </r>
  <r>
    <s v="SHP-503929"/>
    <d v="2025-06-30T00:00:00"/>
    <x v="1"/>
    <s v="Q2"/>
    <x v="5"/>
    <x v="3"/>
    <x v="1"/>
    <x v="3"/>
    <x v="0"/>
    <s v="Road"/>
    <x v="1"/>
    <n v="3.8"/>
    <n v="445"/>
    <n v="4"/>
    <n v="4"/>
    <n v="1"/>
    <n v="0"/>
    <n v="17.12"/>
    <n v="0"/>
    <n v="1"/>
  </r>
  <r>
    <s v="SHP-503930"/>
    <d v="2025-06-30T00:00:00"/>
    <x v="1"/>
    <s v="Q2"/>
    <x v="5"/>
    <x v="2"/>
    <x v="2"/>
    <x v="1"/>
    <x v="0"/>
    <s v="Road"/>
    <x v="1"/>
    <n v="5.9"/>
    <n v="243"/>
    <n v="3"/>
    <n v="2"/>
    <n v="1"/>
    <n v="0"/>
    <n v="11.85"/>
    <n v="0"/>
    <n v="1"/>
  </r>
  <r>
    <s v="SHP-503931"/>
    <d v="2025-06-30T00:00:00"/>
    <x v="1"/>
    <s v="Q2"/>
    <x v="5"/>
    <x v="3"/>
    <x v="0"/>
    <x v="2"/>
    <x v="0"/>
    <s v="Road"/>
    <x v="0"/>
    <n v="248.6"/>
    <n v="920"/>
    <n v="5"/>
    <n v="8"/>
    <n v="0"/>
    <n v="3"/>
    <n v="122"/>
    <n v="0"/>
    <n v="1"/>
  </r>
  <r>
    <s v="SHP-503932"/>
    <d v="2025-06-30T00:00:00"/>
    <x v="1"/>
    <s v="Q2"/>
    <x v="5"/>
    <x v="3"/>
    <x v="1"/>
    <x v="3"/>
    <x v="0"/>
    <s v="Road"/>
    <x v="0"/>
    <n v="110.8"/>
    <n v="491"/>
    <n v="4"/>
    <n v="3"/>
    <n v="1"/>
    <n v="0"/>
    <n v="67.42"/>
    <n v="0"/>
    <n v="1"/>
  </r>
  <r>
    <s v="SHP-503933"/>
    <d v="2025-06-30T00:00:00"/>
    <x v="1"/>
    <s v="Q2"/>
    <x v="5"/>
    <x v="2"/>
    <x v="1"/>
    <x v="1"/>
    <x v="1"/>
    <s v="Road"/>
    <x v="0"/>
    <n v="70"/>
    <n v="281"/>
    <n v="5"/>
    <n v="5"/>
    <n v="1"/>
    <n v="0"/>
    <n v="27.2"/>
    <n v="0"/>
    <n v="1"/>
  </r>
  <r>
    <s v="SHP-503934"/>
    <d v="2025-06-30T00:00:00"/>
    <x v="1"/>
    <s v="Q2"/>
    <x v="5"/>
    <x v="2"/>
    <x v="1"/>
    <x v="1"/>
    <x v="1"/>
    <s v="Road"/>
    <x v="0"/>
    <n v="247.3"/>
    <n v="213"/>
    <n v="5"/>
    <n v="7"/>
    <n v="0"/>
    <n v="2"/>
    <n v="68.12"/>
    <n v="0"/>
    <n v="1"/>
  </r>
  <r>
    <s v="SHP-503935"/>
    <d v="2025-06-30T00:00:00"/>
    <x v="1"/>
    <s v="Q2"/>
    <x v="5"/>
    <x v="4"/>
    <x v="2"/>
    <x v="0"/>
    <x v="0"/>
    <s v="Road"/>
    <x v="0"/>
    <n v="116"/>
    <n v="819"/>
    <n v="4"/>
    <n v="4"/>
    <n v="1"/>
    <n v="0"/>
    <n v="62.57"/>
    <n v="0"/>
    <n v="1"/>
  </r>
  <r>
    <s v="SHP-503936"/>
    <d v="2025-06-30T00:00:00"/>
    <x v="1"/>
    <s v="Q2"/>
    <x v="5"/>
    <x v="3"/>
    <x v="0"/>
    <x v="0"/>
    <x v="0"/>
    <s v="Road"/>
    <x v="1"/>
    <n v="8.1999999999999993"/>
    <n v="854"/>
    <n v="4"/>
    <n v="3"/>
    <n v="1"/>
    <n v="0"/>
    <n v="24.56"/>
    <n v="0"/>
    <n v="1"/>
  </r>
  <r>
    <s v="SHP-503937"/>
    <d v="2025-06-30T00:00:00"/>
    <x v="1"/>
    <s v="Q2"/>
    <x v="5"/>
    <x v="4"/>
    <x v="2"/>
    <x v="3"/>
    <x v="2"/>
    <s v="Road"/>
    <x v="0"/>
    <n v="164.5"/>
    <n v="468"/>
    <n v="2"/>
    <n v="2"/>
    <n v="1"/>
    <n v="0"/>
    <n v="151.18"/>
    <n v="0"/>
    <n v="1"/>
  </r>
  <r>
    <s v="SHP-503938"/>
    <d v="2025-07-01T00:00:00"/>
    <x v="1"/>
    <s v="Q3"/>
    <x v="6"/>
    <x v="4"/>
    <x v="2"/>
    <x v="1"/>
    <x v="0"/>
    <s v="Road"/>
    <x v="1"/>
    <n v="21.3"/>
    <n v="285"/>
    <n v="3"/>
    <n v="3"/>
    <n v="1"/>
    <n v="0"/>
    <n v="19.04"/>
    <n v="0"/>
    <n v="1"/>
  </r>
  <r>
    <s v="SHP-503939"/>
    <d v="2025-07-01T00:00:00"/>
    <x v="1"/>
    <s v="Q3"/>
    <x v="6"/>
    <x v="4"/>
    <x v="2"/>
    <x v="3"/>
    <x v="0"/>
    <s v="Road"/>
    <x v="0"/>
    <n v="292.2"/>
    <n v="485"/>
    <n v="4"/>
    <n v="4"/>
    <n v="1"/>
    <n v="0"/>
    <n v="122.11"/>
    <n v="0"/>
    <n v="1"/>
  </r>
  <r>
    <s v="SHP-503940"/>
    <d v="2025-07-01T00:00:00"/>
    <x v="1"/>
    <s v="Q3"/>
    <x v="6"/>
    <x v="4"/>
    <x v="2"/>
    <x v="0"/>
    <x v="0"/>
    <s v="Road"/>
    <x v="1"/>
    <n v="3.3"/>
    <n v="1014"/>
    <n v="4"/>
    <n v="3"/>
    <n v="1"/>
    <n v="0"/>
    <n v="20.43"/>
    <n v="0"/>
    <n v="1"/>
  </r>
  <r>
    <s v="SHP-503941"/>
    <d v="2025-07-01T00:00:00"/>
    <x v="1"/>
    <s v="Q3"/>
    <x v="6"/>
    <x v="0"/>
    <x v="1"/>
    <x v="1"/>
    <x v="2"/>
    <s v="Road"/>
    <x v="0"/>
    <n v="68.5"/>
    <n v="218"/>
    <n v="1"/>
    <n v="1"/>
    <n v="1"/>
    <n v="0"/>
    <n v="79.37"/>
    <n v="0"/>
    <n v="1"/>
  </r>
  <r>
    <s v="SHP-503942"/>
    <d v="2025-07-01T00:00:00"/>
    <x v="1"/>
    <s v="Q3"/>
    <x v="6"/>
    <x v="0"/>
    <x v="2"/>
    <x v="1"/>
    <x v="1"/>
    <s v="Road"/>
    <x v="0"/>
    <n v="259.89999999999998"/>
    <n v="271"/>
    <n v="5"/>
    <n v="5"/>
    <n v="1"/>
    <n v="0"/>
    <n v="79.81"/>
    <n v="0"/>
    <n v="1"/>
  </r>
  <r>
    <s v="SHP-503943"/>
    <d v="2025-07-01T00:00:00"/>
    <x v="1"/>
    <s v="Q3"/>
    <x v="6"/>
    <x v="3"/>
    <x v="0"/>
    <x v="3"/>
    <x v="2"/>
    <s v="Road"/>
    <x v="0"/>
    <n v="214.9"/>
    <n v="471"/>
    <n v="2"/>
    <n v="2"/>
    <n v="1"/>
    <n v="0"/>
    <n v="232.56"/>
    <n v="0"/>
    <n v="1"/>
  </r>
  <r>
    <s v="SHP-503944"/>
    <d v="2025-07-01T00:00:00"/>
    <x v="1"/>
    <s v="Q3"/>
    <x v="6"/>
    <x v="0"/>
    <x v="1"/>
    <x v="4"/>
    <x v="0"/>
    <s v="Road"/>
    <x v="1"/>
    <n v="8.1999999999999993"/>
    <n v="1167"/>
    <n v="5"/>
    <n v="5"/>
    <n v="1"/>
    <n v="0"/>
    <n v="26.2"/>
    <n v="0"/>
    <n v="1"/>
  </r>
  <r>
    <s v="SHP-503945"/>
    <d v="2025-07-01T00:00:00"/>
    <x v="1"/>
    <s v="Q3"/>
    <x v="6"/>
    <x v="4"/>
    <x v="1"/>
    <x v="2"/>
    <x v="2"/>
    <s v="Air"/>
    <x v="1"/>
    <n v="24.6"/>
    <n v="1076"/>
    <n v="3"/>
    <n v="6"/>
    <n v="0"/>
    <n v="3"/>
    <n v="95.45"/>
    <n v="0"/>
    <n v="1"/>
  </r>
  <r>
    <s v="SHP-503946"/>
    <d v="2025-07-01T00:00:00"/>
    <x v="1"/>
    <s v="Q3"/>
    <x v="6"/>
    <x v="4"/>
    <x v="1"/>
    <x v="2"/>
    <x v="1"/>
    <s v="Road"/>
    <x v="0"/>
    <n v="129.30000000000001"/>
    <n v="1222"/>
    <n v="7"/>
    <n v="7"/>
    <n v="1"/>
    <n v="0"/>
    <n v="52.95"/>
    <n v="0"/>
    <n v="1"/>
  </r>
  <r>
    <s v="SHP-503947"/>
    <d v="2025-07-01T00:00:00"/>
    <x v="1"/>
    <s v="Q3"/>
    <x v="6"/>
    <x v="2"/>
    <x v="1"/>
    <x v="2"/>
    <x v="1"/>
    <s v="Road"/>
    <x v="0"/>
    <n v="42.8"/>
    <n v="1150"/>
    <n v="7"/>
    <n v="6"/>
    <n v="1"/>
    <n v="0"/>
    <n v="25.58"/>
    <n v="0"/>
    <n v="1"/>
  </r>
  <r>
    <s v="SHP-503948"/>
    <d v="2025-07-02T00:00:00"/>
    <x v="1"/>
    <s v="Q3"/>
    <x v="6"/>
    <x v="3"/>
    <x v="0"/>
    <x v="0"/>
    <x v="1"/>
    <s v="Road"/>
    <x v="1"/>
    <n v="9.9"/>
    <n v="836"/>
    <n v="6"/>
    <n v="6"/>
    <n v="1"/>
    <n v="0"/>
    <n v="16.350000000000001"/>
    <n v="0"/>
    <n v="1"/>
  </r>
  <r>
    <s v="SHP-503949"/>
    <d v="2025-07-02T00:00:00"/>
    <x v="1"/>
    <s v="Q3"/>
    <x v="6"/>
    <x v="4"/>
    <x v="2"/>
    <x v="4"/>
    <x v="0"/>
    <s v="Road"/>
    <x v="0"/>
    <n v="49.2"/>
    <n v="1067"/>
    <n v="5"/>
    <n v="5"/>
    <n v="1"/>
    <n v="0"/>
    <n v="46.18"/>
    <n v="0"/>
    <n v="1"/>
  </r>
  <r>
    <s v="SHP-503950"/>
    <d v="2025-07-02T00:00:00"/>
    <x v="1"/>
    <s v="Q3"/>
    <x v="6"/>
    <x v="1"/>
    <x v="2"/>
    <x v="4"/>
    <x v="0"/>
    <s v="Road"/>
    <x v="0"/>
    <n v="96.8"/>
    <n v="976"/>
    <n v="5"/>
    <n v="5"/>
    <n v="1"/>
    <n v="0"/>
    <n v="62.71"/>
    <n v="0"/>
    <n v="1"/>
  </r>
  <r>
    <s v="SHP-503951"/>
    <d v="2025-07-02T00:00:00"/>
    <x v="1"/>
    <s v="Q3"/>
    <x v="6"/>
    <x v="2"/>
    <x v="2"/>
    <x v="3"/>
    <x v="0"/>
    <s v="Road"/>
    <x v="1"/>
    <n v="16"/>
    <n v="460"/>
    <n v="4"/>
    <n v="4"/>
    <n v="1"/>
    <n v="0"/>
    <n v="17.239999999999998"/>
    <n v="0"/>
    <n v="1"/>
  </r>
  <r>
    <s v="SHP-503952"/>
    <d v="2025-07-02T00:00:00"/>
    <x v="1"/>
    <s v="Q3"/>
    <x v="6"/>
    <x v="0"/>
    <x v="2"/>
    <x v="2"/>
    <x v="2"/>
    <s v="Air"/>
    <x v="1"/>
    <n v="6.7"/>
    <n v="1027"/>
    <n v="3"/>
    <n v="5"/>
    <n v="0"/>
    <n v="2"/>
    <n v="63.66"/>
    <n v="0"/>
    <n v="1"/>
  </r>
  <r>
    <s v="SHP-503953"/>
    <d v="2025-07-02T00:00:00"/>
    <x v="1"/>
    <s v="Q3"/>
    <x v="6"/>
    <x v="1"/>
    <x v="2"/>
    <x v="2"/>
    <x v="1"/>
    <s v="Road"/>
    <x v="0"/>
    <n v="130.30000000000001"/>
    <n v="1361"/>
    <n v="7"/>
    <n v="6"/>
    <n v="1"/>
    <n v="0"/>
    <n v="64.92"/>
    <n v="0"/>
    <n v="1"/>
  </r>
  <r>
    <s v="SHP-503954"/>
    <d v="2025-07-02T00:00:00"/>
    <x v="1"/>
    <s v="Q3"/>
    <x v="6"/>
    <x v="4"/>
    <x v="2"/>
    <x v="4"/>
    <x v="2"/>
    <s v="Air"/>
    <x v="1"/>
    <n v="11.9"/>
    <n v="660"/>
    <n v="3"/>
    <n v="3"/>
    <n v="1"/>
    <n v="0"/>
    <n v="63.68"/>
    <n v="0"/>
    <n v="1"/>
  </r>
  <r>
    <s v="SHP-503955"/>
    <d v="2025-07-03T00:00:00"/>
    <x v="1"/>
    <s v="Q3"/>
    <x v="6"/>
    <x v="0"/>
    <x v="0"/>
    <x v="1"/>
    <x v="2"/>
    <s v="Road"/>
    <x v="1"/>
    <n v="1.9"/>
    <n v="255"/>
    <n v="1"/>
    <n v="1"/>
    <n v="1"/>
    <n v="0"/>
    <n v="19.579999999999998"/>
    <n v="0"/>
    <n v="1"/>
  </r>
  <r>
    <s v="SHP-503956"/>
    <d v="2025-07-03T00:00:00"/>
    <x v="1"/>
    <s v="Q3"/>
    <x v="6"/>
    <x v="4"/>
    <x v="2"/>
    <x v="4"/>
    <x v="0"/>
    <s v="Road"/>
    <x v="0"/>
    <n v="89.4"/>
    <n v="1149"/>
    <n v="5"/>
    <n v="7"/>
    <n v="0"/>
    <n v="2"/>
    <n v="53.56"/>
    <n v="0"/>
    <n v="1"/>
  </r>
  <r>
    <s v="SHP-503957"/>
    <d v="2025-07-03T00:00:00"/>
    <x v="1"/>
    <s v="Q3"/>
    <x v="6"/>
    <x v="2"/>
    <x v="2"/>
    <x v="0"/>
    <x v="0"/>
    <s v="Road"/>
    <x v="0"/>
    <n v="189"/>
    <n v="904"/>
    <n v="4"/>
    <n v="4"/>
    <n v="1"/>
    <n v="0"/>
    <n v="72.959999999999994"/>
    <n v="0"/>
    <n v="1"/>
  </r>
  <r>
    <s v="SHP-503958"/>
    <d v="2025-07-03T00:00:00"/>
    <x v="1"/>
    <s v="Q3"/>
    <x v="6"/>
    <x v="2"/>
    <x v="1"/>
    <x v="0"/>
    <x v="0"/>
    <s v="Road"/>
    <x v="0"/>
    <n v="62.9"/>
    <n v="854"/>
    <n v="4"/>
    <n v="4"/>
    <n v="1"/>
    <n v="0"/>
    <n v="40.93"/>
    <n v="0"/>
    <n v="1"/>
  </r>
  <r>
    <s v="SHP-503959"/>
    <d v="2025-07-03T00:00:00"/>
    <x v="1"/>
    <s v="Q3"/>
    <x v="6"/>
    <x v="0"/>
    <x v="1"/>
    <x v="0"/>
    <x v="0"/>
    <s v="Road"/>
    <x v="1"/>
    <n v="15.9"/>
    <n v="857"/>
    <n v="4"/>
    <n v="4"/>
    <n v="1"/>
    <n v="0"/>
    <n v="24.92"/>
    <n v="0"/>
    <n v="1"/>
  </r>
  <r>
    <s v="SHP-503960"/>
    <d v="2025-07-03T00:00:00"/>
    <x v="1"/>
    <s v="Q3"/>
    <x v="6"/>
    <x v="0"/>
    <x v="2"/>
    <x v="3"/>
    <x v="1"/>
    <s v="Road"/>
    <x v="1"/>
    <n v="4.8"/>
    <n v="594"/>
    <n v="6"/>
    <n v="6"/>
    <n v="1"/>
    <n v="0"/>
    <n v="11.18"/>
    <n v="0"/>
    <n v="1"/>
  </r>
  <r>
    <s v="SHP-503961"/>
    <d v="2025-07-04T00:00:00"/>
    <x v="1"/>
    <s v="Q3"/>
    <x v="6"/>
    <x v="1"/>
    <x v="2"/>
    <x v="3"/>
    <x v="0"/>
    <s v="Road"/>
    <x v="1"/>
    <n v="5.9"/>
    <n v="418"/>
    <n v="4"/>
    <n v="4"/>
    <n v="1"/>
    <n v="0"/>
    <n v="16.25"/>
    <n v="0"/>
    <n v="1"/>
  </r>
  <r>
    <s v="SHP-503962"/>
    <d v="2025-07-04T00:00:00"/>
    <x v="1"/>
    <s v="Q3"/>
    <x v="6"/>
    <x v="4"/>
    <x v="0"/>
    <x v="4"/>
    <x v="1"/>
    <s v="Road"/>
    <x v="1"/>
    <n v="5.7"/>
    <n v="876"/>
    <n v="7"/>
    <n v="7"/>
    <n v="1"/>
    <n v="0"/>
    <n v="13.29"/>
    <n v="0"/>
    <n v="1"/>
  </r>
  <r>
    <s v="SHP-503963"/>
    <d v="2025-07-04T00:00:00"/>
    <x v="1"/>
    <s v="Q3"/>
    <x v="6"/>
    <x v="4"/>
    <x v="2"/>
    <x v="0"/>
    <x v="0"/>
    <s v="Road"/>
    <x v="0"/>
    <n v="204.8"/>
    <n v="841"/>
    <n v="4"/>
    <n v="4"/>
    <n v="1"/>
    <n v="0"/>
    <n v="103.47"/>
    <n v="0"/>
    <n v="1"/>
  </r>
  <r>
    <s v="SHP-503964"/>
    <d v="2025-07-04T00:00:00"/>
    <x v="1"/>
    <s v="Q3"/>
    <x v="6"/>
    <x v="2"/>
    <x v="2"/>
    <x v="0"/>
    <x v="2"/>
    <s v="Air"/>
    <x v="1"/>
    <n v="19.399999999999999"/>
    <n v="1085"/>
    <n v="2"/>
    <n v="4"/>
    <n v="0"/>
    <n v="2"/>
    <n v="83.8"/>
    <n v="0"/>
    <n v="1"/>
  </r>
  <r>
    <s v="SHP-503965"/>
    <d v="2025-07-04T00:00:00"/>
    <x v="1"/>
    <s v="Q3"/>
    <x v="6"/>
    <x v="0"/>
    <x v="1"/>
    <x v="1"/>
    <x v="1"/>
    <s v="Road"/>
    <x v="1"/>
    <n v="4.4000000000000004"/>
    <n v="271"/>
    <n v="5"/>
    <n v="5"/>
    <n v="1"/>
    <n v="0"/>
    <n v="9.24"/>
    <n v="0"/>
    <n v="1"/>
  </r>
  <r>
    <s v="SHP-503966"/>
    <d v="2025-07-04T00:00:00"/>
    <x v="1"/>
    <s v="Q3"/>
    <x v="6"/>
    <x v="2"/>
    <x v="2"/>
    <x v="2"/>
    <x v="2"/>
    <s v="Air"/>
    <x v="0"/>
    <n v="147.9"/>
    <n v="1050"/>
    <n v="3"/>
    <n v="3"/>
    <n v="1"/>
    <n v="0"/>
    <n v="216.46"/>
    <n v="0"/>
    <n v="1"/>
  </r>
  <r>
    <s v="SHP-503967"/>
    <d v="2025-07-04T00:00:00"/>
    <x v="1"/>
    <s v="Q3"/>
    <x v="6"/>
    <x v="2"/>
    <x v="0"/>
    <x v="1"/>
    <x v="0"/>
    <s v="Road"/>
    <x v="1"/>
    <n v="11.1"/>
    <n v="271"/>
    <n v="3"/>
    <n v="6"/>
    <n v="0"/>
    <n v="3"/>
    <n v="15.08"/>
    <n v="0"/>
    <n v="1"/>
  </r>
  <r>
    <s v="SHP-503968"/>
    <d v="2025-07-04T00:00:00"/>
    <x v="1"/>
    <s v="Q3"/>
    <x v="6"/>
    <x v="2"/>
    <x v="2"/>
    <x v="0"/>
    <x v="0"/>
    <s v="Road"/>
    <x v="0"/>
    <n v="147.69999999999999"/>
    <n v="797"/>
    <n v="4"/>
    <n v="3"/>
    <n v="1"/>
    <n v="0"/>
    <n v="63.79"/>
    <n v="0"/>
    <n v="1"/>
  </r>
  <r>
    <s v="SHP-503969"/>
    <d v="2025-07-04T00:00:00"/>
    <x v="1"/>
    <s v="Q3"/>
    <x v="6"/>
    <x v="1"/>
    <x v="2"/>
    <x v="1"/>
    <x v="0"/>
    <s v="Road"/>
    <x v="0"/>
    <n v="98.5"/>
    <n v="264"/>
    <n v="3"/>
    <n v="4"/>
    <n v="0"/>
    <n v="1"/>
    <n v="54.57"/>
    <n v="0"/>
    <n v="1"/>
  </r>
  <r>
    <s v="SHP-503970"/>
    <d v="2025-07-04T00:00:00"/>
    <x v="1"/>
    <s v="Q3"/>
    <x v="6"/>
    <x v="4"/>
    <x v="2"/>
    <x v="3"/>
    <x v="1"/>
    <s v="Road"/>
    <x v="0"/>
    <n v="111.7"/>
    <n v="406"/>
    <n v="6"/>
    <n v="7"/>
    <n v="0"/>
    <n v="1"/>
    <n v="44.27"/>
    <n v="0"/>
    <n v="1"/>
  </r>
  <r>
    <s v="SHP-503971"/>
    <d v="2025-07-04T00:00:00"/>
    <x v="1"/>
    <s v="Q3"/>
    <x v="6"/>
    <x v="1"/>
    <x v="1"/>
    <x v="1"/>
    <x v="0"/>
    <s v="Road"/>
    <x v="1"/>
    <n v="2.4"/>
    <n v="279"/>
    <n v="3"/>
    <n v="3"/>
    <n v="1"/>
    <n v="0"/>
    <n v="12.25"/>
    <n v="0"/>
    <n v="1"/>
  </r>
  <r>
    <s v="SHP-503972"/>
    <d v="2025-07-05T00:00:00"/>
    <x v="1"/>
    <s v="Q3"/>
    <x v="6"/>
    <x v="4"/>
    <x v="0"/>
    <x v="1"/>
    <x v="0"/>
    <s v="Road"/>
    <x v="0"/>
    <n v="171.1"/>
    <n v="255"/>
    <n v="3"/>
    <n v="3"/>
    <n v="1"/>
    <n v="0"/>
    <n v="75.86"/>
    <n v="0"/>
    <n v="1"/>
  </r>
  <r>
    <s v="SHP-503973"/>
    <d v="2025-07-05T00:00:00"/>
    <x v="1"/>
    <s v="Q3"/>
    <x v="6"/>
    <x v="0"/>
    <x v="0"/>
    <x v="3"/>
    <x v="1"/>
    <s v="Road"/>
    <x v="1"/>
    <n v="4.2"/>
    <n v="520"/>
    <n v="6"/>
    <n v="6"/>
    <n v="1"/>
    <n v="0"/>
    <n v="10.02"/>
    <n v="0"/>
    <n v="1"/>
  </r>
  <r>
    <s v="SHP-503974"/>
    <d v="2025-07-05T00:00:00"/>
    <x v="1"/>
    <s v="Q3"/>
    <x v="6"/>
    <x v="0"/>
    <x v="1"/>
    <x v="1"/>
    <x v="1"/>
    <s v="Road"/>
    <x v="0"/>
    <n v="41.2"/>
    <n v="232"/>
    <n v="5"/>
    <n v="4"/>
    <n v="1"/>
    <n v="0"/>
    <n v="20.88"/>
    <n v="0"/>
    <n v="1"/>
  </r>
  <r>
    <s v="SHP-503975"/>
    <d v="2025-07-05T00:00:00"/>
    <x v="1"/>
    <s v="Q3"/>
    <x v="6"/>
    <x v="1"/>
    <x v="0"/>
    <x v="0"/>
    <x v="1"/>
    <s v="Road"/>
    <x v="1"/>
    <n v="1.3"/>
    <n v="1098"/>
    <n v="6"/>
    <n v="6"/>
    <n v="1"/>
    <n v="0"/>
    <n v="14.84"/>
    <n v="0"/>
    <n v="1"/>
  </r>
  <r>
    <s v="SHP-503976"/>
    <d v="2025-07-05T00:00:00"/>
    <x v="1"/>
    <s v="Q3"/>
    <x v="6"/>
    <x v="3"/>
    <x v="2"/>
    <x v="1"/>
    <x v="1"/>
    <s v="Road"/>
    <x v="0"/>
    <n v="157.19999999999999"/>
    <n v="206"/>
    <n v="5"/>
    <n v="4"/>
    <n v="1"/>
    <n v="0"/>
    <n v="66.94"/>
    <n v="0"/>
    <n v="1"/>
  </r>
  <r>
    <s v="SHP-503977"/>
    <d v="2025-07-05T00:00:00"/>
    <x v="1"/>
    <s v="Q3"/>
    <x v="6"/>
    <x v="3"/>
    <x v="2"/>
    <x v="3"/>
    <x v="0"/>
    <s v="Road"/>
    <x v="1"/>
    <n v="5.2"/>
    <n v="471"/>
    <n v="4"/>
    <n v="7"/>
    <n v="0"/>
    <n v="3"/>
    <n v="16.54"/>
    <n v="0"/>
    <n v="1"/>
  </r>
  <r>
    <s v="SHP-503978"/>
    <d v="2025-07-06T00:00:00"/>
    <x v="1"/>
    <s v="Q3"/>
    <x v="6"/>
    <x v="4"/>
    <x v="0"/>
    <x v="3"/>
    <x v="0"/>
    <s v="Road"/>
    <x v="1"/>
    <n v="6"/>
    <n v="559"/>
    <n v="4"/>
    <n v="4"/>
    <n v="1"/>
    <n v="0"/>
    <n v="16.329999999999998"/>
    <n v="0"/>
    <n v="1"/>
  </r>
  <r>
    <s v="SHP-503979"/>
    <d v="2025-07-06T00:00:00"/>
    <x v="1"/>
    <s v="Q3"/>
    <x v="6"/>
    <x v="3"/>
    <x v="1"/>
    <x v="1"/>
    <x v="0"/>
    <s v="Road"/>
    <x v="0"/>
    <n v="116"/>
    <n v="186"/>
    <n v="3"/>
    <n v="3"/>
    <n v="1"/>
    <n v="0"/>
    <n v="65.09"/>
    <n v="0"/>
    <n v="1"/>
  </r>
  <r>
    <s v="SHP-503980"/>
    <d v="2025-07-06T00:00:00"/>
    <x v="1"/>
    <s v="Q3"/>
    <x v="6"/>
    <x v="3"/>
    <x v="0"/>
    <x v="1"/>
    <x v="0"/>
    <s v="Road"/>
    <x v="0"/>
    <n v="200.3"/>
    <n v="159"/>
    <n v="3"/>
    <n v="3"/>
    <n v="1"/>
    <n v="0"/>
    <n v="93.45"/>
    <n v="0"/>
    <n v="1"/>
  </r>
  <r>
    <s v="SHP-503981"/>
    <d v="2025-07-06T00:00:00"/>
    <x v="1"/>
    <s v="Q3"/>
    <x v="6"/>
    <x v="4"/>
    <x v="2"/>
    <x v="3"/>
    <x v="2"/>
    <s v="Road"/>
    <x v="1"/>
    <n v="13.3"/>
    <n v="468"/>
    <n v="2"/>
    <n v="2"/>
    <n v="1"/>
    <n v="0"/>
    <n v="37.44"/>
    <n v="0"/>
    <n v="1"/>
  </r>
  <r>
    <s v="SHP-503982"/>
    <d v="2025-07-06T00:00:00"/>
    <x v="1"/>
    <s v="Q3"/>
    <x v="6"/>
    <x v="0"/>
    <x v="1"/>
    <x v="1"/>
    <x v="1"/>
    <s v="Road"/>
    <x v="0"/>
    <n v="313.39999999999998"/>
    <n v="313"/>
    <n v="5"/>
    <n v="9"/>
    <n v="0"/>
    <n v="4"/>
    <n v="92.01"/>
    <n v="0"/>
    <n v="1"/>
  </r>
  <r>
    <s v="SHP-503983"/>
    <d v="2025-07-06T00:00:00"/>
    <x v="1"/>
    <s v="Q3"/>
    <x v="6"/>
    <x v="0"/>
    <x v="2"/>
    <x v="1"/>
    <x v="2"/>
    <s v="Road"/>
    <x v="1"/>
    <n v="5.9"/>
    <n v="244"/>
    <n v="1"/>
    <n v="1"/>
    <n v="1"/>
    <n v="0"/>
    <n v="22.07"/>
    <n v="0"/>
    <n v="1"/>
  </r>
  <r>
    <s v="SHP-503984"/>
    <d v="2025-07-07T00:00:00"/>
    <x v="1"/>
    <s v="Q3"/>
    <x v="6"/>
    <x v="2"/>
    <x v="2"/>
    <x v="2"/>
    <x v="2"/>
    <s v="Air"/>
    <x v="0"/>
    <n v="207.5"/>
    <n v="926"/>
    <n v="3"/>
    <n v="6"/>
    <n v="0"/>
    <n v="3"/>
    <n v="254.54"/>
    <n v="0"/>
    <n v="1"/>
  </r>
  <r>
    <s v="SHP-503985"/>
    <d v="2025-07-07T00:00:00"/>
    <x v="1"/>
    <s v="Q3"/>
    <x v="6"/>
    <x v="4"/>
    <x v="2"/>
    <x v="2"/>
    <x v="2"/>
    <s v="Air"/>
    <x v="1"/>
    <n v="18.5"/>
    <n v="1141"/>
    <n v="3"/>
    <n v="3"/>
    <n v="1"/>
    <n v="0"/>
    <n v="95.01"/>
    <n v="0"/>
    <n v="1"/>
  </r>
  <r>
    <s v="SHP-503986"/>
    <d v="2025-07-07T00:00:00"/>
    <x v="1"/>
    <s v="Q3"/>
    <x v="6"/>
    <x v="0"/>
    <x v="0"/>
    <x v="1"/>
    <x v="0"/>
    <s v="Road"/>
    <x v="0"/>
    <n v="75.099999999999994"/>
    <n v="243"/>
    <n v="3"/>
    <n v="3"/>
    <n v="1"/>
    <n v="0"/>
    <n v="41.71"/>
    <n v="0"/>
    <n v="1"/>
  </r>
  <r>
    <s v="SHP-503987"/>
    <d v="2025-07-07T00:00:00"/>
    <x v="1"/>
    <s v="Q3"/>
    <x v="6"/>
    <x v="3"/>
    <x v="1"/>
    <x v="4"/>
    <x v="0"/>
    <s v="Road"/>
    <x v="0"/>
    <n v="179.9"/>
    <n v="881"/>
    <n v="5"/>
    <n v="5"/>
    <n v="1"/>
    <n v="0"/>
    <n v="105.06"/>
    <n v="0"/>
    <n v="1"/>
  </r>
  <r>
    <s v="SHP-503988"/>
    <d v="2025-07-07T00:00:00"/>
    <x v="1"/>
    <s v="Q3"/>
    <x v="6"/>
    <x v="1"/>
    <x v="0"/>
    <x v="0"/>
    <x v="2"/>
    <s v="Air"/>
    <x v="0"/>
    <n v="101.8"/>
    <n v="765"/>
    <n v="2"/>
    <n v="2"/>
    <n v="1"/>
    <n v="0"/>
    <n v="199.63"/>
    <n v="0"/>
    <n v="1"/>
  </r>
  <r>
    <s v="SHP-503989"/>
    <d v="2025-07-07T00:00:00"/>
    <x v="1"/>
    <s v="Q3"/>
    <x v="6"/>
    <x v="2"/>
    <x v="2"/>
    <x v="1"/>
    <x v="1"/>
    <s v="Road"/>
    <x v="0"/>
    <n v="130.80000000000001"/>
    <n v="239"/>
    <n v="5"/>
    <n v="4"/>
    <n v="1"/>
    <n v="0"/>
    <n v="37.229999999999997"/>
    <n v="0"/>
    <n v="1"/>
  </r>
  <r>
    <s v="SHP-503990"/>
    <d v="2025-07-07T00:00:00"/>
    <x v="1"/>
    <s v="Q3"/>
    <x v="6"/>
    <x v="3"/>
    <x v="2"/>
    <x v="4"/>
    <x v="0"/>
    <s v="Road"/>
    <x v="1"/>
    <n v="4.5"/>
    <n v="1230"/>
    <n v="5"/>
    <n v="5"/>
    <n v="1"/>
    <n v="0"/>
    <n v="28.52"/>
    <n v="0"/>
    <n v="1"/>
  </r>
  <r>
    <s v="SHP-503991"/>
    <d v="2025-07-07T00:00:00"/>
    <x v="1"/>
    <s v="Q3"/>
    <x v="6"/>
    <x v="1"/>
    <x v="1"/>
    <x v="0"/>
    <x v="2"/>
    <s v="Air"/>
    <x v="0"/>
    <n v="185"/>
    <n v="949"/>
    <n v="2"/>
    <n v="4"/>
    <n v="0"/>
    <n v="2"/>
    <n v="310.64"/>
    <n v="0"/>
    <n v="1"/>
  </r>
  <r>
    <s v="SHP-503992"/>
    <d v="2025-07-08T00:00:00"/>
    <x v="1"/>
    <s v="Q3"/>
    <x v="6"/>
    <x v="4"/>
    <x v="2"/>
    <x v="0"/>
    <x v="1"/>
    <s v="Road"/>
    <x v="1"/>
    <n v="3.3"/>
    <n v="883"/>
    <n v="6"/>
    <n v="6"/>
    <n v="1"/>
    <n v="0"/>
    <n v="14.31"/>
    <n v="0"/>
    <n v="1"/>
  </r>
  <r>
    <s v="SHP-503993"/>
    <d v="2025-07-08T00:00:00"/>
    <x v="1"/>
    <s v="Q3"/>
    <x v="6"/>
    <x v="3"/>
    <x v="0"/>
    <x v="2"/>
    <x v="0"/>
    <s v="Road"/>
    <x v="1"/>
    <n v="5.5"/>
    <n v="1175"/>
    <n v="5"/>
    <n v="5"/>
    <n v="1"/>
    <n v="0"/>
    <n v="25.21"/>
    <n v="0"/>
    <n v="1"/>
  </r>
  <r>
    <s v="SHP-503994"/>
    <d v="2025-07-08T00:00:00"/>
    <x v="1"/>
    <s v="Q3"/>
    <x v="6"/>
    <x v="1"/>
    <x v="2"/>
    <x v="1"/>
    <x v="2"/>
    <s v="Road"/>
    <x v="0"/>
    <n v="114.6"/>
    <n v="237"/>
    <n v="1"/>
    <n v="1"/>
    <n v="1"/>
    <n v="0"/>
    <n v="111.72"/>
    <n v="0"/>
    <n v="1"/>
  </r>
  <r>
    <s v="SHP-503995"/>
    <d v="2025-07-08T00:00:00"/>
    <x v="1"/>
    <s v="Q3"/>
    <x v="6"/>
    <x v="0"/>
    <x v="0"/>
    <x v="0"/>
    <x v="0"/>
    <s v="Road"/>
    <x v="0"/>
    <n v="175.8"/>
    <n v="797"/>
    <n v="4"/>
    <n v="4"/>
    <n v="1"/>
    <n v="0"/>
    <n v="87.74"/>
    <n v="0"/>
    <n v="1"/>
  </r>
  <r>
    <s v="SHP-503996"/>
    <d v="2025-07-08T00:00:00"/>
    <x v="1"/>
    <s v="Q3"/>
    <x v="6"/>
    <x v="2"/>
    <x v="2"/>
    <x v="0"/>
    <x v="2"/>
    <s v="Air"/>
    <x v="1"/>
    <n v="3.1"/>
    <n v="1026"/>
    <n v="2"/>
    <n v="3"/>
    <n v="0"/>
    <n v="1"/>
    <n v="54.66"/>
    <n v="0"/>
    <n v="1"/>
  </r>
  <r>
    <s v="SHP-503997"/>
    <d v="2025-07-09T00:00:00"/>
    <x v="1"/>
    <s v="Q3"/>
    <x v="6"/>
    <x v="4"/>
    <x v="2"/>
    <x v="1"/>
    <x v="2"/>
    <s v="Road"/>
    <x v="0"/>
    <n v="215.6"/>
    <n v="274"/>
    <n v="1"/>
    <n v="1"/>
    <n v="1"/>
    <n v="0"/>
    <n v="191.78"/>
    <n v="0"/>
    <n v="1"/>
  </r>
  <r>
    <s v="SHP-503998"/>
    <d v="2025-07-09T00:00:00"/>
    <x v="1"/>
    <s v="Q3"/>
    <x v="6"/>
    <x v="4"/>
    <x v="0"/>
    <x v="1"/>
    <x v="0"/>
    <s v="Road"/>
    <x v="0"/>
    <n v="73.8"/>
    <n v="318"/>
    <n v="3"/>
    <n v="3"/>
    <n v="1"/>
    <n v="0"/>
    <n v="43.39"/>
    <n v="0"/>
    <n v="1"/>
  </r>
  <r>
    <s v="SHP-503999"/>
    <d v="2025-07-09T00:00:00"/>
    <x v="1"/>
    <s v="Q3"/>
    <x v="6"/>
    <x v="3"/>
    <x v="2"/>
    <x v="3"/>
    <x v="2"/>
    <s v="Road"/>
    <x v="1"/>
    <n v="7.7"/>
    <n v="552"/>
    <n v="2"/>
    <n v="2"/>
    <n v="1"/>
    <n v="0"/>
    <n v="39.51"/>
    <n v="0"/>
    <n v="1"/>
  </r>
  <r>
    <s v="SHP-504000"/>
    <d v="2025-07-09T00:00:00"/>
    <x v="1"/>
    <s v="Q3"/>
    <x v="6"/>
    <x v="2"/>
    <x v="2"/>
    <x v="3"/>
    <x v="0"/>
    <s v="Road"/>
    <x v="1"/>
    <n v="1.7"/>
    <n v="459"/>
    <n v="4"/>
    <n v="4"/>
    <n v="1"/>
    <n v="0"/>
    <n v="10.23"/>
    <n v="0"/>
    <n v="1"/>
  </r>
  <r>
    <s v="SHP-504001"/>
    <d v="2025-07-09T00:00:00"/>
    <x v="1"/>
    <s v="Q3"/>
    <x v="6"/>
    <x v="4"/>
    <x v="2"/>
    <x v="1"/>
    <x v="0"/>
    <s v="Road"/>
    <x v="1"/>
    <n v="1.1000000000000001"/>
    <n v="225"/>
    <n v="3"/>
    <n v="2"/>
    <n v="1"/>
    <n v="0"/>
    <n v="9.3800000000000008"/>
    <n v="0"/>
    <n v="1"/>
  </r>
  <r>
    <s v="SHP-504002"/>
    <d v="2025-07-09T00:00:00"/>
    <x v="1"/>
    <s v="Q3"/>
    <x v="6"/>
    <x v="4"/>
    <x v="1"/>
    <x v="1"/>
    <x v="0"/>
    <s v="Road"/>
    <x v="0"/>
    <n v="160.30000000000001"/>
    <n v="294"/>
    <n v="3"/>
    <n v="3"/>
    <n v="1"/>
    <n v="0"/>
    <n v="81.040000000000006"/>
    <n v="1"/>
    <n v="1"/>
  </r>
  <r>
    <s v="SHP-504003"/>
    <d v="2025-07-09T00:00:00"/>
    <x v="1"/>
    <s v="Q3"/>
    <x v="6"/>
    <x v="2"/>
    <x v="1"/>
    <x v="1"/>
    <x v="0"/>
    <s v="Road"/>
    <x v="0"/>
    <n v="100.8"/>
    <n v="261"/>
    <n v="3"/>
    <n v="5"/>
    <n v="0"/>
    <n v="2"/>
    <n v="46.82"/>
    <n v="0"/>
    <n v="1"/>
  </r>
  <r>
    <s v="SHP-504004"/>
    <d v="2025-07-09T00:00:00"/>
    <x v="1"/>
    <s v="Q3"/>
    <x v="6"/>
    <x v="0"/>
    <x v="2"/>
    <x v="1"/>
    <x v="0"/>
    <s v="Road"/>
    <x v="1"/>
    <n v="7.9"/>
    <n v="261"/>
    <n v="3"/>
    <n v="3"/>
    <n v="1"/>
    <n v="0"/>
    <n v="14.4"/>
    <n v="0"/>
    <n v="1"/>
  </r>
  <r>
    <s v="SHP-504005"/>
    <d v="2025-07-09T00:00:00"/>
    <x v="1"/>
    <s v="Q3"/>
    <x v="6"/>
    <x v="2"/>
    <x v="0"/>
    <x v="3"/>
    <x v="2"/>
    <s v="Road"/>
    <x v="1"/>
    <n v="8.4"/>
    <n v="411"/>
    <n v="2"/>
    <n v="4"/>
    <n v="0"/>
    <n v="2"/>
    <n v="26.15"/>
    <n v="0"/>
    <n v="1"/>
  </r>
  <r>
    <s v="SHP-504006"/>
    <d v="2025-07-10T00:00:00"/>
    <x v="1"/>
    <s v="Q3"/>
    <x v="6"/>
    <x v="4"/>
    <x v="0"/>
    <x v="0"/>
    <x v="0"/>
    <s v="Road"/>
    <x v="1"/>
    <n v="7"/>
    <n v="979"/>
    <n v="4"/>
    <n v="4"/>
    <n v="1"/>
    <n v="0"/>
    <n v="26.27"/>
    <n v="0"/>
    <n v="1"/>
  </r>
  <r>
    <s v="SHP-504007"/>
    <d v="2025-07-10T00:00:00"/>
    <x v="1"/>
    <s v="Q3"/>
    <x v="6"/>
    <x v="0"/>
    <x v="1"/>
    <x v="3"/>
    <x v="1"/>
    <s v="Road"/>
    <x v="1"/>
    <n v="13.8"/>
    <n v="434"/>
    <n v="6"/>
    <n v="6"/>
    <n v="1"/>
    <n v="0"/>
    <n v="12.59"/>
    <n v="0"/>
    <n v="1"/>
  </r>
  <r>
    <s v="SHP-504008"/>
    <d v="2025-07-10T00:00:00"/>
    <x v="1"/>
    <s v="Q3"/>
    <x v="6"/>
    <x v="3"/>
    <x v="1"/>
    <x v="4"/>
    <x v="2"/>
    <s v="Air"/>
    <x v="1"/>
    <n v="5.7"/>
    <n v="1169"/>
    <n v="3"/>
    <n v="3"/>
    <n v="1"/>
    <n v="0"/>
    <n v="78.180000000000007"/>
    <n v="0"/>
    <n v="1"/>
  </r>
  <r>
    <s v="SHP-504009"/>
    <d v="2025-07-10T00:00:00"/>
    <x v="1"/>
    <s v="Q3"/>
    <x v="6"/>
    <x v="4"/>
    <x v="1"/>
    <x v="1"/>
    <x v="0"/>
    <s v="Road"/>
    <x v="1"/>
    <n v="14.3"/>
    <n v="318"/>
    <n v="3"/>
    <n v="3"/>
    <n v="1"/>
    <n v="0"/>
    <n v="17.97"/>
    <n v="0"/>
    <n v="1"/>
  </r>
  <r>
    <s v="SHP-504010"/>
    <d v="2025-07-10T00:00:00"/>
    <x v="1"/>
    <s v="Q3"/>
    <x v="6"/>
    <x v="3"/>
    <x v="2"/>
    <x v="0"/>
    <x v="1"/>
    <s v="Road"/>
    <x v="1"/>
    <n v="6.8"/>
    <n v="872"/>
    <n v="6"/>
    <n v="6"/>
    <n v="1"/>
    <n v="0"/>
    <n v="15.3"/>
    <n v="0"/>
    <n v="1"/>
  </r>
  <r>
    <s v="SHP-504011"/>
    <d v="2025-07-10T00:00:00"/>
    <x v="1"/>
    <s v="Q3"/>
    <x v="6"/>
    <x v="4"/>
    <x v="1"/>
    <x v="3"/>
    <x v="1"/>
    <s v="Road"/>
    <x v="0"/>
    <n v="63.5"/>
    <n v="477"/>
    <n v="6"/>
    <n v="5"/>
    <n v="1"/>
    <n v="0"/>
    <n v="33.06"/>
    <n v="0"/>
    <n v="1"/>
  </r>
  <r>
    <s v="SHP-504012"/>
    <d v="2025-07-10T00:00:00"/>
    <x v="1"/>
    <s v="Q3"/>
    <x v="6"/>
    <x v="4"/>
    <x v="2"/>
    <x v="0"/>
    <x v="0"/>
    <s v="Road"/>
    <x v="1"/>
    <n v="14.2"/>
    <n v="937"/>
    <n v="4"/>
    <n v="4"/>
    <n v="1"/>
    <n v="0"/>
    <n v="27.17"/>
    <n v="0"/>
    <n v="1"/>
  </r>
  <r>
    <s v="SHP-504013"/>
    <d v="2025-07-10T00:00:00"/>
    <x v="1"/>
    <s v="Q3"/>
    <x v="6"/>
    <x v="1"/>
    <x v="2"/>
    <x v="0"/>
    <x v="0"/>
    <s v="Road"/>
    <x v="1"/>
    <n v="7.3"/>
    <n v="941"/>
    <n v="4"/>
    <n v="6"/>
    <n v="0"/>
    <n v="2"/>
    <n v="22.93"/>
    <n v="0"/>
    <n v="1"/>
  </r>
  <r>
    <s v="SHP-504014"/>
    <d v="2025-07-10T00:00:00"/>
    <x v="1"/>
    <s v="Q3"/>
    <x v="6"/>
    <x v="2"/>
    <x v="2"/>
    <x v="2"/>
    <x v="0"/>
    <s v="Road"/>
    <x v="1"/>
    <n v="2.4"/>
    <n v="1067"/>
    <n v="5"/>
    <n v="4"/>
    <n v="1"/>
    <n v="0"/>
    <n v="16.899999999999999"/>
    <n v="0"/>
    <n v="1"/>
  </r>
  <r>
    <s v="SHP-504015"/>
    <d v="2025-07-10T00:00:00"/>
    <x v="1"/>
    <s v="Q3"/>
    <x v="6"/>
    <x v="0"/>
    <x v="0"/>
    <x v="0"/>
    <x v="0"/>
    <s v="Road"/>
    <x v="1"/>
    <n v="10.4"/>
    <n v="954"/>
    <n v="4"/>
    <n v="6"/>
    <n v="0"/>
    <n v="2"/>
    <n v="24.94"/>
    <n v="0"/>
    <n v="1"/>
  </r>
  <r>
    <s v="SHP-504016"/>
    <d v="2025-07-11T00:00:00"/>
    <x v="1"/>
    <s v="Q3"/>
    <x v="6"/>
    <x v="3"/>
    <x v="1"/>
    <x v="3"/>
    <x v="1"/>
    <s v="Road"/>
    <x v="0"/>
    <n v="145.4"/>
    <n v="511"/>
    <n v="6"/>
    <n v="5"/>
    <n v="1"/>
    <n v="0"/>
    <n v="56.05"/>
    <n v="0"/>
    <n v="1"/>
  </r>
  <r>
    <s v="SHP-504017"/>
    <d v="2025-07-11T00:00:00"/>
    <x v="1"/>
    <s v="Q3"/>
    <x v="6"/>
    <x v="3"/>
    <x v="1"/>
    <x v="0"/>
    <x v="0"/>
    <s v="Road"/>
    <x v="0"/>
    <n v="45.4"/>
    <n v="709"/>
    <n v="4"/>
    <n v="4"/>
    <n v="1"/>
    <n v="0"/>
    <n v="40.590000000000003"/>
    <n v="0"/>
    <n v="1"/>
  </r>
  <r>
    <s v="SHP-504018"/>
    <d v="2025-07-11T00:00:00"/>
    <x v="1"/>
    <s v="Q3"/>
    <x v="6"/>
    <x v="1"/>
    <x v="1"/>
    <x v="1"/>
    <x v="0"/>
    <s v="Road"/>
    <x v="0"/>
    <n v="156.19999999999999"/>
    <n v="219"/>
    <n v="3"/>
    <n v="3"/>
    <n v="1"/>
    <n v="0"/>
    <n v="77.459999999999994"/>
    <n v="0"/>
    <n v="1"/>
  </r>
  <r>
    <s v="SHP-504019"/>
    <d v="2025-07-11T00:00:00"/>
    <x v="1"/>
    <s v="Q3"/>
    <x v="6"/>
    <x v="4"/>
    <x v="2"/>
    <x v="2"/>
    <x v="0"/>
    <s v="Road"/>
    <x v="1"/>
    <n v="3.3"/>
    <n v="983"/>
    <n v="5"/>
    <n v="5"/>
    <n v="1"/>
    <n v="0"/>
    <n v="18.11"/>
    <n v="0"/>
    <n v="1"/>
  </r>
  <r>
    <s v="SHP-504020"/>
    <d v="2025-07-11T00:00:00"/>
    <x v="1"/>
    <s v="Q3"/>
    <x v="6"/>
    <x v="3"/>
    <x v="1"/>
    <x v="0"/>
    <x v="1"/>
    <s v="Road"/>
    <x v="0"/>
    <n v="195"/>
    <n v="967"/>
    <n v="6"/>
    <n v="6"/>
    <n v="1"/>
    <n v="0"/>
    <n v="77.739999999999995"/>
    <n v="0"/>
    <n v="1"/>
  </r>
  <r>
    <s v="SHP-504021"/>
    <d v="2025-07-11T00:00:00"/>
    <x v="1"/>
    <s v="Q3"/>
    <x v="6"/>
    <x v="2"/>
    <x v="2"/>
    <x v="1"/>
    <x v="0"/>
    <s v="Road"/>
    <x v="1"/>
    <n v="5.3"/>
    <n v="277"/>
    <n v="3"/>
    <n v="3"/>
    <n v="1"/>
    <n v="0"/>
    <n v="11.59"/>
    <n v="0"/>
    <n v="1"/>
  </r>
  <r>
    <s v="SHP-504022"/>
    <d v="2025-07-11T00:00:00"/>
    <x v="1"/>
    <s v="Q3"/>
    <x v="6"/>
    <x v="3"/>
    <x v="0"/>
    <x v="0"/>
    <x v="0"/>
    <s v="Road"/>
    <x v="0"/>
    <n v="297.10000000000002"/>
    <n v="592"/>
    <n v="4"/>
    <n v="4"/>
    <n v="1"/>
    <n v="0"/>
    <n v="136.32"/>
    <n v="0"/>
    <n v="1"/>
  </r>
  <r>
    <s v="SHP-504023"/>
    <d v="2025-07-11T00:00:00"/>
    <x v="1"/>
    <s v="Q3"/>
    <x v="6"/>
    <x v="2"/>
    <x v="2"/>
    <x v="0"/>
    <x v="2"/>
    <s v="Air"/>
    <x v="1"/>
    <n v="9.1999999999999993"/>
    <n v="1029"/>
    <n v="2"/>
    <n v="1"/>
    <n v="1"/>
    <n v="0"/>
    <n v="68.75"/>
    <n v="0"/>
    <n v="1"/>
  </r>
  <r>
    <s v="SHP-504024"/>
    <d v="2025-07-11T00:00:00"/>
    <x v="1"/>
    <s v="Q3"/>
    <x v="6"/>
    <x v="4"/>
    <x v="0"/>
    <x v="1"/>
    <x v="2"/>
    <s v="Road"/>
    <x v="1"/>
    <n v="9.9"/>
    <n v="233"/>
    <n v="1"/>
    <n v="1"/>
    <n v="1"/>
    <n v="0"/>
    <n v="27.49"/>
    <n v="0"/>
    <n v="1"/>
  </r>
  <r>
    <s v="SHP-504025"/>
    <d v="2025-07-12T00:00:00"/>
    <x v="1"/>
    <s v="Q3"/>
    <x v="6"/>
    <x v="2"/>
    <x v="2"/>
    <x v="0"/>
    <x v="1"/>
    <s v="Road"/>
    <x v="0"/>
    <n v="245.8"/>
    <n v="985"/>
    <n v="6"/>
    <n v="5"/>
    <n v="1"/>
    <n v="0"/>
    <n v="76.930000000000007"/>
    <n v="0"/>
    <n v="1"/>
  </r>
  <r>
    <s v="SHP-504026"/>
    <d v="2025-07-12T00:00:00"/>
    <x v="1"/>
    <s v="Q3"/>
    <x v="6"/>
    <x v="4"/>
    <x v="1"/>
    <x v="0"/>
    <x v="0"/>
    <s v="Road"/>
    <x v="1"/>
    <n v="2.5"/>
    <n v="990"/>
    <n v="4"/>
    <n v="4"/>
    <n v="1"/>
    <n v="0"/>
    <n v="19.78"/>
    <n v="0"/>
    <n v="1"/>
  </r>
  <r>
    <s v="SHP-504027"/>
    <d v="2025-07-12T00:00:00"/>
    <x v="1"/>
    <s v="Q3"/>
    <x v="6"/>
    <x v="2"/>
    <x v="1"/>
    <x v="1"/>
    <x v="1"/>
    <s v="Road"/>
    <x v="1"/>
    <n v="6.9"/>
    <n v="298"/>
    <n v="5"/>
    <n v="5"/>
    <n v="1"/>
    <n v="0"/>
    <n v="8.4"/>
    <n v="0"/>
    <n v="1"/>
  </r>
  <r>
    <s v="SHP-504028"/>
    <d v="2025-07-13T00:00:00"/>
    <x v="1"/>
    <s v="Q3"/>
    <x v="6"/>
    <x v="0"/>
    <x v="0"/>
    <x v="4"/>
    <x v="0"/>
    <s v="Road"/>
    <x v="1"/>
    <n v="6.5"/>
    <n v="1253"/>
    <n v="5"/>
    <n v="7"/>
    <n v="0"/>
    <n v="2"/>
    <n v="25.3"/>
    <n v="0"/>
    <n v="1"/>
  </r>
  <r>
    <s v="SHP-504029"/>
    <d v="2025-07-14T00:00:00"/>
    <x v="1"/>
    <s v="Q3"/>
    <x v="6"/>
    <x v="3"/>
    <x v="1"/>
    <x v="0"/>
    <x v="0"/>
    <s v="Road"/>
    <x v="1"/>
    <n v="6.9"/>
    <n v="965"/>
    <n v="4"/>
    <n v="4"/>
    <n v="1"/>
    <n v="0"/>
    <n v="26.5"/>
    <n v="0"/>
    <n v="1"/>
  </r>
  <r>
    <s v="SHP-504030"/>
    <d v="2025-07-14T00:00:00"/>
    <x v="1"/>
    <s v="Q3"/>
    <x v="6"/>
    <x v="2"/>
    <x v="2"/>
    <x v="4"/>
    <x v="0"/>
    <s v="Road"/>
    <x v="0"/>
    <n v="35.700000000000003"/>
    <n v="764"/>
    <n v="5"/>
    <n v="5"/>
    <n v="1"/>
    <n v="0"/>
    <n v="28.92"/>
    <n v="0"/>
    <n v="1"/>
  </r>
  <r>
    <s v="SHP-504031"/>
    <d v="2025-07-14T00:00:00"/>
    <x v="1"/>
    <s v="Q3"/>
    <x v="6"/>
    <x v="1"/>
    <x v="1"/>
    <x v="1"/>
    <x v="1"/>
    <s v="Road"/>
    <x v="0"/>
    <n v="24.7"/>
    <n v="258"/>
    <n v="5"/>
    <n v="4"/>
    <n v="1"/>
    <n v="0"/>
    <n v="17.64"/>
    <n v="0"/>
    <n v="1"/>
  </r>
  <r>
    <s v="SHP-504032"/>
    <d v="2025-07-14T00:00:00"/>
    <x v="1"/>
    <s v="Q3"/>
    <x v="6"/>
    <x v="0"/>
    <x v="2"/>
    <x v="1"/>
    <x v="0"/>
    <s v="Road"/>
    <x v="0"/>
    <n v="291"/>
    <n v="260"/>
    <n v="3"/>
    <n v="3"/>
    <n v="1"/>
    <n v="0"/>
    <n v="110.95"/>
    <n v="0"/>
    <n v="1"/>
  </r>
  <r>
    <s v="SHP-504033"/>
    <d v="2025-07-14T00:00:00"/>
    <x v="1"/>
    <s v="Q3"/>
    <x v="6"/>
    <x v="0"/>
    <x v="1"/>
    <x v="4"/>
    <x v="0"/>
    <s v="Road"/>
    <x v="1"/>
    <n v="3.2"/>
    <n v="948"/>
    <n v="5"/>
    <n v="4"/>
    <n v="1"/>
    <n v="0"/>
    <n v="19.010000000000002"/>
    <n v="0"/>
    <n v="1"/>
  </r>
  <r>
    <s v="SHP-504034"/>
    <d v="2025-07-14T00:00:00"/>
    <x v="1"/>
    <s v="Q3"/>
    <x v="6"/>
    <x v="4"/>
    <x v="1"/>
    <x v="1"/>
    <x v="0"/>
    <s v="Road"/>
    <x v="0"/>
    <n v="167.8"/>
    <n v="149"/>
    <n v="3"/>
    <n v="2"/>
    <n v="1"/>
    <n v="0"/>
    <n v="79.319999999999993"/>
    <n v="0"/>
    <n v="1"/>
  </r>
  <r>
    <s v="SHP-504035"/>
    <d v="2025-07-14T00:00:00"/>
    <x v="1"/>
    <s v="Q3"/>
    <x v="6"/>
    <x v="1"/>
    <x v="2"/>
    <x v="1"/>
    <x v="0"/>
    <s v="Road"/>
    <x v="1"/>
    <n v="6"/>
    <n v="279"/>
    <n v="3"/>
    <n v="2"/>
    <n v="1"/>
    <n v="0"/>
    <n v="14.26"/>
    <n v="0"/>
    <n v="1"/>
  </r>
  <r>
    <s v="SHP-504036"/>
    <d v="2025-07-14T00:00:00"/>
    <x v="1"/>
    <s v="Q3"/>
    <x v="6"/>
    <x v="1"/>
    <x v="2"/>
    <x v="3"/>
    <x v="0"/>
    <s v="Road"/>
    <x v="1"/>
    <n v="3.3"/>
    <n v="522"/>
    <n v="4"/>
    <n v="4"/>
    <n v="1"/>
    <n v="0"/>
    <n v="15.38"/>
    <n v="0"/>
    <n v="1"/>
  </r>
  <r>
    <s v="SHP-504037"/>
    <d v="2025-07-14T00:00:00"/>
    <x v="1"/>
    <s v="Q3"/>
    <x v="6"/>
    <x v="3"/>
    <x v="2"/>
    <x v="2"/>
    <x v="0"/>
    <s v="Road"/>
    <x v="1"/>
    <n v="36.200000000000003"/>
    <n v="1535"/>
    <n v="5"/>
    <n v="5"/>
    <n v="1"/>
    <n v="0"/>
    <n v="50.55"/>
    <n v="0"/>
    <n v="1"/>
  </r>
  <r>
    <s v="SHP-504038"/>
    <d v="2025-07-14T00:00:00"/>
    <x v="1"/>
    <s v="Q3"/>
    <x v="6"/>
    <x v="0"/>
    <x v="2"/>
    <x v="1"/>
    <x v="0"/>
    <s v="Road"/>
    <x v="0"/>
    <n v="175.8"/>
    <n v="187"/>
    <n v="3"/>
    <n v="3"/>
    <n v="1"/>
    <n v="0"/>
    <n v="79.16"/>
    <n v="0"/>
    <n v="1"/>
  </r>
  <r>
    <s v="SHP-504039"/>
    <d v="2025-07-15T00:00:00"/>
    <x v="1"/>
    <s v="Q3"/>
    <x v="6"/>
    <x v="3"/>
    <x v="2"/>
    <x v="4"/>
    <x v="0"/>
    <s v="Road"/>
    <x v="0"/>
    <n v="107.4"/>
    <n v="1137"/>
    <n v="5"/>
    <n v="5"/>
    <n v="1"/>
    <n v="0"/>
    <n v="71.55"/>
    <n v="0"/>
    <n v="1"/>
  </r>
  <r>
    <s v="SHP-504040"/>
    <d v="2025-07-15T00:00:00"/>
    <x v="1"/>
    <s v="Q3"/>
    <x v="6"/>
    <x v="3"/>
    <x v="2"/>
    <x v="1"/>
    <x v="0"/>
    <s v="Road"/>
    <x v="1"/>
    <n v="11.9"/>
    <n v="260"/>
    <n v="3"/>
    <n v="2"/>
    <n v="1"/>
    <n v="0"/>
    <n v="17.059999999999999"/>
    <n v="0"/>
    <n v="1"/>
  </r>
  <r>
    <s v="SHP-504041"/>
    <d v="2025-07-15T00:00:00"/>
    <x v="1"/>
    <s v="Q3"/>
    <x v="6"/>
    <x v="3"/>
    <x v="2"/>
    <x v="3"/>
    <x v="0"/>
    <s v="Road"/>
    <x v="1"/>
    <n v="4"/>
    <n v="478"/>
    <n v="4"/>
    <n v="4"/>
    <n v="1"/>
    <n v="0"/>
    <n v="17.29"/>
    <n v="0"/>
    <n v="1"/>
  </r>
  <r>
    <s v="SHP-504042"/>
    <d v="2025-07-16T00:00:00"/>
    <x v="1"/>
    <s v="Q3"/>
    <x v="6"/>
    <x v="2"/>
    <x v="1"/>
    <x v="3"/>
    <x v="0"/>
    <s v="Road"/>
    <x v="0"/>
    <n v="236.2"/>
    <n v="500"/>
    <n v="4"/>
    <n v="3"/>
    <n v="1"/>
    <n v="0"/>
    <n v="97.83"/>
    <n v="0"/>
    <n v="1"/>
  </r>
  <r>
    <s v="SHP-504043"/>
    <d v="2025-07-16T00:00:00"/>
    <x v="1"/>
    <s v="Q3"/>
    <x v="6"/>
    <x v="0"/>
    <x v="2"/>
    <x v="3"/>
    <x v="1"/>
    <s v="Road"/>
    <x v="1"/>
    <n v="2.2000000000000002"/>
    <n v="503"/>
    <n v="6"/>
    <n v="6"/>
    <n v="1"/>
    <n v="0"/>
    <n v="9.7200000000000006"/>
    <n v="0"/>
    <n v="1"/>
  </r>
  <r>
    <s v="SHP-504044"/>
    <d v="2025-07-16T00:00:00"/>
    <x v="1"/>
    <s v="Q3"/>
    <x v="6"/>
    <x v="4"/>
    <x v="0"/>
    <x v="3"/>
    <x v="0"/>
    <s v="Road"/>
    <x v="0"/>
    <n v="28.7"/>
    <n v="524"/>
    <n v="4"/>
    <n v="4"/>
    <n v="1"/>
    <n v="0"/>
    <n v="30.1"/>
    <n v="0"/>
    <n v="1"/>
  </r>
  <r>
    <s v="SHP-504045"/>
    <d v="2025-07-16T00:00:00"/>
    <x v="1"/>
    <s v="Q3"/>
    <x v="6"/>
    <x v="1"/>
    <x v="2"/>
    <x v="0"/>
    <x v="0"/>
    <s v="Road"/>
    <x v="1"/>
    <n v="3.9"/>
    <n v="795"/>
    <n v="4"/>
    <n v="4"/>
    <n v="1"/>
    <n v="0"/>
    <n v="21.25"/>
    <n v="0"/>
    <n v="1"/>
  </r>
  <r>
    <s v="SHP-504046"/>
    <d v="2025-07-16T00:00:00"/>
    <x v="1"/>
    <s v="Q3"/>
    <x v="6"/>
    <x v="1"/>
    <x v="0"/>
    <x v="3"/>
    <x v="1"/>
    <s v="Road"/>
    <x v="1"/>
    <n v="3"/>
    <n v="478"/>
    <n v="6"/>
    <n v="6"/>
    <n v="1"/>
    <n v="0"/>
    <n v="10.81"/>
    <n v="0"/>
    <n v="1"/>
  </r>
  <r>
    <s v="SHP-504047"/>
    <d v="2025-07-16T00:00:00"/>
    <x v="1"/>
    <s v="Q3"/>
    <x v="6"/>
    <x v="1"/>
    <x v="1"/>
    <x v="2"/>
    <x v="0"/>
    <s v="Road"/>
    <x v="1"/>
    <n v="8.1"/>
    <n v="1112"/>
    <n v="5"/>
    <n v="4"/>
    <n v="1"/>
    <n v="0"/>
    <n v="24.79"/>
    <n v="0"/>
    <n v="1"/>
  </r>
  <r>
    <s v="SHP-504048"/>
    <d v="2025-07-17T00:00:00"/>
    <x v="1"/>
    <s v="Q3"/>
    <x v="6"/>
    <x v="0"/>
    <x v="2"/>
    <x v="2"/>
    <x v="2"/>
    <s v="Air"/>
    <x v="0"/>
    <n v="60.4"/>
    <n v="1043"/>
    <n v="3"/>
    <n v="4"/>
    <n v="0"/>
    <n v="1"/>
    <n v="135.28"/>
    <n v="0"/>
    <n v="1"/>
  </r>
  <r>
    <s v="SHP-504049"/>
    <d v="2025-07-17T00:00:00"/>
    <x v="1"/>
    <s v="Q3"/>
    <x v="6"/>
    <x v="3"/>
    <x v="1"/>
    <x v="0"/>
    <x v="0"/>
    <s v="Road"/>
    <x v="0"/>
    <n v="185"/>
    <n v="1042"/>
    <n v="4"/>
    <n v="4"/>
    <n v="1"/>
    <n v="0"/>
    <n v="99.87"/>
    <n v="1"/>
    <n v="1"/>
  </r>
  <r>
    <s v="SHP-504050"/>
    <d v="2025-07-17T00:00:00"/>
    <x v="1"/>
    <s v="Q3"/>
    <x v="6"/>
    <x v="1"/>
    <x v="0"/>
    <x v="3"/>
    <x v="0"/>
    <s v="Road"/>
    <x v="1"/>
    <n v="22.8"/>
    <n v="556"/>
    <n v="4"/>
    <n v="4"/>
    <n v="1"/>
    <n v="0"/>
    <n v="24.12"/>
    <n v="0"/>
    <n v="1"/>
  </r>
  <r>
    <s v="SHP-504051"/>
    <d v="2025-07-17T00:00:00"/>
    <x v="1"/>
    <s v="Q3"/>
    <x v="6"/>
    <x v="3"/>
    <x v="1"/>
    <x v="3"/>
    <x v="0"/>
    <s v="Road"/>
    <x v="1"/>
    <n v="5.6"/>
    <n v="593"/>
    <n v="4"/>
    <n v="3"/>
    <n v="1"/>
    <n v="0"/>
    <n v="20.39"/>
    <n v="0"/>
    <n v="1"/>
  </r>
  <r>
    <s v="SHP-504052"/>
    <d v="2025-07-17T00:00:00"/>
    <x v="1"/>
    <s v="Q3"/>
    <x v="6"/>
    <x v="4"/>
    <x v="2"/>
    <x v="4"/>
    <x v="1"/>
    <s v="Road"/>
    <x v="1"/>
    <n v="4.0999999999999996"/>
    <n v="863"/>
    <n v="7"/>
    <n v="7"/>
    <n v="1"/>
    <n v="0"/>
    <n v="15.16"/>
    <n v="0"/>
    <n v="1"/>
  </r>
  <r>
    <s v="SHP-504053"/>
    <d v="2025-07-17T00:00:00"/>
    <x v="1"/>
    <s v="Q3"/>
    <x v="6"/>
    <x v="4"/>
    <x v="1"/>
    <x v="1"/>
    <x v="1"/>
    <s v="Road"/>
    <x v="0"/>
    <n v="31.7"/>
    <n v="236"/>
    <n v="5"/>
    <n v="5"/>
    <n v="1"/>
    <n v="0"/>
    <n v="16.350000000000001"/>
    <n v="0"/>
    <n v="1"/>
  </r>
  <r>
    <s v="SHP-504054"/>
    <d v="2025-07-17T00:00:00"/>
    <x v="1"/>
    <s v="Q3"/>
    <x v="6"/>
    <x v="3"/>
    <x v="2"/>
    <x v="1"/>
    <x v="2"/>
    <s v="Road"/>
    <x v="0"/>
    <n v="31.7"/>
    <n v="160"/>
    <n v="1"/>
    <n v="1"/>
    <n v="1"/>
    <n v="0"/>
    <n v="51.62"/>
    <n v="0"/>
    <n v="1"/>
  </r>
  <r>
    <s v="SHP-504055"/>
    <d v="2025-07-17T00:00:00"/>
    <x v="1"/>
    <s v="Q3"/>
    <x v="6"/>
    <x v="4"/>
    <x v="2"/>
    <x v="4"/>
    <x v="2"/>
    <s v="Air"/>
    <x v="0"/>
    <n v="69.8"/>
    <n v="1318"/>
    <n v="3"/>
    <n v="3"/>
    <n v="1"/>
    <n v="0"/>
    <n v="160.09"/>
    <n v="0"/>
    <n v="1"/>
  </r>
  <r>
    <s v="SHP-504056"/>
    <d v="2025-07-17T00:00:00"/>
    <x v="1"/>
    <s v="Q3"/>
    <x v="6"/>
    <x v="2"/>
    <x v="1"/>
    <x v="3"/>
    <x v="0"/>
    <s v="Road"/>
    <x v="1"/>
    <n v="8.1999999999999993"/>
    <n v="405"/>
    <n v="4"/>
    <n v="5"/>
    <n v="0"/>
    <n v="1"/>
    <n v="14.35"/>
    <n v="0"/>
    <n v="1"/>
  </r>
  <r>
    <s v="SHP-504057"/>
    <d v="2025-07-17T00:00:00"/>
    <x v="1"/>
    <s v="Q3"/>
    <x v="6"/>
    <x v="0"/>
    <x v="1"/>
    <x v="3"/>
    <x v="0"/>
    <s v="Road"/>
    <x v="1"/>
    <n v="2.4"/>
    <n v="542"/>
    <n v="4"/>
    <n v="4"/>
    <n v="1"/>
    <n v="0"/>
    <n v="13.66"/>
    <n v="0"/>
    <n v="1"/>
  </r>
  <r>
    <s v="SHP-504058"/>
    <d v="2025-07-17T00:00:00"/>
    <x v="1"/>
    <s v="Q3"/>
    <x v="6"/>
    <x v="3"/>
    <x v="2"/>
    <x v="0"/>
    <x v="0"/>
    <s v="Road"/>
    <x v="0"/>
    <n v="183.8"/>
    <n v="663"/>
    <n v="4"/>
    <n v="3"/>
    <n v="1"/>
    <n v="0"/>
    <n v="108.49"/>
    <n v="0"/>
    <n v="1"/>
  </r>
  <r>
    <s v="SHP-504059"/>
    <d v="2025-07-17T00:00:00"/>
    <x v="1"/>
    <s v="Q3"/>
    <x v="6"/>
    <x v="0"/>
    <x v="2"/>
    <x v="0"/>
    <x v="1"/>
    <s v="Road"/>
    <x v="1"/>
    <n v="1.3"/>
    <n v="1126"/>
    <n v="6"/>
    <n v="6"/>
    <n v="1"/>
    <n v="0"/>
    <n v="14.4"/>
    <n v="0"/>
    <n v="1"/>
  </r>
  <r>
    <s v="SHP-504060"/>
    <d v="2025-07-17T00:00:00"/>
    <x v="1"/>
    <s v="Q3"/>
    <x v="6"/>
    <x v="3"/>
    <x v="1"/>
    <x v="1"/>
    <x v="0"/>
    <s v="Road"/>
    <x v="0"/>
    <n v="175.1"/>
    <n v="298"/>
    <n v="3"/>
    <n v="3"/>
    <n v="1"/>
    <n v="0"/>
    <n v="88.25"/>
    <n v="0"/>
    <n v="1"/>
  </r>
  <r>
    <s v="SHP-504061"/>
    <d v="2025-07-17T00:00:00"/>
    <x v="1"/>
    <s v="Q3"/>
    <x v="6"/>
    <x v="1"/>
    <x v="0"/>
    <x v="4"/>
    <x v="2"/>
    <s v="Air"/>
    <x v="1"/>
    <n v="3.8"/>
    <n v="1283"/>
    <n v="3"/>
    <n v="3"/>
    <n v="1"/>
    <n v="0"/>
    <n v="74.27"/>
    <n v="0"/>
    <n v="1"/>
  </r>
  <r>
    <s v="SHP-504062"/>
    <d v="2025-07-17T00:00:00"/>
    <x v="1"/>
    <s v="Q3"/>
    <x v="6"/>
    <x v="1"/>
    <x v="2"/>
    <x v="0"/>
    <x v="0"/>
    <s v="Road"/>
    <x v="0"/>
    <n v="21.8"/>
    <n v="1078"/>
    <n v="4"/>
    <n v="4"/>
    <n v="1"/>
    <n v="0"/>
    <n v="32.92"/>
    <n v="0"/>
    <n v="1"/>
  </r>
  <r>
    <s v="SHP-504063"/>
    <d v="2025-07-17T00:00:00"/>
    <x v="1"/>
    <s v="Q3"/>
    <x v="6"/>
    <x v="4"/>
    <x v="0"/>
    <x v="0"/>
    <x v="0"/>
    <s v="Road"/>
    <x v="0"/>
    <n v="84.7"/>
    <n v="1244"/>
    <n v="4"/>
    <n v="4"/>
    <n v="1"/>
    <n v="0"/>
    <n v="63.82"/>
    <n v="0"/>
    <n v="1"/>
  </r>
  <r>
    <s v="SHP-504064"/>
    <d v="2025-07-17T00:00:00"/>
    <x v="1"/>
    <s v="Q3"/>
    <x v="6"/>
    <x v="1"/>
    <x v="0"/>
    <x v="1"/>
    <x v="1"/>
    <s v="Road"/>
    <x v="0"/>
    <n v="165.7"/>
    <n v="291"/>
    <n v="5"/>
    <n v="5"/>
    <n v="1"/>
    <n v="0"/>
    <n v="63.78"/>
    <n v="0"/>
    <n v="1"/>
  </r>
  <r>
    <s v="SHP-504065"/>
    <d v="2025-07-17T00:00:00"/>
    <x v="1"/>
    <s v="Q3"/>
    <x v="6"/>
    <x v="0"/>
    <x v="0"/>
    <x v="0"/>
    <x v="0"/>
    <s v="Road"/>
    <x v="0"/>
    <n v="85.8"/>
    <n v="1027"/>
    <n v="4"/>
    <n v="4"/>
    <n v="1"/>
    <n v="0"/>
    <n v="58.84"/>
    <n v="0"/>
    <n v="1"/>
  </r>
  <r>
    <s v="SHP-504066"/>
    <d v="2025-07-17T00:00:00"/>
    <x v="1"/>
    <s v="Q3"/>
    <x v="6"/>
    <x v="4"/>
    <x v="0"/>
    <x v="3"/>
    <x v="0"/>
    <s v="Road"/>
    <x v="1"/>
    <n v="8.4"/>
    <n v="391"/>
    <n v="4"/>
    <n v="4"/>
    <n v="1"/>
    <n v="0"/>
    <n v="14.98"/>
    <n v="0"/>
    <n v="1"/>
  </r>
  <r>
    <s v="SHP-504067"/>
    <d v="2025-07-18T00:00:00"/>
    <x v="1"/>
    <s v="Q3"/>
    <x v="6"/>
    <x v="0"/>
    <x v="1"/>
    <x v="0"/>
    <x v="0"/>
    <s v="Road"/>
    <x v="1"/>
    <n v="5.0999999999999996"/>
    <n v="890"/>
    <n v="4"/>
    <n v="4"/>
    <n v="1"/>
    <n v="0"/>
    <n v="18.37"/>
    <n v="0"/>
    <n v="1"/>
  </r>
  <r>
    <s v="SHP-504068"/>
    <d v="2025-07-18T00:00:00"/>
    <x v="1"/>
    <s v="Q3"/>
    <x v="6"/>
    <x v="0"/>
    <x v="2"/>
    <x v="1"/>
    <x v="2"/>
    <s v="Road"/>
    <x v="0"/>
    <n v="163.19999999999999"/>
    <n v="284"/>
    <n v="1"/>
    <n v="1"/>
    <n v="1"/>
    <n v="0"/>
    <n v="140.19999999999999"/>
    <n v="0"/>
    <n v="1"/>
  </r>
  <r>
    <s v="SHP-504069"/>
    <d v="2025-07-18T00:00:00"/>
    <x v="1"/>
    <s v="Q3"/>
    <x v="6"/>
    <x v="1"/>
    <x v="2"/>
    <x v="0"/>
    <x v="1"/>
    <s v="Road"/>
    <x v="1"/>
    <n v="0.8"/>
    <n v="1175"/>
    <n v="6"/>
    <n v="6"/>
    <n v="1"/>
    <n v="0"/>
    <n v="16.03"/>
    <n v="0"/>
    <n v="1"/>
  </r>
  <r>
    <s v="SHP-504070"/>
    <d v="2025-07-18T00:00:00"/>
    <x v="1"/>
    <s v="Q3"/>
    <x v="6"/>
    <x v="4"/>
    <x v="2"/>
    <x v="3"/>
    <x v="0"/>
    <s v="Road"/>
    <x v="1"/>
    <n v="6.5"/>
    <n v="461"/>
    <n v="4"/>
    <n v="6"/>
    <n v="0"/>
    <n v="2"/>
    <n v="14.7"/>
    <n v="0"/>
    <n v="1"/>
  </r>
  <r>
    <s v="SHP-504071"/>
    <d v="2025-07-18T00:00:00"/>
    <x v="1"/>
    <s v="Q3"/>
    <x v="6"/>
    <x v="3"/>
    <x v="1"/>
    <x v="2"/>
    <x v="1"/>
    <s v="Road"/>
    <x v="1"/>
    <n v="15.4"/>
    <n v="1385"/>
    <n v="7"/>
    <n v="7"/>
    <n v="1"/>
    <n v="0"/>
    <n v="23.29"/>
    <n v="0"/>
    <n v="1"/>
  </r>
  <r>
    <s v="SHP-504072"/>
    <d v="2025-07-18T00:00:00"/>
    <x v="1"/>
    <s v="Q3"/>
    <x v="6"/>
    <x v="4"/>
    <x v="1"/>
    <x v="3"/>
    <x v="0"/>
    <s v="Road"/>
    <x v="0"/>
    <n v="132.4"/>
    <n v="506"/>
    <n v="4"/>
    <n v="4"/>
    <n v="1"/>
    <n v="0"/>
    <n v="73"/>
    <n v="0"/>
    <n v="1"/>
  </r>
  <r>
    <s v="SHP-504073"/>
    <d v="2025-07-18T00:00:00"/>
    <x v="1"/>
    <s v="Q3"/>
    <x v="6"/>
    <x v="3"/>
    <x v="1"/>
    <x v="0"/>
    <x v="2"/>
    <s v="Air"/>
    <x v="1"/>
    <n v="4.2"/>
    <n v="982"/>
    <n v="2"/>
    <n v="2"/>
    <n v="1"/>
    <n v="0"/>
    <n v="68.19"/>
    <n v="0"/>
    <n v="1"/>
  </r>
  <r>
    <s v="SHP-504074"/>
    <d v="2025-07-18T00:00:00"/>
    <x v="1"/>
    <s v="Q3"/>
    <x v="6"/>
    <x v="2"/>
    <x v="2"/>
    <x v="1"/>
    <x v="2"/>
    <s v="Road"/>
    <x v="1"/>
    <n v="13.3"/>
    <n v="322"/>
    <n v="1"/>
    <n v="1"/>
    <n v="1"/>
    <n v="0"/>
    <n v="29.39"/>
    <n v="0"/>
    <n v="1"/>
  </r>
  <r>
    <s v="SHP-504075"/>
    <d v="2025-07-19T00:00:00"/>
    <x v="1"/>
    <s v="Q3"/>
    <x v="6"/>
    <x v="4"/>
    <x v="2"/>
    <x v="4"/>
    <x v="0"/>
    <s v="Road"/>
    <x v="1"/>
    <n v="3.1"/>
    <n v="960"/>
    <n v="5"/>
    <n v="5"/>
    <n v="1"/>
    <n v="0"/>
    <n v="18.100000000000001"/>
    <n v="0"/>
    <n v="1"/>
  </r>
  <r>
    <s v="SHP-504076"/>
    <d v="2025-07-19T00:00:00"/>
    <x v="1"/>
    <s v="Q3"/>
    <x v="6"/>
    <x v="2"/>
    <x v="1"/>
    <x v="2"/>
    <x v="0"/>
    <s v="Road"/>
    <x v="0"/>
    <n v="78"/>
    <n v="959"/>
    <n v="5"/>
    <n v="5"/>
    <n v="1"/>
    <n v="0"/>
    <n v="49.55"/>
    <n v="0"/>
    <n v="1"/>
  </r>
  <r>
    <s v="SHP-504077"/>
    <d v="2025-07-19T00:00:00"/>
    <x v="1"/>
    <s v="Q3"/>
    <x v="6"/>
    <x v="2"/>
    <x v="2"/>
    <x v="3"/>
    <x v="2"/>
    <s v="Road"/>
    <x v="0"/>
    <n v="356.2"/>
    <n v="490"/>
    <n v="2"/>
    <n v="2"/>
    <n v="1"/>
    <n v="0"/>
    <n v="206.34"/>
    <n v="0"/>
    <n v="1"/>
  </r>
  <r>
    <s v="SHP-504078"/>
    <d v="2025-07-19T00:00:00"/>
    <x v="1"/>
    <s v="Q3"/>
    <x v="6"/>
    <x v="2"/>
    <x v="1"/>
    <x v="3"/>
    <x v="2"/>
    <s v="Road"/>
    <x v="0"/>
    <n v="167.9"/>
    <n v="425"/>
    <n v="2"/>
    <n v="2"/>
    <n v="1"/>
    <n v="0"/>
    <n v="133.22999999999999"/>
    <n v="0"/>
    <n v="1"/>
  </r>
  <r>
    <s v="SHP-504079"/>
    <d v="2025-07-20T00:00:00"/>
    <x v="1"/>
    <s v="Q3"/>
    <x v="6"/>
    <x v="4"/>
    <x v="2"/>
    <x v="1"/>
    <x v="0"/>
    <s v="Road"/>
    <x v="1"/>
    <n v="4.7"/>
    <n v="244"/>
    <n v="3"/>
    <n v="3"/>
    <n v="1"/>
    <n v="0"/>
    <n v="13.14"/>
    <n v="0"/>
    <n v="1"/>
  </r>
  <r>
    <s v="SHP-504080"/>
    <d v="2025-07-21T00:00:00"/>
    <x v="1"/>
    <s v="Q3"/>
    <x v="6"/>
    <x v="1"/>
    <x v="1"/>
    <x v="1"/>
    <x v="0"/>
    <s v="Road"/>
    <x v="1"/>
    <n v="5.4"/>
    <n v="186"/>
    <n v="3"/>
    <n v="3"/>
    <n v="1"/>
    <n v="0"/>
    <n v="13.51"/>
    <n v="0"/>
    <n v="1"/>
  </r>
  <r>
    <s v="SHP-504081"/>
    <d v="2025-07-21T00:00:00"/>
    <x v="1"/>
    <s v="Q3"/>
    <x v="6"/>
    <x v="3"/>
    <x v="1"/>
    <x v="1"/>
    <x v="1"/>
    <s v="Road"/>
    <x v="1"/>
    <n v="15.5"/>
    <n v="283"/>
    <n v="5"/>
    <n v="5"/>
    <n v="1"/>
    <n v="0"/>
    <n v="16.32"/>
    <n v="0"/>
    <n v="1"/>
  </r>
  <r>
    <s v="SHP-504082"/>
    <d v="2025-07-21T00:00:00"/>
    <x v="1"/>
    <s v="Q3"/>
    <x v="6"/>
    <x v="4"/>
    <x v="2"/>
    <x v="4"/>
    <x v="2"/>
    <s v="Air"/>
    <x v="0"/>
    <n v="482.8"/>
    <n v="1122"/>
    <n v="3"/>
    <n v="3"/>
    <n v="1"/>
    <n v="0"/>
    <n v="584.91"/>
    <n v="0"/>
    <n v="1"/>
  </r>
  <r>
    <s v="SHP-504083"/>
    <d v="2025-07-21T00:00:00"/>
    <x v="1"/>
    <s v="Q3"/>
    <x v="6"/>
    <x v="0"/>
    <x v="2"/>
    <x v="1"/>
    <x v="0"/>
    <s v="Road"/>
    <x v="1"/>
    <n v="2.2999999999999998"/>
    <n v="289"/>
    <n v="3"/>
    <n v="3"/>
    <n v="1"/>
    <n v="0"/>
    <n v="11.65"/>
    <n v="0"/>
    <n v="1"/>
  </r>
  <r>
    <s v="SHP-504084"/>
    <d v="2025-07-21T00:00:00"/>
    <x v="1"/>
    <s v="Q3"/>
    <x v="6"/>
    <x v="3"/>
    <x v="1"/>
    <x v="1"/>
    <x v="0"/>
    <s v="Road"/>
    <x v="1"/>
    <n v="17.7"/>
    <n v="243"/>
    <n v="3"/>
    <n v="3"/>
    <n v="1"/>
    <n v="0"/>
    <n v="21.24"/>
    <n v="0"/>
    <n v="1"/>
  </r>
  <r>
    <s v="SHP-504085"/>
    <d v="2025-07-21T00:00:00"/>
    <x v="1"/>
    <s v="Q3"/>
    <x v="6"/>
    <x v="2"/>
    <x v="2"/>
    <x v="1"/>
    <x v="0"/>
    <s v="Road"/>
    <x v="0"/>
    <n v="86.6"/>
    <n v="293"/>
    <n v="3"/>
    <n v="3"/>
    <n v="1"/>
    <n v="0"/>
    <n v="40.520000000000003"/>
    <n v="0"/>
    <n v="1"/>
  </r>
  <r>
    <s v="SHP-504086"/>
    <d v="2025-07-22T00:00:00"/>
    <x v="1"/>
    <s v="Q3"/>
    <x v="6"/>
    <x v="1"/>
    <x v="2"/>
    <x v="3"/>
    <x v="1"/>
    <s v="Road"/>
    <x v="1"/>
    <n v="2.9"/>
    <n v="487"/>
    <n v="6"/>
    <n v="6"/>
    <n v="1"/>
    <n v="0"/>
    <n v="9.8000000000000007"/>
    <n v="0"/>
    <n v="1"/>
  </r>
  <r>
    <s v="SHP-504087"/>
    <d v="2025-07-22T00:00:00"/>
    <x v="1"/>
    <s v="Q3"/>
    <x v="6"/>
    <x v="3"/>
    <x v="1"/>
    <x v="0"/>
    <x v="0"/>
    <s v="Road"/>
    <x v="1"/>
    <n v="18.5"/>
    <n v="748"/>
    <n v="4"/>
    <n v="4"/>
    <n v="1"/>
    <n v="0"/>
    <n v="28.27"/>
    <n v="0"/>
    <n v="1"/>
  </r>
  <r>
    <s v="SHP-504088"/>
    <d v="2025-07-22T00:00:00"/>
    <x v="1"/>
    <s v="Q3"/>
    <x v="6"/>
    <x v="2"/>
    <x v="1"/>
    <x v="0"/>
    <x v="0"/>
    <s v="Road"/>
    <x v="1"/>
    <n v="1.9"/>
    <n v="1229"/>
    <n v="4"/>
    <n v="4"/>
    <n v="1"/>
    <n v="0"/>
    <n v="18.170000000000002"/>
    <n v="0"/>
    <n v="1"/>
  </r>
  <r>
    <s v="SHP-504089"/>
    <d v="2025-07-22T00:00:00"/>
    <x v="1"/>
    <s v="Q3"/>
    <x v="6"/>
    <x v="3"/>
    <x v="1"/>
    <x v="0"/>
    <x v="1"/>
    <s v="Road"/>
    <x v="1"/>
    <n v="7.2"/>
    <n v="721"/>
    <n v="6"/>
    <n v="6"/>
    <n v="1"/>
    <n v="0"/>
    <n v="17.059999999999999"/>
    <n v="0"/>
    <n v="1"/>
  </r>
  <r>
    <s v="SHP-504090"/>
    <d v="2025-07-22T00:00:00"/>
    <x v="1"/>
    <s v="Q3"/>
    <x v="6"/>
    <x v="2"/>
    <x v="2"/>
    <x v="0"/>
    <x v="2"/>
    <s v="Air"/>
    <x v="1"/>
    <n v="1.7"/>
    <n v="814"/>
    <n v="2"/>
    <n v="2"/>
    <n v="1"/>
    <n v="0"/>
    <n v="45.76"/>
    <n v="0"/>
    <n v="1"/>
  </r>
  <r>
    <s v="SHP-504091"/>
    <d v="2025-07-22T00:00:00"/>
    <x v="1"/>
    <s v="Q3"/>
    <x v="6"/>
    <x v="3"/>
    <x v="2"/>
    <x v="3"/>
    <x v="1"/>
    <s v="Road"/>
    <x v="1"/>
    <n v="2.4"/>
    <n v="640"/>
    <n v="6"/>
    <n v="5"/>
    <n v="1"/>
    <n v="0"/>
    <n v="11.82"/>
    <n v="0"/>
    <n v="1"/>
  </r>
  <r>
    <s v="SHP-504092"/>
    <d v="2025-07-22T00:00:00"/>
    <x v="1"/>
    <s v="Q3"/>
    <x v="6"/>
    <x v="0"/>
    <x v="0"/>
    <x v="0"/>
    <x v="1"/>
    <s v="Road"/>
    <x v="1"/>
    <n v="1"/>
    <n v="987"/>
    <n v="6"/>
    <n v="6"/>
    <n v="1"/>
    <n v="0"/>
    <n v="12.83"/>
    <n v="0"/>
    <n v="1"/>
  </r>
  <r>
    <s v="SHP-504093"/>
    <d v="2025-07-22T00:00:00"/>
    <x v="1"/>
    <s v="Q3"/>
    <x v="6"/>
    <x v="1"/>
    <x v="0"/>
    <x v="4"/>
    <x v="2"/>
    <s v="Air"/>
    <x v="1"/>
    <n v="3.1"/>
    <n v="957"/>
    <n v="3"/>
    <n v="3"/>
    <n v="1"/>
    <n v="0"/>
    <n v="63.37"/>
    <n v="0"/>
    <n v="1"/>
  </r>
  <r>
    <s v="SHP-504094"/>
    <d v="2025-07-22T00:00:00"/>
    <x v="1"/>
    <s v="Q3"/>
    <x v="6"/>
    <x v="0"/>
    <x v="2"/>
    <x v="1"/>
    <x v="0"/>
    <s v="Road"/>
    <x v="0"/>
    <n v="73.7"/>
    <n v="250"/>
    <n v="3"/>
    <n v="2"/>
    <n v="1"/>
    <n v="0"/>
    <n v="43.06"/>
    <n v="0"/>
    <n v="1"/>
  </r>
  <r>
    <s v="SHP-504095"/>
    <d v="2025-07-22T00:00:00"/>
    <x v="1"/>
    <s v="Q3"/>
    <x v="6"/>
    <x v="0"/>
    <x v="1"/>
    <x v="1"/>
    <x v="1"/>
    <s v="Road"/>
    <x v="1"/>
    <n v="8.5"/>
    <n v="230"/>
    <n v="5"/>
    <n v="5"/>
    <n v="1"/>
    <n v="0"/>
    <n v="9.24"/>
    <n v="0"/>
    <n v="1"/>
  </r>
  <r>
    <s v="SHP-504096"/>
    <d v="2025-07-22T00:00:00"/>
    <x v="1"/>
    <s v="Q3"/>
    <x v="6"/>
    <x v="1"/>
    <x v="0"/>
    <x v="1"/>
    <x v="2"/>
    <s v="Road"/>
    <x v="1"/>
    <n v="27"/>
    <n v="257"/>
    <n v="1"/>
    <n v="1"/>
    <n v="1"/>
    <n v="0"/>
    <n v="49.84"/>
    <n v="0"/>
    <n v="1"/>
  </r>
  <r>
    <s v="SHP-504097"/>
    <d v="2025-07-23T00:00:00"/>
    <x v="1"/>
    <s v="Q3"/>
    <x v="6"/>
    <x v="0"/>
    <x v="0"/>
    <x v="4"/>
    <x v="0"/>
    <s v="Road"/>
    <x v="1"/>
    <n v="3.4"/>
    <n v="1118"/>
    <n v="5"/>
    <n v="5"/>
    <n v="1"/>
    <n v="0"/>
    <n v="20.46"/>
    <n v="0"/>
    <n v="1"/>
  </r>
  <r>
    <s v="SHP-504098"/>
    <d v="2025-07-23T00:00:00"/>
    <x v="1"/>
    <s v="Q3"/>
    <x v="6"/>
    <x v="1"/>
    <x v="2"/>
    <x v="1"/>
    <x v="2"/>
    <s v="Road"/>
    <x v="0"/>
    <n v="180.5"/>
    <n v="269"/>
    <n v="1"/>
    <n v="1"/>
    <n v="1"/>
    <n v="0"/>
    <n v="173.96"/>
    <n v="0"/>
    <n v="1"/>
  </r>
  <r>
    <s v="SHP-504099"/>
    <d v="2025-07-23T00:00:00"/>
    <x v="1"/>
    <s v="Q3"/>
    <x v="6"/>
    <x v="0"/>
    <x v="1"/>
    <x v="0"/>
    <x v="2"/>
    <s v="Air"/>
    <x v="0"/>
    <n v="169.6"/>
    <n v="770"/>
    <n v="2"/>
    <n v="2"/>
    <n v="1"/>
    <n v="0"/>
    <n v="263.2"/>
    <n v="0"/>
    <n v="1"/>
  </r>
  <r>
    <s v="SHP-504100"/>
    <d v="2025-07-23T00:00:00"/>
    <x v="1"/>
    <s v="Q3"/>
    <x v="6"/>
    <x v="0"/>
    <x v="2"/>
    <x v="0"/>
    <x v="1"/>
    <s v="Road"/>
    <x v="1"/>
    <n v="2.4"/>
    <n v="1057"/>
    <n v="6"/>
    <n v="6"/>
    <n v="1"/>
    <n v="0"/>
    <n v="13.94"/>
    <n v="0"/>
    <n v="1"/>
  </r>
  <r>
    <s v="SHP-504101"/>
    <d v="2025-07-23T00:00:00"/>
    <x v="1"/>
    <s v="Q3"/>
    <x v="6"/>
    <x v="1"/>
    <x v="0"/>
    <x v="1"/>
    <x v="2"/>
    <s v="Road"/>
    <x v="0"/>
    <n v="56.5"/>
    <n v="273"/>
    <n v="1"/>
    <n v="1"/>
    <n v="1"/>
    <n v="0"/>
    <n v="67.95"/>
    <n v="0"/>
    <n v="1"/>
  </r>
  <r>
    <s v="SHP-504102"/>
    <d v="2025-07-23T00:00:00"/>
    <x v="1"/>
    <s v="Q3"/>
    <x v="6"/>
    <x v="3"/>
    <x v="2"/>
    <x v="0"/>
    <x v="0"/>
    <s v="Road"/>
    <x v="1"/>
    <n v="7.4"/>
    <n v="749"/>
    <n v="4"/>
    <n v="4"/>
    <n v="1"/>
    <n v="0"/>
    <n v="18.809999999999999"/>
    <n v="0"/>
    <n v="1"/>
  </r>
  <r>
    <s v="SHP-504103"/>
    <d v="2025-07-23T00:00:00"/>
    <x v="1"/>
    <s v="Q3"/>
    <x v="6"/>
    <x v="3"/>
    <x v="2"/>
    <x v="0"/>
    <x v="1"/>
    <s v="Road"/>
    <x v="0"/>
    <n v="171.3"/>
    <n v="1076"/>
    <n v="6"/>
    <n v="6"/>
    <n v="1"/>
    <n v="0"/>
    <n v="77.83"/>
    <n v="0"/>
    <n v="1"/>
  </r>
  <r>
    <s v="SHP-504104"/>
    <d v="2025-07-24T00:00:00"/>
    <x v="1"/>
    <s v="Q3"/>
    <x v="6"/>
    <x v="3"/>
    <x v="0"/>
    <x v="0"/>
    <x v="1"/>
    <s v="Road"/>
    <x v="1"/>
    <n v="13.9"/>
    <n v="1116"/>
    <n v="6"/>
    <n v="7"/>
    <n v="0"/>
    <n v="1"/>
    <n v="22.96"/>
    <n v="0"/>
    <n v="1"/>
  </r>
  <r>
    <s v="SHP-504105"/>
    <d v="2025-07-24T00:00:00"/>
    <x v="1"/>
    <s v="Q3"/>
    <x v="6"/>
    <x v="3"/>
    <x v="2"/>
    <x v="2"/>
    <x v="0"/>
    <s v="Road"/>
    <x v="1"/>
    <n v="3.3"/>
    <n v="1117"/>
    <n v="5"/>
    <n v="4"/>
    <n v="1"/>
    <n v="0"/>
    <n v="25.52"/>
    <n v="0"/>
    <n v="1"/>
  </r>
  <r>
    <s v="SHP-504106"/>
    <d v="2025-07-24T00:00:00"/>
    <x v="1"/>
    <s v="Q3"/>
    <x v="6"/>
    <x v="0"/>
    <x v="2"/>
    <x v="2"/>
    <x v="0"/>
    <s v="Road"/>
    <x v="0"/>
    <n v="24.2"/>
    <n v="1100"/>
    <n v="5"/>
    <n v="5"/>
    <n v="1"/>
    <n v="0"/>
    <n v="29.02"/>
    <n v="0"/>
    <n v="1"/>
  </r>
  <r>
    <s v="SHP-504107"/>
    <d v="2025-07-24T00:00:00"/>
    <x v="1"/>
    <s v="Q3"/>
    <x v="6"/>
    <x v="3"/>
    <x v="2"/>
    <x v="3"/>
    <x v="1"/>
    <s v="Road"/>
    <x v="1"/>
    <n v="9.9"/>
    <n v="502"/>
    <n v="6"/>
    <n v="6"/>
    <n v="1"/>
    <n v="0"/>
    <n v="13.86"/>
    <n v="0"/>
    <n v="1"/>
  </r>
  <r>
    <s v="SHP-504108"/>
    <d v="2025-07-24T00:00:00"/>
    <x v="1"/>
    <s v="Q3"/>
    <x v="6"/>
    <x v="1"/>
    <x v="2"/>
    <x v="0"/>
    <x v="2"/>
    <s v="Air"/>
    <x v="0"/>
    <n v="243.7"/>
    <n v="726"/>
    <n v="2"/>
    <n v="2"/>
    <n v="1"/>
    <n v="0"/>
    <n v="306.06"/>
    <n v="0"/>
    <n v="1"/>
  </r>
  <r>
    <s v="SHP-504109"/>
    <d v="2025-07-24T00:00:00"/>
    <x v="1"/>
    <s v="Q3"/>
    <x v="6"/>
    <x v="2"/>
    <x v="1"/>
    <x v="0"/>
    <x v="0"/>
    <s v="Road"/>
    <x v="0"/>
    <n v="167.1"/>
    <n v="1058"/>
    <n v="4"/>
    <n v="4"/>
    <n v="1"/>
    <n v="0"/>
    <n v="76.84"/>
    <n v="0"/>
    <n v="1"/>
  </r>
  <r>
    <s v="SHP-504110"/>
    <d v="2025-07-24T00:00:00"/>
    <x v="1"/>
    <s v="Q3"/>
    <x v="6"/>
    <x v="4"/>
    <x v="2"/>
    <x v="1"/>
    <x v="0"/>
    <s v="Road"/>
    <x v="0"/>
    <n v="67.599999999999994"/>
    <n v="186"/>
    <n v="3"/>
    <n v="2"/>
    <n v="1"/>
    <n v="0"/>
    <n v="42.55"/>
    <n v="0"/>
    <n v="1"/>
  </r>
  <r>
    <s v="SHP-504111"/>
    <d v="2025-07-24T00:00:00"/>
    <x v="1"/>
    <s v="Q3"/>
    <x v="6"/>
    <x v="0"/>
    <x v="2"/>
    <x v="3"/>
    <x v="0"/>
    <s v="Road"/>
    <x v="1"/>
    <n v="1.6"/>
    <n v="510"/>
    <n v="4"/>
    <n v="3"/>
    <n v="1"/>
    <n v="0"/>
    <n v="14.06"/>
    <n v="0"/>
    <n v="1"/>
  </r>
  <r>
    <s v="SHP-504112"/>
    <d v="2025-07-24T00:00:00"/>
    <x v="1"/>
    <s v="Q3"/>
    <x v="6"/>
    <x v="3"/>
    <x v="0"/>
    <x v="0"/>
    <x v="0"/>
    <s v="Road"/>
    <x v="1"/>
    <n v="8.1999999999999993"/>
    <n v="1102"/>
    <n v="4"/>
    <n v="4"/>
    <n v="1"/>
    <n v="0"/>
    <n v="26.57"/>
    <n v="0"/>
    <n v="1"/>
  </r>
  <r>
    <s v="SHP-504113"/>
    <d v="2025-07-24T00:00:00"/>
    <x v="1"/>
    <s v="Q3"/>
    <x v="6"/>
    <x v="3"/>
    <x v="2"/>
    <x v="2"/>
    <x v="0"/>
    <s v="Road"/>
    <x v="1"/>
    <n v="6.1"/>
    <n v="1148"/>
    <n v="5"/>
    <n v="6"/>
    <n v="0"/>
    <n v="1"/>
    <n v="26.35"/>
    <n v="0"/>
    <n v="1"/>
  </r>
  <r>
    <s v="SHP-504114"/>
    <d v="2025-07-24T00:00:00"/>
    <x v="1"/>
    <s v="Q3"/>
    <x v="6"/>
    <x v="2"/>
    <x v="2"/>
    <x v="0"/>
    <x v="2"/>
    <s v="Air"/>
    <x v="1"/>
    <n v="10.3"/>
    <n v="803"/>
    <n v="2"/>
    <n v="2"/>
    <n v="1"/>
    <n v="0"/>
    <n v="57.09"/>
    <n v="0"/>
    <n v="1"/>
  </r>
  <r>
    <s v="SHP-504115"/>
    <d v="2025-07-25T00:00:00"/>
    <x v="1"/>
    <s v="Q3"/>
    <x v="6"/>
    <x v="1"/>
    <x v="0"/>
    <x v="3"/>
    <x v="0"/>
    <s v="Road"/>
    <x v="0"/>
    <n v="33.700000000000003"/>
    <n v="554"/>
    <n v="4"/>
    <n v="4"/>
    <n v="1"/>
    <n v="0"/>
    <n v="31.69"/>
    <n v="0"/>
    <n v="1"/>
  </r>
  <r>
    <s v="SHP-504116"/>
    <d v="2025-07-25T00:00:00"/>
    <x v="1"/>
    <s v="Q3"/>
    <x v="6"/>
    <x v="2"/>
    <x v="1"/>
    <x v="2"/>
    <x v="0"/>
    <s v="Road"/>
    <x v="0"/>
    <n v="180.3"/>
    <n v="1030"/>
    <n v="5"/>
    <n v="5"/>
    <n v="1"/>
    <n v="0"/>
    <n v="85.94"/>
    <n v="0"/>
    <n v="1"/>
  </r>
  <r>
    <s v="SHP-504117"/>
    <d v="2025-07-25T00:00:00"/>
    <x v="1"/>
    <s v="Q3"/>
    <x v="6"/>
    <x v="3"/>
    <x v="0"/>
    <x v="1"/>
    <x v="0"/>
    <s v="Road"/>
    <x v="1"/>
    <n v="9.8000000000000007"/>
    <n v="297"/>
    <n v="3"/>
    <n v="3"/>
    <n v="1"/>
    <n v="0"/>
    <n v="16.78"/>
    <n v="0"/>
    <n v="1"/>
  </r>
  <r>
    <s v="SHP-504118"/>
    <d v="2025-07-25T00:00:00"/>
    <x v="1"/>
    <s v="Q3"/>
    <x v="6"/>
    <x v="0"/>
    <x v="1"/>
    <x v="3"/>
    <x v="0"/>
    <s v="Road"/>
    <x v="0"/>
    <n v="25.6"/>
    <n v="629"/>
    <n v="4"/>
    <n v="4"/>
    <n v="1"/>
    <n v="0"/>
    <n v="28.29"/>
    <n v="0"/>
    <n v="1"/>
  </r>
  <r>
    <s v="SHP-504119"/>
    <d v="2025-07-25T00:00:00"/>
    <x v="1"/>
    <s v="Q3"/>
    <x v="6"/>
    <x v="3"/>
    <x v="1"/>
    <x v="0"/>
    <x v="0"/>
    <s v="Road"/>
    <x v="1"/>
    <n v="5.6"/>
    <n v="641"/>
    <n v="4"/>
    <n v="3"/>
    <n v="1"/>
    <n v="0"/>
    <n v="19.87"/>
    <n v="0"/>
    <n v="1"/>
  </r>
  <r>
    <s v="SHP-504120"/>
    <d v="2025-07-25T00:00:00"/>
    <x v="1"/>
    <s v="Q3"/>
    <x v="6"/>
    <x v="3"/>
    <x v="1"/>
    <x v="3"/>
    <x v="0"/>
    <s v="Road"/>
    <x v="1"/>
    <n v="6.5"/>
    <n v="437"/>
    <n v="4"/>
    <n v="3"/>
    <n v="1"/>
    <n v="0"/>
    <n v="15.6"/>
    <n v="0"/>
    <n v="1"/>
  </r>
  <r>
    <s v="SHP-504121"/>
    <d v="2025-07-25T00:00:00"/>
    <x v="1"/>
    <s v="Q3"/>
    <x v="6"/>
    <x v="0"/>
    <x v="2"/>
    <x v="1"/>
    <x v="1"/>
    <s v="Road"/>
    <x v="1"/>
    <n v="5"/>
    <n v="305"/>
    <n v="5"/>
    <n v="5"/>
    <n v="1"/>
    <n v="0"/>
    <n v="8.76"/>
    <n v="0"/>
    <n v="1"/>
  </r>
  <r>
    <s v="SHP-504122"/>
    <d v="2025-07-25T00:00:00"/>
    <x v="1"/>
    <s v="Q3"/>
    <x v="6"/>
    <x v="4"/>
    <x v="2"/>
    <x v="3"/>
    <x v="0"/>
    <s v="Road"/>
    <x v="0"/>
    <n v="71.599999999999994"/>
    <n v="376"/>
    <n v="4"/>
    <n v="5"/>
    <n v="0"/>
    <n v="1"/>
    <n v="44.79"/>
    <n v="0"/>
    <n v="1"/>
  </r>
  <r>
    <s v="SHP-504123"/>
    <d v="2025-07-26T00:00:00"/>
    <x v="1"/>
    <s v="Q3"/>
    <x v="6"/>
    <x v="4"/>
    <x v="2"/>
    <x v="2"/>
    <x v="2"/>
    <s v="Air"/>
    <x v="0"/>
    <n v="106.4"/>
    <n v="992"/>
    <n v="3"/>
    <n v="5"/>
    <n v="0"/>
    <n v="2"/>
    <n v="186.9"/>
    <n v="0"/>
    <n v="1"/>
  </r>
  <r>
    <s v="SHP-504124"/>
    <d v="2025-07-26T00:00:00"/>
    <x v="1"/>
    <s v="Q3"/>
    <x v="6"/>
    <x v="3"/>
    <x v="2"/>
    <x v="1"/>
    <x v="1"/>
    <s v="Road"/>
    <x v="1"/>
    <n v="26.2"/>
    <n v="269"/>
    <n v="5"/>
    <n v="4"/>
    <n v="1"/>
    <n v="0"/>
    <n v="18.690000000000001"/>
    <n v="0"/>
    <n v="1"/>
  </r>
  <r>
    <s v="SHP-504125"/>
    <d v="2025-07-26T00:00:00"/>
    <x v="1"/>
    <s v="Q3"/>
    <x v="6"/>
    <x v="1"/>
    <x v="1"/>
    <x v="3"/>
    <x v="2"/>
    <s v="Road"/>
    <x v="0"/>
    <n v="49.4"/>
    <n v="458"/>
    <n v="2"/>
    <n v="2"/>
    <n v="1"/>
    <n v="0"/>
    <n v="75.38"/>
    <n v="0"/>
    <n v="1"/>
  </r>
  <r>
    <s v="SHP-504126"/>
    <d v="2025-07-26T00:00:00"/>
    <x v="1"/>
    <s v="Q3"/>
    <x v="6"/>
    <x v="1"/>
    <x v="1"/>
    <x v="3"/>
    <x v="0"/>
    <s v="Road"/>
    <x v="0"/>
    <n v="73.400000000000006"/>
    <n v="371"/>
    <n v="4"/>
    <n v="4"/>
    <n v="1"/>
    <n v="0"/>
    <n v="53.81"/>
    <n v="0"/>
    <n v="1"/>
  </r>
  <r>
    <s v="SHP-504127"/>
    <d v="2025-07-26T00:00:00"/>
    <x v="1"/>
    <s v="Q3"/>
    <x v="6"/>
    <x v="2"/>
    <x v="2"/>
    <x v="1"/>
    <x v="2"/>
    <s v="Road"/>
    <x v="1"/>
    <n v="1.7"/>
    <n v="218"/>
    <n v="1"/>
    <n v="1"/>
    <n v="1"/>
    <n v="0"/>
    <n v="16.22"/>
    <n v="0"/>
    <n v="1"/>
  </r>
  <r>
    <s v="SHP-504128"/>
    <d v="2025-07-27T00:00:00"/>
    <x v="1"/>
    <s v="Q3"/>
    <x v="6"/>
    <x v="4"/>
    <x v="2"/>
    <x v="1"/>
    <x v="1"/>
    <s v="Road"/>
    <x v="1"/>
    <n v="4.5"/>
    <n v="232"/>
    <n v="5"/>
    <n v="5"/>
    <n v="1"/>
    <n v="0"/>
    <n v="9"/>
    <n v="0"/>
    <n v="1"/>
  </r>
  <r>
    <s v="SHP-504129"/>
    <d v="2025-07-27T00:00:00"/>
    <x v="1"/>
    <s v="Q3"/>
    <x v="6"/>
    <x v="4"/>
    <x v="1"/>
    <x v="4"/>
    <x v="0"/>
    <s v="Road"/>
    <x v="1"/>
    <n v="2.8"/>
    <n v="902"/>
    <n v="5"/>
    <n v="4"/>
    <n v="1"/>
    <n v="0"/>
    <n v="19.11"/>
    <n v="0"/>
    <n v="1"/>
  </r>
  <r>
    <s v="SHP-504130"/>
    <d v="2025-07-27T00:00:00"/>
    <x v="1"/>
    <s v="Q3"/>
    <x v="6"/>
    <x v="1"/>
    <x v="1"/>
    <x v="1"/>
    <x v="0"/>
    <s v="Road"/>
    <x v="1"/>
    <n v="10.8"/>
    <n v="222"/>
    <n v="3"/>
    <n v="6"/>
    <n v="0"/>
    <n v="3"/>
    <n v="16.649999999999999"/>
    <n v="0"/>
    <n v="1"/>
  </r>
  <r>
    <s v="SHP-504131"/>
    <d v="2025-07-28T00:00:00"/>
    <x v="1"/>
    <s v="Q3"/>
    <x v="6"/>
    <x v="0"/>
    <x v="1"/>
    <x v="1"/>
    <x v="0"/>
    <s v="Road"/>
    <x v="1"/>
    <n v="8.6999999999999993"/>
    <n v="291"/>
    <n v="3"/>
    <n v="2"/>
    <n v="1"/>
    <n v="0"/>
    <n v="13.68"/>
    <n v="0"/>
    <n v="1"/>
  </r>
  <r>
    <s v="SHP-504132"/>
    <d v="2025-07-28T00:00:00"/>
    <x v="1"/>
    <s v="Q3"/>
    <x v="6"/>
    <x v="1"/>
    <x v="2"/>
    <x v="3"/>
    <x v="1"/>
    <s v="Road"/>
    <x v="1"/>
    <n v="10"/>
    <n v="517"/>
    <n v="6"/>
    <n v="6"/>
    <n v="1"/>
    <n v="0"/>
    <n v="14.12"/>
    <n v="0"/>
    <n v="1"/>
  </r>
  <r>
    <s v="SHP-504133"/>
    <d v="2025-07-28T00:00:00"/>
    <x v="1"/>
    <s v="Q3"/>
    <x v="6"/>
    <x v="2"/>
    <x v="0"/>
    <x v="1"/>
    <x v="0"/>
    <s v="Road"/>
    <x v="0"/>
    <n v="363.1"/>
    <n v="233"/>
    <n v="3"/>
    <n v="3"/>
    <n v="1"/>
    <n v="0"/>
    <n v="120.93"/>
    <n v="0"/>
    <n v="1"/>
  </r>
  <r>
    <s v="SHP-504134"/>
    <d v="2025-07-28T00:00:00"/>
    <x v="1"/>
    <s v="Q3"/>
    <x v="6"/>
    <x v="3"/>
    <x v="1"/>
    <x v="1"/>
    <x v="0"/>
    <s v="Road"/>
    <x v="1"/>
    <n v="15.7"/>
    <n v="222"/>
    <n v="3"/>
    <n v="3"/>
    <n v="1"/>
    <n v="0"/>
    <n v="20"/>
    <n v="0"/>
    <n v="1"/>
  </r>
  <r>
    <s v="SHP-504135"/>
    <d v="2025-07-29T00:00:00"/>
    <x v="1"/>
    <s v="Q3"/>
    <x v="6"/>
    <x v="1"/>
    <x v="1"/>
    <x v="1"/>
    <x v="0"/>
    <s v="Road"/>
    <x v="1"/>
    <n v="10.9"/>
    <n v="219"/>
    <n v="3"/>
    <n v="5"/>
    <n v="0"/>
    <n v="2"/>
    <n v="16.03"/>
    <n v="0"/>
    <n v="1"/>
  </r>
  <r>
    <s v="SHP-504136"/>
    <d v="2025-07-29T00:00:00"/>
    <x v="1"/>
    <s v="Q3"/>
    <x v="6"/>
    <x v="2"/>
    <x v="1"/>
    <x v="3"/>
    <x v="1"/>
    <s v="Road"/>
    <x v="0"/>
    <n v="211.1"/>
    <n v="343"/>
    <n v="6"/>
    <n v="6"/>
    <n v="1"/>
    <n v="0"/>
    <n v="53.24"/>
    <n v="0"/>
    <n v="1"/>
  </r>
  <r>
    <s v="SHP-504137"/>
    <d v="2025-07-29T00:00:00"/>
    <x v="1"/>
    <s v="Q3"/>
    <x v="6"/>
    <x v="4"/>
    <x v="1"/>
    <x v="0"/>
    <x v="0"/>
    <s v="Road"/>
    <x v="1"/>
    <n v="6.8"/>
    <n v="951"/>
    <n v="4"/>
    <n v="4"/>
    <n v="1"/>
    <n v="0"/>
    <n v="23.32"/>
    <n v="0"/>
    <n v="1"/>
  </r>
  <r>
    <s v="SHP-504138"/>
    <d v="2025-07-29T00:00:00"/>
    <x v="1"/>
    <s v="Q3"/>
    <x v="6"/>
    <x v="4"/>
    <x v="1"/>
    <x v="2"/>
    <x v="0"/>
    <s v="Road"/>
    <x v="0"/>
    <n v="35.299999999999997"/>
    <n v="1153"/>
    <n v="5"/>
    <n v="4"/>
    <n v="1"/>
    <n v="0"/>
    <n v="38.78"/>
    <n v="0"/>
    <n v="1"/>
  </r>
  <r>
    <s v="SHP-504139"/>
    <d v="2025-07-29T00:00:00"/>
    <x v="1"/>
    <s v="Q3"/>
    <x v="6"/>
    <x v="2"/>
    <x v="1"/>
    <x v="3"/>
    <x v="0"/>
    <s v="Road"/>
    <x v="0"/>
    <n v="51.5"/>
    <n v="491"/>
    <n v="4"/>
    <n v="4"/>
    <n v="1"/>
    <n v="0"/>
    <n v="30.37"/>
    <n v="0"/>
    <n v="1"/>
  </r>
  <r>
    <s v="SHP-504140"/>
    <d v="2025-07-29T00:00:00"/>
    <x v="1"/>
    <s v="Q3"/>
    <x v="6"/>
    <x v="0"/>
    <x v="1"/>
    <x v="1"/>
    <x v="1"/>
    <s v="Road"/>
    <x v="0"/>
    <n v="19"/>
    <n v="246"/>
    <n v="5"/>
    <n v="6"/>
    <n v="0"/>
    <n v="1"/>
    <n v="12.89"/>
    <n v="0"/>
    <n v="1"/>
  </r>
  <r>
    <s v="SHP-504141"/>
    <d v="2025-07-29T00:00:00"/>
    <x v="1"/>
    <s v="Q3"/>
    <x v="6"/>
    <x v="4"/>
    <x v="1"/>
    <x v="3"/>
    <x v="0"/>
    <s v="Road"/>
    <x v="0"/>
    <n v="41.8"/>
    <n v="433"/>
    <n v="4"/>
    <n v="4"/>
    <n v="1"/>
    <n v="0"/>
    <n v="32.24"/>
    <n v="0"/>
    <n v="1"/>
  </r>
  <r>
    <s v="SHP-504142"/>
    <d v="2025-07-29T00:00:00"/>
    <x v="1"/>
    <s v="Q3"/>
    <x v="6"/>
    <x v="0"/>
    <x v="2"/>
    <x v="2"/>
    <x v="0"/>
    <s v="Road"/>
    <x v="1"/>
    <n v="12"/>
    <n v="1075"/>
    <n v="5"/>
    <n v="5"/>
    <n v="1"/>
    <n v="0"/>
    <n v="25.4"/>
    <n v="0"/>
    <n v="1"/>
  </r>
  <r>
    <s v="SHP-504143"/>
    <d v="2025-07-29T00:00:00"/>
    <x v="1"/>
    <s v="Q3"/>
    <x v="6"/>
    <x v="3"/>
    <x v="2"/>
    <x v="0"/>
    <x v="1"/>
    <s v="Road"/>
    <x v="1"/>
    <n v="12.2"/>
    <n v="1040"/>
    <n v="6"/>
    <n v="6"/>
    <n v="1"/>
    <n v="0"/>
    <n v="20.9"/>
    <n v="0"/>
    <n v="1"/>
  </r>
  <r>
    <s v="SHP-504144"/>
    <d v="2025-07-29T00:00:00"/>
    <x v="1"/>
    <s v="Q3"/>
    <x v="6"/>
    <x v="3"/>
    <x v="1"/>
    <x v="3"/>
    <x v="0"/>
    <s v="Road"/>
    <x v="1"/>
    <n v="4"/>
    <n v="495"/>
    <n v="4"/>
    <n v="5"/>
    <n v="0"/>
    <n v="1"/>
    <n v="16.34"/>
    <n v="0"/>
    <n v="1"/>
  </r>
  <r>
    <s v="SHP-504145"/>
    <d v="2025-07-29T00:00:00"/>
    <x v="1"/>
    <s v="Q3"/>
    <x v="6"/>
    <x v="0"/>
    <x v="0"/>
    <x v="1"/>
    <x v="0"/>
    <s v="Road"/>
    <x v="1"/>
    <n v="12.5"/>
    <n v="180"/>
    <n v="3"/>
    <n v="3"/>
    <n v="1"/>
    <n v="0"/>
    <n v="15.42"/>
    <n v="0"/>
    <n v="1"/>
  </r>
  <r>
    <s v="SHP-504146"/>
    <d v="2025-07-29T00:00:00"/>
    <x v="1"/>
    <s v="Q3"/>
    <x v="6"/>
    <x v="4"/>
    <x v="1"/>
    <x v="3"/>
    <x v="2"/>
    <s v="Road"/>
    <x v="0"/>
    <n v="166.1"/>
    <n v="517"/>
    <n v="2"/>
    <n v="2"/>
    <n v="1"/>
    <n v="0"/>
    <n v="156.62"/>
    <n v="0"/>
    <n v="1"/>
  </r>
  <r>
    <s v="SHP-504147"/>
    <d v="2025-07-30T00:00:00"/>
    <x v="1"/>
    <s v="Q3"/>
    <x v="6"/>
    <x v="4"/>
    <x v="2"/>
    <x v="3"/>
    <x v="0"/>
    <s v="Road"/>
    <x v="1"/>
    <n v="16"/>
    <n v="469"/>
    <n v="4"/>
    <n v="4"/>
    <n v="1"/>
    <n v="0"/>
    <n v="19.34"/>
    <n v="0"/>
    <n v="1"/>
  </r>
  <r>
    <s v="SHP-504148"/>
    <d v="2025-07-30T00:00:00"/>
    <x v="1"/>
    <s v="Q3"/>
    <x v="6"/>
    <x v="4"/>
    <x v="2"/>
    <x v="0"/>
    <x v="1"/>
    <s v="Road"/>
    <x v="1"/>
    <n v="12.6"/>
    <n v="1033"/>
    <n v="6"/>
    <n v="6"/>
    <n v="1"/>
    <n v="0"/>
    <n v="19.13"/>
    <n v="0"/>
    <n v="1"/>
  </r>
  <r>
    <s v="SHP-504149"/>
    <d v="2025-07-30T00:00:00"/>
    <x v="1"/>
    <s v="Q3"/>
    <x v="6"/>
    <x v="2"/>
    <x v="2"/>
    <x v="2"/>
    <x v="0"/>
    <s v="Road"/>
    <x v="1"/>
    <n v="1.5"/>
    <n v="1107"/>
    <n v="5"/>
    <n v="5"/>
    <n v="1"/>
    <n v="0"/>
    <n v="17.100000000000001"/>
    <n v="0"/>
    <n v="1"/>
  </r>
  <r>
    <s v="SHP-504150"/>
    <d v="2025-07-30T00:00:00"/>
    <x v="1"/>
    <s v="Q3"/>
    <x v="6"/>
    <x v="2"/>
    <x v="1"/>
    <x v="0"/>
    <x v="0"/>
    <s v="Road"/>
    <x v="1"/>
    <n v="0.9"/>
    <n v="1119"/>
    <n v="4"/>
    <n v="7"/>
    <n v="0"/>
    <n v="3"/>
    <n v="16.77"/>
    <n v="0"/>
    <n v="1"/>
  </r>
  <r>
    <s v="SHP-504151"/>
    <d v="2025-07-30T00:00:00"/>
    <x v="1"/>
    <s v="Q3"/>
    <x v="6"/>
    <x v="2"/>
    <x v="2"/>
    <x v="1"/>
    <x v="2"/>
    <s v="Road"/>
    <x v="0"/>
    <n v="253.7"/>
    <n v="279"/>
    <n v="1"/>
    <n v="1"/>
    <n v="1"/>
    <n v="0"/>
    <n v="195.07"/>
    <n v="0"/>
    <n v="1"/>
  </r>
  <r>
    <s v="SHP-504152"/>
    <d v="2025-07-30T00:00:00"/>
    <x v="1"/>
    <s v="Q3"/>
    <x v="6"/>
    <x v="0"/>
    <x v="1"/>
    <x v="1"/>
    <x v="2"/>
    <s v="Road"/>
    <x v="0"/>
    <n v="108.1"/>
    <n v="247"/>
    <n v="1"/>
    <n v="1"/>
    <n v="1"/>
    <n v="0"/>
    <n v="106.69"/>
    <n v="0"/>
    <n v="1"/>
  </r>
  <r>
    <s v="SHP-504153"/>
    <d v="2025-07-30T00:00:00"/>
    <x v="1"/>
    <s v="Q3"/>
    <x v="6"/>
    <x v="1"/>
    <x v="1"/>
    <x v="1"/>
    <x v="2"/>
    <s v="Road"/>
    <x v="0"/>
    <n v="31.8"/>
    <n v="207"/>
    <n v="1"/>
    <n v="1"/>
    <n v="1"/>
    <n v="0"/>
    <n v="51.14"/>
    <n v="0"/>
    <n v="1"/>
  </r>
  <r>
    <s v="SHP-504154"/>
    <d v="2025-07-31T00:00:00"/>
    <x v="1"/>
    <s v="Q3"/>
    <x v="6"/>
    <x v="0"/>
    <x v="1"/>
    <x v="0"/>
    <x v="0"/>
    <s v="Road"/>
    <x v="1"/>
    <n v="6.5"/>
    <n v="886"/>
    <n v="4"/>
    <n v="4"/>
    <n v="1"/>
    <n v="0"/>
    <n v="19.46"/>
    <n v="0"/>
    <n v="1"/>
  </r>
  <r>
    <s v="SHP-504155"/>
    <d v="2025-07-31T00:00:00"/>
    <x v="1"/>
    <s v="Q3"/>
    <x v="6"/>
    <x v="0"/>
    <x v="2"/>
    <x v="4"/>
    <x v="2"/>
    <s v="Air"/>
    <x v="1"/>
    <n v="10.7"/>
    <n v="1109"/>
    <n v="3"/>
    <n v="3"/>
    <n v="1"/>
    <n v="0"/>
    <n v="73.989999999999995"/>
    <n v="0"/>
    <n v="1"/>
  </r>
  <r>
    <s v="SHP-504156"/>
    <d v="2025-07-31T00:00:00"/>
    <x v="1"/>
    <s v="Q3"/>
    <x v="6"/>
    <x v="3"/>
    <x v="0"/>
    <x v="4"/>
    <x v="2"/>
    <s v="Air"/>
    <x v="1"/>
    <n v="3.2"/>
    <n v="1052"/>
    <n v="3"/>
    <n v="3"/>
    <n v="1"/>
    <n v="0"/>
    <n v="69.150000000000006"/>
    <n v="0"/>
    <n v="1"/>
  </r>
  <r>
    <s v="SHP-504157"/>
    <d v="2025-07-31T00:00:00"/>
    <x v="1"/>
    <s v="Q3"/>
    <x v="6"/>
    <x v="2"/>
    <x v="2"/>
    <x v="1"/>
    <x v="1"/>
    <s v="Road"/>
    <x v="0"/>
    <n v="249.8"/>
    <n v="266"/>
    <n v="5"/>
    <n v="9"/>
    <n v="0"/>
    <n v="4"/>
    <n v="60.07"/>
    <n v="0"/>
    <n v="1"/>
  </r>
  <r>
    <s v="SHP-504158"/>
    <d v="2025-07-31T00:00:00"/>
    <x v="1"/>
    <s v="Q3"/>
    <x v="6"/>
    <x v="2"/>
    <x v="1"/>
    <x v="1"/>
    <x v="1"/>
    <s v="Road"/>
    <x v="0"/>
    <n v="106.3"/>
    <n v="285"/>
    <n v="5"/>
    <n v="8"/>
    <n v="0"/>
    <n v="3"/>
    <n v="33.67"/>
    <n v="0"/>
    <n v="1"/>
  </r>
  <r>
    <s v="SHP-504159"/>
    <d v="2025-07-31T00:00:00"/>
    <x v="1"/>
    <s v="Q3"/>
    <x v="6"/>
    <x v="4"/>
    <x v="2"/>
    <x v="1"/>
    <x v="1"/>
    <s v="Road"/>
    <x v="1"/>
    <n v="9.1"/>
    <n v="259"/>
    <n v="5"/>
    <n v="5"/>
    <n v="1"/>
    <n v="0"/>
    <n v="10.01"/>
    <n v="0"/>
    <n v="1"/>
  </r>
  <r>
    <s v="SHP-504160"/>
    <d v="2025-07-31T00:00:00"/>
    <x v="1"/>
    <s v="Q3"/>
    <x v="6"/>
    <x v="4"/>
    <x v="2"/>
    <x v="0"/>
    <x v="0"/>
    <s v="Road"/>
    <x v="1"/>
    <n v="5.4"/>
    <n v="1085"/>
    <n v="4"/>
    <n v="4"/>
    <n v="1"/>
    <n v="0"/>
    <n v="22.83"/>
    <n v="0"/>
    <n v="1"/>
  </r>
  <r>
    <s v="SHP-504161"/>
    <d v="2025-08-01T00:00:00"/>
    <x v="1"/>
    <s v="Q3"/>
    <x v="7"/>
    <x v="3"/>
    <x v="1"/>
    <x v="0"/>
    <x v="0"/>
    <s v="Road"/>
    <x v="1"/>
    <n v="4.5999999999999996"/>
    <n v="748"/>
    <n v="4"/>
    <n v="5"/>
    <n v="0"/>
    <n v="1"/>
    <n v="19.809999999999999"/>
    <n v="0"/>
    <n v="1"/>
  </r>
  <r>
    <s v="SHP-504162"/>
    <d v="2025-08-01T00:00:00"/>
    <x v="1"/>
    <s v="Q3"/>
    <x v="7"/>
    <x v="2"/>
    <x v="1"/>
    <x v="3"/>
    <x v="0"/>
    <s v="Road"/>
    <x v="0"/>
    <n v="351.8"/>
    <n v="432"/>
    <n v="4"/>
    <n v="4"/>
    <n v="1"/>
    <n v="0"/>
    <n v="109.1"/>
    <n v="0"/>
    <n v="1"/>
  </r>
  <r>
    <s v="SHP-504163"/>
    <d v="2025-08-01T00:00:00"/>
    <x v="1"/>
    <s v="Q3"/>
    <x v="7"/>
    <x v="2"/>
    <x v="2"/>
    <x v="1"/>
    <x v="0"/>
    <s v="Road"/>
    <x v="1"/>
    <n v="5.4"/>
    <n v="203"/>
    <n v="3"/>
    <n v="4"/>
    <n v="0"/>
    <n v="1"/>
    <n v="9.33"/>
    <n v="0"/>
    <n v="1"/>
  </r>
  <r>
    <s v="SHP-504164"/>
    <d v="2025-08-01T00:00:00"/>
    <x v="1"/>
    <s v="Q3"/>
    <x v="7"/>
    <x v="4"/>
    <x v="1"/>
    <x v="2"/>
    <x v="0"/>
    <s v="Road"/>
    <x v="1"/>
    <n v="4.5"/>
    <n v="649"/>
    <n v="5"/>
    <n v="4"/>
    <n v="1"/>
    <n v="0"/>
    <n v="15.89"/>
    <n v="0"/>
    <n v="1"/>
  </r>
  <r>
    <s v="SHP-504165"/>
    <d v="2025-08-01T00:00:00"/>
    <x v="1"/>
    <s v="Q3"/>
    <x v="7"/>
    <x v="4"/>
    <x v="2"/>
    <x v="0"/>
    <x v="0"/>
    <s v="Road"/>
    <x v="1"/>
    <n v="2.8"/>
    <n v="807"/>
    <n v="4"/>
    <n v="4"/>
    <n v="1"/>
    <n v="0"/>
    <n v="17.82"/>
    <n v="0"/>
    <n v="1"/>
  </r>
  <r>
    <s v="SHP-504166"/>
    <d v="2025-08-02T00:00:00"/>
    <x v="1"/>
    <s v="Q3"/>
    <x v="7"/>
    <x v="0"/>
    <x v="1"/>
    <x v="3"/>
    <x v="0"/>
    <s v="Road"/>
    <x v="1"/>
    <n v="1.1000000000000001"/>
    <n v="354"/>
    <n v="4"/>
    <n v="4"/>
    <n v="1"/>
    <n v="0"/>
    <n v="10.75"/>
    <n v="0"/>
    <n v="1"/>
  </r>
  <r>
    <s v="SHP-504167"/>
    <d v="2025-08-02T00:00:00"/>
    <x v="1"/>
    <s v="Q3"/>
    <x v="7"/>
    <x v="1"/>
    <x v="0"/>
    <x v="1"/>
    <x v="0"/>
    <s v="Road"/>
    <x v="0"/>
    <n v="150.30000000000001"/>
    <n v="278"/>
    <n v="3"/>
    <n v="3"/>
    <n v="1"/>
    <n v="0"/>
    <n v="77.849999999999994"/>
    <n v="0"/>
    <n v="1"/>
  </r>
  <r>
    <s v="SHP-504168"/>
    <d v="2025-08-02T00:00:00"/>
    <x v="1"/>
    <s v="Q3"/>
    <x v="7"/>
    <x v="2"/>
    <x v="2"/>
    <x v="2"/>
    <x v="0"/>
    <s v="Road"/>
    <x v="1"/>
    <n v="7.5"/>
    <n v="1012"/>
    <n v="5"/>
    <n v="5"/>
    <n v="1"/>
    <n v="0"/>
    <n v="21.16"/>
    <n v="0"/>
    <n v="1"/>
  </r>
  <r>
    <s v="SHP-504169"/>
    <d v="2025-08-02T00:00:00"/>
    <x v="1"/>
    <s v="Q3"/>
    <x v="7"/>
    <x v="1"/>
    <x v="1"/>
    <x v="0"/>
    <x v="0"/>
    <s v="Road"/>
    <x v="0"/>
    <n v="113.5"/>
    <n v="774"/>
    <n v="4"/>
    <n v="3"/>
    <n v="1"/>
    <n v="0"/>
    <n v="70"/>
    <n v="0"/>
    <n v="1"/>
  </r>
  <r>
    <s v="SHP-504170"/>
    <d v="2025-08-02T00:00:00"/>
    <x v="1"/>
    <s v="Q3"/>
    <x v="7"/>
    <x v="0"/>
    <x v="2"/>
    <x v="4"/>
    <x v="0"/>
    <s v="Road"/>
    <x v="0"/>
    <n v="254.9"/>
    <n v="1008"/>
    <n v="5"/>
    <n v="5"/>
    <n v="1"/>
    <n v="0"/>
    <n v="110.64"/>
    <n v="0"/>
    <n v="1"/>
  </r>
  <r>
    <s v="SHP-504171"/>
    <d v="2025-08-02T00:00:00"/>
    <x v="1"/>
    <s v="Q3"/>
    <x v="7"/>
    <x v="3"/>
    <x v="2"/>
    <x v="0"/>
    <x v="2"/>
    <s v="Air"/>
    <x v="1"/>
    <n v="4.2"/>
    <n v="860"/>
    <n v="2"/>
    <n v="2"/>
    <n v="1"/>
    <n v="0"/>
    <n v="66.63"/>
    <n v="0"/>
    <n v="1"/>
  </r>
  <r>
    <s v="SHP-504172"/>
    <d v="2025-08-02T00:00:00"/>
    <x v="1"/>
    <s v="Q3"/>
    <x v="7"/>
    <x v="3"/>
    <x v="1"/>
    <x v="1"/>
    <x v="2"/>
    <s v="Road"/>
    <x v="1"/>
    <n v="9.5"/>
    <n v="191"/>
    <n v="1"/>
    <n v="4"/>
    <n v="0"/>
    <n v="3"/>
    <n v="30.69"/>
    <n v="0"/>
    <n v="1"/>
  </r>
  <r>
    <s v="SHP-504173"/>
    <d v="2025-08-03T00:00:00"/>
    <x v="1"/>
    <s v="Q3"/>
    <x v="7"/>
    <x v="2"/>
    <x v="2"/>
    <x v="1"/>
    <x v="1"/>
    <s v="Road"/>
    <x v="1"/>
    <n v="10.6"/>
    <n v="257"/>
    <n v="5"/>
    <n v="5"/>
    <n v="1"/>
    <n v="0"/>
    <n v="9.93"/>
    <n v="0"/>
    <n v="1"/>
  </r>
  <r>
    <s v="SHP-504174"/>
    <d v="2025-08-03T00:00:00"/>
    <x v="1"/>
    <s v="Q3"/>
    <x v="7"/>
    <x v="1"/>
    <x v="1"/>
    <x v="3"/>
    <x v="1"/>
    <s v="Road"/>
    <x v="0"/>
    <n v="310.89999999999998"/>
    <n v="389"/>
    <n v="6"/>
    <n v="5"/>
    <n v="1"/>
    <n v="0"/>
    <n v="97.45"/>
    <n v="0"/>
    <n v="1"/>
  </r>
  <r>
    <s v="SHP-504175"/>
    <d v="2025-08-03T00:00:00"/>
    <x v="1"/>
    <s v="Q3"/>
    <x v="7"/>
    <x v="4"/>
    <x v="0"/>
    <x v="4"/>
    <x v="2"/>
    <s v="Air"/>
    <x v="0"/>
    <n v="118.5"/>
    <n v="1204"/>
    <n v="3"/>
    <n v="3"/>
    <n v="1"/>
    <n v="0"/>
    <n v="212.44"/>
    <n v="0"/>
    <n v="1"/>
  </r>
  <r>
    <s v="SHP-504176"/>
    <d v="2025-08-03T00:00:00"/>
    <x v="1"/>
    <s v="Q3"/>
    <x v="7"/>
    <x v="2"/>
    <x v="0"/>
    <x v="0"/>
    <x v="0"/>
    <s v="Road"/>
    <x v="1"/>
    <n v="11"/>
    <n v="953"/>
    <n v="4"/>
    <n v="3"/>
    <n v="1"/>
    <n v="0"/>
    <n v="22.67"/>
    <n v="0"/>
    <n v="1"/>
  </r>
  <r>
    <s v="SHP-504177"/>
    <d v="2025-08-04T00:00:00"/>
    <x v="1"/>
    <s v="Q3"/>
    <x v="7"/>
    <x v="4"/>
    <x v="1"/>
    <x v="4"/>
    <x v="0"/>
    <s v="Road"/>
    <x v="0"/>
    <n v="94"/>
    <n v="841"/>
    <n v="5"/>
    <n v="5"/>
    <n v="1"/>
    <n v="0"/>
    <n v="59.57"/>
    <n v="0"/>
    <n v="1"/>
  </r>
  <r>
    <s v="SHP-504178"/>
    <d v="2025-08-04T00:00:00"/>
    <x v="1"/>
    <s v="Q3"/>
    <x v="7"/>
    <x v="2"/>
    <x v="0"/>
    <x v="3"/>
    <x v="0"/>
    <s v="Road"/>
    <x v="1"/>
    <n v="12"/>
    <n v="546"/>
    <n v="4"/>
    <n v="6"/>
    <n v="0"/>
    <n v="2"/>
    <n v="16.21"/>
    <n v="0"/>
    <n v="1"/>
  </r>
  <r>
    <s v="SHP-504179"/>
    <d v="2025-08-04T00:00:00"/>
    <x v="1"/>
    <s v="Q3"/>
    <x v="7"/>
    <x v="1"/>
    <x v="1"/>
    <x v="1"/>
    <x v="1"/>
    <s v="Road"/>
    <x v="1"/>
    <n v="12.7"/>
    <n v="254"/>
    <n v="5"/>
    <n v="5"/>
    <n v="1"/>
    <n v="0"/>
    <n v="12.72"/>
    <n v="0"/>
    <n v="1"/>
  </r>
  <r>
    <s v="SHP-504180"/>
    <d v="2025-08-04T00:00:00"/>
    <x v="1"/>
    <s v="Q3"/>
    <x v="7"/>
    <x v="3"/>
    <x v="1"/>
    <x v="4"/>
    <x v="0"/>
    <s v="Road"/>
    <x v="1"/>
    <n v="21.5"/>
    <n v="920"/>
    <n v="5"/>
    <n v="5"/>
    <n v="1"/>
    <n v="0"/>
    <n v="32.21"/>
    <n v="0"/>
    <n v="1"/>
  </r>
  <r>
    <s v="SHP-504181"/>
    <d v="2025-08-05T00:00:00"/>
    <x v="1"/>
    <s v="Q3"/>
    <x v="7"/>
    <x v="4"/>
    <x v="2"/>
    <x v="2"/>
    <x v="0"/>
    <s v="Road"/>
    <x v="1"/>
    <n v="9.1"/>
    <n v="1053"/>
    <n v="5"/>
    <n v="5"/>
    <n v="1"/>
    <n v="0"/>
    <n v="23.51"/>
    <n v="0"/>
    <n v="1"/>
  </r>
  <r>
    <s v="SHP-504182"/>
    <d v="2025-08-05T00:00:00"/>
    <x v="1"/>
    <s v="Q3"/>
    <x v="7"/>
    <x v="1"/>
    <x v="0"/>
    <x v="4"/>
    <x v="1"/>
    <s v="Road"/>
    <x v="0"/>
    <n v="147.30000000000001"/>
    <n v="618"/>
    <n v="7"/>
    <n v="6"/>
    <n v="1"/>
    <n v="0"/>
    <n v="61.78"/>
    <n v="0"/>
    <n v="1"/>
  </r>
  <r>
    <s v="SHP-504183"/>
    <d v="2025-08-05T00:00:00"/>
    <x v="1"/>
    <s v="Q3"/>
    <x v="7"/>
    <x v="4"/>
    <x v="1"/>
    <x v="1"/>
    <x v="2"/>
    <s v="Road"/>
    <x v="0"/>
    <n v="54.6"/>
    <n v="237"/>
    <n v="1"/>
    <n v="1"/>
    <n v="1"/>
    <n v="0"/>
    <n v="68.98"/>
    <n v="0"/>
    <n v="1"/>
  </r>
  <r>
    <s v="SHP-504184"/>
    <d v="2025-08-05T00:00:00"/>
    <x v="1"/>
    <s v="Q3"/>
    <x v="7"/>
    <x v="1"/>
    <x v="2"/>
    <x v="0"/>
    <x v="1"/>
    <s v="Road"/>
    <x v="0"/>
    <n v="114.5"/>
    <n v="815"/>
    <n v="6"/>
    <n v="6"/>
    <n v="1"/>
    <n v="0"/>
    <n v="54.05"/>
    <n v="0"/>
    <n v="1"/>
  </r>
  <r>
    <s v="SHP-504185"/>
    <d v="2025-08-06T00:00:00"/>
    <x v="1"/>
    <s v="Q3"/>
    <x v="7"/>
    <x v="4"/>
    <x v="1"/>
    <x v="2"/>
    <x v="0"/>
    <s v="Road"/>
    <x v="1"/>
    <n v="8.5"/>
    <n v="1043"/>
    <n v="5"/>
    <n v="5"/>
    <n v="1"/>
    <n v="0"/>
    <n v="22.02"/>
    <n v="0"/>
    <n v="1"/>
  </r>
  <r>
    <s v="SHP-504186"/>
    <d v="2025-08-06T00:00:00"/>
    <x v="1"/>
    <s v="Q3"/>
    <x v="7"/>
    <x v="0"/>
    <x v="2"/>
    <x v="3"/>
    <x v="0"/>
    <s v="Road"/>
    <x v="0"/>
    <n v="100.7"/>
    <n v="488"/>
    <n v="4"/>
    <n v="3"/>
    <n v="1"/>
    <n v="0"/>
    <n v="50.81"/>
    <n v="0"/>
    <n v="1"/>
  </r>
  <r>
    <s v="SHP-504187"/>
    <d v="2025-08-06T00:00:00"/>
    <x v="1"/>
    <s v="Q3"/>
    <x v="7"/>
    <x v="3"/>
    <x v="2"/>
    <x v="3"/>
    <x v="0"/>
    <s v="Road"/>
    <x v="1"/>
    <n v="8.5"/>
    <n v="619"/>
    <n v="4"/>
    <n v="4"/>
    <n v="1"/>
    <n v="0"/>
    <n v="23.15"/>
    <n v="0"/>
    <n v="1"/>
  </r>
  <r>
    <s v="SHP-504188"/>
    <d v="2025-08-06T00:00:00"/>
    <x v="1"/>
    <s v="Q3"/>
    <x v="7"/>
    <x v="3"/>
    <x v="2"/>
    <x v="1"/>
    <x v="2"/>
    <s v="Road"/>
    <x v="0"/>
    <n v="190.3"/>
    <n v="256"/>
    <n v="1"/>
    <n v="1"/>
    <n v="1"/>
    <n v="0"/>
    <n v="194.28"/>
    <n v="0"/>
    <n v="1"/>
  </r>
  <r>
    <s v="SHP-504189"/>
    <d v="2025-08-06T00:00:00"/>
    <x v="1"/>
    <s v="Q3"/>
    <x v="7"/>
    <x v="2"/>
    <x v="1"/>
    <x v="2"/>
    <x v="1"/>
    <s v="Road"/>
    <x v="1"/>
    <n v="1.7"/>
    <n v="1037"/>
    <n v="7"/>
    <n v="6"/>
    <n v="1"/>
    <n v="0"/>
    <n v="12.33"/>
    <n v="0"/>
    <n v="1"/>
  </r>
  <r>
    <s v="SHP-504190"/>
    <d v="2025-08-06T00:00:00"/>
    <x v="1"/>
    <s v="Q3"/>
    <x v="7"/>
    <x v="3"/>
    <x v="1"/>
    <x v="0"/>
    <x v="0"/>
    <s v="Road"/>
    <x v="0"/>
    <n v="200.6"/>
    <n v="1031"/>
    <n v="4"/>
    <n v="4"/>
    <n v="1"/>
    <n v="0"/>
    <n v="110.38"/>
    <n v="0"/>
    <n v="1"/>
  </r>
  <r>
    <s v="SHP-504191"/>
    <d v="2025-08-06T00:00:00"/>
    <x v="1"/>
    <s v="Q3"/>
    <x v="7"/>
    <x v="1"/>
    <x v="2"/>
    <x v="1"/>
    <x v="0"/>
    <s v="Road"/>
    <x v="1"/>
    <n v="11"/>
    <n v="227"/>
    <n v="3"/>
    <n v="2"/>
    <n v="1"/>
    <n v="0"/>
    <n v="16.48"/>
    <n v="0"/>
    <n v="1"/>
  </r>
  <r>
    <s v="SHP-504192"/>
    <d v="2025-08-06T00:00:00"/>
    <x v="1"/>
    <s v="Q3"/>
    <x v="7"/>
    <x v="3"/>
    <x v="2"/>
    <x v="1"/>
    <x v="1"/>
    <s v="Road"/>
    <x v="0"/>
    <n v="62.1"/>
    <n v="270"/>
    <n v="5"/>
    <n v="4"/>
    <n v="1"/>
    <n v="0"/>
    <n v="36.450000000000003"/>
    <n v="0"/>
    <n v="1"/>
  </r>
  <r>
    <s v="SHP-504193"/>
    <d v="2025-08-07T00:00:00"/>
    <x v="1"/>
    <s v="Q3"/>
    <x v="7"/>
    <x v="0"/>
    <x v="2"/>
    <x v="0"/>
    <x v="2"/>
    <s v="Air"/>
    <x v="0"/>
    <n v="108.2"/>
    <n v="1043"/>
    <n v="2"/>
    <n v="2"/>
    <n v="1"/>
    <n v="0"/>
    <n v="207.09"/>
    <n v="0"/>
    <n v="1"/>
  </r>
  <r>
    <s v="SHP-504194"/>
    <d v="2025-08-07T00:00:00"/>
    <x v="1"/>
    <s v="Q3"/>
    <x v="7"/>
    <x v="1"/>
    <x v="0"/>
    <x v="2"/>
    <x v="2"/>
    <s v="Air"/>
    <x v="1"/>
    <n v="15.2"/>
    <n v="1011"/>
    <n v="3"/>
    <n v="3"/>
    <n v="1"/>
    <n v="0"/>
    <n v="88.85"/>
    <n v="0"/>
    <n v="1"/>
  </r>
  <r>
    <s v="SHP-504195"/>
    <d v="2025-08-07T00:00:00"/>
    <x v="1"/>
    <s v="Q3"/>
    <x v="7"/>
    <x v="3"/>
    <x v="2"/>
    <x v="0"/>
    <x v="1"/>
    <s v="Road"/>
    <x v="1"/>
    <n v="7.1"/>
    <n v="1005"/>
    <n v="6"/>
    <n v="5"/>
    <n v="1"/>
    <n v="0"/>
    <n v="21.45"/>
    <n v="0"/>
    <n v="1"/>
  </r>
  <r>
    <s v="SHP-504196"/>
    <d v="2025-08-07T00:00:00"/>
    <x v="1"/>
    <s v="Q3"/>
    <x v="7"/>
    <x v="4"/>
    <x v="1"/>
    <x v="2"/>
    <x v="0"/>
    <s v="Road"/>
    <x v="1"/>
    <n v="13.5"/>
    <n v="1068"/>
    <n v="5"/>
    <n v="4"/>
    <n v="1"/>
    <n v="0"/>
    <n v="24.27"/>
    <n v="0"/>
    <n v="1"/>
  </r>
  <r>
    <s v="SHP-504197"/>
    <d v="2025-08-07T00:00:00"/>
    <x v="1"/>
    <s v="Q3"/>
    <x v="7"/>
    <x v="3"/>
    <x v="2"/>
    <x v="1"/>
    <x v="0"/>
    <s v="Road"/>
    <x v="0"/>
    <n v="84.2"/>
    <n v="251"/>
    <n v="3"/>
    <n v="3"/>
    <n v="1"/>
    <n v="0"/>
    <n v="61.59"/>
    <n v="0"/>
    <n v="1"/>
  </r>
  <r>
    <s v="SHP-504198"/>
    <d v="2025-08-07T00:00:00"/>
    <x v="1"/>
    <s v="Q3"/>
    <x v="7"/>
    <x v="1"/>
    <x v="1"/>
    <x v="4"/>
    <x v="1"/>
    <s v="Road"/>
    <x v="0"/>
    <n v="50.2"/>
    <n v="1119"/>
    <n v="7"/>
    <n v="7"/>
    <n v="1"/>
    <n v="0"/>
    <n v="36.92"/>
    <n v="0"/>
    <n v="1"/>
  </r>
  <r>
    <s v="SHP-504199"/>
    <d v="2025-08-07T00:00:00"/>
    <x v="1"/>
    <s v="Q3"/>
    <x v="7"/>
    <x v="4"/>
    <x v="2"/>
    <x v="3"/>
    <x v="0"/>
    <s v="Road"/>
    <x v="1"/>
    <n v="13.5"/>
    <n v="462"/>
    <n v="4"/>
    <n v="4"/>
    <n v="1"/>
    <n v="0"/>
    <n v="19.25"/>
    <n v="0"/>
    <n v="1"/>
  </r>
  <r>
    <s v="SHP-504200"/>
    <d v="2025-08-07T00:00:00"/>
    <x v="1"/>
    <s v="Q3"/>
    <x v="7"/>
    <x v="0"/>
    <x v="2"/>
    <x v="1"/>
    <x v="1"/>
    <s v="Road"/>
    <x v="1"/>
    <n v="3.6"/>
    <n v="266"/>
    <n v="5"/>
    <n v="5"/>
    <n v="1"/>
    <n v="0"/>
    <n v="7.41"/>
    <n v="0"/>
    <n v="1"/>
  </r>
  <r>
    <s v="SHP-504201"/>
    <d v="2025-08-08T00:00:00"/>
    <x v="1"/>
    <s v="Q3"/>
    <x v="7"/>
    <x v="0"/>
    <x v="2"/>
    <x v="2"/>
    <x v="1"/>
    <s v="Road"/>
    <x v="0"/>
    <n v="67.900000000000006"/>
    <n v="1033"/>
    <n v="7"/>
    <n v="7"/>
    <n v="1"/>
    <n v="0"/>
    <n v="35.56"/>
    <n v="0"/>
    <n v="1"/>
  </r>
  <r>
    <s v="SHP-504202"/>
    <d v="2025-08-08T00:00:00"/>
    <x v="1"/>
    <s v="Q3"/>
    <x v="7"/>
    <x v="0"/>
    <x v="2"/>
    <x v="1"/>
    <x v="0"/>
    <s v="Road"/>
    <x v="0"/>
    <n v="170.2"/>
    <n v="235"/>
    <n v="3"/>
    <n v="2"/>
    <n v="1"/>
    <n v="0"/>
    <n v="70.58"/>
    <n v="0"/>
    <n v="1"/>
  </r>
  <r>
    <s v="SHP-504203"/>
    <d v="2025-08-08T00:00:00"/>
    <x v="1"/>
    <s v="Q3"/>
    <x v="7"/>
    <x v="2"/>
    <x v="2"/>
    <x v="4"/>
    <x v="0"/>
    <s v="Road"/>
    <x v="1"/>
    <n v="2.4"/>
    <n v="926"/>
    <n v="5"/>
    <n v="4"/>
    <n v="1"/>
    <n v="0"/>
    <n v="14.48"/>
    <n v="0"/>
    <n v="1"/>
  </r>
  <r>
    <s v="SHP-504204"/>
    <d v="2025-08-08T00:00:00"/>
    <x v="1"/>
    <s v="Q3"/>
    <x v="7"/>
    <x v="3"/>
    <x v="1"/>
    <x v="0"/>
    <x v="0"/>
    <s v="Road"/>
    <x v="1"/>
    <n v="4.4000000000000004"/>
    <n v="857"/>
    <n v="4"/>
    <n v="3"/>
    <n v="1"/>
    <n v="0"/>
    <n v="22.21"/>
    <n v="0"/>
    <n v="1"/>
  </r>
  <r>
    <s v="SHP-504205"/>
    <d v="2025-08-08T00:00:00"/>
    <x v="1"/>
    <s v="Q3"/>
    <x v="7"/>
    <x v="4"/>
    <x v="0"/>
    <x v="2"/>
    <x v="1"/>
    <s v="Road"/>
    <x v="1"/>
    <n v="15.3"/>
    <n v="1002"/>
    <n v="7"/>
    <n v="7"/>
    <n v="1"/>
    <n v="0"/>
    <n v="19.149999999999999"/>
    <n v="1"/>
    <n v="1"/>
  </r>
  <r>
    <s v="SHP-504206"/>
    <d v="2025-08-09T00:00:00"/>
    <x v="1"/>
    <s v="Q3"/>
    <x v="7"/>
    <x v="4"/>
    <x v="2"/>
    <x v="1"/>
    <x v="0"/>
    <s v="Road"/>
    <x v="0"/>
    <n v="68.099999999999994"/>
    <n v="273"/>
    <n v="3"/>
    <n v="3"/>
    <n v="1"/>
    <n v="0"/>
    <n v="41.61"/>
    <n v="0"/>
    <n v="1"/>
  </r>
  <r>
    <s v="SHP-504207"/>
    <d v="2025-08-09T00:00:00"/>
    <x v="1"/>
    <s v="Q3"/>
    <x v="7"/>
    <x v="4"/>
    <x v="1"/>
    <x v="1"/>
    <x v="2"/>
    <s v="Road"/>
    <x v="0"/>
    <n v="54.3"/>
    <n v="278"/>
    <n v="1"/>
    <n v="1"/>
    <n v="1"/>
    <n v="0"/>
    <n v="68.08"/>
    <n v="0"/>
    <n v="1"/>
  </r>
  <r>
    <s v="SHP-504208"/>
    <d v="2025-08-09T00:00:00"/>
    <x v="1"/>
    <s v="Q3"/>
    <x v="7"/>
    <x v="3"/>
    <x v="2"/>
    <x v="3"/>
    <x v="1"/>
    <s v="Road"/>
    <x v="1"/>
    <n v="3"/>
    <n v="616"/>
    <n v="6"/>
    <n v="8"/>
    <n v="0"/>
    <n v="2"/>
    <n v="12.72"/>
    <n v="0"/>
    <n v="1"/>
  </r>
  <r>
    <s v="SHP-504209"/>
    <d v="2025-08-10T00:00:00"/>
    <x v="1"/>
    <s v="Q3"/>
    <x v="7"/>
    <x v="0"/>
    <x v="1"/>
    <x v="1"/>
    <x v="0"/>
    <s v="Road"/>
    <x v="0"/>
    <n v="230.5"/>
    <n v="265"/>
    <n v="3"/>
    <n v="2"/>
    <n v="1"/>
    <n v="0"/>
    <n v="106.55"/>
    <n v="0"/>
    <n v="1"/>
  </r>
  <r>
    <s v="SHP-504210"/>
    <d v="2025-08-10T00:00:00"/>
    <x v="1"/>
    <s v="Q3"/>
    <x v="7"/>
    <x v="1"/>
    <x v="1"/>
    <x v="2"/>
    <x v="2"/>
    <s v="Air"/>
    <x v="1"/>
    <n v="1.9"/>
    <n v="1259"/>
    <n v="3"/>
    <n v="7"/>
    <n v="0"/>
    <n v="4"/>
    <n v="74"/>
    <n v="0"/>
    <n v="1"/>
  </r>
  <r>
    <s v="SHP-504211"/>
    <d v="2025-08-10T00:00:00"/>
    <x v="1"/>
    <s v="Q3"/>
    <x v="7"/>
    <x v="0"/>
    <x v="2"/>
    <x v="2"/>
    <x v="0"/>
    <s v="Road"/>
    <x v="1"/>
    <n v="2.4"/>
    <n v="1291"/>
    <n v="5"/>
    <n v="4"/>
    <n v="1"/>
    <n v="0"/>
    <n v="22.25"/>
    <n v="0"/>
    <n v="1"/>
  </r>
  <r>
    <s v="SHP-504212"/>
    <d v="2025-08-10T00:00:00"/>
    <x v="1"/>
    <s v="Q3"/>
    <x v="7"/>
    <x v="4"/>
    <x v="1"/>
    <x v="3"/>
    <x v="0"/>
    <s v="Road"/>
    <x v="1"/>
    <n v="3.4"/>
    <n v="485"/>
    <n v="4"/>
    <n v="4"/>
    <n v="1"/>
    <n v="0"/>
    <n v="14.94"/>
    <n v="0"/>
    <n v="1"/>
  </r>
  <r>
    <s v="SHP-504213"/>
    <d v="2025-08-10T00:00:00"/>
    <x v="1"/>
    <s v="Q3"/>
    <x v="7"/>
    <x v="2"/>
    <x v="1"/>
    <x v="1"/>
    <x v="0"/>
    <s v="Road"/>
    <x v="1"/>
    <n v="1.7"/>
    <n v="265"/>
    <n v="3"/>
    <n v="5"/>
    <n v="0"/>
    <n v="2"/>
    <n v="10.33"/>
    <n v="1"/>
    <n v="1"/>
  </r>
  <r>
    <s v="SHP-504214"/>
    <d v="2025-08-11T00:00:00"/>
    <x v="1"/>
    <s v="Q3"/>
    <x v="7"/>
    <x v="2"/>
    <x v="1"/>
    <x v="0"/>
    <x v="2"/>
    <s v="Air"/>
    <x v="0"/>
    <n v="155.6"/>
    <n v="1003"/>
    <n v="2"/>
    <n v="2"/>
    <n v="1"/>
    <n v="0"/>
    <n v="224.24"/>
    <n v="0"/>
    <n v="1"/>
  </r>
  <r>
    <s v="SHP-504215"/>
    <d v="2025-08-11T00:00:00"/>
    <x v="1"/>
    <s v="Q3"/>
    <x v="7"/>
    <x v="2"/>
    <x v="0"/>
    <x v="0"/>
    <x v="2"/>
    <s v="Air"/>
    <x v="0"/>
    <n v="196.6"/>
    <n v="793"/>
    <n v="2"/>
    <n v="2"/>
    <n v="1"/>
    <n v="0"/>
    <n v="229.43"/>
    <n v="0"/>
    <n v="1"/>
  </r>
  <r>
    <s v="SHP-504216"/>
    <d v="2025-08-11T00:00:00"/>
    <x v="1"/>
    <s v="Q3"/>
    <x v="7"/>
    <x v="4"/>
    <x v="2"/>
    <x v="0"/>
    <x v="0"/>
    <s v="Road"/>
    <x v="1"/>
    <n v="4.4000000000000004"/>
    <n v="975"/>
    <n v="4"/>
    <n v="4"/>
    <n v="1"/>
    <n v="0"/>
    <n v="21.65"/>
    <n v="0"/>
    <n v="1"/>
  </r>
  <r>
    <s v="SHP-504217"/>
    <d v="2025-08-11T00:00:00"/>
    <x v="1"/>
    <s v="Q3"/>
    <x v="7"/>
    <x v="2"/>
    <x v="1"/>
    <x v="1"/>
    <x v="0"/>
    <s v="Road"/>
    <x v="1"/>
    <n v="9.6999999999999993"/>
    <n v="337"/>
    <n v="3"/>
    <n v="2"/>
    <n v="1"/>
    <n v="0"/>
    <n v="13.86"/>
    <n v="0"/>
    <n v="1"/>
  </r>
  <r>
    <s v="SHP-504218"/>
    <d v="2025-08-11T00:00:00"/>
    <x v="1"/>
    <s v="Q3"/>
    <x v="7"/>
    <x v="1"/>
    <x v="1"/>
    <x v="0"/>
    <x v="0"/>
    <s v="Road"/>
    <x v="1"/>
    <n v="17"/>
    <n v="784"/>
    <n v="4"/>
    <n v="3"/>
    <n v="1"/>
    <n v="0"/>
    <n v="27.79"/>
    <n v="0"/>
    <n v="1"/>
  </r>
  <r>
    <s v="SHP-504219"/>
    <d v="2025-08-11T00:00:00"/>
    <x v="1"/>
    <s v="Q3"/>
    <x v="7"/>
    <x v="3"/>
    <x v="0"/>
    <x v="4"/>
    <x v="0"/>
    <s v="Road"/>
    <x v="1"/>
    <n v="4.0999999999999996"/>
    <n v="1044"/>
    <n v="5"/>
    <n v="5"/>
    <n v="1"/>
    <n v="0"/>
    <n v="27.24"/>
    <n v="0"/>
    <n v="1"/>
  </r>
  <r>
    <s v="SHP-504220"/>
    <d v="2025-08-11T00:00:00"/>
    <x v="1"/>
    <s v="Q3"/>
    <x v="7"/>
    <x v="2"/>
    <x v="2"/>
    <x v="0"/>
    <x v="0"/>
    <s v="Road"/>
    <x v="0"/>
    <n v="40.4"/>
    <n v="1027"/>
    <n v="4"/>
    <n v="4"/>
    <n v="1"/>
    <n v="0"/>
    <n v="33.090000000000003"/>
    <n v="0"/>
    <n v="1"/>
  </r>
  <r>
    <s v="SHP-504221"/>
    <d v="2025-08-11T00:00:00"/>
    <x v="1"/>
    <s v="Q3"/>
    <x v="7"/>
    <x v="3"/>
    <x v="2"/>
    <x v="0"/>
    <x v="0"/>
    <s v="Road"/>
    <x v="1"/>
    <n v="5.4"/>
    <n v="1035"/>
    <n v="4"/>
    <n v="3"/>
    <n v="1"/>
    <n v="0"/>
    <n v="27.5"/>
    <n v="0"/>
    <n v="1"/>
  </r>
  <r>
    <s v="SHP-504222"/>
    <d v="2025-08-11T00:00:00"/>
    <x v="1"/>
    <s v="Q3"/>
    <x v="7"/>
    <x v="1"/>
    <x v="0"/>
    <x v="0"/>
    <x v="0"/>
    <s v="Road"/>
    <x v="0"/>
    <n v="54.2"/>
    <n v="893"/>
    <n v="4"/>
    <n v="4"/>
    <n v="1"/>
    <n v="0"/>
    <n v="47.87"/>
    <n v="0"/>
    <n v="1"/>
  </r>
  <r>
    <s v="SHP-504223"/>
    <d v="2025-08-11T00:00:00"/>
    <x v="1"/>
    <s v="Q3"/>
    <x v="7"/>
    <x v="1"/>
    <x v="0"/>
    <x v="3"/>
    <x v="0"/>
    <s v="Road"/>
    <x v="1"/>
    <n v="9"/>
    <n v="461"/>
    <n v="4"/>
    <n v="3"/>
    <n v="1"/>
    <n v="0"/>
    <n v="18.420000000000002"/>
    <n v="0"/>
    <n v="1"/>
  </r>
  <r>
    <s v="SHP-504224"/>
    <d v="2025-08-11T00:00:00"/>
    <x v="1"/>
    <s v="Q3"/>
    <x v="7"/>
    <x v="2"/>
    <x v="2"/>
    <x v="2"/>
    <x v="0"/>
    <s v="Road"/>
    <x v="0"/>
    <n v="185"/>
    <n v="1284"/>
    <n v="5"/>
    <n v="6"/>
    <n v="0"/>
    <n v="1"/>
    <n v="92.68"/>
    <n v="0"/>
    <n v="1"/>
  </r>
  <r>
    <s v="SHP-504225"/>
    <d v="2025-08-12T00:00:00"/>
    <x v="1"/>
    <s v="Q3"/>
    <x v="7"/>
    <x v="4"/>
    <x v="2"/>
    <x v="3"/>
    <x v="2"/>
    <s v="Road"/>
    <x v="1"/>
    <n v="5.6"/>
    <n v="469"/>
    <n v="2"/>
    <n v="2"/>
    <n v="1"/>
    <n v="0"/>
    <n v="27.18"/>
    <n v="0"/>
    <n v="1"/>
  </r>
  <r>
    <s v="SHP-504226"/>
    <d v="2025-08-12T00:00:00"/>
    <x v="1"/>
    <s v="Q3"/>
    <x v="7"/>
    <x v="1"/>
    <x v="1"/>
    <x v="3"/>
    <x v="0"/>
    <s v="Road"/>
    <x v="0"/>
    <n v="107.3"/>
    <n v="442"/>
    <n v="4"/>
    <n v="4"/>
    <n v="1"/>
    <n v="0"/>
    <n v="64.38"/>
    <n v="0"/>
    <n v="1"/>
  </r>
  <r>
    <s v="SHP-504227"/>
    <d v="2025-08-12T00:00:00"/>
    <x v="1"/>
    <s v="Q3"/>
    <x v="7"/>
    <x v="3"/>
    <x v="2"/>
    <x v="3"/>
    <x v="1"/>
    <s v="Road"/>
    <x v="1"/>
    <n v="2"/>
    <n v="463"/>
    <n v="6"/>
    <n v="6"/>
    <n v="1"/>
    <n v="0"/>
    <n v="12.15"/>
    <n v="0"/>
    <n v="1"/>
  </r>
  <r>
    <s v="SHP-504228"/>
    <d v="2025-08-12T00:00:00"/>
    <x v="1"/>
    <s v="Q3"/>
    <x v="7"/>
    <x v="0"/>
    <x v="0"/>
    <x v="2"/>
    <x v="0"/>
    <s v="Road"/>
    <x v="1"/>
    <n v="5.6"/>
    <n v="1185"/>
    <n v="5"/>
    <n v="5"/>
    <n v="1"/>
    <n v="0"/>
    <n v="21.98"/>
    <n v="0"/>
    <n v="1"/>
  </r>
  <r>
    <s v="SHP-504229"/>
    <d v="2025-08-13T00:00:00"/>
    <x v="1"/>
    <s v="Q3"/>
    <x v="7"/>
    <x v="4"/>
    <x v="1"/>
    <x v="0"/>
    <x v="0"/>
    <s v="Road"/>
    <x v="1"/>
    <n v="15.8"/>
    <n v="1080"/>
    <n v="4"/>
    <n v="4"/>
    <n v="1"/>
    <n v="0"/>
    <n v="29.5"/>
    <n v="0"/>
    <n v="1"/>
  </r>
  <r>
    <s v="SHP-504230"/>
    <d v="2025-08-13T00:00:00"/>
    <x v="1"/>
    <s v="Q3"/>
    <x v="7"/>
    <x v="3"/>
    <x v="0"/>
    <x v="2"/>
    <x v="2"/>
    <s v="Air"/>
    <x v="1"/>
    <n v="9.6999999999999993"/>
    <n v="1486"/>
    <n v="3"/>
    <n v="3"/>
    <n v="1"/>
    <n v="0"/>
    <n v="101.34"/>
    <n v="0"/>
    <n v="1"/>
  </r>
  <r>
    <s v="SHP-504231"/>
    <d v="2025-08-13T00:00:00"/>
    <x v="1"/>
    <s v="Q3"/>
    <x v="7"/>
    <x v="3"/>
    <x v="1"/>
    <x v="2"/>
    <x v="0"/>
    <s v="Road"/>
    <x v="0"/>
    <n v="26.7"/>
    <n v="1116"/>
    <n v="5"/>
    <n v="7"/>
    <n v="0"/>
    <n v="2"/>
    <n v="39.020000000000003"/>
    <n v="0"/>
    <n v="1"/>
  </r>
  <r>
    <s v="SHP-504232"/>
    <d v="2025-08-13T00:00:00"/>
    <x v="1"/>
    <s v="Q3"/>
    <x v="7"/>
    <x v="1"/>
    <x v="2"/>
    <x v="3"/>
    <x v="1"/>
    <s v="Road"/>
    <x v="0"/>
    <n v="64.599999999999994"/>
    <n v="408"/>
    <n v="6"/>
    <n v="6"/>
    <n v="1"/>
    <n v="0"/>
    <n v="32.14"/>
    <n v="0"/>
    <n v="1"/>
  </r>
  <r>
    <s v="SHP-504233"/>
    <d v="2025-08-13T00:00:00"/>
    <x v="1"/>
    <s v="Q3"/>
    <x v="7"/>
    <x v="2"/>
    <x v="1"/>
    <x v="1"/>
    <x v="1"/>
    <s v="Road"/>
    <x v="0"/>
    <n v="187.6"/>
    <n v="229"/>
    <n v="5"/>
    <n v="5"/>
    <n v="1"/>
    <n v="0"/>
    <n v="55.73"/>
    <n v="0"/>
    <n v="1"/>
  </r>
  <r>
    <s v="SHP-504234"/>
    <d v="2025-08-13T00:00:00"/>
    <x v="1"/>
    <s v="Q3"/>
    <x v="7"/>
    <x v="2"/>
    <x v="2"/>
    <x v="3"/>
    <x v="1"/>
    <s v="Road"/>
    <x v="0"/>
    <n v="141.9"/>
    <n v="571"/>
    <n v="6"/>
    <n v="6"/>
    <n v="1"/>
    <n v="0"/>
    <n v="44.33"/>
    <n v="0"/>
    <n v="1"/>
  </r>
  <r>
    <s v="SHP-504235"/>
    <d v="2025-08-13T00:00:00"/>
    <x v="1"/>
    <s v="Q3"/>
    <x v="7"/>
    <x v="3"/>
    <x v="2"/>
    <x v="1"/>
    <x v="1"/>
    <s v="Road"/>
    <x v="1"/>
    <n v="1.4"/>
    <n v="247"/>
    <n v="5"/>
    <n v="4"/>
    <n v="1"/>
    <n v="0"/>
    <n v="8.32"/>
    <n v="0"/>
    <n v="1"/>
  </r>
  <r>
    <s v="SHP-504236"/>
    <d v="2025-08-13T00:00:00"/>
    <x v="1"/>
    <s v="Q3"/>
    <x v="7"/>
    <x v="3"/>
    <x v="0"/>
    <x v="3"/>
    <x v="2"/>
    <s v="Road"/>
    <x v="1"/>
    <n v="7.7"/>
    <n v="453"/>
    <n v="2"/>
    <n v="1"/>
    <n v="1"/>
    <n v="0"/>
    <n v="31.05"/>
    <n v="0"/>
    <n v="1"/>
  </r>
  <r>
    <s v="SHP-504237"/>
    <d v="2025-08-14T00:00:00"/>
    <x v="1"/>
    <s v="Q3"/>
    <x v="7"/>
    <x v="1"/>
    <x v="1"/>
    <x v="0"/>
    <x v="1"/>
    <s v="Road"/>
    <x v="0"/>
    <n v="79.5"/>
    <n v="646"/>
    <n v="6"/>
    <n v="6"/>
    <n v="1"/>
    <n v="0"/>
    <n v="41.73"/>
    <n v="0"/>
    <n v="1"/>
  </r>
  <r>
    <s v="SHP-504238"/>
    <d v="2025-08-14T00:00:00"/>
    <x v="1"/>
    <s v="Q3"/>
    <x v="7"/>
    <x v="4"/>
    <x v="1"/>
    <x v="4"/>
    <x v="1"/>
    <s v="Road"/>
    <x v="1"/>
    <n v="3.3"/>
    <n v="901"/>
    <n v="7"/>
    <n v="7"/>
    <n v="1"/>
    <n v="0"/>
    <n v="13.49"/>
    <n v="0"/>
    <n v="1"/>
  </r>
  <r>
    <s v="SHP-504239"/>
    <d v="2025-08-14T00:00:00"/>
    <x v="1"/>
    <s v="Q3"/>
    <x v="7"/>
    <x v="4"/>
    <x v="0"/>
    <x v="2"/>
    <x v="2"/>
    <s v="Air"/>
    <x v="1"/>
    <n v="8.3000000000000007"/>
    <n v="802"/>
    <n v="3"/>
    <n v="5"/>
    <n v="0"/>
    <n v="2"/>
    <n v="65.099999999999994"/>
    <n v="0"/>
    <n v="1"/>
  </r>
  <r>
    <s v="SHP-504240"/>
    <d v="2025-08-14T00:00:00"/>
    <x v="1"/>
    <s v="Q3"/>
    <x v="7"/>
    <x v="3"/>
    <x v="2"/>
    <x v="4"/>
    <x v="1"/>
    <s v="Road"/>
    <x v="0"/>
    <n v="114.1"/>
    <n v="1065"/>
    <n v="7"/>
    <n v="7"/>
    <n v="1"/>
    <n v="0"/>
    <n v="50.44"/>
    <n v="0"/>
    <n v="1"/>
  </r>
  <r>
    <s v="SHP-504241"/>
    <d v="2025-08-14T00:00:00"/>
    <x v="1"/>
    <s v="Q3"/>
    <x v="7"/>
    <x v="3"/>
    <x v="2"/>
    <x v="0"/>
    <x v="0"/>
    <s v="Road"/>
    <x v="1"/>
    <n v="7.7"/>
    <n v="870"/>
    <n v="4"/>
    <n v="4"/>
    <n v="1"/>
    <n v="0"/>
    <n v="22.16"/>
    <n v="0"/>
    <n v="1"/>
  </r>
  <r>
    <s v="SHP-504242"/>
    <d v="2025-08-14T00:00:00"/>
    <x v="1"/>
    <s v="Q3"/>
    <x v="7"/>
    <x v="2"/>
    <x v="2"/>
    <x v="4"/>
    <x v="0"/>
    <s v="Road"/>
    <x v="0"/>
    <n v="117.7"/>
    <n v="934"/>
    <n v="5"/>
    <n v="5"/>
    <n v="1"/>
    <n v="0"/>
    <n v="57.38"/>
    <n v="0"/>
    <n v="1"/>
  </r>
  <r>
    <s v="SHP-504243"/>
    <d v="2025-08-14T00:00:00"/>
    <x v="1"/>
    <s v="Q3"/>
    <x v="7"/>
    <x v="2"/>
    <x v="0"/>
    <x v="3"/>
    <x v="1"/>
    <s v="Road"/>
    <x v="0"/>
    <n v="138.4"/>
    <n v="538"/>
    <n v="6"/>
    <n v="5"/>
    <n v="1"/>
    <n v="0"/>
    <n v="46.36"/>
    <n v="0"/>
    <n v="1"/>
  </r>
  <r>
    <s v="SHP-504244"/>
    <d v="2025-08-15T00:00:00"/>
    <x v="1"/>
    <s v="Q3"/>
    <x v="7"/>
    <x v="0"/>
    <x v="2"/>
    <x v="0"/>
    <x v="0"/>
    <s v="Road"/>
    <x v="0"/>
    <n v="46.8"/>
    <n v="856"/>
    <n v="4"/>
    <n v="4"/>
    <n v="1"/>
    <n v="0"/>
    <n v="39.090000000000003"/>
    <n v="0"/>
    <n v="1"/>
  </r>
  <r>
    <s v="SHP-504245"/>
    <d v="2025-08-15T00:00:00"/>
    <x v="1"/>
    <s v="Q3"/>
    <x v="7"/>
    <x v="3"/>
    <x v="1"/>
    <x v="0"/>
    <x v="0"/>
    <s v="Road"/>
    <x v="1"/>
    <n v="4.2"/>
    <n v="729"/>
    <n v="4"/>
    <n v="4"/>
    <n v="1"/>
    <n v="0"/>
    <n v="19.73"/>
    <n v="0"/>
    <n v="1"/>
  </r>
  <r>
    <s v="SHP-504246"/>
    <d v="2025-08-15T00:00:00"/>
    <x v="1"/>
    <s v="Q3"/>
    <x v="7"/>
    <x v="3"/>
    <x v="0"/>
    <x v="0"/>
    <x v="2"/>
    <s v="Air"/>
    <x v="0"/>
    <n v="82.5"/>
    <n v="741"/>
    <n v="2"/>
    <n v="2"/>
    <n v="1"/>
    <n v="0"/>
    <n v="190.61"/>
    <n v="0"/>
    <n v="1"/>
  </r>
  <r>
    <s v="SHP-504247"/>
    <d v="2025-08-15T00:00:00"/>
    <x v="1"/>
    <s v="Q3"/>
    <x v="7"/>
    <x v="0"/>
    <x v="2"/>
    <x v="1"/>
    <x v="0"/>
    <s v="Road"/>
    <x v="0"/>
    <n v="127.1"/>
    <n v="259"/>
    <n v="3"/>
    <n v="3"/>
    <n v="1"/>
    <n v="0"/>
    <n v="55.65"/>
    <n v="0"/>
    <n v="1"/>
  </r>
  <r>
    <s v="SHP-504248"/>
    <d v="2025-08-15T00:00:00"/>
    <x v="1"/>
    <s v="Q3"/>
    <x v="7"/>
    <x v="2"/>
    <x v="1"/>
    <x v="2"/>
    <x v="2"/>
    <s v="Air"/>
    <x v="0"/>
    <n v="71.5"/>
    <n v="1083"/>
    <n v="3"/>
    <n v="3"/>
    <n v="1"/>
    <n v="0"/>
    <n v="153.32"/>
    <n v="0"/>
    <n v="1"/>
  </r>
  <r>
    <s v="SHP-504249"/>
    <d v="2025-08-15T00:00:00"/>
    <x v="1"/>
    <s v="Q3"/>
    <x v="7"/>
    <x v="1"/>
    <x v="2"/>
    <x v="4"/>
    <x v="2"/>
    <s v="Air"/>
    <x v="0"/>
    <n v="75.8"/>
    <n v="962"/>
    <n v="3"/>
    <n v="2"/>
    <n v="1"/>
    <n v="0"/>
    <n v="178.57"/>
    <n v="0"/>
    <n v="1"/>
  </r>
  <r>
    <s v="SHP-504250"/>
    <d v="2025-08-15T00:00:00"/>
    <x v="1"/>
    <s v="Q3"/>
    <x v="7"/>
    <x v="2"/>
    <x v="1"/>
    <x v="3"/>
    <x v="1"/>
    <s v="Road"/>
    <x v="1"/>
    <n v="3"/>
    <n v="428"/>
    <n v="6"/>
    <n v="6"/>
    <n v="1"/>
    <n v="0"/>
    <n v="8.24"/>
    <n v="0"/>
    <n v="1"/>
  </r>
  <r>
    <s v="SHP-504251"/>
    <d v="2025-08-15T00:00:00"/>
    <x v="1"/>
    <s v="Q3"/>
    <x v="7"/>
    <x v="2"/>
    <x v="0"/>
    <x v="3"/>
    <x v="0"/>
    <s v="Road"/>
    <x v="1"/>
    <n v="11.3"/>
    <n v="425"/>
    <n v="4"/>
    <n v="4"/>
    <n v="1"/>
    <n v="0"/>
    <n v="14.28"/>
    <n v="0"/>
    <n v="1"/>
  </r>
  <r>
    <s v="SHP-504252"/>
    <d v="2025-08-15T00:00:00"/>
    <x v="1"/>
    <s v="Q3"/>
    <x v="7"/>
    <x v="0"/>
    <x v="2"/>
    <x v="3"/>
    <x v="1"/>
    <s v="Road"/>
    <x v="0"/>
    <n v="40.1"/>
    <n v="377"/>
    <n v="6"/>
    <n v="5"/>
    <n v="1"/>
    <n v="0"/>
    <n v="21.93"/>
    <n v="0"/>
    <n v="1"/>
  </r>
  <r>
    <s v="SHP-504253"/>
    <d v="2025-08-15T00:00:00"/>
    <x v="1"/>
    <s v="Q3"/>
    <x v="7"/>
    <x v="3"/>
    <x v="2"/>
    <x v="3"/>
    <x v="2"/>
    <s v="Road"/>
    <x v="1"/>
    <n v="5.7"/>
    <n v="589"/>
    <n v="2"/>
    <n v="2"/>
    <n v="1"/>
    <n v="0"/>
    <n v="35.67"/>
    <n v="0"/>
    <n v="1"/>
  </r>
  <r>
    <s v="SHP-504254"/>
    <d v="2025-08-15T00:00:00"/>
    <x v="1"/>
    <s v="Q3"/>
    <x v="7"/>
    <x v="4"/>
    <x v="2"/>
    <x v="1"/>
    <x v="0"/>
    <s v="Road"/>
    <x v="0"/>
    <n v="32.6"/>
    <n v="308"/>
    <n v="3"/>
    <n v="3"/>
    <n v="1"/>
    <n v="0"/>
    <n v="27.28"/>
    <n v="0"/>
    <n v="1"/>
  </r>
  <r>
    <s v="SHP-504255"/>
    <d v="2025-08-16T00:00:00"/>
    <x v="1"/>
    <s v="Q3"/>
    <x v="7"/>
    <x v="3"/>
    <x v="1"/>
    <x v="1"/>
    <x v="0"/>
    <s v="Road"/>
    <x v="1"/>
    <n v="4.8"/>
    <n v="179"/>
    <n v="3"/>
    <n v="3"/>
    <n v="1"/>
    <n v="0"/>
    <n v="11.92"/>
    <n v="0"/>
    <n v="1"/>
  </r>
  <r>
    <s v="SHP-504256"/>
    <d v="2025-08-16T00:00:00"/>
    <x v="1"/>
    <s v="Q3"/>
    <x v="7"/>
    <x v="3"/>
    <x v="2"/>
    <x v="3"/>
    <x v="0"/>
    <s v="Road"/>
    <x v="1"/>
    <n v="3.1"/>
    <n v="496"/>
    <n v="4"/>
    <n v="4"/>
    <n v="1"/>
    <n v="0"/>
    <n v="16.14"/>
    <n v="0"/>
    <n v="1"/>
  </r>
  <r>
    <s v="SHP-504257"/>
    <d v="2025-08-16T00:00:00"/>
    <x v="1"/>
    <s v="Q3"/>
    <x v="7"/>
    <x v="4"/>
    <x v="2"/>
    <x v="2"/>
    <x v="0"/>
    <s v="Road"/>
    <x v="0"/>
    <n v="117.7"/>
    <n v="1038"/>
    <n v="5"/>
    <n v="5"/>
    <n v="1"/>
    <n v="0"/>
    <n v="68.739999999999995"/>
    <n v="0"/>
    <n v="1"/>
  </r>
  <r>
    <s v="SHP-504258"/>
    <d v="2025-08-16T00:00:00"/>
    <x v="1"/>
    <s v="Q3"/>
    <x v="7"/>
    <x v="0"/>
    <x v="2"/>
    <x v="2"/>
    <x v="2"/>
    <s v="Air"/>
    <x v="0"/>
    <n v="55.7"/>
    <n v="1237"/>
    <n v="3"/>
    <n v="3"/>
    <n v="1"/>
    <n v="0"/>
    <n v="128.46"/>
    <n v="0"/>
    <n v="1"/>
  </r>
  <r>
    <s v="SHP-504259"/>
    <d v="2025-08-16T00:00:00"/>
    <x v="1"/>
    <s v="Q3"/>
    <x v="7"/>
    <x v="2"/>
    <x v="1"/>
    <x v="0"/>
    <x v="2"/>
    <s v="Air"/>
    <x v="1"/>
    <n v="3"/>
    <n v="834"/>
    <n v="2"/>
    <n v="1"/>
    <n v="1"/>
    <n v="0"/>
    <n v="49.37"/>
    <n v="0"/>
    <n v="1"/>
  </r>
  <r>
    <s v="SHP-504260"/>
    <d v="2025-08-16T00:00:00"/>
    <x v="1"/>
    <s v="Q3"/>
    <x v="7"/>
    <x v="2"/>
    <x v="1"/>
    <x v="1"/>
    <x v="2"/>
    <s v="Road"/>
    <x v="1"/>
    <n v="4.8"/>
    <n v="239"/>
    <n v="1"/>
    <n v="1"/>
    <n v="1"/>
    <n v="0"/>
    <n v="17.739999999999998"/>
    <n v="0"/>
    <n v="1"/>
  </r>
  <r>
    <s v="SHP-504261"/>
    <d v="2025-08-16T00:00:00"/>
    <x v="1"/>
    <s v="Q3"/>
    <x v="7"/>
    <x v="1"/>
    <x v="0"/>
    <x v="0"/>
    <x v="0"/>
    <s v="Road"/>
    <x v="0"/>
    <n v="57"/>
    <n v="796"/>
    <n v="4"/>
    <n v="3"/>
    <n v="1"/>
    <n v="0"/>
    <n v="42.92"/>
    <n v="0"/>
    <n v="1"/>
  </r>
  <r>
    <s v="SHP-504262"/>
    <d v="2025-08-16T00:00:00"/>
    <x v="1"/>
    <s v="Q3"/>
    <x v="7"/>
    <x v="3"/>
    <x v="2"/>
    <x v="4"/>
    <x v="2"/>
    <s v="Air"/>
    <x v="1"/>
    <n v="4.8"/>
    <n v="1032"/>
    <n v="3"/>
    <n v="3"/>
    <n v="1"/>
    <n v="0"/>
    <n v="71.31"/>
    <n v="0"/>
    <n v="1"/>
  </r>
  <r>
    <s v="SHP-504263"/>
    <d v="2025-08-16T00:00:00"/>
    <x v="1"/>
    <s v="Q3"/>
    <x v="7"/>
    <x v="1"/>
    <x v="1"/>
    <x v="4"/>
    <x v="1"/>
    <s v="Road"/>
    <x v="0"/>
    <n v="217.1"/>
    <n v="1351"/>
    <n v="7"/>
    <n v="7"/>
    <n v="1"/>
    <n v="0"/>
    <n v="86.37"/>
    <n v="0"/>
    <n v="1"/>
  </r>
  <r>
    <s v="SHP-504264"/>
    <d v="2025-08-17T00:00:00"/>
    <x v="1"/>
    <s v="Q3"/>
    <x v="7"/>
    <x v="3"/>
    <x v="2"/>
    <x v="0"/>
    <x v="0"/>
    <s v="Road"/>
    <x v="1"/>
    <n v="16.3"/>
    <n v="942"/>
    <n v="4"/>
    <n v="4"/>
    <n v="1"/>
    <n v="0"/>
    <n v="28.32"/>
    <n v="0"/>
    <n v="1"/>
  </r>
  <r>
    <s v="SHP-504265"/>
    <d v="2025-08-17T00:00:00"/>
    <x v="1"/>
    <s v="Q3"/>
    <x v="7"/>
    <x v="3"/>
    <x v="2"/>
    <x v="0"/>
    <x v="0"/>
    <s v="Road"/>
    <x v="1"/>
    <n v="4.7"/>
    <n v="785"/>
    <n v="4"/>
    <n v="4"/>
    <n v="1"/>
    <n v="0"/>
    <n v="23.71"/>
    <n v="0"/>
    <n v="1"/>
  </r>
  <r>
    <s v="SHP-504266"/>
    <d v="2025-08-17T00:00:00"/>
    <x v="1"/>
    <s v="Q3"/>
    <x v="7"/>
    <x v="0"/>
    <x v="2"/>
    <x v="1"/>
    <x v="0"/>
    <s v="Road"/>
    <x v="1"/>
    <n v="11.7"/>
    <n v="252"/>
    <n v="3"/>
    <n v="2"/>
    <n v="1"/>
    <n v="0"/>
    <n v="14.02"/>
    <n v="0"/>
    <n v="1"/>
  </r>
  <r>
    <s v="SHP-504267"/>
    <d v="2025-08-17T00:00:00"/>
    <x v="1"/>
    <s v="Q3"/>
    <x v="7"/>
    <x v="4"/>
    <x v="2"/>
    <x v="4"/>
    <x v="2"/>
    <s v="Air"/>
    <x v="0"/>
    <n v="127.3"/>
    <n v="1056"/>
    <n v="3"/>
    <n v="2"/>
    <n v="1"/>
    <n v="0"/>
    <n v="260.60000000000002"/>
    <n v="0"/>
    <n v="1"/>
  </r>
  <r>
    <s v="SHP-504268"/>
    <d v="2025-08-18T00:00:00"/>
    <x v="1"/>
    <s v="Q3"/>
    <x v="7"/>
    <x v="1"/>
    <x v="1"/>
    <x v="2"/>
    <x v="1"/>
    <s v="Road"/>
    <x v="1"/>
    <n v="1.2"/>
    <n v="1355"/>
    <n v="7"/>
    <n v="6"/>
    <n v="1"/>
    <n v="0"/>
    <n v="19"/>
    <n v="0"/>
    <n v="1"/>
  </r>
  <r>
    <s v="SHP-504269"/>
    <d v="2025-08-18T00:00:00"/>
    <x v="1"/>
    <s v="Q3"/>
    <x v="7"/>
    <x v="1"/>
    <x v="1"/>
    <x v="1"/>
    <x v="0"/>
    <s v="Road"/>
    <x v="0"/>
    <n v="52.4"/>
    <n v="286"/>
    <n v="3"/>
    <n v="2"/>
    <n v="1"/>
    <n v="0"/>
    <n v="32.74"/>
    <n v="0"/>
    <n v="1"/>
  </r>
  <r>
    <s v="SHP-504270"/>
    <d v="2025-08-18T00:00:00"/>
    <x v="1"/>
    <s v="Q3"/>
    <x v="7"/>
    <x v="0"/>
    <x v="2"/>
    <x v="0"/>
    <x v="0"/>
    <s v="Road"/>
    <x v="0"/>
    <n v="135"/>
    <n v="858"/>
    <n v="4"/>
    <n v="4"/>
    <n v="1"/>
    <n v="0"/>
    <n v="73.430000000000007"/>
    <n v="0"/>
    <n v="1"/>
  </r>
  <r>
    <s v="SHP-504271"/>
    <d v="2025-08-18T00:00:00"/>
    <x v="1"/>
    <s v="Q3"/>
    <x v="7"/>
    <x v="4"/>
    <x v="2"/>
    <x v="1"/>
    <x v="2"/>
    <s v="Road"/>
    <x v="1"/>
    <n v="3.7"/>
    <n v="192"/>
    <n v="1"/>
    <n v="1"/>
    <n v="1"/>
    <n v="0"/>
    <n v="21.68"/>
    <n v="0"/>
    <n v="1"/>
  </r>
  <r>
    <s v="SHP-504272"/>
    <d v="2025-08-18T00:00:00"/>
    <x v="1"/>
    <s v="Q3"/>
    <x v="7"/>
    <x v="3"/>
    <x v="2"/>
    <x v="1"/>
    <x v="0"/>
    <s v="Road"/>
    <x v="0"/>
    <n v="70.099999999999994"/>
    <n v="228"/>
    <n v="3"/>
    <n v="3"/>
    <n v="1"/>
    <n v="0"/>
    <n v="53.09"/>
    <n v="0"/>
    <n v="1"/>
  </r>
  <r>
    <s v="SHP-504273"/>
    <d v="2025-08-18T00:00:00"/>
    <x v="1"/>
    <s v="Q3"/>
    <x v="7"/>
    <x v="3"/>
    <x v="2"/>
    <x v="3"/>
    <x v="0"/>
    <s v="Road"/>
    <x v="1"/>
    <n v="4.2"/>
    <n v="577"/>
    <n v="4"/>
    <n v="4"/>
    <n v="1"/>
    <n v="0"/>
    <n v="18.489999999999998"/>
    <n v="0"/>
    <n v="1"/>
  </r>
  <r>
    <s v="SHP-504274"/>
    <d v="2025-08-18T00:00:00"/>
    <x v="1"/>
    <s v="Q3"/>
    <x v="7"/>
    <x v="2"/>
    <x v="1"/>
    <x v="1"/>
    <x v="1"/>
    <s v="Road"/>
    <x v="0"/>
    <n v="94.3"/>
    <n v="239"/>
    <n v="5"/>
    <n v="4"/>
    <n v="1"/>
    <n v="0"/>
    <n v="31.62"/>
    <n v="1"/>
    <n v="1"/>
  </r>
  <r>
    <s v="SHP-504275"/>
    <d v="2025-08-18T00:00:00"/>
    <x v="1"/>
    <s v="Q3"/>
    <x v="7"/>
    <x v="2"/>
    <x v="2"/>
    <x v="0"/>
    <x v="1"/>
    <s v="Road"/>
    <x v="1"/>
    <n v="5.9"/>
    <n v="1056"/>
    <n v="6"/>
    <n v="6"/>
    <n v="1"/>
    <n v="0"/>
    <n v="14.08"/>
    <n v="0"/>
    <n v="1"/>
  </r>
  <r>
    <s v="SHP-504276"/>
    <d v="2025-08-18T00:00:00"/>
    <x v="1"/>
    <s v="Q3"/>
    <x v="7"/>
    <x v="0"/>
    <x v="2"/>
    <x v="3"/>
    <x v="0"/>
    <s v="Road"/>
    <x v="0"/>
    <n v="13.3"/>
    <n v="445"/>
    <n v="4"/>
    <n v="3"/>
    <n v="1"/>
    <n v="0"/>
    <n v="18"/>
    <n v="0"/>
    <n v="1"/>
  </r>
  <r>
    <s v="SHP-504277"/>
    <d v="2025-08-19T00:00:00"/>
    <x v="1"/>
    <s v="Q3"/>
    <x v="7"/>
    <x v="2"/>
    <x v="2"/>
    <x v="3"/>
    <x v="1"/>
    <s v="Road"/>
    <x v="0"/>
    <n v="205.1"/>
    <n v="418"/>
    <n v="6"/>
    <n v="6"/>
    <n v="1"/>
    <n v="0"/>
    <n v="53.49"/>
    <n v="0"/>
    <n v="1"/>
  </r>
  <r>
    <s v="SHP-504278"/>
    <d v="2025-08-19T00:00:00"/>
    <x v="1"/>
    <s v="Q3"/>
    <x v="7"/>
    <x v="3"/>
    <x v="2"/>
    <x v="3"/>
    <x v="1"/>
    <s v="Road"/>
    <x v="1"/>
    <n v="3.1"/>
    <n v="497"/>
    <n v="6"/>
    <n v="6"/>
    <n v="1"/>
    <n v="0"/>
    <n v="11.69"/>
    <n v="0"/>
    <n v="1"/>
  </r>
  <r>
    <s v="SHP-504279"/>
    <d v="2025-08-19T00:00:00"/>
    <x v="1"/>
    <s v="Q3"/>
    <x v="7"/>
    <x v="2"/>
    <x v="1"/>
    <x v="1"/>
    <x v="0"/>
    <s v="Road"/>
    <x v="1"/>
    <n v="12"/>
    <n v="220"/>
    <n v="3"/>
    <n v="4"/>
    <n v="0"/>
    <n v="1"/>
    <n v="14.52"/>
    <n v="0"/>
    <n v="1"/>
  </r>
  <r>
    <s v="SHP-504280"/>
    <d v="2025-08-19T00:00:00"/>
    <x v="1"/>
    <s v="Q3"/>
    <x v="7"/>
    <x v="3"/>
    <x v="2"/>
    <x v="3"/>
    <x v="1"/>
    <s v="Road"/>
    <x v="1"/>
    <n v="3.4"/>
    <n v="369"/>
    <n v="6"/>
    <n v="6"/>
    <n v="1"/>
    <n v="0"/>
    <n v="9.68"/>
    <n v="0"/>
    <n v="1"/>
  </r>
  <r>
    <s v="SHP-504281"/>
    <d v="2025-08-19T00:00:00"/>
    <x v="1"/>
    <s v="Q3"/>
    <x v="7"/>
    <x v="2"/>
    <x v="2"/>
    <x v="3"/>
    <x v="1"/>
    <s v="Road"/>
    <x v="0"/>
    <n v="60.1"/>
    <n v="467"/>
    <n v="6"/>
    <n v="6"/>
    <n v="1"/>
    <n v="0"/>
    <n v="25.21"/>
    <n v="0"/>
    <n v="1"/>
  </r>
  <r>
    <s v="SHP-504282"/>
    <d v="2025-08-19T00:00:00"/>
    <x v="1"/>
    <s v="Q3"/>
    <x v="7"/>
    <x v="1"/>
    <x v="2"/>
    <x v="0"/>
    <x v="1"/>
    <s v="Road"/>
    <x v="1"/>
    <n v="5.9"/>
    <n v="997"/>
    <n v="6"/>
    <n v="6"/>
    <n v="1"/>
    <n v="0"/>
    <n v="17.7"/>
    <n v="0"/>
    <n v="1"/>
  </r>
  <r>
    <s v="SHP-504283"/>
    <d v="2025-08-19T00:00:00"/>
    <x v="1"/>
    <s v="Q3"/>
    <x v="7"/>
    <x v="4"/>
    <x v="1"/>
    <x v="1"/>
    <x v="0"/>
    <s v="Road"/>
    <x v="1"/>
    <n v="5.0999999999999996"/>
    <n v="243"/>
    <n v="3"/>
    <n v="3"/>
    <n v="1"/>
    <n v="0"/>
    <n v="12.28"/>
    <n v="0"/>
    <n v="1"/>
  </r>
  <r>
    <s v="SHP-504284"/>
    <d v="2025-08-19T00:00:00"/>
    <x v="1"/>
    <s v="Q3"/>
    <x v="7"/>
    <x v="3"/>
    <x v="2"/>
    <x v="0"/>
    <x v="0"/>
    <s v="Road"/>
    <x v="0"/>
    <n v="81.5"/>
    <n v="826"/>
    <n v="4"/>
    <n v="4"/>
    <n v="1"/>
    <n v="0"/>
    <n v="60.97"/>
    <n v="0"/>
    <n v="1"/>
  </r>
  <r>
    <s v="SHP-504285"/>
    <d v="2025-08-19T00:00:00"/>
    <x v="1"/>
    <s v="Q3"/>
    <x v="7"/>
    <x v="4"/>
    <x v="1"/>
    <x v="1"/>
    <x v="1"/>
    <s v="Road"/>
    <x v="1"/>
    <n v="2.9"/>
    <n v="265"/>
    <n v="5"/>
    <n v="5"/>
    <n v="1"/>
    <n v="0"/>
    <n v="7.55"/>
    <n v="0"/>
    <n v="1"/>
  </r>
  <r>
    <s v="SHP-504286"/>
    <d v="2025-08-19T00:00:00"/>
    <x v="1"/>
    <s v="Q3"/>
    <x v="7"/>
    <x v="0"/>
    <x v="1"/>
    <x v="1"/>
    <x v="2"/>
    <s v="Road"/>
    <x v="1"/>
    <n v="10.1"/>
    <n v="219"/>
    <n v="1"/>
    <n v="1"/>
    <n v="1"/>
    <n v="0"/>
    <n v="27.67"/>
    <n v="0"/>
    <n v="1"/>
  </r>
  <r>
    <s v="SHP-504287"/>
    <d v="2025-08-19T00:00:00"/>
    <x v="1"/>
    <s v="Q3"/>
    <x v="7"/>
    <x v="1"/>
    <x v="2"/>
    <x v="1"/>
    <x v="1"/>
    <s v="Road"/>
    <x v="1"/>
    <n v="12.2"/>
    <n v="294"/>
    <n v="5"/>
    <n v="5"/>
    <n v="1"/>
    <n v="0"/>
    <n v="13.53"/>
    <n v="0"/>
    <n v="1"/>
  </r>
  <r>
    <s v="SHP-504288"/>
    <d v="2025-08-20T00:00:00"/>
    <x v="1"/>
    <s v="Q3"/>
    <x v="7"/>
    <x v="2"/>
    <x v="2"/>
    <x v="1"/>
    <x v="1"/>
    <s v="Road"/>
    <x v="0"/>
    <n v="139.19999999999999"/>
    <n v="247"/>
    <n v="5"/>
    <n v="5"/>
    <n v="1"/>
    <n v="0"/>
    <n v="42.36"/>
    <n v="0"/>
    <n v="1"/>
  </r>
  <r>
    <s v="SHP-504289"/>
    <d v="2025-08-20T00:00:00"/>
    <x v="1"/>
    <s v="Q3"/>
    <x v="7"/>
    <x v="2"/>
    <x v="2"/>
    <x v="4"/>
    <x v="1"/>
    <s v="Road"/>
    <x v="1"/>
    <n v="5.7"/>
    <n v="1148"/>
    <n v="7"/>
    <n v="8"/>
    <n v="0"/>
    <n v="1"/>
    <n v="15.56"/>
    <n v="0"/>
    <n v="1"/>
  </r>
  <r>
    <s v="SHP-504290"/>
    <d v="2025-08-20T00:00:00"/>
    <x v="1"/>
    <s v="Q3"/>
    <x v="7"/>
    <x v="3"/>
    <x v="2"/>
    <x v="0"/>
    <x v="0"/>
    <s v="Road"/>
    <x v="0"/>
    <n v="109"/>
    <n v="934"/>
    <n v="4"/>
    <n v="4"/>
    <n v="1"/>
    <n v="0"/>
    <n v="71.52"/>
    <n v="0"/>
    <n v="1"/>
  </r>
  <r>
    <s v="SHP-504291"/>
    <d v="2025-08-20T00:00:00"/>
    <x v="1"/>
    <s v="Q3"/>
    <x v="7"/>
    <x v="4"/>
    <x v="1"/>
    <x v="1"/>
    <x v="2"/>
    <s v="Road"/>
    <x v="1"/>
    <n v="1.3"/>
    <n v="281"/>
    <n v="1"/>
    <n v="1"/>
    <n v="1"/>
    <n v="0"/>
    <n v="19.25"/>
    <n v="0"/>
    <n v="1"/>
  </r>
  <r>
    <s v="SHP-504292"/>
    <d v="2025-08-20T00:00:00"/>
    <x v="1"/>
    <s v="Q3"/>
    <x v="7"/>
    <x v="3"/>
    <x v="1"/>
    <x v="0"/>
    <x v="1"/>
    <s v="Road"/>
    <x v="1"/>
    <n v="12.6"/>
    <n v="890"/>
    <n v="6"/>
    <n v="5"/>
    <n v="1"/>
    <n v="0"/>
    <n v="21.28"/>
    <n v="0"/>
    <n v="1"/>
  </r>
  <r>
    <s v="SHP-504293"/>
    <d v="2025-08-20T00:00:00"/>
    <x v="1"/>
    <s v="Q3"/>
    <x v="7"/>
    <x v="0"/>
    <x v="2"/>
    <x v="3"/>
    <x v="1"/>
    <s v="Road"/>
    <x v="0"/>
    <n v="228.3"/>
    <n v="562"/>
    <n v="6"/>
    <n v="6"/>
    <n v="1"/>
    <n v="0"/>
    <n v="75.25"/>
    <n v="0"/>
    <n v="1"/>
  </r>
  <r>
    <s v="SHP-504294"/>
    <d v="2025-08-20T00:00:00"/>
    <x v="1"/>
    <s v="Q3"/>
    <x v="7"/>
    <x v="4"/>
    <x v="2"/>
    <x v="2"/>
    <x v="0"/>
    <s v="Road"/>
    <x v="0"/>
    <n v="145.6"/>
    <n v="867"/>
    <n v="5"/>
    <n v="6"/>
    <n v="0"/>
    <n v="1"/>
    <n v="75.37"/>
    <n v="0"/>
    <n v="1"/>
  </r>
  <r>
    <s v="SHP-504295"/>
    <d v="2025-08-20T00:00:00"/>
    <x v="1"/>
    <s v="Q3"/>
    <x v="7"/>
    <x v="4"/>
    <x v="1"/>
    <x v="3"/>
    <x v="1"/>
    <s v="Road"/>
    <x v="1"/>
    <n v="3.6"/>
    <n v="467"/>
    <n v="6"/>
    <n v="5"/>
    <n v="1"/>
    <n v="0"/>
    <n v="10.35"/>
    <n v="0"/>
    <n v="1"/>
  </r>
  <r>
    <s v="SHP-504296"/>
    <d v="2025-08-20T00:00:00"/>
    <x v="1"/>
    <s v="Q3"/>
    <x v="7"/>
    <x v="1"/>
    <x v="0"/>
    <x v="0"/>
    <x v="0"/>
    <s v="Road"/>
    <x v="1"/>
    <n v="6.3"/>
    <n v="1037"/>
    <n v="4"/>
    <n v="3"/>
    <n v="1"/>
    <n v="0"/>
    <n v="23.37"/>
    <n v="0"/>
    <n v="1"/>
  </r>
  <r>
    <s v="SHP-504297"/>
    <d v="2025-08-20T00:00:00"/>
    <x v="1"/>
    <s v="Q3"/>
    <x v="7"/>
    <x v="1"/>
    <x v="1"/>
    <x v="2"/>
    <x v="2"/>
    <s v="Air"/>
    <x v="1"/>
    <n v="3.6"/>
    <n v="1391"/>
    <n v="3"/>
    <n v="3"/>
    <n v="1"/>
    <n v="0"/>
    <n v="86.2"/>
    <n v="0"/>
    <n v="1"/>
  </r>
  <r>
    <s v="SHP-504298"/>
    <d v="2025-08-20T00:00:00"/>
    <x v="1"/>
    <s v="Q3"/>
    <x v="7"/>
    <x v="0"/>
    <x v="1"/>
    <x v="3"/>
    <x v="0"/>
    <s v="Road"/>
    <x v="1"/>
    <n v="8.1"/>
    <n v="397"/>
    <n v="4"/>
    <n v="4"/>
    <n v="1"/>
    <n v="0"/>
    <n v="15.47"/>
    <n v="0"/>
    <n v="1"/>
  </r>
  <r>
    <s v="SHP-504299"/>
    <d v="2025-08-20T00:00:00"/>
    <x v="1"/>
    <s v="Q3"/>
    <x v="7"/>
    <x v="2"/>
    <x v="2"/>
    <x v="1"/>
    <x v="2"/>
    <s v="Road"/>
    <x v="1"/>
    <n v="4"/>
    <n v="338"/>
    <n v="1"/>
    <n v="1"/>
    <n v="1"/>
    <n v="0"/>
    <n v="21.3"/>
    <n v="0"/>
    <n v="1"/>
  </r>
  <r>
    <s v="SHP-504300"/>
    <d v="2025-08-21T00:00:00"/>
    <x v="1"/>
    <s v="Q3"/>
    <x v="7"/>
    <x v="4"/>
    <x v="1"/>
    <x v="2"/>
    <x v="0"/>
    <s v="Road"/>
    <x v="1"/>
    <n v="7.3"/>
    <n v="878"/>
    <n v="5"/>
    <n v="5"/>
    <n v="1"/>
    <n v="0"/>
    <n v="18.420000000000002"/>
    <n v="0"/>
    <n v="1"/>
  </r>
  <r>
    <s v="SHP-504301"/>
    <d v="2025-08-21T00:00:00"/>
    <x v="1"/>
    <s v="Q3"/>
    <x v="7"/>
    <x v="1"/>
    <x v="1"/>
    <x v="1"/>
    <x v="0"/>
    <s v="Road"/>
    <x v="1"/>
    <n v="1.6"/>
    <n v="258"/>
    <n v="3"/>
    <n v="2"/>
    <n v="1"/>
    <n v="0"/>
    <n v="10.07"/>
    <n v="0"/>
    <n v="1"/>
  </r>
  <r>
    <s v="SHP-504302"/>
    <d v="2025-08-21T00:00:00"/>
    <x v="1"/>
    <s v="Q3"/>
    <x v="7"/>
    <x v="3"/>
    <x v="1"/>
    <x v="1"/>
    <x v="0"/>
    <s v="Road"/>
    <x v="1"/>
    <n v="12.6"/>
    <n v="245"/>
    <n v="3"/>
    <n v="2"/>
    <n v="1"/>
    <n v="0"/>
    <n v="19.100000000000001"/>
    <n v="0"/>
    <n v="1"/>
  </r>
  <r>
    <s v="SHP-504303"/>
    <d v="2025-08-21T00:00:00"/>
    <x v="1"/>
    <s v="Q3"/>
    <x v="7"/>
    <x v="3"/>
    <x v="2"/>
    <x v="0"/>
    <x v="1"/>
    <s v="Road"/>
    <x v="1"/>
    <n v="2.1"/>
    <n v="841"/>
    <n v="6"/>
    <n v="6"/>
    <n v="1"/>
    <n v="0"/>
    <n v="14.24"/>
    <n v="0"/>
    <n v="1"/>
  </r>
  <r>
    <s v="SHP-504304"/>
    <d v="2025-08-21T00:00:00"/>
    <x v="1"/>
    <s v="Q3"/>
    <x v="7"/>
    <x v="0"/>
    <x v="1"/>
    <x v="1"/>
    <x v="0"/>
    <s v="Road"/>
    <x v="1"/>
    <n v="1.8"/>
    <n v="284"/>
    <n v="3"/>
    <n v="3"/>
    <n v="1"/>
    <n v="0"/>
    <n v="9.99"/>
    <n v="0"/>
    <n v="1"/>
  </r>
  <r>
    <s v="SHP-504305"/>
    <d v="2025-08-21T00:00:00"/>
    <x v="1"/>
    <s v="Q3"/>
    <x v="7"/>
    <x v="2"/>
    <x v="2"/>
    <x v="2"/>
    <x v="0"/>
    <s v="Road"/>
    <x v="0"/>
    <n v="18.7"/>
    <n v="976"/>
    <n v="5"/>
    <n v="4"/>
    <n v="1"/>
    <n v="0"/>
    <n v="25"/>
    <n v="0"/>
    <n v="1"/>
  </r>
  <r>
    <s v="SHP-504306"/>
    <d v="2025-08-21T00:00:00"/>
    <x v="1"/>
    <s v="Q3"/>
    <x v="7"/>
    <x v="2"/>
    <x v="0"/>
    <x v="0"/>
    <x v="0"/>
    <s v="Road"/>
    <x v="0"/>
    <n v="277.7"/>
    <n v="1033"/>
    <n v="4"/>
    <n v="4"/>
    <n v="1"/>
    <n v="0"/>
    <n v="115.87"/>
    <n v="0"/>
    <n v="1"/>
  </r>
  <r>
    <s v="SHP-504307"/>
    <d v="2025-08-22T00:00:00"/>
    <x v="1"/>
    <s v="Q3"/>
    <x v="7"/>
    <x v="0"/>
    <x v="1"/>
    <x v="4"/>
    <x v="0"/>
    <s v="Road"/>
    <x v="1"/>
    <n v="5.6"/>
    <n v="1179"/>
    <n v="5"/>
    <n v="5"/>
    <n v="1"/>
    <n v="0"/>
    <n v="23.83"/>
    <n v="0"/>
    <n v="1"/>
  </r>
  <r>
    <s v="SHP-504308"/>
    <d v="2025-08-22T00:00:00"/>
    <x v="1"/>
    <s v="Q3"/>
    <x v="7"/>
    <x v="2"/>
    <x v="2"/>
    <x v="3"/>
    <x v="0"/>
    <s v="Road"/>
    <x v="0"/>
    <n v="56.9"/>
    <n v="363"/>
    <n v="4"/>
    <n v="4"/>
    <n v="1"/>
    <n v="0"/>
    <n v="34.65"/>
    <n v="0"/>
    <n v="1"/>
  </r>
  <r>
    <s v="SHP-504309"/>
    <d v="2025-08-22T00:00:00"/>
    <x v="1"/>
    <s v="Q3"/>
    <x v="7"/>
    <x v="0"/>
    <x v="2"/>
    <x v="4"/>
    <x v="0"/>
    <s v="Road"/>
    <x v="0"/>
    <n v="109"/>
    <n v="705"/>
    <n v="5"/>
    <n v="5"/>
    <n v="1"/>
    <n v="0"/>
    <n v="63.55"/>
    <n v="0"/>
    <n v="1"/>
  </r>
  <r>
    <s v="SHP-504310"/>
    <d v="2025-08-22T00:00:00"/>
    <x v="1"/>
    <s v="Q3"/>
    <x v="7"/>
    <x v="4"/>
    <x v="2"/>
    <x v="3"/>
    <x v="0"/>
    <s v="Road"/>
    <x v="1"/>
    <n v="6"/>
    <n v="463"/>
    <n v="4"/>
    <n v="3"/>
    <n v="1"/>
    <n v="0"/>
    <n v="17.16"/>
    <n v="0"/>
    <n v="1"/>
  </r>
  <r>
    <s v="SHP-504311"/>
    <d v="2025-08-22T00:00:00"/>
    <x v="1"/>
    <s v="Q3"/>
    <x v="7"/>
    <x v="0"/>
    <x v="1"/>
    <x v="1"/>
    <x v="0"/>
    <s v="Road"/>
    <x v="0"/>
    <n v="10.4"/>
    <n v="203"/>
    <n v="3"/>
    <n v="2"/>
    <n v="1"/>
    <n v="0"/>
    <n v="16.18"/>
    <n v="0"/>
    <n v="1"/>
  </r>
  <r>
    <s v="SHP-504312"/>
    <d v="2025-08-22T00:00:00"/>
    <x v="1"/>
    <s v="Q3"/>
    <x v="7"/>
    <x v="4"/>
    <x v="0"/>
    <x v="1"/>
    <x v="1"/>
    <s v="Road"/>
    <x v="1"/>
    <n v="3.6"/>
    <n v="242"/>
    <n v="5"/>
    <n v="5"/>
    <n v="1"/>
    <n v="0"/>
    <n v="8.69"/>
    <n v="0"/>
    <n v="1"/>
  </r>
  <r>
    <s v="SHP-504313"/>
    <d v="2025-08-22T00:00:00"/>
    <x v="1"/>
    <s v="Q3"/>
    <x v="7"/>
    <x v="4"/>
    <x v="0"/>
    <x v="4"/>
    <x v="1"/>
    <s v="Road"/>
    <x v="0"/>
    <n v="86.1"/>
    <n v="1064"/>
    <n v="7"/>
    <n v="6"/>
    <n v="1"/>
    <n v="0"/>
    <n v="41.12"/>
    <n v="0"/>
    <n v="1"/>
  </r>
  <r>
    <s v="SHP-504314"/>
    <d v="2025-08-22T00:00:00"/>
    <x v="1"/>
    <s v="Q3"/>
    <x v="7"/>
    <x v="3"/>
    <x v="1"/>
    <x v="0"/>
    <x v="1"/>
    <s v="Road"/>
    <x v="0"/>
    <n v="87.5"/>
    <n v="940"/>
    <n v="6"/>
    <n v="5"/>
    <n v="1"/>
    <n v="0"/>
    <n v="47.24"/>
    <n v="0"/>
    <n v="1"/>
  </r>
  <r>
    <s v="SHP-504315"/>
    <d v="2025-08-22T00:00:00"/>
    <x v="1"/>
    <s v="Q3"/>
    <x v="7"/>
    <x v="4"/>
    <x v="2"/>
    <x v="0"/>
    <x v="1"/>
    <s v="Road"/>
    <x v="1"/>
    <n v="9.1999999999999993"/>
    <n v="893"/>
    <n v="6"/>
    <n v="5"/>
    <n v="1"/>
    <n v="0"/>
    <n v="15.96"/>
    <n v="0"/>
    <n v="1"/>
  </r>
  <r>
    <s v="SHP-504316"/>
    <d v="2025-08-22T00:00:00"/>
    <x v="1"/>
    <s v="Q3"/>
    <x v="7"/>
    <x v="0"/>
    <x v="0"/>
    <x v="3"/>
    <x v="0"/>
    <s v="Road"/>
    <x v="0"/>
    <n v="243.6"/>
    <n v="456"/>
    <n v="4"/>
    <n v="4"/>
    <n v="1"/>
    <n v="0"/>
    <n v="98.93"/>
    <n v="0"/>
    <n v="1"/>
  </r>
  <r>
    <s v="SHP-504317"/>
    <d v="2025-08-22T00:00:00"/>
    <x v="1"/>
    <s v="Q3"/>
    <x v="7"/>
    <x v="4"/>
    <x v="0"/>
    <x v="4"/>
    <x v="0"/>
    <s v="Road"/>
    <x v="1"/>
    <n v="7.2"/>
    <n v="856"/>
    <n v="5"/>
    <n v="5"/>
    <n v="1"/>
    <n v="0"/>
    <n v="21.43"/>
    <n v="0"/>
    <n v="1"/>
  </r>
  <r>
    <s v="SHP-504318"/>
    <d v="2025-08-23T00:00:00"/>
    <x v="1"/>
    <s v="Q3"/>
    <x v="7"/>
    <x v="2"/>
    <x v="2"/>
    <x v="3"/>
    <x v="0"/>
    <s v="Road"/>
    <x v="0"/>
    <n v="2.2999999999999998"/>
    <n v="492"/>
    <n v="4"/>
    <n v="3"/>
    <n v="1"/>
    <n v="0"/>
    <n v="11.32"/>
    <n v="0"/>
    <n v="1"/>
  </r>
  <r>
    <s v="SHP-504319"/>
    <d v="2025-08-23T00:00:00"/>
    <x v="1"/>
    <s v="Q3"/>
    <x v="7"/>
    <x v="0"/>
    <x v="0"/>
    <x v="1"/>
    <x v="0"/>
    <s v="Road"/>
    <x v="1"/>
    <n v="2.5"/>
    <n v="307"/>
    <n v="3"/>
    <n v="3"/>
    <n v="1"/>
    <n v="0"/>
    <n v="12.3"/>
    <n v="0"/>
    <n v="1"/>
  </r>
  <r>
    <s v="SHP-504320"/>
    <d v="2025-08-23T00:00:00"/>
    <x v="1"/>
    <s v="Q3"/>
    <x v="7"/>
    <x v="0"/>
    <x v="2"/>
    <x v="3"/>
    <x v="0"/>
    <s v="Road"/>
    <x v="1"/>
    <n v="0.8"/>
    <n v="444"/>
    <n v="4"/>
    <n v="4"/>
    <n v="1"/>
    <n v="0"/>
    <n v="11.27"/>
    <n v="0"/>
    <n v="1"/>
  </r>
  <r>
    <s v="SHP-504321"/>
    <d v="2025-08-23T00:00:00"/>
    <x v="1"/>
    <s v="Q3"/>
    <x v="7"/>
    <x v="3"/>
    <x v="2"/>
    <x v="3"/>
    <x v="0"/>
    <s v="Road"/>
    <x v="1"/>
    <n v="7.5"/>
    <n v="502"/>
    <n v="4"/>
    <n v="3"/>
    <n v="1"/>
    <n v="0"/>
    <n v="16.62"/>
    <n v="0"/>
    <n v="1"/>
  </r>
  <r>
    <s v="SHP-504322"/>
    <d v="2025-08-23T00:00:00"/>
    <x v="1"/>
    <s v="Q3"/>
    <x v="7"/>
    <x v="2"/>
    <x v="2"/>
    <x v="3"/>
    <x v="2"/>
    <s v="Road"/>
    <x v="0"/>
    <n v="306.5"/>
    <n v="542"/>
    <n v="2"/>
    <n v="2"/>
    <n v="1"/>
    <n v="0"/>
    <n v="217.22"/>
    <n v="0"/>
    <n v="1"/>
  </r>
  <r>
    <s v="SHP-504323"/>
    <d v="2025-08-24T00:00:00"/>
    <x v="1"/>
    <s v="Q3"/>
    <x v="7"/>
    <x v="4"/>
    <x v="2"/>
    <x v="2"/>
    <x v="1"/>
    <s v="Road"/>
    <x v="1"/>
    <n v="2.6"/>
    <n v="1191"/>
    <n v="7"/>
    <n v="7"/>
    <n v="1"/>
    <n v="0"/>
    <n v="16.87"/>
    <n v="0"/>
    <n v="1"/>
  </r>
  <r>
    <s v="SHP-504324"/>
    <d v="2025-08-24T00:00:00"/>
    <x v="1"/>
    <s v="Q3"/>
    <x v="7"/>
    <x v="0"/>
    <x v="1"/>
    <x v="2"/>
    <x v="0"/>
    <s v="Road"/>
    <x v="0"/>
    <n v="163.6"/>
    <n v="1553"/>
    <n v="5"/>
    <n v="4"/>
    <n v="1"/>
    <n v="0"/>
    <n v="86.76"/>
    <n v="0"/>
    <n v="1"/>
  </r>
  <r>
    <s v="SHP-504325"/>
    <d v="2025-08-24T00:00:00"/>
    <x v="1"/>
    <s v="Q3"/>
    <x v="7"/>
    <x v="3"/>
    <x v="1"/>
    <x v="1"/>
    <x v="0"/>
    <s v="Road"/>
    <x v="0"/>
    <n v="26.6"/>
    <n v="259"/>
    <n v="3"/>
    <n v="3"/>
    <n v="1"/>
    <n v="0"/>
    <n v="29.05"/>
    <n v="0"/>
    <n v="1"/>
  </r>
  <r>
    <s v="SHP-504326"/>
    <d v="2025-08-25T00:00:00"/>
    <x v="1"/>
    <s v="Q3"/>
    <x v="7"/>
    <x v="4"/>
    <x v="2"/>
    <x v="4"/>
    <x v="0"/>
    <s v="Road"/>
    <x v="1"/>
    <n v="14.9"/>
    <n v="1080"/>
    <n v="5"/>
    <n v="5"/>
    <n v="1"/>
    <n v="0"/>
    <n v="29.96"/>
    <n v="0"/>
    <n v="1"/>
  </r>
  <r>
    <s v="SHP-504327"/>
    <d v="2025-08-25T00:00:00"/>
    <x v="1"/>
    <s v="Q3"/>
    <x v="7"/>
    <x v="4"/>
    <x v="2"/>
    <x v="4"/>
    <x v="2"/>
    <s v="Air"/>
    <x v="0"/>
    <n v="103.6"/>
    <n v="891"/>
    <n v="3"/>
    <n v="2"/>
    <n v="1"/>
    <n v="0"/>
    <n v="186.78"/>
    <n v="0"/>
    <n v="1"/>
  </r>
  <r>
    <s v="SHP-504328"/>
    <d v="2025-08-25T00:00:00"/>
    <x v="1"/>
    <s v="Q3"/>
    <x v="7"/>
    <x v="4"/>
    <x v="0"/>
    <x v="1"/>
    <x v="0"/>
    <s v="Road"/>
    <x v="0"/>
    <n v="30"/>
    <n v="258"/>
    <n v="3"/>
    <n v="3"/>
    <n v="1"/>
    <n v="0"/>
    <n v="25.11"/>
    <n v="0"/>
    <n v="1"/>
  </r>
  <r>
    <s v="SHP-504329"/>
    <d v="2025-08-25T00:00:00"/>
    <x v="1"/>
    <s v="Q3"/>
    <x v="7"/>
    <x v="4"/>
    <x v="2"/>
    <x v="0"/>
    <x v="0"/>
    <s v="Road"/>
    <x v="0"/>
    <n v="242.9"/>
    <n v="1060"/>
    <n v="4"/>
    <n v="3"/>
    <n v="1"/>
    <n v="0"/>
    <n v="113.9"/>
    <n v="0"/>
    <n v="1"/>
  </r>
  <r>
    <s v="SHP-504330"/>
    <d v="2025-08-25T00:00:00"/>
    <x v="1"/>
    <s v="Q3"/>
    <x v="7"/>
    <x v="2"/>
    <x v="2"/>
    <x v="1"/>
    <x v="0"/>
    <s v="Road"/>
    <x v="1"/>
    <n v="5.2"/>
    <n v="250"/>
    <n v="3"/>
    <n v="3"/>
    <n v="1"/>
    <n v="0"/>
    <n v="10.4"/>
    <n v="0"/>
    <n v="1"/>
  </r>
  <r>
    <s v="SHP-504331"/>
    <d v="2025-08-25T00:00:00"/>
    <x v="1"/>
    <s v="Q3"/>
    <x v="7"/>
    <x v="4"/>
    <x v="2"/>
    <x v="1"/>
    <x v="0"/>
    <s v="Road"/>
    <x v="1"/>
    <n v="2.8"/>
    <n v="216"/>
    <n v="3"/>
    <n v="2"/>
    <n v="1"/>
    <n v="0"/>
    <n v="10.57"/>
    <n v="0"/>
    <n v="1"/>
  </r>
  <r>
    <s v="SHP-504332"/>
    <d v="2025-08-25T00:00:00"/>
    <x v="1"/>
    <s v="Q3"/>
    <x v="7"/>
    <x v="0"/>
    <x v="1"/>
    <x v="1"/>
    <x v="0"/>
    <s v="Road"/>
    <x v="0"/>
    <n v="321.3"/>
    <n v="145"/>
    <n v="3"/>
    <n v="2"/>
    <n v="1"/>
    <n v="0"/>
    <n v="118.17"/>
    <n v="0"/>
    <n v="1"/>
  </r>
  <r>
    <s v="SHP-504333"/>
    <d v="2025-08-25T00:00:00"/>
    <x v="1"/>
    <s v="Q3"/>
    <x v="7"/>
    <x v="3"/>
    <x v="2"/>
    <x v="4"/>
    <x v="0"/>
    <s v="Road"/>
    <x v="0"/>
    <n v="22.6"/>
    <n v="1002"/>
    <n v="5"/>
    <n v="5"/>
    <n v="1"/>
    <n v="0"/>
    <n v="33.130000000000003"/>
    <n v="0"/>
    <n v="1"/>
  </r>
  <r>
    <s v="SHP-504334"/>
    <d v="2025-08-26T00:00:00"/>
    <x v="1"/>
    <s v="Q3"/>
    <x v="7"/>
    <x v="0"/>
    <x v="2"/>
    <x v="3"/>
    <x v="0"/>
    <s v="Road"/>
    <x v="1"/>
    <n v="6.3"/>
    <n v="521"/>
    <n v="4"/>
    <n v="4"/>
    <n v="1"/>
    <n v="0"/>
    <n v="15.48"/>
    <n v="0"/>
    <n v="1"/>
  </r>
  <r>
    <s v="SHP-504335"/>
    <d v="2025-08-26T00:00:00"/>
    <x v="1"/>
    <s v="Q3"/>
    <x v="7"/>
    <x v="3"/>
    <x v="2"/>
    <x v="0"/>
    <x v="2"/>
    <s v="Air"/>
    <x v="1"/>
    <n v="8.3000000000000007"/>
    <n v="1190"/>
    <n v="2"/>
    <n v="2"/>
    <n v="1"/>
    <n v="0"/>
    <n v="85.4"/>
    <n v="0"/>
    <n v="1"/>
  </r>
  <r>
    <s v="SHP-504336"/>
    <d v="2025-08-26T00:00:00"/>
    <x v="1"/>
    <s v="Q3"/>
    <x v="7"/>
    <x v="2"/>
    <x v="0"/>
    <x v="3"/>
    <x v="1"/>
    <s v="Road"/>
    <x v="1"/>
    <n v="2.5"/>
    <n v="518"/>
    <n v="6"/>
    <n v="6"/>
    <n v="1"/>
    <n v="0"/>
    <n v="9.0500000000000007"/>
    <n v="0"/>
    <n v="1"/>
  </r>
  <r>
    <s v="SHP-504337"/>
    <d v="2025-08-26T00:00:00"/>
    <x v="1"/>
    <s v="Q3"/>
    <x v="7"/>
    <x v="4"/>
    <x v="0"/>
    <x v="4"/>
    <x v="0"/>
    <s v="Road"/>
    <x v="1"/>
    <n v="6"/>
    <n v="1056"/>
    <n v="5"/>
    <n v="4"/>
    <n v="1"/>
    <n v="0"/>
    <n v="22.16"/>
    <n v="0"/>
    <n v="1"/>
  </r>
  <r>
    <s v="SHP-504338"/>
    <d v="2025-08-26T00:00:00"/>
    <x v="1"/>
    <s v="Q3"/>
    <x v="7"/>
    <x v="4"/>
    <x v="1"/>
    <x v="3"/>
    <x v="1"/>
    <s v="Road"/>
    <x v="0"/>
    <n v="42.6"/>
    <n v="506"/>
    <n v="6"/>
    <n v="6"/>
    <n v="1"/>
    <n v="0"/>
    <n v="24.76"/>
    <n v="0"/>
    <n v="1"/>
  </r>
  <r>
    <s v="SHP-504339"/>
    <d v="2025-08-26T00:00:00"/>
    <x v="1"/>
    <s v="Q3"/>
    <x v="7"/>
    <x v="0"/>
    <x v="2"/>
    <x v="2"/>
    <x v="2"/>
    <s v="Air"/>
    <x v="1"/>
    <n v="7.1"/>
    <n v="960"/>
    <n v="3"/>
    <n v="2"/>
    <n v="1"/>
    <n v="0"/>
    <n v="61.91"/>
    <n v="0"/>
    <n v="1"/>
  </r>
  <r>
    <s v="SHP-504340"/>
    <d v="2025-08-26T00:00:00"/>
    <x v="1"/>
    <s v="Q3"/>
    <x v="7"/>
    <x v="1"/>
    <x v="2"/>
    <x v="0"/>
    <x v="2"/>
    <s v="Air"/>
    <x v="1"/>
    <n v="19.899999999999999"/>
    <n v="847"/>
    <n v="2"/>
    <n v="2"/>
    <n v="1"/>
    <n v="0"/>
    <n v="84.34"/>
    <n v="0"/>
    <n v="1"/>
  </r>
  <r>
    <s v="SHP-504341"/>
    <d v="2025-08-26T00:00:00"/>
    <x v="1"/>
    <s v="Q3"/>
    <x v="7"/>
    <x v="4"/>
    <x v="1"/>
    <x v="4"/>
    <x v="0"/>
    <s v="Road"/>
    <x v="0"/>
    <n v="31"/>
    <n v="968"/>
    <n v="5"/>
    <n v="5"/>
    <n v="1"/>
    <n v="0"/>
    <n v="32.82"/>
    <n v="0"/>
    <n v="1"/>
  </r>
  <r>
    <s v="SHP-504342"/>
    <d v="2025-08-26T00:00:00"/>
    <x v="1"/>
    <s v="Q3"/>
    <x v="7"/>
    <x v="4"/>
    <x v="1"/>
    <x v="1"/>
    <x v="2"/>
    <s v="Road"/>
    <x v="1"/>
    <n v="7.2"/>
    <n v="225"/>
    <n v="1"/>
    <n v="1"/>
    <n v="1"/>
    <n v="0"/>
    <n v="29.71"/>
    <n v="0"/>
    <n v="1"/>
  </r>
  <r>
    <s v="SHP-504343"/>
    <d v="2025-08-26T00:00:00"/>
    <x v="1"/>
    <s v="Q3"/>
    <x v="7"/>
    <x v="4"/>
    <x v="1"/>
    <x v="4"/>
    <x v="0"/>
    <s v="Road"/>
    <x v="1"/>
    <n v="2.7"/>
    <n v="1097"/>
    <n v="5"/>
    <n v="6"/>
    <n v="0"/>
    <n v="1"/>
    <n v="21.68"/>
    <n v="0"/>
    <n v="1"/>
  </r>
  <r>
    <s v="SHP-504344"/>
    <d v="2025-08-27T00:00:00"/>
    <x v="1"/>
    <s v="Q3"/>
    <x v="7"/>
    <x v="4"/>
    <x v="1"/>
    <x v="2"/>
    <x v="0"/>
    <s v="Road"/>
    <x v="1"/>
    <n v="7.7"/>
    <n v="1054"/>
    <n v="5"/>
    <n v="5"/>
    <n v="1"/>
    <n v="0"/>
    <n v="23.39"/>
    <n v="0"/>
    <n v="1"/>
  </r>
  <r>
    <s v="SHP-504345"/>
    <d v="2025-08-27T00:00:00"/>
    <x v="1"/>
    <s v="Q3"/>
    <x v="7"/>
    <x v="3"/>
    <x v="1"/>
    <x v="2"/>
    <x v="0"/>
    <s v="Road"/>
    <x v="1"/>
    <n v="2.4"/>
    <n v="999"/>
    <n v="5"/>
    <n v="5"/>
    <n v="1"/>
    <n v="0"/>
    <n v="22.45"/>
    <n v="0"/>
    <n v="1"/>
  </r>
  <r>
    <s v="SHP-504346"/>
    <d v="2025-08-27T00:00:00"/>
    <x v="1"/>
    <s v="Q3"/>
    <x v="7"/>
    <x v="4"/>
    <x v="1"/>
    <x v="3"/>
    <x v="0"/>
    <s v="Road"/>
    <x v="1"/>
    <n v="10"/>
    <n v="542"/>
    <n v="4"/>
    <n v="3"/>
    <n v="1"/>
    <n v="0"/>
    <n v="19.309999999999999"/>
    <n v="0"/>
    <n v="1"/>
  </r>
  <r>
    <s v="SHP-504347"/>
    <d v="2025-08-27T00:00:00"/>
    <x v="1"/>
    <s v="Q3"/>
    <x v="7"/>
    <x v="1"/>
    <x v="1"/>
    <x v="1"/>
    <x v="0"/>
    <s v="Road"/>
    <x v="0"/>
    <n v="61.8"/>
    <n v="238"/>
    <n v="3"/>
    <n v="3"/>
    <n v="1"/>
    <n v="0"/>
    <n v="44.79"/>
    <n v="0"/>
    <n v="1"/>
  </r>
  <r>
    <s v="SHP-504348"/>
    <d v="2025-08-27T00:00:00"/>
    <x v="1"/>
    <s v="Q3"/>
    <x v="7"/>
    <x v="1"/>
    <x v="2"/>
    <x v="0"/>
    <x v="0"/>
    <s v="Road"/>
    <x v="1"/>
    <n v="3.1"/>
    <n v="1048"/>
    <n v="4"/>
    <n v="4"/>
    <n v="1"/>
    <n v="0"/>
    <n v="25.64"/>
    <n v="0"/>
    <n v="1"/>
  </r>
  <r>
    <s v="SHP-504349"/>
    <d v="2025-08-27T00:00:00"/>
    <x v="1"/>
    <s v="Q3"/>
    <x v="7"/>
    <x v="3"/>
    <x v="2"/>
    <x v="0"/>
    <x v="2"/>
    <s v="Air"/>
    <x v="0"/>
    <n v="63.8"/>
    <n v="899"/>
    <n v="2"/>
    <n v="2"/>
    <n v="1"/>
    <n v="0"/>
    <n v="160.16999999999999"/>
    <n v="0"/>
    <n v="1"/>
  </r>
  <r>
    <s v="SHP-504350"/>
    <d v="2025-08-27T00:00:00"/>
    <x v="1"/>
    <s v="Q3"/>
    <x v="7"/>
    <x v="1"/>
    <x v="2"/>
    <x v="3"/>
    <x v="0"/>
    <s v="Road"/>
    <x v="0"/>
    <n v="134.9"/>
    <n v="502"/>
    <n v="4"/>
    <n v="4"/>
    <n v="1"/>
    <n v="0"/>
    <n v="59.29"/>
    <n v="0"/>
    <n v="1"/>
  </r>
  <r>
    <s v="SHP-504351"/>
    <d v="2025-08-27T00:00:00"/>
    <x v="1"/>
    <s v="Q3"/>
    <x v="7"/>
    <x v="1"/>
    <x v="1"/>
    <x v="1"/>
    <x v="1"/>
    <s v="Road"/>
    <x v="1"/>
    <n v="7.9"/>
    <n v="274"/>
    <n v="5"/>
    <n v="5"/>
    <n v="1"/>
    <n v="0"/>
    <n v="11.82"/>
    <n v="0"/>
    <n v="1"/>
  </r>
  <r>
    <s v="SHP-504352"/>
    <d v="2025-08-28T00:00:00"/>
    <x v="1"/>
    <s v="Q3"/>
    <x v="7"/>
    <x v="3"/>
    <x v="2"/>
    <x v="1"/>
    <x v="0"/>
    <s v="Road"/>
    <x v="1"/>
    <n v="7.4"/>
    <n v="295"/>
    <n v="3"/>
    <n v="3"/>
    <n v="1"/>
    <n v="0"/>
    <n v="17.87"/>
    <n v="0"/>
    <n v="1"/>
  </r>
  <r>
    <s v="SHP-504353"/>
    <d v="2025-08-28T00:00:00"/>
    <x v="1"/>
    <s v="Q3"/>
    <x v="7"/>
    <x v="4"/>
    <x v="2"/>
    <x v="0"/>
    <x v="0"/>
    <s v="Road"/>
    <x v="0"/>
    <n v="63.2"/>
    <n v="1016"/>
    <n v="4"/>
    <n v="4"/>
    <n v="1"/>
    <n v="0"/>
    <n v="48.04"/>
    <n v="0"/>
    <n v="1"/>
  </r>
  <r>
    <s v="SHP-504354"/>
    <d v="2025-08-28T00:00:00"/>
    <x v="1"/>
    <s v="Q3"/>
    <x v="7"/>
    <x v="4"/>
    <x v="2"/>
    <x v="3"/>
    <x v="0"/>
    <s v="Road"/>
    <x v="1"/>
    <n v="5.4"/>
    <n v="470"/>
    <n v="4"/>
    <n v="4"/>
    <n v="1"/>
    <n v="0"/>
    <n v="17.39"/>
    <n v="0"/>
    <n v="1"/>
  </r>
  <r>
    <s v="SHP-504355"/>
    <d v="2025-08-28T00:00:00"/>
    <x v="1"/>
    <s v="Q3"/>
    <x v="7"/>
    <x v="1"/>
    <x v="1"/>
    <x v="1"/>
    <x v="2"/>
    <s v="Road"/>
    <x v="0"/>
    <n v="74.7"/>
    <n v="251"/>
    <n v="1"/>
    <n v="1"/>
    <n v="1"/>
    <n v="0"/>
    <n v="85.99"/>
    <n v="0"/>
    <n v="1"/>
  </r>
  <r>
    <s v="SHP-504356"/>
    <d v="2025-08-28T00:00:00"/>
    <x v="1"/>
    <s v="Q3"/>
    <x v="7"/>
    <x v="0"/>
    <x v="2"/>
    <x v="3"/>
    <x v="0"/>
    <s v="Road"/>
    <x v="1"/>
    <n v="8.8000000000000007"/>
    <n v="437"/>
    <n v="4"/>
    <n v="4"/>
    <n v="1"/>
    <n v="0"/>
    <n v="15.36"/>
    <n v="0"/>
    <n v="1"/>
  </r>
  <r>
    <s v="SHP-504357"/>
    <d v="2025-08-28T00:00:00"/>
    <x v="1"/>
    <s v="Q3"/>
    <x v="7"/>
    <x v="1"/>
    <x v="0"/>
    <x v="4"/>
    <x v="0"/>
    <s v="Road"/>
    <x v="1"/>
    <n v="8.6"/>
    <n v="1280"/>
    <n v="5"/>
    <n v="5"/>
    <n v="1"/>
    <n v="0"/>
    <n v="28.71"/>
    <n v="0"/>
    <n v="1"/>
  </r>
  <r>
    <s v="SHP-504358"/>
    <d v="2025-08-28T00:00:00"/>
    <x v="1"/>
    <s v="Q3"/>
    <x v="7"/>
    <x v="2"/>
    <x v="0"/>
    <x v="1"/>
    <x v="0"/>
    <s v="Road"/>
    <x v="1"/>
    <n v="9.6"/>
    <n v="217"/>
    <n v="3"/>
    <n v="3"/>
    <n v="1"/>
    <n v="0"/>
    <n v="12.5"/>
    <n v="0"/>
    <n v="1"/>
  </r>
  <r>
    <s v="SHP-504359"/>
    <d v="2025-08-28T00:00:00"/>
    <x v="1"/>
    <s v="Q3"/>
    <x v="7"/>
    <x v="2"/>
    <x v="1"/>
    <x v="3"/>
    <x v="2"/>
    <s v="Road"/>
    <x v="1"/>
    <n v="10.9"/>
    <n v="396"/>
    <n v="2"/>
    <n v="1"/>
    <n v="1"/>
    <n v="0"/>
    <n v="28.19"/>
    <n v="0"/>
    <n v="1"/>
  </r>
  <r>
    <s v="SHP-504360"/>
    <d v="2025-08-29T00:00:00"/>
    <x v="1"/>
    <s v="Q3"/>
    <x v="7"/>
    <x v="4"/>
    <x v="2"/>
    <x v="3"/>
    <x v="2"/>
    <s v="Road"/>
    <x v="0"/>
    <n v="336.5"/>
    <n v="508"/>
    <n v="2"/>
    <n v="1"/>
    <n v="1"/>
    <n v="0"/>
    <n v="243.59"/>
    <n v="0"/>
    <n v="1"/>
  </r>
  <r>
    <s v="SHP-504361"/>
    <d v="2025-08-29T00:00:00"/>
    <x v="1"/>
    <s v="Q3"/>
    <x v="7"/>
    <x v="1"/>
    <x v="0"/>
    <x v="0"/>
    <x v="1"/>
    <s v="Road"/>
    <x v="0"/>
    <n v="14.2"/>
    <n v="1046"/>
    <n v="6"/>
    <n v="6"/>
    <n v="1"/>
    <n v="0"/>
    <n v="19.04"/>
    <n v="0"/>
    <n v="1"/>
  </r>
  <r>
    <s v="SHP-504362"/>
    <d v="2025-08-29T00:00:00"/>
    <x v="1"/>
    <s v="Q3"/>
    <x v="7"/>
    <x v="4"/>
    <x v="0"/>
    <x v="1"/>
    <x v="0"/>
    <s v="Road"/>
    <x v="0"/>
    <n v="132.9"/>
    <n v="234"/>
    <n v="3"/>
    <n v="3"/>
    <n v="1"/>
    <n v="0"/>
    <n v="65.790000000000006"/>
    <n v="0"/>
    <n v="1"/>
  </r>
  <r>
    <s v="SHP-504363"/>
    <d v="2025-08-29T00:00:00"/>
    <x v="1"/>
    <s v="Q3"/>
    <x v="7"/>
    <x v="0"/>
    <x v="2"/>
    <x v="3"/>
    <x v="0"/>
    <s v="Road"/>
    <x v="0"/>
    <n v="105.1"/>
    <n v="486"/>
    <n v="4"/>
    <n v="4"/>
    <n v="1"/>
    <n v="0"/>
    <n v="59.18"/>
    <n v="0"/>
    <n v="1"/>
  </r>
  <r>
    <s v="SHP-504364"/>
    <d v="2025-08-29T00:00:00"/>
    <x v="1"/>
    <s v="Q3"/>
    <x v="7"/>
    <x v="4"/>
    <x v="0"/>
    <x v="3"/>
    <x v="0"/>
    <s v="Road"/>
    <x v="0"/>
    <n v="39.5"/>
    <n v="521"/>
    <n v="4"/>
    <n v="4"/>
    <n v="1"/>
    <n v="0"/>
    <n v="32.75"/>
    <n v="0"/>
    <n v="1"/>
  </r>
  <r>
    <s v="SHP-504365"/>
    <d v="2025-08-30T00:00:00"/>
    <x v="1"/>
    <s v="Q3"/>
    <x v="7"/>
    <x v="1"/>
    <x v="1"/>
    <x v="0"/>
    <x v="0"/>
    <s v="Road"/>
    <x v="0"/>
    <n v="102.8"/>
    <n v="1042"/>
    <n v="4"/>
    <n v="4"/>
    <n v="1"/>
    <n v="0"/>
    <n v="69.88"/>
    <n v="0"/>
    <n v="1"/>
  </r>
  <r>
    <s v="SHP-504366"/>
    <d v="2025-08-30T00:00:00"/>
    <x v="1"/>
    <s v="Q3"/>
    <x v="7"/>
    <x v="2"/>
    <x v="0"/>
    <x v="1"/>
    <x v="1"/>
    <s v="Road"/>
    <x v="1"/>
    <n v="12.4"/>
    <n v="265"/>
    <n v="5"/>
    <n v="4"/>
    <n v="1"/>
    <n v="0"/>
    <n v="10.86"/>
    <n v="0"/>
    <n v="1"/>
  </r>
  <r>
    <s v="SHP-504367"/>
    <d v="2025-08-30T00:00:00"/>
    <x v="1"/>
    <s v="Q3"/>
    <x v="7"/>
    <x v="4"/>
    <x v="2"/>
    <x v="4"/>
    <x v="0"/>
    <s v="Road"/>
    <x v="1"/>
    <n v="2.1"/>
    <n v="981"/>
    <n v="5"/>
    <n v="5"/>
    <n v="1"/>
    <n v="0"/>
    <n v="18.670000000000002"/>
    <n v="0"/>
    <n v="1"/>
  </r>
  <r>
    <s v="SHP-504368"/>
    <d v="2025-08-30T00:00:00"/>
    <x v="1"/>
    <s v="Q3"/>
    <x v="7"/>
    <x v="2"/>
    <x v="2"/>
    <x v="1"/>
    <x v="1"/>
    <s v="Road"/>
    <x v="0"/>
    <n v="84.4"/>
    <n v="259"/>
    <n v="5"/>
    <n v="5"/>
    <n v="1"/>
    <n v="0"/>
    <n v="28.1"/>
    <n v="0"/>
    <n v="1"/>
  </r>
  <r>
    <s v="SHP-504369"/>
    <d v="2025-08-30T00:00:00"/>
    <x v="1"/>
    <s v="Q3"/>
    <x v="7"/>
    <x v="0"/>
    <x v="2"/>
    <x v="3"/>
    <x v="0"/>
    <s v="Road"/>
    <x v="0"/>
    <n v="118.6"/>
    <n v="525"/>
    <n v="4"/>
    <n v="4"/>
    <n v="1"/>
    <n v="0"/>
    <n v="66.22"/>
    <n v="0"/>
    <n v="1"/>
  </r>
  <r>
    <s v="SHP-504370"/>
    <d v="2025-08-30T00:00:00"/>
    <x v="1"/>
    <s v="Q3"/>
    <x v="7"/>
    <x v="4"/>
    <x v="1"/>
    <x v="0"/>
    <x v="0"/>
    <s v="Road"/>
    <x v="0"/>
    <n v="39.799999999999997"/>
    <n v="1003"/>
    <n v="4"/>
    <n v="7"/>
    <n v="0"/>
    <n v="3"/>
    <n v="39.39"/>
    <n v="0"/>
    <n v="1"/>
  </r>
  <r>
    <s v="SHP-504371"/>
    <d v="2025-08-30T00:00:00"/>
    <x v="1"/>
    <s v="Q3"/>
    <x v="7"/>
    <x v="0"/>
    <x v="0"/>
    <x v="3"/>
    <x v="0"/>
    <s v="Road"/>
    <x v="1"/>
    <n v="8.1"/>
    <n v="504"/>
    <n v="4"/>
    <n v="4"/>
    <n v="1"/>
    <n v="0"/>
    <n v="14.74"/>
    <n v="0"/>
    <n v="1"/>
  </r>
  <r>
    <s v="SHP-504372"/>
    <d v="2025-08-31T00:00:00"/>
    <x v="1"/>
    <s v="Q3"/>
    <x v="7"/>
    <x v="0"/>
    <x v="2"/>
    <x v="2"/>
    <x v="0"/>
    <s v="Road"/>
    <x v="1"/>
    <n v="4.7"/>
    <n v="1042"/>
    <n v="5"/>
    <n v="5"/>
    <n v="1"/>
    <n v="0"/>
    <n v="22.16"/>
    <n v="0"/>
    <n v="1"/>
  </r>
  <r>
    <s v="SHP-504373"/>
    <d v="2025-08-31T00:00:00"/>
    <x v="1"/>
    <s v="Q3"/>
    <x v="7"/>
    <x v="1"/>
    <x v="0"/>
    <x v="1"/>
    <x v="1"/>
    <s v="Road"/>
    <x v="1"/>
    <n v="3.5"/>
    <n v="210"/>
    <n v="5"/>
    <n v="5"/>
    <n v="1"/>
    <n v="0"/>
    <n v="8.84"/>
    <n v="0"/>
    <n v="1"/>
  </r>
  <r>
    <s v="SHP-504374"/>
    <d v="2025-08-31T00:00:00"/>
    <x v="1"/>
    <s v="Q3"/>
    <x v="7"/>
    <x v="0"/>
    <x v="1"/>
    <x v="2"/>
    <x v="1"/>
    <s v="Road"/>
    <x v="1"/>
    <n v="4.2"/>
    <n v="1330"/>
    <n v="7"/>
    <n v="6"/>
    <n v="1"/>
    <n v="0"/>
    <n v="18.2"/>
    <n v="0"/>
    <n v="1"/>
  </r>
  <r>
    <s v="SHP-504375"/>
    <d v="2025-08-31T00:00:00"/>
    <x v="1"/>
    <s v="Q3"/>
    <x v="7"/>
    <x v="1"/>
    <x v="0"/>
    <x v="3"/>
    <x v="0"/>
    <s v="Road"/>
    <x v="0"/>
    <n v="425"/>
    <n v="520"/>
    <n v="4"/>
    <n v="4"/>
    <n v="1"/>
    <n v="0"/>
    <n v="180.95"/>
    <n v="0"/>
    <n v="1"/>
  </r>
  <r>
    <s v="SHP-504376"/>
    <d v="2025-09-01T00:00:00"/>
    <x v="1"/>
    <s v="Q3"/>
    <x v="8"/>
    <x v="2"/>
    <x v="0"/>
    <x v="2"/>
    <x v="2"/>
    <s v="Air"/>
    <x v="0"/>
    <n v="211.7"/>
    <n v="1364"/>
    <n v="3"/>
    <n v="3"/>
    <n v="1"/>
    <n v="0"/>
    <n v="259.54000000000002"/>
    <n v="0"/>
    <n v="1"/>
  </r>
  <r>
    <s v="SHP-504377"/>
    <d v="2025-09-01T00:00:00"/>
    <x v="1"/>
    <s v="Q3"/>
    <x v="8"/>
    <x v="3"/>
    <x v="2"/>
    <x v="0"/>
    <x v="2"/>
    <s v="Air"/>
    <x v="0"/>
    <n v="96.1"/>
    <n v="850"/>
    <n v="2"/>
    <n v="4"/>
    <n v="0"/>
    <n v="2"/>
    <n v="229.39"/>
    <n v="0"/>
    <n v="1"/>
  </r>
  <r>
    <s v="SHP-504378"/>
    <d v="2025-09-01T00:00:00"/>
    <x v="1"/>
    <s v="Q3"/>
    <x v="8"/>
    <x v="3"/>
    <x v="2"/>
    <x v="1"/>
    <x v="0"/>
    <s v="Road"/>
    <x v="1"/>
    <n v="2.6"/>
    <n v="188"/>
    <n v="3"/>
    <n v="3"/>
    <n v="1"/>
    <n v="0"/>
    <n v="11.71"/>
    <n v="0"/>
    <n v="1"/>
  </r>
  <r>
    <s v="SHP-504379"/>
    <d v="2025-09-01T00:00:00"/>
    <x v="1"/>
    <s v="Q3"/>
    <x v="8"/>
    <x v="3"/>
    <x v="2"/>
    <x v="1"/>
    <x v="0"/>
    <s v="Road"/>
    <x v="1"/>
    <n v="7.8"/>
    <n v="243"/>
    <n v="3"/>
    <n v="2"/>
    <n v="1"/>
    <n v="0"/>
    <n v="14.49"/>
    <n v="0"/>
    <n v="1"/>
  </r>
  <r>
    <s v="SHP-504380"/>
    <d v="2025-09-01T00:00:00"/>
    <x v="1"/>
    <s v="Q3"/>
    <x v="8"/>
    <x v="0"/>
    <x v="0"/>
    <x v="3"/>
    <x v="0"/>
    <s v="Road"/>
    <x v="1"/>
    <n v="2.4"/>
    <n v="507"/>
    <n v="4"/>
    <n v="4"/>
    <n v="1"/>
    <n v="0"/>
    <n v="14.78"/>
    <n v="0"/>
    <n v="1"/>
  </r>
  <r>
    <s v="SHP-504381"/>
    <d v="2025-09-01T00:00:00"/>
    <x v="1"/>
    <s v="Q3"/>
    <x v="8"/>
    <x v="4"/>
    <x v="1"/>
    <x v="0"/>
    <x v="0"/>
    <s v="Road"/>
    <x v="0"/>
    <n v="113.5"/>
    <n v="811"/>
    <n v="4"/>
    <n v="8"/>
    <n v="0"/>
    <n v="4"/>
    <n v="70.36"/>
    <n v="0"/>
    <n v="1"/>
  </r>
  <r>
    <s v="SHP-504382"/>
    <d v="2025-09-01T00:00:00"/>
    <x v="1"/>
    <s v="Q3"/>
    <x v="8"/>
    <x v="0"/>
    <x v="1"/>
    <x v="4"/>
    <x v="0"/>
    <s v="Road"/>
    <x v="0"/>
    <n v="15"/>
    <n v="1138"/>
    <n v="5"/>
    <n v="5"/>
    <n v="1"/>
    <n v="0"/>
    <n v="30.7"/>
    <n v="0"/>
    <n v="1"/>
  </r>
  <r>
    <s v="SHP-504383"/>
    <d v="2025-09-01T00:00:00"/>
    <x v="1"/>
    <s v="Q3"/>
    <x v="8"/>
    <x v="0"/>
    <x v="1"/>
    <x v="3"/>
    <x v="0"/>
    <s v="Road"/>
    <x v="0"/>
    <n v="77.3"/>
    <n v="522"/>
    <n v="4"/>
    <n v="4"/>
    <n v="1"/>
    <n v="0"/>
    <n v="48.47"/>
    <n v="0"/>
    <n v="1"/>
  </r>
  <r>
    <s v="SHP-504384"/>
    <d v="2025-09-01T00:00:00"/>
    <x v="1"/>
    <s v="Q3"/>
    <x v="8"/>
    <x v="3"/>
    <x v="1"/>
    <x v="3"/>
    <x v="1"/>
    <s v="Road"/>
    <x v="0"/>
    <n v="88.7"/>
    <n v="433"/>
    <n v="6"/>
    <n v="6"/>
    <n v="1"/>
    <n v="0"/>
    <n v="40"/>
    <n v="0"/>
    <n v="1"/>
  </r>
  <r>
    <s v="SHP-504385"/>
    <d v="2025-09-01T00:00:00"/>
    <x v="1"/>
    <s v="Q3"/>
    <x v="8"/>
    <x v="4"/>
    <x v="2"/>
    <x v="3"/>
    <x v="2"/>
    <s v="Road"/>
    <x v="0"/>
    <n v="186.7"/>
    <n v="400"/>
    <n v="2"/>
    <n v="2"/>
    <n v="1"/>
    <n v="0"/>
    <n v="175.02"/>
    <n v="0"/>
    <n v="1"/>
  </r>
  <r>
    <s v="SHP-504386"/>
    <d v="2025-09-02T00:00:00"/>
    <x v="1"/>
    <s v="Q3"/>
    <x v="8"/>
    <x v="3"/>
    <x v="1"/>
    <x v="1"/>
    <x v="1"/>
    <s v="Road"/>
    <x v="1"/>
    <n v="3.1"/>
    <n v="216"/>
    <n v="5"/>
    <n v="5"/>
    <n v="1"/>
    <n v="0"/>
    <n v="7.95"/>
    <n v="0"/>
    <n v="1"/>
  </r>
  <r>
    <s v="SHP-504387"/>
    <d v="2025-09-02T00:00:00"/>
    <x v="1"/>
    <s v="Q3"/>
    <x v="8"/>
    <x v="4"/>
    <x v="0"/>
    <x v="0"/>
    <x v="0"/>
    <s v="Road"/>
    <x v="1"/>
    <n v="0.7"/>
    <n v="922"/>
    <n v="4"/>
    <n v="3"/>
    <n v="1"/>
    <n v="0"/>
    <n v="18.11"/>
    <n v="0"/>
    <n v="1"/>
  </r>
  <r>
    <s v="SHP-504388"/>
    <d v="2025-09-02T00:00:00"/>
    <x v="1"/>
    <s v="Q3"/>
    <x v="8"/>
    <x v="0"/>
    <x v="1"/>
    <x v="3"/>
    <x v="0"/>
    <s v="Road"/>
    <x v="1"/>
    <n v="4.5999999999999996"/>
    <n v="418"/>
    <n v="4"/>
    <n v="4"/>
    <n v="1"/>
    <n v="0"/>
    <n v="12.77"/>
    <n v="0"/>
    <n v="1"/>
  </r>
  <r>
    <s v="SHP-504389"/>
    <d v="2025-09-02T00:00:00"/>
    <x v="1"/>
    <s v="Q3"/>
    <x v="8"/>
    <x v="3"/>
    <x v="2"/>
    <x v="1"/>
    <x v="1"/>
    <s v="Road"/>
    <x v="1"/>
    <n v="7.4"/>
    <n v="214"/>
    <n v="5"/>
    <n v="5"/>
    <n v="1"/>
    <n v="0"/>
    <n v="11.01"/>
    <n v="0"/>
    <n v="1"/>
  </r>
  <r>
    <s v="SHP-504390"/>
    <d v="2025-09-02T00:00:00"/>
    <x v="1"/>
    <s v="Q3"/>
    <x v="8"/>
    <x v="3"/>
    <x v="1"/>
    <x v="1"/>
    <x v="2"/>
    <s v="Road"/>
    <x v="1"/>
    <n v="15.3"/>
    <n v="252"/>
    <n v="1"/>
    <n v="1"/>
    <n v="1"/>
    <n v="0"/>
    <n v="40.46"/>
    <n v="0"/>
    <n v="1"/>
  </r>
  <r>
    <s v="SHP-504391"/>
    <d v="2025-09-02T00:00:00"/>
    <x v="1"/>
    <s v="Q3"/>
    <x v="8"/>
    <x v="2"/>
    <x v="0"/>
    <x v="1"/>
    <x v="0"/>
    <s v="Road"/>
    <x v="1"/>
    <n v="17.7"/>
    <n v="214"/>
    <n v="3"/>
    <n v="2"/>
    <n v="1"/>
    <n v="0"/>
    <n v="16.11"/>
    <n v="0"/>
    <n v="1"/>
  </r>
  <r>
    <s v="SHP-504392"/>
    <d v="2025-09-02T00:00:00"/>
    <x v="1"/>
    <s v="Q3"/>
    <x v="8"/>
    <x v="4"/>
    <x v="2"/>
    <x v="1"/>
    <x v="1"/>
    <s v="Road"/>
    <x v="0"/>
    <n v="15.3"/>
    <n v="234"/>
    <n v="5"/>
    <n v="5"/>
    <n v="1"/>
    <n v="0"/>
    <n v="12.49"/>
    <n v="0"/>
    <n v="1"/>
  </r>
  <r>
    <s v="SHP-504393"/>
    <d v="2025-09-02T00:00:00"/>
    <x v="1"/>
    <s v="Q3"/>
    <x v="8"/>
    <x v="2"/>
    <x v="2"/>
    <x v="2"/>
    <x v="2"/>
    <s v="Air"/>
    <x v="0"/>
    <n v="419"/>
    <n v="972"/>
    <n v="3"/>
    <n v="3"/>
    <n v="1"/>
    <n v="0"/>
    <n v="376.99"/>
    <n v="0"/>
    <n v="1"/>
  </r>
  <r>
    <s v="SHP-504394"/>
    <d v="2025-09-02T00:00:00"/>
    <x v="1"/>
    <s v="Q3"/>
    <x v="8"/>
    <x v="2"/>
    <x v="1"/>
    <x v="1"/>
    <x v="0"/>
    <s v="Road"/>
    <x v="1"/>
    <n v="3.5"/>
    <n v="258"/>
    <n v="3"/>
    <n v="2"/>
    <n v="1"/>
    <n v="0"/>
    <n v="10.23"/>
    <n v="0"/>
    <n v="1"/>
  </r>
  <r>
    <s v="SHP-504395"/>
    <d v="2025-09-02T00:00:00"/>
    <x v="1"/>
    <s v="Q3"/>
    <x v="8"/>
    <x v="1"/>
    <x v="1"/>
    <x v="0"/>
    <x v="2"/>
    <s v="Air"/>
    <x v="0"/>
    <n v="114.7"/>
    <n v="827"/>
    <n v="2"/>
    <n v="1"/>
    <n v="1"/>
    <n v="0"/>
    <n v="203.72"/>
    <n v="0"/>
    <n v="1"/>
  </r>
  <r>
    <s v="SHP-504396"/>
    <d v="2025-09-02T00:00:00"/>
    <x v="1"/>
    <s v="Q3"/>
    <x v="8"/>
    <x v="0"/>
    <x v="2"/>
    <x v="3"/>
    <x v="0"/>
    <s v="Road"/>
    <x v="1"/>
    <n v="5.2"/>
    <n v="484"/>
    <n v="4"/>
    <n v="3"/>
    <n v="1"/>
    <n v="0"/>
    <n v="15.46"/>
    <n v="0"/>
    <n v="1"/>
  </r>
  <r>
    <s v="SHP-504397"/>
    <d v="2025-09-02T00:00:00"/>
    <x v="1"/>
    <s v="Q3"/>
    <x v="8"/>
    <x v="4"/>
    <x v="2"/>
    <x v="1"/>
    <x v="2"/>
    <s v="Road"/>
    <x v="0"/>
    <n v="119.8"/>
    <n v="281"/>
    <n v="1"/>
    <n v="1"/>
    <n v="1"/>
    <n v="0"/>
    <n v="122.88"/>
    <n v="0"/>
    <n v="1"/>
  </r>
  <r>
    <s v="SHP-504398"/>
    <d v="2025-09-03T00:00:00"/>
    <x v="1"/>
    <s v="Q3"/>
    <x v="8"/>
    <x v="0"/>
    <x v="2"/>
    <x v="2"/>
    <x v="0"/>
    <s v="Road"/>
    <x v="0"/>
    <n v="239.5"/>
    <n v="1202"/>
    <n v="5"/>
    <n v="5"/>
    <n v="1"/>
    <n v="0"/>
    <n v="121.24"/>
    <n v="0"/>
    <n v="1"/>
  </r>
  <r>
    <s v="SHP-504399"/>
    <d v="2025-09-03T00:00:00"/>
    <x v="1"/>
    <s v="Q3"/>
    <x v="8"/>
    <x v="2"/>
    <x v="2"/>
    <x v="3"/>
    <x v="0"/>
    <s v="Road"/>
    <x v="0"/>
    <n v="161.4"/>
    <n v="480"/>
    <n v="4"/>
    <n v="4"/>
    <n v="1"/>
    <n v="0"/>
    <n v="64.19"/>
    <n v="0"/>
    <n v="1"/>
  </r>
  <r>
    <s v="SHP-504400"/>
    <d v="2025-09-03T00:00:00"/>
    <x v="1"/>
    <s v="Q3"/>
    <x v="8"/>
    <x v="3"/>
    <x v="2"/>
    <x v="1"/>
    <x v="0"/>
    <s v="Road"/>
    <x v="1"/>
    <n v="0.8"/>
    <n v="236"/>
    <n v="3"/>
    <n v="2"/>
    <n v="1"/>
    <n v="0"/>
    <n v="10.029999999999999"/>
    <n v="0"/>
    <n v="1"/>
  </r>
  <r>
    <s v="SHP-504401"/>
    <d v="2025-09-03T00:00:00"/>
    <x v="1"/>
    <s v="Q3"/>
    <x v="8"/>
    <x v="4"/>
    <x v="1"/>
    <x v="1"/>
    <x v="1"/>
    <s v="Road"/>
    <x v="0"/>
    <n v="17"/>
    <n v="306"/>
    <n v="5"/>
    <n v="5"/>
    <n v="1"/>
    <n v="0"/>
    <n v="14.68"/>
    <n v="0"/>
    <n v="1"/>
  </r>
  <r>
    <s v="SHP-504402"/>
    <d v="2025-09-03T00:00:00"/>
    <x v="1"/>
    <s v="Q3"/>
    <x v="8"/>
    <x v="2"/>
    <x v="1"/>
    <x v="0"/>
    <x v="0"/>
    <s v="Road"/>
    <x v="1"/>
    <n v="2.5"/>
    <n v="799"/>
    <n v="4"/>
    <n v="7"/>
    <n v="0"/>
    <n v="3"/>
    <n v="14.44"/>
    <n v="0"/>
    <n v="1"/>
  </r>
  <r>
    <s v="SHP-504403"/>
    <d v="2025-09-03T00:00:00"/>
    <x v="1"/>
    <s v="Q3"/>
    <x v="8"/>
    <x v="1"/>
    <x v="2"/>
    <x v="3"/>
    <x v="1"/>
    <s v="Road"/>
    <x v="1"/>
    <n v="9"/>
    <n v="710"/>
    <n v="6"/>
    <n v="6"/>
    <n v="1"/>
    <n v="0"/>
    <n v="13.99"/>
    <n v="0"/>
    <n v="1"/>
  </r>
  <r>
    <s v="SHP-504404"/>
    <d v="2025-09-03T00:00:00"/>
    <x v="1"/>
    <s v="Q3"/>
    <x v="8"/>
    <x v="4"/>
    <x v="1"/>
    <x v="2"/>
    <x v="1"/>
    <s v="Road"/>
    <x v="1"/>
    <n v="7.9"/>
    <n v="1035"/>
    <n v="7"/>
    <n v="8"/>
    <n v="0"/>
    <n v="1"/>
    <n v="17.71"/>
    <n v="0"/>
    <n v="1"/>
  </r>
  <r>
    <s v="SHP-504405"/>
    <d v="2025-09-03T00:00:00"/>
    <x v="1"/>
    <s v="Q3"/>
    <x v="8"/>
    <x v="2"/>
    <x v="2"/>
    <x v="1"/>
    <x v="1"/>
    <s v="Road"/>
    <x v="1"/>
    <n v="7.8"/>
    <n v="286"/>
    <n v="5"/>
    <n v="5"/>
    <n v="1"/>
    <n v="0"/>
    <n v="8.16"/>
    <n v="0"/>
    <n v="1"/>
  </r>
  <r>
    <s v="SHP-504406"/>
    <d v="2025-09-04T00:00:00"/>
    <x v="1"/>
    <s v="Q3"/>
    <x v="8"/>
    <x v="4"/>
    <x v="2"/>
    <x v="1"/>
    <x v="0"/>
    <s v="Road"/>
    <x v="0"/>
    <n v="34.6"/>
    <n v="257"/>
    <n v="3"/>
    <n v="3"/>
    <n v="1"/>
    <n v="0"/>
    <n v="30.24"/>
    <n v="0"/>
    <n v="1"/>
  </r>
  <r>
    <s v="SHP-504407"/>
    <d v="2025-09-04T00:00:00"/>
    <x v="1"/>
    <s v="Q3"/>
    <x v="8"/>
    <x v="4"/>
    <x v="2"/>
    <x v="0"/>
    <x v="2"/>
    <s v="Air"/>
    <x v="1"/>
    <n v="1.2"/>
    <n v="959"/>
    <n v="2"/>
    <n v="1"/>
    <n v="1"/>
    <n v="0"/>
    <n v="56.48"/>
    <n v="0"/>
    <n v="1"/>
  </r>
  <r>
    <s v="SHP-504408"/>
    <d v="2025-09-04T00:00:00"/>
    <x v="1"/>
    <s v="Q3"/>
    <x v="8"/>
    <x v="3"/>
    <x v="2"/>
    <x v="1"/>
    <x v="1"/>
    <s v="Road"/>
    <x v="0"/>
    <n v="120.8"/>
    <n v="233"/>
    <n v="5"/>
    <n v="5"/>
    <n v="1"/>
    <n v="0"/>
    <n v="50.75"/>
    <n v="0"/>
    <n v="1"/>
  </r>
  <r>
    <s v="SHP-504409"/>
    <d v="2025-09-04T00:00:00"/>
    <x v="1"/>
    <s v="Q3"/>
    <x v="8"/>
    <x v="3"/>
    <x v="2"/>
    <x v="0"/>
    <x v="0"/>
    <s v="Road"/>
    <x v="1"/>
    <n v="10.199999999999999"/>
    <n v="930"/>
    <n v="4"/>
    <n v="4"/>
    <n v="1"/>
    <n v="0"/>
    <n v="25.06"/>
    <n v="0"/>
    <n v="1"/>
  </r>
  <r>
    <s v="SHP-504410"/>
    <d v="2025-09-04T00:00:00"/>
    <x v="1"/>
    <s v="Q3"/>
    <x v="8"/>
    <x v="3"/>
    <x v="1"/>
    <x v="3"/>
    <x v="0"/>
    <s v="Road"/>
    <x v="0"/>
    <n v="237.9"/>
    <n v="399"/>
    <n v="4"/>
    <n v="3"/>
    <n v="1"/>
    <n v="0"/>
    <n v="120.25"/>
    <n v="0"/>
    <n v="1"/>
  </r>
  <r>
    <s v="SHP-504411"/>
    <d v="2025-09-04T00:00:00"/>
    <x v="1"/>
    <s v="Q3"/>
    <x v="8"/>
    <x v="2"/>
    <x v="2"/>
    <x v="0"/>
    <x v="0"/>
    <s v="Road"/>
    <x v="0"/>
    <n v="39"/>
    <n v="821"/>
    <n v="4"/>
    <n v="4"/>
    <n v="1"/>
    <n v="0"/>
    <n v="32.229999999999997"/>
    <n v="0"/>
    <n v="1"/>
  </r>
  <r>
    <s v="SHP-504412"/>
    <d v="2025-09-04T00:00:00"/>
    <x v="1"/>
    <s v="Q3"/>
    <x v="8"/>
    <x v="4"/>
    <x v="1"/>
    <x v="0"/>
    <x v="2"/>
    <s v="Air"/>
    <x v="1"/>
    <n v="12.3"/>
    <n v="931"/>
    <n v="2"/>
    <n v="2"/>
    <n v="1"/>
    <n v="0"/>
    <n v="64.739999999999995"/>
    <n v="0"/>
    <n v="1"/>
  </r>
  <r>
    <s v="SHP-504413"/>
    <d v="2025-09-05T00:00:00"/>
    <x v="1"/>
    <s v="Q3"/>
    <x v="8"/>
    <x v="1"/>
    <x v="2"/>
    <x v="0"/>
    <x v="0"/>
    <s v="Road"/>
    <x v="1"/>
    <n v="6"/>
    <n v="811"/>
    <n v="4"/>
    <n v="7"/>
    <n v="0"/>
    <n v="3"/>
    <n v="21.5"/>
    <n v="0"/>
    <n v="1"/>
  </r>
  <r>
    <s v="SHP-504414"/>
    <d v="2025-09-05T00:00:00"/>
    <x v="1"/>
    <s v="Q3"/>
    <x v="8"/>
    <x v="1"/>
    <x v="1"/>
    <x v="2"/>
    <x v="0"/>
    <s v="Road"/>
    <x v="1"/>
    <n v="5"/>
    <n v="1493"/>
    <n v="5"/>
    <n v="5"/>
    <n v="1"/>
    <n v="0"/>
    <n v="28.9"/>
    <n v="0"/>
    <n v="1"/>
  </r>
  <r>
    <s v="SHP-504415"/>
    <d v="2025-09-05T00:00:00"/>
    <x v="1"/>
    <s v="Q3"/>
    <x v="8"/>
    <x v="4"/>
    <x v="1"/>
    <x v="4"/>
    <x v="0"/>
    <s v="Road"/>
    <x v="0"/>
    <n v="190.2"/>
    <n v="1175"/>
    <n v="5"/>
    <n v="5"/>
    <n v="1"/>
    <n v="0"/>
    <n v="91.91"/>
    <n v="0"/>
    <n v="1"/>
  </r>
  <r>
    <s v="SHP-504416"/>
    <d v="2025-09-05T00:00:00"/>
    <x v="1"/>
    <s v="Q3"/>
    <x v="8"/>
    <x v="3"/>
    <x v="1"/>
    <x v="4"/>
    <x v="1"/>
    <s v="Road"/>
    <x v="0"/>
    <n v="261.89999999999998"/>
    <n v="1308"/>
    <n v="7"/>
    <n v="6"/>
    <n v="1"/>
    <n v="0"/>
    <n v="99.18"/>
    <n v="0"/>
    <n v="1"/>
  </r>
  <r>
    <s v="SHP-504417"/>
    <d v="2025-09-05T00:00:00"/>
    <x v="1"/>
    <s v="Q3"/>
    <x v="8"/>
    <x v="0"/>
    <x v="2"/>
    <x v="1"/>
    <x v="2"/>
    <s v="Road"/>
    <x v="0"/>
    <n v="125.6"/>
    <n v="259"/>
    <n v="1"/>
    <n v="1"/>
    <n v="1"/>
    <n v="0"/>
    <n v="129.25"/>
    <n v="0"/>
    <n v="1"/>
  </r>
  <r>
    <s v="SHP-504418"/>
    <d v="2025-09-05T00:00:00"/>
    <x v="1"/>
    <s v="Q3"/>
    <x v="8"/>
    <x v="2"/>
    <x v="2"/>
    <x v="4"/>
    <x v="1"/>
    <s v="Road"/>
    <x v="1"/>
    <n v="3.2"/>
    <n v="813"/>
    <n v="7"/>
    <n v="7"/>
    <n v="1"/>
    <n v="0"/>
    <n v="12.12"/>
    <n v="0"/>
    <n v="1"/>
  </r>
  <r>
    <s v="SHP-504419"/>
    <d v="2025-09-05T00:00:00"/>
    <x v="1"/>
    <s v="Q3"/>
    <x v="8"/>
    <x v="0"/>
    <x v="2"/>
    <x v="0"/>
    <x v="0"/>
    <s v="Road"/>
    <x v="0"/>
    <n v="42.4"/>
    <n v="785"/>
    <n v="4"/>
    <n v="4"/>
    <n v="1"/>
    <n v="0"/>
    <n v="33.47"/>
    <n v="0"/>
    <n v="1"/>
  </r>
  <r>
    <s v="SHP-504420"/>
    <d v="2025-09-05T00:00:00"/>
    <x v="1"/>
    <s v="Q3"/>
    <x v="8"/>
    <x v="3"/>
    <x v="0"/>
    <x v="0"/>
    <x v="2"/>
    <s v="Air"/>
    <x v="0"/>
    <n v="82"/>
    <n v="1015"/>
    <n v="2"/>
    <n v="1"/>
    <n v="1"/>
    <n v="0"/>
    <n v="180.04"/>
    <n v="0"/>
    <n v="1"/>
  </r>
  <r>
    <s v="SHP-504421"/>
    <d v="2025-09-05T00:00:00"/>
    <x v="1"/>
    <s v="Q3"/>
    <x v="8"/>
    <x v="3"/>
    <x v="2"/>
    <x v="4"/>
    <x v="0"/>
    <s v="Road"/>
    <x v="1"/>
    <n v="4.5"/>
    <n v="1348"/>
    <n v="5"/>
    <n v="5"/>
    <n v="1"/>
    <n v="0"/>
    <n v="27.52"/>
    <n v="0"/>
    <n v="1"/>
  </r>
  <r>
    <s v="SHP-504422"/>
    <d v="2025-09-05T00:00:00"/>
    <x v="1"/>
    <s v="Q3"/>
    <x v="8"/>
    <x v="0"/>
    <x v="0"/>
    <x v="1"/>
    <x v="0"/>
    <s v="Road"/>
    <x v="0"/>
    <n v="27.9"/>
    <n v="218"/>
    <n v="3"/>
    <n v="3"/>
    <n v="1"/>
    <n v="0"/>
    <n v="25.03"/>
    <n v="0"/>
    <n v="1"/>
  </r>
  <r>
    <s v="SHP-504423"/>
    <d v="2025-09-06T00:00:00"/>
    <x v="1"/>
    <s v="Q3"/>
    <x v="8"/>
    <x v="2"/>
    <x v="2"/>
    <x v="2"/>
    <x v="0"/>
    <s v="Road"/>
    <x v="0"/>
    <n v="60.4"/>
    <n v="1505"/>
    <n v="5"/>
    <n v="7"/>
    <n v="0"/>
    <n v="2"/>
    <n v="48.6"/>
    <n v="0"/>
    <n v="1"/>
  </r>
  <r>
    <s v="SHP-504424"/>
    <d v="2025-09-06T00:00:00"/>
    <x v="1"/>
    <s v="Q3"/>
    <x v="8"/>
    <x v="3"/>
    <x v="0"/>
    <x v="2"/>
    <x v="0"/>
    <s v="Road"/>
    <x v="1"/>
    <n v="5.0999999999999996"/>
    <n v="1161"/>
    <n v="5"/>
    <n v="4"/>
    <n v="1"/>
    <n v="0"/>
    <n v="26.71"/>
    <n v="0"/>
    <n v="1"/>
  </r>
  <r>
    <s v="SHP-504425"/>
    <d v="2025-09-06T00:00:00"/>
    <x v="1"/>
    <s v="Q3"/>
    <x v="8"/>
    <x v="4"/>
    <x v="1"/>
    <x v="3"/>
    <x v="0"/>
    <s v="Road"/>
    <x v="1"/>
    <n v="4.7"/>
    <n v="539"/>
    <n v="4"/>
    <n v="4"/>
    <n v="1"/>
    <n v="0"/>
    <n v="16.53"/>
    <n v="0"/>
    <n v="1"/>
  </r>
  <r>
    <s v="SHP-504426"/>
    <d v="2025-09-06T00:00:00"/>
    <x v="1"/>
    <s v="Q3"/>
    <x v="8"/>
    <x v="4"/>
    <x v="1"/>
    <x v="2"/>
    <x v="0"/>
    <s v="Road"/>
    <x v="1"/>
    <n v="4.2"/>
    <n v="795"/>
    <n v="5"/>
    <n v="5"/>
    <n v="1"/>
    <n v="0"/>
    <n v="17.96"/>
    <n v="0"/>
    <n v="1"/>
  </r>
  <r>
    <s v="SHP-504427"/>
    <d v="2025-09-06T00:00:00"/>
    <x v="1"/>
    <s v="Q3"/>
    <x v="8"/>
    <x v="1"/>
    <x v="2"/>
    <x v="1"/>
    <x v="1"/>
    <s v="Road"/>
    <x v="1"/>
    <n v="6.8"/>
    <n v="294"/>
    <n v="5"/>
    <n v="7"/>
    <n v="0"/>
    <n v="2"/>
    <n v="10.79"/>
    <n v="0"/>
    <n v="1"/>
  </r>
  <r>
    <s v="SHP-504428"/>
    <d v="2025-09-06T00:00:00"/>
    <x v="1"/>
    <s v="Q3"/>
    <x v="8"/>
    <x v="1"/>
    <x v="0"/>
    <x v="3"/>
    <x v="2"/>
    <s v="Road"/>
    <x v="1"/>
    <n v="4.8"/>
    <n v="427"/>
    <n v="2"/>
    <n v="3"/>
    <n v="0"/>
    <n v="1"/>
    <n v="27.5"/>
    <n v="0"/>
    <n v="1"/>
  </r>
  <r>
    <s v="SHP-504429"/>
    <d v="2025-09-06T00:00:00"/>
    <x v="1"/>
    <s v="Q3"/>
    <x v="8"/>
    <x v="2"/>
    <x v="0"/>
    <x v="1"/>
    <x v="1"/>
    <s v="Road"/>
    <x v="1"/>
    <n v="6.7"/>
    <n v="214"/>
    <n v="5"/>
    <n v="5"/>
    <n v="1"/>
    <n v="0"/>
    <n v="7.76"/>
    <n v="0"/>
    <n v="1"/>
  </r>
  <r>
    <s v="SHP-504430"/>
    <d v="2025-09-06T00:00:00"/>
    <x v="1"/>
    <s v="Q3"/>
    <x v="8"/>
    <x v="2"/>
    <x v="1"/>
    <x v="1"/>
    <x v="0"/>
    <s v="Road"/>
    <x v="1"/>
    <n v="8.6"/>
    <n v="269"/>
    <n v="3"/>
    <n v="4"/>
    <n v="0"/>
    <n v="1"/>
    <n v="13.55"/>
    <n v="0"/>
    <n v="1"/>
  </r>
  <r>
    <s v="SHP-504431"/>
    <d v="2025-09-07T00:00:00"/>
    <x v="1"/>
    <s v="Q3"/>
    <x v="8"/>
    <x v="2"/>
    <x v="2"/>
    <x v="3"/>
    <x v="1"/>
    <s v="Road"/>
    <x v="1"/>
    <n v="1.9"/>
    <n v="490"/>
    <n v="6"/>
    <n v="6"/>
    <n v="1"/>
    <n v="0"/>
    <n v="8.3800000000000008"/>
    <n v="0"/>
    <n v="1"/>
  </r>
  <r>
    <s v="SHP-504432"/>
    <d v="2025-09-07T00:00:00"/>
    <x v="1"/>
    <s v="Q3"/>
    <x v="8"/>
    <x v="4"/>
    <x v="2"/>
    <x v="2"/>
    <x v="2"/>
    <s v="Air"/>
    <x v="1"/>
    <n v="6.5"/>
    <n v="1066"/>
    <n v="3"/>
    <n v="3"/>
    <n v="1"/>
    <n v="0"/>
    <n v="67.39"/>
    <n v="0"/>
    <n v="1"/>
  </r>
  <r>
    <s v="SHP-504433"/>
    <d v="2025-09-07T00:00:00"/>
    <x v="1"/>
    <s v="Q3"/>
    <x v="8"/>
    <x v="3"/>
    <x v="2"/>
    <x v="2"/>
    <x v="1"/>
    <s v="Road"/>
    <x v="1"/>
    <n v="9.8000000000000007"/>
    <n v="1394"/>
    <n v="7"/>
    <n v="11"/>
    <n v="0"/>
    <n v="4"/>
    <n v="22.29"/>
    <n v="0"/>
    <n v="1"/>
  </r>
  <r>
    <s v="SHP-504434"/>
    <d v="2025-09-07T00:00:00"/>
    <x v="1"/>
    <s v="Q3"/>
    <x v="8"/>
    <x v="0"/>
    <x v="2"/>
    <x v="1"/>
    <x v="0"/>
    <s v="Road"/>
    <x v="0"/>
    <n v="97.5"/>
    <n v="234"/>
    <n v="3"/>
    <n v="3"/>
    <n v="1"/>
    <n v="0"/>
    <n v="53.79"/>
    <n v="0"/>
    <n v="1"/>
  </r>
  <r>
    <s v="SHP-504435"/>
    <d v="2025-09-08T00:00:00"/>
    <x v="1"/>
    <s v="Q3"/>
    <x v="8"/>
    <x v="0"/>
    <x v="2"/>
    <x v="1"/>
    <x v="0"/>
    <s v="Road"/>
    <x v="1"/>
    <n v="1"/>
    <n v="199"/>
    <n v="3"/>
    <n v="5"/>
    <n v="0"/>
    <n v="2"/>
    <n v="9.06"/>
    <n v="0"/>
    <n v="1"/>
  </r>
  <r>
    <s v="SHP-504436"/>
    <d v="2025-09-08T00:00:00"/>
    <x v="1"/>
    <s v="Q3"/>
    <x v="8"/>
    <x v="4"/>
    <x v="2"/>
    <x v="2"/>
    <x v="0"/>
    <s v="Road"/>
    <x v="0"/>
    <n v="181.1"/>
    <n v="1324"/>
    <n v="5"/>
    <n v="5"/>
    <n v="1"/>
    <n v="0"/>
    <n v="100.39"/>
    <n v="0"/>
    <n v="1"/>
  </r>
  <r>
    <s v="SHP-504437"/>
    <d v="2025-09-08T00:00:00"/>
    <x v="1"/>
    <s v="Q3"/>
    <x v="8"/>
    <x v="3"/>
    <x v="1"/>
    <x v="3"/>
    <x v="0"/>
    <s v="Road"/>
    <x v="1"/>
    <n v="7.7"/>
    <n v="462"/>
    <n v="4"/>
    <n v="4"/>
    <n v="1"/>
    <n v="0"/>
    <n v="18.91"/>
    <n v="0"/>
    <n v="1"/>
  </r>
  <r>
    <s v="SHP-504438"/>
    <d v="2025-09-08T00:00:00"/>
    <x v="1"/>
    <s v="Q3"/>
    <x v="8"/>
    <x v="3"/>
    <x v="1"/>
    <x v="0"/>
    <x v="0"/>
    <s v="Road"/>
    <x v="0"/>
    <n v="289.5"/>
    <n v="847"/>
    <n v="4"/>
    <n v="4"/>
    <n v="1"/>
    <n v="0"/>
    <n v="141.01"/>
    <n v="0"/>
    <n v="1"/>
  </r>
  <r>
    <s v="SHP-504439"/>
    <d v="2025-09-08T00:00:00"/>
    <x v="1"/>
    <s v="Q3"/>
    <x v="8"/>
    <x v="0"/>
    <x v="2"/>
    <x v="1"/>
    <x v="1"/>
    <s v="Road"/>
    <x v="1"/>
    <n v="5.9"/>
    <n v="246"/>
    <n v="5"/>
    <n v="5"/>
    <n v="1"/>
    <n v="0"/>
    <n v="8.99"/>
    <n v="0"/>
    <n v="1"/>
  </r>
  <r>
    <s v="SHP-504440"/>
    <d v="2025-09-08T00:00:00"/>
    <x v="1"/>
    <s v="Q3"/>
    <x v="8"/>
    <x v="1"/>
    <x v="2"/>
    <x v="3"/>
    <x v="2"/>
    <s v="Road"/>
    <x v="0"/>
    <n v="148.4"/>
    <n v="491"/>
    <n v="2"/>
    <n v="1"/>
    <n v="1"/>
    <n v="0"/>
    <n v="153.13"/>
    <n v="0"/>
    <n v="1"/>
  </r>
  <r>
    <s v="SHP-504441"/>
    <d v="2025-09-08T00:00:00"/>
    <x v="1"/>
    <s v="Q3"/>
    <x v="8"/>
    <x v="1"/>
    <x v="2"/>
    <x v="1"/>
    <x v="0"/>
    <s v="Road"/>
    <x v="1"/>
    <n v="5.4"/>
    <n v="252"/>
    <n v="3"/>
    <n v="3"/>
    <n v="1"/>
    <n v="0"/>
    <n v="14.37"/>
    <n v="0"/>
    <n v="1"/>
  </r>
  <r>
    <s v="SHP-504442"/>
    <d v="2025-09-08T00:00:00"/>
    <x v="1"/>
    <s v="Q3"/>
    <x v="8"/>
    <x v="0"/>
    <x v="1"/>
    <x v="1"/>
    <x v="1"/>
    <s v="Road"/>
    <x v="0"/>
    <n v="23.5"/>
    <n v="370"/>
    <n v="5"/>
    <n v="5"/>
    <n v="1"/>
    <n v="0"/>
    <n v="15.15"/>
    <n v="0"/>
    <n v="1"/>
  </r>
  <r>
    <s v="SHP-504443"/>
    <d v="2025-09-08T00:00:00"/>
    <x v="1"/>
    <s v="Q3"/>
    <x v="8"/>
    <x v="4"/>
    <x v="2"/>
    <x v="1"/>
    <x v="1"/>
    <s v="Road"/>
    <x v="1"/>
    <n v="2"/>
    <n v="319"/>
    <n v="5"/>
    <n v="5"/>
    <n v="1"/>
    <n v="0"/>
    <n v="7.59"/>
    <n v="0"/>
    <n v="1"/>
  </r>
  <r>
    <s v="SHP-504444"/>
    <d v="2025-09-08T00:00:00"/>
    <x v="1"/>
    <s v="Q3"/>
    <x v="8"/>
    <x v="2"/>
    <x v="1"/>
    <x v="1"/>
    <x v="0"/>
    <s v="Road"/>
    <x v="1"/>
    <n v="2.4"/>
    <n v="286"/>
    <n v="3"/>
    <n v="3"/>
    <n v="1"/>
    <n v="0"/>
    <n v="8.91"/>
    <n v="0"/>
    <n v="1"/>
  </r>
  <r>
    <s v="SHP-504445"/>
    <d v="2025-09-08T00:00:00"/>
    <x v="1"/>
    <s v="Q3"/>
    <x v="8"/>
    <x v="4"/>
    <x v="0"/>
    <x v="2"/>
    <x v="0"/>
    <s v="Road"/>
    <x v="0"/>
    <n v="114.9"/>
    <n v="947"/>
    <n v="5"/>
    <n v="4"/>
    <n v="1"/>
    <n v="0"/>
    <n v="71.92"/>
    <n v="0"/>
    <n v="1"/>
  </r>
  <r>
    <s v="SHP-504446"/>
    <d v="2025-09-08T00:00:00"/>
    <x v="1"/>
    <s v="Q3"/>
    <x v="8"/>
    <x v="2"/>
    <x v="1"/>
    <x v="0"/>
    <x v="0"/>
    <s v="Road"/>
    <x v="0"/>
    <n v="42.6"/>
    <n v="1073"/>
    <n v="4"/>
    <n v="6"/>
    <n v="0"/>
    <n v="2"/>
    <n v="32.090000000000003"/>
    <n v="0"/>
    <n v="1"/>
  </r>
  <r>
    <s v="SHP-504447"/>
    <d v="2025-09-08T00:00:00"/>
    <x v="1"/>
    <s v="Q3"/>
    <x v="8"/>
    <x v="2"/>
    <x v="1"/>
    <x v="3"/>
    <x v="1"/>
    <s v="Road"/>
    <x v="1"/>
    <n v="2"/>
    <n v="586"/>
    <n v="6"/>
    <n v="5"/>
    <n v="1"/>
    <n v="0"/>
    <n v="9.2899999999999991"/>
    <n v="0"/>
    <n v="1"/>
  </r>
  <r>
    <s v="SHP-504448"/>
    <d v="2025-09-08T00:00:00"/>
    <x v="1"/>
    <s v="Q3"/>
    <x v="8"/>
    <x v="4"/>
    <x v="2"/>
    <x v="3"/>
    <x v="0"/>
    <s v="Road"/>
    <x v="0"/>
    <n v="56.1"/>
    <n v="544"/>
    <n v="4"/>
    <n v="4"/>
    <n v="1"/>
    <n v="0"/>
    <n v="40.75"/>
    <n v="0"/>
    <n v="1"/>
  </r>
  <r>
    <s v="SHP-504449"/>
    <d v="2025-09-08T00:00:00"/>
    <x v="1"/>
    <s v="Q3"/>
    <x v="8"/>
    <x v="3"/>
    <x v="1"/>
    <x v="1"/>
    <x v="0"/>
    <s v="Road"/>
    <x v="1"/>
    <n v="4.9000000000000004"/>
    <n v="233"/>
    <n v="3"/>
    <n v="3"/>
    <n v="1"/>
    <n v="0"/>
    <n v="14.62"/>
    <n v="0"/>
    <n v="1"/>
  </r>
  <r>
    <s v="SHP-504450"/>
    <d v="2025-09-09T00:00:00"/>
    <x v="1"/>
    <s v="Q3"/>
    <x v="8"/>
    <x v="3"/>
    <x v="2"/>
    <x v="0"/>
    <x v="1"/>
    <s v="Road"/>
    <x v="0"/>
    <n v="115.1"/>
    <n v="845"/>
    <n v="6"/>
    <n v="5"/>
    <n v="1"/>
    <n v="0"/>
    <n v="51.48"/>
    <n v="0"/>
    <n v="1"/>
  </r>
  <r>
    <s v="SHP-504451"/>
    <d v="2025-09-09T00:00:00"/>
    <x v="1"/>
    <s v="Q3"/>
    <x v="8"/>
    <x v="4"/>
    <x v="0"/>
    <x v="1"/>
    <x v="2"/>
    <s v="Road"/>
    <x v="0"/>
    <n v="92"/>
    <n v="258"/>
    <n v="1"/>
    <n v="1"/>
    <n v="1"/>
    <n v="0"/>
    <n v="93.96"/>
    <n v="0"/>
    <n v="1"/>
  </r>
  <r>
    <s v="SHP-504452"/>
    <d v="2025-09-09T00:00:00"/>
    <x v="1"/>
    <s v="Q3"/>
    <x v="8"/>
    <x v="2"/>
    <x v="1"/>
    <x v="2"/>
    <x v="1"/>
    <s v="Road"/>
    <x v="1"/>
    <n v="2.4"/>
    <n v="1301"/>
    <n v="7"/>
    <n v="7"/>
    <n v="1"/>
    <n v="0"/>
    <n v="14.14"/>
    <n v="0"/>
    <n v="1"/>
  </r>
  <r>
    <s v="SHP-504453"/>
    <d v="2025-09-09T00:00:00"/>
    <x v="1"/>
    <s v="Q3"/>
    <x v="8"/>
    <x v="2"/>
    <x v="1"/>
    <x v="4"/>
    <x v="0"/>
    <s v="Road"/>
    <x v="1"/>
    <n v="5.4"/>
    <n v="1037"/>
    <n v="5"/>
    <n v="5"/>
    <n v="1"/>
    <n v="0"/>
    <n v="19.96"/>
    <n v="0"/>
    <n v="1"/>
  </r>
  <r>
    <s v="SHP-504454"/>
    <d v="2025-09-09T00:00:00"/>
    <x v="1"/>
    <s v="Q3"/>
    <x v="8"/>
    <x v="1"/>
    <x v="1"/>
    <x v="0"/>
    <x v="2"/>
    <s v="Air"/>
    <x v="1"/>
    <n v="8.6999999999999993"/>
    <n v="854"/>
    <n v="2"/>
    <n v="2"/>
    <n v="1"/>
    <n v="0"/>
    <n v="76.349999999999994"/>
    <n v="0"/>
    <n v="1"/>
  </r>
  <r>
    <s v="SHP-504455"/>
    <d v="2025-09-09T00:00:00"/>
    <x v="1"/>
    <s v="Q3"/>
    <x v="8"/>
    <x v="2"/>
    <x v="1"/>
    <x v="1"/>
    <x v="1"/>
    <s v="Road"/>
    <x v="1"/>
    <n v="21"/>
    <n v="254"/>
    <n v="5"/>
    <n v="5"/>
    <n v="1"/>
    <n v="0"/>
    <n v="13.48"/>
    <n v="0"/>
    <n v="1"/>
  </r>
  <r>
    <s v="SHP-504456"/>
    <d v="2025-09-09T00:00:00"/>
    <x v="1"/>
    <s v="Q3"/>
    <x v="8"/>
    <x v="2"/>
    <x v="2"/>
    <x v="4"/>
    <x v="1"/>
    <s v="Road"/>
    <x v="1"/>
    <n v="6.8"/>
    <n v="944"/>
    <n v="7"/>
    <n v="7"/>
    <n v="1"/>
    <n v="0"/>
    <n v="12.46"/>
    <n v="0"/>
    <n v="1"/>
  </r>
  <r>
    <s v="SHP-504457"/>
    <d v="2025-09-09T00:00:00"/>
    <x v="1"/>
    <s v="Q3"/>
    <x v="8"/>
    <x v="3"/>
    <x v="2"/>
    <x v="0"/>
    <x v="2"/>
    <s v="Air"/>
    <x v="1"/>
    <n v="4.7"/>
    <n v="939"/>
    <n v="2"/>
    <n v="2"/>
    <n v="1"/>
    <n v="0"/>
    <n v="60.08"/>
    <n v="0"/>
    <n v="1"/>
  </r>
  <r>
    <s v="SHP-504458"/>
    <d v="2025-09-09T00:00:00"/>
    <x v="1"/>
    <s v="Q3"/>
    <x v="8"/>
    <x v="0"/>
    <x v="2"/>
    <x v="1"/>
    <x v="1"/>
    <s v="Road"/>
    <x v="0"/>
    <n v="94.2"/>
    <n v="201"/>
    <n v="5"/>
    <n v="5"/>
    <n v="1"/>
    <n v="0"/>
    <n v="39.78"/>
    <n v="0"/>
    <n v="1"/>
  </r>
  <r>
    <s v="SHP-504459"/>
    <d v="2025-09-10T00:00:00"/>
    <x v="1"/>
    <s v="Q3"/>
    <x v="8"/>
    <x v="4"/>
    <x v="2"/>
    <x v="0"/>
    <x v="2"/>
    <s v="Air"/>
    <x v="1"/>
    <n v="7.8"/>
    <n v="942"/>
    <n v="2"/>
    <n v="2"/>
    <n v="1"/>
    <n v="0"/>
    <n v="57.41"/>
    <n v="0"/>
    <n v="1"/>
  </r>
  <r>
    <s v="SHP-504460"/>
    <d v="2025-09-10T00:00:00"/>
    <x v="1"/>
    <s v="Q3"/>
    <x v="8"/>
    <x v="0"/>
    <x v="1"/>
    <x v="1"/>
    <x v="1"/>
    <s v="Road"/>
    <x v="0"/>
    <n v="73.5"/>
    <n v="252"/>
    <n v="5"/>
    <n v="5"/>
    <n v="1"/>
    <n v="0"/>
    <n v="29.78"/>
    <n v="0"/>
    <n v="1"/>
  </r>
  <r>
    <s v="SHP-504461"/>
    <d v="2025-09-10T00:00:00"/>
    <x v="1"/>
    <s v="Q3"/>
    <x v="8"/>
    <x v="1"/>
    <x v="1"/>
    <x v="3"/>
    <x v="0"/>
    <s v="Road"/>
    <x v="1"/>
    <n v="6.6"/>
    <n v="385"/>
    <n v="4"/>
    <n v="3"/>
    <n v="1"/>
    <n v="0"/>
    <n v="15.99"/>
    <n v="0"/>
    <n v="1"/>
  </r>
  <r>
    <s v="SHP-504462"/>
    <d v="2025-09-10T00:00:00"/>
    <x v="1"/>
    <s v="Q3"/>
    <x v="8"/>
    <x v="2"/>
    <x v="2"/>
    <x v="0"/>
    <x v="0"/>
    <s v="Road"/>
    <x v="1"/>
    <n v="4"/>
    <n v="826"/>
    <n v="4"/>
    <n v="4"/>
    <n v="1"/>
    <n v="0"/>
    <n v="15.8"/>
    <n v="0"/>
    <n v="1"/>
  </r>
  <r>
    <s v="SHP-504463"/>
    <d v="2025-09-10T00:00:00"/>
    <x v="1"/>
    <s v="Q3"/>
    <x v="8"/>
    <x v="0"/>
    <x v="2"/>
    <x v="1"/>
    <x v="0"/>
    <s v="Road"/>
    <x v="0"/>
    <n v="175.3"/>
    <n v="244"/>
    <n v="3"/>
    <n v="3"/>
    <n v="1"/>
    <n v="0"/>
    <n v="84.13"/>
    <n v="0"/>
    <n v="1"/>
  </r>
  <r>
    <s v="SHP-504464"/>
    <d v="2025-09-10T00:00:00"/>
    <x v="1"/>
    <s v="Q3"/>
    <x v="8"/>
    <x v="3"/>
    <x v="2"/>
    <x v="2"/>
    <x v="1"/>
    <s v="Road"/>
    <x v="1"/>
    <n v="7.4"/>
    <n v="1239"/>
    <n v="7"/>
    <n v="7"/>
    <n v="1"/>
    <n v="0"/>
    <n v="19.28"/>
    <n v="0"/>
    <n v="1"/>
  </r>
  <r>
    <s v="SHP-504465"/>
    <d v="2025-09-10T00:00:00"/>
    <x v="1"/>
    <s v="Q3"/>
    <x v="8"/>
    <x v="4"/>
    <x v="0"/>
    <x v="2"/>
    <x v="0"/>
    <s v="Road"/>
    <x v="0"/>
    <n v="154.19999999999999"/>
    <n v="1261"/>
    <n v="5"/>
    <n v="4"/>
    <n v="1"/>
    <n v="0"/>
    <n v="88.06"/>
    <n v="0"/>
    <n v="1"/>
  </r>
  <r>
    <s v="SHP-504466"/>
    <d v="2025-09-10T00:00:00"/>
    <x v="1"/>
    <s v="Q3"/>
    <x v="8"/>
    <x v="4"/>
    <x v="1"/>
    <x v="0"/>
    <x v="0"/>
    <s v="Road"/>
    <x v="0"/>
    <n v="275.8"/>
    <n v="1220"/>
    <n v="4"/>
    <n v="4"/>
    <n v="1"/>
    <n v="0"/>
    <n v="145"/>
    <n v="0"/>
    <n v="1"/>
  </r>
  <r>
    <s v="SHP-504467"/>
    <d v="2025-09-10T00:00:00"/>
    <x v="1"/>
    <s v="Q3"/>
    <x v="8"/>
    <x v="2"/>
    <x v="1"/>
    <x v="1"/>
    <x v="2"/>
    <s v="Road"/>
    <x v="1"/>
    <n v="5.2"/>
    <n v="329"/>
    <n v="1"/>
    <n v="1"/>
    <n v="1"/>
    <n v="0"/>
    <n v="21.17"/>
    <n v="0"/>
    <n v="1"/>
  </r>
  <r>
    <s v="SHP-504468"/>
    <d v="2025-09-10T00:00:00"/>
    <x v="1"/>
    <s v="Q3"/>
    <x v="8"/>
    <x v="1"/>
    <x v="1"/>
    <x v="1"/>
    <x v="2"/>
    <s v="Road"/>
    <x v="1"/>
    <n v="1.7"/>
    <n v="192"/>
    <n v="1"/>
    <n v="1"/>
    <n v="1"/>
    <n v="0"/>
    <n v="19.579999999999998"/>
    <n v="0"/>
    <n v="1"/>
  </r>
  <r>
    <s v="SHP-504469"/>
    <d v="2025-09-10T00:00:00"/>
    <x v="1"/>
    <s v="Q3"/>
    <x v="8"/>
    <x v="1"/>
    <x v="0"/>
    <x v="3"/>
    <x v="2"/>
    <s v="Road"/>
    <x v="0"/>
    <n v="237.5"/>
    <n v="636"/>
    <n v="2"/>
    <n v="1"/>
    <n v="1"/>
    <n v="0"/>
    <n v="213.03"/>
    <n v="0"/>
    <n v="1"/>
  </r>
  <r>
    <s v="SHP-504470"/>
    <d v="2025-09-10T00:00:00"/>
    <x v="1"/>
    <s v="Q3"/>
    <x v="8"/>
    <x v="1"/>
    <x v="2"/>
    <x v="0"/>
    <x v="1"/>
    <s v="Road"/>
    <x v="1"/>
    <n v="5.3"/>
    <n v="845"/>
    <n v="6"/>
    <n v="6"/>
    <n v="1"/>
    <n v="0"/>
    <n v="15.29"/>
    <n v="0"/>
    <n v="1"/>
  </r>
  <r>
    <s v="SHP-504471"/>
    <d v="2025-09-11T00:00:00"/>
    <x v="1"/>
    <s v="Q3"/>
    <x v="8"/>
    <x v="4"/>
    <x v="2"/>
    <x v="3"/>
    <x v="0"/>
    <s v="Road"/>
    <x v="0"/>
    <n v="97.9"/>
    <n v="439"/>
    <n v="4"/>
    <n v="4"/>
    <n v="1"/>
    <n v="0"/>
    <n v="57.78"/>
    <n v="0"/>
    <n v="1"/>
  </r>
  <r>
    <s v="SHP-504472"/>
    <d v="2025-09-11T00:00:00"/>
    <x v="1"/>
    <s v="Q3"/>
    <x v="8"/>
    <x v="2"/>
    <x v="1"/>
    <x v="1"/>
    <x v="0"/>
    <s v="Road"/>
    <x v="0"/>
    <n v="107.1"/>
    <n v="321"/>
    <n v="3"/>
    <n v="4"/>
    <n v="0"/>
    <n v="1"/>
    <n v="49.98"/>
    <n v="0"/>
    <n v="1"/>
  </r>
  <r>
    <s v="SHP-504473"/>
    <d v="2025-09-11T00:00:00"/>
    <x v="1"/>
    <s v="Q3"/>
    <x v="8"/>
    <x v="1"/>
    <x v="1"/>
    <x v="3"/>
    <x v="1"/>
    <s v="Road"/>
    <x v="1"/>
    <n v="4.5"/>
    <n v="459"/>
    <n v="6"/>
    <n v="6"/>
    <n v="1"/>
    <n v="0"/>
    <n v="11.78"/>
    <n v="0"/>
    <n v="1"/>
  </r>
  <r>
    <s v="SHP-504474"/>
    <d v="2025-09-11T00:00:00"/>
    <x v="1"/>
    <s v="Q3"/>
    <x v="8"/>
    <x v="3"/>
    <x v="0"/>
    <x v="0"/>
    <x v="0"/>
    <s v="Road"/>
    <x v="1"/>
    <n v="15.5"/>
    <n v="1066"/>
    <n v="4"/>
    <n v="4"/>
    <n v="1"/>
    <n v="0"/>
    <n v="31.11"/>
    <n v="0"/>
    <n v="1"/>
  </r>
  <r>
    <s v="SHP-504475"/>
    <d v="2025-09-11T00:00:00"/>
    <x v="1"/>
    <s v="Q3"/>
    <x v="8"/>
    <x v="3"/>
    <x v="2"/>
    <x v="3"/>
    <x v="0"/>
    <s v="Road"/>
    <x v="1"/>
    <n v="2.7"/>
    <n v="441"/>
    <n v="4"/>
    <n v="4"/>
    <n v="1"/>
    <n v="0"/>
    <n v="14.06"/>
    <n v="0"/>
    <n v="1"/>
  </r>
  <r>
    <s v="SHP-504476"/>
    <d v="2025-09-11T00:00:00"/>
    <x v="1"/>
    <s v="Q3"/>
    <x v="8"/>
    <x v="4"/>
    <x v="1"/>
    <x v="3"/>
    <x v="1"/>
    <s v="Road"/>
    <x v="1"/>
    <n v="6.3"/>
    <n v="561"/>
    <n v="6"/>
    <n v="6"/>
    <n v="1"/>
    <n v="0"/>
    <n v="11.41"/>
    <n v="0"/>
    <n v="1"/>
  </r>
  <r>
    <s v="SHP-504477"/>
    <d v="2025-09-12T00:00:00"/>
    <x v="1"/>
    <s v="Q3"/>
    <x v="8"/>
    <x v="3"/>
    <x v="1"/>
    <x v="2"/>
    <x v="2"/>
    <s v="Air"/>
    <x v="1"/>
    <n v="10.5"/>
    <n v="1208"/>
    <n v="3"/>
    <n v="2"/>
    <n v="1"/>
    <n v="0"/>
    <n v="97.58"/>
    <n v="0"/>
    <n v="1"/>
  </r>
  <r>
    <s v="SHP-504478"/>
    <d v="2025-09-12T00:00:00"/>
    <x v="1"/>
    <s v="Q3"/>
    <x v="8"/>
    <x v="0"/>
    <x v="2"/>
    <x v="3"/>
    <x v="0"/>
    <s v="Road"/>
    <x v="1"/>
    <n v="6.3"/>
    <n v="534"/>
    <n v="4"/>
    <n v="3"/>
    <n v="1"/>
    <n v="0"/>
    <n v="16.38"/>
    <n v="0"/>
    <n v="1"/>
  </r>
  <r>
    <s v="SHP-504479"/>
    <d v="2025-09-12T00:00:00"/>
    <x v="1"/>
    <s v="Q3"/>
    <x v="8"/>
    <x v="3"/>
    <x v="0"/>
    <x v="4"/>
    <x v="0"/>
    <s v="Road"/>
    <x v="1"/>
    <n v="9.9"/>
    <n v="966"/>
    <n v="5"/>
    <n v="5"/>
    <n v="1"/>
    <n v="0"/>
    <n v="27.06"/>
    <n v="0"/>
    <n v="1"/>
  </r>
  <r>
    <s v="SHP-504480"/>
    <d v="2025-09-12T00:00:00"/>
    <x v="1"/>
    <s v="Q3"/>
    <x v="8"/>
    <x v="0"/>
    <x v="1"/>
    <x v="3"/>
    <x v="1"/>
    <s v="Road"/>
    <x v="0"/>
    <n v="183.7"/>
    <n v="496"/>
    <n v="6"/>
    <n v="7"/>
    <n v="0"/>
    <n v="1"/>
    <n v="59.82"/>
    <n v="0"/>
    <n v="1"/>
  </r>
  <r>
    <s v="SHP-504481"/>
    <d v="2025-09-12T00:00:00"/>
    <x v="1"/>
    <s v="Q3"/>
    <x v="8"/>
    <x v="3"/>
    <x v="1"/>
    <x v="3"/>
    <x v="0"/>
    <s v="Road"/>
    <x v="0"/>
    <n v="36.299999999999997"/>
    <n v="477"/>
    <n v="4"/>
    <n v="3"/>
    <n v="1"/>
    <n v="0"/>
    <n v="31.42"/>
    <n v="0"/>
    <n v="1"/>
  </r>
  <r>
    <s v="SHP-504482"/>
    <d v="2025-09-12T00:00:00"/>
    <x v="1"/>
    <s v="Q3"/>
    <x v="8"/>
    <x v="4"/>
    <x v="0"/>
    <x v="1"/>
    <x v="0"/>
    <s v="Road"/>
    <x v="1"/>
    <n v="21.2"/>
    <n v="204"/>
    <n v="3"/>
    <n v="3"/>
    <n v="1"/>
    <n v="0"/>
    <n v="19.399999999999999"/>
    <n v="0"/>
    <n v="1"/>
  </r>
  <r>
    <s v="SHP-504483"/>
    <d v="2025-09-12T00:00:00"/>
    <x v="1"/>
    <s v="Q3"/>
    <x v="8"/>
    <x v="4"/>
    <x v="0"/>
    <x v="1"/>
    <x v="0"/>
    <s v="Road"/>
    <x v="1"/>
    <n v="16.2"/>
    <n v="262"/>
    <n v="3"/>
    <n v="3"/>
    <n v="1"/>
    <n v="0"/>
    <n v="18.86"/>
    <n v="0"/>
    <n v="1"/>
  </r>
  <r>
    <s v="SHP-504484"/>
    <d v="2025-09-12T00:00:00"/>
    <x v="1"/>
    <s v="Q3"/>
    <x v="8"/>
    <x v="3"/>
    <x v="2"/>
    <x v="1"/>
    <x v="1"/>
    <s v="Road"/>
    <x v="0"/>
    <n v="76.2"/>
    <n v="296"/>
    <n v="5"/>
    <n v="5"/>
    <n v="1"/>
    <n v="0"/>
    <n v="33.340000000000003"/>
    <n v="0"/>
    <n v="1"/>
  </r>
  <r>
    <s v="SHP-504485"/>
    <d v="2025-09-12T00:00:00"/>
    <x v="1"/>
    <s v="Q3"/>
    <x v="8"/>
    <x v="2"/>
    <x v="2"/>
    <x v="1"/>
    <x v="2"/>
    <s v="Road"/>
    <x v="1"/>
    <n v="6.9"/>
    <n v="281"/>
    <n v="1"/>
    <n v="1"/>
    <n v="1"/>
    <n v="0"/>
    <n v="23.8"/>
    <n v="0"/>
    <n v="1"/>
  </r>
  <r>
    <s v="SHP-504486"/>
    <d v="2025-09-12T00:00:00"/>
    <x v="1"/>
    <s v="Q3"/>
    <x v="8"/>
    <x v="2"/>
    <x v="1"/>
    <x v="0"/>
    <x v="0"/>
    <s v="Road"/>
    <x v="0"/>
    <n v="92.8"/>
    <n v="749"/>
    <n v="4"/>
    <n v="4"/>
    <n v="1"/>
    <n v="0"/>
    <n v="55.42"/>
    <n v="0"/>
    <n v="1"/>
  </r>
  <r>
    <s v="SHP-504487"/>
    <d v="2025-09-12T00:00:00"/>
    <x v="1"/>
    <s v="Q3"/>
    <x v="8"/>
    <x v="4"/>
    <x v="2"/>
    <x v="2"/>
    <x v="0"/>
    <s v="Road"/>
    <x v="1"/>
    <n v="5.0999999999999996"/>
    <n v="1210"/>
    <n v="5"/>
    <n v="5"/>
    <n v="1"/>
    <n v="0"/>
    <n v="23.67"/>
    <n v="0"/>
    <n v="1"/>
  </r>
  <r>
    <s v="SHP-504488"/>
    <d v="2025-09-12T00:00:00"/>
    <x v="1"/>
    <s v="Q3"/>
    <x v="8"/>
    <x v="4"/>
    <x v="1"/>
    <x v="0"/>
    <x v="0"/>
    <s v="Road"/>
    <x v="0"/>
    <n v="140.9"/>
    <n v="935"/>
    <n v="4"/>
    <n v="7"/>
    <n v="0"/>
    <n v="3"/>
    <n v="73.760000000000005"/>
    <n v="0"/>
    <n v="1"/>
  </r>
  <r>
    <s v="SHP-504489"/>
    <d v="2025-09-13T00:00:00"/>
    <x v="1"/>
    <s v="Q3"/>
    <x v="8"/>
    <x v="1"/>
    <x v="0"/>
    <x v="2"/>
    <x v="1"/>
    <s v="Road"/>
    <x v="0"/>
    <n v="22.7"/>
    <n v="787"/>
    <n v="7"/>
    <n v="7"/>
    <n v="1"/>
    <n v="0"/>
    <n v="22.85"/>
    <n v="0"/>
    <n v="1"/>
  </r>
  <r>
    <s v="SHP-504490"/>
    <d v="2025-09-13T00:00:00"/>
    <x v="1"/>
    <s v="Q3"/>
    <x v="8"/>
    <x v="4"/>
    <x v="1"/>
    <x v="2"/>
    <x v="0"/>
    <s v="Road"/>
    <x v="1"/>
    <n v="0.9"/>
    <n v="909"/>
    <n v="5"/>
    <n v="5"/>
    <n v="1"/>
    <n v="0"/>
    <n v="17.93"/>
    <n v="0"/>
    <n v="1"/>
  </r>
  <r>
    <s v="SHP-504491"/>
    <d v="2025-09-13T00:00:00"/>
    <x v="1"/>
    <s v="Q3"/>
    <x v="8"/>
    <x v="3"/>
    <x v="0"/>
    <x v="1"/>
    <x v="0"/>
    <s v="Road"/>
    <x v="1"/>
    <n v="5.6"/>
    <n v="309"/>
    <n v="3"/>
    <n v="3"/>
    <n v="1"/>
    <n v="0"/>
    <n v="15.05"/>
    <n v="0"/>
    <n v="1"/>
  </r>
  <r>
    <s v="SHP-504492"/>
    <d v="2025-09-14T00:00:00"/>
    <x v="1"/>
    <s v="Q3"/>
    <x v="8"/>
    <x v="0"/>
    <x v="2"/>
    <x v="3"/>
    <x v="0"/>
    <s v="Road"/>
    <x v="0"/>
    <n v="79.2"/>
    <n v="509"/>
    <n v="4"/>
    <n v="4"/>
    <n v="1"/>
    <n v="0"/>
    <n v="45.73"/>
    <n v="0"/>
    <n v="1"/>
  </r>
  <r>
    <s v="SHP-504493"/>
    <d v="2025-09-14T00:00:00"/>
    <x v="1"/>
    <s v="Q3"/>
    <x v="8"/>
    <x v="4"/>
    <x v="0"/>
    <x v="1"/>
    <x v="0"/>
    <s v="Road"/>
    <x v="1"/>
    <n v="2.2999999999999998"/>
    <n v="290"/>
    <n v="3"/>
    <n v="3"/>
    <n v="1"/>
    <n v="0"/>
    <n v="11.56"/>
    <n v="0"/>
    <n v="1"/>
  </r>
  <r>
    <s v="SHP-504494"/>
    <d v="2025-09-14T00:00:00"/>
    <x v="1"/>
    <s v="Q3"/>
    <x v="8"/>
    <x v="1"/>
    <x v="1"/>
    <x v="3"/>
    <x v="0"/>
    <s v="Road"/>
    <x v="1"/>
    <n v="1.4"/>
    <n v="649"/>
    <n v="4"/>
    <n v="4"/>
    <n v="1"/>
    <n v="0"/>
    <n v="15.88"/>
    <n v="0"/>
    <n v="1"/>
  </r>
  <r>
    <s v="SHP-504495"/>
    <d v="2025-09-15T00:00:00"/>
    <x v="1"/>
    <s v="Q3"/>
    <x v="8"/>
    <x v="2"/>
    <x v="0"/>
    <x v="4"/>
    <x v="2"/>
    <s v="Air"/>
    <x v="1"/>
    <n v="3"/>
    <n v="1046"/>
    <n v="3"/>
    <n v="2"/>
    <n v="1"/>
    <n v="0"/>
    <n v="53.78"/>
    <n v="0"/>
    <n v="1"/>
  </r>
  <r>
    <s v="SHP-504496"/>
    <d v="2025-09-15T00:00:00"/>
    <x v="1"/>
    <s v="Q3"/>
    <x v="8"/>
    <x v="3"/>
    <x v="0"/>
    <x v="3"/>
    <x v="1"/>
    <s v="Road"/>
    <x v="1"/>
    <n v="9.5"/>
    <n v="491"/>
    <n v="6"/>
    <n v="6"/>
    <n v="1"/>
    <n v="0"/>
    <n v="14.17"/>
    <n v="0"/>
    <n v="1"/>
  </r>
  <r>
    <s v="SHP-504497"/>
    <d v="2025-09-15T00:00:00"/>
    <x v="1"/>
    <s v="Q3"/>
    <x v="8"/>
    <x v="4"/>
    <x v="1"/>
    <x v="3"/>
    <x v="1"/>
    <s v="Road"/>
    <x v="0"/>
    <n v="190.6"/>
    <n v="435"/>
    <n v="6"/>
    <n v="8"/>
    <n v="0"/>
    <n v="2"/>
    <n v="70.13"/>
    <n v="0"/>
    <n v="1"/>
  </r>
  <r>
    <s v="SHP-504498"/>
    <d v="2025-09-15T00:00:00"/>
    <x v="1"/>
    <s v="Q3"/>
    <x v="8"/>
    <x v="2"/>
    <x v="2"/>
    <x v="1"/>
    <x v="0"/>
    <s v="Road"/>
    <x v="1"/>
    <n v="14.1"/>
    <n v="215"/>
    <n v="3"/>
    <n v="3"/>
    <n v="1"/>
    <n v="0"/>
    <n v="14.16"/>
    <n v="0"/>
    <n v="1"/>
  </r>
  <r>
    <s v="SHP-504499"/>
    <d v="2025-09-15T00:00:00"/>
    <x v="1"/>
    <s v="Q3"/>
    <x v="8"/>
    <x v="4"/>
    <x v="2"/>
    <x v="0"/>
    <x v="0"/>
    <s v="Road"/>
    <x v="1"/>
    <n v="7.6"/>
    <n v="903"/>
    <n v="4"/>
    <n v="6"/>
    <n v="0"/>
    <n v="2"/>
    <n v="22.8"/>
    <n v="0"/>
    <n v="1"/>
  </r>
  <r>
    <s v="SHP-504500"/>
    <d v="2025-09-16T00:00:00"/>
    <x v="1"/>
    <s v="Q3"/>
    <x v="8"/>
    <x v="2"/>
    <x v="1"/>
    <x v="1"/>
    <x v="0"/>
    <s v="Road"/>
    <x v="1"/>
    <n v="5.9"/>
    <n v="293"/>
    <n v="3"/>
    <n v="2"/>
    <n v="1"/>
    <n v="0"/>
    <n v="13.05"/>
    <n v="0"/>
    <n v="1"/>
  </r>
  <r>
    <s v="SHP-504501"/>
    <d v="2025-09-16T00:00:00"/>
    <x v="1"/>
    <s v="Q3"/>
    <x v="8"/>
    <x v="1"/>
    <x v="1"/>
    <x v="3"/>
    <x v="0"/>
    <s v="Road"/>
    <x v="0"/>
    <n v="12.8"/>
    <n v="466"/>
    <n v="4"/>
    <n v="4"/>
    <n v="1"/>
    <n v="0"/>
    <n v="20.93"/>
    <n v="0"/>
    <n v="1"/>
  </r>
  <r>
    <s v="SHP-504502"/>
    <d v="2025-09-16T00:00:00"/>
    <x v="1"/>
    <s v="Q3"/>
    <x v="8"/>
    <x v="4"/>
    <x v="1"/>
    <x v="0"/>
    <x v="0"/>
    <s v="Road"/>
    <x v="0"/>
    <n v="24"/>
    <n v="793"/>
    <n v="4"/>
    <n v="4"/>
    <n v="1"/>
    <n v="0"/>
    <n v="28.7"/>
    <n v="0"/>
    <n v="1"/>
  </r>
  <r>
    <s v="SHP-504503"/>
    <d v="2025-09-16T00:00:00"/>
    <x v="1"/>
    <s v="Q3"/>
    <x v="8"/>
    <x v="3"/>
    <x v="2"/>
    <x v="1"/>
    <x v="1"/>
    <s v="Road"/>
    <x v="0"/>
    <n v="116.7"/>
    <n v="238"/>
    <n v="5"/>
    <n v="5"/>
    <n v="1"/>
    <n v="0"/>
    <n v="50.39"/>
    <n v="0"/>
    <n v="1"/>
  </r>
  <r>
    <s v="SHP-504504"/>
    <d v="2025-09-16T00:00:00"/>
    <x v="1"/>
    <s v="Q3"/>
    <x v="8"/>
    <x v="4"/>
    <x v="2"/>
    <x v="3"/>
    <x v="2"/>
    <s v="Road"/>
    <x v="1"/>
    <n v="7.4"/>
    <n v="485"/>
    <n v="2"/>
    <n v="1"/>
    <n v="1"/>
    <n v="0"/>
    <n v="33.14"/>
    <n v="0"/>
    <n v="1"/>
  </r>
  <r>
    <s v="SHP-504505"/>
    <d v="2025-09-16T00:00:00"/>
    <x v="1"/>
    <s v="Q3"/>
    <x v="8"/>
    <x v="3"/>
    <x v="1"/>
    <x v="3"/>
    <x v="0"/>
    <s v="Road"/>
    <x v="0"/>
    <n v="49.7"/>
    <n v="473"/>
    <n v="4"/>
    <n v="4"/>
    <n v="1"/>
    <n v="0"/>
    <n v="41.24"/>
    <n v="0"/>
    <n v="1"/>
  </r>
  <r>
    <s v="SHP-504506"/>
    <d v="2025-09-16T00:00:00"/>
    <x v="1"/>
    <s v="Q3"/>
    <x v="8"/>
    <x v="3"/>
    <x v="1"/>
    <x v="4"/>
    <x v="1"/>
    <s v="Road"/>
    <x v="1"/>
    <n v="10.1"/>
    <n v="1024"/>
    <n v="7"/>
    <n v="8"/>
    <n v="0"/>
    <n v="1"/>
    <n v="20.43"/>
    <n v="0"/>
    <n v="1"/>
  </r>
  <r>
    <s v="SHP-504507"/>
    <d v="2025-09-17T00:00:00"/>
    <x v="1"/>
    <s v="Q3"/>
    <x v="8"/>
    <x v="1"/>
    <x v="1"/>
    <x v="0"/>
    <x v="0"/>
    <s v="Road"/>
    <x v="1"/>
    <n v="5.9"/>
    <n v="811"/>
    <n v="4"/>
    <n v="3"/>
    <n v="1"/>
    <n v="0"/>
    <n v="20.21"/>
    <n v="0"/>
    <n v="1"/>
  </r>
  <r>
    <s v="SHP-504508"/>
    <d v="2025-09-17T00:00:00"/>
    <x v="1"/>
    <s v="Q3"/>
    <x v="8"/>
    <x v="4"/>
    <x v="1"/>
    <x v="1"/>
    <x v="0"/>
    <s v="Road"/>
    <x v="1"/>
    <n v="1.7"/>
    <n v="225"/>
    <n v="3"/>
    <n v="6"/>
    <n v="0"/>
    <n v="3"/>
    <n v="9.73"/>
    <n v="0"/>
    <n v="1"/>
  </r>
  <r>
    <s v="SHP-504509"/>
    <d v="2025-09-17T00:00:00"/>
    <x v="1"/>
    <s v="Q3"/>
    <x v="8"/>
    <x v="2"/>
    <x v="2"/>
    <x v="1"/>
    <x v="0"/>
    <s v="Road"/>
    <x v="0"/>
    <n v="61.8"/>
    <n v="263"/>
    <n v="3"/>
    <n v="8"/>
    <n v="0"/>
    <n v="5"/>
    <n v="30.74"/>
    <n v="0"/>
    <n v="1"/>
  </r>
  <r>
    <s v="SHP-504510"/>
    <d v="2025-09-17T00:00:00"/>
    <x v="1"/>
    <s v="Q3"/>
    <x v="8"/>
    <x v="3"/>
    <x v="0"/>
    <x v="1"/>
    <x v="0"/>
    <s v="Road"/>
    <x v="1"/>
    <n v="7.3"/>
    <n v="245"/>
    <n v="3"/>
    <n v="3"/>
    <n v="1"/>
    <n v="0"/>
    <n v="14.48"/>
    <n v="0"/>
    <n v="1"/>
  </r>
  <r>
    <s v="SHP-504511"/>
    <d v="2025-09-18T00:00:00"/>
    <x v="1"/>
    <s v="Q3"/>
    <x v="8"/>
    <x v="3"/>
    <x v="1"/>
    <x v="1"/>
    <x v="0"/>
    <s v="Road"/>
    <x v="1"/>
    <n v="9.5"/>
    <n v="315"/>
    <n v="3"/>
    <n v="3"/>
    <n v="1"/>
    <n v="0"/>
    <n v="18.37"/>
    <n v="0"/>
    <n v="1"/>
  </r>
  <r>
    <s v="SHP-504512"/>
    <d v="2025-09-18T00:00:00"/>
    <x v="1"/>
    <s v="Q3"/>
    <x v="8"/>
    <x v="0"/>
    <x v="2"/>
    <x v="1"/>
    <x v="2"/>
    <s v="Road"/>
    <x v="0"/>
    <n v="29.8"/>
    <n v="303"/>
    <n v="1"/>
    <n v="1"/>
    <n v="1"/>
    <n v="0"/>
    <n v="47.11"/>
    <n v="0"/>
    <n v="1"/>
  </r>
  <r>
    <s v="SHP-504513"/>
    <d v="2025-09-18T00:00:00"/>
    <x v="1"/>
    <s v="Q3"/>
    <x v="8"/>
    <x v="1"/>
    <x v="1"/>
    <x v="3"/>
    <x v="1"/>
    <s v="Road"/>
    <x v="0"/>
    <n v="70.099999999999994"/>
    <n v="554"/>
    <n v="6"/>
    <n v="6"/>
    <n v="1"/>
    <n v="0"/>
    <n v="34.340000000000003"/>
    <n v="0"/>
    <n v="1"/>
  </r>
  <r>
    <s v="SHP-504514"/>
    <d v="2025-09-18T00:00:00"/>
    <x v="1"/>
    <s v="Q3"/>
    <x v="8"/>
    <x v="0"/>
    <x v="1"/>
    <x v="0"/>
    <x v="0"/>
    <s v="Road"/>
    <x v="0"/>
    <n v="25"/>
    <n v="803"/>
    <n v="4"/>
    <n v="3"/>
    <n v="1"/>
    <n v="0"/>
    <n v="26.96"/>
    <n v="0"/>
    <n v="1"/>
  </r>
  <r>
    <s v="SHP-504515"/>
    <d v="2025-09-19T00:00:00"/>
    <x v="1"/>
    <s v="Q3"/>
    <x v="8"/>
    <x v="2"/>
    <x v="1"/>
    <x v="3"/>
    <x v="1"/>
    <s v="Road"/>
    <x v="1"/>
    <n v="14"/>
    <n v="567"/>
    <n v="6"/>
    <n v="6"/>
    <n v="1"/>
    <n v="0"/>
    <n v="13.1"/>
    <n v="0"/>
    <n v="1"/>
  </r>
  <r>
    <s v="SHP-504516"/>
    <d v="2025-09-19T00:00:00"/>
    <x v="1"/>
    <s v="Q3"/>
    <x v="8"/>
    <x v="4"/>
    <x v="2"/>
    <x v="2"/>
    <x v="0"/>
    <s v="Road"/>
    <x v="1"/>
    <n v="18.8"/>
    <n v="1649"/>
    <n v="5"/>
    <n v="5"/>
    <n v="1"/>
    <n v="0"/>
    <n v="37.21"/>
    <n v="0"/>
    <n v="1"/>
  </r>
  <r>
    <s v="SHP-504517"/>
    <d v="2025-09-19T00:00:00"/>
    <x v="1"/>
    <s v="Q3"/>
    <x v="8"/>
    <x v="3"/>
    <x v="0"/>
    <x v="3"/>
    <x v="0"/>
    <s v="Road"/>
    <x v="1"/>
    <n v="4.3"/>
    <n v="604"/>
    <n v="4"/>
    <n v="3"/>
    <n v="1"/>
    <n v="0"/>
    <n v="16.87"/>
    <n v="0"/>
    <n v="1"/>
  </r>
  <r>
    <s v="SHP-504518"/>
    <d v="2025-09-19T00:00:00"/>
    <x v="1"/>
    <s v="Q3"/>
    <x v="8"/>
    <x v="1"/>
    <x v="1"/>
    <x v="1"/>
    <x v="1"/>
    <s v="Road"/>
    <x v="1"/>
    <n v="1.8"/>
    <n v="267"/>
    <n v="5"/>
    <n v="5"/>
    <n v="1"/>
    <n v="0"/>
    <n v="7.12"/>
    <n v="0"/>
    <n v="1"/>
  </r>
  <r>
    <s v="SHP-504519"/>
    <d v="2025-09-19T00:00:00"/>
    <x v="1"/>
    <s v="Q3"/>
    <x v="8"/>
    <x v="3"/>
    <x v="0"/>
    <x v="2"/>
    <x v="0"/>
    <s v="Road"/>
    <x v="0"/>
    <n v="213.5"/>
    <n v="1335"/>
    <n v="5"/>
    <n v="4"/>
    <n v="1"/>
    <n v="0"/>
    <n v="122.1"/>
    <n v="0"/>
    <n v="1"/>
  </r>
  <r>
    <s v="SHP-504520"/>
    <d v="2025-09-19T00:00:00"/>
    <x v="1"/>
    <s v="Q3"/>
    <x v="8"/>
    <x v="1"/>
    <x v="1"/>
    <x v="2"/>
    <x v="2"/>
    <s v="Air"/>
    <x v="1"/>
    <n v="1.9"/>
    <n v="924"/>
    <n v="3"/>
    <n v="8"/>
    <n v="0"/>
    <n v="5"/>
    <n v="54.71"/>
    <n v="1"/>
    <n v="1"/>
  </r>
  <r>
    <s v="SHP-504521"/>
    <d v="2025-09-19T00:00:00"/>
    <x v="1"/>
    <s v="Q3"/>
    <x v="8"/>
    <x v="2"/>
    <x v="2"/>
    <x v="1"/>
    <x v="0"/>
    <s v="Road"/>
    <x v="0"/>
    <n v="168.8"/>
    <n v="221"/>
    <n v="3"/>
    <n v="3"/>
    <n v="1"/>
    <n v="0"/>
    <n v="67.290000000000006"/>
    <n v="0"/>
    <n v="1"/>
  </r>
  <r>
    <s v="SHP-504522"/>
    <d v="2025-09-19T00:00:00"/>
    <x v="1"/>
    <s v="Q3"/>
    <x v="8"/>
    <x v="1"/>
    <x v="2"/>
    <x v="0"/>
    <x v="1"/>
    <s v="Road"/>
    <x v="0"/>
    <n v="54.6"/>
    <n v="1100"/>
    <n v="6"/>
    <n v="6"/>
    <n v="1"/>
    <n v="0"/>
    <n v="35.340000000000003"/>
    <n v="0"/>
    <n v="1"/>
  </r>
  <r>
    <s v="SHP-504523"/>
    <d v="2025-09-19T00:00:00"/>
    <x v="1"/>
    <s v="Q3"/>
    <x v="8"/>
    <x v="3"/>
    <x v="2"/>
    <x v="0"/>
    <x v="0"/>
    <s v="Road"/>
    <x v="1"/>
    <n v="6.6"/>
    <n v="962"/>
    <n v="4"/>
    <n v="3"/>
    <n v="1"/>
    <n v="0"/>
    <n v="24.3"/>
    <n v="0"/>
    <n v="1"/>
  </r>
  <r>
    <s v="SHP-504524"/>
    <d v="2025-09-19T00:00:00"/>
    <x v="1"/>
    <s v="Q3"/>
    <x v="8"/>
    <x v="4"/>
    <x v="2"/>
    <x v="3"/>
    <x v="1"/>
    <s v="Road"/>
    <x v="1"/>
    <n v="3.6"/>
    <n v="547"/>
    <n v="6"/>
    <n v="6"/>
    <n v="1"/>
    <n v="0"/>
    <n v="11.46"/>
    <n v="0"/>
    <n v="1"/>
  </r>
  <r>
    <s v="SHP-504525"/>
    <d v="2025-09-19T00:00:00"/>
    <x v="1"/>
    <s v="Q3"/>
    <x v="8"/>
    <x v="4"/>
    <x v="0"/>
    <x v="3"/>
    <x v="2"/>
    <s v="Road"/>
    <x v="0"/>
    <n v="37.799999999999997"/>
    <n v="505"/>
    <n v="2"/>
    <n v="3"/>
    <n v="0"/>
    <n v="1"/>
    <n v="59.54"/>
    <n v="0"/>
    <n v="1"/>
  </r>
  <r>
    <s v="SHP-504526"/>
    <d v="2025-09-20T00:00:00"/>
    <x v="1"/>
    <s v="Q3"/>
    <x v="8"/>
    <x v="1"/>
    <x v="0"/>
    <x v="1"/>
    <x v="1"/>
    <s v="Road"/>
    <x v="0"/>
    <n v="82"/>
    <n v="288"/>
    <n v="5"/>
    <n v="7"/>
    <n v="0"/>
    <n v="2"/>
    <n v="38.94"/>
    <n v="0"/>
    <n v="1"/>
  </r>
  <r>
    <s v="SHP-504527"/>
    <d v="2025-09-20T00:00:00"/>
    <x v="1"/>
    <s v="Q3"/>
    <x v="8"/>
    <x v="4"/>
    <x v="2"/>
    <x v="1"/>
    <x v="0"/>
    <s v="Road"/>
    <x v="0"/>
    <n v="82.3"/>
    <n v="261"/>
    <n v="3"/>
    <n v="3"/>
    <n v="1"/>
    <n v="0"/>
    <n v="46.23"/>
    <n v="0"/>
    <n v="1"/>
  </r>
  <r>
    <s v="SHP-504528"/>
    <d v="2025-09-20T00:00:00"/>
    <x v="1"/>
    <s v="Q3"/>
    <x v="8"/>
    <x v="4"/>
    <x v="2"/>
    <x v="1"/>
    <x v="0"/>
    <s v="Road"/>
    <x v="1"/>
    <n v="8.1"/>
    <n v="278"/>
    <n v="3"/>
    <n v="2"/>
    <n v="1"/>
    <n v="0"/>
    <n v="14.52"/>
    <n v="0"/>
    <n v="1"/>
  </r>
  <r>
    <s v="SHP-504529"/>
    <d v="2025-09-20T00:00:00"/>
    <x v="1"/>
    <s v="Q3"/>
    <x v="8"/>
    <x v="4"/>
    <x v="2"/>
    <x v="3"/>
    <x v="0"/>
    <s v="Road"/>
    <x v="0"/>
    <n v="131.69999999999999"/>
    <n v="468"/>
    <n v="4"/>
    <n v="4"/>
    <n v="1"/>
    <n v="0"/>
    <n v="61.14"/>
    <n v="0"/>
    <n v="1"/>
  </r>
  <r>
    <s v="SHP-504530"/>
    <d v="2025-09-20T00:00:00"/>
    <x v="1"/>
    <s v="Q3"/>
    <x v="8"/>
    <x v="0"/>
    <x v="1"/>
    <x v="0"/>
    <x v="2"/>
    <s v="Air"/>
    <x v="0"/>
    <n v="104"/>
    <n v="805"/>
    <n v="2"/>
    <n v="1"/>
    <n v="1"/>
    <n v="0"/>
    <n v="179.36"/>
    <n v="0"/>
    <n v="1"/>
  </r>
  <r>
    <s v="SHP-504531"/>
    <d v="2025-09-20T00:00:00"/>
    <x v="1"/>
    <s v="Q3"/>
    <x v="8"/>
    <x v="4"/>
    <x v="1"/>
    <x v="4"/>
    <x v="0"/>
    <s v="Road"/>
    <x v="1"/>
    <n v="5.0999999999999996"/>
    <n v="854"/>
    <n v="5"/>
    <n v="5"/>
    <n v="1"/>
    <n v="0"/>
    <n v="19.47"/>
    <n v="0"/>
    <n v="1"/>
  </r>
  <r>
    <s v="SHP-504532"/>
    <d v="2025-09-20T00:00:00"/>
    <x v="1"/>
    <s v="Q3"/>
    <x v="8"/>
    <x v="4"/>
    <x v="1"/>
    <x v="3"/>
    <x v="2"/>
    <s v="Road"/>
    <x v="0"/>
    <n v="88.8"/>
    <n v="539"/>
    <n v="2"/>
    <n v="1"/>
    <n v="1"/>
    <n v="0"/>
    <n v="87.6"/>
    <n v="0"/>
    <n v="1"/>
  </r>
  <r>
    <s v="SHP-504533"/>
    <d v="2025-09-20T00:00:00"/>
    <x v="1"/>
    <s v="Q3"/>
    <x v="8"/>
    <x v="4"/>
    <x v="1"/>
    <x v="3"/>
    <x v="1"/>
    <s v="Road"/>
    <x v="0"/>
    <n v="119.5"/>
    <n v="447"/>
    <n v="6"/>
    <n v="6"/>
    <n v="1"/>
    <n v="0"/>
    <n v="45.07"/>
    <n v="0"/>
    <n v="1"/>
  </r>
  <r>
    <s v="SHP-504534"/>
    <d v="2025-09-20T00:00:00"/>
    <x v="1"/>
    <s v="Q3"/>
    <x v="8"/>
    <x v="3"/>
    <x v="2"/>
    <x v="1"/>
    <x v="0"/>
    <s v="Road"/>
    <x v="0"/>
    <n v="162.9"/>
    <n v="230"/>
    <n v="3"/>
    <n v="6"/>
    <n v="0"/>
    <n v="3"/>
    <n v="90.48"/>
    <n v="0"/>
    <n v="1"/>
  </r>
  <r>
    <s v="SHP-504535"/>
    <d v="2025-09-21T00:00:00"/>
    <x v="1"/>
    <s v="Q3"/>
    <x v="8"/>
    <x v="3"/>
    <x v="0"/>
    <x v="3"/>
    <x v="0"/>
    <s v="Road"/>
    <x v="1"/>
    <n v="9.1"/>
    <n v="460"/>
    <n v="4"/>
    <n v="3"/>
    <n v="1"/>
    <n v="0"/>
    <n v="19.850000000000001"/>
    <n v="0"/>
    <n v="1"/>
  </r>
  <r>
    <s v="SHP-504536"/>
    <d v="2025-09-21T00:00:00"/>
    <x v="1"/>
    <s v="Q3"/>
    <x v="8"/>
    <x v="0"/>
    <x v="1"/>
    <x v="1"/>
    <x v="2"/>
    <s v="Road"/>
    <x v="1"/>
    <n v="2"/>
    <n v="197"/>
    <n v="1"/>
    <n v="1"/>
    <n v="1"/>
    <n v="0"/>
    <n v="18.55"/>
    <n v="1"/>
    <n v="1"/>
  </r>
  <r>
    <s v="SHP-504537"/>
    <d v="2025-09-22T00:00:00"/>
    <x v="1"/>
    <s v="Q3"/>
    <x v="8"/>
    <x v="0"/>
    <x v="2"/>
    <x v="1"/>
    <x v="0"/>
    <s v="Road"/>
    <x v="1"/>
    <n v="10.1"/>
    <n v="218"/>
    <n v="3"/>
    <n v="3"/>
    <n v="1"/>
    <n v="0"/>
    <n v="15.93"/>
    <n v="0"/>
    <n v="1"/>
  </r>
  <r>
    <s v="SHP-504538"/>
    <d v="2025-09-22T00:00:00"/>
    <x v="1"/>
    <s v="Q3"/>
    <x v="8"/>
    <x v="4"/>
    <x v="2"/>
    <x v="1"/>
    <x v="0"/>
    <s v="Road"/>
    <x v="0"/>
    <n v="92.3"/>
    <n v="219"/>
    <n v="3"/>
    <n v="2"/>
    <n v="1"/>
    <n v="0"/>
    <n v="50.45"/>
    <n v="0"/>
    <n v="1"/>
  </r>
  <r>
    <s v="SHP-504539"/>
    <d v="2025-09-22T00:00:00"/>
    <x v="1"/>
    <s v="Q3"/>
    <x v="8"/>
    <x v="3"/>
    <x v="0"/>
    <x v="1"/>
    <x v="1"/>
    <s v="Road"/>
    <x v="0"/>
    <n v="163.69999999999999"/>
    <n v="264"/>
    <n v="5"/>
    <n v="4"/>
    <n v="1"/>
    <n v="0"/>
    <n v="57.51"/>
    <n v="0"/>
    <n v="1"/>
  </r>
  <r>
    <s v="SHP-504540"/>
    <d v="2025-09-22T00:00:00"/>
    <x v="1"/>
    <s v="Q3"/>
    <x v="8"/>
    <x v="2"/>
    <x v="0"/>
    <x v="0"/>
    <x v="0"/>
    <s v="Road"/>
    <x v="1"/>
    <n v="1.9"/>
    <n v="832"/>
    <n v="4"/>
    <n v="4"/>
    <n v="1"/>
    <n v="0"/>
    <n v="14.53"/>
    <n v="0"/>
    <n v="1"/>
  </r>
  <r>
    <s v="SHP-504541"/>
    <d v="2025-09-22T00:00:00"/>
    <x v="1"/>
    <s v="Q3"/>
    <x v="8"/>
    <x v="2"/>
    <x v="1"/>
    <x v="4"/>
    <x v="0"/>
    <s v="Road"/>
    <x v="0"/>
    <n v="181.2"/>
    <n v="840"/>
    <n v="5"/>
    <n v="5"/>
    <n v="1"/>
    <n v="0"/>
    <n v="84.06"/>
    <n v="0"/>
    <n v="1"/>
  </r>
  <r>
    <s v="SHP-504542"/>
    <d v="2025-09-22T00:00:00"/>
    <x v="1"/>
    <s v="Q3"/>
    <x v="8"/>
    <x v="0"/>
    <x v="1"/>
    <x v="0"/>
    <x v="0"/>
    <s v="Road"/>
    <x v="0"/>
    <n v="94"/>
    <n v="760"/>
    <n v="4"/>
    <n v="4"/>
    <n v="1"/>
    <n v="0"/>
    <n v="53.98"/>
    <n v="0"/>
    <n v="1"/>
  </r>
  <r>
    <s v="SHP-504543"/>
    <d v="2025-09-22T00:00:00"/>
    <x v="1"/>
    <s v="Q3"/>
    <x v="8"/>
    <x v="4"/>
    <x v="2"/>
    <x v="1"/>
    <x v="2"/>
    <s v="Road"/>
    <x v="0"/>
    <n v="128.6"/>
    <n v="283"/>
    <n v="1"/>
    <n v="1"/>
    <n v="1"/>
    <n v="0"/>
    <n v="115.1"/>
    <n v="0"/>
    <n v="1"/>
  </r>
  <r>
    <s v="SHP-504544"/>
    <d v="2025-09-22T00:00:00"/>
    <x v="1"/>
    <s v="Q3"/>
    <x v="8"/>
    <x v="3"/>
    <x v="2"/>
    <x v="3"/>
    <x v="0"/>
    <s v="Road"/>
    <x v="0"/>
    <n v="78"/>
    <n v="486"/>
    <n v="4"/>
    <n v="4"/>
    <n v="1"/>
    <n v="0"/>
    <n v="56.67"/>
    <n v="0"/>
    <n v="1"/>
  </r>
  <r>
    <s v="SHP-504545"/>
    <d v="2025-09-22T00:00:00"/>
    <x v="1"/>
    <s v="Q3"/>
    <x v="8"/>
    <x v="2"/>
    <x v="1"/>
    <x v="4"/>
    <x v="2"/>
    <s v="Air"/>
    <x v="1"/>
    <n v="5.5"/>
    <n v="1560"/>
    <n v="3"/>
    <n v="3"/>
    <n v="1"/>
    <n v="0"/>
    <n v="76.12"/>
    <n v="0"/>
    <n v="1"/>
  </r>
  <r>
    <s v="SHP-504546"/>
    <d v="2025-09-22T00:00:00"/>
    <x v="1"/>
    <s v="Q3"/>
    <x v="8"/>
    <x v="4"/>
    <x v="2"/>
    <x v="3"/>
    <x v="2"/>
    <s v="Road"/>
    <x v="1"/>
    <n v="12.9"/>
    <n v="374"/>
    <n v="2"/>
    <n v="4"/>
    <n v="0"/>
    <n v="2"/>
    <n v="35.74"/>
    <n v="0"/>
    <n v="1"/>
  </r>
  <r>
    <s v="SHP-504547"/>
    <d v="2025-09-22T00:00:00"/>
    <x v="1"/>
    <s v="Q3"/>
    <x v="8"/>
    <x v="2"/>
    <x v="2"/>
    <x v="3"/>
    <x v="0"/>
    <s v="Road"/>
    <x v="1"/>
    <n v="6"/>
    <n v="418"/>
    <n v="4"/>
    <n v="4"/>
    <n v="1"/>
    <n v="0"/>
    <n v="12.47"/>
    <n v="0"/>
    <n v="1"/>
  </r>
  <r>
    <s v="SHP-504548"/>
    <d v="2025-09-23T00:00:00"/>
    <x v="1"/>
    <s v="Q3"/>
    <x v="8"/>
    <x v="1"/>
    <x v="2"/>
    <x v="1"/>
    <x v="1"/>
    <s v="Road"/>
    <x v="0"/>
    <n v="43.9"/>
    <n v="272"/>
    <n v="5"/>
    <n v="5"/>
    <n v="1"/>
    <n v="0"/>
    <n v="21.25"/>
    <n v="0"/>
    <n v="1"/>
  </r>
  <r>
    <s v="SHP-504549"/>
    <d v="2025-09-23T00:00:00"/>
    <x v="1"/>
    <s v="Q3"/>
    <x v="8"/>
    <x v="3"/>
    <x v="1"/>
    <x v="1"/>
    <x v="0"/>
    <s v="Road"/>
    <x v="1"/>
    <n v="2.6"/>
    <n v="311"/>
    <n v="3"/>
    <n v="2"/>
    <n v="1"/>
    <n v="0"/>
    <n v="14.19"/>
    <n v="0"/>
    <n v="1"/>
  </r>
  <r>
    <s v="SHP-504550"/>
    <d v="2025-09-23T00:00:00"/>
    <x v="1"/>
    <s v="Q3"/>
    <x v="8"/>
    <x v="4"/>
    <x v="1"/>
    <x v="1"/>
    <x v="0"/>
    <s v="Road"/>
    <x v="0"/>
    <n v="80.3"/>
    <n v="251"/>
    <n v="3"/>
    <n v="3"/>
    <n v="1"/>
    <n v="0"/>
    <n v="47.01"/>
    <n v="0"/>
    <n v="1"/>
  </r>
  <r>
    <s v="SHP-504551"/>
    <d v="2025-09-23T00:00:00"/>
    <x v="1"/>
    <s v="Q3"/>
    <x v="8"/>
    <x v="0"/>
    <x v="1"/>
    <x v="3"/>
    <x v="0"/>
    <s v="Road"/>
    <x v="1"/>
    <n v="2.9"/>
    <n v="573"/>
    <n v="4"/>
    <n v="3"/>
    <n v="1"/>
    <n v="0"/>
    <n v="13.67"/>
    <n v="0"/>
    <n v="1"/>
  </r>
  <r>
    <s v="SHP-504552"/>
    <d v="2025-09-23T00:00:00"/>
    <x v="1"/>
    <s v="Q3"/>
    <x v="8"/>
    <x v="1"/>
    <x v="2"/>
    <x v="3"/>
    <x v="0"/>
    <s v="Road"/>
    <x v="0"/>
    <n v="39.9"/>
    <n v="578"/>
    <n v="4"/>
    <n v="4"/>
    <n v="1"/>
    <n v="0"/>
    <n v="35.04"/>
    <n v="0"/>
    <n v="1"/>
  </r>
  <r>
    <s v="SHP-504553"/>
    <d v="2025-09-23T00:00:00"/>
    <x v="1"/>
    <s v="Q3"/>
    <x v="8"/>
    <x v="1"/>
    <x v="2"/>
    <x v="2"/>
    <x v="0"/>
    <s v="Road"/>
    <x v="1"/>
    <n v="1.9"/>
    <n v="1011"/>
    <n v="5"/>
    <n v="5"/>
    <n v="1"/>
    <n v="0"/>
    <n v="21.89"/>
    <n v="0"/>
    <n v="1"/>
  </r>
  <r>
    <s v="SHP-504554"/>
    <d v="2025-09-24T00:00:00"/>
    <x v="1"/>
    <s v="Q3"/>
    <x v="8"/>
    <x v="1"/>
    <x v="1"/>
    <x v="0"/>
    <x v="1"/>
    <s v="Road"/>
    <x v="1"/>
    <n v="5.0999999999999996"/>
    <n v="1061"/>
    <n v="6"/>
    <n v="6"/>
    <n v="1"/>
    <n v="0"/>
    <n v="16.440000000000001"/>
    <n v="0"/>
    <n v="1"/>
  </r>
  <r>
    <s v="SHP-504555"/>
    <d v="2025-09-24T00:00:00"/>
    <x v="1"/>
    <s v="Q3"/>
    <x v="8"/>
    <x v="2"/>
    <x v="0"/>
    <x v="3"/>
    <x v="2"/>
    <s v="Road"/>
    <x v="0"/>
    <n v="157.19999999999999"/>
    <n v="490"/>
    <n v="2"/>
    <n v="2"/>
    <n v="1"/>
    <n v="0"/>
    <n v="120.19"/>
    <n v="0"/>
    <n v="1"/>
  </r>
  <r>
    <s v="SHP-504556"/>
    <d v="2025-09-24T00:00:00"/>
    <x v="1"/>
    <s v="Q3"/>
    <x v="8"/>
    <x v="0"/>
    <x v="2"/>
    <x v="4"/>
    <x v="0"/>
    <s v="Road"/>
    <x v="1"/>
    <n v="3.1"/>
    <n v="848"/>
    <n v="5"/>
    <n v="6"/>
    <n v="0"/>
    <n v="1"/>
    <n v="17.09"/>
    <n v="0"/>
    <n v="1"/>
  </r>
  <r>
    <s v="SHP-504557"/>
    <d v="2025-09-24T00:00:00"/>
    <x v="1"/>
    <s v="Q3"/>
    <x v="8"/>
    <x v="1"/>
    <x v="1"/>
    <x v="0"/>
    <x v="1"/>
    <s v="Road"/>
    <x v="0"/>
    <n v="114"/>
    <n v="589"/>
    <n v="6"/>
    <n v="6"/>
    <n v="1"/>
    <n v="0"/>
    <n v="46.79"/>
    <n v="0"/>
    <n v="1"/>
  </r>
  <r>
    <s v="SHP-504558"/>
    <d v="2025-09-24T00:00:00"/>
    <x v="1"/>
    <s v="Q3"/>
    <x v="8"/>
    <x v="1"/>
    <x v="2"/>
    <x v="2"/>
    <x v="0"/>
    <s v="Road"/>
    <x v="0"/>
    <n v="84.1"/>
    <n v="1116"/>
    <n v="5"/>
    <n v="5"/>
    <n v="1"/>
    <n v="0"/>
    <n v="62.94"/>
    <n v="0"/>
    <n v="1"/>
  </r>
  <r>
    <s v="SHP-504559"/>
    <d v="2025-09-24T00:00:00"/>
    <x v="1"/>
    <s v="Q3"/>
    <x v="8"/>
    <x v="3"/>
    <x v="2"/>
    <x v="3"/>
    <x v="0"/>
    <s v="Road"/>
    <x v="1"/>
    <n v="12.3"/>
    <n v="556"/>
    <n v="4"/>
    <n v="4"/>
    <n v="1"/>
    <n v="0"/>
    <n v="23.44"/>
    <n v="0"/>
    <n v="1"/>
  </r>
  <r>
    <s v="SHP-504560"/>
    <d v="2025-09-24T00:00:00"/>
    <x v="1"/>
    <s v="Q3"/>
    <x v="8"/>
    <x v="4"/>
    <x v="2"/>
    <x v="1"/>
    <x v="0"/>
    <s v="Road"/>
    <x v="1"/>
    <n v="3.9"/>
    <n v="237"/>
    <n v="3"/>
    <n v="3"/>
    <n v="1"/>
    <n v="0"/>
    <n v="10.93"/>
    <n v="0"/>
    <n v="1"/>
  </r>
  <r>
    <s v="SHP-504561"/>
    <d v="2025-09-24T00:00:00"/>
    <x v="1"/>
    <s v="Q3"/>
    <x v="8"/>
    <x v="2"/>
    <x v="1"/>
    <x v="0"/>
    <x v="1"/>
    <s v="Road"/>
    <x v="0"/>
    <n v="125.2"/>
    <n v="609"/>
    <n v="6"/>
    <n v="6"/>
    <n v="1"/>
    <n v="0"/>
    <n v="41.79"/>
    <n v="0"/>
    <n v="1"/>
  </r>
  <r>
    <s v="SHP-504562"/>
    <d v="2025-09-24T00:00:00"/>
    <x v="1"/>
    <s v="Q3"/>
    <x v="8"/>
    <x v="2"/>
    <x v="0"/>
    <x v="1"/>
    <x v="0"/>
    <s v="Road"/>
    <x v="0"/>
    <n v="47.2"/>
    <n v="240"/>
    <n v="3"/>
    <n v="3"/>
    <n v="1"/>
    <n v="0"/>
    <n v="29.71"/>
    <n v="0"/>
    <n v="1"/>
  </r>
  <r>
    <s v="SHP-504563"/>
    <d v="2025-09-24T00:00:00"/>
    <x v="1"/>
    <s v="Q3"/>
    <x v="8"/>
    <x v="4"/>
    <x v="0"/>
    <x v="3"/>
    <x v="0"/>
    <s v="Road"/>
    <x v="0"/>
    <n v="35.6"/>
    <n v="421"/>
    <n v="4"/>
    <n v="4"/>
    <n v="1"/>
    <n v="0"/>
    <n v="31.85"/>
    <n v="0"/>
    <n v="1"/>
  </r>
  <r>
    <s v="SHP-504564"/>
    <d v="2025-09-24T00:00:00"/>
    <x v="1"/>
    <s v="Q3"/>
    <x v="8"/>
    <x v="0"/>
    <x v="1"/>
    <x v="0"/>
    <x v="2"/>
    <s v="Air"/>
    <x v="1"/>
    <n v="3.3"/>
    <n v="763"/>
    <n v="2"/>
    <n v="2"/>
    <n v="1"/>
    <n v="0"/>
    <n v="54.35"/>
    <n v="0"/>
    <n v="1"/>
  </r>
  <r>
    <s v="SHP-504565"/>
    <d v="2025-09-24T00:00:00"/>
    <x v="1"/>
    <s v="Q3"/>
    <x v="8"/>
    <x v="3"/>
    <x v="0"/>
    <x v="2"/>
    <x v="1"/>
    <s v="Road"/>
    <x v="1"/>
    <n v="2.2000000000000002"/>
    <n v="1051"/>
    <n v="7"/>
    <n v="7"/>
    <n v="1"/>
    <n v="0"/>
    <n v="16.8"/>
    <n v="0"/>
    <n v="1"/>
  </r>
  <r>
    <s v="SHP-504566"/>
    <d v="2025-09-24T00:00:00"/>
    <x v="1"/>
    <s v="Q3"/>
    <x v="8"/>
    <x v="1"/>
    <x v="2"/>
    <x v="0"/>
    <x v="2"/>
    <s v="Air"/>
    <x v="0"/>
    <n v="33.200000000000003"/>
    <n v="1086"/>
    <n v="2"/>
    <n v="2"/>
    <n v="1"/>
    <n v="0"/>
    <n v="120.1"/>
    <n v="0"/>
    <n v="1"/>
  </r>
  <r>
    <s v="SHP-504567"/>
    <d v="2025-09-24T00:00:00"/>
    <x v="1"/>
    <s v="Q3"/>
    <x v="8"/>
    <x v="4"/>
    <x v="1"/>
    <x v="0"/>
    <x v="0"/>
    <s v="Road"/>
    <x v="1"/>
    <n v="6.4"/>
    <n v="892"/>
    <n v="4"/>
    <n v="4"/>
    <n v="1"/>
    <n v="0"/>
    <n v="21.16"/>
    <n v="0"/>
    <n v="1"/>
  </r>
  <r>
    <s v="SHP-504568"/>
    <d v="2025-09-25T00:00:00"/>
    <x v="1"/>
    <s v="Q3"/>
    <x v="8"/>
    <x v="2"/>
    <x v="0"/>
    <x v="1"/>
    <x v="0"/>
    <s v="Road"/>
    <x v="0"/>
    <n v="99.2"/>
    <n v="264"/>
    <n v="3"/>
    <n v="6"/>
    <n v="0"/>
    <n v="3"/>
    <n v="48.32"/>
    <n v="0"/>
    <n v="1"/>
  </r>
  <r>
    <s v="SHP-504569"/>
    <d v="2025-09-25T00:00:00"/>
    <x v="1"/>
    <s v="Q3"/>
    <x v="8"/>
    <x v="0"/>
    <x v="1"/>
    <x v="4"/>
    <x v="0"/>
    <s v="Road"/>
    <x v="1"/>
    <n v="1.2"/>
    <n v="869"/>
    <n v="5"/>
    <n v="5"/>
    <n v="1"/>
    <n v="0"/>
    <n v="16.77"/>
    <n v="0"/>
    <n v="1"/>
  </r>
  <r>
    <s v="SHP-504570"/>
    <d v="2025-09-25T00:00:00"/>
    <x v="1"/>
    <s v="Q3"/>
    <x v="8"/>
    <x v="0"/>
    <x v="0"/>
    <x v="3"/>
    <x v="2"/>
    <s v="Road"/>
    <x v="1"/>
    <n v="1.5"/>
    <n v="541"/>
    <n v="2"/>
    <n v="1"/>
    <n v="1"/>
    <n v="0"/>
    <n v="25.69"/>
    <n v="0"/>
    <n v="1"/>
  </r>
  <r>
    <s v="SHP-504571"/>
    <d v="2025-09-25T00:00:00"/>
    <x v="1"/>
    <s v="Q3"/>
    <x v="8"/>
    <x v="4"/>
    <x v="0"/>
    <x v="1"/>
    <x v="0"/>
    <s v="Road"/>
    <x v="1"/>
    <n v="6"/>
    <n v="349"/>
    <n v="3"/>
    <n v="3"/>
    <n v="1"/>
    <n v="0"/>
    <n v="13.62"/>
    <n v="0"/>
    <n v="1"/>
  </r>
  <r>
    <s v="SHP-504572"/>
    <d v="2025-09-25T00:00:00"/>
    <x v="1"/>
    <s v="Q3"/>
    <x v="8"/>
    <x v="3"/>
    <x v="1"/>
    <x v="3"/>
    <x v="0"/>
    <s v="Road"/>
    <x v="1"/>
    <n v="8.6999999999999993"/>
    <n v="424"/>
    <n v="4"/>
    <n v="3"/>
    <n v="1"/>
    <n v="0"/>
    <n v="20.63"/>
    <n v="0"/>
    <n v="1"/>
  </r>
  <r>
    <s v="SHP-504573"/>
    <d v="2025-09-26T00:00:00"/>
    <x v="1"/>
    <s v="Q3"/>
    <x v="8"/>
    <x v="4"/>
    <x v="2"/>
    <x v="1"/>
    <x v="0"/>
    <s v="Road"/>
    <x v="1"/>
    <n v="12.6"/>
    <n v="261"/>
    <n v="3"/>
    <n v="3"/>
    <n v="1"/>
    <n v="0"/>
    <n v="18.18"/>
    <n v="0"/>
    <n v="1"/>
  </r>
  <r>
    <s v="SHP-504574"/>
    <d v="2025-09-26T00:00:00"/>
    <x v="1"/>
    <s v="Q3"/>
    <x v="8"/>
    <x v="2"/>
    <x v="1"/>
    <x v="2"/>
    <x v="2"/>
    <s v="Air"/>
    <x v="1"/>
    <n v="5.2"/>
    <n v="1251"/>
    <n v="3"/>
    <n v="3"/>
    <n v="1"/>
    <n v="0"/>
    <n v="57.9"/>
    <n v="0"/>
    <n v="1"/>
  </r>
  <r>
    <s v="SHP-504575"/>
    <d v="2025-09-26T00:00:00"/>
    <x v="1"/>
    <s v="Q3"/>
    <x v="8"/>
    <x v="2"/>
    <x v="0"/>
    <x v="1"/>
    <x v="0"/>
    <s v="Road"/>
    <x v="1"/>
    <n v="13.9"/>
    <n v="213"/>
    <n v="3"/>
    <n v="3"/>
    <n v="1"/>
    <n v="0"/>
    <n v="14.34"/>
    <n v="0"/>
    <n v="1"/>
  </r>
  <r>
    <s v="SHP-504576"/>
    <d v="2025-09-26T00:00:00"/>
    <x v="1"/>
    <s v="Q3"/>
    <x v="8"/>
    <x v="4"/>
    <x v="2"/>
    <x v="1"/>
    <x v="0"/>
    <s v="Road"/>
    <x v="0"/>
    <n v="199.5"/>
    <n v="304"/>
    <n v="3"/>
    <n v="3"/>
    <n v="1"/>
    <n v="0"/>
    <n v="90.35"/>
    <n v="0"/>
    <n v="1"/>
  </r>
  <r>
    <s v="SHP-504577"/>
    <d v="2025-09-26T00:00:00"/>
    <x v="1"/>
    <s v="Q3"/>
    <x v="8"/>
    <x v="1"/>
    <x v="0"/>
    <x v="4"/>
    <x v="2"/>
    <s v="Air"/>
    <x v="1"/>
    <n v="2.1"/>
    <n v="1071"/>
    <n v="3"/>
    <n v="2"/>
    <n v="1"/>
    <n v="0"/>
    <n v="69.45"/>
    <n v="0"/>
    <n v="1"/>
  </r>
  <r>
    <s v="SHP-504578"/>
    <d v="2025-09-26T00:00:00"/>
    <x v="1"/>
    <s v="Q3"/>
    <x v="8"/>
    <x v="1"/>
    <x v="1"/>
    <x v="0"/>
    <x v="1"/>
    <s v="Road"/>
    <x v="1"/>
    <n v="7.1"/>
    <n v="849"/>
    <n v="6"/>
    <n v="6"/>
    <n v="1"/>
    <n v="0"/>
    <n v="16.850000000000001"/>
    <n v="0"/>
    <n v="1"/>
  </r>
  <r>
    <s v="SHP-504579"/>
    <d v="2025-09-26T00:00:00"/>
    <x v="1"/>
    <s v="Q3"/>
    <x v="8"/>
    <x v="0"/>
    <x v="0"/>
    <x v="3"/>
    <x v="0"/>
    <s v="Road"/>
    <x v="1"/>
    <n v="2.2999999999999998"/>
    <n v="386"/>
    <n v="4"/>
    <n v="4"/>
    <n v="1"/>
    <n v="0"/>
    <n v="10.87"/>
    <n v="0"/>
    <n v="1"/>
  </r>
  <r>
    <s v="SHP-504580"/>
    <d v="2025-09-26T00:00:00"/>
    <x v="1"/>
    <s v="Q3"/>
    <x v="8"/>
    <x v="2"/>
    <x v="1"/>
    <x v="1"/>
    <x v="0"/>
    <s v="Road"/>
    <x v="1"/>
    <n v="11.3"/>
    <n v="272"/>
    <n v="3"/>
    <n v="2"/>
    <n v="1"/>
    <n v="0"/>
    <n v="14.62"/>
    <n v="0"/>
    <n v="1"/>
  </r>
  <r>
    <s v="SHP-504581"/>
    <d v="2025-09-26T00:00:00"/>
    <x v="1"/>
    <s v="Q3"/>
    <x v="8"/>
    <x v="3"/>
    <x v="0"/>
    <x v="2"/>
    <x v="1"/>
    <s v="Road"/>
    <x v="0"/>
    <n v="83.6"/>
    <n v="1227"/>
    <n v="7"/>
    <n v="6"/>
    <n v="1"/>
    <n v="0"/>
    <n v="44.78"/>
    <n v="0"/>
    <n v="1"/>
  </r>
  <r>
    <s v="SHP-504582"/>
    <d v="2025-09-26T00:00:00"/>
    <x v="1"/>
    <s v="Q3"/>
    <x v="8"/>
    <x v="2"/>
    <x v="1"/>
    <x v="1"/>
    <x v="0"/>
    <s v="Road"/>
    <x v="1"/>
    <n v="9.1"/>
    <n v="223"/>
    <n v="3"/>
    <n v="5"/>
    <n v="0"/>
    <n v="2"/>
    <n v="12.47"/>
    <n v="0"/>
    <n v="1"/>
  </r>
  <r>
    <s v="SHP-504583"/>
    <d v="2025-09-27T00:00:00"/>
    <x v="1"/>
    <s v="Q3"/>
    <x v="8"/>
    <x v="2"/>
    <x v="1"/>
    <x v="3"/>
    <x v="2"/>
    <s v="Road"/>
    <x v="1"/>
    <n v="6.8"/>
    <n v="407"/>
    <n v="2"/>
    <n v="2"/>
    <n v="1"/>
    <n v="0"/>
    <n v="23.48"/>
    <n v="0"/>
    <n v="1"/>
  </r>
  <r>
    <s v="SHP-504584"/>
    <d v="2025-09-27T00:00:00"/>
    <x v="1"/>
    <s v="Q3"/>
    <x v="8"/>
    <x v="4"/>
    <x v="2"/>
    <x v="3"/>
    <x v="1"/>
    <s v="Road"/>
    <x v="0"/>
    <n v="57.1"/>
    <n v="506"/>
    <n v="6"/>
    <n v="6"/>
    <n v="1"/>
    <n v="0"/>
    <n v="27.59"/>
    <n v="0"/>
    <n v="1"/>
  </r>
  <r>
    <s v="SHP-504585"/>
    <d v="2025-09-27T00:00:00"/>
    <x v="1"/>
    <s v="Q3"/>
    <x v="8"/>
    <x v="4"/>
    <x v="0"/>
    <x v="3"/>
    <x v="0"/>
    <s v="Road"/>
    <x v="0"/>
    <n v="98.7"/>
    <n v="433"/>
    <n v="4"/>
    <n v="4"/>
    <n v="1"/>
    <n v="0"/>
    <n v="60.2"/>
    <n v="0"/>
    <n v="1"/>
  </r>
  <r>
    <s v="SHP-504586"/>
    <d v="2025-09-27T00:00:00"/>
    <x v="1"/>
    <s v="Q3"/>
    <x v="8"/>
    <x v="2"/>
    <x v="2"/>
    <x v="1"/>
    <x v="0"/>
    <s v="Road"/>
    <x v="1"/>
    <n v="1.3"/>
    <n v="266"/>
    <n v="3"/>
    <n v="6"/>
    <n v="0"/>
    <n v="3"/>
    <n v="9.32"/>
    <n v="0"/>
    <n v="1"/>
  </r>
  <r>
    <s v="SHP-504587"/>
    <d v="2025-09-27T00:00:00"/>
    <x v="1"/>
    <s v="Q3"/>
    <x v="8"/>
    <x v="0"/>
    <x v="1"/>
    <x v="1"/>
    <x v="0"/>
    <s v="Road"/>
    <x v="1"/>
    <n v="5.0999999999999996"/>
    <n v="191"/>
    <n v="3"/>
    <n v="6"/>
    <n v="0"/>
    <n v="3"/>
    <n v="10.98"/>
    <n v="0"/>
    <n v="1"/>
  </r>
  <r>
    <s v="SHP-504588"/>
    <d v="2025-09-27T00:00:00"/>
    <x v="1"/>
    <s v="Q3"/>
    <x v="8"/>
    <x v="1"/>
    <x v="2"/>
    <x v="4"/>
    <x v="0"/>
    <s v="Road"/>
    <x v="0"/>
    <n v="58.1"/>
    <n v="1081"/>
    <n v="5"/>
    <n v="5"/>
    <n v="1"/>
    <n v="0"/>
    <n v="51.21"/>
    <n v="0"/>
    <n v="1"/>
  </r>
  <r>
    <s v="SHP-504589"/>
    <d v="2025-09-27T00:00:00"/>
    <x v="1"/>
    <s v="Q3"/>
    <x v="8"/>
    <x v="3"/>
    <x v="0"/>
    <x v="0"/>
    <x v="1"/>
    <s v="Road"/>
    <x v="1"/>
    <n v="7"/>
    <n v="1091"/>
    <n v="6"/>
    <n v="8"/>
    <n v="0"/>
    <n v="2"/>
    <n v="19.86"/>
    <n v="0"/>
    <n v="1"/>
  </r>
  <r>
    <s v="SHP-504590"/>
    <d v="2025-09-27T00:00:00"/>
    <x v="1"/>
    <s v="Q3"/>
    <x v="8"/>
    <x v="4"/>
    <x v="1"/>
    <x v="1"/>
    <x v="0"/>
    <s v="Road"/>
    <x v="1"/>
    <n v="9.8000000000000007"/>
    <n v="186"/>
    <n v="3"/>
    <n v="2"/>
    <n v="1"/>
    <n v="0"/>
    <n v="14.81"/>
    <n v="0"/>
    <n v="1"/>
  </r>
  <r>
    <s v="SHP-504591"/>
    <d v="2025-09-28T00:00:00"/>
    <x v="1"/>
    <s v="Q3"/>
    <x v="8"/>
    <x v="2"/>
    <x v="1"/>
    <x v="2"/>
    <x v="0"/>
    <s v="Road"/>
    <x v="0"/>
    <n v="67.5"/>
    <n v="1153"/>
    <n v="5"/>
    <n v="5"/>
    <n v="1"/>
    <n v="0"/>
    <n v="45.76"/>
    <n v="0"/>
    <n v="1"/>
  </r>
  <r>
    <s v="SHP-504592"/>
    <d v="2025-09-28T00:00:00"/>
    <x v="1"/>
    <s v="Q3"/>
    <x v="8"/>
    <x v="3"/>
    <x v="1"/>
    <x v="3"/>
    <x v="0"/>
    <s v="Road"/>
    <x v="1"/>
    <n v="4.2"/>
    <n v="519"/>
    <n v="4"/>
    <n v="4"/>
    <n v="1"/>
    <n v="0"/>
    <n v="16.600000000000001"/>
    <n v="0"/>
    <n v="1"/>
  </r>
  <r>
    <s v="SHP-504593"/>
    <d v="2025-09-28T00:00:00"/>
    <x v="1"/>
    <s v="Q3"/>
    <x v="8"/>
    <x v="4"/>
    <x v="2"/>
    <x v="4"/>
    <x v="0"/>
    <s v="Road"/>
    <x v="1"/>
    <n v="7.7"/>
    <n v="1006"/>
    <n v="5"/>
    <n v="4"/>
    <n v="1"/>
    <n v="0"/>
    <n v="21.02"/>
    <n v="0"/>
    <n v="1"/>
  </r>
  <r>
    <s v="SHP-504594"/>
    <d v="2025-09-28T00:00:00"/>
    <x v="1"/>
    <s v="Q3"/>
    <x v="8"/>
    <x v="2"/>
    <x v="2"/>
    <x v="2"/>
    <x v="0"/>
    <s v="Road"/>
    <x v="0"/>
    <n v="188.7"/>
    <n v="1316"/>
    <n v="5"/>
    <n v="5"/>
    <n v="1"/>
    <n v="0"/>
    <n v="76.790000000000006"/>
    <n v="0"/>
    <n v="1"/>
  </r>
  <r>
    <s v="SHP-504595"/>
    <d v="2025-09-29T00:00:00"/>
    <x v="1"/>
    <s v="Q3"/>
    <x v="8"/>
    <x v="2"/>
    <x v="1"/>
    <x v="3"/>
    <x v="0"/>
    <s v="Road"/>
    <x v="0"/>
    <n v="103.2"/>
    <n v="468"/>
    <n v="4"/>
    <n v="8"/>
    <n v="0"/>
    <n v="4"/>
    <n v="48.79"/>
    <n v="0"/>
    <n v="1"/>
  </r>
  <r>
    <s v="SHP-504596"/>
    <d v="2025-09-29T00:00:00"/>
    <x v="1"/>
    <s v="Q3"/>
    <x v="8"/>
    <x v="3"/>
    <x v="0"/>
    <x v="3"/>
    <x v="0"/>
    <s v="Road"/>
    <x v="1"/>
    <n v="5.6"/>
    <n v="501"/>
    <n v="4"/>
    <n v="3"/>
    <n v="1"/>
    <n v="0"/>
    <n v="17.34"/>
    <n v="0"/>
    <n v="1"/>
  </r>
  <r>
    <s v="SHP-504597"/>
    <d v="2025-09-29T00:00:00"/>
    <x v="1"/>
    <s v="Q3"/>
    <x v="8"/>
    <x v="0"/>
    <x v="0"/>
    <x v="0"/>
    <x v="2"/>
    <s v="Air"/>
    <x v="0"/>
    <n v="73.400000000000006"/>
    <n v="890"/>
    <n v="2"/>
    <n v="2"/>
    <n v="1"/>
    <n v="0"/>
    <n v="148.88999999999999"/>
    <n v="0"/>
    <n v="1"/>
  </r>
  <r>
    <s v="SHP-504598"/>
    <d v="2025-09-29T00:00:00"/>
    <x v="1"/>
    <s v="Q3"/>
    <x v="8"/>
    <x v="3"/>
    <x v="1"/>
    <x v="3"/>
    <x v="2"/>
    <s v="Road"/>
    <x v="1"/>
    <n v="4.8"/>
    <n v="459"/>
    <n v="2"/>
    <n v="2"/>
    <n v="1"/>
    <n v="0"/>
    <n v="29.49"/>
    <n v="0"/>
    <n v="1"/>
  </r>
  <r>
    <s v="SHP-504599"/>
    <d v="2025-09-29T00:00:00"/>
    <x v="1"/>
    <s v="Q3"/>
    <x v="8"/>
    <x v="0"/>
    <x v="0"/>
    <x v="2"/>
    <x v="0"/>
    <s v="Road"/>
    <x v="1"/>
    <n v="6.9"/>
    <n v="1266"/>
    <n v="5"/>
    <n v="7"/>
    <n v="0"/>
    <n v="2"/>
    <n v="25.52"/>
    <n v="0"/>
    <n v="1"/>
  </r>
  <r>
    <s v="SHP-504600"/>
    <d v="2025-09-29T00:00:00"/>
    <x v="1"/>
    <s v="Q3"/>
    <x v="8"/>
    <x v="3"/>
    <x v="1"/>
    <x v="1"/>
    <x v="2"/>
    <s v="Road"/>
    <x v="1"/>
    <n v="17.100000000000001"/>
    <n v="233"/>
    <n v="1"/>
    <n v="1"/>
    <n v="1"/>
    <n v="0"/>
    <n v="44.37"/>
    <n v="0"/>
    <n v="1"/>
  </r>
  <r>
    <s v="SHP-504601"/>
    <d v="2025-09-29T00:00:00"/>
    <x v="1"/>
    <s v="Q3"/>
    <x v="8"/>
    <x v="1"/>
    <x v="0"/>
    <x v="1"/>
    <x v="2"/>
    <s v="Road"/>
    <x v="1"/>
    <n v="5.4"/>
    <n v="285"/>
    <n v="1"/>
    <n v="1"/>
    <n v="1"/>
    <n v="0"/>
    <n v="28.25"/>
    <n v="0"/>
    <n v="1"/>
  </r>
  <r>
    <s v="SHP-504602"/>
    <d v="2025-09-29T00:00:00"/>
    <x v="1"/>
    <s v="Q3"/>
    <x v="8"/>
    <x v="1"/>
    <x v="2"/>
    <x v="2"/>
    <x v="0"/>
    <s v="Road"/>
    <x v="1"/>
    <n v="4"/>
    <n v="1018"/>
    <n v="5"/>
    <n v="6"/>
    <n v="0"/>
    <n v="1"/>
    <n v="24.45"/>
    <n v="0"/>
    <n v="1"/>
  </r>
  <r>
    <s v="SHP-504603"/>
    <d v="2025-09-29T00:00:00"/>
    <x v="1"/>
    <s v="Q3"/>
    <x v="8"/>
    <x v="0"/>
    <x v="1"/>
    <x v="1"/>
    <x v="1"/>
    <s v="Road"/>
    <x v="1"/>
    <n v="2.1"/>
    <n v="234"/>
    <n v="5"/>
    <n v="4"/>
    <n v="1"/>
    <n v="0"/>
    <n v="7.86"/>
    <n v="0"/>
    <n v="1"/>
  </r>
  <r>
    <s v="SHP-504604"/>
    <d v="2025-09-29T00:00:00"/>
    <x v="1"/>
    <s v="Q3"/>
    <x v="8"/>
    <x v="2"/>
    <x v="2"/>
    <x v="0"/>
    <x v="1"/>
    <s v="Road"/>
    <x v="0"/>
    <n v="202.5"/>
    <n v="1081"/>
    <n v="6"/>
    <n v="6"/>
    <n v="1"/>
    <n v="0"/>
    <n v="67.03"/>
    <n v="0"/>
    <n v="1"/>
  </r>
  <r>
    <s v="SHP-504605"/>
    <d v="2025-09-30T00:00:00"/>
    <x v="1"/>
    <s v="Q3"/>
    <x v="8"/>
    <x v="3"/>
    <x v="2"/>
    <x v="1"/>
    <x v="2"/>
    <s v="Road"/>
    <x v="1"/>
    <n v="5.6"/>
    <n v="213"/>
    <n v="1"/>
    <n v="4"/>
    <n v="0"/>
    <n v="3"/>
    <n v="28.74"/>
    <n v="0"/>
    <n v="1"/>
  </r>
  <r>
    <s v="SHP-504606"/>
    <d v="2025-09-30T00:00:00"/>
    <x v="1"/>
    <s v="Q3"/>
    <x v="8"/>
    <x v="0"/>
    <x v="0"/>
    <x v="1"/>
    <x v="0"/>
    <s v="Road"/>
    <x v="0"/>
    <n v="38.5"/>
    <n v="195"/>
    <n v="3"/>
    <n v="3"/>
    <n v="1"/>
    <n v="0"/>
    <n v="27.32"/>
    <n v="0"/>
    <n v="1"/>
  </r>
  <r>
    <s v="SHP-504607"/>
    <d v="2025-09-30T00:00:00"/>
    <x v="1"/>
    <s v="Q3"/>
    <x v="8"/>
    <x v="4"/>
    <x v="1"/>
    <x v="1"/>
    <x v="1"/>
    <s v="Road"/>
    <x v="1"/>
    <n v="8.6"/>
    <n v="248"/>
    <n v="5"/>
    <n v="4"/>
    <n v="1"/>
    <n v="0"/>
    <n v="10.26"/>
    <n v="0"/>
    <n v="1"/>
  </r>
  <r>
    <s v="SHP-504608"/>
    <d v="2025-09-30T00:00:00"/>
    <x v="1"/>
    <s v="Q3"/>
    <x v="8"/>
    <x v="1"/>
    <x v="2"/>
    <x v="4"/>
    <x v="1"/>
    <s v="Road"/>
    <x v="1"/>
    <n v="1.2"/>
    <n v="984"/>
    <n v="7"/>
    <n v="7"/>
    <n v="1"/>
    <n v="0"/>
    <n v="13.8"/>
    <n v="0"/>
    <n v="1"/>
  </r>
  <r>
    <s v="SHP-504609"/>
    <d v="2025-09-30T00:00:00"/>
    <x v="1"/>
    <s v="Q3"/>
    <x v="8"/>
    <x v="2"/>
    <x v="1"/>
    <x v="4"/>
    <x v="0"/>
    <s v="Road"/>
    <x v="0"/>
    <n v="136.9"/>
    <n v="1226"/>
    <n v="5"/>
    <n v="6"/>
    <n v="0"/>
    <n v="1"/>
    <n v="68.53"/>
    <n v="0"/>
    <n v="1"/>
  </r>
  <r>
    <s v="SHP-504610"/>
    <d v="2025-09-30T00:00:00"/>
    <x v="1"/>
    <s v="Q3"/>
    <x v="8"/>
    <x v="1"/>
    <x v="1"/>
    <x v="2"/>
    <x v="0"/>
    <s v="Road"/>
    <x v="1"/>
    <n v="8.5"/>
    <n v="1141"/>
    <n v="5"/>
    <n v="7"/>
    <n v="0"/>
    <n v="2"/>
    <n v="25.35"/>
    <n v="0"/>
    <n v="1"/>
  </r>
  <r>
    <s v="SHP-504611"/>
    <d v="2025-09-30T00:00:00"/>
    <x v="1"/>
    <s v="Q3"/>
    <x v="8"/>
    <x v="1"/>
    <x v="2"/>
    <x v="0"/>
    <x v="0"/>
    <s v="Road"/>
    <x v="1"/>
    <n v="14.7"/>
    <n v="995"/>
    <n v="4"/>
    <n v="4"/>
    <n v="1"/>
    <n v="0"/>
    <n v="28.35"/>
    <n v="0"/>
    <n v="1"/>
  </r>
  <r>
    <s v="SHP-504612"/>
    <d v="2025-09-30T00:00:00"/>
    <x v="1"/>
    <s v="Q3"/>
    <x v="8"/>
    <x v="3"/>
    <x v="2"/>
    <x v="4"/>
    <x v="2"/>
    <s v="Air"/>
    <x v="0"/>
    <n v="48.3"/>
    <n v="993"/>
    <n v="3"/>
    <n v="3"/>
    <n v="1"/>
    <n v="0"/>
    <n v="134.13"/>
    <n v="0"/>
    <n v="1"/>
  </r>
  <r>
    <s v="SHP-504613"/>
    <d v="2025-09-30T00:00:00"/>
    <x v="1"/>
    <s v="Q3"/>
    <x v="8"/>
    <x v="2"/>
    <x v="2"/>
    <x v="1"/>
    <x v="0"/>
    <s v="Road"/>
    <x v="1"/>
    <n v="12.2"/>
    <n v="259"/>
    <n v="3"/>
    <n v="3"/>
    <n v="1"/>
    <n v="0"/>
    <n v="14.73"/>
    <n v="0"/>
    <n v="1"/>
  </r>
  <r>
    <s v="SHP-504614"/>
    <d v="2025-09-30T00:00:00"/>
    <x v="1"/>
    <s v="Q3"/>
    <x v="8"/>
    <x v="4"/>
    <x v="2"/>
    <x v="1"/>
    <x v="2"/>
    <s v="Road"/>
    <x v="1"/>
    <n v="6.4"/>
    <n v="270"/>
    <n v="1"/>
    <n v="1"/>
    <n v="1"/>
    <n v="0"/>
    <n v="25.52"/>
    <n v="0"/>
    <n v="1"/>
  </r>
  <r>
    <s v="SHP-504615"/>
    <d v="2025-09-30T00:00:00"/>
    <x v="1"/>
    <s v="Q3"/>
    <x v="8"/>
    <x v="3"/>
    <x v="2"/>
    <x v="4"/>
    <x v="0"/>
    <s v="Road"/>
    <x v="1"/>
    <n v="10"/>
    <n v="1183"/>
    <n v="5"/>
    <n v="5"/>
    <n v="1"/>
    <n v="0"/>
    <n v="29.8"/>
    <n v="0"/>
    <n v="1"/>
  </r>
  <r>
    <s v="SHP-504616"/>
    <d v="2025-09-30T00:00:00"/>
    <x v="1"/>
    <s v="Q3"/>
    <x v="8"/>
    <x v="2"/>
    <x v="1"/>
    <x v="3"/>
    <x v="2"/>
    <s v="Road"/>
    <x v="0"/>
    <n v="108.8"/>
    <n v="571"/>
    <n v="2"/>
    <n v="3"/>
    <n v="0"/>
    <n v="1"/>
    <n v="92.33"/>
    <n v="0"/>
    <n v="1"/>
  </r>
  <r>
    <s v="SHP-504617"/>
    <d v="2025-09-30T00:00:00"/>
    <x v="1"/>
    <s v="Q3"/>
    <x v="8"/>
    <x v="4"/>
    <x v="2"/>
    <x v="1"/>
    <x v="0"/>
    <s v="Road"/>
    <x v="0"/>
    <n v="34.9"/>
    <n v="263"/>
    <n v="3"/>
    <n v="3"/>
    <n v="1"/>
    <n v="0"/>
    <n v="27.98"/>
    <n v="0"/>
    <n v="1"/>
  </r>
  <r>
    <s v="SHP-504618"/>
    <d v="2025-10-01T00:00:00"/>
    <x v="1"/>
    <s v="Q4"/>
    <x v="9"/>
    <x v="1"/>
    <x v="1"/>
    <x v="3"/>
    <x v="1"/>
    <s v="Road"/>
    <x v="1"/>
    <n v="3.6"/>
    <n v="455"/>
    <n v="6"/>
    <n v="6"/>
    <n v="1"/>
    <n v="0"/>
    <n v="12"/>
    <n v="0"/>
    <n v="1"/>
  </r>
  <r>
    <s v="SHP-504619"/>
    <d v="2025-10-01T00:00:00"/>
    <x v="1"/>
    <s v="Q4"/>
    <x v="9"/>
    <x v="3"/>
    <x v="1"/>
    <x v="1"/>
    <x v="1"/>
    <s v="Road"/>
    <x v="0"/>
    <n v="144.5"/>
    <n v="283"/>
    <n v="5"/>
    <n v="5"/>
    <n v="1"/>
    <n v="0"/>
    <n v="58.87"/>
    <n v="0"/>
    <n v="1"/>
  </r>
  <r>
    <s v="SHP-504620"/>
    <d v="2025-10-01T00:00:00"/>
    <x v="1"/>
    <s v="Q4"/>
    <x v="9"/>
    <x v="2"/>
    <x v="2"/>
    <x v="3"/>
    <x v="1"/>
    <s v="Road"/>
    <x v="0"/>
    <n v="84.7"/>
    <n v="432"/>
    <n v="6"/>
    <n v="6"/>
    <n v="1"/>
    <n v="0"/>
    <n v="29.77"/>
    <n v="0"/>
    <n v="1"/>
  </r>
  <r>
    <s v="SHP-504621"/>
    <d v="2025-10-01T00:00:00"/>
    <x v="1"/>
    <s v="Q4"/>
    <x v="9"/>
    <x v="2"/>
    <x v="0"/>
    <x v="0"/>
    <x v="1"/>
    <s v="Road"/>
    <x v="1"/>
    <n v="2.1"/>
    <n v="879"/>
    <n v="6"/>
    <n v="6"/>
    <n v="1"/>
    <n v="0"/>
    <n v="10.8"/>
    <n v="0"/>
    <n v="1"/>
  </r>
  <r>
    <s v="SHP-504622"/>
    <d v="2025-10-01T00:00:00"/>
    <x v="1"/>
    <s v="Q4"/>
    <x v="9"/>
    <x v="3"/>
    <x v="0"/>
    <x v="4"/>
    <x v="1"/>
    <s v="Road"/>
    <x v="1"/>
    <n v="8.3000000000000007"/>
    <n v="884"/>
    <n v="7"/>
    <n v="7"/>
    <n v="1"/>
    <n v="0"/>
    <n v="18.489999999999998"/>
    <n v="0"/>
    <n v="1"/>
  </r>
  <r>
    <s v="SHP-504623"/>
    <d v="2025-10-01T00:00:00"/>
    <x v="1"/>
    <s v="Q4"/>
    <x v="9"/>
    <x v="1"/>
    <x v="2"/>
    <x v="0"/>
    <x v="2"/>
    <s v="Air"/>
    <x v="1"/>
    <n v="3.5"/>
    <n v="1050"/>
    <n v="2"/>
    <n v="2"/>
    <n v="1"/>
    <n v="0"/>
    <n v="72.599999999999994"/>
    <n v="0"/>
    <n v="1"/>
  </r>
  <r>
    <s v="SHP-504624"/>
    <d v="2025-10-01T00:00:00"/>
    <x v="1"/>
    <s v="Q4"/>
    <x v="9"/>
    <x v="1"/>
    <x v="1"/>
    <x v="3"/>
    <x v="0"/>
    <s v="Road"/>
    <x v="0"/>
    <n v="177.1"/>
    <n v="402"/>
    <n v="4"/>
    <n v="4"/>
    <n v="1"/>
    <n v="0"/>
    <n v="84.88"/>
    <n v="0"/>
    <n v="1"/>
  </r>
  <r>
    <s v="SHP-504625"/>
    <d v="2025-10-01T00:00:00"/>
    <x v="1"/>
    <s v="Q4"/>
    <x v="9"/>
    <x v="1"/>
    <x v="2"/>
    <x v="0"/>
    <x v="0"/>
    <s v="Road"/>
    <x v="0"/>
    <n v="82.3"/>
    <n v="799"/>
    <n v="4"/>
    <n v="5"/>
    <n v="0"/>
    <n v="1"/>
    <n v="61.61"/>
    <n v="0"/>
    <n v="1"/>
  </r>
  <r>
    <s v="SHP-504626"/>
    <d v="2025-10-01T00:00:00"/>
    <x v="1"/>
    <s v="Q4"/>
    <x v="9"/>
    <x v="0"/>
    <x v="1"/>
    <x v="0"/>
    <x v="0"/>
    <s v="Road"/>
    <x v="1"/>
    <n v="17.399999999999999"/>
    <n v="905"/>
    <n v="4"/>
    <n v="3"/>
    <n v="1"/>
    <n v="0"/>
    <n v="26.01"/>
    <n v="0"/>
    <n v="1"/>
  </r>
  <r>
    <s v="SHP-504627"/>
    <d v="2025-10-02T00:00:00"/>
    <x v="1"/>
    <s v="Q4"/>
    <x v="9"/>
    <x v="0"/>
    <x v="1"/>
    <x v="0"/>
    <x v="1"/>
    <s v="Road"/>
    <x v="1"/>
    <n v="3.6"/>
    <n v="728"/>
    <n v="6"/>
    <n v="6"/>
    <n v="1"/>
    <n v="0"/>
    <n v="11.47"/>
    <n v="0"/>
    <n v="1"/>
  </r>
  <r>
    <s v="SHP-504628"/>
    <d v="2025-10-02T00:00:00"/>
    <x v="1"/>
    <s v="Q4"/>
    <x v="9"/>
    <x v="4"/>
    <x v="1"/>
    <x v="0"/>
    <x v="0"/>
    <s v="Road"/>
    <x v="1"/>
    <n v="1.6"/>
    <n v="891"/>
    <n v="4"/>
    <n v="4"/>
    <n v="1"/>
    <n v="0"/>
    <n v="17.96"/>
    <n v="0"/>
    <n v="1"/>
  </r>
  <r>
    <s v="SHP-504629"/>
    <d v="2025-10-02T00:00:00"/>
    <x v="1"/>
    <s v="Q4"/>
    <x v="9"/>
    <x v="3"/>
    <x v="2"/>
    <x v="2"/>
    <x v="0"/>
    <s v="Road"/>
    <x v="1"/>
    <n v="25"/>
    <n v="1408"/>
    <n v="5"/>
    <n v="4"/>
    <n v="1"/>
    <n v="0"/>
    <n v="41.5"/>
    <n v="0"/>
    <n v="1"/>
  </r>
  <r>
    <s v="SHP-504630"/>
    <d v="2025-10-02T00:00:00"/>
    <x v="1"/>
    <s v="Q4"/>
    <x v="9"/>
    <x v="3"/>
    <x v="2"/>
    <x v="1"/>
    <x v="1"/>
    <s v="Road"/>
    <x v="1"/>
    <n v="3.8"/>
    <n v="260"/>
    <n v="5"/>
    <n v="7"/>
    <n v="0"/>
    <n v="2"/>
    <n v="10.56"/>
    <n v="0"/>
    <n v="1"/>
  </r>
  <r>
    <s v="SHP-504631"/>
    <d v="2025-10-02T00:00:00"/>
    <x v="1"/>
    <s v="Q4"/>
    <x v="9"/>
    <x v="3"/>
    <x v="1"/>
    <x v="3"/>
    <x v="0"/>
    <s v="Road"/>
    <x v="1"/>
    <n v="7.8"/>
    <n v="457"/>
    <n v="4"/>
    <n v="3"/>
    <n v="1"/>
    <n v="0"/>
    <n v="16.399999999999999"/>
    <n v="0"/>
    <n v="1"/>
  </r>
  <r>
    <s v="SHP-504632"/>
    <d v="2025-10-02T00:00:00"/>
    <x v="1"/>
    <s v="Q4"/>
    <x v="9"/>
    <x v="0"/>
    <x v="1"/>
    <x v="0"/>
    <x v="0"/>
    <s v="Road"/>
    <x v="1"/>
    <n v="12.6"/>
    <n v="1008"/>
    <n v="4"/>
    <n v="6"/>
    <n v="0"/>
    <n v="2"/>
    <n v="27.13"/>
    <n v="0"/>
    <n v="1"/>
  </r>
  <r>
    <s v="SHP-504633"/>
    <d v="2025-10-02T00:00:00"/>
    <x v="1"/>
    <s v="Q4"/>
    <x v="9"/>
    <x v="0"/>
    <x v="1"/>
    <x v="0"/>
    <x v="1"/>
    <s v="Road"/>
    <x v="1"/>
    <n v="9.4"/>
    <n v="1054"/>
    <n v="6"/>
    <n v="6"/>
    <n v="1"/>
    <n v="0"/>
    <n v="15.36"/>
    <n v="0"/>
    <n v="1"/>
  </r>
  <r>
    <s v="SHP-504634"/>
    <d v="2025-10-02T00:00:00"/>
    <x v="1"/>
    <s v="Q4"/>
    <x v="9"/>
    <x v="3"/>
    <x v="1"/>
    <x v="3"/>
    <x v="0"/>
    <s v="Road"/>
    <x v="1"/>
    <n v="9.4"/>
    <n v="447"/>
    <n v="4"/>
    <n v="4"/>
    <n v="1"/>
    <n v="0"/>
    <n v="21.17"/>
    <n v="0"/>
    <n v="1"/>
  </r>
  <r>
    <s v="SHP-504635"/>
    <d v="2025-10-02T00:00:00"/>
    <x v="1"/>
    <s v="Q4"/>
    <x v="9"/>
    <x v="3"/>
    <x v="1"/>
    <x v="3"/>
    <x v="0"/>
    <s v="Road"/>
    <x v="0"/>
    <n v="148.69999999999999"/>
    <n v="537"/>
    <n v="4"/>
    <n v="3"/>
    <n v="1"/>
    <n v="0"/>
    <n v="77.569999999999993"/>
    <n v="0"/>
    <n v="1"/>
  </r>
  <r>
    <s v="SHP-504636"/>
    <d v="2025-10-03T00:00:00"/>
    <x v="1"/>
    <s v="Q4"/>
    <x v="9"/>
    <x v="0"/>
    <x v="2"/>
    <x v="0"/>
    <x v="0"/>
    <s v="Road"/>
    <x v="1"/>
    <n v="7.2"/>
    <n v="1164"/>
    <n v="4"/>
    <n v="4"/>
    <n v="1"/>
    <n v="0"/>
    <n v="23.31"/>
    <n v="0"/>
    <n v="1"/>
  </r>
  <r>
    <s v="SHP-504637"/>
    <d v="2025-10-03T00:00:00"/>
    <x v="1"/>
    <s v="Q4"/>
    <x v="9"/>
    <x v="4"/>
    <x v="2"/>
    <x v="0"/>
    <x v="0"/>
    <s v="Road"/>
    <x v="0"/>
    <n v="247.8"/>
    <n v="851"/>
    <n v="4"/>
    <n v="4"/>
    <n v="1"/>
    <n v="0"/>
    <n v="112.78"/>
    <n v="0"/>
    <n v="1"/>
  </r>
  <r>
    <s v="SHP-504638"/>
    <d v="2025-10-03T00:00:00"/>
    <x v="1"/>
    <s v="Q4"/>
    <x v="9"/>
    <x v="2"/>
    <x v="1"/>
    <x v="1"/>
    <x v="1"/>
    <s v="Road"/>
    <x v="1"/>
    <n v="0.5"/>
    <n v="180"/>
    <n v="5"/>
    <n v="7"/>
    <n v="0"/>
    <n v="2"/>
    <n v="4.83"/>
    <n v="0"/>
    <n v="1"/>
  </r>
  <r>
    <s v="SHP-504639"/>
    <d v="2025-10-03T00:00:00"/>
    <x v="1"/>
    <s v="Q4"/>
    <x v="9"/>
    <x v="3"/>
    <x v="2"/>
    <x v="1"/>
    <x v="1"/>
    <s v="Road"/>
    <x v="1"/>
    <n v="9"/>
    <n v="180"/>
    <n v="5"/>
    <n v="5"/>
    <n v="1"/>
    <n v="0"/>
    <n v="12.08"/>
    <n v="0"/>
    <n v="1"/>
  </r>
  <r>
    <s v="SHP-504640"/>
    <d v="2025-10-03T00:00:00"/>
    <x v="1"/>
    <s v="Q4"/>
    <x v="9"/>
    <x v="4"/>
    <x v="2"/>
    <x v="4"/>
    <x v="2"/>
    <s v="Air"/>
    <x v="1"/>
    <n v="9.6999999999999993"/>
    <n v="1129"/>
    <n v="3"/>
    <n v="3"/>
    <n v="1"/>
    <n v="0"/>
    <n v="82.01"/>
    <n v="0"/>
    <n v="1"/>
  </r>
  <r>
    <s v="SHP-504641"/>
    <d v="2025-10-03T00:00:00"/>
    <x v="1"/>
    <s v="Q4"/>
    <x v="9"/>
    <x v="3"/>
    <x v="2"/>
    <x v="1"/>
    <x v="0"/>
    <s v="Road"/>
    <x v="1"/>
    <n v="2"/>
    <n v="246"/>
    <n v="3"/>
    <n v="3"/>
    <n v="1"/>
    <n v="0"/>
    <n v="12.27"/>
    <n v="0"/>
    <n v="1"/>
  </r>
  <r>
    <s v="SHP-504642"/>
    <d v="2025-10-04T00:00:00"/>
    <x v="1"/>
    <s v="Q4"/>
    <x v="9"/>
    <x v="2"/>
    <x v="0"/>
    <x v="3"/>
    <x v="2"/>
    <s v="Road"/>
    <x v="0"/>
    <n v="108.2"/>
    <n v="518"/>
    <n v="2"/>
    <n v="2"/>
    <n v="1"/>
    <n v="0"/>
    <n v="100.5"/>
    <n v="0"/>
    <n v="1"/>
  </r>
  <r>
    <s v="SHP-504643"/>
    <d v="2025-10-04T00:00:00"/>
    <x v="1"/>
    <s v="Q4"/>
    <x v="9"/>
    <x v="0"/>
    <x v="1"/>
    <x v="0"/>
    <x v="0"/>
    <s v="Road"/>
    <x v="1"/>
    <n v="7.1"/>
    <n v="924"/>
    <n v="4"/>
    <n v="4"/>
    <n v="1"/>
    <n v="0"/>
    <n v="21.48"/>
    <n v="0"/>
    <n v="1"/>
  </r>
  <r>
    <s v="SHP-504644"/>
    <d v="2025-10-04T00:00:00"/>
    <x v="1"/>
    <s v="Q4"/>
    <x v="9"/>
    <x v="1"/>
    <x v="1"/>
    <x v="0"/>
    <x v="0"/>
    <s v="Road"/>
    <x v="1"/>
    <n v="9.8000000000000007"/>
    <n v="847"/>
    <n v="4"/>
    <n v="4"/>
    <n v="1"/>
    <n v="0"/>
    <n v="23.73"/>
    <n v="0"/>
    <n v="1"/>
  </r>
  <r>
    <s v="SHP-504645"/>
    <d v="2025-10-04T00:00:00"/>
    <x v="1"/>
    <s v="Q4"/>
    <x v="9"/>
    <x v="0"/>
    <x v="1"/>
    <x v="0"/>
    <x v="1"/>
    <s v="Road"/>
    <x v="1"/>
    <n v="6.5"/>
    <n v="877"/>
    <n v="6"/>
    <n v="6"/>
    <n v="1"/>
    <n v="0"/>
    <n v="13.94"/>
    <n v="0"/>
    <n v="1"/>
  </r>
  <r>
    <s v="SHP-504646"/>
    <d v="2025-10-04T00:00:00"/>
    <x v="1"/>
    <s v="Q4"/>
    <x v="9"/>
    <x v="4"/>
    <x v="2"/>
    <x v="0"/>
    <x v="0"/>
    <s v="Road"/>
    <x v="0"/>
    <n v="15.1"/>
    <n v="912"/>
    <n v="4"/>
    <n v="4"/>
    <n v="1"/>
    <n v="0"/>
    <n v="24.93"/>
    <n v="0"/>
    <n v="1"/>
  </r>
  <r>
    <s v="SHP-504647"/>
    <d v="2025-10-04T00:00:00"/>
    <x v="1"/>
    <s v="Q4"/>
    <x v="9"/>
    <x v="4"/>
    <x v="1"/>
    <x v="3"/>
    <x v="0"/>
    <s v="Road"/>
    <x v="1"/>
    <n v="19.8"/>
    <n v="610"/>
    <n v="4"/>
    <n v="4"/>
    <n v="1"/>
    <n v="0"/>
    <n v="26.7"/>
    <n v="0"/>
    <n v="1"/>
  </r>
  <r>
    <s v="SHP-504648"/>
    <d v="2025-10-04T00:00:00"/>
    <x v="1"/>
    <s v="Q4"/>
    <x v="9"/>
    <x v="2"/>
    <x v="1"/>
    <x v="0"/>
    <x v="0"/>
    <s v="Road"/>
    <x v="1"/>
    <n v="1.5"/>
    <n v="941"/>
    <n v="4"/>
    <n v="3"/>
    <n v="1"/>
    <n v="0"/>
    <n v="16.34"/>
    <n v="0"/>
    <n v="1"/>
  </r>
  <r>
    <s v="SHP-504649"/>
    <d v="2025-10-05T00:00:00"/>
    <x v="1"/>
    <s v="Q4"/>
    <x v="9"/>
    <x v="0"/>
    <x v="1"/>
    <x v="0"/>
    <x v="0"/>
    <s v="Road"/>
    <x v="1"/>
    <n v="4.8"/>
    <n v="776"/>
    <n v="4"/>
    <n v="4"/>
    <n v="1"/>
    <n v="0"/>
    <n v="18.77"/>
    <n v="0"/>
    <n v="1"/>
  </r>
  <r>
    <s v="SHP-504650"/>
    <d v="2025-10-05T00:00:00"/>
    <x v="1"/>
    <s v="Q4"/>
    <x v="9"/>
    <x v="4"/>
    <x v="2"/>
    <x v="4"/>
    <x v="1"/>
    <s v="Road"/>
    <x v="1"/>
    <n v="14.3"/>
    <n v="904"/>
    <n v="7"/>
    <n v="6"/>
    <n v="1"/>
    <n v="0"/>
    <n v="19.52"/>
    <n v="0"/>
    <n v="1"/>
  </r>
  <r>
    <s v="SHP-504651"/>
    <d v="2025-10-05T00:00:00"/>
    <x v="1"/>
    <s v="Q4"/>
    <x v="9"/>
    <x v="2"/>
    <x v="0"/>
    <x v="1"/>
    <x v="0"/>
    <s v="Road"/>
    <x v="1"/>
    <n v="1.3"/>
    <n v="220"/>
    <n v="3"/>
    <n v="3"/>
    <n v="1"/>
    <n v="0"/>
    <n v="7.33"/>
    <n v="0"/>
    <n v="1"/>
  </r>
  <r>
    <s v="SHP-504652"/>
    <d v="2025-10-05T00:00:00"/>
    <x v="1"/>
    <s v="Q4"/>
    <x v="9"/>
    <x v="3"/>
    <x v="1"/>
    <x v="1"/>
    <x v="0"/>
    <s v="Road"/>
    <x v="0"/>
    <n v="69"/>
    <n v="265"/>
    <n v="3"/>
    <n v="3"/>
    <n v="1"/>
    <n v="0"/>
    <n v="46.02"/>
    <n v="0"/>
    <n v="1"/>
  </r>
  <r>
    <s v="SHP-504653"/>
    <d v="2025-10-05T00:00:00"/>
    <x v="1"/>
    <s v="Q4"/>
    <x v="9"/>
    <x v="2"/>
    <x v="2"/>
    <x v="0"/>
    <x v="0"/>
    <s v="Road"/>
    <x v="0"/>
    <n v="245.3"/>
    <n v="750"/>
    <n v="4"/>
    <n v="3"/>
    <n v="1"/>
    <n v="0"/>
    <n v="99.7"/>
    <n v="0"/>
    <n v="1"/>
  </r>
  <r>
    <s v="SHP-504654"/>
    <d v="2025-10-06T00:00:00"/>
    <x v="1"/>
    <s v="Q4"/>
    <x v="9"/>
    <x v="4"/>
    <x v="1"/>
    <x v="1"/>
    <x v="0"/>
    <s v="Road"/>
    <x v="1"/>
    <n v="5.6"/>
    <n v="284"/>
    <n v="3"/>
    <n v="3"/>
    <n v="1"/>
    <n v="0"/>
    <n v="13.72"/>
    <n v="0"/>
    <n v="1"/>
  </r>
  <r>
    <s v="SHP-504655"/>
    <d v="2025-10-06T00:00:00"/>
    <x v="1"/>
    <s v="Q4"/>
    <x v="9"/>
    <x v="1"/>
    <x v="1"/>
    <x v="1"/>
    <x v="0"/>
    <s v="Road"/>
    <x v="0"/>
    <n v="81.900000000000006"/>
    <n v="239"/>
    <n v="3"/>
    <n v="3"/>
    <n v="1"/>
    <n v="0"/>
    <n v="50.7"/>
    <n v="0"/>
    <n v="1"/>
  </r>
  <r>
    <s v="SHP-504656"/>
    <d v="2025-10-06T00:00:00"/>
    <x v="1"/>
    <s v="Q4"/>
    <x v="9"/>
    <x v="3"/>
    <x v="1"/>
    <x v="1"/>
    <x v="0"/>
    <s v="Road"/>
    <x v="0"/>
    <n v="85.5"/>
    <n v="251"/>
    <n v="3"/>
    <n v="2"/>
    <n v="1"/>
    <n v="0"/>
    <n v="56.27"/>
    <n v="0"/>
    <n v="1"/>
  </r>
  <r>
    <s v="SHP-504657"/>
    <d v="2025-10-06T00:00:00"/>
    <x v="1"/>
    <s v="Q4"/>
    <x v="9"/>
    <x v="0"/>
    <x v="2"/>
    <x v="0"/>
    <x v="2"/>
    <s v="Air"/>
    <x v="1"/>
    <n v="5.9"/>
    <n v="1050"/>
    <n v="2"/>
    <n v="2"/>
    <n v="1"/>
    <n v="0"/>
    <n v="69.31"/>
    <n v="0"/>
    <n v="1"/>
  </r>
  <r>
    <s v="SHP-504658"/>
    <d v="2025-10-06T00:00:00"/>
    <x v="1"/>
    <s v="Q4"/>
    <x v="9"/>
    <x v="2"/>
    <x v="2"/>
    <x v="1"/>
    <x v="0"/>
    <s v="Road"/>
    <x v="0"/>
    <n v="194.6"/>
    <n v="273"/>
    <n v="3"/>
    <n v="2"/>
    <n v="1"/>
    <n v="0"/>
    <n v="62.55"/>
    <n v="0"/>
    <n v="1"/>
  </r>
  <r>
    <s v="SHP-504659"/>
    <d v="2025-10-06T00:00:00"/>
    <x v="1"/>
    <s v="Q4"/>
    <x v="9"/>
    <x v="4"/>
    <x v="0"/>
    <x v="3"/>
    <x v="1"/>
    <s v="Road"/>
    <x v="1"/>
    <n v="4.0999999999999996"/>
    <n v="626"/>
    <n v="6"/>
    <n v="6"/>
    <n v="1"/>
    <n v="0"/>
    <n v="13.11"/>
    <n v="0"/>
    <n v="1"/>
  </r>
  <r>
    <s v="SHP-504660"/>
    <d v="2025-10-06T00:00:00"/>
    <x v="1"/>
    <s v="Q4"/>
    <x v="9"/>
    <x v="0"/>
    <x v="0"/>
    <x v="1"/>
    <x v="0"/>
    <s v="Road"/>
    <x v="1"/>
    <n v="11.6"/>
    <n v="191"/>
    <n v="3"/>
    <n v="3"/>
    <n v="1"/>
    <n v="0"/>
    <n v="14.79"/>
    <n v="0"/>
    <n v="1"/>
  </r>
  <r>
    <s v="SHP-504661"/>
    <d v="2025-10-06T00:00:00"/>
    <x v="1"/>
    <s v="Q4"/>
    <x v="9"/>
    <x v="1"/>
    <x v="2"/>
    <x v="3"/>
    <x v="0"/>
    <s v="Road"/>
    <x v="1"/>
    <n v="4.7"/>
    <n v="517"/>
    <n v="4"/>
    <n v="4"/>
    <n v="1"/>
    <n v="0"/>
    <n v="16.66"/>
    <n v="0"/>
    <n v="1"/>
  </r>
  <r>
    <s v="SHP-504662"/>
    <d v="2025-10-06T00:00:00"/>
    <x v="1"/>
    <s v="Q4"/>
    <x v="9"/>
    <x v="4"/>
    <x v="1"/>
    <x v="2"/>
    <x v="0"/>
    <s v="Road"/>
    <x v="0"/>
    <n v="161"/>
    <n v="1085"/>
    <n v="5"/>
    <n v="8"/>
    <n v="0"/>
    <n v="3"/>
    <n v="91.73"/>
    <n v="0"/>
    <n v="1"/>
  </r>
  <r>
    <s v="SHP-504663"/>
    <d v="2025-10-07T00:00:00"/>
    <x v="1"/>
    <s v="Q4"/>
    <x v="9"/>
    <x v="1"/>
    <x v="2"/>
    <x v="3"/>
    <x v="0"/>
    <s v="Road"/>
    <x v="0"/>
    <n v="71.3"/>
    <n v="516"/>
    <n v="4"/>
    <n v="4"/>
    <n v="1"/>
    <n v="0"/>
    <n v="51.69"/>
    <n v="0"/>
    <n v="1"/>
  </r>
  <r>
    <s v="SHP-504664"/>
    <d v="2025-10-07T00:00:00"/>
    <x v="1"/>
    <s v="Q4"/>
    <x v="9"/>
    <x v="0"/>
    <x v="2"/>
    <x v="0"/>
    <x v="2"/>
    <s v="Air"/>
    <x v="0"/>
    <n v="116.8"/>
    <n v="916"/>
    <n v="2"/>
    <n v="2"/>
    <n v="1"/>
    <n v="0"/>
    <n v="208.36"/>
    <n v="0"/>
    <n v="1"/>
  </r>
  <r>
    <s v="SHP-504665"/>
    <d v="2025-10-07T00:00:00"/>
    <x v="1"/>
    <s v="Q4"/>
    <x v="9"/>
    <x v="1"/>
    <x v="2"/>
    <x v="2"/>
    <x v="1"/>
    <s v="Road"/>
    <x v="0"/>
    <n v="48.5"/>
    <n v="1183"/>
    <n v="7"/>
    <n v="9"/>
    <n v="0"/>
    <n v="2"/>
    <n v="34.69"/>
    <n v="0"/>
    <n v="1"/>
  </r>
  <r>
    <s v="SHP-504666"/>
    <d v="2025-10-07T00:00:00"/>
    <x v="1"/>
    <s v="Q4"/>
    <x v="9"/>
    <x v="3"/>
    <x v="2"/>
    <x v="3"/>
    <x v="0"/>
    <s v="Road"/>
    <x v="0"/>
    <n v="37.799999999999997"/>
    <n v="516"/>
    <n v="4"/>
    <n v="4"/>
    <n v="1"/>
    <n v="0"/>
    <n v="34.51"/>
    <n v="0"/>
    <n v="1"/>
  </r>
  <r>
    <s v="SHP-504667"/>
    <d v="2025-10-07T00:00:00"/>
    <x v="1"/>
    <s v="Q4"/>
    <x v="9"/>
    <x v="4"/>
    <x v="2"/>
    <x v="0"/>
    <x v="0"/>
    <s v="Road"/>
    <x v="1"/>
    <n v="7"/>
    <n v="1043"/>
    <n v="4"/>
    <n v="7"/>
    <n v="0"/>
    <n v="3"/>
    <n v="24.8"/>
    <n v="0"/>
    <n v="1"/>
  </r>
  <r>
    <s v="SHP-504668"/>
    <d v="2025-10-07T00:00:00"/>
    <x v="1"/>
    <s v="Q4"/>
    <x v="9"/>
    <x v="2"/>
    <x v="0"/>
    <x v="1"/>
    <x v="0"/>
    <s v="Road"/>
    <x v="1"/>
    <n v="3.3"/>
    <n v="259"/>
    <n v="3"/>
    <n v="3"/>
    <n v="1"/>
    <n v="0"/>
    <n v="10.29"/>
    <n v="0"/>
    <n v="1"/>
  </r>
  <r>
    <s v="SHP-504669"/>
    <d v="2025-10-07T00:00:00"/>
    <x v="1"/>
    <s v="Q4"/>
    <x v="9"/>
    <x v="1"/>
    <x v="1"/>
    <x v="2"/>
    <x v="0"/>
    <s v="Road"/>
    <x v="1"/>
    <n v="7.1"/>
    <n v="1006"/>
    <n v="5"/>
    <n v="4"/>
    <n v="1"/>
    <n v="0"/>
    <n v="25.38"/>
    <n v="0"/>
    <n v="1"/>
  </r>
  <r>
    <s v="SHP-504670"/>
    <d v="2025-10-07T00:00:00"/>
    <x v="1"/>
    <s v="Q4"/>
    <x v="9"/>
    <x v="3"/>
    <x v="0"/>
    <x v="2"/>
    <x v="0"/>
    <s v="Road"/>
    <x v="1"/>
    <n v="11.5"/>
    <n v="1690"/>
    <n v="5"/>
    <n v="5"/>
    <n v="1"/>
    <n v="0"/>
    <n v="39.380000000000003"/>
    <n v="0"/>
    <n v="1"/>
  </r>
  <r>
    <s v="SHP-504671"/>
    <d v="2025-10-07T00:00:00"/>
    <x v="1"/>
    <s v="Q4"/>
    <x v="9"/>
    <x v="3"/>
    <x v="2"/>
    <x v="1"/>
    <x v="0"/>
    <s v="Road"/>
    <x v="1"/>
    <n v="2.7"/>
    <n v="293"/>
    <n v="3"/>
    <n v="3"/>
    <n v="1"/>
    <n v="0"/>
    <n v="13.46"/>
    <n v="0"/>
    <n v="1"/>
  </r>
  <r>
    <s v="SHP-504672"/>
    <d v="2025-10-07T00:00:00"/>
    <x v="1"/>
    <s v="Q4"/>
    <x v="9"/>
    <x v="4"/>
    <x v="1"/>
    <x v="2"/>
    <x v="0"/>
    <s v="Road"/>
    <x v="0"/>
    <n v="44"/>
    <n v="1378"/>
    <n v="5"/>
    <n v="5"/>
    <n v="1"/>
    <n v="0"/>
    <n v="47.41"/>
    <n v="0"/>
    <n v="1"/>
  </r>
  <r>
    <s v="SHP-504673"/>
    <d v="2025-10-07T00:00:00"/>
    <x v="1"/>
    <s v="Q4"/>
    <x v="9"/>
    <x v="1"/>
    <x v="2"/>
    <x v="4"/>
    <x v="0"/>
    <s v="Road"/>
    <x v="1"/>
    <n v="1.1000000000000001"/>
    <n v="1158"/>
    <n v="5"/>
    <n v="7"/>
    <n v="0"/>
    <n v="2"/>
    <n v="22.7"/>
    <n v="0"/>
    <n v="1"/>
  </r>
  <r>
    <s v="SHP-504674"/>
    <d v="2025-10-07T00:00:00"/>
    <x v="1"/>
    <s v="Q4"/>
    <x v="9"/>
    <x v="3"/>
    <x v="2"/>
    <x v="3"/>
    <x v="0"/>
    <s v="Road"/>
    <x v="0"/>
    <n v="81.2"/>
    <n v="399"/>
    <n v="4"/>
    <n v="4"/>
    <n v="1"/>
    <n v="0"/>
    <n v="50.81"/>
    <n v="0"/>
    <n v="1"/>
  </r>
  <r>
    <s v="SHP-504675"/>
    <d v="2025-10-07T00:00:00"/>
    <x v="1"/>
    <s v="Q4"/>
    <x v="9"/>
    <x v="4"/>
    <x v="2"/>
    <x v="0"/>
    <x v="0"/>
    <s v="Road"/>
    <x v="0"/>
    <n v="109.1"/>
    <n v="913"/>
    <n v="4"/>
    <n v="3"/>
    <n v="1"/>
    <n v="0"/>
    <n v="64.98"/>
    <n v="0"/>
    <n v="1"/>
  </r>
  <r>
    <s v="SHP-504676"/>
    <d v="2025-10-08T00:00:00"/>
    <x v="1"/>
    <s v="Q4"/>
    <x v="9"/>
    <x v="2"/>
    <x v="1"/>
    <x v="3"/>
    <x v="2"/>
    <s v="Road"/>
    <x v="0"/>
    <n v="122.1"/>
    <n v="380"/>
    <n v="2"/>
    <n v="3"/>
    <n v="0"/>
    <n v="1"/>
    <n v="102.01"/>
    <n v="1"/>
    <n v="1"/>
  </r>
  <r>
    <s v="SHP-504677"/>
    <d v="2025-10-08T00:00:00"/>
    <x v="1"/>
    <s v="Q4"/>
    <x v="9"/>
    <x v="0"/>
    <x v="0"/>
    <x v="2"/>
    <x v="0"/>
    <s v="Road"/>
    <x v="1"/>
    <n v="24.5"/>
    <n v="1250"/>
    <n v="5"/>
    <n v="4"/>
    <n v="1"/>
    <n v="0"/>
    <n v="34.619999999999997"/>
    <n v="1"/>
    <n v="1"/>
  </r>
  <r>
    <s v="SHP-504678"/>
    <d v="2025-10-08T00:00:00"/>
    <x v="1"/>
    <s v="Q4"/>
    <x v="9"/>
    <x v="4"/>
    <x v="0"/>
    <x v="4"/>
    <x v="0"/>
    <s v="Road"/>
    <x v="0"/>
    <n v="214.8"/>
    <n v="905"/>
    <n v="5"/>
    <n v="5"/>
    <n v="1"/>
    <n v="0"/>
    <n v="114.31"/>
    <n v="0"/>
    <n v="1"/>
  </r>
  <r>
    <s v="SHP-504679"/>
    <d v="2025-10-08T00:00:00"/>
    <x v="1"/>
    <s v="Q4"/>
    <x v="9"/>
    <x v="2"/>
    <x v="1"/>
    <x v="4"/>
    <x v="1"/>
    <s v="Road"/>
    <x v="0"/>
    <n v="85.5"/>
    <n v="912"/>
    <n v="7"/>
    <n v="9"/>
    <n v="0"/>
    <n v="2"/>
    <n v="36.42"/>
    <n v="0"/>
    <n v="1"/>
  </r>
  <r>
    <s v="SHP-504680"/>
    <d v="2025-10-08T00:00:00"/>
    <x v="1"/>
    <s v="Q4"/>
    <x v="9"/>
    <x v="4"/>
    <x v="0"/>
    <x v="2"/>
    <x v="0"/>
    <s v="Road"/>
    <x v="0"/>
    <n v="76.8"/>
    <n v="867"/>
    <n v="5"/>
    <n v="5"/>
    <n v="1"/>
    <n v="0"/>
    <n v="50.91"/>
    <n v="0"/>
    <n v="1"/>
  </r>
  <r>
    <s v="SHP-504681"/>
    <d v="2025-10-08T00:00:00"/>
    <x v="1"/>
    <s v="Q4"/>
    <x v="9"/>
    <x v="1"/>
    <x v="1"/>
    <x v="4"/>
    <x v="0"/>
    <s v="Road"/>
    <x v="1"/>
    <n v="11.2"/>
    <n v="1106"/>
    <n v="5"/>
    <n v="5"/>
    <n v="1"/>
    <n v="0"/>
    <n v="26.85"/>
    <n v="0"/>
    <n v="1"/>
  </r>
  <r>
    <s v="SHP-504682"/>
    <d v="2025-10-08T00:00:00"/>
    <x v="1"/>
    <s v="Q4"/>
    <x v="9"/>
    <x v="3"/>
    <x v="1"/>
    <x v="0"/>
    <x v="0"/>
    <s v="Road"/>
    <x v="1"/>
    <n v="6.2"/>
    <n v="1051"/>
    <n v="4"/>
    <n v="3"/>
    <n v="1"/>
    <n v="0"/>
    <n v="24.28"/>
    <n v="0"/>
    <n v="1"/>
  </r>
  <r>
    <s v="SHP-504683"/>
    <d v="2025-10-08T00:00:00"/>
    <x v="1"/>
    <s v="Q4"/>
    <x v="9"/>
    <x v="0"/>
    <x v="1"/>
    <x v="0"/>
    <x v="1"/>
    <s v="Road"/>
    <x v="1"/>
    <n v="4.2"/>
    <n v="693"/>
    <n v="6"/>
    <n v="6"/>
    <n v="1"/>
    <n v="0"/>
    <n v="12.68"/>
    <n v="0"/>
    <n v="1"/>
  </r>
  <r>
    <s v="SHP-504684"/>
    <d v="2025-10-08T00:00:00"/>
    <x v="1"/>
    <s v="Q4"/>
    <x v="9"/>
    <x v="1"/>
    <x v="1"/>
    <x v="0"/>
    <x v="2"/>
    <s v="Air"/>
    <x v="1"/>
    <n v="8.1"/>
    <n v="900"/>
    <n v="2"/>
    <n v="1"/>
    <n v="1"/>
    <n v="0"/>
    <n v="77.37"/>
    <n v="0"/>
    <n v="1"/>
  </r>
  <r>
    <s v="SHP-504685"/>
    <d v="2025-10-08T00:00:00"/>
    <x v="1"/>
    <s v="Q4"/>
    <x v="9"/>
    <x v="0"/>
    <x v="1"/>
    <x v="4"/>
    <x v="0"/>
    <s v="Road"/>
    <x v="0"/>
    <n v="93.2"/>
    <n v="914"/>
    <n v="5"/>
    <n v="5"/>
    <n v="1"/>
    <n v="0"/>
    <n v="57.3"/>
    <n v="0"/>
    <n v="1"/>
  </r>
  <r>
    <s v="SHP-504686"/>
    <d v="2025-10-08T00:00:00"/>
    <x v="1"/>
    <s v="Q4"/>
    <x v="9"/>
    <x v="3"/>
    <x v="2"/>
    <x v="3"/>
    <x v="0"/>
    <s v="Road"/>
    <x v="0"/>
    <n v="119.8"/>
    <n v="474"/>
    <n v="4"/>
    <n v="4"/>
    <n v="1"/>
    <n v="0"/>
    <n v="68.48"/>
    <n v="0"/>
    <n v="1"/>
  </r>
  <r>
    <s v="SHP-504687"/>
    <d v="2025-10-08T00:00:00"/>
    <x v="1"/>
    <s v="Q4"/>
    <x v="9"/>
    <x v="3"/>
    <x v="1"/>
    <x v="0"/>
    <x v="1"/>
    <s v="Road"/>
    <x v="0"/>
    <n v="45.4"/>
    <n v="950"/>
    <n v="6"/>
    <n v="6"/>
    <n v="1"/>
    <n v="0"/>
    <n v="32.909999999999997"/>
    <n v="0"/>
    <n v="1"/>
  </r>
  <r>
    <s v="SHP-504688"/>
    <d v="2025-10-08T00:00:00"/>
    <x v="1"/>
    <s v="Q4"/>
    <x v="9"/>
    <x v="4"/>
    <x v="2"/>
    <x v="0"/>
    <x v="0"/>
    <s v="Road"/>
    <x v="1"/>
    <n v="4"/>
    <n v="1083"/>
    <n v="4"/>
    <n v="4"/>
    <n v="1"/>
    <n v="0"/>
    <n v="22.53"/>
    <n v="0"/>
    <n v="1"/>
  </r>
  <r>
    <s v="SHP-504689"/>
    <d v="2025-10-08T00:00:00"/>
    <x v="1"/>
    <s v="Q4"/>
    <x v="9"/>
    <x v="4"/>
    <x v="1"/>
    <x v="4"/>
    <x v="0"/>
    <s v="Road"/>
    <x v="0"/>
    <n v="37.200000000000003"/>
    <n v="874"/>
    <n v="5"/>
    <n v="5"/>
    <n v="1"/>
    <n v="0"/>
    <n v="34.520000000000003"/>
    <n v="0"/>
    <n v="1"/>
  </r>
  <r>
    <s v="SHP-504690"/>
    <d v="2025-10-08T00:00:00"/>
    <x v="1"/>
    <s v="Q4"/>
    <x v="9"/>
    <x v="2"/>
    <x v="2"/>
    <x v="2"/>
    <x v="1"/>
    <s v="Road"/>
    <x v="0"/>
    <n v="179.4"/>
    <n v="1389"/>
    <n v="7"/>
    <n v="10"/>
    <n v="0"/>
    <n v="3"/>
    <n v="62.08"/>
    <n v="0"/>
    <n v="1"/>
  </r>
  <r>
    <s v="SHP-504691"/>
    <d v="2025-10-08T00:00:00"/>
    <x v="1"/>
    <s v="Q4"/>
    <x v="9"/>
    <x v="4"/>
    <x v="2"/>
    <x v="0"/>
    <x v="2"/>
    <s v="Air"/>
    <x v="1"/>
    <n v="9.3000000000000007"/>
    <n v="904"/>
    <n v="2"/>
    <n v="1"/>
    <n v="1"/>
    <n v="0"/>
    <n v="70.95"/>
    <n v="0"/>
    <n v="1"/>
  </r>
  <r>
    <s v="SHP-504692"/>
    <d v="2025-10-08T00:00:00"/>
    <x v="1"/>
    <s v="Q4"/>
    <x v="9"/>
    <x v="3"/>
    <x v="2"/>
    <x v="3"/>
    <x v="0"/>
    <s v="Road"/>
    <x v="1"/>
    <n v="7.6"/>
    <n v="525"/>
    <n v="4"/>
    <n v="3"/>
    <n v="1"/>
    <n v="0"/>
    <n v="20.85"/>
    <n v="0"/>
    <n v="1"/>
  </r>
  <r>
    <s v="SHP-504693"/>
    <d v="2025-10-08T00:00:00"/>
    <x v="1"/>
    <s v="Q4"/>
    <x v="9"/>
    <x v="0"/>
    <x v="1"/>
    <x v="0"/>
    <x v="0"/>
    <s v="Road"/>
    <x v="1"/>
    <n v="5.5"/>
    <n v="519"/>
    <n v="4"/>
    <n v="4"/>
    <n v="1"/>
    <n v="0"/>
    <n v="14.8"/>
    <n v="0"/>
    <n v="1"/>
  </r>
  <r>
    <s v="SHP-504694"/>
    <d v="2025-10-08T00:00:00"/>
    <x v="1"/>
    <s v="Q4"/>
    <x v="9"/>
    <x v="0"/>
    <x v="1"/>
    <x v="4"/>
    <x v="0"/>
    <s v="Road"/>
    <x v="0"/>
    <n v="207.6"/>
    <n v="1262"/>
    <n v="5"/>
    <n v="4"/>
    <n v="1"/>
    <n v="0"/>
    <n v="101.83"/>
    <n v="0"/>
    <n v="1"/>
  </r>
  <r>
    <s v="SHP-504695"/>
    <d v="2025-10-09T00:00:00"/>
    <x v="1"/>
    <s v="Q4"/>
    <x v="9"/>
    <x v="0"/>
    <x v="0"/>
    <x v="1"/>
    <x v="0"/>
    <s v="Road"/>
    <x v="1"/>
    <n v="7.1"/>
    <n v="332"/>
    <n v="3"/>
    <n v="3"/>
    <n v="1"/>
    <n v="0"/>
    <n v="12.58"/>
    <n v="0"/>
    <n v="1"/>
  </r>
  <r>
    <s v="SHP-504696"/>
    <d v="2025-10-09T00:00:00"/>
    <x v="1"/>
    <s v="Q4"/>
    <x v="9"/>
    <x v="3"/>
    <x v="2"/>
    <x v="0"/>
    <x v="0"/>
    <s v="Road"/>
    <x v="0"/>
    <n v="113.3"/>
    <n v="857"/>
    <n v="4"/>
    <n v="4"/>
    <n v="1"/>
    <n v="0"/>
    <n v="76.849999999999994"/>
    <n v="0"/>
    <n v="1"/>
  </r>
  <r>
    <s v="SHP-504697"/>
    <d v="2025-10-09T00:00:00"/>
    <x v="1"/>
    <s v="Q4"/>
    <x v="9"/>
    <x v="0"/>
    <x v="0"/>
    <x v="1"/>
    <x v="2"/>
    <s v="Road"/>
    <x v="1"/>
    <n v="16"/>
    <n v="253"/>
    <n v="1"/>
    <n v="2"/>
    <n v="0"/>
    <n v="1"/>
    <n v="33.29"/>
    <n v="0"/>
    <n v="1"/>
  </r>
  <r>
    <s v="SHP-504698"/>
    <d v="2025-10-09T00:00:00"/>
    <x v="1"/>
    <s v="Q4"/>
    <x v="9"/>
    <x v="4"/>
    <x v="1"/>
    <x v="2"/>
    <x v="2"/>
    <s v="Air"/>
    <x v="1"/>
    <n v="8.8000000000000007"/>
    <n v="964"/>
    <n v="3"/>
    <n v="3"/>
    <n v="1"/>
    <n v="0"/>
    <n v="72.849999999999994"/>
    <n v="0"/>
    <n v="1"/>
  </r>
  <r>
    <s v="SHP-504699"/>
    <d v="2025-10-09T00:00:00"/>
    <x v="1"/>
    <s v="Q4"/>
    <x v="9"/>
    <x v="0"/>
    <x v="1"/>
    <x v="4"/>
    <x v="1"/>
    <s v="Road"/>
    <x v="1"/>
    <n v="3.1"/>
    <n v="1065"/>
    <n v="7"/>
    <n v="7"/>
    <n v="1"/>
    <n v="0"/>
    <n v="14.6"/>
    <n v="0"/>
    <n v="1"/>
  </r>
  <r>
    <s v="SHP-504700"/>
    <d v="2025-10-09T00:00:00"/>
    <x v="1"/>
    <s v="Q4"/>
    <x v="9"/>
    <x v="4"/>
    <x v="0"/>
    <x v="1"/>
    <x v="2"/>
    <s v="Road"/>
    <x v="0"/>
    <n v="132.69999999999999"/>
    <n v="261"/>
    <n v="1"/>
    <n v="1"/>
    <n v="1"/>
    <n v="0"/>
    <n v="121.14"/>
    <n v="0"/>
    <n v="1"/>
  </r>
  <r>
    <s v="SHP-504701"/>
    <d v="2025-10-09T00:00:00"/>
    <x v="1"/>
    <s v="Q4"/>
    <x v="9"/>
    <x v="0"/>
    <x v="2"/>
    <x v="3"/>
    <x v="2"/>
    <s v="Road"/>
    <x v="1"/>
    <n v="10.6"/>
    <n v="579"/>
    <n v="2"/>
    <n v="1"/>
    <n v="1"/>
    <n v="0"/>
    <n v="39.479999999999997"/>
    <n v="0"/>
    <n v="1"/>
  </r>
  <r>
    <s v="SHP-504702"/>
    <d v="2025-10-09T00:00:00"/>
    <x v="1"/>
    <s v="Q4"/>
    <x v="9"/>
    <x v="1"/>
    <x v="2"/>
    <x v="3"/>
    <x v="1"/>
    <s v="Road"/>
    <x v="1"/>
    <n v="23"/>
    <n v="393"/>
    <n v="6"/>
    <n v="5"/>
    <n v="1"/>
    <n v="0"/>
    <n v="17.55"/>
    <n v="0"/>
    <n v="1"/>
  </r>
  <r>
    <s v="SHP-504703"/>
    <d v="2025-10-09T00:00:00"/>
    <x v="1"/>
    <s v="Q4"/>
    <x v="9"/>
    <x v="4"/>
    <x v="2"/>
    <x v="1"/>
    <x v="2"/>
    <s v="Road"/>
    <x v="1"/>
    <n v="5.4"/>
    <n v="268"/>
    <n v="1"/>
    <n v="1"/>
    <n v="1"/>
    <n v="0"/>
    <n v="25.04"/>
    <n v="0"/>
    <n v="1"/>
  </r>
  <r>
    <s v="SHP-504704"/>
    <d v="2025-10-10T00:00:00"/>
    <x v="1"/>
    <s v="Q4"/>
    <x v="9"/>
    <x v="3"/>
    <x v="1"/>
    <x v="0"/>
    <x v="0"/>
    <s v="Road"/>
    <x v="1"/>
    <n v="20.5"/>
    <n v="865"/>
    <n v="4"/>
    <n v="3"/>
    <n v="1"/>
    <n v="0"/>
    <n v="29.57"/>
    <n v="0"/>
    <n v="1"/>
  </r>
  <r>
    <s v="SHP-504705"/>
    <d v="2025-10-10T00:00:00"/>
    <x v="1"/>
    <s v="Q4"/>
    <x v="9"/>
    <x v="0"/>
    <x v="2"/>
    <x v="0"/>
    <x v="1"/>
    <s v="Road"/>
    <x v="0"/>
    <n v="32.700000000000003"/>
    <n v="1108"/>
    <n v="6"/>
    <n v="5"/>
    <n v="1"/>
    <n v="0"/>
    <n v="24.92"/>
    <n v="0"/>
    <n v="1"/>
  </r>
  <r>
    <s v="SHP-504706"/>
    <d v="2025-10-10T00:00:00"/>
    <x v="1"/>
    <s v="Q4"/>
    <x v="9"/>
    <x v="4"/>
    <x v="0"/>
    <x v="3"/>
    <x v="0"/>
    <s v="Road"/>
    <x v="1"/>
    <n v="2.7"/>
    <n v="542"/>
    <n v="4"/>
    <n v="4"/>
    <n v="1"/>
    <n v="0"/>
    <n v="14.55"/>
    <n v="0"/>
    <n v="1"/>
  </r>
  <r>
    <s v="SHP-504707"/>
    <d v="2025-10-10T00:00:00"/>
    <x v="1"/>
    <s v="Q4"/>
    <x v="9"/>
    <x v="2"/>
    <x v="0"/>
    <x v="4"/>
    <x v="2"/>
    <s v="Air"/>
    <x v="1"/>
    <n v="1.8"/>
    <n v="1157"/>
    <n v="3"/>
    <n v="2"/>
    <n v="1"/>
    <n v="0"/>
    <n v="54.5"/>
    <n v="1"/>
    <n v="1"/>
  </r>
  <r>
    <s v="SHP-504708"/>
    <d v="2025-10-10T00:00:00"/>
    <x v="1"/>
    <s v="Q4"/>
    <x v="9"/>
    <x v="4"/>
    <x v="2"/>
    <x v="2"/>
    <x v="1"/>
    <s v="Road"/>
    <x v="0"/>
    <n v="173.6"/>
    <n v="1286"/>
    <n v="7"/>
    <n v="7"/>
    <n v="1"/>
    <n v="0"/>
    <n v="74.739999999999995"/>
    <n v="0"/>
    <n v="1"/>
  </r>
  <r>
    <s v="SHP-504709"/>
    <d v="2025-10-10T00:00:00"/>
    <x v="1"/>
    <s v="Q4"/>
    <x v="9"/>
    <x v="4"/>
    <x v="2"/>
    <x v="1"/>
    <x v="1"/>
    <s v="Road"/>
    <x v="1"/>
    <n v="2"/>
    <n v="285"/>
    <n v="5"/>
    <n v="5"/>
    <n v="1"/>
    <n v="0"/>
    <n v="8.39"/>
    <n v="0"/>
    <n v="1"/>
  </r>
  <r>
    <s v="SHP-504710"/>
    <d v="2025-10-10T00:00:00"/>
    <x v="1"/>
    <s v="Q4"/>
    <x v="9"/>
    <x v="2"/>
    <x v="1"/>
    <x v="1"/>
    <x v="0"/>
    <s v="Road"/>
    <x v="0"/>
    <n v="282.39999999999998"/>
    <n v="221"/>
    <n v="3"/>
    <n v="5"/>
    <n v="0"/>
    <n v="2"/>
    <n v="103.55"/>
    <n v="0"/>
    <n v="1"/>
  </r>
  <r>
    <s v="SHP-504711"/>
    <d v="2025-10-10T00:00:00"/>
    <x v="1"/>
    <s v="Q4"/>
    <x v="9"/>
    <x v="1"/>
    <x v="0"/>
    <x v="1"/>
    <x v="0"/>
    <s v="Road"/>
    <x v="0"/>
    <n v="181.6"/>
    <n v="281"/>
    <n v="3"/>
    <n v="5"/>
    <n v="0"/>
    <n v="2"/>
    <n v="81.98"/>
    <n v="0"/>
    <n v="1"/>
  </r>
  <r>
    <s v="SHP-504712"/>
    <d v="2025-10-10T00:00:00"/>
    <x v="1"/>
    <s v="Q4"/>
    <x v="9"/>
    <x v="3"/>
    <x v="1"/>
    <x v="4"/>
    <x v="2"/>
    <s v="Air"/>
    <x v="1"/>
    <n v="4"/>
    <n v="861"/>
    <n v="3"/>
    <n v="3"/>
    <n v="1"/>
    <n v="0"/>
    <n v="63.83"/>
    <n v="0"/>
    <n v="1"/>
  </r>
  <r>
    <s v="SHP-504713"/>
    <d v="2025-10-10T00:00:00"/>
    <x v="1"/>
    <s v="Q4"/>
    <x v="9"/>
    <x v="3"/>
    <x v="2"/>
    <x v="2"/>
    <x v="0"/>
    <s v="Road"/>
    <x v="0"/>
    <n v="174.1"/>
    <n v="1165"/>
    <n v="5"/>
    <n v="5"/>
    <n v="1"/>
    <n v="0"/>
    <n v="104.32"/>
    <n v="0"/>
    <n v="1"/>
  </r>
  <r>
    <s v="SHP-504714"/>
    <d v="2025-10-10T00:00:00"/>
    <x v="1"/>
    <s v="Q4"/>
    <x v="9"/>
    <x v="2"/>
    <x v="2"/>
    <x v="1"/>
    <x v="0"/>
    <s v="Road"/>
    <x v="1"/>
    <n v="4.7"/>
    <n v="236"/>
    <n v="3"/>
    <n v="3"/>
    <n v="1"/>
    <n v="0"/>
    <n v="10.84"/>
    <n v="0"/>
    <n v="1"/>
  </r>
  <r>
    <s v="SHP-504715"/>
    <d v="2025-10-11T00:00:00"/>
    <x v="1"/>
    <s v="Q4"/>
    <x v="9"/>
    <x v="4"/>
    <x v="1"/>
    <x v="0"/>
    <x v="1"/>
    <s v="Road"/>
    <x v="1"/>
    <n v="10.6"/>
    <n v="950"/>
    <n v="6"/>
    <n v="6"/>
    <n v="1"/>
    <n v="0"/>
    <n v="15.51"/>
    <n v="0"/>
    <n v="1"/>
  </r>
  <r>
    <s v="SHP-504716"/>
    <d v="2025-10-11T00:00:00"/>
    <x v="1"/>
    <s v="Q4"/>
    <x v="9"/>
    <x v="4"/>
    <x v="2"/>
    <x v="2"/>
    <x v="0"/>
    <s v="Road"/>
    <x v="1"/>
    <n v="3.6"/>
    <n v="1086"/>
    <n v="5"/>
    <n v="7"/>
    <n v="0"/>
    <n v="2"/>
    <n v="21.08"/>
    <n v="0"/>
    <n v="1"/>
  </r>
  <r>
    <s v="SHP-504717"/>
    <d v="2025-10-11T00:00:00"/>
    <x v="1"/>
    <s v="Q4"/>
    <x v="9"/>
    <x v="3"/>
    <x v="0"/>
    <x v="1"/>
    <x v="0"/>
    <s v="Road"/>
    <x v="1"/>
    <n v="10.1"/>
    <n v="279"/>
    <n v="3"/>
    <n v="2"/>
    <n v="1"/>
    <n v="0"/>
    <n v="17.690000000000001"/>
    <n v="0"/>
    <n v="1"/>
  </r>
  <r>
    <s v="SHP-504718"/>
    <d v="2025-10-11T00:00:00"/>
    <x v="1"/>
    <s v="Q4"/>
    <x v="9"/>
    <x v="4"/>
    <x v="2"/>
    <x v="3"/>
    <x v="0"/>
    <s v="Road"/>
    <x v="1"/>
    <n v="5.2"/>
    <n v="555"/>
    <n v="4"/>
    <n v="4"/>
    <n v="1"/>
    <n v="0"/>
    <n v="16.829999999999998"/>
    <n v="0"/>
    <n v="1"/>
  </r>
  <r>
    <s v="SHP-504719"/>
    <d v="2025-10-11T00:00:00"/>
    <x v="1"/>
    <s v="Q4"/>
    <x v="9"/>
    <x v="0"/>
    <x v="2"/>
    <x v="1"/>
    <x v="0"/>
    <s v="Road"/>
    <x v="0"/>
    <n v="48.5"/>
    <n v="215"/>
    <n v="3"/>
    <n v="3"/>
    <n v="1"/>
    <n v="0"/>
    <n v="32.36"/>
    <n v="0"/>
    <n v="1"/>
  </r>
  <r>
    <s v="SHP-504720"/>
    <d v="2025-10-11T00:00:00"/>
    <x v="1"/>
    <s v="Q4"/>
    <x v="9"/>
    <x v="4"/>
    <x v="2"/>
    <x v="0"/>
    <x v="1"/>
    <s v="Road"/>
    <x v="1"/>
    <n v="15.7"/>
    <n v="999"/>
    <n v="6"/>
    <n v="6"/>
    <n v="1"/>
    <n v="0"/>
    <n v="20.84"/>
    <n v="0"/>
    <n v="1"/>
  </r>
  <r>
    <s v="SHP-504721"/>
    <d v="2025-10-11T00:00:00"/>
    <x v="1"/>
    <s v="Q4"/>
    <x v="9"/>
    <x v="0"/>
    <x v="1"/>
    <x v="3"/>
    <x v="2"/>
    <s v="Road"/>
    <x v="0"/>
    <n v="173.6"/>
    <n v="476"/>
    <n v="2"/>
    <n v="2"/>
    <n v="1"/>
    <n v="0"/>
    <n v="155.61000000000001"/>
    <n v="0"/>
    <n v="1"/>
  </r>
  <r>
    <s v="SHP-504722"/>
    <d v="2025-10-12T00:00:00"/>
    <x v="1"/>
    <s v="Q4"/>
    <x v="9"/>
    <x v="1"/>
    <x v="0"/>
    <x v="0"/>
    <x v="0"/>
    <s v="Road"/>
    <x v="0"/>
    <n v="135.19999999999999"/>
    <n v="768"/>
    <n v="4"/>
    <n v="4"/>
    <n v="1"/>
    <n v="0"/>
    <n v="76.97"/>
    <n v="0"/>
    <n v="1"/>
  </r>
  <r>
    <s v="SHP-504723"/>
    <d v="2025-10-12T00:00:00"/>
    <x v="1"/>
    <s v="Q4"/>
    <x v="9"/>
    <x v="0"/>
    <x v="2"/>
    <x v="0"/>
    <x v="0"/>
    <s v="Road"/>
    <x v="0"/>
    <n v="367.2"/>
    <n v="1112"/>
    <n v="4"/>
    <n v="4"/>
    <n v="1"/>
    <n v="0"/>
    <n v="157.03"/>
    <n v="0"/>
    <n v="1"/>
  </r>
  <r>
    <s v="SHP-504724"/>
    <d v="2025-10-12T00:00:00"/>
    <x v="1"/>
    <s v="Q4"/>
    <x v="9"/>
    <x v="4"/>
    <x v="2"/>
    <x v="2"/>
    <x v="0"/>
    <s v="Road"/>
    <x v="0"/>
    <n v="168.8"/>
    <n v="1451"/>
    <n v="5"/>
    <n v="6"/>
    <n v="0"/>
    <n v="1"/>
    <n v="88.91"/>
    <n v="0"/>
    <n v="1"/>
  </r>
  <r>
    <s v="SHP-504725"/>
    <d v="2025-10-12T00:00:00"/>
    <x v="1"/>
    <s v="Q4"/>
    <x v="9"/>
    <x v="0"/>
    <x v="2"/>
    <x v="3"/>
    <x v="0"/>
    <s v="Road"/>
    <x v="1"/>
    <n v="5.0999999999999996"/>
    <n v="506"/>
    <n v="4"/>
    <n v="4"/>
    <n v="1"/>
    <n v="0"/>
    <n v="14.45"/>
    <n v="0"/>
    <n v="1"/>
  </r>
  <r>
    <s v="SHP-504726"/>
    <d v="2025-10-12T00:00:00"/>
    <x v="1"/>
    <s v="Q4"/>
    <x v="9"/>
    <x v="0"/>
    <x v="0"/>
    <x v="3"/>
    <x v="1"/>
    <s v="Road"/>
    <x v="1"/>
    <n v="2.8"/>
    <n v="525"/>
    <n v="6"/>
    <n v="6"/>
    <n v="1"/>
    <n v="0"/>
    <n v="10.95"/>
    <n v="0"/>
    <n v="1"/>
  </r>
  <r>
    <s v="SHP-504727"/>
    <d v="2025-10-12T00:00:00"/>
    <x v="1"/>
    <s v="Q4"/>
    <x v="9"/>
    <x v="2"/>
    <x v="0"/>
    <x v="4"/>
    <x v="0"/>
    <s v="Road"/>
    <x v="0"/>
    <n v="42.7"/>
    <n v="1036"/>
    <n v="5"/>
    <n v="4"/>
    <n v="1"/>
    <n v="0"/>
    <n v="33.57"/>
    <n v="0"/>
    <n v="1"/>
  </r>
  <r>
    <s v="SHP-504728"/>
    <d v="2025-10-12T00:00:00"/>
    <x v="1"/>
    <s v="Q4"/>
    <x v="9"/>
    <x v="4"/>
    <x v="1"/>
    <x v="3"/>
    <x v="0"/>
    <s v="Road"/>
    <x v="1"/>
    <n v="7.7"/>
    <n v="490"/>
    <n v="4"/>
    <n v="3"/>
    <n v="1"/>
    <n v="0"/>
    <n v="18.46"/>
    <n v="0"/>
    <n v="1"/>
  </r>
  <r>
    <s v="SHP-504729"/>
    <d v="2025-10-13T00:00:00"/>
    <x v="1"/>
    <s v="Q4"/>
    <x v="9"/>
    <x v="2"/>
    <x v="0"/>
    <x v="1"/>
    <x v="0"/>
    <s v="Road"/>
    <x v="0"/>
    <n v="156.9"/>
    <n v="288"/>
    <n v="3"/>
    <n v="3"/>
    <n v="1"/>
    <n v="0"/>
    <n v="65.430000000000007"/>
    <n v="0"/>
    <n v="1"/>
  </r>
  <r>
    <s v="SHP-504730"/>
    <d v="2025-10-13T00:00:00"/>
    <x v="1"/>
    <s v="Q4"/>
    <x v="9"/>
    <x v="4"/>
    <x v="2"/>
    <x v="3"/>
    <x v="0"/>
    <s v="Road"/>
    <x v="1"/>
    <n v="2.4"/>
    <n v="545"/>
    <n v="4"/>
    <n v="4"/>
    <n v="1"/>
    <n v="0"/>
    <n v="14.57"/>
    <n v="0"/>
    <n v="1"/>
  </r>
  <r>
    <s v="SHP-504731"/>
    <d v="2025-10-13T00:00:00"/>
    <x v="1"/>
    <s v="Q4"/>
    <x v="9"/>
    <x v="2"/>
    <x v="1"/>
    <x v="1"/>
    <x v="0"/>
    <s v="Road"/>
    <x v="1"/>
    <n v="16"/>
    <n v="254"/>
    <n v="3"/>
    <n v="3"/>
    <n v="1"/>
    <n v="0"/>
    <n v="17.010000000000002"/>
    <n v="0"/>
    <n v="1"/>
  </r>
  <r>
    <s v="SHP-504732"/>
    <d v="2025-10-13T00:00:00"/>
    <x v="1"/>
    <s v="Q4"/>
    <x v="9"/>
    <x v="4"/>
    <x v="1"/>
    <x v="3"/>
    <x v="0"/>
    <s v="Road"/>
    <x v="1"/>
    <n v="2.2999999999999998"/>
    <n v="564"/>
    <n v="4"/>
    <n v="3"/>
    <n v="1"/>
    <n v="0"/>
    <n v="14.49"/>
    <n v="0"/>
    <n v="1"/>
  </r>
  <r>
    <s v="SHP-504733"/>
    <d v="2025-10-13T00:00:00"/>
    <x v="1"/>
    <s v="Q4"/>
    <x v="9"/>
    <x v="3"/>
    <x v="2"/>
    <x v="3"/>
    <x v="1"/>
    <s v="Road"/>
    <x v="1"/>
    <n v="10.4"/>
    <n v="442"/>
    <n v="6"/>
    <n v="5"/>
    <n v="1"/>
    <n v="0"/>
    <n v="14.36"/>
    <n v="0"/>
    <n v="1"/>
  </r>
  <r>
    <s v="SHP-504734"/>
    <d v="2025-10-13T00:00:00"/>
    <x v="1"/>
    <s v="Q4"/>
    <x v="9"/>
    <x v="3"/>
    <x v="2"/>
    <x v="2"/>
    <x v="0"/>
    <s v="Road"/>
    <x v="1"/>
    <n v="3.3"/>
    <n v="875"/>
    <n v="5"/>
    <n v="5"/>
    <n v="1"/>
    <n v="0"/>
    <n v="20.77"/>
    <n v="0"/>
    <n v="1"/>
  </r>
  <r>
    <s v="SHP-504735"/>
    <d v="2025-10-13T00:00:00"/>
    <x v="1"/>
    <s v="Q4"/>
    <x v="9"/>
    <x v="2"/>
    <x v="2"/>
    <x v="1"/>
    <x v="1"/>
    <s v="Road"/>
    <x v="1"/>
    <n v="1.4"/>
    <n v="225"/>
    <n v="5"/>
    <n v="5"/>
    <n v="1"/>
    <n v="0"/>
    <n v="5.89"/>
    <n v="0"/>
    <n v="1"/>
  </r>
  <r>
    <s v="SHP-504736"/>
    <d v="2025-10-13T00:00:00"/>
    <x v="1"/>
    <s v="Q4"/>
    <x v="9"/>
    <x v="1"/>
    <x v="2"/>
    <x v="1"/>
    <x v="0"/>
    <s v="Road"/>
    <x v="0"/>
    <n v="116.5"/>
    <n v="200"/>
    <n v="3"/>
    <n v="3"/>
    <n v="1"/>
    <n v="0"/>
    <n v="63.9"/>
    <n v="0"/>
    <n v="1"/>
  </r>
  <r>
    <s v="SHP-504737"/>
    <d v="2025-10-13T00:00:00"/>
    <x v="1"/>
    <s v="Q4"/>
    <x v="9"/>
    <x v="0"/>
    <x v="1"/>
    <x v="0"/>
    <x v="1"/>
    <s v="Road"/>
    <x v="1"/>
    <n v="1.6"/>
    <n v="515"/>
    <n v="6"/>
    <n v="5"/>
    <n v="1"/>
    <n v="0"/>
    <n v="8.6"/>
    <n v="0"/>
    <n v="1"/>
  </r>
  <r>
    <s v="SHP-504738"/>
    <d v="2025-10-13T00:00:00"/>
    <x v="1"/>
    <s v="Q4"/>
    <x v="9"/>
    <x v="4"/>
    <x v="2"/>
    <x v="3"/>
    <x v="0"/>
    <s v="Road"/>
    <x v="1"/>
    <n v="0.8"/>
    <n v="532"/>
    <n v="4"/>
    <n v="4"/>
    <n v="1"/>
    <n v="0"/>
    <n v="11.82"/>
    <n v="0"/>
    <n v="1"/>
  </r>
  <r>
    <s v="SHP-504739"/>
    <d v="2025-10-13T00:00:00"/>
    <x v="1"/>
    <s v="Q4"/>
    <x v="9"/>
    <x v="3"/>
    <x v="0"/>
    <x v="0"/>
    <x v="2"/>
    <s v="Air"/>
    <x v="0"/>
    <n v="141.9"/>
    <n v="971"/>
    <n v="2"/>
    <n v="2"/>
    <n v="1"/>
    <n v="0"/>
    <n v="257.18"/>
    <n v="0"/>
    <n v="1"/>
  </r>
  <r>
    <s v="SHP-504740"/>
    <d v="2025-10-14T00:00:00"/>
    <x v="1"/>
    <s v="Q4"/>
    <x v="9"/>
    <x v="2"/>
    <x v="1"/>
    <x v="1"/>
    <x v="2"/>
    <s v="Road"/>
    <x v="1"/>
    <n v="2"/>
    <n v="219"/>
    <n v="1"/>
    <n v="1"/>
    <n v="1"/>
    <n v="0"/>
    <n v="16.86"/>
    <n v="0"/>
    <n v="1"/>
  </r>
  <r>
    <s v="SHP-504741"/>
    <d v="2025-10-14T00:00:00"/>
    <x v="1"/>
    <s v="Q4"/>
    <x v="9"/>
    <x v="2"/>
    <x v="2"/>
    <x v="3"/>
    <x v="0"/>
    <s v="Road"/>
    <x v="0"/>
    <n v="77.8"/>
    <n v="538"/>
    <n v="4"/>
    <n v="4"/>
    <n v="1"/>
    <n v="0"/>
    <n v="42.6"/>
    <n v="0"/>
    <n v="1"/>
  </r>
  <r>
    <s v="SHP-504742"/>
    <d v="2025-10-14T00:00:00"/>
    <x v="1"/>
    <s v="Q4"/>
    <x v="9"/>
    <x v="2"/>
    <x v="2"/>
    <x v="3"/>
    <x v="0"/>
    <s v="Road"/>
    <x v="1"/>
    <n v="14.4"/>
    <n v="584"/>
    <n v="4"/>
    <n v="6"/>
    <n v="0"/>
    <n v="2"/>
    <n v="19.97"/>
    <n v="0"/>
    <n v="1"/>
  </r>
  <r>
    <s v="SHP-504743"/>
    <d v="2025-10-14T00:00:00"/>
    <x v="1"/>
    <s v="Q4"/>
    <x v="9"/>
    <x v="2"/>
    <x v="2"/>
    <x v="0"/>
    <x v="0"/>
    <s v="Road"/>
    <x v="0"/>
    <n v="166.5"/>
    <n v="868"/>
    <n v="4"/>
    <n v="4"/>
    <n v="1"/>
    <n v="0"/>
    <n v="80.67"/>
    <n v="0"/>
    <n v="1"/>
  </r>
  <r>
    <s v="SHP-504744"/>
    <d v="2025-10-14T00:00:00"/>
    <x v="1"/>
    <s v="Q4"/>
    <x v="9"/>
    <x v="3"/>
    <x v="1"/>
    <x v="4"/>
    <x v="1"/>
    <s v="Road"/>
    <x v="1"/>
    <n v="1.2"/>
    <n v="1137"/>
    <n v="7"/>
    <n v="6"/>
    <n v="1"/>
    <n v="0"/>
    <n v="16.05"/>
    <n v="0"/>
    <n v="1"/>
  </r>
  <r>
    <s v="SHP-504745"/>
    <d v="2025-10-14T00:00:00"/>
    <x v="1"/>
    <s v="Q4"/>
    <x v="9"/>
    <x v="2"/>
    <x v="0"/>
    <x v="1"/>
    <x v="1"/>
    <s v="Road"/>
    <x v="0"/>
    <n v="263.89999999999998"/>
    <n v="290"/>
    <n v="5"/>
    <n v="5"/>
    <n v="1"/>
    <n v="0"/>
    <n v="70.12"/>
    <n v="0"/>
    <n v="1"/>
  </r>
  <r>
    <s v="SHP-504746"/>
    <d v="2025-10-14T00:00:00"/>
    <x v="1"/>
    <s v="Q4"/>
    <x v="9"/>
    <x v="4"/>
    <x v="1"/>
    <x v="2"/>
    <x v="0"/>
    <s v="Road"/>
    <x v="0"/>
    <n v="248.6"/>
    <n v="1359"/>
    <n v="5"/>
    <n v="5"/>
    <n v="1"/>
    <n v="0"/>
    <n v="110.03"/>
    <n v="0"/>
    <n v="1"/>
  </r>
  <r>
    <s v="SHP-504747"/>
    <d v="2025-10-14T00:00:00"/>
    <x v="1"/>
    <s v="Q4"/>
    <x v="9"/>
    <x v="4"/>
    <x v="1"/>
    <x v="1"/>
    <x v="2"/>
    <s v="Road"/>
    <x v="0"/>
    <n v="78.400000000000006"/>
    <n v="257"/>
    <n v="1"/>
    <n v="1"/>
    <n v="1"/>
    <n v="0"/>
    <n v="87.95"/>
    <n v="0"/>
    <n v="1"/>
  </r>
  <r>
    <s v="SHP-504748"/>
    <d v="2025-10-14T00:00:00"/>
    <x v="1"/>
    <s v="Q4"/>
    <x v="9"/>
    <x v="2"/>
    <x v="0"/>
    <x v="0"/>
    <x v="1"/>
    <s v="Road"/>
    <x v="0"/>
    <n v="237.3"/>
    <n v="769"/>
    <n v="6"/>
    <n v="6"/>
    <n v="1"/>
    <n v="0"/>
    <n v="69.92"/>
    <n v="0"/>
    <n v="1"/>
  </r>
  <r>
    <s v="SHP-504749"/>
    <d v="2025-10-14T00:00:00"/>
    <x v="1"/>
    <s v="Q4"/>
    <x v="9"/>
    <x v="1"/>
    <x v="2"/>
    <x v="0"/>
    <x v="0"/>
    <s v="Road"/>
    <x v="1"/>
    <n v="2.4"/>
    <n v="1023"/>
    <n v="4"/>
    <n v="4"/>
    <n v="1"/>
    <n v="0"/>
    <n v="20.79"/>
    <n v="0"/>
    <n v="1"/>
  </r>
  <r>
    <s v="SHP-504750"/>
    <d v="2025-10-15T00:00:00"/>
    <x v="1"/>
    <s v="Q4"/>
    <x v="9"/>
    <x v="4"/>
    <x v="2"/>
    <x v="3"/>
    <x v="1"/>
    <s v="Road"/>
    <x v="0"/>
    <n v="85.5"/>
    <n v="381"/>
    <n v="6"/>
    <n v="6"/>
    <n v="1"/>
    <n v="0"/>
    <n v="37.700000000000003"/>
    <n v="0"/>
    <n v="1"/>
  </r>
  <r>
    <s v="SHP-504751"/>
    <d v="2025-10-15T00:00:00"/>
    <x v="1"/>
    <s v="Q4"/>
    <x v="9"/>
    <x v="0"/>
    <x v="2"/>
    <x v="0"/>
    <x v="2"/>
    <s v="Air"/>
    <x v="1"/>
    <n v="9.1"/>
    <n v="981"/>
    <n v="2"/>
    <n v="2"/>
    <n v="1"/>
    <n v="0"/>
    <n v="65.19"/>
    <n v="0"/>
    <n v="1"/>
  </r>
  <r>
    <s v="SHP-504752"/>
    <d v="2025-10-15T00:00:00"/>
    <x v="1"/>
    <s v="Q4"/>
    <x v="9"/>
    <x v="2"/>
    <x v="2"/>
    <x v="2"/>
    <x v="1"/>
    <s v="Road"/>
    <x v="1"/>
    <n v="2.5"/>
    <n v="975"/>
    <n v="7"/>
    <n v="7"/>
    <n v="1"/>
    <n v="0"/>
    <n v="11.28"/>
    <n v="0"/>
    <n v="1"/>
  </r>
  <r>
    <s v="SHP-504753"/>
    <d v="2025-10-15T00:00:00"/>
    <x v="1"/>
    <s v="Q4"/>
    <x v="9"/>
    <x v="1"/>
    <x v="2"/>
    <x v="1"/>
    <x v="0"/>
    <s v="Road"/>
    <x v="0"/>
    <n v="313.2"/>
    <n v="224"/>
    <n v="3"/>
    <n v="3"/>
    <n v="1"/>
    <n v="0"/>
    <n v="136.55000000000001"/>
    <n v="0"/>
    <n v="1"/>
  </r>
  <r>
    <s v="SHP-504754"/>
    <d v="2025-10-15T00:00:00"/>
    <x v="1"/>
    <s v="Q4"/>
    <x v="9"/>
    <x v="4"/>
    <x v="2"/>
    <x v="2"/>
    <x v="1"/>
    <s v="Road"/>
    <x v="1"/>
    <n v="7.1"/>
    <n v="1134"/>
    <n v="7"/>
    <n v="6"/>
    <n v="1"/>
    <n v="0"/>
    <n v="16.23"/>
    <n v="0"/>
    <n v="1"/>
  </r>
  <r>
    <s v="SHP-504755"/>
    <d v="2025-10-15T00:00:00"/>
    <x v="1"/>
    <s v="Q4"/>
    <x v="9"/>
    <x v="3"/>
    <x v="0"/>
    <x v="3"/>
    <x v="2"/>
    <s v="Road"/>
    <x v="0"/>
    <n v="104.6"/>
    <n v="449"/>
    <n v="2"/>
    <n v="2"/>
    <n v="1"/>
    <n v="0"/>
    <n v="137.79"/>
    <n v="0"/>
    <n v="1"/>
  </r>
  <r>
    <s v="SHP-504756"/>
    <d v="2025-10-15T00:00:00"/>
    <x v="1"/>
    <s v="Q4"/>
    <x v="9"/>
    <x v="2"/>
    <x v="2"/>
    <x v="1"/>
    <x v="2"/>
    <s v="Road"/>
    <x v="1"/>
    <n v="2.1"/>
    <n v="252"/>
    <n v="1"/>
    <n v="2"/>
    <n v="0"/>
    <n v="1"/>
    <n v="16.940000000000001"/>
    <n v="0"/>
    <n v="1"/>
  </r>
  <r>
    <s v="SHP-504757"/>
    <d v="2025-10-15T00:00:00"/>
    <x v="1"/>
    <s v="Q4"/>
    <x v="9"/>
    <x v="0"/>
    <x v="1"/>
    <x v="1"/>
    <x v="2"/>
    <s v="Road"/>
    <x v="1"/>
    <n v="3.2"/>
    <n v="189"/>
    <n v="1"/>
    <n v="1"/>
    <n v="1"/>
    <n v="0"/>
    <n v="18.36"/>
    <n v="0"/>
    <n v="1"/>
  </r>
  <r>
    <s v="SHP-504758"/>
    <d v="2025-10-15T00:00:00"/>
    <x v="1"/>
    <s v="Q4"/>
    <x v="9"/>
    <x v="3"/>
    <x v="1"/>
    <x v="1"/>
    <x v="0"/>
    <s v="Road"/>
    <x v="1"/>
    <n v="13"/>
    <n v="260"/>
    <n v="3"/>
    <n v="3"/>
    <n v="1"/>
    <n v="0"/>
    <n v="18.28"/>
    <n v="0"/>
    <n v="1"/>
  </r>
  <r>
    <s v="SHP-504759"/>
    <d v="2025-10-15T00:00:00"/>
    <x v="1"/>
    <s v="Q4"/>
    <x v="9"/>
    <x v="4"/>
    <x v="1"/>
    <x v="0"/>
    <x v="0"/>
    <s v="Road"/>
    <x v="0"/>
    <n v="83.1"/>
    <n v="918"/>
    <n v="4"/>
    <n v="4"/>
    <n v="1"/>
    <n v="0"/>
    <n v="55.78"/>
    <n v="0"/>
    <n v="1"/>
  </r>
  <r>
    <s v="SHP-504760"/>
    <d v="2025-10-15T00:00:00"/>
    <x v="1"/>
    <s v="Q4"/>
    <x v="9"/>
    <x v="3"/>
    <x v="1"/>
    <x v="0"/>
    <x v="0"/>
    <s v="Road"/>
    <x v="1"/>
    <n v="4.3"/>
    <n v="837"/>
    <n v="4"/>
    <n v="3"/>
    <n v="1"/>
    <n v="0"/>
    <n v="21.91"/>
    <n v="0"/>
    <n v="1"/>
  </r>
  <r>
    <s v="SHP-504761"/>
    <d v="2025-10-15T00:00:00"/>
    <x v="1"/>
    <s v="Q4"/>
    <x v="9"/>
    <x v="3"/>
    <x v="0"/>
    <x v="3"/>
    <x v="2"/>
    <s v="Road"/>
    <x v="1"/>
    <n v="6.3"/>
    <n v="497"/>
    <n v="2"/>
    <n v="2"/>
    <n v="1"/>
    <n v="0"/>
    <n v="34.590000000000003"/>
    <n v="0"/>
    <n v="1"/>
  </r>
  <r>
    <s v="SHP-504762"/>
    <d v="2025-10-16T00:00:00"/>
    <x v="1"/>
    <s v="Q4"/>
    <x v="9"/>
    <x v="3"/>
    <x v="2"/>
    <x v="1"/>
    <x v="0"/>
    <s v="Road"/>
    <x v="1"/>
    <n v="20.5"/>
    <n v="262"/>
    <n v="3"/>
    <n v="3"/>
    <n v="1"/>
    <n v="0"/>
    <n v="24.16"/>
    <n v="0"/>
    <n v="1"/>
  </r>
  <r>
    <s v="SHP-504763"/>
    <d v="2025-10-16T00:00:00"/>
    <x v="1"/>
    <s v="Q4"/>
    <x v="9"/>
    <x v="3"/>
    <x v="2"/>
    <x v="1"/>
    <x v="0"/>
    <s v="Road"/>
    <x v="1"/>
    <n v="11.5"/>
    <n v="308"/>
    <n v="3"/>
    <n v="3"/>
    <n v="1"/>
    <n v="0"/>
    <n v="19.5"/>
    <n v="0"/>
    <n v="1"/>
  </r>
  <r>
    <s v="SHP-504764"/>
    <d v="2025-10-16T00:00:00"/>
    <x v="1"/>
    <s v="Q4"/>
    <x v="9"/>
    <x v="3"/>
    <x v="2"/>
    <x v="4"/>
    <x v="0"/>
    <s v="Road"/>
    <x v="0"/>
    <n v="141.19999999999999"/>
    <n v="934"/>
    <n v="5"/>
    <n v="5"/>
    <n v="1"/>
    <n v="0"/>
    <n v="87.75"/>
    <n v="0"/>
    <n v="1"/>
  </r>
  <r>
    <s v="SHP-504765"/>
    <d v="2025-10-16T00:00:00"/>
    <x v="1"/>
    <s v="Q4"/>
    <x v="9"/>
    <x v="4"/>
    <x v="2"/>
    <x v="1"/>
    <x v="0"/>
    <s v="Road"/>
    <x v="1"/>
    <n v="7.6"/>
    <n v="273"/>
    <n v="3"/>
    <n v="2"/>
    <n v="1"/>
    <n v="0"/>
    <n v="14.17"/>
    <n v="0"/>
    <n v="1"/>
  </r>
  <r>
    <s v="SHP-504766"/>
    <d v="2025-10-16T00:00:00"/>
    <x v="1"/>
    <s v="Q4"/>
    <x v="9"/>
    <x v="0"/>
    <x v="0"/>
    <x v="3"/>
    <x v="0"/>
    <s v="Road"/>
    <x v="0"/>
    <n v="220.6"/>
    <n v="600"/>
    <n v="4"/>
    <n v="4"/>
    <n v="1"/>
    <n v="0"/>
    <n v="96.3"/>
    <n v="0"/>
    <n v="1"/>
  </r>
  <r>
    <s v="SHP-504767"/>
    <d v="2025-10-16T00:00:00"/>
    <x v="1"/>
    <s v="Q4"/>
    <x v="9"/>
    <x v="3"/>
    <x v="0"/>
    <x v="1"/>
    <x v="0"/>
    <s v="Road"/>
    <x v="1"/>
    <n v="4.5999999999999996"/>
    <n v="232"/>
    <n v="3"/>
    <n v="2"/>
    <n v="1"/>
    <n v="0"/>
    <n v="14.38"/>
    <n v="0"/>
    <n v="1"/>
  </r>
  <r>
    <s v="SHP-504768"/>
    <d v="2025-10-16T00:00:00"/>
    <x v="1"/>
    <s v="Q4"/>
    <x v="9"/>
    <x v="4"/>
    <x v="2"/>
    <x v="1"/>
    <x v="0"/>
    <s v="Road"/>
    <x v="1"/>
    <n v="6"/>
    <n v="287"/>
    <n v="3"/>
    <n v="5"/>
    <n v="0"/>
    <n v="2"/>
    <n v="14.18"/>
    <n v="0"/>
    <n v="1"/>
  </r>
  <r>
    <s v="SHP-504769"/>
    <d v="2025-10-16T00:00:00"/>
    <x v="1"/>
    <s v="Q4"/>
    <x v="9"/>
    <x v="3"/>
    <x v="2"/>
    <x v="2"/>
    <x v="0"/>
    <s v="Road"/>
    <x v="1"/>
    <n v="2.6"/>
    <n v="1010"/>
    <n v="5"/>
    <n v="4"/>
    <n v="1"/>
    <n v="0"/>
    <n v="22.22"/>
    <n v="0"/>
    <n v="1"/>
  </r>
  <r>
    <s v="SHP-504770"/>
    <d v="2025-10-16T00:00:00"/>
    <x v="1"/>
    <s v="Q4"/>
    <x v="9"/>
    <x v="2"/>
    <x v="2"/>
    <x v="1"/>
    <x v="0"/>
    <s v="Road"/>
    <x v="0"/>
    <n v="116.1"/>
    <n v="269"/>
    <n v="3"/>
    <n v="3"/>
    <n v="1"/>
    <n v="0"/>
    <n v="53.22"/>
    <n v="0"/>
    <n v="1"/>
  </r>
  <r>
    <s v="SHP-504771"/>
    <d v="2025-10-17T00:00:00"/>
    <x v="1"/>
    <s v="Q4"/>
    <x v="9"/>
    <x v="2"/>
    <x v="2"/>
    <x v="0"/>
    <x v="0"/>
    <s v="Road"/>
    <x v="1"/>
    <n v="12"/>
    <n v="1020"/>
    <n v="4"/>
    <n v="4"/>
    <n v="1"/>
    <n v="0"/>
    <n v="21.55"/>
    <n v="0"/>
    <n v="1"/>
  </r>
  <r>
    <s v="SHP-504772"/>
    <d v="2025-10-17T00:00:00"/>
    <x v="1"/>
    <s v="Q4"/>
    <x v="9"/>
    <x v="3"/>
    <x v="1"/>
    <x v="4"/>
    <x v="0"/>
    <s v="Road"/>
    <x v="1"/>
    <n v="12.2"/>
    <n v="1175"/>
    <n v="5"/>
    <n v="5"/>
    <n v="1"/>
    <n v="0"/>
    <n v="31.87"/>
    <n v="0"/>
    <n v="1"/>
  </r>
  <r>
    <s v="SHP-504773"/>
    <d v="2025-10-17T00:00:00"/>
    <x v="1"/>
    <s v="Q4"/>
    <x v="9"/>
    <x v="4"/>
    <x v="1"/>
    <x v="1"/>
    <x v="2"/>
    <s v="Road"/>
    <x v="0"/>
    <n v="108.1"/>
    <n v="259"/>
    <n v="1"/>
    <n v="3"/>
    <n v="0"/>
    <n v="2"/>
    <n v="112.13"/>
    <n v="0"/>
    <n v="1"/>
  </r>
  <r>
    <s v="SHP-504774"/>
    <d v="2025-10-17T00:00:00"/>
    <x v="1"/>
    <s v="Q4"/>
    <x v="9"/>
    <x v="2"/>
    <x v="0"/>
    <x v="4"/>
    <x v="2"/>
    <s v="Air"/>
    <x v="1"/>
    <n v="13.8"/>
    <n v="1243"/>
    <n v="3"/>
    <n v="5"/>
    <n v="0"/>
    <n v="2"/>
    <n v="79.22"/>
    <n v="0"/>
    <n v="1"/>
  </r>
  <r>
    <s v="SHP-504775"/>
    <d v="2025-10-17T00:00:00"/>
    <x v="1"/>
    <s v="Q4"/>
    <x v="9"/>
    <x v="3"/>
    <x v="0"/>
    <x v="1"/>
    <x v="1"/>
    <s v="Road"/>
    <x v="1"/>
    <n v="14.5"/>
    <n v="307"/>
    <n v="5"/>
    <n v="5"/>
    <n v="1"/>
    <n v="0"/>
    <n v="14.73"/>
    <n v="0"/>
    <n v="1"/>
  </r>
  <r>
    <s v="SHP-504776"/>
    <d v="2025-10-17T00:00:00"/>
    <x v="1"/>
    <s v="Q4"/>
    <x v="9"/>
    <x v="0"/>
    <x v="1"/>
    <x v="1"/>
    <x v="2"/>
    <s v="Road"/>
    <x v="1"/>
    <n v="3.9"/>
    <n v="303"/>
    <n v="1"/>
    <n v="1"/>
    <n v="1"/>
    <n v="0"/>
    <n v="24.01"/>
    <n v="0"/>
    <n v="1"/>
  </r>
  <r>
    <s v="SHP-504777"/>
    <d v="2025-10-17T00:00:00"/>
    <x v="1"/>
    <s v="Q4"/>
    <x v="9"/>
    <x v="3"/>
    <x v="2"/>
    <x v="1"/>
    <x v="1"/>
    <s v="Road"/>
    <x v="1"/>
    <n v="4.5999999999999996"/>
    <n v="219"/>
    <n v="5"/>
    <n v="5"/>
    <n v="1"/>
    <n v="0"/>
    <n v="8.9499999999999993"/>
    <n v="0"/>
    <n v="1"/>
  </r>
  <r>
    <s v="SHP-504778"/>
    <d v="2025-10-17T00:00:00"/>
    <x v="1"/>
    <s v="Q4"/>
    <x v="9"/>
    <x v="4"/>
    <x v="2"/>
    <x v="3"/>
    <x v="0"/>
    <s v="Road"/>
    <x v="0"/>
    <n v="78.7"/>
    <n v="469"/>
    <n v="4"/>
    <n v="4"/>
    <n v="1"/>
    <n v="0"/>
    <n v="46.14"/>
    <n v="0"/>
    <n v="1"/>
  </r>
  <r>
    <s v="SHP-504779"/>
    <d v="2025-10-17T00:00:00"/>
    <x v="1"/>
    <s v="Q4"/>
    <x v="9"/>
    <x v="3"/>
    <x v="1"/>
    <x v="3"/>
    <x v="2"/>
    <s v="Road"/>
    <x v="1"/>
    <n v="4.4000000000000004"/>
    <n v="556"/>
    <n v="2"/>
    <n v="2"/>
    <n v="1"/>
    <n v="0"/>
    <n v="34.49"/>
    <n v="0"/>
    <n v="1"/>
  </r>
  <r>
    <s v="SHP-504780"/>
    <d v="2025-10-17T00:00:00"/>
    <x v="1"/>
    <s v="Q4"/>
    <x v="9"/>
    <x v="3"/>
    <x v="0"/>
    <x v="3"/>
    <x v="0"/>
    <s v="Road"/>
    <x v="0"/>
    <n v="89"/>
    <n v="604"/>
    <n v="4"/>
    <n v="3"/>
    <n v="1"/>
    <n v="0"/>
    <n v="58.87"/>
    <n v="0"/>
    <n v="1"/>
  </r>
  <r>
    <s v="SHP-504781"/>
    <d v="2025-10-18T00:00:00"/>
    <x v="1"/>
    <s v="Q4"/>
    <x v="9"/>
    <x v="2"/>
    <x v="2"/>
    <x v="2"/>
    <x v="0"/>
    <s v="Road"/>
    <x v="0"/>
    <n v="131.19999999999999"/>
    <n v="1232"/>
    <n v="5"/>
    <n v="5"/>
    <n v="1"/>
    <n v="0"/>
    <n v="68.8"/>
    <n v="0"/>
    <n v="1"/>
  </r>
  <r>
    <s v="SHP-504782"/>
    <d v="2025-10-18T00:00:00"/>
    <x v="1"/>
    <s v="Q4"/>
    <x v="9"/>
    <x v="4"/>
    <x v="0"/>
    <x v="3"/>
    <x v="0"/>
    <s v="Road"/>
    <x v="1"/>
    <n v="0.9"/>
    <n v="452"/>
    <n v="4"/>
    <n v="4"/>
    <n v="1"/>
    <n v="0"/>
    <n v="12.14"/>
    <n v="0"/>
    <n v="1"/>
  </r>
  <r>
    <s v="SHP-504783"/>
    <d v="2025-10-18T00:00:00"/>
    <x v="1"/>
    <s v="Q4"/>
    <x v="9"/>
    <x v="3"/>
    <x v="0"/>
    <x v="3"/>
    <x v="1"/>
    <s v="Road"/>
    <x v="0"/>
    <n v="46.8"/>
    <n v="475"/>
    <n v="6"/>
    <n v="6"/>
    <n v="1"/>
    <n v="0"/>
    <n v="27.66"/>
    <n v="0"/>
    <n v="1"/>
  </r>
  <r>
    <s v="SHP-504784"/>
    <d v="2025-10-18T00:00:00"/>
    <x v="1"/>
    <s v="Q4"/>
    <x v="9"/>
    <x v="3"/>
    <x v="0"/>
    <x v="1"/>
    <x v="0"/>
    <s v="Road"/>
    <x v="1"/>
    <n v="4.0999999999999996"/>
    <n v="305"/>
    <n v="3"/>
    <n v="3"/>
    <n v="1"/>
    <n v="0"/>
    <n v="13.79"/>
    <n v="0"/>
    <n v="1"/>
  </r>
  <r>
    <s v="SHP-504785"/>
    <d v="2025-10-18T00:00:00"/>
    <x v="1"/>
    <s v="Q4"/>
    <x v="9"/>
    <x v="2"/>
    <x v="1"/>
    <x v="3"/>
    <x v="0"/>
    <s v="Road"/>
    <x v="0"/>
    <n v="290.8"/>
    <n v="422"/>
    <n v="4"/>
    <n v="8"/>
    <n v="0"/>
    <n v="4"/>
    <n v="109.76"/>
    <n v="0"/>
    <n v="1"/>
  </r>
  <r>
    <s v="SHP-504786"/>
    <d v="2025-10-18T00:00:00"/>
    <x v="1"/>
    <s v="Q4"/>
    <x v="9"/>
    <x v="2"/>
    <x v="1"/>
    <x v="1"/>
    <x v="0"/>
    <s v="Road"/>
    <x v="1"/>
    <n v="2.7"/>
    <n v="262"/>
    <n v="3"/>
    <n v="3"/>
    <n v="1"/>
    <n v="0"/>
    <n v="8.42"/>
    <n v="0"/>
    <n v="1"/>
  </r>
  <r>
    <s v="SHP-504787"/>
    <d v="2025-10-18T00:00:00"/>
    <x v="1"/>
    <s v="Q4"/>
    <x v="9"/>
    <x v="3"/>
    <x v="0"/>
    <x v="2"/>
    <x v="1"/>
    <s v="Road"/>
    <x v="1"/>
    <n v="3.8"/>
    <n v="1339"/>
    <n v="7"/>
    <n v="6"/>
    <n v="1"/>
    <n v="0"/>
    <n v="19.649999999999999"/>
    <n v="0"/>
    <n v="1"/>
  </r>
  <r>
    <s v="SHP-504788"/>
    <d v="2025-10-18T00:00:00"/>
    <x v="1"/>
    <s v="Q4"/>
    <x v="9"/>
    <x v="2"/>
    <x v="2"/>
    <x v="0"/>
    <x v="2"/>
    <s v="Air"/>
    <x v="1"/>
    <n v="0.7"/>
    <n v="777"/>
    <n v="2"/>
    <n v="1"/>
    <n v="1"/>
    <n v="0"/>
    <n v="43.45"/>
    <n v="0"/>
    <n v="1"/>
  </r>
  <r>
    <s v="SHP-504789"/>
    <d v="2025-10-18T00:00:00"/>
    <x v="1"/>
    <s v="Q4"/>
    <x v="9"/>
    <x v="0"/>
    <x v="1"/>
    <x v="3"/>
    <x v="1"/>
    <s v="Road"/>
    <x v="1"/>
    <n v="1.8"/>
    <n v="497"/>
    <n v="6"/>
    <n v="6"/>
    <n v="1"/>
    <n v="0"/>
    <n v="8.57"/>
    <n v="0"/>
    <n v="1"/>
  </r>
  <r>
    <s v="SHP-504790"/>
    <d v="2025-10-18T00:00:00"/>
    <x v="1"/>
    <s v="Q4"/>
    <x v="9"/>
    <x v="4"/>
    <x v="1"/>
    <x v="0"/>
    <x v="1"/>
    <s v="Road"/>
    <x v="1"/>
    <n v="1"/>
    <n v="1080"/>
    <n v="6"/>
    <n v="9"/>
    <n v="0"/>
    <n v="3"/>
    <n v="13.93"/>
    <n v="0"/>
    <n v="1"/>
  </r>
  <r>
    <s v="SHP-504791"/>
    <d v="2025-10-18T00:00:00"/>
    <x v="1"/>
    <s v="Q4"/>
    <x v="9"/>
    <x v="3"/>
    <x v="1"/>
    <x v="1"/>
    <x v="1"/>
    <s v="Road"/>
    <x v="0"/>
    <n v="71.8"/>
    <n v="272"/>
    <n v="5"/>
    <n v="5"/>
    <n v="1"/>
    <n v="0"/>
    <n v="32.85"/>
    <n v="0"/>
    <n v="1"/>
  </r>
  <r>
    <s v="SHP-504792"/>
    <d v="2025-10-18T00:00:00"/>
    <x v="1"/>
    <s v="Q4"/>
    <x v="9"/>
    <x v="0"/>
    <x v="2"/>
    <x v="1"/>
    <x v="1"/>
    <s v="Road"/>
    <x v="1"/>
    <n v="5.6"/>
    <n v="257"/>
    <n v="5"/>
    <n v="5"/>
    <n v="1"/>
    <n v="0"/>
    <n v="8.49"/>
    <n v="0"/>
    <n v="1"/>
  </r>
  <r>
    <s v="SHP-504793"/>
    <d v="2025-10-18T00:00:00"/>
    <x v="1"/>
    <s v="Q4"/>
    <x v="9"/>
    <x v="1"/>
    <x v="2"/>
    <x v="3"/>
    <x v="0"/>
    <s v="Road"/>
    <x v="1"/>
    <n v="1.7"/>
    <n v="474"/>
    <n v="4"/>
    <n v="4"/>
    <n v="1"/>
    <n v="0"/>
    <n v="12.79"/>
    <n v="0"/>
    <n v="1"/>
  </r>
  <r>
    <s v="SHP-504794"/>
    <d v="2025-10-18T00:00:00"/>
    <x v="1"/>
    <s v="Q4"/>
    <x v="9"/>
    <x v="0"/>
    <x v="2"/>
    <x v="1"/>
    <x v="0"/>
    <s v="Road"/>
    <x v="1"/>
    <n v="5.3"/>
    <n v="244"/>
    <n v="3"/>
    <n v="2"/>
    <n v="1"/>
    <n v="0"/>
    <n v="11.33"/>
    <n v="0"/>
    <n v="1"/>
  </r>
  <r>
    <s v="SHP-504795"/>
    <d v="2025-10-19T00:00:00"/>
    <x v="1"/>
    <s v="Q4"/>
    <x v="9"/>
    <x v="3"/>
    <x v="2"/>
    <x v="4"/>
    <x v="1"/>
    <s v="Road"/>
    <x v="1"/>
    <n v="3.8"/>
    <n v="1083"/>
    <n v="7"/>
    <n v="10"/>
    <n v="0"/>
    <n v="3"/>
    <n v="17.55"/>
    <n v="0"/>
    <n v="1"/>
  </r>
  <r>
    <s v="SHP-504796"/>
    <d v="2025-10-19T00:00:00"/>
    <x v="1"/>
    <s v="Q4"/>
    <x v="9"/>
    <x v="3"/>
    <x v="2"/>
    <x v="2"/>
    <x v="0"/>
    <s v="Road"/>
    <x v="1"/>
    <n v="5.5"/>
    <n v="945"/>
    <n v="5"/>
    <n v="5"/>
    <n v="1"/>
    <n v="0"/>
    <n v="23.39"/>
    <n v="0"/>
    <n v="1"/>
  </r>
  <r>
    <s v="SHP-504797"/>
    <d v="2025-10-19T00:00:00"/>
    <x v="1"/>
    <s v="Q4"/>
    <x v="9"/>
    <x v="3"/>
    <x v="1"/>
    <x v="1"/>
    <x v="0"/>
    <s v="Road"/>
    <x v="0"/>
    <n v="41.5"/>
    <n v="270"/>
    <n v="3"/>
    <n v="3"/>
    <n v="1"/>
    <n v="0"/>
    <n v="35.869999999999997"/>
    <n v="0"/>
    <n v="1"/>
  </r>
  <r>
    <s v="SHP-504798"/>
    <d v="2025-10-19T00:00:00"/>
    <x v="1"/>
    <s v="Q4"/>
    <x v="9"/>
    <x v="1"/>
    <x v="0"/>
    <x v="2"/>
    <x v="0"/>
    <s v="Road"/>
    <x v="1"/>
    <n v="4.5"/>
    <n v="1338"/>
    <n v="5"/>
    <n v="6"/>
    <n v="0"/>
    <n v="1"/>
    <n v="26.41"/>
    <n v="0"/>
    <n v="1"/>
  </r>
  <r>
    <s v="SHP-504799"/>
    <d v="2025-10-19T00:00:00"/>
    <x v="1"/>
    <s v="Q4"/>
    <x v="9"/>
    <x v="0"/>
    <x v="2"/>
    <x v="3"/>
    <x v="2"/>
    <s v="Road"/>
    <x v="1"/>
    <n v="1.5"/>
    <n v="546"/>
    <n v="2"/>
    <n v="1"/>
    <n v="1"/>
    <n v="0"/>
    <n v="27.56"/>
    <n v="0"/>
    <n v="1"/>
  </r>
  <r>
    <s v="SHP-504800"/>
    <d v="2025-10-19T00:00:00"/>
    <x v="1"/>
    <s v="Q4"/>
    <x v="9"/>
    <x v="4"/>
    <x v="2"/>
    <x v="0"/>
    <x v="0"/>
    <s v="Road"/>
    <x v="1"/>
    <n v="3.3"/>
    <n v="641"/>
    <n v="4"/>
    <n v="6"/>
    <n v="0"/>
    <n v="2"/>
    <n v="16.57"/>
    <n v="0"/>
    <n v="1"/>
  </r>
  <r>
    <s v="SHP-504801"/>
    <d v="2025-10-19T00:00:00"/>
    <x v="1"/>
    <s v="Q4"/>
    <x v="9"/>
    <x v="4"/>
    <x v="2"/>
    <x v="3"/>
    <x v="1"/>
    <s v="Road"/>
    <x v="0"/>
    <n v="146.1"/>
    <n v="529"/>
    <n v="6"/>
    <n v="6"/>
    <n v="1"/>
    <n v="0"/>
    <n v="49.26"/>
    <n v="0"/>
    <n v="1"/>
  </r>
  <r>
    <s v="SHP-504802"/>
    <d v="2025-10-20T00:00:00"/>
    <x v="1"/>
    <s v="Q4"/>
    <x v="9"/>
    <x v="2"/>
    <x v="0"/>
    <x v="3"/>
    <x v="1"/>
    <s v="Road"/>
    <x v="0"/>
    <n v="91.8"/>
    <n v="294"/>
    <n v="6"/>
    <n v="5"/>
    <n v="1"/>
    <n v="0"/>
    <n v="32.909999999999997"/>
    <n v="0"/>
    <n v="1"/>
  </r>
  <r>
    <s v="SHP-504803"/>
    <d v="2025-10-20T00:00:00"/>
    <x v="1"/>
    <s v="Q4"/>
    <x v="9"/>
    <x v="4"/>
    <x v="1"/>
    <x v="1"/>
    <x v="0"/>
    <s v="Road"/>
    <x v="1"/>
    <n v="19.2"/>
    <n v="199"/>
    <n v="3"/>
    <n v="3"/>
    <n v="1"/>
    <n v="0"/>
    <n v="21.53"/>
    <n v="0"/>
    <n v="1"/>
  </r>
  <r>
    <s v="SHP-504804"/>
    <d v="2025-10-20T00:00:00"/>
    <x v="1"/>
    <s v="Q4"/>
    <x v="9"/>
    <x v="4"/>
    <x v="2"/>
    <x v="4"/>
    <x v="0"/>
    <s v="Road"/>
    <x v="0"/>
    <n v="16.8"/>
    <n v="1172"/>
    <n v="5"/>
    <n v="5"/>
    <n v="1"/>
    <n v="0"/>
    <n v="30.89"/>
    <n v="1"/>
    <n v="1"/>
  </r>
  <r>
    <s v="SHP-504805"/>
    <d v="2025-10-20T00:00:00"/>
    <x v="1"/>
    <s v="Q4"/>
    <x v="9"/>
    <x v="3"/>
    <x v="1"/>
    <x v="0"/>
    <x v="0"/>
    <s v="Road"/>
    <x v="1"/>
    <n v="5.0999999999999996"/>
    <n v="707"/>
    <n v="4"/>
    <n v="4"/>
    <n v="1"/>
    <n v="0"/>
    <n v="20.54"/>
    <n v="0"/>
    <n v="1"/>
  </r>
  <r>
    <s v="SHP-504806"/>
    <d v="2025-10-20T00:00:00"/>
    <x v="1"/>
    <s v="Q4"/>
    <x v="9"/>
    <x v="0"/>
    <x v="1"/>
    <x v="4"/>
    <x v="0"/>
    <s v="Road"/>
    <x v="0"/>
    <n v="91.5"/>
    <n v="910"/>
    <n v="5"/>
    <n v="5"/>
    <n v="1"/>
    <n v="0"/>
    <n v="52.79"/>
    <n v="0"/>
    <n v="1"/>
  </r>
  <r>
    <s v="SHP-504807"/>
    <d v="2025-10-21T00:00:00"/>
    <x v="1"/>
    <s v="Q4"/>
    <x v="9"/>
    <x v="2"/>
    <x v="1"/>
    <x v="0"/>
    <x v="0"/>
    <s v="Road"/>
    <x v="0"/>
    <n v="46.3"/>
    <n v="720"/>
    <n v="4"/>
    <n v="4"/>
    <n v="1"/>
    <n v="0"/>
    <n v="35.06"/>
    <n v="0"/>
    <n v="1"/>
  </r>
  <r>
    <s v="SHP-504808"/>
    <d v="2025-10-21T00:00:00"/>
    <x v="1"/>
    <s v="Q4"/>
    <x v="9"/>
    <x v="4"/>
    <x v="1"/>
    <x v="3"/>
    <x v="2"/>
    <s v="Road"/>
    <x v="1"/>
    <n v="2.5"/>
    <n v="577"/>
    <n v="2"/>
    <n v="1"/>
    <n v="1"/>
    <n v="0"/>
    <n v="27.95"/>
    <n v="0"/>
    <n v="1"/>
  </r>
  <r>
    <s v="SHP-504809"/>
    <d v="2025-10-21T00:00:00"/>
    <x v="1"/>
    <s v="Q4"/>
    <x v="9"/>
    <x v="1"/>
    <x v="0"/>
    <x v="0"/>
    <x v="0"/>
    <s v="Road"/>
    <x v="1"/>
    <n v="2.5"/>
    <n v="998"/>
    <n v="4"/>
    <n v="4"/>
    <n v="1"/>
    <n v="0"/>
    <n v="21.44"/>
    <n v="0"/>
    <n v="1"/>
  </r>
  <r>
    <s v="SHP-504810"/>
    <d v="2025-10-21T00:00:00"/>
    <x v="1"/>
    <s v="Q4"/>
    <x v="9"/>
    <x v="2"/>
    <x v="2"/>
    <x v="3"/>
    <x v="1"/>
    <s v="Road"/>
    <x v="1"/>
    <n v="5.7"/>
    <n v="452"/>
    <n v="6"/>
    <n v="6"/>
    <n v="1"/>
    <n v="0"/>
    <n v="9.6199999999999992"/>
    <n v="0"/>
    <n v="1"/>
  </r>
  <r>
    <s v="SHP-504811"/>
    <d v="2025-10-21T00:00:00"/>
    <x v="1"/>
    <s v="Q4"/>
    <x v="9"/>
    <x v="3"/>
    <x v="1"/>
    <x v="2"/>
    <x v="1"/>
    <s v="Road"/>
    <x v="1"/>
    <n v="13.1"/>
    <n v="1297"/>
    <n v="7"/>
    <n v="7"/>
    <n v="1"/>
    <n v="0"/>
    <n v="22.25"/>
    <n v="0"/>
    <n v="1"/>
  </r>
  <r>
    <s v="SHP-504812"/>
    <d v="2025-10-21T00:00:00"/>
    <x v="1"/>
    <s v="Q4"/>
    <x v="9"/>
    <x v="0"/>
    <x v="2"/>
    <x v="0"/>
    <x v="1"/>
    <s v="Road"/>
    <x v="1"/>
    <n v="13.2"/>
    <n v="1008"/>
    <n v="6"/>
    <n v="5"/>
    <n v="1"/>
    <n v="0"/>
    <n v="20.04"/>
    <n v="0"/>
    <n v="1"/>
  </r>
  <r>
    <s v="SHP-504813"/>
    <d v="2025-10-21T00:00:00"/>
    <x v="1"/>
    <s v="Q4"/>
    <x v="9"/>
    <x v="0"/>
    <x v="2"/>
    <x v="3"/>
    <x v="0"/>
    <s v="Road"/>
    <x v="1"/>
    <n v="9"/>
    <n v="439"/>
    <n v="4"/>
    <n v="3"/>
    <n v="1"/>
    <n v="0"/>
    <n v="15.63"/>
    <n v="0"/>
    <n v="1"/>
  </r>
  <r>
    <s v="SHP-504814"/>
    <d v="2025-10-21T00:00:00"/>
    <x v="1"/>
    <s v="Q4"/>
    <x v="9"/>
    <x v="0"/>
    <x v="1"/>
    <x v="0"/>
    <x v="1"/>
    <s v="Road"/>
    <x v="1"/>
    <n v="2.8"/>
    <n v="746"/>
    <n v="6"/>
    <n v="5"/>
    <n v="1"/>
    <n v="0"/>
    <n v="11.3"/>
    <n v="0"/>
    <n v="1"/>
  </r>
  <r>
    <s v="SHP-504815"/>
    <d v="2025-10-21T00:00:00"/>
    <x v="1"/>
    <s v="Q4"/>
    <x v="9"/>
    <x v="2"/>
    <x v="0"/>
    <x v="3"/>
    <x v="0"/>
    <s v="Road"/>
    <x v="1"/>
    <n v="13.7"/>
    <n v="463"/>
    <n v="4"/>
    <n v="4"/>
    <n v="1"/>
    <n v="0"/>
    <n v="16.95"/>
    <n v="0"/>
    <n v="1"/>
  </r>
  <r>
    <s v="SHP-504816"/>
    <d v="2025-10-21T00:00:00"/>
    <x v="1"/>
    <s v="Q4"/>
    <x v="9"/>
    <x v="4"/>
    <x v="0"/>
    <x v="0"/>
    <x v="2"/>
    <s v="Air"/>
    <x v="0"/>
    <n v="250.3"/>
    <n v="1063"/>
    <n v="2"/>
    <n v="2"/>
    <n v="1"/>
    <n v="0"/>
    <n v="346.87"/>
    <n v="0"/>
    <n v="1"/>
  </r>
  <r>
    <s v="SHP-504817"/>
    <d v="2025-10-22T00:00:00"/>
    <x v="1"/>
    <s v="Q4"/>
    <x v="9"/>
    <x v="2"/>
    <x v="2"/>
    <x v="1"/>
    <x v="1"/>
    <s v="Road"/>
    <x v="1"/>
    <n v="4.3"/>
    <n v="271"/>
    <n v="5"/>
    <n v="4"/>
    <n v="1"/>
    <n v="0"/>
    <n v="8.18"/>
    <n v="0"/>
    <n v="1"/>
  </r>
  <r>
    <s v="SHP-504818"/>
    <d v="2025-10-22T00:00:00"/>
    <x v="1"/>
    <s v="Q4"/>
    <x v="9"/>
    <x v="0"/>
    <x v="2"/>
    <x v="3"/>
    <x v="1"/>
    <s v="Road"/>
    <x v="0"/>
    <n v="93"/>
    <n v="524"/>
    <n v="6"/>
    <n v="6"/>
    <n v="1"/>
    <n v="0"/>
    <n v="33.28"/>
    <n v="0"/>
    <n v="1"/>
  </r>
  <r>
    <s v="SHP-504819"/>
    <d v="2025-10-22T00:00:00"/>
    <x v="1"/>
    <s v="Q4"/>
    <x v="9"/>
    <x v="3"/>
    <x v="0"/>
    <x v="2"/>
    <x v="1"/>
    <s v="Road"/>
    <x v="1"/>
    <n v="2.7"/>
    <n v="1435"/>
    <n v="7"/>
    <n v="6"/>
    <n v="1"/>
    <n v="0"/>
    <n v="22.19"/>
    <n v="0"/>
    <n v="1"/>
  </r>
  <r>
    <s v="SHP-504820"/>
    <d v="2025-10-22T00:00:00"/>
    <x v="1"/>
    <s v="Q4"/>
    <x v="9"/>
    <x v="3"/>
    <x v="1"/>
    <x v="1"/>
    <x v="1"/>
    <s v="Road"/>
    <x v="1"/>
    <n v="7.6"/>
    <n v="263"/>
    <n v="5"/>
    <n v="5"/>
    <n v="1"/>
    <n v="0"/>
    <n v="10.46"/>
    <n v="0"/>
    <n v="1"/>
  </r>
  <r>
    <s v="SHP-504821"/>
    <d v="2025-10-22T00:00:00"/>
    <x v="1"/>
    <s v="Q4"/>
    <x v="9"/>
    <x v="1"/>
    <x v="2"/>
    <x v="1"/>
    <x v="2"/>
    <s v="Road"/>
    <x v="0"/>
    <n v="138.6"/>
    <n v="295"/>
    <n v="1"/>
    <n v="1"/>
    <n v="1"/>
    <n v="0"/>
    <n v="128.1"/>
    <n v="0"/>
    <n v="1"/>
  </r>
  <r>
    <s v="SHP-504822"/>
    <d v="2025-10-22T00:00:00"/>
    <x v="1"/>
    <s v="Q4"/>
    <x v="9"/>
    <x v="2"/>
    <x v="2"/>
    <x v="1"/>
    <x v="1"/>
    <s v="Road"/>
    <x v="0"/>
    <n v="40.299999999999997"/>
    <n v="198"/>
    <n v="5"/>
    <n v="5"/>
    <n v="1"/>
    <n v="0"/>
    <n v="16.760000000000002"/>
    <n v="0"/>
    <n v="1"/>
  </r>
  <r>
    <s v="SHP-504823"/>
    <d v="2025-10-22T00:00:00"/>
    <x v="1"/>
    <s v="Q4"/>
    <x v="9"/>
    <x v="3"/>
    <x v="0"/>
    <x v="2"/>
    <x v="0"/>
    <s v="Road"/>
    <x v="1"/>
    <n v="4.5"/>
    <n v="1631"/>
    <n v="5"/>
    <n v="5"/>
    <n v="1"/>
    <n v="0"/>
    <n v="32.869999999999997"/>
    <n v="0"/>
    <n v="1"/>
  </r>
  <r>
    <s v="SHP-504824"/>
    <d v="2025-10-22T00:00:00"/>
    <x v="1"/>
    <s v="Q4"/>
    <x v="9"/>
    <x v="2"/>
    <x v="2"/>
    <x v="0"/>
    <x v="0"/>
    <s v="Road"/>
    <x v="1"/>
    <n v="6.4"/>
    <n v="721"/>
    <n v="4"/>
    <n v="7"/>
    <n v="0"/>
    <n v="3"/>
    <n v="15.82"/>
    <n v="0"/>
    <n v="1"/>
  </r>
  <r>
    <s v="SHP-504825"/>
    <d v="2025-10-22T00:00:00"/>
    <x v="1"/>
    <s v="Q4"/>
    <x v="9"/>
    <x v="3"/>
    <x v="1"/>
    <x v="0"/>
    <x v="0"/>
    <s v="Road"/>
    <x v="1"/>
    <n v="15.3"/>
    <n v="838"/>
    <n v="4"/>
    <n v="4"/>
    <n v="1"/>
    <n v="0"/>
    <n v="28.78"/>
    <n v="0"/>
    <n v="1"/>
  </r>
  <r>
    <s v="SHP-504826"/>
    <d v="2025-10-23T00:00:00"/>
    <x v="1"/>
    <s v="Q4"/>
    <x v="9"/>
    <x v="4"/>
    <x v="2"/>
    <x v="1"/>
    <x v="0"/>
    <s v="Road"/>
    <x v="1"/>
    <n v="0.7"/>
    <n v="209"/>
    <n v="3"/>
    <n v="3"/>
    <n v="1"/>
    <n v="0"/>
    <n v="9.2100000000000009"/>
    <n v="0"/>
    <n v="1"/>
  </r>
  <r>
    <s v="SHP-504827"/>
    <d v="2025-10-23T00:00:00"/>
    <x v="1"/>
    <s v="Q4"/>
    <x v="9"/>
    <x v="3"/>
    <x v="2"/>
    <x v="1"/>
    <x v="0"/>
    <s v="Road"/>
    <x v="1"/>
    <n v="2"/>
    <n v="258"/>
    <n v="3"/>
    <n v="2"/>
    <n v="1"/>
    <n v="0"/>
    <n v="13.23"/>
    <n v="0"/>
    <n v="1"/>
  </r>
  <r>
    <s v="SHP-504828"/>
    <d v="2025-10-23T00:00:00"/>
    <x v="1"/>
    <s v="Q4"/>
    <x v="9"/>
    <x v="0"/>
    <x v="2"/>
    <x v="1"/>
    <x v="0"/>
    <s v="Road"/>
    <x v="1"/>
    <n v="4.3"/>
    <n v="247"/>
    <n v="3"/>
    <n v="3"/>
    <n v="1"/>
    <n v="0"/>
    <n v="11.83"/>
    <n v="0"/>
    <n v="1"/>
  </r>
  <r>
    <s v="SHP-504829"/>
    <d v="2025-10-23T00:00:00"/>
    <x v="1"/>
    <s v="Q4"/>
    <x v="9"/>
    <x v="2"/>
    <x v="2"/>
    <x v="3"/>
    <x v="2"/>
    <s v="Road"/>
    <x v="1"/>
    <n v="19.8"/>
    <n v="370"/>
    <n v="2"/>
    <n v="2"/>
    <n v="1"/>
    <n v="0"/>
    <n v="35.81"/>
    <n v="0"/>
    <n v="1"/>
  </r>
  <r>
    <s v="SHP-504830"/>
    <d v="2025-10-23T00:00:00"/>
    <x v="1"/>
    <s v="Q4"/>
    <x v="9"/>
    <x v="0"/>
    <x v="2"/>
    <x v="1"/>
    <x v="0"/>
    <s v="Road"/>
    <x v="1"/>
    <n v="9.6"/>
    <n v="286"/>
    <n v="3"/>
    <n v="2"/>
    <n v="1"/>
    <n v="0"/>
    <n v="15.37"/>
    <n v="0"/>
    <n v="1"/>
  </r>
  <r>
    <s v="SHP-504831"/>
    <d v="2025-10-23T00:00:00"/>
    <x v="1"/>
    <s v="Q4"/>
    <x v="9"/>
    <x v="0"/>
    <x v="0"/>
    <x v="3"/>
    <x v="0"/>
    <s v="Road"/>
    <x v="0"/>
    <n v="72.900000000000006"/>
    <n v="434"/>
    <n v="4"/>
    <n v="3"/>
    <n v="1"/>
    <n v="0"/>
    <n v="44.29"/>
    <n v="0"/>
    <n v="1"/>
  </r>
  <r>
    <s v="SHP-504832"/>
    <d v="2025-10-23T00:00:00"/>
    <x v="1"/>
    <s v="Q4"/>
    <x v="9"/>
    <x v="2"/>
    <x v="1"/>
    <x v="0"/>
    <x v="1"/>
    <s v="Road"/>
    <x v="0"/>
    <n v="282.7"/>
    <n v="754"/>
    <n v="6"/>
    <n v="6"/>
    <n v="1"/>
    <n v="0"/>
    <n v="85.44"/>
    <n v="0"/>
    <n v="1"/>
  </r>
  <r>
    <s v="SHP-504833"/>
    <d v="2025-10-24T00:00:00"/>
    <x v="1"/>
    <s v="Q4"/>
    <x v="9"/>
    <x v="2"/>
    <x v="1"/>
    <x v="0"/>
    <x v="1"/>
    <s v="Road"/>
    <x v="1"/>
    <n v="2.2000000000000002"/>
    <n v="945"/>
    <n v="6"/>
    <n v="6"/>
    <n v="1"/>
    <n v="0"/>
    <n v="12.11"/>
    <n v="0"/>
    <n v="1"/>
  </r>
  <r>
    <s v="SHP-504834"/>
    <d v="2025-10-24T00:00:00"/>
    <x v="1"/>
    <s v="Q4"/>
    <x v="9"/>
    <x v="2"/>
    <x v="1"/>
    <x v="0"/>
    <x v="2"/>
    <s v="Air"/>
    <x v="1"/>
    <n v="1.6"/>
    <n v="979"/>
    <n v="2"/>
    <n v="4"/>
    <n v="0"/>
    <n v="2"/>
    <n v="54.55"/>
    <n v="0"/>
    <n v="1"/>
  </r>
  <r>
    <s v="SHP-504835"/>
    <d v="2025-10-24T00:00:00"/>
    <x v="1"/>
    <s v="Q4"/>
    <x v="9"/>
    <x v="3"/>
    <x v="2"/>
    <x v="3"/>
    <x v="0"/>
    <s v="Road"/>
    <x v="0"/>
    <n v="43.5"/>
    <n v="486"/>
    <n v="4"/>
    <n v="4"/>
    <n v="1"/>
    <n v="0"/>
    <n v="38.64"/>
    <n v="0"/>
    <n v="1"/>
  </r>
  <r>
    <s v="SHP-504836"/>
    <d v="2025-10-24T00:00:00"/>
    <x v="1"/>
    <s v="Q4"/>
    <x v="9"/>
    <x v="2"/>
    <x v="0"/>
    <x v="0"/>
    <x v="0"/>
    <s v="Road"/>
    <x v="1"/>
    <n v="14.1"/>
    <n v="1056"/>
    <n v="4"/>
    <n v="3"/>
    <n v="1"/>
    <n v="0"/>
    <n v="24.96"/>
    <n v="0"/>
    <n v="1"/>
  </r>
  <r>
    <s v="SHP-504837"/>
    <d v="2025-10-24T00:00:00"/>
    <x v="1"/>
    <s v="Q4"/>
    <x v="9"/>
    <x v="0"/>
    <x v="1"/>
    <x v="1"/>
    <x v="1"/>
    <s v="Road"/>
    <x v="1"/>
    <n v="13.8"/>
    <n v="332"/>
    <n v="5"/>
    <n v="5"/>
    <n v="1"/>
    <n v="0"/>
    <n v="13.54"/>
    <n v="0"/>
    <n v="1"/>
  </r>
  <r>
    <s v="SHP-504838"/>
    <d v="2025-10-24T00:00:00"/>
    <x v="1"/>
    <s v="Q4"/>
    <x v="9"/>
    <x v="1"/>
    <x v="2"/>
    <x v="1"/>
    <x v="1"/>
    <s v="Road"/>
    <x v="1"/>
    <n v="2.6"/>
    <n v="278"/>
    <n v="5"/>
    <n v="5"/>
    <n v="1"/>
    <n v="0"/>
    <n v="8.32"/>
    <n v="0"/>
    <n v="1"/>
  </r>
  <r>
    <s v="SHP-504839"/>
    <d v="2025-10-24T00:00:00"/>
    <x v="1"/>
    <s v="Q4"/>
    <x v="9"/>
    <x v="1"/>
    <x v="2"/>
    <x v="0"/>
    <x v="0"/>
    <s v="Road"/>
    <x v="1"/>
    <n v="10.6"/>
    <n v="1137"/>
    <n v="4"/>
    <n v="6"/>
    <n v="0"/>
    <n v="2"/>
    <n v="27.13"/>
    <n v="0"/>
    <n v="1"/>
  </r>
  <r>
    <s v="SHP-504840"/>
    <d v="2025-10-25T00:00:00"/>
    <x v="1"/>
    <s v="Q4"/>
    <x v="9"/>
    <x v="3"/>
    <x v="2"/>
    <x v="0"/>
    <x v="0"/>
    <s v="Road"/>
    <x v="1"/>
    <n v="0.7"/>
    <n v="823"/>
    <n v="4"/>
    <n v="4"/>
    <n v="1"/>
    <n v="0"/>
    <n v="18.47"/>
    <n v="0"/>
    <n v="1"/>
  </r>
  <r>
    <s v="SHP-504841"/>
    <d v="2025-10-25T00:00:00"/>
    <x v="1"/>
    <s v="Q4"/>
    <x v="9"/>
    <x v="0"/>
    <x v="0"/>
    <x v="2"/>
    <x v="0"/>
    <s v="Road"/>
    <x v="1"/>
    <n v="3.1"/>
    <n v="1221"/>
    <n v="5"/>
    <n v="5"/>
    <n v="1"/>
    <n v="0"/>
    <n v="23.07"/>
    <n v="0"/>
    <n v="1"/>
  </r>
  <r>
    <s v="SHP-504842"/>
    <d v="2025-10-25T00:00:00"/>
    <x v="1"/>
    <s v="Q4"/>
    <x v="9"/>
    <x v="1"/>
    <x v="2"/>
    <x v="3"/>
    <x v="2"/>
    <s v="Road"/>
    <x v="1"/>
    <n v="3.4"/>
    <n v="472"/>
    <n v="2"/>
    <n v="2"/>
    <n v="1"/>
    <n v="0"/>
    <n v="28.23"/>
    <n v="0"/>
    <n v="1"/>
  </r>
  <r>
    <s v="SHP-504843"/>
    <d v="2025-10-25T00:00:00"/>
    <x v="1"/>
    <s v="Q4"/>
    <x v="9"/>
    <x v="2"/>
    <x v="2"/>
    <x v="0"/>
    <x v="0"/>
    <s v="Road"/>
    <x v="1"/>
    <n v="5.5"/>
    <n v="810"/>
    <n v="4"/>
    <n v="4"/>
    <n v="1"/>
    <n v="0"/>
    <n v="15.46"/>
    <n v="0"/>
    <n v="1"/>
  </r>
  <r>
    <s v="SHP-504844"/>
    <d v="2025-10-26T00:00:00"/>
    <x v="1"/>
    <s v="Q4"/>
    <x v="9"/>
    <x v="3"/>
    <x v="0"/>
    <x v="2"/>
    <x v="0"/>
    <s v="Road"/>
    <x v="1"/>
    <n v="2.4"/>
    <n v="957"/>
    <n v="5"/>
    <n v="5"/>
    <n v="1"/>
    <n v="0"/>
    <n v="23.32"/>
    <n v="0"/>
    <n v="1"/>
  </r>
  <r>
    <s v="SHP-504845"/>
    <d v="2025-10-26T00:00:00"/>
    <x v="1"/>
    <s v="Q4"/>
    <x v="9"/>
    <x v="2"/>
    <x v="1"/>
    <x v="2"/>
    <x v="1"/>
    <s v="Road"/>
    <x v="1"/>
    <n v="3.7"/>
    <n v="1196"/>
    <n v="7"/>
    <n v="10"/>
    <n v="0"/>
    <n v="3"/>
    <n v="14.07"/>
    <n v="0"/>
    <n v="1"/>
  </r>
  <r>
    <s v="SHP-504846"/>
    <d v="2025-10-26T00:00:00"/>
    <x v="1"/>
    <s v="Q4"/>
    <x v="9"/>
    <x v="3"/>
    <x v="2"/>
    <x v="2"/>
    <x v="2"/>
    <s v="Air"/>
    <x v="1"/>
    <n v="16.2"/>
    <n v="1316"/>
    <n v="3"/>
    <n v="3"/>
    <n v="1"/>
    <n v="0"/>
    <n v="94.48"/>
    <n v="0"/>
    <n v="1"/>
  </r>
  <r>
    <s v="SHP-504847"/>
    <d v="2025-10-26T00:00:00"/>
    <x v="1"/>
    <s v="Q4"/>
    <x v="9"/>
    <x v="3"/>
    <x v="2"/>
    <x v="0"/>
    <x v="1"/>
    <s v="Road"/>
    <x v="1"/>
    <n v="3.6"/>
    <n v="873"/>
    <n v="6"/>
    <n v="6"/>
    <n v="1"/>
    <n v="0"/>
    <n v="14.77"/>
    <n v="0"/>
    <n v="1"/>
  </r>
  <r>
    <s v="SHP-504848"/>
    <d v="2025-10-26T00:00:00"/>
    <x v="1"/>
    <s v="Q4"/>
    <x v="9"/>
    <x v="1"/>
    <x v="2"/>
    <x v="4"/>
    <x v="0"/>
    <s v="Road"/>
    <x v="1"/>
    <n v="14.9"/>
    <n v="1180"/>
    <n v="5"/>
    <n v="4"/>
    <n v="1"/>
    <n v="0"/>
    <n v="31.65"/>
    <n v="0"/>
    <n v="1"/>
  </r>
  <r>
    <s v="SHP-504849"/>
    <d v="2025-10-27T00:00:00"/>
    <x v="1"/>
    <s v="Q4"/>
    <x v="9"/>
    <x v="3"/>
    <x v="0"/>
    <x v="0"/>
    <x v="0"/>
    <s v="Road"/>
    <x v="1"/>
    <n v="12.2"/>
    <n v="873"/>
    <n v="4"/>
    <n v="4"/>
    <n v="1"/>
    <n v="0"/>
    <n v="27.38"/>
    <n v="0"/>
    <n v="1"/>
  </r>
  <r>
    <s v="SHP-504850"/>
    <d v="2025-10-27T00:00:00"/>
    <x v="1"/>
    <s v="Q4"/>
    <x v="9"/>
    <x v="1"/>
    <x v="1"/>
    <x v="0"/>
    <x v="0"/>
    <s v="Road"/>
    <x v="0"/>
    <n v="124.1"/>
    <n v="819"/>
    <n v="4"/>
    <n v="4"/>
    <n v="1"/>
    <n v="0"/>
    <n v="66.89"/>
    <n v="0"/>
    <n v="1"/>
  </r>
  <r>
    <s v="SHP-504851"/>
    <d v="2025-10-27T00:00:00"/>
    <x v="1"/>
    <s v="Q4"/>
    <x v="9"/>
    <x v="0"/>
    <x v="2"/>
    <x v="4"/>
    <x v="0"/>
    <s v="Road"/>
    <x v="1"/>
    <n v="11.2"/>
    <n v="915"/>
    <n v="5"/>
    <n v="5"/>
    <n v="1"/>
    <n v="0"/>
    <n v="23.02"/>
    <n v="0"/>
    <n v="1"/>
  </r>
  <r>
    <s v="SHP-504852"/>
    <d v="2025-10-27T00:00:00"/>
    <x v="1"/>
    <s v="Q4"/>
    <x v="9"/>
    <x v="1"/>
    <x v="2"/>
    <x v="0"/>
    <x v="1"/>
    <s v="Road"/>
    <x v="0"/>
    <n v="73.599999999999994"/>
    <n v="933"/>
    <n v="6"/>
    <n v="6"/>
    <n v="1"/>
    <n v="0"/>
    <n v="39.53"/>
    <n v="0"/>
    <n v="1"/>
  </r>
  <r>
    <s v="SHP-504853"/>
    <d v="2025-10-27T00:00:00"/>
    <x v="1"/>
    <s v="Q4"/>
    <x v="9"/>
    <x v="1"/>
    <x v="1"/>
    <x v="2"/>
    <x v="1"/>
    <s v="Road"/>
    <x v="1"/>
    <n v="9.4"/>
    <n v="1130"/>
    <n v="7"/>
    <n v="9"/>
    <n v="0"/>
    <n v="2"/>
    <n v="19.68"/>
    <n v="0"/>
    <n v="1"/>
  </r>
  <r>
    <s v="SHP-504854"/>
    <d v="2025-10-27T00:00:00"/>
    <x v="1"/>
    <s v="Q4"/>
    <x v="9"/>
    <x v="0"/>
    <x v="1"/>
    <x v="2"/>
    <x v="1"/>
    <s v="Road"/>
    <x v="1"/>
    <n v="2.2000000000000002"/>
    <n v="1105"/>
    <n v="7"/>
    <n v="7"/>
    <n v="1"/>
    <n v="0"/>
    <n v="14.69"/>
    <n v="1"/>
    <n v="1"/>
  </r>
  <r>
    <s v="SHP-504855"/>
    <d v="2025-10-27T00:00:00"/>
    <x v="1"/>
    <s v="Q4"/>
    <x v="9"/>
    <x v="4"/>
    <x v="2"/>
    <x v="4"/>
    <x v="0"/>
    <s v="Road"/>
    <x v="0"/>
    <n v="57"/>
    <n v="960"/>
    <n v="5"/>
    <n v="8"/>
    <n v="0"/>
    <n v="3"/>
    <n v="46.41"/>
    <n v="0"/>
    <n v="1"/>
  </r>
  <r>
    <s v="SHP-504856"/>
    <d v="2025-10-27T00:00:00"/>
    <x v="1"/>
    <s v="Q4"/>
    <x v="9"/>
    <x v="2"/>
    <x v="1"/>
    <x v="1"/>
    <x v="0"/>
    <s v="Road"/>
    <x v="0"/>
    <n v="65"/>
    <n v="186"/>
    <n v="3"/>
    <n v="3"/>
    <n v="1"/>
    <n v="0"/>
    <n v="34.39"/>
    <n v="0"/>
    <n v="1"/>
  </r>
  <r>
    <s v="SHP-504857"/>
    <d v="2025-10-27T00:00:00"/>
    <x v="1"/>
    <s v="Q4"/>
    <x v="9"/>
    <x v="2"/>
    <x v="2"/>
    <x v="0"/>
    <x v="2"/>
    <s v="Air"/>
    <x v="1"/>
    <n v="0.9"/>
    <n v="734"/>
    <n v="2"/>
    <n v="3"/>
    <n v="0"/>
    <n v="1"/>
    <n v="45.65"/>
    <n v="0"/>
    <n v="1"/>
  </r>
  <r>
    <s v="SHP-504858"/>
    <d v="2025-10-27T00:00:00"/>
    <x v="1"/>
    <s v="Q4"/>
    <x v="9"/>
    <x v="0"/>
    <x v="1"/>
    <x v="1"/>
    <x v="1"/>
    <s v="Road"/>
    <x v="0"/>
    <n v="92.8"/>
    <n v="274"/>
    <n v="5"/>
    <n v="7"/>
    <n v="0"/>
    <n v="2"/>
    <n v="39.35"/>
    <n v="0"/>
    <n v="1"/>
  </r>
  <r>
    <s v="SHP-504859"/>
    <d v="2025-10-27T00:00:00"/>
    <x v="1"/>
    <s v="Q4"/>
    <x v="9"/>
    <x v="3"/>
    <x v="0"/>
    <x v="0"/>
    <x v="1"/>
    <s v="Road"/>
    <x v="1"/>
    <n v="31"/>
    <n v="1075"/>
    <n v="6"/>
    <n v="5"/>
    <n v="1"/>
    <n v="0"/>
    <n v="28.29"/>
    <n v="0"/>
    <n v="1"/>
  </r>
  <r>
    <s v="SHP-504860"/>
    <d v="2025-10-28T00:00:00"/>
    <x v="1"/>
    <s v="Q4"/>
    <x v="9"/>
    <x v="1"/>
    <x v="1"/>
    <x v="0"/>
    <x v="0"/>
    <s v="Road"/>
    <x v="0"/>
    <n v="168.5"/>
    <n v="828"/>
    <n v="4"/>
    <n v="4"/>
    <n v="1"/>
    <n v="0"/>
    <n v="96.88"/>
    <n v="0"/>
    <n v="1"/>
  </r>
  <r>
    <s v="SHP-504861"/>
    <d v="2025-10-28T00:00:00"/>
    <x v="1"/>
    <s v="Q4"/>
    <x v="9"/>
    <x v="3"/>
    <x v="2"/>
    <x v="0"/>
    <x v="0"/>
    <s v="Road"/>
    <x v="1"/>
    <n v="8.6999999999999993"/>
    <n v="803"/>
    <n v="4"/>
    <n v="3"/>
    <n v="1"/>
    <n v="0"/>
    <n v="26.04"/>
    <n v="0"/>
    <n v="1"/>
  </r>
  <r>
    <s v="SHP-504862"/>
    <d v="2025-10-28T00:00:00"/>
    <x v="1"/>
    <s v="Q4"/>
    <x v="9"/>
    <x v="2"/>
    <x v="1"/>
    <x v="1"/>
    <x v="0"/>
    <s v="Road"/>
    <x v="0"/>
    <n v="54.8"/>
    <n v="244"/>
    <n v="3"/>
    <n v="3"/>
    <n v="1"/>
    <n v="0"/>
    <n v="31.37"/>
    <n v="0"/>
    <n v="1"/>
  </r>
  <r>
    <s v="SHP-504863"/>
    <d v="2025-10-29T00:00:00"/>
    <x v="1"/>
    <s v="Q4"/>
    <x v="9"/>
    <x v="3"/>
    <x v="2"/>
    <x v="1"/>
    <x v="2"/>
    <s v="Road"/>
    <x v="1"/>
    <n v="3.6"/>
    <n v="290"/>
    <n v="1"/>
    <n v="1"/>
    <n v="1"/>
    <n v="0"/>
    <n v="24.25"/>
    <n v="0"/>
    <n v="1"/>
  </r>
  <r>
    <s v="SHP-504864"/>
    <d v="2025-10-29T00:00:00"/>
    <x v="1"/>
    <s v="Q4"/>
    <x v="9"/>
    <x v="4"/>
    <x v="2"/>
    <x v="3"/>
    <x v="0"/>
    <s v="Road"/>
    <x v="1"/>
    <n v="14.1"/>
    <n v="483"/>
    <n v="4"/>
    <n v="4"/>
    <n v="1"/>
    <n v="0"/>
    <n v="20.21"/>
    <n v="0"/>
    <n v="1"/>
  </r>
  <r>
    <s v="SHP-504865"/>
    <d v="2025-10-29T00:00:00"/>
    <x v="1"/>
    <s v="Q4"/>
    <x v="9"/>
    <x v="1"/>
    <x v="2"/>
    <x v="3"/>
    <x v="2"/>
    <s v="Road"/>
    <x v="1"/>
    <n v="2.8"/>
    <n v="484"/>
    <n v="2"/>
    <n v="2"/>
    <n v="1"/>
    <n v="0"/>
    <n v="30.42"/>
    <n v="0"/>
    <n v="1"/>
  </r>
  <r>
    <s v="SHP-504866"/>
    <d v="2025-10-29T00:00:00"/>
    <x v="1"/>
    <s v="Q4"/>
    <x v="9"/>
    <x v="3"/>
    <x v="0"/>
    <x v="0"/>
    <x v="0"/>
    <s v="Road"/>
    <x v="1"/>
    <n v="2.9"/>
    <n v="748"/>
    <n v="4"/>
    <n v="4"/>
    <n v="1"/>
    <n v="0"/>
    <n v="19.510000000000002"/>
    <n v="0"/>
    <n v="1"/>
  </r>
  <r>
    <s v="SHP-504867"/>
    <d v="2025-10-29T00:00:00"/>
    <x v="1"/>
    <s v="Q4"/>
    <x v="9"/>
    <x v="3"/>
    <x v="2"/>
    <x v="0"/>
    <x v="1"/>
    <s v="Road"/>
    <x v="1"/>
    <n v="2.1"/>
    <n v="1060"/>
    <n v="6"/>
    <n v="5"/>
    <n v="1"/>
    <n v="0"/>
    <n v="15.89"/>
    <n v="0"/>
    <n v="1"/>
  </r>
  <r>
    <s v="SHP-504868"/>
    <d v="2025-10-29T00:00:00"/>
    <x v="1"/>
    <s v="Q4"/>
    <x v="9"/>
    <x v="0"/>
    <x v="1"/>
    <x v="1"/>
    <x v="2"/>
    <s v="Road"/>
    <x v="1"/>
    <n v="8"/>
    <n v="264"/>
    <n v="1"/>
    <n v="1"/>
    <n v="1"/>
    <n v="0"/>
    <n v="27.22"/>
    <n v="0"/>
    <n v="1"/>
  </r>
  <r>
    <s v="SHP-504869"/>
    <d v="2025-10-29T00:00:00"/>
    <x v="1"/>
    <s v="Q4"/>
    <x v="9"/>
    <x v="1"/>
    <x v="1"/>
    <x v="1"/>
    <x v="0"/>
    <s v="Road"/>
    <x v="0"/>
    <n v="285.7"/>
    <n v="229"/>
    <n v="3"/>
    <n v="3"/>
    <n v="1"/>
    <n v="0"/>
    <n v="137.16"/>
    <n v="0"/>
    <n v="1"/>
  </r>
  <r>
    <s v="SHP-504870"/>
    <d v="2025-10-29T00:00:00"/>
    <x v="1"/>
    <s v="Q4"/>
    <x v="9"/>
    <x v="2"/>
    <x v="1"/>
    <x v="0"/>
    <x v="0"/>
    <s v="Road"/>
    <x v="0"/>
    <n v="158.5"/>
    <n v="779"/>
    <n v="4"/>
    <n v="3"/>
    <n v="1"/>
    <n v="0"/>
    <n v="72.84"/>
    <n v="0"/>
    <n v="1"/>
  </r>
  <r>
    <s v="SHP-504871"/>
    <d v="2025-10-29T00:00:00"/>
    <x v="1"/>
    <s v="Q4"/>
    <x v="9"/>
    <x v="0"/>
    <x v="0"/>
    <x v="1"/>
    <x v="2"/>
    <s v="Road"/>
    <x v="0"/>
    <n v="119.2"/>
    <n v="225"/>
    <n v="1"/>
    <n v="1"/>
    <n v="1"/>
    <n v="0"/>
    <n v="122.76"/>
    <n v="0"/>
    <n v="1"/>
  </r>
  <r>
    <s v="SHP-504872"/>
    <d v="2025-10-29T00:00:00"/>
    <x v="1"/>
    <s v="Q4"/>
    <x v="9"/>
    <x v="2"/>
    <x v="1"/>
    <x v="4"/>
    <x v="0"/>
    <s v="Road"/>
    <x v="0"/>
    <n v="326.10000000000002"/>
    <n v="1135"/>
    <n v="5"/>
    <n v="8"/>
    <n v="0"/>
    <n v="3"/>
    <n v="131.66"/>
    <n v="0"/>
    <n v="1"/>
  </r>
  <r>
    <s v="SHP-504873"/>
    <d v="2025-10-29T00:00:00"/>
    <x v="1"/>
    <s v="Q4"/>
    <x v="9"/>
    <x v="3"/>
    <x v="2"/>
    <x v="0"/>
    <x v="0"/>
    <s v="Road"/>
    <x v="1"/>
    <n v="5.7"/>
    <n v="702"/>
    <n v="4"/>
    <n v="4"/>
    <n v="1"/>
    <n v="0"/>
    <n v="20.54"/>
    <n v="0"/>
    <n v="1"/>
  </r>
  <r>
    <s v="SHP-504874"/>
    <d v="2025-10-30T00:00:00"/>
    <x v="1"/>
    <s v="Q4"/>
    <x v="9"/>
    <x v="4"/>
    <x v="2"/>
    <x v="4"/>
    <x v="0"/>
    <s v="Road"/>
    <x v="0"/>
    <n v="171.2"/>
    <n v="943"/>
    <n v="5"/>
    <n v="5"/>
    <n v="1"/>
    <n v="0"/>
    <n v="79.34"/>
    <n v="0"/>
    <n v="1"/>
  </r>
  <r>
    <s v="SHP-504875"/>
    <d v="2025-10-30T00:00:00"/>
    <x v="1"/>
    <s v="Q4"/>
    <x v="9"/>
    <x v="0"/>
    <x v="2"/>
    <x v="1"/>
    <x v="1"/>
    <s v="Road"/>
    <x v="0"/>
    <n v="42.2"/>
    <n v="280"/>
    <n v="5"/>
    <n v="5"/>
    <n v="1"/>
    <n v="0"/>
    <n v="22.16"/>
    <n v="0"/>
    <n v="1"/>
  </r>
  <r>
    <s v="SHP-504876"/>
    <d v="2025-10-30T00:00:00"/>
    <x v="1"/>
    <s v="Q4"/>
    <x v="9"/>
    <x v="4"/>
    <x v="0"/>
    <x v="2"/>
    <x v="0"/>
    <s v="Road"/>
    <x v="1"/>
    <n v="2.6"/>
    <n v="1286"/>
    <n v="5"/>
    <n v="5"/>
    <n v="1"/>
    <n v="0"/>
    <n v="21.48"/>
    <n v="0"/>
    <n v="1"/>
  </r>
  <r>
    <s v="SHP-504877"/>
    <d v="2025-10-30T00:00:00"/>
    <x v="1"/>
    <s v="Q4"/>
    <x v="9"/>
    <x v="1"/>
    <x v="2"/>
    <x v="0"/>
    <x v="0"/>
    <s v="Road"/>
    <x v="0"/>
    <n v="72.5"/>
    <n v="793"/>
    <n v="4"/>
    <n v="4"/>
    <n v="1"/>
    <n v="0"/>
    <n v="51.81"/>
    <n v="0"/>
    <n v="1"/>
  </r>
  <r>
    <s v="SHP-504878"/>
    <d v="2025-10-30T00:00:00"/>
    <x v="1"/>
    <s v="Q4"/>
    <x v="9"/>
    <x v="1"/>
    <x v="0"/>
    <x v="0"/>
    <x v="2"/>
    <s v="Air"/>
    <x v="0"/>
    <n v="112.3"/>
    <n v="752"/>
    <n v="2"/>
    <n v="2"/>
    <n v="1"/>
    <n v="0"/>
    <n v="203.09"/>
    <n v="0"/>
    <n v="1"/>
  </r>
  <r>
    <s v="SHP-504879"/>
    <d v="2025-10-30T00:00:00"/>
    <x v="1"/>
    <s v="Q4"/>
    <x v="9"/>
    <x v="1"/>
    <x v="2"/>
    <x v="2"/>
    <x v="0"/>
    <s v="Road"/>
    <x v="1"/>
    <n v="11"/>
    <n v="1208"/>
    <n v="5"/>
    <n v="5"/>
    <n v="1"/>
    <n v="0"/>
    <n v="30.41"/>
    <n v="0"/>
    <n v="1"/>
  </r>
  <r>
    <s v="SHP-504880"/>
    <d v="2025-10-30T00:00:00"/>
    <x v="1"/>
    <s v="Q4"/>
    <x v="9"/>
    <x v="3"/>
    <x v="0"/>
    <x v="3"/>
    <x v="1"/>
    <s v="Road"/>
    <x v="0"/>
    <n v="91.2"/>
    <n v="451"/>
    <n v="6"/>
    <n v="6"/>
    <n v="1"/>
    <n v="0"/>
    <n v="41.36"/>
    <n v="0"/>
    <n v="1"/>
  </r>
  <r>
    <s v="SHP-504881"/>
    <d v="2025-10-30T00:00:00"/>
    <x v="1"/>
    <s v="Q4"/>
    <x v="9"/>
    <x v="2"/>
    <x v="1"/>
    <x v="1"/>
    <x v="0"/>
    <s v="Road"/>
    <x v="0"/>
    <n v="223.3"/>
    <n v="250"/>
    <n v="3"/>
    <n v="3"/>
    <n v="1"/>
    <n v="0"/>
    <n v="85.33"/>
    <n v="0"/>
    <n v="1"/>
  </r>
  <r>
    <s v="SHP-504882"/>
    <d v="2025-10-30T00:00:00"/>
    <x v="1"/>
    <s v="Q4"/>
    <x v="9"/>
    <x v="2"/>
    <x v="0"/>
    <x v="1"/>
    <x v="2"/>
    <s v="Road"/>
    <x v="1"/>
    <n v="1.6"/>
    <n v="261"/>
    <n v="1"/>
    <n v="4"/>
    <n v="0"/>
    <n v="3"/>
    <n v="19.53"/>
    <n v="0"/>
    <n v="1"/>
  </r>
  <r>
    <s v="SHP-504883"/>
    <d v="2025-10-30T00:00:00"/>
    <x v="1"/>
    <s v="Q4"/>
    <x v="9"/>
    <x v="3"/>
    <x v="0"/>
    <x v="0"/>
    <x v="1"/>
    <s v="Road"/>
    <x v="1"/>
    <n v="4.7"/>
    <n v="985"/>
    <n v="6"/>
    <n v="6"/>
    <n v="1"/>
    <n v="0"/>
    <n v="17.489999999999998"/>
    <n v="0"/>
    <n v="1"/>
  </r>
  <r>
    <s v="SHP-504884"/>
    <d v="2025-10-31T00:00:00"/>
    <x v="1"/>
    <s v="Q4"/>
    <x v="9"/>
    <x v="1"/>
    <x v="2"/>
    <x v="1"/>
    <x v="0"/>
    <s v="Road"/>
    <x v="1"/>
    <n v="16.8"/>
    <n v="197"/>
    <n v="3"/>
    <n v="3"/>
    <n v="1"/>
    <n v="0"/>
    <n v="19.149999999999999"/>
    <n v="0"/>
    <n v="1"/>
  </r>
  <r>
    <s v="SHP-504885"/>
    <d v="2025-10-31T00:00:00"/>
    <x v="1"/>
    <s v="Q4"/>
    <x v="9"/>
    <x v="2"/>
    <x v="1"/>
    <x v="2"/>
    <x v="2"/>
    <s v="Air"/>
    <x v="1"/>
    <n v="3.6"/>
    <n v="998"/>
    <n v="3"/>
    <n v="4"/>
    <n v="0"/>
    <n v="1"/>
    <n v="57.01"/>
    <n v="1"/>
    <n v="1"/>
  </r>
  <r>
    <s v="SHP-504886"/>
    <d v="2025-10-31T00:00:00"/>
    <x v="1"/>
    <s v="Q4"/>
    <x v="9"/>
    <x v="0"/>
    <x v="0"/>
    <x v="1"/>
    <x v="0"/>
    <s v="Road"/>
    <x v="0"/>
    <n v="12"/>
    <n v="235"/>
    <n v="3"/>
    <n v="8"/>
    <n v="0"/>
    <n v="5"/>
    <n v="16.16"/>
    <n v="0"/>
    <n v="1"/>
  </r>
  <r>
    <s v="SHP-504887"/>
    <d v="2025-10-31T00:00:00"/>
    <x v="1"/>
    <s v="Q4"/>
    <x v="9"/>
    <x v="2"/>
    <x v="0"/>
    <x v="1"/>
    <x v="0"/>
    <s v="Road"/>
    <x v="1"/>
    <n v="9.9"/>
    <n v="302"/>
    <n v="3"/>
    <n v="3"/>
    <n v="1"/>
    <n v="0"/>
    <n v="13.45"/>
    <n v="0"/>
    <n v="1"/>
  </r>
  <r>
    <s v="SHP-504888"/>
    <d v="2025-10-31T00:00:00"/>
    <x v="1"/>
    <s v="Q4"/>
    <x v="9"/>
    <x v="2"/>
    <x v="2"/>
    <x v="3"/>
    <x v="2"/>
    <s v="Road"/>
    <x v="1"/>
    <n v="9.4"/>
    <n v="507"/>
    <n v="2"/>
    <n v="2"/>
    <n v="1"/>
    <n v="0"/>
    <n v="31.59"/>
    <n v="0"/>
    <n v="1"/>
  </r>
  <r>
    <s v="SHP-504889"/>
    <d v="2025-10-31T00:00:00"/>
    <x v="1"/>
    <s v="Q4"/>
    <x v="9"/>
    <x v="1"/>
    <x v="0"/>
    <x v="3"/>
    <x v="1"/>
    <s v="Road"/>
    <x v="0"/>
    <n v="80.5"/>
    <n v="510"/>
    <n v="6"/>
    <n v="6"/>
    <n v="1"/>
    <n v="0"/>
    <n v="39.729999999999997"/>
    <n v="0"/>
    <n v="1"/>
  </r>
  <r>
    <s v="SHP-504890"/>
    <d v="2025-10-31T00:00:00"/>
    <x v="1"/>
    <s v="Q4"/>
    <x v="9"/>
    <x v="3"/>
    <x v="1"/>
    <x v="3"/>
    <x v="0"/>
    <s v="Road"/>
    <x v="1"/>
    <n v="3.8"/>
    <n v="508"/>
    <n v="4"/>
    <n v="4"/>
    <n v="1"/>
    <n v="0"/>
    <n v="17.12"/>
    <n v="0"/>
    <n v="1"/>
  </r>
  <r>
    <s v="SHP-504891"/>
    <d v="2025-10-31T00:00:00"/>
    <x v="1"/>
    <s v="Q4"/>
    <x v="9"/>
    <x v="1"/>
    <x v="1"/>
    <x v="1"/>
    <x v="2"/>
    <s v="Road"/>
    <x v="1"/>
    <n v="2.1"/>
    <n v="231"/>
    <n v="1"/>
    <n v="1"/>
    <n v="1"/>
    <n v="0"/>
    <n v="20.32"/>
    <n v="0"/>
    <n v="1"/>
  </r>
  <r>
    <s v="SHP-504892"/>
    <d v="2025-10-31T00:00:00"/>
    <x v="1"/>
    <s v="Q4"/>
    <x v="9"/>
    <x v="4"/>
    <x v="1"/>
    <x v="2"/>
    <x v="2"/>
    <s v="Air"/>
    <x v="0"/>
    <n v="28"/>
    <n v="1096"/>
    <n v="3"/>
    <n v="2"/>
    <n v="1"/>
    <n v="0"/>
    <n v="102.84"/>
    <n v="0"/>
    <n v="1"/>
  </r>
  <r>
    <s v="SHP-504893"/>
    <d v="2025-10-31T00:00:00"/>
    <x v="1"/>
    <s v="Q4"/>
    <x v="9"/>
    <x v="4"/>
    <x v="1"/>
    <x v="0"/>
    <x v="0"/>
    <s v="Road"/>
    <x v="0"/>
    <n v="148.4"/>
    <n v="828"/>
    <n v="4"/>
    <n v="4"/>
    <n v="1"/>
    <n v="0"/>
    <n v="79.510000000000005"/>
    <n v="0"/>
    <n v="1"/>
  </r>
  <r>
    <s v="SHP-504894"/>
    <d v="2025-10-31T00:00:00"/>
    <x v="1"/>
    <s v="Q4"/>
    <x v="9"/>
    <x v="4"/>
    <x v="0"/>
    <x v="2"/>
    <x v="0"/>
    <s v="Road"/>
    <x v="0"/>
    <n v="138.6"/>
    <n v="966"/>
    <n v="5"/>
    <n v="5"/>
    <n v="1"/>
    <n v="0"/>
    <n v="84.4"/>
    <n v="0"/>
    <n v="1"/>
  </r>
  <r>
    <s v="SHP-504895"/>
    <d v="2025-10-31T00:00:00"/>
    <x v="1"/>
    <s v="Q4"/>
    <x v="9"/>
    <x v="1"/>
    <x v="2"/>
    <x v="1"/>
    <x v="0"/>
    <s v="Road"/>
    <x v="0"/>
    <n v="37.9"/>
    <n v="286"/>
    <n v="3"/>
    <n v="2"/>
    <n v="1"/>
    <n v="0"/>
    <n v="28.83"/>
    <n v="0"/>
    <n v="1"/>
  </r>
  <r>
    <s v="SHP-504896"/>
    <d v="2025-10-31T00:00:00"/>
    <x v="1"/>
    <s v="Q4"/>
    <x v="9"/>
    <x v="0"/>
    <x v="1"/>
    <x v="3"/>
    <x v="1"/>
    <s v="Road"/>
    <x v="0"/>
    <n v="97.2"/>
    <n v="351"/>
    <n v="6"/>
    <n v="6"/>
    <n v="1"/>
    <n v="0"/>
    <n v="33.93"/>
    <n v="1"/>
    <n v="1"/>
  </r>
  <r>
    <s v="SHP-504897"/>
    <d v="2025-11-01T00:00:00"/>
    <x v="1"/>
    <s v="Q4"/>
    <x v="10"/>
    <x v="0"/>
    <x v="0"/>
    <x v="3"/>
    <x v="2"/>
    <s v="Road"/>
    <x v="1"/>
    <n v="3.7"/>
    <n v="535"/>
    <n v="2"/>
    <n v="2"/>
    <n v="1"/>
    <n v="0"/>
    <n v="26.88"/>
    <n v="0"/>
    <n v="1"/>
  </r>
  <r>
    <s v="SHP-504898"/>
    <d v="2025-11-01T00:00:00"/>
    <x v="1"/>
    <s v="Q4"/>
    <x v="10"/>
    <x v="2"/>
    <x v="1"/>
    <x v="3"/>
    <x v="1"/>
    <s v="Road"/>
    <x v="0"/>
    <n v="118.7"/>
    <n v="545"/>
    <n v="6"/>
    <n v="6"/>
    <n v="1"/>
    <n v="0"/>
    <n v="36.71"/>
    <n v="0"/>
    <n v="1"/>
  </r>
  <r>
    <s v="SHP-504899"/>
    <d v="2025-11-01T00:00:00"/>
    <x v="1"/>
    <s v="Q4"/>
    <x v="10"/>
    <x v="3"/>
    <x v="1"/>
    <x v="3"/>
    <x v="2"/>
    <s v="Road"/>
    <x v="0"/>
    <n v="159.80000000000001"/>
    <n v="461"/>
    <n v="2"/>
    <n v="2"/>
    <n v="1"/>
    <n v="0"/>
    <n v="155.54"/>
    <n v="0"/>
    <n v="1"/>
  </r>
  <r>
    <s v="SHP-504900"/>
    <d v="2025-11-01T00:00:00"/>
    <x v="1"/>
    <s v="Q4"/>
    <x v="10"/>
    <x v="2"/>
    <x v="2"/>
    <x v="1"/>
    <x v="2"/>
    <s v="Road"/>
    <x v="0"/>
    <n v="88.4"/>
    <n v="245"/>
    <n v="1"/>
    <n v="1"/>
    <n v="1"/>
    <n v="0"/>
    <n v="88.62"/>
    <n v="0"/>
    <n v="1"/>
  </r>
  <r>
    <s v="SHP-504901"/>
    <d v="2025-11-01T00:00:00"/>
    <x v="1"/>
    <s v="Q4"/>
    <x v="10"/>
    <x v="4"/>
    <x v="1"/>
    <x v="0"/>
    <x v="0"/>
    <s v="Road"/>
    <x v="1"/>
    <n v="16.8"/>
    <n v="1141"/>
    <n v="4"/>
    <n v="4"/>
    <n v="1"/>
    <n v="0"/>
    <n v="30.44"/>
    <n v="0"/>
    <n v="1"/>
  </r>
  <r>
    <s v="SHP-504902"/>
    <d v="2025-11-01T00:00:00"/>
    <x v="1"/>
    <s v="Q4"/>
    <x v="10"/>
    <x v="3"/>
    <x v="2"/>
    <x v="3"/>
    <x v="1"/>
    <s v="Road"/>
    <x v="1"/>
    <n v="16.3"/>
    <n v="524"/>
    <n v="6"/>
    <n v="5"/>
    <n v="1"/>
    <n v="0"/>
    <n v="18.170000000000002"/>
    <n v="0"/>
    <n v="1"/>
  </r>
  <r>
    <s v="SHP-504903"/>
    <d v="2025-11-01T00:00:00"/>
    <x v="1"/>
    <s v="Q4"/>
    <x v="10"/>
    <x v="4"/>
    <x v="2"/>
    <x v="1"/>
    <x v="0"/>
    <s v="Road"/>
    <x v="0"/>
    <n v="164.9"/>
    <n v="243"/>
    <n v="3"/>
    <n v="4"/>
    <n v="0"/>
    <n v="1"/>
    <n v="83.3"/>
    <n v="0"/>
    <n v="1"/>
  </r>
  <r>
    <s v="SHP-504904"/>
    <d v="2025-11-02T00:00:00"/>
    <x v="1"/>
    <s v="Q4"/>
    <x v="10"/>
    <x v="1"/>
    <x v="1"/>
    <x v="4"/>
    <x v="0"/>
    <s v="Road"/>
    <x v="1"/>
    <n v="6.8"/>
    <n v="1224"/>
    <n v="5"/>
    <n v="8"/>
    <n v="0"/>
    <n v="3"/>
    <n v="28.76"/>
    <n v="0"/>
    <n v="1"/>
  </r>
  <r>
    <s v="SHP-504905"/>
    <d v="2025-11-02T00:00:00"/>
    <x v="1"/>
    <s v="Q4"/>
    <x v="10"/>
    <x v="4"/>
    <x v="0"/>
    <x v="3"/>
    <x v="1"/>
    <s v="Road"/>
    <x v="1"/>
    <n v="2.9"/>
    <n v="502"/>
    <n v="6"/>
    <n v="6"/>
    <n v="1"/>
    <n v="0"/>
    <n v="10.92"/>
    <n v="0"/>
    <n v="1"/>
  </r>
  <r>
    <s v="SHP-504906"/>
    <d v="2025-11-02T00:00:00"/>
    <x v="1"/>
    <s v="Q4"/>
    <x v="10"/>
    <x v="2"/>
    <x v="2"/>
    <x v="0"/>
    <x v="1"/>
    <s v="Road"/>
    <x v="1"/>
    <n v="8.1999999999999993"/>
    <n v="712"/>
    <n v="6"/>
    <n v="6"/>
    <n v="1"/>
    <n v="0"/>
    <n v="12.44"/>
    <n v="0"/>
    <n v="1"/>
  </r>
  <r>
    <s v="SHP-504907"/>
    <d v="2025-11-02T00:00:00"/>
    <x v="1"/>
    <s v="Q4"/>
    <x v="10"/>
    <x v="2"/>
    <x v="0"/>
    <x v="4"/>
    <x v="0"/>
    <s v="Road"/>
    <x v="0"/>
    <n v="77.7"/>
    <n v="962"/>
    <n v="5"/>
    <n v="6"/>
    <n v="0"/>
    <n v="1"/>
    <n v="41.77"/>
    <n v="0"/>
    <n v="1"/>
  </r>
  <r>
    <s v="SHP-504908"/>
    <d v="2025-11-02T00:00:00"/>
    <x v="1"/>
    <s v="Q4"/>
    <x v="10"/>
    <x v="4"/>
    <x v="2"/>
    <x v="3"/>
    <x v="0"/>
    <s v="Road"/>
    <x v="1"/>
    <n v="6.3"/>
    <n v="499"/>
    <n v="4"/>
    <n v="5"/>
    <n v="0"/>
    <n v="1"/>
    <n v="15.98"/>
    <n v="0"/>
    <n v="1"/>
  </r>
  <r>
    <s v="SHP-504909"/>
    <d v="2025-11-02T00:00:00"/>
    <x v="1"/>
    <s v="Q4"/>
    <x v="10"/>
    <x v="4"/>
    <x v="1"/>
    <x v="0"/>
    <x v="0"/>
    <s v="Road"/>
    <x v="0"/>
    <n v="174.6"/>
    <n v="1035"/>
    <n v="4"/>
    <n v="3"/>
    <n v="1"/>
    <n v="0"/>
    <n v="92.94"/>
    <n v="0"/>
    <n v="1"/>
  </r>
  <r>
    <s v="SHP-504910"/>
    <d v="2025-11-02T00:00:00"/>
    <x v="1"/>
    <s v="Q4"/>
    <x v="10"/>
    <x v="2"/>
    <x v="1"/>
    <x v="3"/>
    <x v="0"/>
    <s v="Road"/>
    <x v="0"/>
    <n v="220.3"/>
    <n v="576"/>
    <n v="4"/>
    <n v="4"/>
    <n v="1"/>
    <n v="0"/>
    <n v="86.22"/>
    <n v="0"/>
    <n v="1"/>
  </r>
  <r>
    <s v="SHP-504911"/>
    <d v="2025-11-03T00:00:00"/>
    <x v="1"/>
    <s v="Q4"/>
    <x v="10"/>
    <x v="4"/>
    <x v="0"/>
    <x v="3"/>
    <x v="2"/>
    <s v="Road"/>
    <x v="0"/>
    <n v="20.399999999999999"/>
    <n v="525"/>
    <n v="2"/>
    <n v="2"/>
    <n v="1"/>
    <n v="0"/>
    <n v="48.84"/>
    <n v="0"/>
    <n v="1"/>
  </r>
  <r>
    <s v="SHP-504912"/>
    <d v="2025-11-03T00:00:00"/>
    <x v="1"/>
    <s v="Q4"/>
    <x v="10"/>
    <x v="2"/>
    <x v="1"/>
    <x v="2"/>
    <x v="2"/>
    <s v="Air"/>
    <x v="0"/>
    <n v="43.8"/>
    <n v="992"/>
    <n v="3"/>
    <n v="3"/>
    <n v="1"/>
    <n v="0"/>
    <n v="112.99"/>
    <n v="1"/>
    <n v="1"/>
  </r>
  <r>
    <s v="SHP-504913"/>
    <d v="2025-11-03T00:00:00"/>
    <x v="1"/>
    <s v="Q4"/>
    <x v="10"/>
    <x v="3"/>
    <x v="1"/>
    <x v="3"/>
    <x v="1"/>
    <s v="Road"/>
    <x v="1"/>
    <n v="4.8"/>
    <n v="433"/>
    <n v="6"/>
    <n v="8"/>
    <n v="0"/>
    <n v="2"/>
    <n v="11.24"/>
    <n v="0"/>
    <n v="1"/>
  </r>
  <r>
    <s v="SHP-504914"/>
    <d v="2025-11-03T00:00:00"/>
    <x v="1"/>
    <s v="Q4"/>
    <x v="10"/>
    <x v="3"/>
    <x v="2"/>
    <x v="4"/>
    <x v="0"/>
    <s v="Road"/>
    <x v="1"/>
    <n v="11.4"/>
    <n v="1237"/>
    <n v="5"/>
    <n v="8"/>
    <n v="0"/>
    <n v="3"/>
    <n v="29.6"/>
    <n v="0"/>
    <n v="1"/>
  </r>
  <r>
    <s v="SHP-504915"/>
    <d v="2025-11-03T00:00:00"/>
    <x v="1"/>
    <s v="Q4"/>
    <x v="10"/>
    <x v="4"/>
    <x v="0"/>
    <x v="1"/>
    <x v="2"/>
    <s v="Road"/>
    <x v="1"/>
    <n v="6.8"/>
    <n v="234"/>
    <n v="1"/>
    <n v="1"/>
    <n v="1"/>
    <n v="0"/>
    <n v="27.02"/>
    <n v="0"/>
    <n v="1"/>
  </r>
  <r>
    <s v="SHP-504916"/>
    <d v="2025-11-03T00:00:00"/>
    <x v="1"/>
    <s v="Q4"/>
    <x v="10"/>
    <x v="4"/>
    <x v="0"/>
    <x v="4"/>
    <x v="0"/>
    <s v="Road"/>
    <x v="1"/>
    <n v="12.4"/>
    <n v="808"/>
    <n v="5"/>
    <n v="9"/>
    <n v="0"/>
    <n v="4"/>
    <n v="23.14"/>
    <n v="1"/>
    <n v="1"/>
  </r>
  <r>
    <s v="SHP-504917"/>
    <d v="2025-11-03T00:00:00"/>
    <x v="1"/>
    <s v="Q4"/>
    <x v="10"/>
    <x v="3"/>
    <x v="0"/>
    <x v="1"/>
    <x v="0"/>
    <s v="Road"/>
    <x v="0"/>
    <n v="73"/>
    <n v="299"/>
    <n v="3"/>
    <n v="3"/>
    <n v="1"/>
    <n v="0"/>
    <n v="47.97"/>
    <n v="0"/>
    <n v="1"/>
  </r>
  <r>
    <s v="SHP-504918"/>
    <d v="2025-11-03T00:00:00"/>
    <x v="1"/>
    <s v="Q4"/>
    <x v="10"/>
    <x v="4"/>
    <x v="0"/>
    <x v="2"/>
    <x v="0"/>
    <s v="Road"/>
    <x v="1"/>
    <n v="13.3"/>
    <n v="1029"/>
    <n v="5"/>
    <n v="5"/>
    <n v="1"/>
    <n v="0"/>
    <n v="26.86"/>
    <n v="0"/>
    <n v="1"/>
  </r>
  <r>
    <s v="SHP-504919"/>
    <d v="2025-11-04T00:00:00"/>
    <x v="1"/>
    <s v="Q4"/>
    <x v="10"/>
    <x v="2"/>
    <x v="1"/>
    <x v="1"/>
    <x v="0"/>
    <s v="Road"/>
    <x v="1"/>
    <n v="8.1"/>
    <n v="253"/>
    <n v="3"/>
    <n v="3"/>
    <n v="1"/>
    <n v="0"/>
    <n v="13.56"/>
    <n v="0"/>
    <n v="1"/>
  </r>
  <r>
    <s v="SHP-504920"/>
    <d v="2025-11-04T00:00:00"/>
    <x v="1"/>
    <s v="Q4"/>
    <x v="10"/>
    <x v="4"/>
    <x v="0"/>
    <x v="4"/>
    <x v="2"/>
    <s v="Air"/>
    <x v="1"/>
    <n v="3"/>
    <n v="934"/>
    <n v="3"/>
    <n v="3"/>
    <n v="1"/>
    <n v="0"/>
    <n v="61.05"/>
    <n v="0"/>
    <n v="1"/>
  </r>
  <r>
    <s v="SHP-504921"/>
    <d v="2025-11-04T00:00:00"/>
    <x v="1"/>
    <s v="Q4"/>
    <x v="10"/>
    <x v="4"/>
    <x v="0"/>
    <x v="2"/>
    <x v="0"/>
    <s v="Road"/>
    <x v="1"/>
    <n v="6.4"/>
    <n v="1098"/>
    <n v="5"/>
    <n v="5"/>
    <n v="1"/>
    <n v="0"/>
    <n v="21.13"/>
    <n v="0"/>
    <n v="1"/>
  </r>
  <r>
    <s v="SHP-504922"/>
    <d v="2025-11-04T00:00:00"/>
    <x v="1"/>
    <s v="Q4"/>
    <x v="10"/>
    <x v="3"/>
    <x v="2"/>
    <x v="3"/>
    <x v="1"/>
    <s v="Road"/>
    <x v="1"/>
    <n v="4.7"/>
    <n v="524"/>
    <n v="6"/>
    <n v="6"/>
    <n v="1"/>
    <n v="0"/>
    <n v="13.33"/>
    <n v="0"/>
    <n v="1"/>
  </r>
  <r>
    <s v="SHP-504923"/>
    <d v="2025-11-04T00:00:00"/>
    <x v="1"/>
    <s v="Q4"/>
    <x v="10"/>
    <x v="2"/>
    <x v="0"/>
    <x v="0"/>
    <x v="0"/>
    <s v="Road"/>
    <x v="1"/>
    <n v="10"/>
    <n v="1023"/>
    <n v="4"/>
    <n v="4"/>
    <n v="1"/>
    <n v="0"/>
    <n v="22.22"/>
    <n v="0"/>
    <n v="1"/>
  </r>
  <r>
    <s v="SHP-504924"/>
    <d v="2025-11-04T00:00:00"/>
    <x v="1"/>
    <s v="Q4"/>
    <x v="10"/>
    <x v="3"/>
    <x v="2"/>
    <x v="3"/>
    <x v="0"/>
    <s v="Road"/>
    <x v="0"/>
    <n v="372.7"/>
    <n v="471"/>
    <n v="4"/>
    <n v="4"/>
    <n v="1"/>
    <n v="0"/>
    <n v="167"/>
    <n v="0"/>
    <n v="1"/>
  </r>
  <r>
    <s v="SHP-504925"/>
    <d v="2025-11-04T00:00:00"/>
    <x v="1"/>
    <s v="Q4"/>
    <x v="10"/>
    <x v="0"/>
    <x v="2"/>
    <x v="3"/>
    <x v="0"/>
    <s v="Road"/>
    <x v="1"/>
    <n v="3.3"/>
    <n v="538"/>
    <n v="4"/>
    <n v="3"/>
    <n v="1"/>
    <n v="0"/>
    <n v="12.81"/>
    <n v="0"/>
    <n v="1"/>
  </r>
  <r>
    <s v="SHP-504926"/>
    <d v="2025-11-04T00:00:00"/>
    <x v="1"/>
    <s v="Q4"/>
    <x v="10"/>
    <x v="4"/>
    <x v="1"/>
    <x v="4"/>
    <x v="0"/>
    <s v="Road"/>
    <x v="0"/>
    <n v="62.8"/>
    <n v="1255"/>
    <n v="5"/>
    <n v="6"/>
    <n v="0"/>
    <n v="1"/>
    <n v="49.87"/>
    <n v="0"/>
    <n v="1"/>
  </r>
  <r>
    <s v="SHP-504927"/>
    <d v="2025-11-04T00:00:00"/>
    <x v="1"/>
    <s v="Q4"/>
    <x v="10"/>
    <x v="4"/>
    <x v="1"/>
    <x v="0"/>
    <x v="2"/>
    <s v="Air"/>
    <x v="0"/>
    <n v="252.5"/>
    <n v="927"/>
    <n v="2"/>
    <n v="2"/>
    <n v="1"/>
    <n v="0"/>
    <n v="354.07"/>
    <n v="0"/>
    <n v="1"/>
  </r>
  <r>
    <s v="SHP-504928"/>
    <d v="2025-11-04T00:00:00"/>
    <x v="1"/>
    <s v="Q4"/>
    <x v="10"/>
    <x v="4"/>
    <x v="2"/>
    <x v="2"/>
    <x v="0"/>
    <s v="Road"/>
    <x v="0"/>
    <n v="95.6"/>
    <n v="1233"/>
    <n v="5"/>
    <n v="9"/>
    <n v="0"/>
    <n v="4"/>
    <n v="63.97"/>
    <n v="0"/>
    <n v="1"/>
  </r>
  <r>
    <s v="SHP-504929"/>
    <d v="2025-11-04T00:00:00"/>
    <x v="1"/>
    <s v="Q4"/>
    <x v="10"/>
    <x v="4"/>
    <x v="1"/>
    <x v="1"/>
    <x v="2"/>
    <s v="Road"/>
    <x v="1"/>
    <n v="3.8"/>
    <n v="251"/>
    <n v="1"/>
    <n v="1"/>
    <n v="1"/>
    <n v="0"/>
    <n v="23.21"/>
    <n v="0"/>
    <n v="1"/>
  </r>
  <r>
    <s v="SHP-504930"/>
    <d v="2025-11-04T00:00:00"/>
    <x v="1"/>
    <s v="Q4"/>
    <x v="10"/>
    <x v="4"/>
    <x v="2"/>
    <x v="0"/>
    <x v="1"/>
    <s v="Road"/>
    <x v="0"/>
    <n v="60.7"/>
    <n v="979"/>
    <n v="6"/>
    <n v="8"/>
    <n v="0"/>
    <n v="2"/>
    <n v="36.54"/>
    <n v="0"/>
    <n v="1"/>
  </r>
  <r>
    <s v="SHP-504931"/>
    <d v="2025-11-04T00:00:00"/>
    <x v="1"/>
    <s v="Q4"/>
    <x v="10"/>
    <x v="0"/>
    <x v="0"/>
    <x v="1"/>
    <x v="0"/>
    <s v="Road"/>
    <x v="1"/>
    <n v="2.1"/>
    <n v="326"/>
    <n v="3"/>
    <n v="2"/>
    <n v="1"/>
    <n v="0"/>
    <n v="11.58"/>
    <n v="0"/>
    <n v="1"/>
  </r>
  <r>
    <s v="SHP-504932"/>
    <d v="2025-11-04T00:00:00"/>
    <x v="1"/>
    <s v="Q4"/>
    <x v="10"/>
    <x v="3"/>
    <x v="2"/>
    <x v="0"/>
    <x v="1"/>
    <s v="Road"/>
    <x v="1"/>
    <n v="16"/>
    <n v="905"/>
    <n v="6"/>
    <n v="5"/>
    <n v="1"/>
    <n v="0"/>
    <n v="20.91"/>
    <n v="0"/>
    <n v="1"/>
  </r>
  <r>
    <s v="SHP-504933"/>
    <d v="2025-11-04T00:00:00"/>
    <x v="1"/>
    <s v="Q4"/>
    <x v="10"/>
    <x v="3"/>
    <x v="2"/>
    <x v="1"/>
    <x v="1"/>
    <s v="Road"/>
    <x v="0"/>
    <n v="34.5"/>
    <n v="251"/>
    <n v="5"/>
    <n v="4"/>
    <n v="1"/>
    <n v="0"/>
    <n v="21.69"/>
    <n v="0"/>
    <n v="1"/>
  </r>
  <r>
    <s v="SHP-504934"/>
    <d v="2025-11-04T00:00:00"/>
    <x v="1"/>
    <s v="Q4"/>
    <x v="10"/>
    <x v="0"/>
    <x v="2"/>
    <x v="3"/>
    <x v="1"/>
    <s v="Road"/>
    <x v="1"/>
    <n v="6.7"/>
    <n v="497"/>
    <n v="6"/>
    <n v="6"/>
    <n v="1"/>
    <n v="0"/>
    <n v="11.04"/>
    <n v="0"/>
    <n v="1"/>
  </r>
  <r>
    <s v="SHP-504935"/>
    <d v="2025-11-04T00:00:00"/>
    <x v="1"/>
    <s v="Q4"/>
    <x v="10"/>
    <x v="0"/>
    <x v="2"/>
    <x v="1"/>
    <x v="2"/>
    <s v="Road"/>
    <x v="1"/>
    <n v="8.4"/>
    <n v="229"/>
    <n v="1"/>
    <n v="1"/>
    <n v="1"/>
    <n v="0"/>
    <n v="29.93"/>
    <n v="0"/>
    <n v="1"/>
  </r>
  <r>
    <s v="SHP-504936"/>
    <d v="2025-11-05T00:00:00"/>
    <x v="1"/>
    <s v="Q4"/>
    <x v="10"/>
    <x v="1"/>
    <x v="1"/>
    <x v="1"/>
    <x v="0"/>
    <s v="Road"/>
    <x v="1"/>
    <n v="19.399999999999999"/>
    <n v="168"/>
    <n v="3"/>
    <n v="3"/>
    <n v="1"/>
    <n v="0"/>
    <n v="19.760000000000002"/>
    <n v="0"/>
    <n v="1"/>
  </r>
  <r>
    <s v="SHP-504937"/>
    <d v="2025-11-05T00:00:00"/>
    <x v="1"/>
    <s v="Q4"/>
    <x v="10"/>
    <x v="2"/>
    <x v="2"/>
    <x v="4"/>
    <x v="1"/>
    <s v="Road"/>
    <x v="1"/>
    <n v="9.1999999999999993"/>
    <n v="1145"/>
    <n v="7"/>
    <n v="6"/>
    <n v="1"/>
    <n v="0"/>
    <n v="15.69"/>
    <n v="0"/>
    <n v="1"/>
  </r>
  <r>
    <s v="SHP-504938"/>
    <d v="2025-11-05T00:00:00"/>
    <x v="1"/>
    <s v="Q4"/>
    <x v="10"/>
    <x v="2"/>
    <x v="0"/>
    <x v="0"/>
    <x v="0"/>
    <s v="Road"/>
    <x v="1"/>
    <n v="3.5"/>
    <n v="802"/>
    <n v="4"/>
    <n v="4"/>
    <n v="1"/>
    <n v="0"/>
    <n v="15.19"/>
    <n v="0"/>
    <n v="1"/>
  </r>
  <r>
    <s v="SHP-504939"/>
    <d v="2025-11-05T00:00:00"/>
    <x v="1"/>
    <s v="Q4"/>
    <x v="10"/>
    <x v="2"/>
    <x v="2"/>
    <x v="4"/>
    <x v="2"/>
    <s v="Air"/>
    <x v="1"/>
    <n v="11"/>
    <n v="978"/>
    <n v="3"/>
    <n v="3"/>
    <n v="1"/>
    <n v="0"/>
    <n v="65.03"/>
    <n v="0"/>
    <n v="1"/>
  </r>
  <r>
    <s v="SHP-504940"/>
    <d v="2025-11-05T00:00:00"/>
    <x v="1"/>
    <s v="Q4"/>
    <x v="10"/>
    <x v="3"/>
    <x v="0"/>
    <x v="1"/>
    <x v="0"/>
    <s v="Road"/>
    <x v="1"/>
    <n v="3.3"/>
    <n v="279"/>
    <n v="3"/>
    <n v="3"/>
    <n v="1"/>
    <n v="0"/>
    <n v="12.49"/>
    <n v="0"/>
    <n v="1"/>
  </r>
  <r>
    <s v="SHP-504941"/>
    <d v="2025-11-05T00:00:00"/>
    <x v="1"/>
    <s v="Q4"/>
    <x v="10"/>
    <x v="4"/>
    <x v="0"/>
    <x v="2"/>
    <x v="0"/>
    <s v="Road"/>
    <x v="1"/>
    <n v="8.1"/>
    <n v="1514"/>
    <n v="5"/>
    <n v="5"/>
    <n v="1"/>
    <n v="0"/>
    <n v="27.11"/>
    <n v="0"/>
    <n v="1"/>
  </r>
  <r>
    <s v="SHP-504942"/>
    <d v="2025-11-05T00:00:00"/>
    <x v="1"/>
    <s v="Q4"/>
    <x v="10"/>
    <x v="2"/>
    <x v="2"/>
    <x v="3"/>
    <x v="0"/>
    <s v="Road"/>
    <x v="0"/>
    <n v="102.3"/>
    <n v="467"/>
    <n v="4"/>
    <n v="5"/>
    <n v="0"/>
    <n v="1"/>
    <n v="52.25"/>
    <n v="0"/>
    <n v="1"/>
  </r>
  <r>
    <s v="SHP-504943"/>
    <d v="2025-11-05T00:00:00"/>
    <x v="1"/>
    <s v="Q4"/>
    <x v="10"/>
    <x v="1"/>
    <x v="0"/>
    <x v="3"/>
    <x v="2"/>
    <s v="Road"/>
    <x v="1"/>
    <n v="8"/>
    <n v="497"/>
    <n v="2"/>
    <n v="2"/>
    <n v="1"/>
    <n v="0"/>
    <n v="34.880000000000003"/>
    <n v="0"/>
    <n v="1"/>
  </r>
  <r>
    <s v="SHP-504944"/>
    <d v="2025-11-05T00:00:00"/>
    <x v="1"/>
    <s v="Q4"/>
    <x v="10"/>
    <x v="0"/>
    <x v="0"/>
    <x v="0"/>
    <x v="1"/>
    <s v="Road"/>
    <x v="1"/>
    <n v="1.7"/>
    <n v="812"/>
    <n v="6"/>
    <n v="6"/>
    <n v="1"/>
    <n v="0"/>
    <n v="11.8"/>
    <n v="0"/>
    <n v="1"/>
  </r>
  <r>
    <s v="SHP-504945"/>
    <d v="2025-11-05T00:00:00"/>
    <x v="1"/>
    <s v="Q4"/>
    <x v="10"/>
    <x v="4"/>
    <x v="2"/>
    <x v="1"/>
    <x v="0"/>
    <s v="Road"/>
    <x v="1"/>
    <n v="3"/>
    <n v="239"/>
    <n v="3"/>
    <n v="3"/>
    <n v="1"/>
    <n v="0"/>
    <n v="10.75"/>
    <n v="0"/>
    <n v="1"/>
  </r>
  <r>
    <s v="SHP-504946"/>
    <d v="2025-11-05T00:00:00"/>
    <x v="1"/>
    <s v="Q4"/>
    <x v="10"/>
    <x v="3"/>
    <x v="2"/>
    <x v="3"/>
    <x v="0"/>
    <s v="Road"/>
    <x v="0"/>
    <n v="43"/>
    <n v="468"/>
    <n v="4"/>
    <n v="5"/>
    <n v="0"/>
    <n v="1"/>
    <n v="37.18"/>
    <n v="0"/>
    <n v="1"/>
  </r>
  <r>
    <s v="SHP-504947"/>
    <d v="2025-11-05T00:00:00"/>
    <x v="1"/>
    <s v="Q4"/>
    <x v="10"/>
    <x v="2"/>
    <x v="2"/>
    <x v="2"/>
    <x v="0"/>
    <s v="Road"/>
    <x v="0"/>
    <n v="30.6"/>
    <n v="1260"/>
    <n v="5"/>
    <n v="4"/>
    <n v="1"/>
    <n v="0"/>
    <n v="31.46"/>
    <n v="0"/>
    <n v="1"/>
  </r>
  <r>
    <s v="SHP-504948"/>
    <d v="2025-11-05T00:00:00"/>
    <x v="1"/>
    <s v="Q4"/>
    <x v="10"/>
    <x v="4"/>
    <x v="1"/>
    <x v="0"/>
    <x v="1"/>
    <s v="Road"/>
    <x v="1"/>
    <n v="8.5"/>
    <n v="976"/>
    <n v="6"/>
    <n v="6"/>
    <n v="1"/>
    <n v="0"/>
    <n v="17.399999999999999"/>
    <n v="0"/>
    <n v="1"/>
  </r>
  <r>
    <s v="SHP-504949"/>
    <d v="2025-11-06T00:00:00"/>
    <x v="1"/>
    <s v="Q4"/>
    <x v="10"/>
    <x v="0"/>
    <x v="2"/>
    <x v="3"/>
    <x v="1"/>
    <s v="Road"/>
    <x v="1"/>
    <n v="8.6999999999999993"/>
    <n v="529"/>
    <n v="6"/>
    <n v="6"/>
    <n v="1"/>
    <n v="0"/>
    <n v="12.68"/>
    <n v="0"/>
    <n v="1"/>
  </r>
  <r>
    <s v="SHP-504950"/>
    <d v="2025-11-06T00:00:00"/>
    <x v="1"/>
    <s v="Q4"/>
    <x v="10"/>
    <x v="2"/>
    <x v="1"/>
    <x v="2"/>
    <x v="2"/>
    <s v="Air"/>
    <x v="1"/>
    <n v="6"/>
    <n v="709"/>
    <n v="3"/>
    <n v="3"/>
    <n v="1"/>
    <n v="0"/>
    <n v="50.19"/>
    <n v="0"/>
    <n v="1"/>
  </r>
  <r>
    <s v="SHP-504951"/>
    <d v="2025-11-06T00:00:00"/>
    <x v="1"/>
    <s v="Q4"/>
    <x v="10"/>
    <x v="1"/>
    <x v="0"/>
    <x v="0"/>
    <x v="2"/>
    <s v="Air"/>
    <x v="0"/>
    <n v="44.7"/>
    <n v="797"/>
    <n v="2"/>
    <n v="1"/>
    <n v="1"/>
    <n v="0"/>
    <n v="108.55"/>
    <n v="0"/>
    <n v="1"/>
  </r>
  <r>
    <s v="SHP-504952"/>
    <d v="2025-11-06T00:00:00"/>
    <x v="1"/>
    <s v="Q4"/>
    <x v="10"/>
    <x v="1"/>
    <x v="1"/>
    <x v="3"/>
    <x v="0"/>
    <s v="Road"/>
    <x v="0"/>
    <n v="128.5"/>
    <n v="502"/>
    <n v="4"/>
    <n v="4"/>
    <n v="1"/>
    <n v="0"/>
    <n v="68.88"/>
    <n v="0"/>
    <n v="1"/>
  </r>
  <r>
    <s v="SHP-504953"/>
    <d v="2025-11-06T00:00:00"/>
    <x v="1"/>
    <s v="Q4"/>
    <x v="10"/>
    <x v="1"/>
    <x v="1"/>
    <x v="3"/>
    <x v="1"/>
    <s v="Road"/>
    <x v="0"/>
    <n v="175.1"/>
    <n v="514"/>
    <n v="6"/>
    <n v="6"/>
    <n v="1"/>
    <n v="0"/>
    <n v="63.82"/>
    <n v="0"/>
    <n v="1"/>
  </r>
  <r>
    <s v="SHP-504954"/>
    <d v="2025-11-06T00:00:00"/>
    <x v="1"/>
    <s v="Q4"/>
    <x v="10"/>
    <x v="2"/>
    <x v="2"/>
    <x v="0"/>
    <x v="2"/>
    <s v="Air"/>
    <x v="1"/>
    <n v="10.3"/>
    <n v="813"/>
    <n v="2"/>
    <n v="2"/>
    <n v="1"/>
    <n v="0"/>
    <n v="56.31"/>
    <n v="0"/>
    <n v="1"/>
  </r>
  <r>
    <s v="SHP-504955"/>
    <d v="2025-11-06T00:00:00"/>
    <x v="1"/>
    <s v="Q4"/>
    <x v="10"/>
    <x v="2"/>
    <x v="2"/>
    <x v="3"/>
    <x v="2"/>
    <s v="Road"/>
    <x v="1"/>
    <n v="13.7"/>
    <n v="592"/>
    <n v="2"/>
    <n v="6"/>
    <n v="0"/>
    <n v="4"/>
    <n v="35.909999999999997"/>
    <n v="0"/>
    <n v="1"/>
  </r>
  <r>
    <s v="SHP-504956"/>
    <d v="2025-11-06T00:00:00"/>
    <x v="1"/>
    <s v="Q4"/>
    <x v="10"/>
    <x v="3"/>
    <x v="1"/>
    <x v="0"/>
    <x v="1"/>
    <s v="Road"/>
    <x v="0"/>
    <n v="128.9"/>
    <n v="840"/>
    <n v="6"/>
    <n v="5"/>
    <n v="1"/>
    <n v="0"/>
    <n v="58.32"/>
    <n v="0"/>
    <n v="1"/>
  </r>
  <r>
    <s v="SHP-504957"/>
    <d v="2025-11-06T00:00:00"/>
    <x v="1"/>
    <s v="Q4"/>
    <x v="10"/>
    <x v="4"/>
    <x v="2"/>
    <x v="1"/>
    <x v="2"/>
    <s v="Road"/>
    <x v="1"/>
    <n v="3.4"/>
    <n v="234"/>
    <n v="1"/>
    <n v="1"/>
    <n v="1"/>
    <n v="0"/>
    <n v="21.57"/>
    <n v="0"/>
    <n v="1"/>
  </r>
  <r>
    <s v="SHP-504958"/>
    <d v="2025-11-06T00:00:00"/>
    <x v="1"/>
    <s v="Q4"/>
    <x v="10"/>
    <x v="1"/>
    <x v="2"/>
    <x v="0"/>
    <x v="2"/>
    <s v="Air"/>
    <x v="1"/>
    <n v="4.4000000000000004"/>
    <n v="915"/>
    <n v="2"/>
    <n v="1"/>
    <n v="1"/>
    <n v="0"/>
    <n v="58.11"/>
    <n v="0"/>
    <n v="1"/>
  </r>
  <r>
    <s v="SHP-504959"/>
    <d v="2025-11-06T00:00:00"/>
    <x v="1"/>
    <s v="Q4"/>
    <x v="10"/>
    <x v="2"/>
    <x v="2"/>
    <x v="0"/>
    <x v="0"/>
    <s v="Road"/>
    <x v="1"/>
    <n v="2.5"/>
    <n v="1000"/>
    <n v="4"/>
    <n v="4"/>
    <n v="1"/>
    <n v="0"/>
    <n v="17.05"/>
    <n v="0"/>
    <n v="1"/>
  </r>
  <r>
    <s v="SHP-504960"/>
    <d v="2025-11-06T00:00:00"/>
    <x v="1"/>
    <s v="Q4"/>
    <x v="10"/>
    <x v="3"/>
    <x v="0"/>
    <x v="3"/>
    <x v="0"/>
    <s v="Road"/>
    <x v="0"/>
    <n v="50"/>
    <n v="443"/>
    <n v="4"/>
    <n v="4"/>
    <n v="1"/>
    <n v="0"/>
    <n v="42.12"/>
    <n v="0"/>
    <n v="1"/>
  </r>
  <r>
    <s v="SHP-504961"/>
    <d v="2025-11-06T00:00:00"/>
    <x v="1"/>
    <s v="Q4"/>
    <x v="10"/>
    <x v="4"/>
    <x v="2"/>
    <x v="3"/>
    <x v="0"/>
    <s v="Road"/>
    <x v="1"/>
    <n v="3.1"/>
    <n v="601"/>
    <n v="4"/>
    <n v="6"/>
    <n v="0"/>
    <n v="2"/>
    <n v="15.46"/>
    <n v="0"/>
    <n v="1"/>
  </r>
  <r>
    <s v="SHP-504962"/>
    <d v="2025-11-06T00:00:00"/>
    <x v="1"/>
    <s v="Q4"/>
    <x v="10"/>
    <x v="0"/>
    <x v="2"/>
    <x v="0"/>
    <x v="1"/>
    <s v="Road"/>
    <x v="0"/>
    <n v="115.4"/>
    <n v="956"/>
    <n v="6"/>
    <n v="6"/>
    <n v="1"/>
    <n v="0"/>
    <n v="50.9"/>
    <n v="0"/>
    <n v="1"/>
  </r>
  <r>
    <s v="SHP-504963"/>
    <d v="2025-11-06T00:00:00"/>
    <x v="1"/>
    <s v="Q4"/>
    <x v="10"/>
    <x v="1"/>
    <x v="0"/>
    <x v="2"/>
    <x v="0"/>
    <s v="Road"/>
    <x v="1"/>
    <n v="0.6"/>
    <n v="1111"/>
    <n v="5"/>
    <n v="4"/>
    <n v="1"/>
    <n v="0"/>
    <n v="21.55"/>
    <n v="0"/>
    <n v="1"/>
  </r>
  <r>
    <s v="SHP-504964"/>
    <d v="2025-11-06T00:00:00"/>
    <x v="1"/>
    <s v="Q4"/>
    <x v="10"/>
    <x v="4"/>
    <x v="2"/>
    <x v="0"/>
    <x v="1"/>
    <s v="Road"/>
    <x v="0"/>
    <n v="103.8"/>
    <n v="767"/>
    <n v="6"/>
    <n v="5"/>
    <n v="1"/>
    <n v="0"/>
    <n v="41.2"/>
    <n v="0"/>
    <n v="1"/>
  </r>
  <r>
    <s v="SHP-504965"/>
    <d v="2025-11-07T00:00:00"/>
    <x v="1"/>
    <s v="Q4"/>
    <x v="10"/>
    <x v="1"/>
    <x v="0"/>
    <x v="4"/>
    <x v="0"/>
    <s v="Road"/>
    <x v="0"/>
    <n v="28.6"/>
    <n v="882"/>
    <n v="5"/>
    <n v="5"/>
    <n v="1"/>
    <n v="0"/>
    <n v="30.6"/>
    <n v="0"/>
    <n v="1"/>
  </r>
  <r>
    <s v="SHP-504966"/>
    <d v="2025-11-07T00:00:00"/>
    <x v="1"/>
    <s v="Q4"/>
    <x v="10"/>
    <x v="3"/>
    <x v="0"/>
    <x v="3"/>
    <x v="0"/>
    <s v="Road"/>
    <x v="1"/>
    <n v="4"/>
    <n v="618"/>
    <n v="4"/>
    <n v="4"/>
    <n v="1"/>
    <n v="0"/>
    <n v="18.12"/>
    <n v="0"/>
    <n v="1"/>
  </r>
  <r>
    <s v="SHP-504967"/>
    <d v="2025-11-07T00:00:00"/>
    <x v="1"/>
    <s v="Q4"/>
    <x v="10"/>
    <x v="0"/>
    <x v="0"/>
    <x v="1"/>
    <x v="0"/>
    <s v="Road"/>
    <x v="1"/>
    <n v="3"/>
    <n v="272"/>
    <n v="3"/>
    <n v="6"/>
    <n v="0"/>
    <n v="3"/>
    <n v="10.28"/>
    <n v="0"/>
    <n v="1"/>
  </r>
  <r>
    <s v="SHP-504968"/>
    <d v="2025-11-07T00:00:00"/>
    <x v="1"/>
    <s v="Q4"/>
    <x v="10"/>
    <x v="0"/>
    <x v="2"/>
    <x v="3"/>
    <x v="2"/>
    <s v="Road"/>
    <x v="1"/>
    <n v="4.5999999999999996"/>
    <n v="519"/>
    <n v="2"/>
    <n v="2"/>
    <n v="1"/>
    <n v="0"/>
    <n v="30.25"/>
    <n v="0"/>
    <n v="1"/>
  </r>
  <r>
    <s v="SHP-504969"/>
    <d v="2025-11-07T00:00:00"/>
    <x v="1"/>
    <s v="Q4"/>
    <x v="10"/>
    <x v="1"/>
    <x v="1"/>
    <x v="1"/>
    <x v="0"/>
    <s v="Road"/>
    <x v="1"/>
    <n v="7.1"/>
    <n v="304"/>
    <n v="3"/>
    <n v="2"/>
    <n v="1"/>
    <n v="0"/>
    <n v="16.39"/>
    <n v="0"/>
    <n v="1"/>
  </r>
  <r>
    <s v="SHP-504970"/>
    <d v="2025-11-07T00:00:00"/>
    <x v="1"/>
    <s v="Q4"/>
    <x v="10"/>
    <x v="1"/>
    <x v="2"/>
    <x v="0"/>
    <x v="1"/>
    <s v="Road"/>
    <x v="0"/>
    <n v="31.6"/>
    <n v="848"/>
    <n v="6"/>
    <n v="5"/>
    <n v="1"/>
    <n v="0"/>
    <n v="25.46"/>
    <n v="0"/>
    <n v="1"/>
  </r>
  <r>
    <s v="SHP-504971"/>
    <d v="2025-11-07T00:00:00"/>
    <x v="1"/>
    <s v="Q4"/>
    <x v="10"/>
    <x v="2"/>
    <x v="2"/>
    <x v="0"/>
    <x v="0"/>
    <s v="Road"/>
    <x v="0"/>
    <n v="156.6"/>
    <n v="745"/>
    <n v="4"/>
    <n v="4"/>
    <n v="1"/>
    <n v="0"/>
    <n v="69.19"/>
    <n v="0"/>
    <n v="1"/>
  </r>
  <r>
    <s v="SHP-504972"/>
    <d v="2025-11-07T00:00:00"/>
    <x v="1"/>
    <s v="Q4"/>
    <x v="10"/>
    <x v="4"/>
    <x v="1"/>
    <x v="1"/>
    <x v="2"/>
    <s v="Road"/>
    <x v="1"/>
    <n v="1.7"/>
    <n v="252"/>
    <n v="1"/>
    <n v="1"/>
    <n v="1"/>
    <n v="0"/>
    <n v="19.62"/>
    <n v="0"/>
    <n v="1"/>
  </r>
  <r>
    <s v="SHP-504973"/>
    <d v="2025-11-07T00:00:00"/>
    <x v="1"/>
    <s v="Q4"/>
    <x v="10"/>
    <x v="0"/>
    <x v="2"/>
    <x v="0"/>
    <x v="0"/>
    <s v="Road"/>
    <x v="1"/>
    <n v="3.9"/>
    <n v="862"/>
    <n v="4"/>
    <n v="4"/>
    <n v="1"/>
    <n v="0"/>
    <n v="16.23"/>
    <n v="0"/>
    <n v="1"/>
  </r>
  <r>
    <s v="SHP-504974"/>
    <d v="2025-11-07T00:00:00"/>
    <x v="1"/>
    <s v="Q4"/>
    <x v="10"/>
    <x v="4"/>
    <x v="0"/>
    <x v="0"/>
    <x v="0"/>
    <s v="Road"/>
    <x v="1"/>
    <n v="11.1"/>
    <n v="927"/>
    <n v="4"/>
    <n v="3"/>
    <n v="1"/>
    <n v="0"/>
    <n v="24.43"/>
    <n v="0"/>
    <n v="1"/>
  </r>
  <r>
    <s v="SHP-504975"/>
    <d v="2025-11-07T00:00:00"/>
    <x v="1"/>
    <s v="Q4"/>
    <x v="10"/>
    <x v="4"/>
    <x v="2"/>
    <x v="1"/>
    <x v="0"/>
    <s v="Road"/>
    <x v="0"/>
    <n v="17.399999999999999"/>
    <n v="239"/>
    <n v="3"/>
    <n v="2"/>
    <n v="1"/>
    <n v="0"/>
    <n v="17.93"/>
    <n v="0"/>
    <n v="1"/>
  </r>
  <r>
    <s v="SHP-504976"/>
    <d v="2025-11-07T00:00:00"/>
    <x v="1"/>
    <s v="Q4"/>
    <x v="10"/>
    <x v="3"/>
    <x v="1"/>
    <x v="0"/>
    <x v="1"/>
    <s v="Road"/>
    <x v="0"/>
    <n v="218.1"/>
    <n v="976"/>
    <n v="6"/>
    <n v="6"/>
    <n v="1"/>
    <n v="0"/>
    <n v="76.900000000000006"/>
    <n v="0"/>
    <n v="1"/>
  </r>
  <r>
    <s v="SHP-504977"/>
    <d v="2025-11-07T00:00:00"/>
    <x v="1"/>
    <s v="Q4"/>
    <x v="10"/>
    <x v="4"/>
    <x v="0"/>
    <x v="4"/>
    <x v="1"/>
    <s v="Road"/>
    <x v="1"/>
    <n v="2.5"/>
    <n v="1159"/>
    <n v="7"/>
    <n v="7"/>
    <n v="1"/>
    <n v="0"/>
    <n v="16.87"/>
    <n v="0"/>
    <n v="1"/>
  </r>
  <r>
    <s v="SHP-504978"/>
    <d v="2025-11-07T00:00:00"/>
    <x v="1"/>
    <s v="Q4"/>
    <x v="10"/>
    <x v="1"/>
    <x v="1"/>
    <x v="3"/>
    <x v="2"/>
    <s v="Road"/>
    <x v="0"/>
    <n v="272.3"/>
    <n v="475"/>
    <n v="2"/>
    <n v="3"/>
    <n v="0"/>
    <n v="1"/>
    <n v="228.43"/>
    <n v="0"/>
    <n v="1"/>
  </r>
  <r>
    <s v="SHP-504979"/>
    <d v="2025-11-08T00:00:00"/>
    <x v="1"/>
    <s v="Q4"/>
    <x v="10"/>
    <x v="2"/>
    <x v="0"/>
    <x v="4"/>
    <x v="0"/>
    <s v="Road"/>
    <x v="1"/>
    <n v="2"/>
    <n v="859"/>
    <n v="5"/>
    <n v="5"/>
    <n v="1"/>
    <n v="0"/>
    <n v="15.36"/>
    <n v="0"/>
    <n v="1"/>
  </r>
  <r>
    <s v="SHP-504980"/>
    <d v="2025-11-08T00:00:00"/>
    <x v="1"/>
    <s v="Q4"/>
    <x v="10"/>
    <x v="4"/>
    <x v="0"/>
    <x v="0"/>
    <x v="1"/>
    <s v="Road"/>
    <x v="0"/>
    <n v="274.3"/>
    <n v="927"/>
    <n v="6"/>
    <n v="6"/>
    <n v="1"/>
    <n v="0"/>
    <n v="82.21"/>
    <n v="0"/>
    <n v="1"/>
  </r>
  <r>
    <s v="SHP-504981"/>
    <d v="2025-11-08T00:00:00"/>
    <x v="1"/>
    <s v="Q4"/>
    <x v="10"/>
    <x v="3"/>
    <x v="2"/>
    <x v="0"/>
    <x v="0"/>
    <s v="Road"/>
    <x v="0"/>
    <n v="106.2"/>
    <n v="815"/>
    <n v="4"/>
    <n v="4"/>
    <n v="1"/>
    <n v="0"/>
    <n v="74.06"/>
    <n v="0"/>
    <n v="1"/>
  </r>
  <r>
    <s v="SHP-504982"/>
    <d v="2025-11-08T00:00:00"/>
    <x v="1"/>
    <s v="Q4"/>
    <x v="10"/>
    <x v="2"/>
    <x v="1"/>
    <x v="1"/>
    <x v="1"/>
    <s v="Road"/>
    <x v="1"/>
    <n v="16.100000000000001"/>
    <n v="240"/>
    <n v="5"/>
    <n v="5"/>
    <n v="1"/>
    <n v="0"/>
    <n v="13.04"/>
    <n v="0"/>
    <n v="1"/>
  </r>
  <r>
    <s v="SHP-504983"/>
    <d v="2025-11-08T00:00:00"/>
    <x v="1"/>
    <s v="Q4"/>
    <x v="10"/>
    <x v="2"/>
    <x v="2"/>
    <x v="1"/>
    <x v="1"/>
    <s v="Road"/>
    <x v="0"/>
    <n v="111.5"/>
    <n v="266"/>
    <n v="5"/>
    <n v="5"/>
    <n v="1"/>
    <n v="0"/>
    <n v="37.33"/>
    <n v="0"/>
    <n v="1"/>
  </r>
  <r>
    <s v="SHP-504984"/>
    <d v="2025-11-09T00:00:00"/>
    <x v="1"/>
    <s v="Q4"/>
    <x v="10"/>
    <x v="4"/>
    <x v="0"/>
    <x v="1"/>
    <x v="1"/>
    <s v="Road"/>
    <x v="0"/>
    <n v="394.4"/>
    <n v="250"/>
    <n v="5"/>
    <n v="4"/>
    <n v="1"/>
    <n v="0"/>
    <n v="105.41"/>
    <n v="0"/>
    <n v="1"/>
  </r>
  <r>
    <s v="SHP-504985"/>
    <d v="2025-11-09T00:00:00"/>
    <x v="1"/>
    <s v="Q4"/>
    <x v="10"/>
    <x v="1"/>
    <x v="2"/>
    <x v="1"/>
    <x v="0"/>
    <s v="Road"/>
    <x v="1"/>
    <n v="1"/>
    <n v="146"/>
    <n v="3"/>
    <n v="3"/>
    <n v="1"/>
    <n v="0"/>
    <n v="8.7899999999999991"/>
    <n v="0"/>
    <n v="1"/>
  </r>
  <r>
    <s v="SHP-504986"/>
    <d v="2025-11-09T00:00:00"/>
    <x v="1"/>
    <s v="Q4"/>
    <x v="10"/>
    <x v="2"/>
    <x v="1"/>
    <x v="3"/>
    <x v="0"/>
    <s v="Road"/>
    <x v="0"/>
    <n v="90.3"/>
    <n v="581"/>
    <n v="4"/>
    <n v="5"/>
    <n v="0"/>
    <n v="1"/>
    <n v="48.36"/>
    <n v="0"/>
    <n v="1"/>
  </r>
  <r>
    <s v="SHP-504987"/>
    <d v="2025-11-09T00:00:00"/>
    <x v="1"/>
    <s v="Q4"/>
    <x v="10"/>
    <x v="0"/>
    <x v="1"/>
    <x v="1"/>
    <x v="0"/>
    <s v="Road"/>
    <x v="0"/>
    <n v="175.6"/>
    <n v="338"/>
    <n v="3"/>
    <n v="3"/>
    <n v="1"/>
    <n v="0"/>
    <n v="81.099999999999994"/>
    <n v="0"/>
    <n v="1"/>
  </r>
  <r>
    <s v="SHP-504988"/>
    <d v="2025-11-09T00:00:00"/>
    <x v="1"/>
    <s v="Q4"/>
    <x v="10"/>
    <x v="0"/>
    <x v="0"/>
    <x v="3"/>
    <x v="1"/>
    <s v="Road"/>
    <x v="1"/>
    <n v="5.9"/>
    <n v="561"/>
    <n v="6"/>
    <n v="5"/>
    <n v="1"/>
    <n v="0"/>
    <n v="11.88"/>
    <n v="0"/>
    <n v="1"/>
  </r>
  <r>
    <s v="SHP-504989"/>
    <d v="2025-11-10T00:00:00"/>
    <x v="1"/>
    <s v="Q4"/>
    <x v="10"/>
    <x v="1"/>
    <x v="2"/>
    <x v="1"/>
    <x v="0"/>
    <s v="Road"/>
    <x v="1"/>
    <n v="14.8"/>
    <n v="315"/>
    <n v="3"/>
    <n v="3"/>
    <n v="1"/>
    <n v="0"/>
    <n v="19.28"/>
    <n v="0"/>
    <n v="1"/>
  </r>
  <r>
    <s v="SHP-504990"/>
    <d v="2025-11-10T00:00:00"/>
    <x v="1"/>
    <s v="Q4"/>
    <x v="10"/>
    <x v="0"/>
    <x v="2"/>
    <x v="1"/>
    <x v="1"/>
    <s v="Road"/>
    <x v="1"/>
    <n v="3.2"/>
    <n v="200"/>
    <n v="5"/>
    <n v="5"/>
    <n v="1"/>
    <n v="0"/>
    <n v="7.07"/>
    <n v="0"/>
    <n v="1"/>
  </r>
  <r>
    <s v="SHP-504991"/>
    <d v="2025-11-10T00:00:00"/>
    <x v="1"/>
    <s v="Q4"/>
    <x v="10"/>
    <x v="2"/>
    <x v="2"/>
    <x v="1"/>
    <x v="0"/>
    <s v="Road"/>
    <x v="1"/>
    <n v="6.5"/>
    <n v="260"/>
    <n v="3"/>
    <n v="7"/>
    <n v="0"/>
    <n v="4"/>
    <n v="11.44"/>
    <n v="1"/>
    <n v="1"/>
  </r>
  <r>
    <s v="SHP-504992"/>
    <d v="2025-11-10T00:00:00"/>
    <x v="1"/>
    <s v="Q4"/>
    <x v="10"/>
    <x v="3"/>
    <x v="2"/>
    <x v="1"/>
    <x v="0"/>
    <s v="Road"/>
    <x v="0"/>
    <n v="305"/>
    <n v="230"/>
    <n v="3"/>
    <n v="5"/>
    <n v="0"/>
    <n v="2"/>
    <n v="151.79"/>
    <n v="0"/>
    <n v="1"/>
  </r>
  <r>
    <s v="SHP-504993"/>
    <d v="2025-11-10T00:00:00"/>
    <x v="1"/>
    <s v="Q4"/>
    <x v="10"/>
    <x v="0"/>
    <x v="1"/>
    <x v="1"/>
    <x v="0"/>
    <s v="Road"/>
    <x v="1"/>
    <n v="3"/>
    <n v="235"/>
    <n v="3"/>
    <n v="3"/>
    <n v="1"/>
    <n v="0"/>
    <n v="10.33"/>
    <n v="0"/>
    <n v="1"/>
  </r>
  <r>
    <s v="SHP-504994"/>
    <d v="2025-11-10T00:00:00"/>
    <x v="1"/>
    <s v="Q4"/>
    <x v="10"/>
    <x v="3"/>
    <x v="0"/>
    <x v="0"/>
    <x v="1"/>
    <s v="Road"/>
    <x v="1"/>
    <n v="12.6"/>
    <n v="861"/>
    <n v="6"/>
    <n v="6"/>
    <n v="1"/>
    <n v="0"/>
    <n v="18.59"/>
    <n v="0"/>
    <n v="1"/>
  </r>
  <r>
    <s v="SHP-504995"/>
    <d v="2025-11-10T00:00:00"/>
    <x v="1"/>
    <s v="Q4"/>
    <x v="10"/>
    <x v="3"/>
    <x v="0"/>
    <x v="0"/>
    <x v="1"/>
    <s v="Road"/>
    <x v="0"/>
    <n v="209.7"/>
    <n v="664"/>
    <n v="6"/>
    <n v="5"/>
    <n v="1"/>
    <n v="0"/>
    <n v="90.42"/>
    <n v="0"/>
    <n v="1"/>
  </r>
  <r>
    <s v="SHP-504996"/>
    <d v="2025-11-10T00:00:00"/>
    <x v="1"/>
    <s v="Q4"/>
    <x v="10"/>
    <x v="3"/>
    <x v="1"/>
    <x v="1"/>
    <x v="0"/>
    <s v="Road"/>
    <x v="1"/>
    <n v="5.5"/>
    <n v="252"/>
    <n v="3"/>
    <n v="3"/>
    <n v="1"/>
    <n v="0"/>
    <n v="14.9"/>
    <n v="0"/>
    <n v="1"/>
  </r>
  <r>
    <s v="SHP-504997"/>
    <d v="2025-11-10T00:00:00"/>
    <x v="1"/>
    <s v="Q4"/>
    <x v="10"/>
    <x v="1"/>
    <x v="1"/>
    <x v="4"/>
    <x v="2"/>
    <s v="Air"/>
    <x v="1"/>
    <n v="3.9"/>
    <n v="1019"/>
    <n v="3"/>
    <n v="3"/>
    <n v="1"/>
    <n v="0"/>
    <n v="65.88"/>
    <n v="0"/>
    <n v="1"/>
  </r>
  <r>
    <s v="SHP-504998"/>
    <d v="2025-11-10T00:00:00"/>
    <x v="1"/>
    <s v="Q4"/>
    <x v="10"/>
    <x v="0"/>
    <x v="1"/>
    <x v="0"/>
    <x v="1"/>
    <s v="Road"/>
    <x v="1"/>
    <n v="2.1"/>
    <n v="941"/>
    <n v="6"/>
    <n v="6"/>
    <n v="1"/>
    <n v="0"/>
    <n v="12.93"/>
    <n v="0"/>
    <n v="1"/>
  </r>
  <r>
    <s v="SHP-504999"/>
    <d v="2025-11-10T00:00:00"/>
    <x v="1"/>
    <s v="Q4"/>
    <x v="10"/>
    <x v="1"/>
    <x v="2"/>
    <x v="1"/>
    <x v="2"/>
    <s v="Road"/>
    <x v="1"/>
    <n v="4.5999999999999996"/>
    <n v="287"/>
    <n v="1"/>
    <n v="1"/>
    <n v="1"/>
    <n v="0"/>
    <n v="26.5"/>
    <n v="0"/>
    <n v="1"/>
  </r>
  <r>
    <s v="SHP-505000"/>
    <d v="2025-11-10T00:00:00"/>
    <x v="1"/>
    <s v="Q4"/>
    <x v="10"/>
    <x v="1"/>
    <x v="2"/>
    <x v="3"/>
    <x v="0"/>
    <s v="Road"/>
    <x v="0"/>
    <n v="160.4"/>
    <n v="488"/>
    <n v="4"/>
    <n v="3"/>
    <n v="1"/>
    <n v="0"/>
    <n v="85.98"/>
    <n v="0"/>
    <n v="1"/>
  </r>
  <r>
    <s v="SHP-505001"/>
    <d v="2025-11-10T00:00:00"/>
    <x v="1"/>
    <s v="Q4"/>
    <x v="10"/>
    <x v="4"/>
    <x v="2"/>
    <x v="3"/>
    <x v="0"/>
    <s v="Road"/>
    <x v="1"/>
    <n v="2.4"/>
    <n v="449"/>
    <n v="4"/>
    <n v="4"/>
    <n v="1"/>
    <n v="0"/>
    <n v="12.22"/>
    <n v="0"/>
    <n v="1"/>
  </r>
  <r>
    <s v="SHP-505002"/>
    <d v="2025-11-10T00:00:00"/>
    <x v="1"/>
    <s v="Q4"/>
    <x v="10"/>
    <x v="3"/>
    <x v="2"/>
    <x v="0"/>
    <x v="1"/>
    <s v="Road"/>
    <x v="1"/>
    <n v="13.7"/>
    <n v="667"/>
    <n v="6"/>
    <n v="6"/>
    <n v="1"/>
    <n v="0"/>
    <n v="18.63"/>
    <n v="0"/>
    <n v="1"/>
  </r>
  <r>
    <s v="SHP-505003"/>
    <d v="2025-11-10T00:00:00"/>
    <x v="1"/>
    <s v="Q4"/>
    <x v="10"/>
    <x v="0"/>
    <x v="2"/>
    <x v="2"/>
    <x v="1"/>
    <s v="Road"/>
    <x v="1"/>
    <n v="22.6"/>
    <n v="1068"/>
    <n v="7"/>
    <n v="6"/>
    <n v="1"/>
    <n v="0"/>
    <n v="20.32"/>
    <n v="0"/>
    <n v="1"/>
  </r>
  <r>
    <s v="SHP-505004"/>
    <d v="2025-11-10T00:00:00"/>
    <x v="1"/>
    <s v="Q4"/>
    <x v="10"/>
    <x v="4"/>
    <x v="2"/>
    <x v="4"/>
    <x v="1"/>
    <s v="Road"/>
    <x v="1"/>
    <n v="20.399999999999999"/>
    <n v="830"/>
    <n v="7"/>
    <n v="7"/>
    <n v="1"/>
    <n v="0"/>
    <n v="19.55"/>
    <n v="0"/>
    <n v="1"/>
  </r>
  <r>
    <s v="SHP-505005"/>
    <d v="2025-11-11T00:00:00"/>
    <x v="1"/>
    <s v="Q4"/>
    <x v="10"/>
    <x v="1"/>
    <x v="0"/>
    <x v="4"/>
    <x v="2"/>
    <s v="Air"/>
    <x v="1"/>
    <n v="1.3"/>
    <n v="820"/>
    <n v="3"/>
    <n v="3"/>
    <n v="1"/>
    <n v="0"/>
    <n v="57.22"/>
    <n v="0"/>
    <n v="1"/>
  </r>
  <r>
    <s v="SHP-505006"/>
    <d v="2025-11-11T00:00:00"/>
    <x v="1"/>
    <s v="Q4"/>
    <x v="10"/>
    <x v="4"/>
    <x v="0"/>
    <x v="3"/>
    <x v="1"/>
    <s v="Road"/>
    <x v="0"/>
    <n v="330.5"/>
    <n v="634"/>
    <n v="6"/>
    <n v="8"/>
    <n v="0"/>
    <n v="2"/>
    <n v="90.25"/>
    <n v="0"/>
    <n v="1"/>
  </r>
  <r>
    <s v="SHP-505007"/>
    <d v="2025-11-11T00:00:00"/>
    <x v="1"/>
    <s v="Q4"/>
    <x v="10"/>
    <x v="4"/>
    <x v="2"/>
    <x v="0"/>
    <x v="0"/>
    <s v="Road"/>
    <x v="0"/>
    <n v="59.7"/>
    <n v="950"/>
    <n v="4"/>
    <n v="5"/>
    <n v="0"/>
    <n v="1"/>
    <n v="46.25"/>
    <n v="0"/>
    <n v="1"/>
  </r>
  <r>
    <s v="SHP-505008"/>
    <d v="2025-11-11T00:00:00"/>
    <x v="1"/>
    <s v="Q4"/>
    <x v="10"/>
    <x v="2"/>
    <x v="1"/>
    <x v="3"/>
    <x v="0"/>
    <s v="Road"/>
    <x v="1"/>
    <n v="3.5"/>
    <n v="468"/>
    <n v="4"/>
    <n v="4"/>
    <n v="1"/>
    <n v="0"/>
    <n v="12.05"/>
    <n v="0"/>
    <n v="1"/>
  </r>
  <r>
    <s v="SHP-505009"/>
    <d v="2025-11-11T00:00:00"/>
    <x v="1"/>
    <s v="Q4"/>
    <x v="10"/>
    <x v="2"/>
    <x v="2"/>
    <x v="0"/>
    <x v="2"/>
    <s v="Air"/>
    <x v="0"/>
    <n v="73.5"/>
    <n v="1071"/>
    <n v="2"/>
    <n v="2"/>
    <n v="1"/>
    <n v="0"/>
    <n v="135.11000000000001"/>
    <n v="0"/>
    <n v="1"/>
  </r>
  <r>
    <s v="SHP-505010"/>
    <d v="2025-11-11T00:00:00"/>
    <x v="1"/>
    <s v="Q4"/>
    <x v="10"/>
    <x v="1"/>
    <x v="2"/>
    <x v="1"/>
    <x v="0"/>
    <s v="Road"/>
    <x v="0"/>
    <n v="85.1"/>
    <n v="256"/>
    <n v="3"/>
    <n v="3"/>
    <n v="1"/>
    <n v="0"/>
    <n v="49.79"/>
    <n v="0"/>
    <n v="1"/>
  </r>
  <r>
    <s v="SHP-505011"/>
    <d v="2025-11-11T00:00:00"/>
    <x v="1"/>
    <s v="Q4"/>
    <x v="10"/>
    <x v="0"/>
    <x v="2"/>
    <x v="3"/>
    <x v="0"/>
    <s v="Road"/>
    <x v="1"/>
    <n v="7.1"/>
    <n v="573"/>
    <n v="4"/>
    <n v="7"/>
    <n v="0"/>
    <n v="3"/>
    <n v="16.079999999999998"/>
    <n v="0"/>
    <n v="1"/>
  </r>
  <r>
    <s v="SHP-505012"/>
    <d v="2025-11-11T00:00:00"/>
    <x v="1"/>
    <s v="Q4"/>
    <x v="10"/>
    <x v="1"/>
    <x v="2"/>
    <x v="1"/>
    <x v="1"/>
    <s v="Road"/>
    <x v="1"/>
    <n v="5.9"/>
    <n v="233"/>
    <n v="5"/>
    <n v="6"/>
    <n v="0"/>
    <n v="1"/>
    <n v="9.48"/>
    <n v="0"/>
    <n v="1"/>
  </r>
  <r>
    <s v="SHP-505013"/>
    <d v="2025-11-11T00:00:00"/>
    <x v="1"/>
    <s v="Q4"/>
    <x v="10"/>
    <x v="3"/>
    <x v="2"/>
    <x v="0"/>
    <x v="0"/>
    <s v="Road"/>
    <x v="0"/>
    <n v="31.6"/>
    <n v="803"/>
    <n v="4"/>
    <n v="4"/>
    <n v="1"/>
    <n v="0"/>
    <n v="38.450000000000003"/>
    <n v="0"/>
    <n v="1"/>
  </r>
  <r>
    <s v="SHP-505014"/>
    <d v="2025-11-12T00:00:00"/>
    <x v="1"/>
    <s v="Q4"/>
    <x v="10"/>
    <x v="0"/>
    <x v="2"/>
    <x v="0"/>
    <x v="0"/>
    <s v="Road"/>
    <x v="0"/>
    <n v="10.1"/>
    <n v="1009"/>
    <n v="4"/>
    <n v="6"/>
    <n v="0"/>
    <n v="2"/>
    <n v="24.06"/>
    <n v="0"/>
    <n v="1"/>
  </r>
  <r>
    <s v="SHP-505015"/>
    <d v="2025-11-12T00:00:00"/>
    <x v="1"/>
    <s v="Q4"/>
    <x v="10"/>
    <x v="4"/>
    <x v="1"/>
    <x v="4"/>
    <x v="1"/>
    <s v="Road"/>
    <x v="1"/>
    <n v="5.7"/>
    <n v="1256"/>
    <n v="7"/>
    <n v="7"/>
    <n v="1"/>
    <n v="0"/>
    <n v="18.350000000000001"/>
    <n v="0"/>
    <n v="1"/>
  </r>
  <r>
    <s v="SHP-505016"/>
    <d v="2025-11-12T00:00:00"/>
    <x v="1"/>
    <s v="Q4"/>
    <x v="10"/>
    <x v="1"/>
    <x v="1"/>
    <x v="0"/>
    <x v="0"/>
    <s v="Road"/>
    <x v="1"/>
    <n v="5"/>
    <n v="971"/>
    <n v="4"/>
    <n v="4"/>
    <n v="1"/>
    <n v="0"/>
    <n v="22.92"/>
    <n v="0"/>
    <n v="1"/>
  </r>
  <r>
    <s v="SHP-505017"/>
    <d v="2025-11-12T00:00:00"/>
    <x v="1"/>
    <s v="Q4"/>
    <x v="10"/>
    <x v="3"/>
    <x v="1"/>
    <x v="1"/>
    <x v="0"/>
    <s v="Road"/>
    <x v="0"/>
    <n v="251.3"/>
    <n v="269"/>
    <n v="3"/>
    <n v="2"/>
    <n v="1"/>
    <n v="0"/>
    <n v="113.66"/>
    <n v="0"/>
    <n v="1"/>
  </r>
  <r>
    <s v="SHP-505018"/>
    <d v="2025-11-12T00:00:00"/>
    <x v="1"/>
    <s v="Q4"/>
    <x v="10"/>
    <x v="3"/>
    <x v="1"/>
    <x v="3"/>
    <x v="0"/>
    <s v="Road"/>
    <x v="0"/>
    <n v="155.69999999999999"/>
    <n v="559"/>
    <n v="4"/>
    <n v="3"/>
    <n v="1"/>
    <n v="0"/>
    <n v="74.97"/>
    <n v="0"/>
    <n v="1"/>
  </r>
  <r>
    <s v="SHP-505019"/>
    <d v="2025-11-12T00:00:00"/>
    <x v="1"/>
    <s v="Q4"/>
    <x v="10"/>
    <x v="4"/>
    <x v="1"/>
    <x v="3"/>
    <x v="0"/>
    <s v="Road"/>
    <x v="0"/>
    <n v="138.6"/>
    <n v="548"/>
    <n v="4"/>
    <n v="3"/>
    <n v="1"/>
    <n v="0"/>
    <n v="71.58"/>
    <n v="0"/>
    <n v="1"/>
  </r>
  <r>
    <s v="SHP-505020"/>
    <d v="2025-11-12T00:00:00"/>
    <x v="1"/>
    <s v="Q4"/>
    <x v="10"/>
    <x v="2"/>
    <x v="2"/>
    <x v="0"/>
    <x v="2"/>
    <s v="Air"/>
    <x v="1"/>
    <n v="7.4"/>
    <n v="1079"/>
    <n v="2"/>
    <n v="2"/>
    <n v="1"/>
    <n v="0"/>
    <n v="57.58"/>
    <n v="0"/>
    <n v="1"/>
  </r>
  <r>
    <s v="SHP-505021"/>
    <d v="2025-11-12T00:00:00"/>
    <x v="1"/>
    <s v="Q4"/>
    <x v="10"/>
    <x v="2"/>
    <x v="2"/>
    <x v="1"/>
    <x v="0"/>
    <s v="Road"/>
    <x v="0"/>
    <n v="10.5"/>
    <n v="236"/>
    <n v="3"/>
    <n v="3"/>
    <n v="1"/>
    <n v="0"/>
    <n v="13.11"/>
    <n v="0"/>
    <n v="1"/>
  </r>
  <r>
    <s v="SHP-505022"/>
    <d v="2025-11-12T00:00:00"/>
    <x v="1"/>
    <s v="Q4"/>
    <x v="10"/>
    <x v="2"/>
    <x v="0"/>
    <x v="4"/>
    <x v="1"/>
    <s v="Road"/>
    <x v="0"/>
    <n v="67.8"/>
    <n v="956"/>
    <n v="7"/>
    <n v="7"/>
    <n v="1"/>
    <n v="0"/>
    <n v="28.23"/>
    <n v="0"/>
    <n v="1"/>
  </r>
  <r>
    <s v="SHP-505023"/>
    <d v="2025-11-12T00:00:00"/>
    <x v="1"/>
    <s v="Q4"/>
    <x v="10"/>
    <x v="2"/>
    <x v="2"/>
    <x v="3"/>
    <x v="1"/>
    <s v="Road"/>
    <x v="0"/>
    <n v="58.9"/>
    <n v="478"/>
    <n v="6"/>
    <n v="7"/>
    <n v="0"/>
    <n v="1"/>
    <n v="23.69"/>
    <n v="0"/>
    <n v="1"/>
  </r>
  <r>
    <s v="SHP-505024"/>
    <d v="2025-11-12T00:00:00"/>
    <x v="1"/>
    <s v="Q4"/>
    <x v="10"/>
    <x v="3"/>
    <x v="0"/>
    <x v="1"/>
    <x v="0"/>
    <s v="Road"/>
    <x v="0"/>
    <n v="111"/>
    <n v="186"/>
    <n v="3"/>
    <n v="3"/>
    <n v="1"/>
    <n v="0"/>
    <n v="62.37"/>
    <n v="0"/>
    <n v="1"/>
  </r>
  <r>
    <s v="SHP-505025"/>
    <d v="2025-11-12T00:00:00"/>
    <x v="1"/>
    <s v="Q4"/>
    <x v="10"/>
    <x v="2"/>
    <x v="0"/>
    <x v="3"/>
    <x v="0"/>
    <s v="Road"/>
    <x v="1"/>
    <n v="10.199999999999999"/>
    <n v="447"/>
    <n v="4"/>
    <n v="4"/>
    <n v="1"/>
    <n v="0"/>
    <n v="14.04"/>
    <n v="0"/>
    <n v="1"/>
  </r>
  <r>
    <s v="SHP-505026"/>
    <d v="2025-11-12T00:00:00"/>
    <x v="1"/>
    <s v="Q4"/>
    <x v="10"/>
    <x v="4"/>
    <x v="1"/>
    <x v="1"/>
    <x v="0"/>
    <s v="Road"/>
    <x v="1"/>
    <n v="3.8"/>
    <n v="292"/>
    <n v="3"/>
    <n v="3"/>
    <n v="1"/>
    <n v="0"/>
    <n v="13.28"/>
    <n v="0"/>
    <n v="1"/>
  </r>
  <r>
    <s v="SHP-505027"/>
    <d v="2025-11-12T00:00:00"/>
    <x v="1"/>
    <s v="Q4"/>
    <x v="10"/>
    <x v="3"/>
    <x v="2"/>
    <x v="1"/>
    <x v="0"/>
    <s v="Road"/>
    <x v="0"/>
    <n v="60.5"/>
    <n v="239"/>
    <n v="3"/>
    <n v="4"/>
    <n v="0"/>
    <n v="1"/>
    <n v="44.99"/>
    <n v="0"/>
    <n v="1"/>
  </r>
  <r>
    <s v="SHP-505028"/>
    <d v="2025-11-12T00:00:00"/>
    <x v="1"/>
    <s v="Q4"/>
    <x v="10"/>
    <x v="1"/>
    <x v="2"/>
    <x v="4"/>
    <x v="0"/>
    <s v="Road"/>
    <x v="1"/>
    <n v="12"/>
    <n v="1174"/>
    <n v="5"/>
    <n v="5"/>
    <n v="1"/>
    <n v="0"/>
    <n v="30.21"/>
    <n v="0"/>
    <n v="1"/>
  </r>
  <r>
    <s v="SHP-505029"/>
    <d v="2025-11-13T00:00:00"/>
    <x v="1"/>
    <s v="Q4"/>
    <x v="10"/>
    <x v="4"/>
    <x v="1"/>
    <x v="1"/>
    <x v="0"/>
    <s v="Road"/>
    <x v="0"/>
    <n v="29"/>
    <n v="198"/>
    <n v="3"/>
    <n v="2"/>
    <n v="1"/>
    <n v="0"/>
    <n v="23.27"/>
    <n v="0"/>
    <n v="1"/>
  </r>
  <r>
    <s v="SHP-505030"/>
    <d v="2025-11-13T00:00:00"/>
    <x v="1"/>
    <s v="Q4"/>
    <x v="10"/>
    <x v="2"/>
    <x v="1"/>
    <x v="0"/>
    <x v="1"/>
    <s v="Road"/>
    <x v="1"/>
    <n v="9.6999999999999993"/>
    <n v="743"/>
    <n v="6"/>
    <n v="5"/>
    <n v="1"/>
    <n v="0"/>
    <n v="14.26"/>
    <n v="0"/>
    <n v="1"/>
  </r>
  <r>
    <s v="SHP-505031"/>
    <d v="2025-11-13T00:00:00"/>
    <x v="1"/>
    <s v="Q4"/>
    <x v="10"/>
    <x v="3"/>
    <x v="2"/>
    <x v="0"/>
    <x v="2"/>
    <s v="Air"/>
    <x v="1"/>
    <n v="2.1"/>
    <n v="737"/>
    <n v="2"/>
    <n v="1"/>
    <n v="1"/>
    <n v="0"/>
    <n v="53.52"/>
    <n v="0"/>
    <n v="1"/>
  </r>
  <r>
    <s v="SHP-505032"/>
    <d v="2025-11-13T00:00:00"/>
    <x v="1"/>
    <s v="Q4"/>
    <x v="10"/>
    <x v="1"/>
    <x v="2"/>
    <x v="1"/>
    <x v="0"/>
    <s v="Road"/>
    <x v="1"/>
    <n v="4.5999999999999996"/>
    <n v="308"/>
    <n v="3"/>
    <n v="3"/>
    <n v="1"/>
    <n v="0"/>
    <n v="14.7"/>
    <n v="0"/>
    <n v="1"/>
  </r>
  <r>
    <s v="SHP-505033"/>
    <d v="2025-11-13T00:00:00"/>
    <x v="1"/>
    <s v="Q4"/>
    <x v="10"/>
    <x v="1"/>
    <x v="2"/>
    <x v="0"/>
    <x v="1"/>
    <s v="Road"/>
    <x v="0"/>
    <n v="280.3"/>
    <n v="709"/>
    <n v="6"/>
    <n v="6"/>
    <n v="1"/>
    <n v="0"/>
    <n v="81.22"/>
    <n v="0"/>
    <n v="1"/>
  </r>
  <r>
    <s v="SHP-505034"/>
    <d v="2025-11-13T00:00:00"/>
    <x v="1"/>
    <s v="Q4"/>
    <x v="10"/>
    <x v="3"/>
    <x v="0"/>
    <x v="0"/>
    <x v="0"/>
    <s v="Road"/>
    <x v="0"/>
    <n v="62.5"/>
    <n v="1136"/>
    <n v="4"/>
    <n v="4"/>
    <n v="1"/>
    <n v="0"/>
    <n v="56.09"/>
    <n v="0"/>
    <n v="1"/>
  </r>
  <r>
    <s v="SHP-505035"/>
    <d v="2025-11-13T00:00:00"/>
    <x v="1"/>
    <s v="Q4"/>
    <x v="10"/>
    <x v="4"/>
    <x v="1"/>
    <x v="0"/>
    <x v="1"/>
    <s v="Road"/>
    <x v="1"/>
    <n v="2.4"/>
    <n v="998"/>
    <n v="6"/>
    <n v="7"/>
    <n v="0"/>
    <n v="1"/>
    <n v="13.89"/>
    <n v="0"/>
    <n v="1"/>
  </r>
  <r>
    <s v="SHP-505036"/>
    <d v="2025-11-13T00:00:00"/>
    <x v="1"/>
    <s v="Q4"/>
    <x v="10"/>
    <x v="4"/>
    <x v="1"/>
    <x v="1"/>
    <x v="1"/>
    <s v="Road"/>
    <x v="0"/>
    <n v="40.200000000000003"/>
    <n v="226"/>
    <n v="5"/>
    <n v="5"/>
    <n v="1"/>
    <n v="0"/>
    <n v="21.95"/>
    <n v="0"/>
    <n v="1"/>
  </r>
  <r>
    <s v="SHP-505037"/>
    <d v="2025-11-13T00:00:00"/>
    <x v="1"/>
    <s v="Q4"/>
    <x v="10"/>
    <x v="0"/>
    <x v="1"/>
    <x v="1"/>
    <x v="0"/>
    <s v="Road"/>
    <x v="1"/>
    <n v="5"/>
    <n v="187"/>
    <n v="3"/>
    <n v="3"/>
    <n v="1"/>
    <n v="0"/>
    <n v="11.5"/>
    <n v="0"/>
    <n v="1"/>
  </r>
  <r>
    <s v="SHP-505038"/>
    <d v="2025-11-13T00:00:00"/>
    <x v="1"/>
    <s v="Q4"/>
    <x v="10"/>
    <x v="0"/>
    <x v="2"/>
    <x v="1"/>
    <x v="0"/>
    <s v="Road"/>
    <x v="1"/>
    <n v="1.9"/>
    <n v="277"/>
    <n v="3"/>
    <n v="3"/>
    <n v="1"/>
    <n v="0"/>
    <n v="10.91"/>
    <n v="0"/>
    <n v="1"/>
  </r>
  <r>
    <s v="SHP-505039"/>
    <d v="2025-11-13T00:00:00"/>
    <x v="1"/>
    <s v="Q4"/>
    <x v="10"/>
    <x v="0"/>
    <x v="2"/>
    <x v="0"/>
    <x v="1"/>
    <s v="Road"/>
    <x v="0"/>
    <n v="134.6"/>
    <n v="863"/>
    <n v="6"/>
    <n v="6"/>
    <n v="1"/>
    <n v="0"/>
    <n v="48.39"/>
    <n v="0"/>
    <n v="1"/>
  </r>
  <r>
    <s v="SHP-505040"/>
    <d v="2025-11-13T00:00:00"/>
    <x v="1"/>
    <s v="Q4"/>
    <x v="10"/>
    <x v="3"/>
    <x v="0"/>
    <x v="3"/>
    <x v="0"/>
    <s v="Road"/>
    <x v="1"/>
    <n v="9.5"/>
    <n v="500"/>
    <n v="4"/>
    <n v="4"/>
    <n v="1"/>
    <n v="0"/>
    <n v="19.16"/>
    <n v="0"/>
    <n v="1"/>
  </r>
  <r>
    <s v="SHP-505041"/>
    <d v="2025-11-13T00:00:00"/>
    <x v="1"/>
    <s v="Q4"/>
    <x v="10"/>
    <x v="2"/>
    <x v="2"/>
    <x v="1"/>
    <x v="1"/>
    <s v="Road"/>
    <x v="1"/>
    <n v="2.9"/>
    <n v="283"/>
    <n v="5"/>
    <n v="5"/>
    <n v="1"/>
    <n v="0"/>
    <n v="6.62"/>
    <n v="0"/>
    <n v="1"/>
  </r>
  <r>
    <s v="SHP-505042"/>
    <d v="2025-11-13T00:00:00"/>
    <x v="1"/>
    <s v="Q4"/>
    <x v="10"/>
    <x v="4"/>
    <x v="2"/>
    <x v="3"/>
    <x v="0"/>
    <s v="Road"/>
    <x v="0"/>
    <n v="39.700000000000003"/>
    <n v="555"/>
    <n v="4"/>
    <n v="4"/>
    <n v="1"/>
    <n v="0"/>
    <n v="33.369999999999997"/>
    <n v="0"/>
    <n v="1"/>
  </r>
  <r>
    <s v="SHP-505043"/>
    <d v="2025-11-13T00:00:00"/>
    <x v="1"/>
    <s v="Q4"/>
    <x v="10"/>
    <x v="4"/>
    <x v="1"/>
    <x v="1"/>
    <x v="0"/>
    <s v="Road"/>
    <x v="0"/>
    <n v="109.3"/>
    <n v="231"/>
    <n v="3"/>
    <n v="3"/>
    <n v="1"/>
    <n v="0"/>
    <n v="55.11"/>
    <n v="0"/>
    <n v="1"/>
  </r>
  <r>
    <s v="SHP-505044"/>
    <d v="2025-11-13T00:00:00"/>
    <x v="1"/>
    <s v="Q4"/>
    <x v="10"/>
    <x v="3"/>
    <x v="2"/>
    <x v="1"/>
    <x v="2"/>
    <s v="Road"/>
    <x v="0"/>
    <n v="165.7"/>
    <n v="198"/>
    <n v="1"/>
    <n v="1"/>
    <n v="1"/>
    <n v="0"/>
    <n v="177.73"/>
    <n v="0"/>
    <n v="1"/>
  </r>
  <r>
    <s v="SHP-505045"/>
    <d v="2025-11-13T00:00:00"/>
    <x v="1"/>
    <s v="Q4"/>
    <x v="10"/>
    <x v="4"/>
    <x v="2"/>
    <x v="2"/>
    <x v="0"/>
    <s v="Road"/>
    <x v="1"/>
    <n v="14"/>
    <n v="839"/>
    <n v="5"/>
    <n v="5"/>
    <n v="1"/>
    <n v="0"/>
    <n v="24.39"/>
    <n v="0"/>
    <n v="1"/>
  </r>
  <r>
    <s v="SHP-505046"/>
    <d v="2025-11-13T00:00:00"/>
    <x v="1"/>
    <s v="Q4"/>
    <x v="10"/>
    <x v="2"/>
    <x v="1"/>
    <x v="3"/>
    <x v="2"/>
    <s v="Road"/>
    <x v="0"/>
    <n v="354.9"/>
    <n v="462"/>
    <n v="2"/>
    <n v="6"/>
    <n v="0"/>
    <n v="4"/>
    <n v="225.78"/>
    <n v="0"/>
    <n v="1"/>
  </r>
  <r>
    <s v="SHP-505047"/>
    <d v="2025-11-13T00:00:00"/>
    <x v="1"/>
    <s v="Q4"/>
    <x v="10"/>
    <x v="3"/>
    <x v="1"/>
    <x v="2"/>
    <x v="1"/>
    <s v="Road"/>
    <x v="1"/>
    <n v="4.7"/>
    <n v="1041"/>
    <n v="7"/>
    <n v="6"/>
    <n v="1"/>
    <n v="0"/>
    <n v="18.77"/>
    <n v="0"/>
    <n v="1"/>
  </r>
  <r>
    <s v="SHP-505048"/>
    <d v="2025-11-13T00:00:00"/>
    <x v="1"/>
    <s v="Q4"/>
    <x v="10"/>
    <x v="2"/>
    <x v="2"/>
    <x v="1"/>
    <x v="0"/>
    <s v="Road"/>
    <x v="1"/>
    <n v="1.8"/>
    <n v="218"/>
    <n v="3"/>
    <n v="3"/>
    <n v="1"/>
    <n v="0"/>
    <n v="8.73"/>
    <n v="0"/>
    <n v="1"/>
  </r>
  <r>
    <s v="SHP-505049"/>
    <d v="2025-11-14T00:00:00"/>
    <x v="1"/>
    <s v="Q4"/>
    <x v="10"/>
    <x v="3"/>
    <x v="2"/>
    <x v="1"/>
    <x v="0"/>
    <s v="Road"/>
    <x v="1"/>
    <n v="17.399999999999999"/>
    <n v="240"/>
    <n v="3"/>
    <n v="4"/>
    <n v="0"/>
    <n v="1"/>
    <n v="20.04"/>
    <n v="0"/>
    <n v="1"/>
  </r>
  <r>
    <s v="SHP-505050"/>
    <d v="2025-11-14T00:00:00"/>
    <x v="1"/>
    <s v="Q4"/>
    <x v="10"/>
    <x v="0"/>
    <x v="2"/>
    <x v="1"/>
    <x v="1"/>
    <s v="Road"/>
    <x v="1"/>
    <n v="3.6"/>
    <n v="259"/>
    <n v="5"/>
    <n v="4"/>
    <n v="1"/>
    <n v="0"/>
    <n v="8.14"/>
    <n v="0"/>
    <n v="1"/>
  </r>
  <r>
    <s v="SHP-505051"/>
    <d v="2025-11-14T00:00:00"/>
    <x v="1"/>
    <s v="Q4"/>
    <x v="10"/>
    <x v="0"/>
    <x v="2"/>
    <x v="0"/>
    <x v="0"/>
    <s v="Road"/>
    <x v="0"/>
    <n v="187.1"/>
    <n v="937"/>
    <n v="4"/>
    <n v="4"/>
    <n v="1"/>
    <n v="0"/>
    <n v="86.64"/>
    <n v="0"/>
    <n v="1"/>
  </r>
  <r>
    <s v="SHP-505052"/>
    <d v="2025-11-14T00:00:00"/>
    <x v="1"/>
    <s v="Q4"/>
    <x v="10"/>
    <x v="3"/>
    <x v="1"/>
    <x v="3"/>
    <x v="0"/>
    <s v="Road"/>
    <x v="0"/>
    <n v="185.8"/>
    <n v="484"/>
    <n v="4"/>
    <n v="3"/>
    <n v="1"/>
    <n v="0"/>
    <n v="93.84"/>
    <n v="0"/>
    <n v="1"/>
  </r>
  <r>
    <s v="SHP-505053"/>
    <d v="2025-11-14T00:00:00"/>
    <x v="1"/>
    <s v="Q4"/>
    <x v="10"/>
    <x v="3"/>
    <x v="0"/>
    <x v="4"/>
    <x v="2"/>
    <s v="Air"/>
    <x v="0"/>
    <n v="134.1"/>
    <n v="1089"/>
    <n v="3"/>
    <n v="2"/>
    <n v="1"/>
    <n v="0"/>
    <n v="278.27999999999997"/>
    <n v="0"/>
    <n v="1"/>
  </r>
  <r>
    <s v="SHP-505054"/>
    <d v="2025-11-14T00:00:00"/>
    <x v="1"/>
    <s v="Q4"/>
    <x v="10"/>
    <x v="1"/>
    <x v="2"/>
    <x v="0"/>
    <x v="1"/>
    <s v="Road"/>
    <x v="1"/>
    <n v="6.8"/>
    <n v="867"/>
    <n v="6"/>
    <n v="5"/>
    <n v="1"/>
    <n v="0"/>
    <n v="15.34"/>
    <n v="0"/>
    <n v="1"/>
  </r>
  <r>
    <s v="SHP-505055"/>
    <d v="2025-11-14T00:00:00"/>
    <x v="1"/>
    <s v="Q4"/>
    <x v="10"/>
    <x v="1"/>
    <x v="2"/>
    <x v="3"/>
    <x v="0"/>
    <s v="Road"/>
    <x v="0"/>
    <n v="85.4"/>
    <n v="481"/>
    <n v="4"/>
    <n v="4"/>
    <n v="1"/>
    <n v="0"/>
    <n v="56.62"/>
    <n v="0"/>
    <n v="1"/>
  </r>
  <r>
    <s v="SHP-505056"/>
    <d v="2025-11-14T00:00:00"/>
    <x v="1"/>
    <s v="Q4"/>
    <x v="10"/>
    <x v="3"/>
    <x v="2"/>
    <x v="0"/>
    <x v="0"/>
    <s v="Road"/>
    <x v="1"/>
    <n v="4.2"/>
    <n v="985"/>
    <n v="4"/>
    <n v="5"/>
    <n v="0"/>
    <n v="1"/>
    <n v="21.72"/>
    <n v="0"/>
    <n v="1"/>
  </r>
  <r>
    <s v="SHP-505057"/>
    <d v="2025-11-14T00:00:00"/>
    <x v="1"/>
    <s v="Q4"/>
    <x v="10"/>
    <x v="2"/>
    <x v="2"/>
    <x v="4"/>
    <x v="1"/>
    <s v="Road"/>
    <x v="0"/>
    <n v="171.5"/>
    <n v="914"/>
    <n v="7"/>
    <n v="8"/>
    <n v="0"/>
    <n v="1"/>
    <n v="51.97"/>
    <n v="0"/>
    <n v="1"/>
  </r>
  <r>
    <s v="SHP-505058"/>
    <d v="2025-11-14T00:00:00"/>
    <x v="1"/>
    <s v="Q4"/>
    <x v="10"/>
    <x v="0"/>
    <x v="2"/>
    <x v="3"/>
    <x v="2"/>
    <s v="Road"/>
    <x v="1"/>
    <n v="2.9"/>
    <n v="491"/>
    <n v="2"/>
    <n v="1"/>
    <n v="1"/>
    <n v="0"/>
    <n v="25.14"/>
    <n v="0"/>
    <n v="1"/>
  </r>
  <r>
    <s v="SHP-505059"/>
    <d v="2025-11-15T00:00:00"/>
    <x v="1"/>
    <s v="Q4"/>
    <x v="10"/>
    <x v="3"/>
    <x v="2"/>
    <x v="0"/>
    <x v="2"/>
    <s v="Air"/>
    <x v="0"/>
    <n v="263.3"/>
    <n v="843"/>
    <n v="2"/>
    <n v="1"/>
    <n v="1"/>
    <n v="0"/>
    <n v="430.01"/>
    <n v="0"/>
    <n v="1"/>
  </r>
  <r>
    <s v="SHP-505060"/>
    <d v="2025-11-15T00:00:00"/>
    <x v="1"/>
    <s v="Q4"/>
    <x v="10"/>
    <x v="4"/>
    <x v="2"/>
    <x v="3"/>
    <x v="1"/>
    <s v="Road"/>
    <x v="1"/>
    <n v="1.5"/>
    <n v="460"/>
    <n v="6"/>
    <n v="6"/>
    <n v="1"/>
    <n v="0"/>
    <n v="8.83"/>
    <n v="0"/>
    <n v="1"/>
  </r>
  <r>
    <s v="SHP-505061"/>
    <d v="2025-11-15T00:00:00"/>
    <x v="1"/>
    <s v="Q4"/>
    <x v="10"/>
    <x v="0"/>
    <x v="2"/>
    <x v="1"/>
    <x v="2"/>
    <s v="Road"/>
    <x v="1"/>
    <n v="8.6"/>
    <n v="231"/>
    <n v="1"/>
    <n v="1"/>
    <n v="1"/>
    <n v="0"/>
    <n v="27.51"/>
    <n v="0"/>
    <n v="1"/>
  </r>
  <r>
    <s v="SHP-505062"/>
    <d v="2025-11-15T00:00:00"/>
    <x v="1"/>
    <s v="Q4"/>
    <x v="10"/>
    <x v="4"/>
    <x v="0"/>
    <x v="3"/>
    <x v="0"/>
    <s v="Road"/>
    <x v="0"/>
    <n v="40.9"/>
    <n v="506"/>
    <n v="4"/>
    <n v="4"/>
    <n v="1"/>
    <n v="0"/>
    <n v="38.53"/>
    <n v="0"/>
    <n v="1"/>
  </r>
  <r>
    <s v="SHP-505063"/>
    <d v="2025-11-15T00:00:00"/>
    <x v="1"/>
    <s v="Q4"/>
    <x v="10"/>
    <x v="1"/>
    <x v="2"/>
    <x v="1"/>
    <x v="0"/>
    <s v="Road"/>
    <x v="0"/>
    <n v="123.7"/>
    <n v="232"/>
    <n v="3"/>
    <n v="5"/>
    <n v="0"/>
    <n v="2"/>
    <n v="68.599999999999994"/>
    <n v="0"/>
    <n v="1"/>
  </r>
  <r>
    <s v="SHP-505064"/>
    <d v="2025-11-16T00:00:00"/>
    <x v="1"/>
    <s v="Q4"/>
    <x v="10"/>
    <x v="2"/>
    <x v="2"/>
    <x v="1"/>
    <x v="0"/>
    <s v="Road"/>
    <x v="1"/>
    <n v="9.6999999999999993"/>
    <n v="295"/>
    <n v="3"/>
    <n v="2"/>
    <n v="1"/>
    <n v="0"/>
    <n v="14.01"/>
    <n v="0"/>
    <n v="1"/>
  </r>
  <r>
    <s v="SHP-505065"/>
    <d v="2025-11-16T00:00:00"/>
    <x v="1"/>
    <s v="Q4"/>
    <x v="10"/>
    <x v="1"/>
    <x v="1"/>
    <x v="3"/>
    <x v="1"/>
    <s v="Road"/>
    <x v="1"/>
    <n v="2.5"/>
    <n v="627"/>
    <n v="6"/>
    <n v="6"/>
    <n v="1"/>
    <n v="0"/>
    <n v="11.3"/>
    <n v="0"/>
    <n v="1"/>
  </r>
  <r>
    <s v="SHP-505066"/>
    <d v="2025-11-16T00:00:00"/>
    <x v="1"/>
    <s v="Q4"/>
    <x v="10"/>
    <x v="4"/>
    <x v="2"/>
    <x v="0"/>
    <x v="0"/>
    <s v="Road"/>
    <x v="0"/>
    <n v="77.900000000000006"/>
    <n v="949"/>
    <n v="4"/>
    <n v="4"/>
    <n v="1"/>
    <n v="0"/>
    <n v="59.7"/>
    <n v="0"/>
    <n v="1"/>
  </r>
  <r>
    <s v="SHP-505067"/>
    <d v="2025-11-16T00:00:00"/>
    <x v="1"/>
    <s v="Q4"/>
    <x v="10"/>
    <x v="4"/>
    <x v="2"/>
    <x v="1"/>
    <x v="0"/>
    <s v="Road"/>
    <x v="1"/>
    <n v="4.5999999999999996"/>
    <n v="315"/>
    <n v="3"/>
    <n v="3"/>
    <n v="1"/>
    <n v="0"/>
    <n v="13.77"/>
    <n v="0"/>
    <n v="1"/>
  </r>
  <r>
    <s v="SHP-505068"/>
    <d v="2025-11-16T00:00:00"/>
    <x v="1"/>
    <s v="Q4"/>
    <x v="10"/>
    <x v="3"/>
    <x v="1"/>
    <x v="1"/>
    <x v="1"/>
    <s v="Road"/>
    <x v="0"/>
    <n v="33.5"/>
    <n v="269"/>
    <n v="5"/>
    <n v="4"/>
    <n v="1"/>
    <n v="0"/>
    <n v="23.21"/>
    <n v="0"/>
    <n v="1"/>
  </r>
  <r>
    <s v="SHP-505069"/>
    <d v="2025-11-16T00:00:00"/>
    <x v="1"/>
    <s v="Q4"/>
    <x v="10"/>
    <x v="4"/>
    <x v="2"/>
    <x v="2"/>
    <x v="2"/>
    <s v="Air"/>
    <x v="1"/>
    <n v="1"/>
    <n v="1281"/>
    <n v="3"/>
    <n v="2"/>
    <n v="1"/>
    <n v="0"/>
    <n v="69.400000000000006"/>
    <n v="0"/>
    <n v="1"/>
  </r>
  <r>
    <s v="SHP-505070"/>
    <d v="2025-11-16T00:00:00"/>
    <x v="1"/>
    <s v="Q4"/>
    <x v="10"/>
    <x v="3"/>
    <x v="2"/>
    <x v="3"/>
    <x v="1"/>
    <s v="Road"/>
    <x v="0"/>
    <n v="129.30000000000001"/>
    <n v="422"/>
    <n v="6"/>
    <n v="6"/>
    <n v="1"/>
    <n v="0"/>
    <n v="52.57"/>
    <n v="0"/>
    <n v="1"/>
  </r>
  <r>
    <s v="SHP-505071"/>
    <d v="2025-11-16T00:00:00"/>
    <x v="1"/>
    <s v="Q4"/>
    <x v="10"/>
    <x v="2"/>
    <x v="2"/>
    <x v="0"/>
    <x v="0"/>
    <s v="Road"/>
    <x v="0"/>
    <n v="79.5"/>
    <n v="833"/>
    <n v="4"/>
    <n v="5"/>
    <n v="0"/>
    <n v="1"/>
    <n v="46.84"/>
    <n v="0"/>
    <n v="1"/>
  </r>
  <r>
    <s v="SHP-505072"/>
    <d v="2025-11-16T00:00:00"/>
    <x v="1"/>
    <s v="Q4"/>
    <x v="10"/>
    <x v="4"/>
    <x v="1"/>
    <x v="0"/>
    <x v="0"/>
    <s v="Road"/>
    <x v="0"/>
    <n v="83.5"/>
    <n v="1067"/>
    <n v="4"/>
    <n v="4"/>
    <n v="1"/>
    <n v="0"/>
    <n v="60.3"/>
    <n v="0"/>
    <n v="1"/>
  </r>
  <r>
    <s v="SHP-505073"/>
    <d v="2025-11-17T00:00:00"/>
    <x v="1"/>
    <s v="Q4"/>
    <x v="10"/>
    <x v="2"/>
    <x v="1"/>
    <x v="1"/>
    <x v="1"/>
    <s v="Road"/>
    <x v="0"/>
    <n v="156.30000000000001"/>
    <n v="224"/>
    <n v="5"/>
    <n v="4"/>
    <n v="1"/>
    <n v="0"/>
    <n v="43.1"/>
    <n v="0"/>
    <n v="1"/>
  </r>
  <r>
    <s v="SHP-505074"/>
    <d v="2025-11-17T00:00:00"/>
    <x v="1"/>
    <s v="Q4"/>
    <x v="10"/>
    <x v="1"/>
    <x v="2"/>
    <x v="3"/>
    <x v="0"/>
    <s v="Road"/>
    <x v="1"/>
    <n v="3.6"/>
    <n v="561"/>
    <n v="4"/>
    <n v="4"/>
    <n v="1"/>
    <n v="0"/>
    <n v="15.35"/>
    <n v="0"/>
    <n v="1"/>
  </r>
  <r>
    <s v="SHP-505075"/>
    <d v="2025-11-17T00:00:00"/>
    <x v="1"/>
    <s v="Q4"/>
    <x v="10"/>
    <x v="0"/>
    <x v="2"/>
    <x v="0"/>
    <x v="1"/>
    <s v="Road"/>
    <x v="1"/>
    <n v="2.2999999999999998"/>
    <n v="853"/>
    <n v="6"/>
    <n v="5"/>
    <n v="1"/>
    <n v="0"/>
    <n v="11.82"/>
    <n v="0"/>
    <n v="1"/>
  </r>
  <r>
    <s v="SHP-505076"/>
    <d v="2025-11-17T00:00:00"/>
    <x v="1"/>
    <s v="Q4"/>
    <x v="10"/>
    <x v="2"/>
    <x v="1"/>
    <x v="3"/>
    <x v="0"/>
    <s v="Road"/>
    <x v="0"/>
    <n v="73.2"/>
    <n v="626"/>
    <n v="4"/>
    <n v="3"/>
    <n v="1"/>
    <n v="0"/>
    <n v="39.020000000000003"/>
    <n v="0"/>
    <n v="1"/>
  </r>
  <r>
    <s v="SHP-505077"/>
    <d v="2025-11-17T00:00:00"/>
    <x v="1"/>
    <s v="Q4"/>
    <x v="10"/>
    <x v="2"/>
    <x v="2"/>
    <x v="1"/>
    <x v="1"/>
    <s v="Road"/>
    <x v="1"/>
    <n v="3.5"/>
    <n v="220"/>
    <n v="5"/>
    <n v="5"/>
    <n v="1"/>
    <n v="0"/>
    <n v="6.5"/>
    <n v="0"/>
    <n v="1"/>
  </r>
  <r>
    <s v="SHP-505078"/>
    <d v="2025-11-17T00:00:00"/>
    <x v="1"/>
    <s v="Q4"/>
    <x v="10"/>
    <x v="1"/>
    <x v="1"/>
    <x v="4"/>
    <x v="2"/>
    <s v="Air"/>
    <x v="0"/>
    <n v="277.39999999999998"/>
    <n v="1159"/>
    <n v="3"/>
    <n v="4"/>
    <n v="0"/>
    <n v="1"/>
    <n v="367.46"/>
    <n v="0"/>
    <n v="1"/>
  </r>
  <r>
    <s v="SHP-505079"/>
    <d v="2025-11-17T00:00:00"/>
    <x v="1"/>
    <s v="Q4"/>
    <x v="10"/>
    <x v="0"/>
    <x v="2"/>
    <x v="3"/>
    <x v="0"/>
    <s v="Road"/>
    <x v="0"/>
    <n v="161.6"/>
    <n v="455"/>
    <n v="4"/>
    <n v="4"/>
    <n v="1"/>
    <n v="0"/>
    <n v="85.06"/>
    <n v="0"/>
    <n v="1"/>
  </r>
  <r>
    <s v="SHP-505080"/>
    <d v="2025-11-17T00:00:00"/>
    <x v="1"/>
    <s v="Q4"/>
    <x v="10"/>
    <x v="4"/>
    <x v="2"/>
    <x v="0"/>
    <x v="1"/>
    <s v="Road"/>
    <x v="0"/>
    <n v="31.1"/>
    <n v="858"/>
    <n v="6"/>
    <n v="6"/>
    <n v="1"/>
    <n v="0"/>
    <n v="23.02"/>
    <n v="1"/>
    <n v="1"/>
  </r>
  <r>
    <s v="SHP-505081"/>
    <d v="2025-11-17T00:00:00"/>
    <x v="1"/>
    <s v="Q4"/>
    <x v="10"/>
    <x v="2"/>
    <x v="2"/>
    <x v="1"/>
    <x v="0"/>
    <s v="Road"/>
    <x v="0"/>
    <n v="28.9"/>
    <n v="249"/>
    <n v="3"/>
    <n v="5"/>
    <n v="0"/>
    <n v="2"/>
    <n v="22.55"/>
    <n v="0"/>
    <n v="1"/>
  </r>
  <r>
    <s v="SHP-505082"/>
    <d v="2025-11-17T00:00:00"/>
    <x v="1"/>
    <s v="Q4"/>
    <x v="10"/>
    <x v="2"/>
    <x v="1"/>
    <x v="3"/>
    <x v="0"/>
    <s v="Road"/>
    <x v="1"/>
    <n v="2.5"/>
    <n v="529"/>
    <n v="4"/>
    <n v="5"/>
    <n v="0"/>
    <n v="1"/>
    <n v="12.3"/>
    <n v="0"/>
    <n v="1"/>
  </r>
  <r>
    <s v="SHP-505083"/>
    <d v="2025-11-17T00:00:00"/>
    <x v="1"/>
    <s v="Q4"/>
    <x v="10"/>
    <x v="0"/>
    <x v="2"/>
    <x v="0"/>
    <x v="0"/>
    <s v="Road"/>
    <x v="1"/>
    <n v="2.2000000000000002"/>
    <n v="1005"/>
    <n v="4"/>
    <n v="4"/>
    <n v="1"/>
    <n v="0"/>
    <n v="17.43"/>
    <n v="0"/>
    <n v="1"/>
  </r>
  <r>
    <s v="SHP-505084"/>
    <d v="2025-11-18T00:00:00"/>
    <x v="1"/>
    <s v="Q4"/>
    <x v="10"/>
    <x v="2"/>
    <x v="1"/>
    <x v="3"/>
    <x v="1"/>
    <s v="Road"/>
    <x v="0"/>
    <n v="195.8"/>
    <n v="456"/>
    <n v="6"/>
    <n v="6"/>
    <n v="1"/>
    <n v="0"/>
    <n v="55.13"/>
    <n v="0"/>
    <n v="1"/>
  </r>
  <r>
    <s v="SHP-505085"/>
    <d v="2025-11-18T00:00:00"/>
    <x v="1"/>
    <s v="Q4"/>
    <x v="10"/>
    <x v="4"/>
    <x v="1"/>
    <x v="0"/>
    <x v="0"/>
    <s v="Road"/>
    <x v="1"/>
    <n v="3"/>
    <n v="883"/>
    <n v="4"/>
    <n v="4"/>
    <n v="1"/>
    <n v="0"/>
    <n v="17.100000000000001"/>
    <n v="0"/>
    <n v="1"/>
  </r>
  <r>
    <s v="SHP-505086"/>
    <d v="2025-11-18T00:00:00"/>
    <x v="1"/>
    <s v="Q4"/>
    <x v="10"/>
    <x v="2"/>
    <x v="0"/>
    <x v="3"/>
    <x v="0"/>
    <s v="Road"/>
    <x v="1"/>
    <n v="2"/>
    <n v="580"/>
    <n v="4"/>
    <n v="4"/>
    <n v="1"/>
    <n v="0"/>
    <n v="11.43"/>
    <n v="0"/>
    <n v="1"/>
  </r>
  <r>
    <s v="SHP-505087"/>
    <d v="2025-11-18T00:00:00"/>
    <x v="1"/>
    <s v="Q4"/>
    <x v="10"/>
    <x v="1"/>
    <x v="2"/>
    <x v="4"/>
    <x v="0"/>
    <s v="Road"/>
    <x v="1"/>
    <n v="7.5"/>
    <n v="928"/>
    <n v="5"/>
    <n v="5"/>
    <n v="1"/>
    <n v="0"/>
    <n v="22.39"/>
    <n v="0"/>
    <n v="1"/>
  </r>
  <r>
    <s v="SHP-505088"/>
    <d v="2025-11-18T00:00:00"/>
    <x v="1"/>
    <s v="Q4"/>
    <x v="10"/>
    <x v="2"/>
    <x v="1"/>
    <x v="0"/>
    <x v="0"/>
    <s v="Road"/>
    <x v="0"/>
    <n v="190.3"/>
    <n v="901"/>
    <n v="4"/>
    <n v="6"/>
    <n v="0"/>
    <n v="2"/>
    <n v="73.31"/>
    <n v="0"/>
    <n v="1"/>
  </r>
  <r>
    <s v="SHP-505089"/>
    <d v="2025-11-18T00:00:00"/>
    <x v="1"/>
    <s v="Q4"/>
    <x v="10"/>
    <x v="4"/>
    <x v="2"/>
    <x v="2"/>
    <x v="1"/>
    <s v="Road"/>
    <x v="1"/>
    <n v="10.8"/>
    <n v="1388"/>
    <n v="7"/>
    <n v="7"/>
    <n v="1"/>
    <n v="0"/>
    <n v="20.49"/>
    <n v="0"/>
    <n v="1"/>
  </r>
  <r>
    <s v="SHP-505090"/>
    <d v="2025-11-18T00:00:00"/>
    <x v="1"/>
    <s v="Q4"/>
    <x v="10"/>
    <x v="0"/>
    <x v="1"/>
    <x v="4"/>
    <x v="0"/>
    <s v="Road"/>
    <x v="0"/>
    <n v="246.1"/>
    <n v="1046"/>
    <n v="5"/>
    <n v="5"/>
    <n v="1"/>
    <n v="0"/>
    <n v="109.18"/>
    <n v="0"/>
    <n v="1"/>
  </r>
  <r>
    <s v="SHP-505091"/>
    <d v="2025-11-18T00:00:00"/>
    <x v="1"/>
    <s v="Q4"/>
    <x v="10"/>
    <x v="3"/>
    <x v="0"/>
    <x v="0"/>
    <x v="0"/>
    <s v="Road"/>
    <x v="1"/>
    <n v="8.9"/>
    <n v="772"/>
    <n v="4"/>
    <n v="3"/>
    <n v="1"/>
    <n v="0"/>
    <n v="23.97"/>
    <n v="0"/>
    <n v="1"/>
  </r>
  <r>
    <s v="SHP-505092"/>
    <d v="2025-11-18T00:00:00"/>
    <x v="1"/>
    <s v="Q4"/>
    <x v="10"/>
    <x v="4"/>
    <x v="2"/>
    <x v="3"/>
    <x v="2"/>
    <s v="Road"/>
    <x v="1"/>
    <n v="10.9"/>
    <n v="490"/>
    <n v="2"/>
    <n v="1"/>
    <n v="1"/>
    <n v="0"/>
    <n v="38.28"/>
    <n v="0"/>
    <n v="1"/>
  </r>
  <r>
    <s v="SHP-505093"/>
    <d v="2025-11-18T00:00:00"/>
    <x v="1"/>
    <s v="Q4"/>
    <x v="10"/>
    <x v="3"/>
    <x v="2"/>
    <x v="1"/>
    <x v="1"/>
    <s v="Road"/>
    <x v="1"/>
    <n v="2.9"/>
    <n v="291"/>
    <n v="5"/>
    <n v="5"/>
    <n v="1"/>
    <n v="0"/>
    <n v="9.76"/>
    <n v="0"/>
    <n v="1"/>
  </r>
  <r>
    <s v="SHP-505094"/>
    <d v="2025-11-18T00:00:00"/>
    <x v="1"/>
    <s v="Q4"/>
    <x v="10"/>
    <x v="3"/>
    <x v="2"/>
    <x v="2"/>
    <x v="2"/>
    <s v="Air"/>
    <x v="1"/>
    <n v="5.9"/>
    <n v="1237"/>
    <n v="3"/>
    <n v="2"/>
    <n v="1"/>
    <n v="0"/>
    <n v="83.98"/>
    <n v="0"/>
    <n v="1"/>
  </r>
  <r>
    <s v="SHP-505095"/>
    <d v="2025-11-18T00:00:00"/>
    <x v="1"/>
    <s v="Q4"/>
    <x v="10"/>
    <x v="3"/>
    <x v="2"/>
    <x v="3"/>
    <x v="2"/>
    <s v="Road"/>
    <x v="1"/>
    <n v="7.5"/>
    <n v="360"/>
    <n v="2"/>
    <n v="2"/>
    <n v="1"/>
    <n v="0"/>
    <n v="32.47"/>
    <n v="0"/>
    <n v="1"/>
  </r>
  <r>
    <s v="SHP-505096"/>
    <d v="2025-11-18T00:00:00"/>
    <x v="1"/>
    <s v="Q4"/>
    <x v="10"/>
    <x v="4"/>
    <x v="2"/>
    <x v="3"/>
    <x v="0"/>
    <s v="Road"/>
    <x v="1"/>
    <n v="9.3000000000000007"/>
    <n v="544"/>
    <n v="4"/>
    <n v="4"/>
    <n v="1"/>
    <n v="0"/>
    <n v="19.739999999999998"/>
    <n v="0"/>
    <n v="1"/>
  </r>
  <r>
    <s v="SHP-505097"/>
    <d v="2025-11-18T00:00:00"/>
    <x v="1"/>
    <s v="Q4"/>
    <x v="10"/>
    <x v="3"/>
    <x v="1"/>
    <x v="3"/>
    <x v="1"/>
    <s v="Road"/>
    <x v="0"/>
    <n v="25.2"/>
    <n v="452"/>
    <n v="6"/>
    <n v="5"/>
    <n v="1"/>
    <n v="0"/>
    <n v="19.14"/>
    <n v="0"/>
    <n v="1"/>
  </r>
  <r>
    <s v="SHP-505098"/>
    <d v="2025-11-18T00:00:00"/>
    <x v="1"/>
    <s v="Q4"/>
    <x v="10"/>
    <x v="2"/>
    <x v="2"/>
    <x v="0"/>
    <x v="2"/>
    <s v="Air"/>
    <x v="1"/>
    <n v="2.1"/>
    <n v="890"/>
    <n v="2"/>
    <n v="1"/>
    <n v="1"/>
    <n v="0"/>
    <n v="48.9"/>
    <n v="0"/>
    <n v="1"/>
  </r>
  <r>
    <s v="SHP-505099"/>
    <d v="2025-11-18T00:00:00"/>
    <x v="1"/>
    <s v="Q4"/>
    <x v="10"/>
    <x v="0"/>
    <x v="0"/>
    <x v="3"/>
    <x v="1"/>
    <s v="Road"/>
    <x v="1"/>
    <n v="3.3"/>
    <n v="569"/>
    <n v="6"/>
    <n v="6"/>
    <n v="1"/>
    <n v="0"/>
    <n v="10.6"/>
    <n v="0"/>
    <n v="1"/>
  </r>
  <r>
    <s v="SHP-505100"/>
    <d v="2025-11-18T00:00:00"/>
    <x v="1"/>
    <s v="Q4"/>
    <x v="10"/>
    <x v="3"/>
    <x v="2"/>
    <x v="3"/>
    <x v="0"/>
    <s v="Road"/>
    <x v="1"/>
    <n v="11.8"/>
    <n v="487"/>
    <n v="4"/>
    <n v="4"/>
    <n v="1"/>
    <n v="0"/>
    <n v="21.82"/>
    <n v="0"/>
    <n v="1"/>
  </r>
  <r>
    <s v="SHP-505101"/>
    <d v="2025-11-18T00:00:00"/>
    <x v="1"/>
    <s v="Q4"/>
    <x v="10"/>
    <x v="4"/>
    <x v="1"/>
    <x v="2"/>
    <x v="2"/>
    <s v="Air"/>
    <x v="1"/>
    <n v="10"/>
    <n v="1381"/>
    <n v="3"/>
    <n v="3"/>
    <n v="1"/>
    <n v="0"/>
    <n v="94.71"/>
    <n v="0"/>
    <n v="1"/>
  </r>
  <r>
    <s v="SHP-505102"/>
    <d v="2025-11-19T00:00:00"/>
    <x v="1"/>
    <s v="Q4"/>
    <x v="10"/>
    <x v="4"/>
    <x v="0"/>
    <x v="1"/>
    <x v="0"/>
    <s v="Road"/>
    <x v="1"/>
    <n v="3.2"/>
    <n v="279"/>
    <n v="3"/>
    <n v="3"/>
    <n v="1"/>
    <n v="0"/>
    <n v="9.25"/>
    <n v="0"/>
    <n v="1"/>
  </r>
  <r>
    <s v="SHP-505103"/>
    <d v="2025-11-19T00:00:00"/>
    <x v="1"/>
    <s v="Q4"/>
    <x v="10"/>
    <x v="2"/>
    <x v="1"/>
    <x v="0"/>
    <x v="0"/>
    <s v="Road"/>
    <x v="0"/>
    <n v="335.9"/>
    <n v="924"/>
    <n v="4"/>
    <n v="4"/>
    <n v="1"/>
    <n v="0"/>
    <n v="123.5"/>
    <n v="0"/>
    <n v="1"/>
  </r>
  <r>
    <s v="SHP-505104"/>
    <d v="2025-11-19T00:00:00"/>
    <x v="1"/>
    <s v="Q4"/>
    <x v="10"/>
    <x v="4"/>
    <x v="1"/>
    <x v="0"/>
    <x v="0"/>
    <s v="Road"/>
    <x v="1"/>
    <n v="5.3"/>
    <n v="832"/>
    <n v="4"/>
    <n v="4"/>
    <n v="1"/>
    <n v="0"/>
    <n v="18.920000000000002"/>
    <n v="0"/>
    <n v="1"/>
  </r>
  <r>
    <s v="SHP-505105"/>
    <d v="2025-11-19T00:00:00"/>
    <x v="1"/>
    <s v="Q4"/>
    <x v="10"/>
    <x v="3"/>
    <x v="1"/>
    <x v="2"/>
    <x v="0"/>
    <s v="Road"/>
    <x v="0"/>
    <n v="87.4"/>
    <n v="1275"/>
    <n v="5"/>
    <n v="9"/>
    <n v="0"/>
    <n v="4"/>
    <n v="63.16"/>
    <n v="0"/>
    <n v="1"/>
  </r>
  <r>
    <s v="SHP-505106"/>
    <d v="2025-11-19T00:00:00"/>
    <x v="1"/>
    <s v="Q4"/>
    <x v="10"/>
    <x v="3"/>
    <x v="2"/>
    <x v="0"/>
    <x v="0"/>
    <s v="Road"/>
    <x v="0"/>
    <n v="152.4"/>
    <n v="830"/>
    <n v="4"/>
    <n v="4"/>
    <n v="1"/>
    <n v="0"/>
    <n v="81.260000000000005"/>
    <n v="0"/>
    <n v="1"/>
  </r>
  <r>
    <s v="SHP-505107"/>
    <d v="2025-11-19T00:00:00"/>
    <x v="1"/>
    <s v="Q4"/>
    <x v="10"/>
    <x v="1"/>
    <x v="1"/>
    <x v="0"/>
    <x v="0"/>
    <s v="Road"/>
    <x v="0"/>
    <n v="247.2"/>
    <n v="985"/>
    <n v="4"/>
    <n v="4"/>
    <n v="1"/>
    <n v="0"/>
    <n v="116.59"/>
    <n v="0"/>
    <n v="1"/>
  </r>
  <r>
    <s v="SHP-505108"/>
    <d v="2025-11-19T00:00:00"/>
    <x v="1"/>
    <s v="Q4"/>
    <x v="10"/>
    <x v="4"/>
    <x v="1"/>
    <x v="1"/>
    <x v="2"/>
    <s v="Road"/>
    <x v="1"/>
    <n v="14.4"/>
    <n v="284"/>
    <n v="1"/>
    <n v="1"/>
    <n v="1"/>
    <n v="0"/>
    <n v="32.69"/>
    <n v="0"/>
    <n v="1"/>
  </r>
  <r>
    <s v="SHP-505109"/>
    <d v="2025-11-19T00:00:00"/>
    <x v="1"/>
    <s v="Q4"/>
    <x v="10"/>
    <x v="4"/>
    <x v="2"/>
    <x v="0"/>
    <x v="1"/>
    <s v="Road"/>
    <x v="0"/>
    <n v="26.6"/>
    <n v="1069"/>
    <n v="6"/>
    <n v="6"/>
    <n v="1"/>
    <n v="0"/>
    <n v="22.86"/>
    <n v="0"/>
    <n v="1"/>
  </r>
  <r>
    <s v="SHP-505110"/>
    <d v="2025-11-19T00:00:00"/>
    <x v="1"/>
    <s v="Q4"/>
    <x v="10"/>
    <x v="3"/>
    <x v="2"/>
    <x v="1"/>
    <x v="2"/>
    <s v="Road"/>
    <x v="1"/>
    <n v="1.9"/>
    <n v="205"/>
    <n v="1"/>
    <n v="4"/>
    <n v="0"/>
    <n v="3"/>
    <n v="19.3"/>
    <n v="0"/>
    <n v="1"/>
  </r>
  <r>
    <s v="SHP-505111"/>
    <d v="2025-11-19T00:00:00"/>
    <x v="1"/>
    <s v="Q4"/>
    <x v="10"/>
    <x v="1"/>
    <x v="2"/>
    <x v="0"/>
    <x v="0"/>
    <s v="Road"/>
    <x v="1"/>
    <n v="4.7"/>
    <n v="838"/>
    <n v="4"/>
    <n v="4"/>
    <n v="1"/>
    <n v="0"/>
    <n v="18.579999999999998"/>
    <n v="0"/>
    <n v="1"/>
  </r>
  <r>
    <s v="SHP-505112"/>
    <d v="2025-11-19T00:00:00"/>
    <x v="1"/>
    <s v="Q4"/>
    <x v="10"/>
    <x v="2"/>
    <x v="1"/>
    <x v="3"/>
    <x v="2"/>
    <s v="Road"/>
    <x v="0"/>
    <n v="36"/>
    <n v="386"/>
    <n v="2"/>
    <n v="2"/>
    <n v="1"/>
    <n v="0"/>
    <n v="50.1"/>
    <n v="0"/>
    <n v="1"/>
  </r>
  <r>
    <s v="SHP-505113"/>
    <d v="2025-11-19T00:00:00"/>
    <x v="1"/>
    <s v="Q4"/>
    <x v="10"/>
    <x v="1"/>
    <x v="1"/>
    <x v="1"/>
    <x v="1"/>
    <s v="Road"/>
    <x v="0"/>
    <n v="212.9"/>
    <n v="330"/>
    <n v="5"/>
    <n v="4"/>
    <n v="1"/>
    <n v="0"/>
    <n v="75.19"/>
    <n v="0"/>
    <n v="1"/>
  </r>
  <r>
    <s v="SHP-505114"/>
    <d v="2025-11-19T00:00:00"/>
    <x v="1"/>
    <s v="Q4"/>
    <x v="10"/>
    <x v="2"/>
    <x v="1"/>
    <x v="1"/>
    <x v="0"/>
    <s v="Road"/>
    <x v="1"/>
    <n v="16.5"/>
    <n v="307"/>
    <n v="3"/>
    <n v="6"/>
    <n v="0"/>
    <n v="3"/>
    <n v="15.06"/>
    <n v="0"/>
    <n v="1"/>
  </r>
  <r>
    <s v="SHP-505115"/>
    <d v="2025-11-19T00:00:00"/>
    <x v="1"/>
    <s v="Q4"/>
    <x v="10"/>
    <x v="2"/>
    <x v="1"/>
    <x v="0"/>
    <x v="0"/>
    <s v="Road"/>
    <x v="0"/>
    <n v="157.30000000000001"/>
    <n v="1138"/>
    <n v="4"/>
    <n v="5"/>
    <n v="0"/>
    <n v="1"/>
    <n v="71.56"/>
    <n v="0"/>
    <n v="1"/>
  </r>
  <r>
    <s v="SHP-505116"/>
    <d v="2025-11-19T00:00:00"/>
    <x v="1"/>
    <s v="Q4"/>
    <x v="10"/>
    <x v="3"/>
    <x v="0"/>
    <x v="3"/>
    <x v="0"/>
    <s v="Road"/>
    <x v="1"/>
    <n v="24.1"/>
    <n v="427"/>
    <n v="4"/>
    <n v="3"/>
    <n v="1"/>
    <n v="0"/>
    <n v="23.64"/>
    <n v="0"/>
    <n v="1"/>
  </r>
  <r>
    <s v="SHP-505117"/>
    <d v="2025-11-19T00:00:00"/>
    <x v="1"/>
    <s v="Q4"/>
    <x v="10"/>
    <x v="2"/>
    <x v="2"/>
    <x v="4"/>
    <x v="0"/>
    <s v="Road"/>
    <x v="1"/>
    <n v="2.9"/>
    <n v="825"/>
    <n v="5"/>
    <n v="8"/>
    <n v="0"/>
    <n v="3"/>
    <n v="14.96"/>
    <n v="0"/>
    <n v="1"/>
  </r>
  <r>
    <s v="SHP-505118"/>
    <d v="2025-11-19T00:00:00"/>
    <x v="1"/>
    <s v="Q4"/>
    <x v="10"/>
    <x v="2"/>
    <x v="2"/>
    <x v="1"/>
    <x v="2"/>
    <s v="Road"/>
    <x v="0"/>
    <n v="98.5"/>
    <n v="252"/>
    <n v="1"/>
    <n v="1"/>
    <n v="1"/>
    <n v="0"/>
    <n v="83.18"/>
    <n v="0"/>
    <n v="1"/>
  </r>
  <r>
    <s v="SHP-505119"/>
    <d v="2025-11-19T00:00:00"/>
    <x v="1"/>
    <s v="Q4"/>
    <x v="10"/>
    <x v="3"/>
    <x v="2"/>
    <x v="3"/>
    <x v="1"/>
    <s v="Road"/>
    <x v="1"/>
    <n v="4.2"/>
    <n v="519"/>
    <n v="6"/>
    <n v="5"/>
    <n v="1"/>
    <n v="0"/>
    <n v="11.77"/>
    <n v="0"/>
    <n v="1"/>
  </r>
  <r>
    <s v="SHP-505120"/>
    <d v="2025-11-19T00:00:00"/>
    <x v="1"/>
    <s v="Q4"/>
    <x v="10"/>
    <x v="4"/>
    <x v="2"/>
    <x v="4"/>
    <x v="2"/>
    <s v="Air"/>
    <x v="1"/>
    <n v="5.3"/>
    <n v="1250"/>
    <n v="3"/>
    <n v="2"/>
    <n v="1"/>
    <n v="0"/>
    <n v="75.489999999999995"/>
    <n v="0"/>
    <n v="1"/>
  </r>
  <r>
    <s v="SHP-505121"/>
    <d v="2025-11-19T00:00:00"/>
    <x v="1"/>
    <s v="Q4"/>
    <x v="10"/>
    <x v="4"/>
    <x v="2"/>
    <x v="1"/>
    <x v="0"/>
    <s v="Road"/>
    <x v="0"/>
    <n v="107.5"/>
    <n v="242"/>
    <n v="3"/>
    <n v="3"/>
    <n v="1"/>
    <n v="0"/>
    <n v="61.55"/>
    <n v="0"/>
    <n v="1"/>
  </r>
  <r>
    <s v="SHP-505122"/>
    <d v="2025-11-20T00:00:00"/>
    <x v="1"/>
    <s v="Q4"/>
    <x v="10"/>
    <x v="4"/>
    <x v="0"/>
    <x v="1"/>
    <x v="0"/>
    <s v="Road"/>
    <x v="1"/>
    <n v="2.7"/>
    <n v="288"/>
    <n v="3"/>
    <n v="2"/>
    <n v="1"/>
    <n v="0"/>
    <n v="11.53"/>
    <n v="0"/>
    <n v="1"/>
  </r>
  <r>
    <s v="SHP-505123"/>
    <d v="2025-11-20T00:00:00"/>
    <x v="1"/>
    <s v="Q4"/>
    <x v="10"/>
    <x v="2"/>
    <x v="1"/>
    <x v="0"/>
    <x v="0"/>
    <s v="Road"/>
    <x v="1"/>
    <n v="3.2"/>
    <n v="991"/>
    <n v="4"/>
    <n v="4"/>
    <n v="1"/>
    <n v="0"/>
    <n v="17.72"/>
    <n v="0"/>
    <n v="1"/>
  </r>
  <r>
    <s v="SHP-505124"/>
    <d v="2025-11-20T00:00:00"/>
    <x v="1"/>
    <s v="Q4"/>
    <x v="10"/>
    <x v="0"/>
    <x v="2"/>
    <x v="2"/>
    <x v="0"/>
    <s v="Road"/>
    <x v="1"/>
    <n v="4"/>
    <n v="824"/>
    <n v="5"/>
    <n v="5"/>
    <n v="1"/>
    <n v="0"/>
    <n v="18.02"/>
    <n v="0"/>
    <n v="1"/>
  </r>
  <r>
    <s v="SHP-505125"/>
    <d v="2025-11-20T00:00:00"/>
    <x v="1"/>
    <s v="Q4"/>
    <x v="10"/>
    <x v="2"/>
    <x v="2"/>
    <x v="4"/>
    <x v="2"/>
    <s v="Air"/>
    <x v="0"/>
    <n v="210.7"/>
    <n v="1087"/>
    <n v="3"/>
    <n v="3"/>
    <n v="1"/>
    <n v="0"/>
    <n v="261.39"/>
    <n v="0"/>
    <n v="1"/>
  </r>
  <r>
    <s v="SHP-505126"/>
    <d v="2025-11-20T00:00:00"/>
    <x v="1"/>
    <s v="Q4"/>
    <x v="10"/>
    <x v="0"/>
    <x v="1"/>
    <x v="3"/>
    <x v="0"/>
    <s v="Road"/>
    <x v="1"/>
    <n v="8.5"/>
    <n v="517"/>
    <n v="4"/>
    <n v="4"/>
    <n v="1"/>
    <n v="0"/>
    <n v="16.420000000000002"/>
    <n v="0"/>
    <n v="1"/>
  </r>
  <r>
    <s v="SHP-505127"/>
    <d v="2025-11-20T00:00:00"/>
    <x v="1"/>
    <s v="Q4"/>
    <x v="10"/>
    <x v="4"/>
    <x v="1"/>
    <x v="0"/>
    <x v="1"/>
    <s v="Road"/>
    <x v="0"/>
    <n v="58.5"/>
    <n v="722"/>
    <n v="6"/>
    <n v="6"/>
    <n v="1"/>
    <n v="0"/>
    <n v="29.48"/>
    <n v="0"/>
    <n v="1"/>
  </r>
  <r>
    <s v="SHP-505128"/>
    <d v="2025-11-20T00:00:00"/>
    <x v="1"/>
    <s v="Q4"/>
    <x v="10"/>
    <x v="2"/>
    <x v="0"/>
    <x v="4"/>
    <x v="1"/>
    <s v="Road"/>
    <x v="0"/>
    <n v="44.3"/>
    <n v="1031"/>
    <n v="7"/>
    <n v="7"/>
    <n v="1"/>
    <n v="0"/>
    <n v="24.61"/>
    <n v="0"/>
    <n v="1"/>
  </r>
  <r>
    <s v="SHP-505129"/>
    <d v="2025-11-20T00:00:00"/>
    <x v="1"/>
    <s v="Q4"/>
    <x v="10"/>
    <x v="1"/>
    <x v="2"/>
    <x v="3"/>
    <x v="1"/>
    <s v="Road"/>
    <x v="0"/>
    <n v="85.9"/>
    <n v="410"/>
    <n v="6"/>
    <n v="5"/>
    <n v="1"/>
    <n v="0"/>
    <n v="34.049999999999997"/>
    <n v="0"/>
    <n v="1"/>
  </r>
  <r>
    <s v="SHP-505130"/>
    <d v="2025-11-20T00:00:00"/>
    <x v="1"/>
    <s v="Q4"/>
    <x v="10"/>
    <x v="3"/>
    <x v="2"/>
    <x v="4"/>
    <x v="2"/>
    <s v="Air"/>
    <x v="0"/>
    <n v="218"/>
    <n v="946"/>
    <n v="3"/>
    <n v="3"/>
    <n v="1"/>
    <n v="0"/>
    <n v="362.57"/>
    <n v="0"/>
    <n v="1"/>
  </r>
  <r>
    <s v="SHP-505131"/>
    <d v="2025-11-20T00:00:00"/>
    <x v="1"/>
    <s v="Q4"/>
    <x v="10"/>
    <x v="3"/>
    <x v="1"/>
    <x v="4"/>
    <x v="0"/>
    <s v="Road"/>
    <x v="1"/>
    <n v="2.2000000000000002"/>
    <n v="1066"/>
    <n v="5"/>
    <n v="5"/>
    <n v="1"/>
    <n v="0"/>
    <n v="23.24"/>
    <n v="0"/>
    <n v="1"/>
  </r>
  <r>
    <s v="SHP-505132"/>
    <d v="2025-11-20T00:00:00"/>
    <x v="1"/>
    <s v="Q4"/>
    <x v="10"/>
    <x v="4"/>
    <x v="2"/>
    <x v="1"/>
    <x v="1"/>
    <s v="Road"/>
    <x v="0"/>
    <n v="85.1"/>
    <n v="253"/>
    <n v="5"/>
    <n v="7"/>
    <n v="0"/>
    <n v="2"/>
    <n v="37.42"/>
    <n v="0"/>
    <n v="1"/>
  </r>
  <r>
    <s v="SHP-505133"/>
    <d v="2025-11-20T00:00:00"/>
    <x v="1"/>
    <s v="Q4"/>
    <x v="10"/>
    <x v="1"/>
    <x v="1"/>
    <x v="0"/>
    <x v="0"/>
    <s v="Road"/>
    <x v="1"/>
    <n v="7.7"/>
    <n v="931"/>
    <n v="4"/>
    <n v="5"/>
    <n v="0"/>
    <n v="1"/>
    <n v="20.7"/>
    <n v="0"/>
    <n v="1"/>
  </r>
  <r>
    <s v="SHP-505134"/>
    <d v="2025-11-20T00:00:00"/>
    <x v="1"/>
    <s v="Q4"/>
    <x v="10"/>
    <x v="3"/>
    <x v="2"/>
    <x v="4"/>
    <x v="2"/>
    <s v="Air"/>
    <x v="0"/>
    <n v="65.8"/>
    <n v="1140"/>
    <n v="3"/>
    <n v="2"/>
    <n v="1"/>
    <n v="0"/>
    <n v="180.4"/>
    <n v="0"/>
    <n v="1"/>
  </r>
  <r>
    <s v="SHP-505135"/>
    <d v="2025-11-20T00:00:00"/>
    <x v="1"/>
    <s v="Q4"/>
    <x v="10"/>
    <x v="4"/>
    <x v="1"/>
    <x v="3"/>
    <x v="0"/>
    <s v="Road"/>
    <x v="1"/>
    <n v="2.2000000000000002"/>
    <n v="500"/>
    <n v="4"/>
    <n v="4"/>
    <n v="1"/>
    <n v="0"/>
    <n v="15.13"/>
    <n v="0"/>
    <n v="1"/>
  </r>
  <r>
    <s v="SHP-505136"/>
    <d v="2025-11-21T00:00:00"/>
    <x v="1"/>
    <s v="Q4"/>
    <x v="10"/>
    <x v="3"/>
    <x v="1"/>
    <x v="4"/>
    <x v="0"/>
    <s v="Road"/>
    <x v="0"/>
    <n v="218.4"/>
    <n v="952"/>
    <n v="5"/>
    <n v="5"/>
    <n v="1"/>
    <n v="0"/>
    <n v="110.38"/>
    <n v="0"/>
    <n v="1"/>
  </r>
  <r>
    <s v="SHP-505137"/>
    <d v="2025-11-21T00:00:00"/>
    <x v="1"/>
    <s v="Q4"/>
    <x v="10"/>
    <x v="4"/>
    <x v="2"/>
    <x v="0"/>
    <x v="0"/>
    <s v="Road"/>
    <x v="0"/>
    <n v="207.6"/>
    <n v="874"/>
    <n v="4"/>
    <n v="4"/>
    <n v="1"/>
    <n v="0"/>
    <n v="91.17"/>
    <n v="0"/>
    <n v="1"/>
  </r>
  <r>
    <s v="SHP-505138"/>
    <d v="2025-11-21T00:00:00"/>
    <x v="1"/>
    <s v="Q4"/>
    <x v="10"/>
    <x v="1"/>
    <x v="0"/>
    <x v="1"/>
    <x v="1"/>
    <s v="Road"/>
    <x v="0"/>
    <n v="47.4"/>
    <n v="260"/>
    <n v="5"/>
    <n v="5"/>
    <n v="1"/>
    <n v="0"/>
    <n v="24.16"/>
    <n v="0"/>
    <n v="1"/>
  </r>
  <r>
    <s v="SHP-505139"/>
    <d v="2025-11-21T00:00:00"/>
    <x v="1"/>
    <s v="Q4"/>
    <x v="10"/>
    <x v="3"/>
    <x v="0"/>
    <x v="3"/>
    <x v="0"/>
    <s v="Road"/>
    <x v="1"/>
    <n v="14.3"/>
    <n v="379"/>
    <n v="4"/>
    <n v="7"/>
    <n v="0"/>
    <n v="3"/>
    <n v="21.98"/>
    <n v="0"/>
    <n v="1"/>
  </r>
  <r>
    <s v="SHP-505140"/>
    <d v="2025-11-21T00:00:00"/>
    <x v="1"/>
    <s v="Q4"/>
    <x v="10"/>
    <x v="4"/>
    <x v="1"/>
    <x v="3"/>
    <x v="1"/>
    <s v="Road"/>
    <x v="0"/>
    <n v="90.9"/>
    <n v="474"/>
    <n v="6"/>
    <n v="8"/>
    <n v="0"/>
    <n v="2"/>
    <n v="38.19"/>
    <n v="0"/>
    <n v="1"/>
  </r>
  <r>
    <s v="SHP-505141"/>
    <d v="2025-11-21T00:00:00"/>
    <x v="1"/>
    <s v="Q4"/>
    <x v="10"/>
    <x v="4"/>
    <x v="1"/>
    <x v="2"/>
    <x v="0"/>
    <s v="Road"/>
    <x v="0"/>
    <n v="136.1"/>
    <n v="798"/>
    <n v="5"/>
    <n v="7"/>
    <n v="0"/>
    <n v="2"/>
    <n v="77.23"/>
    <n v="0"/>
    <n v="1"/>
  </r>
  <r>
    <s v="SHP-505142"/>
    <d v="2025-11-21T00:00:00"/>
    <x v="1"/>
    <s v="Q4"/>
    <x v="10"/>
    <x v="2"/>
    <x v="0"/>
    <x v="3"/>
    <x v="2"/>
    <s v="Road"/>
    <x v="1"/>
    <n v="9.1"/>
    <n v="455"/>
    <n v="2"/>
    <n v="2"/>
    <n v="1"/>
    <n v="0"/>
    <n v="28.98"/>
    <n v="0"/>
    <n v="1"/>
  </r>
  <r>
    <s v="SHP-505143"/>
    <d v="2025-11-22T00:00:00"/>
    <x v="1"/>
    <s v="Q4"/>
    <x v="10"/>
    <x v="3"/>
    <x v="2"/>
    <x v="0"/>
    <x v="0"/>
    <s v="Road"/>
    <x v="1"/>
    <n v="2.7"/>
    <n v="993"/>
    <n v="4"/>
    <n v="4"/>
    <n v="1"/>
    <n v="0"/>
    <n v="22.92"/>
    <n v="0"/>
    <n v="1"/>
  </r>
  <r>
    <s v="SHP-505144"/>
    <d v="2025-11-22T00:00:00"/>
    <x v="1"/>
    <s v="Q4"/>
    <x v="10"/>
    <x v="2"/>
    <x v="2"/>
    <x v="1"/>
    <x v="0"/>
    <s v="Road"/>
    <x v="1"/>
    <n v="15.1"/>
    <n v="290"/>
    <n v="3"/>
    <n v="3"/>
    <n v="1"/>
    <n v="0"/>
    <n v="16.239999999999998"/>
    <n v="0"/>
    <n v="1"/>
  </r>
  <r>
    <s v="SHP-505145"/>
    <d v="2025-11-22T00:00:00"/>
    <x v="1"/>
    <s v="Q4"/>
    <x v="10"/>
    <x v="1"/>
    <x v="1"/>
    <x v="1"/>
    <x v="0"/>
    <s v="Road"/>
    <x v="0"/>
    <n v="34.4"/>
    <n v="277"/>
    <n v="3"/>
    <n v="3"/>
    <n v="1"/>
    <n v="0"/>
    <n v="31.04"/>
    <n v="0"/>
    <n v="1"/>
  </r>
  <r>
    <s v="SHP-505146"/>
    <d v="2025-11-22T00:00:00"/>
    <x v="1"/>
    <s v="Q4"/>
    <x v="10"/>
    <x v="0"/>
    <x v="0"/>
    <x v="3"/>
    <x v="0"/>
    <s v="Road"/>
    <x v="1"/>
    <n v="3.6"/>
    <n v="486"/>
    <n v="4"/>
    <n v="4"/>
    <n v="1"/>
    <n v="0"/>
    <n v="15.04"/>
    <n v="0"/>
    <n v="1"/>
  </r>
  <r>
    <s v="SHP-505147"/>
    <d v="2025-11-23T00:00:00"/>
    <x v="1"/>
    <s v="Q4"/>
    <x v="10"/>
    <x v="3"/>
    <x v="0"/>
    <x v="2"/>
    <x v="1"/>
    <s v="Road"/>
    <x v="1"/>
    <n v="12.1"/>
    <n v="1270"/>
    <n v="7"/>
    <n v="7"/>
    <n v="1"/>
    <n v="0"/>
    <n v="24.1"/>
    <n v="0"/>
    <n v="1"/>
  </r>
  <r>
    <s v="SHP-505148"/>
    <d v="2025-11-23T00:00:00"/>
    <x v="1"/>
    <s v="Q4"/>
    <x v="10"/>
    <x v="3"/>
    <x v="1"/>
    <x v="3"/>
    <x v="0"/>
    <s v="Road"/>
    <x v="0"/>
    <n v="133.30000000000001"/>
    <n v="521"/>
    <n v="4"/>
    <n v="4"/>
    <n v="1"/>
    <n v="0"/>
    <n v="67.83"/>
    <n v="0"/>
    <n v="1"/>
  </r>
  <r>
    <s v="SHP-505149"/>
    <d v="2025-11-23T00:00:00"/>
    <x v="1"/>
    <s v="Q4"/>
    <x v="10"/>
    <x v="3"/>
    <x v="0"/>
    <x v="0"/>
    <x v="0"/>
    <s v="Road"/>
    <x v="1"/>
    <n v="6.4"/>
    <n v="1178"/>
    <n v="4"/>
    <n v="3"/>
    <n v="1"/>
    <n v="0"/>
    <n v="26.22"/>
    <n v="0"/>
    <n v="1"/>
  </r>
  <r>
    <s v="SHP-505150"/>
    <d v="2025-11-23T00:00:00"/>
    <x v="1"/>
    <s v="Q4"/>
    <x v="10"/>
    <x v="4"/>
    <x v="2"/>
    <x v="1"/>
    <x v="0"/>
    <s v="Road"/>
    <x v="0"/>
    <n v="99.7"/>
    <n v="294"/>
    <n v="3"/>
    <n v="5"/>
    <n v="0"/>
    <n v="2"/>
    <n v="52.28"/>
    <n v="0"/>
    <n v="1"/>
  </r>
  <r>
    <s v="SHP-505151"/>
    <d v="2025-11-23T00:00:00"/>
    <x v="1"/>
    <s v="Q4"/>
    <x v="10"/>
    <x v="0"/>
    <x v="2"/>
    <x v="2"/>
    <x v="1"/>
    <s v="Road"/>
    <x v="1"/>
    <n v="17.600000000000001"/>
    <n v="1103"/>
    <n v="7"/>
    <n v="7"/>
    <n v="1"/>
    <n v="0"/>
    <n v="20.29"/>
    <n v="0"/>
    <n v="1"/>
  </r>
  <r>
    <s v="SHP-505152"/>
    <d v="2025-11-23T00:00:00"/>
    <x v="1"/>
    <s v="Q4"/>
    <x v="10"/>
    <x v="4"/>
    <x v="1"/>
    <x v="3"/>
    <x v="0"/>
    <s v="Road"/>
    <x v="1"/>
    <n v="3.6"/>
    <n v="512"/>
    <n v="4"/>
    <n v="4"/>
    <n v="1"/>
    <n v="0"/>
    <n v="14.63"/>
    <n v="0"/>
    <n v="1"/>
  </r>
  <r>
    <s v="SHP-505153"/>
    <d v="2025-11-23T00:00:00"/>
    <x v="1"/>
    <s v="Q4"/>
    <x v="10"/>
    <x v="4"/>
    <x v="2"/>
    <x v="0"/>
    <x v="1"/>
    <s v="Road"/>
    <x v="0"/>
    <n v="82"/>
    <n v="812"/>
    <n v="6"/>
    <n v="6"/>
    <n v="1"/>
    <n v="0"/>
    <n v="41.43"/>
    <n v="0"/>
    <n v="1"/>
  </r>
  <r>
    <s v="SHP-505154"/>
    <d v="2025-11-23T00:00:00"/>
    <x v="1"/>
    <s v="Q4"/>
    <x v="10"/>
    <x v="2"/>
    <x v="2"/>
    <x v="3"/>
    <x v="0"/>
    <s v="Road"/>
    <x v="1"/>
    <n v="13"/>
    <n v="439"/>
    <n v="4"/>
    <n v="4"/>
    <n v="1"/>
    <n v="0"/>
    <n v="16.559999999999999"/>
    <n v="0"/>
    <n v="1"/>
  </r>
  <r>
    <s v="SHP-505155"/>
    <d v="2025-11-23T00:00:00"/>
    <x v="1"/>
    <s v="Q4"/>
    <x v="10"/>
    <x v="0"/>
    <x v="1"/>
    <x v="1"/>
    <x v="2"/>
    <s v="Road"/>
    <x v="0"/>
    <n v="24.2"/>
    <n v="252"/>
    <n v="1"/>
    <n v="1"/>
    <n v="1"/>
    <n v="0"/>
    <n v="39.83"/>
    <n v="0"/>
    <n v="1"/>
  </r>
  <r>
    <s v="SHP-505156"/>
    <d v="2025-11-24T00:00:00"/>
    <x v="1"/>
    <s v="Q4"/>
    <x v="10"/>
    <x v="1"/>
    <x v="2"/>
    <x v="0"/>
    <x v="0"/>
    <s v="Road"/>
    <x v="0"/>
    <n v="61"/>
    <n v="985"/>
    <n v="4"/>
    <n v="4"/>
    <n v="1"/>
    <n v="0"/>
    <n v="44.78"/>
    <n v="0"/>
    <n v="1"/>
  </r>
  <r>
    <s v="SHP-505157"/>
    <d v="2025-11-24T00:00:00"/>
    <x v="1"/>
    <s v="Q4"/>
    <x v="10"/>
    <x v="0"/>
    <x v="1"/>
    <x v="4"/>
    <x v="0"/>
    <s v="Road"/>
    <x v="1"/>
    <n v="20.2"/>
    <n v="1084"/>
    <n v="5"/>
    <n v="6"/>
    <n v="0"/>
    <n v="1"/>
    <n v="29.29"/>
    <n v="0"/>
    <n v="1"/>
  </r>
  <r>
    <s v="SHP-505158"/>
    <d v="2025-11-24T00:00:00"/>
    <x v="1"/>
    <s v="Q4"/>
    <x v="10"/>
    <x v="1"/>
    <x v="0"/>
    <x v="0"/>
    <x v="0"/>
    <s v="Road"/>
    <x v="1"/>
    <n v="4.4000000000000004"/>
    <n v="963"/>
    <n v="4"/>
    <n v="4"/>
    <n v="1"/>
    <n v="0"/>
    <n v="21.34"/>
    <n v="0"/>
    <n v="1"/>
  </r>
  <r>
    <s v="SHP-505159"/>
    <d v="2025-11-24T00:00:00"/>
    <x v="1"/>
    <s v="Q4"/>
    <x v="10"/>
    <x v="1"/>
    <x v="2"/>
    <x v="0"/>
    <x v="0"/>
    <s v="Road"/>
    <x v="0"/>
    <n v="85.8"/>
    <n v="1026"/>
    <n v="4"/>
    <n v="5"/>
    <n v="0"/>
    <n v="1"/>
    <n v="63.49"/>
    <n v="0"/>
    <n v="1"/>
  </r>
  <r>
    <s v="SHP-505160"/>
    <d v="2025-11-24T00:00:00"/>
    <x v="1"/>
    <s v="Q4"/>
    <x v="10"/>
    <x v="2"/>
    <x v="1"/>
    <x v="4"/>
    <x v="1"/>
    <s v="Road"/>
    <x v="0"/>
    <n v="97.4"/>
    <n v="838"/>
    <n v="7"/>
    <n v="8"/>
    <n v="0"/>
    <n v="1"/>
    <n v="34.39"/>
    <n v="0"/>
    <n v="1"/>
  </r>
  <r>
    <s v="SHP-505161"/>
    <d v="2025-11-24T00:00:00"/>
    <x v="1"/>
    <s v="Q4"/>
    <x v="10"/>
    <x v="4"/>
    <x v="0"/>
    <x v="3"/>
    <x v="0"/>
    <s v="Road"/>
    <x v="0"/>
    <n v="31.2"/>
    <n v="287"/>
    <n v="4"/>
    <n v="4"/>
    <n v="1"/>
    <n v="0"/>
    <n v="27.97"/>
    <n v="0"/>
    <n v="1"/>
  </r>
  <r>
    <s v="SHP-505162"/>
    <d v="2025-11-24T00:00:00"/>
    <x v="1"/>
    <s v="Q4"/>
    <x v="10"/>
    <x v="1"/>
    <x v="1"/>
    <x v="1"/>
    <x v="0"/>
    <s v="Road"/>
    <x v="0"/>
    <n v="152.1"/>
    <n v="300"/>
    <n v="3"/>
    <n v="3"/>
    <n v="1"/>
    <n v="0"/>
    <n v="70.94"/>
    <n v="0"/>
    <n v="1"/>
  </r>
  <r>
    <s v="SHP-505163"/>
    <d v="2025-11-24T00:00:00"/>
    <x v="1"/>
    <s v="Q4"/>
    <x v="10"/>
    <x v="2"/>
    <x v="1"/>
    <x v="0"/>
    <x v="0"/>
    <s v="Road"/>
    <x v="1"/>
    <n v="3.9"/>
    <n v="1051"/>
    <n v="4"/>
    <n v="6"/>
    <n v="0"/>
    <n v="2"/>
    <n v="18.95"/>
    <n v="0"/>
    <n v="1"/>
  </r>
  <r>
    <s v="SHP-505164"/>
    <d v="2025-11-24T00:00:00"/>
    <x v="1"/>
    <s v="Q4"/>
    <x v="10"/>
    <x v="1"/>
    <x v="1"/>
    <x v="1"/>
    <x v="0"/>
    <s v="Road"/>
    <x v="1"/>
    <n v="7.7"/>
    <n v="311"/>
    <n v="3"/>
    <n v="3"/>
    <n v="1"/>
    <n v="0"/>
    <n v="15.26"/>
    <n v="0"/>
    <n v="1"/>
  </r>
  <r>
    <s v="SHP-505165"/>
    <d v="2025-11-24T00:00:00"/>
    <x v="1"/>
    <s v="Q4"/>
    <x v="10"/>
    <x v="1"/>
    <x v="0"/>
    <x v="0"/>
    <x v="1"/>
    <s v="Road"/>
    <x v="1"/>
    <n v="5.8"/>
    <n v="787"/>
    <n v="6"/>
    <n v="5"/>
    <n v="1"/>
    <n v="0"/>
    <n v="15.4"/>
    <n v="0"/>
    <n v="1"/>
  </r>
  <r>
    <s v="SHP-505166"/>
    <d v="2025-11-24T00:00:00"/>
    <x v="1"/>
    <s v="Q4"/>
    <x v="10"/>
    <x v="4"/>
    <x v="2"/>
    <x v="3"/>
    <x v="0"/>
    <s v="Road"/>
    <x v="0"/>
    <n v="223.2"/>
    <n v="467"/>
    <n v="4"/>
    <n v="7"/>
    <n v="0"/>
    <n v="3"/>
    <n v="95.12"/>
    <n v="0"/>
    <n v="1"/>
  </r>
  <r>
    <s v="SHP-505167"/>
    <d v="2025-11-24T00:00:00"/>
    <x v="1"/>
    <s v="Q4"/>
    <x v="10"/>
    <x v="2"/>
    <x v="2"/>
    <x v="3"/>
    <x v="2"/>
    <s v="Road"/>
    <x v="0"/>
    <n v="28.8"/>
    <n v="540"/>
    <n v="2"/>
    <n v="2"/>
    <n v="1"/>
    <n v="0"/>
    <n v="46.09"/>
    <n v="0"/>
    <n v="1"/>
  </r>
  <r>
    <s v="SHP-505168"/>
    <d v="2025-11-24T00:00:00"/>
    <x v="1"/>
    <s v="Q4"/>
    <x v="10"/>
    <x v="1"/>
    <x v="0"/>
    <x v="0"/>
    <x v="2"/>
    <s v="Air"/>
    <x v="1"/>
    <n v="5.8"/>
    <n v="830"/>
    <n v="2"/>
    <n v="2"/>
    <n v="1"/>
    <n v="0"/>
    <n v="63.44"/>
    <n v="0"/>
    <n v="1"/>
  </r>
  <r>
    <s v="SHP-505169"/>
    <d v="2025-11-24T00:00:00"/>
    <x v="1"/>
    <s v="Q4"/>
    <x v="10"/>
    <x v="4"/>
    <x v="2"/>
    <x v="1"/>
    <x v="0"/>
    <s v="Road"/>
    <x v="0"/>
    <n v="143.1"/>
    <n v="216"/>
    <n v="3"/>
    <n v="3"/>
    <n v="1"/>
    <n v="0"/>
    <n v="67.33"/>
    <n v="0"/>
    <n v="1"/>
  </r>
  <r>
    <s v="SHP-505170"/>
    <d v="2025-11-24T00:00:00"/>
    <x v="1"/>
    <s v="Q4"/>
    <x v="10"/>
    <x v="1"/>
    <x v="2"/>
    <x v="2"/>
    <x v="1"/>
    <s v="Road"/>
    <x v="1"/>
    <n v="28.3"/>
    <n v="1046"/>
    <n v="7"/>
    <n v="7"/>
    <n v="1"/>
    <n v="0"/>
    <n v="26.78"/>
    <n v="0"/>
    <n v="1"/>
  </r>
  <r>
    <s v="SHP-505171"/>
    <d v="2025-11-24T00:00:00"/>
    <x v="1"/>
    <s v="Q4"/>
    <x v="10"/>
    <x v="3"/>
    <x v="2"/>
    <x v="4"/>
    <x v="0"/>
    <s v="Road"/>
    <x v="1"/>
    <n v="19.3"/>
    <n v="1242"/>
    <n v="5"/>
    <n v="5"/>
    <n v="1"/>
    <n v="0"/>
    <n v="36.43"/>
    <n v="0"/>
    <n v="1"/>
  </r>
  <r>
    <s v="SHP-505172"/>
    <d v="2025-11-24T00:00:00"/>
    <x v="1"/>
    <s v="Q4"/>
    <x v="10"/>
    <x v="4"/>
    <x v="2"/>
    <x v="1"/>
    <x v="0"/>
    <s v="Road"/>
    <x v="1"/>
    <n v="5.3"/>
    <n v="195"/>
    <n v="3"/>
    <n v="3"/>
    <n v="1"/>
    <n v="0"/>
    <n v="12.38"/>
    <n v="0"/>
    <n v="1"/>
  </r>
  <r>
    <s v="SHP-505173"/>
    <d v="2025-11-24T00:00:00"/>
    <x v="1"/>
    <s v="Q4"/>
    <x v="10"/>
    <x v="4"/>
    <x v="1"/>
    <x v="3"/>
    <x v="0"/>
    <s v="Road"/>
    <x v="0"/>
    <n v="118.6"/>
    <n v="515"/>
    <n v="4"/>
    <n v="4"/>
    <n v="1"/>
    <n v="0"/>
    <n v="68.27"/>
    <n v="0"/>
    <n v="1"/>
  </r>
  <r>
    <s v="SHP-505174"/>
    <d v="2025-11-24T00:00:00"/>
    <x v="1"/>
    <s v="Q4"/>
    <x v="10"/>
    <x v="0"/>
    <x v="2"/>
    <x v="0"/>
    <x v="0"/>
    <s v="Road"/>
    <x v="1"/>
    <n v="1"/>
    <n v="875"/>
    <n v="4"/>
    <n v="4"/>
    <n v="1"/>
    <n v="0"/>
    <n v="17.170000000000002"/>
    <n v="0"/>
    <n v="1"/>
  </r>
  <r>
    <s v="SHP-505175"/>
    <d v="2025-11-24T00:00:00"/>
    <x v="1"/>
    <s v="Q4"/>
    <x v="10"/>
    <x v="4"/>
    <x v="1"/>
    <x v="1"/>
    <x v="1"/>
    <s v="Road"/>
    <x v="1"/>
    <n v="3.9"/>
    <n v="243"/>
    <n v="5"/>
    <n v="7"/>
    <n v="0"/>
    <n v="2"/>
    <n v="8.11"/>
    <n v="0"/>
    <n v="1"/>
  </r>
  <r>
    <s v="SHP-505176"/>
    <d v="2025-11-24T00:00:00"/>
    <x v="1"/>
    <s v="Q4"/>
    <x v="10"/>
    <x v="4"/>
    <x v="2"/>
    <x v="1"/>
    <x v="0"/>
    <s v="Road"/>
    <x v="1"/>
    <n v="1.9"/>
    <n v="154"/>
    <n v="3"/>
    <n v="4"/>
    <n v="0"/>
    <n v="1"/>
    <n v="10.7"/>
    <n v="0"/>
    <n v="1"/>
  </r>
  <r>
    <s v="SHP-505177"/>
    <d v="2025-11-24T00:00:00"/>
    <x v="1"/>
    <s v="Q4"/>
    <x v="10"/>
    <x v="4"/>
    <x v="1"/>
    <x v="1"/>
    <x v="0"/>
    <s v="Road"/>
    <x v="1"/>
    <n v="1.6"/>
    <n v="191"/>
    <n v="3"/>
    <n v="3"/>
    <n v="1"/>
    <n v="0"/>
    <n v="9.2899999999999991"/>
    <n v="0"/>
    <n v="1"/>
  </r>
  <r>
    <s v="SHP-505178"/>
    <d v="2025-11-25T00:00:00"/>
    <x v="1"/>
    <s v="Q4"/>
    <x v="10"/>
    <x v="3"/>
    <x v="2"/>
    <x v="2"/>
    <x v="1"/>
    <s v="Road"/>
    <x v="1"/>
    <n v="2.2000000000000002"/>
    <n v="1002"/>
    <n v="7"/>
    <n v="7"/>
    <n v="1"/>
    <n v="0"/>
    <n v="17.34"/>
    <n v="0"/>
    <n v="1"/>
  </r>
  <r>
    <s v="SHP-505179"/>
    <d v="2025-11-25T00:00:00"/>
    <x v="1"/>
    <s v="Q4"/>
    <x v="10"/>
    <x v="3"/>
    <x v="2"/>
    <x v="3"/>
    <x v="2"/>
    <s v="Road"/>
    <x v="0"/>
    <n v="51.3"/>
    <n v="430"/>
    <n v="2"/>
    <n v="3"/>
    <n v="0"/>
    <n v="1"/>
    <n v="75.38"/>
    <n v="0"/>
    <n v="1"/>
  </r>
  <r>
    <s v="SHP-505180"/>
    <d v="2025-11-25T00:00:00"/>
    <x v="1"/>
    <s v="Q4"/>
    <x v="10"/>
    <x v="2"/>
    <x v="2"/>
    <x v="2"/>
    <x v="0"/>
    <s v="Road"/>
    <x v="1"/>
    <n v="1.7"/>
    <n v="1277"/>
    <n v="5"/>
    <n v="5"/>
    <n v="1"/>
    <n v="0"/>
    <n v="20.6"/>
    <n v="0"/>
    <n v="1"/>
  </r>
  <r>
    <s v="SHP-505181"/>
    <d v="2025-11-25T00:00:00"/>
    <x v="1"/>
    <s v="Q4"/>
    <x v="10"/>
    <x v="3"/>
    <x v="2"/>
    <x v="1"/>
    <x v="1"/>
    <s v="Road"/>
    <x v="1"/>
    <n v="12.1"/>
    <n v="232"/>
    <n v="5"/>
    <n v="5"/>
    <n v="1"/>
    <n v="0"/>
    <n v="12.55"/>
    <n v="0"/>
    <n v="1"/>
  </r>
  <r>
    <s v="SHP-505182"/>
    <d v="2025-11-25T00:00:00"/>
    <x v="1"/>
    <s v="Q4"/>
    <x v="10"/>
    <x v="2"/>
    <x v="0"/>
    <x v="3"/>
    <x v="1"/>
    <s v="Road"/>
    <x v="0"/>
    <n v="12.5"/>
    <n v="365"/>
    <n v="6"/>
    <n v="6"/>
    <n v="1"/>
    <n v="0"/>
    <n v="11.08"/>
    <n v="0"/>
    <n v="1"/>
  </r>
  <r>
    <s v="SHP-505183"/>
    <d v="2025-11-25T00:00:00"/>
    <x v="1"/>
    <s v="Q4"/>
    <x v="10"/>
    <x v="1"/>
    <x v="1"/>
    <x v="3"/>
    <x v="0"/>
    <s v="Road"/>
    <x v="1"/>
    <n v="7.6"/>
    <n v="563"/>
    <n v="4"/>
    <n v="4"/>
    <n v="1"/>
    <n v="0"/>
    <n v="19.149999999999999"/>
    <n v="0"/>
    <n v="1"/>
  </r>
  <r>
    <s v="SHP-505184"/>
    <d v="2025-11-25T00:00:00"/>
    <x v="1"/>
    <s v="Q4"/>
    <x v="10"/>
    <x v="0"/>
    <x v="1"/>
    <x v="3"/>
    <x v="1"/>
    <s v="Road"/>
    <x v="1"/>
    <n v="1"/>
    <n v="486"/>
    <n v="6"/>
    <n v="6"/>
    <n v="1"/>
    <n v="0"/>
    <n v="7.26"/>
    <n v="0"/>
    <n v="1"/>
  </r>
  <r>
    <s v="SHP-505185"/>
    <d v="2025-11-25T00:00:00"/>
    <x v="1"/>
    <s v="Q4"/>
    <x v="10"/>
    <x v="1"/>
    <x v="2"/>
    <x v="0"/>
    <x v="0"/>
    <s v="Road"/>
    <x v="0"/>
    <n v="26.8"/>
    <n v="965"/>
    <n v="4"/>
    <n v="4"/>
    <n v="1"/>
    <n v="0"/>
    <n v="33.11"/>
    <n v="0"/>
    <n v="1"/>
  </r>
  <r>
    <s v="SHP-505186"/>
    <d v="2025-11-25T00:00:00"/>
    <x v="1"/>
    <s v="Q4"/>
    <x v="10"/>
    <x v="0"/>
    <x v="2"/>
    <x v="0"/>
    <x v="0"/>
    <s v="Road"/>
    <x v="1"/>
    <n v="7.4"/>
    <n v="976"/>
    <n v="4"/>
    <n v="3"/>
    <n v="1"/>
    <n v="0"/>
    <n v="20"/>
    <n v="0"/>
    <n v="1"/>
  </r>
  <r>
    <s v="SHP-505187"/>
    <d v="2025-11-25T00:00:00"/>
    <x v="1"/>
    <s v="Q4"/>
    <x v="10"/>
    <x v="3"/>
    <x v="1"/>
    <x v="0"/>
    <x v="1"/>
    <s v="Road"/>
    <x v="0"/>
    <n v="78.900000000000006"/>
    <n v="797"/>
    <n v="6"/>
    <n v="5"/>
    <n v="1"/>
    <n v="0"/>
    <n v="40.31"/>
    <n v="0"/>
    <n v="1"/>
  </r>
  <r>
    <s v="SHP-505188"/>
    <d v="2025-11-25T00:00:00"/>
    <x v="1"/>
    <s v="Q4"/>
    <x v="10"/>
    <x v="4"/>
    <x v="2"/>
    <x v="4"/>
    <x v="1"/>
    <s v="Road"/>
    <x v="1"/>
    <n v="16.399999999999999"/>
    <n v="1193"/>
    <n v="7"/>
    <n v="7"/>
    <n v="1"/>
    <n v="0"/>
    <n v="20.61"/>
    <n v="0"/>
    <n v="1"/>
  </r>
  <r>
    <s v="SHP-505189"/>
    <d v="2025-11-25T00:00:00"/>
    <x v="1"/>
    <s v="Q4"/>
    <x v="10"/>
    <x v="0"/>
    <x v="0"/>
    <x v="1"/>
    <x v="0"/>
    <s v="Road"/>
    <x v="1"/>
    <n v="6.4"/>
    <n v="250"/>
    <n v="3"/>
    <n v="3"/>
    <n v="1"/>
    <n v="0"/>
    <n v="12.44"/>
    <n v="0"/>
    <n v="1"/>
  </r>
  <r>
    <s v="SHP-505190"/>
    <d v="2025-11-25T00:00:00"/>
    <x v="1"/>
    <s v="Q4"/>
    <x v="10"/>
    <x v="3"/>
    <x v="2"/>
    <x v="1"/>
    <x v="0"/>
    <s v="Road"/>
    <x v="0"/>
    <n v="401.2"/>
    <n v="245"/>
    <n v="3"/>
    <n v="3"/>
    <n v="1"/>
    <n v="0"/>
    <n v="171.25"/>
    <n v="0"/>
    <n v="1"/>
  </r>
  <r>
    <s v="SHP-505191"/>
    <d v="2025-11-25T00:00:00"/>
    <x v="1"/>
    <s v="Q4"/>
    <x v="10"/>
    <x v="4"/>
    <x v="1"/>
    <x v="0"/>
    <x v="0"/>
    <s v="Road"/>
    <x v="1"/>
    <n v="8.3000000000000007"/>
    <n v="1064"/>
    <n v="4"/>
    <n v="4"/>
    <n v="1"/>
    <n v="0"/>
    <n v="21.54"/>
    <n v="0"/>
    <n v="1"/>
  </r>
  <r>
    <s v="SHP-505192"/>
    <d v="2025-11-25T00:00:00"/>
    <x v="1"/>
    <s v="Q4"/>
    <x v="10"/>
    <x v="1"/>
    <x v="1"/>
    <x v="2"/>
    <x v="0"/>
    <s v="Road"/>
    <x v="1"/>
    <n v="5.0999999999999996"/>
    <n v="1429"/>
    <n v="5"/>
    <n v="5"/>
    <n v="1"/>
    <n v="0"/>
    <n v="27.47"/>
    <n v="0"/>
    <n v="1"/>
  </r>
  <r>
    <s v="SHP-505193"/>
    <d v="2025-11-26T00:00:00"/>
    <x v="1"/>
    <s v="Q4"/>
    <x v="10"/>
    <x v="3"/>
    <x v="2"/>
    <x v="4"/>
    <x v="0"/>
    <s v="Road"/>
    <x v="1"/>
    <n v="8"/>
    <n v="1460"/>
    <n v="5"/>
    <n v="5"/>
    <n v="1"/>
    <n v="0"/>
    <n v="32.369999999999997"/>
    <n v="0"/>
    <n v="1"/>
  </r>
  <r>
    <s v="SHP-505194"/>
    <d v="2025-11-26T00:00:00"/>
    <x v="1"/>
    <s v="Q4"/>
    <x v="10"/>
    <x v="3"/>
    <x v="2"/>
    <x v="1"/>
    <x v="2"/>
    <s v="Road"/>
    <x v="1"/>
    <n v="9.8000000000000007"/>
    <n v="260"/>
    <n v="1"/>
    <n v="3"/>
    <n v="0"/>
    <n v="2"/>
    <n v="28.84"/>
    <n v="0"/>
    <n v="1"/>
  </r>
  <r>
    <s v="SHP-505195"/>
    <d v="2025-11-26T00:00:00"/>
    <x v="1"/>
    <s v="Q4"/>
    <x v="10"/>
    <x v="3"/>
    <x v="1"/>
    <x v="4"/>
    <x v="2"/>
    <s v="Air"/>
    <x v="1"/>
    <n v="9.6999999999999993"/>
    <n v="844"/>
    <n v="3"/>
    <n v="3"/>
    <n v="1"/>
    <n v="0"/>
    <n v="75.760000000000005"/>
    <n v="0"/>
    <n v="1"/>
  </r>
  <r>
    <s v="SHP-505196"/>
    <d v="2025-11-26T00:00:00"/>
    <x v="1"/>
    <s v="Q4"/>
    <x v="10"/>
    <x v="4"/>
    <x v="1"/>
    <x v="1"/>
    <x v="1"/>
    <s v="Road"/>
    <x v="0"/>
    <n v="111.9"/>
    <n v="319"/>
    <n v="5"/>
    <n v="5"/>
    <n v="1"/>
    <n v="0"/>
    <n v="43.83"/>
    <n v="0"/>
    <n v="1"/>
  </r>
  <r>
    <s v="SHP-505197"/>
    <d v="2025-11-26T00:00:00"/>
    <x v="1"/>
    <s v="Q4"/>
    <x v="10"/>
    <x v="0"/>
    <x v="1"/>
    <x v="3"/>
    <x v="0"/>
    <s v="Road"/>
    <x v="0"/>
    <n v="122.5"/>
    <n v="437"/>
    <n v="4"/>
    <n v="4"/>
    <n v="1"/>
    <n v="0"/>
    <n v="68.849999999999994"/>
    <n v="0"/>
    <n v="1"/>
  </r>
  <r>
    <s v="SHP-505198"/>
    <d v="2025-11-26T00:00:00"/>
    <x v="1"/>
    <s v="Q4"/>
    <x v="10"/>
    <x v="4"/>
    <x v="2"/>
    <x v="1"/>
    <x v="0"/>
    <s v="Road"/>
    <x v="0"/>
    <n v="78.099999999999994"/>
    <n v="314"/>
    <n v="3"/>
    <n v="6"/>
    <n v="0"/>
    <n v="3"/>
    <n v="47.86"/>
    <n v="0"/>
    <n v="1"/>
  </r>
  <r>
    <s v="SHP-505199"/>
    <d v="2025-11-26T00:00:00"/>
    <x v="1"/>
    <s v="Q4"/>
    <x v="10"/>
    <x v="1"/>
    <x v="2"/>
    <x v="1"/>
    <x v="1"/>
    <s v="Road"/>
    <x v="0"/>
    <n v="248.9"/>
    <n v="235"/>
    <n v="5"/>
    <n v="5"/>
    <n v="1"/>
    <n v="0"/>
    <n v="84.89"/>
    <n v="0"/>
    <n v="1"/>
  </r>
  <r>
    <s v="SHP-505200"/>
    <d v="2025-11-26T00:00:00"/>
    <x v="1"/>
    <s v="Q4"/>
    <x v="10"/>
    <x v="1"/>
    <x v="2"/>
    <x v="3"/>
    <x v="2"/>
    <s v="Road"/>
    <x v="0"/>
    <n v="58.2"/>
    <n v="560"/>
    <n v="2"/>
    <n v="1"/>
    <n v="1"/>
    <n v="0"/>
    <n v="73.72"/>
    <n v="0"/>
    <n v="1"/>
  </r>
  <r>
    <s v="SHP-505201"/>
    <d v="2025-11-26T00:00:00"/>
    <x v="1"/>
    <s v="Q4"/>
    <x v="10"/>
    <x v="0"/>
    <x v="2"/>
    <x v="0"/>
    <x v="0"/>
    <s v="Road"/>
    <x v="1"/>
    <n v="9"/>
    <n v="959"/>
    <n v="4"/>
    <n v="3"/>
    <n v="1"/>
    <n v="0"/>
    <n v="24.91"/>
    <n v="0"/>
    <n v="1"/>
  </r>
  <r>
    <s v="SHP-505202"/>
    <d v="2025-11-26T00:00:00"/>
    <x v="1"/>
    <s v="Q4"/>
    <x v="10"/>
    <x v="1"/>
    <x v="2"/>
    <x v="0"/>
    <x v="1"/>
    <s v="Road"/>
    <x v="0"/>
    <n v="271.8"/>
    <n v="1030"/>
    <n v="6"/>
    <n v="6"/>
    <n v="1"/>
    <n v="0"/>
    <n v="88.15"/>
    <n v="0"/>
    <n v="1"/>
  </r>
  <r>
    <s v="SHP-505203"/>
    <d v="2025-11-26T00:00:00"/>
    <x v="1"/>
    <s v="Q4"/>
    <x v="10"/>
    <x v="1"/>
    <x v="2"/>
    <x v="1"/>
    <x v="0"/>
    <s v="Road"/>
    <x v="1"/>
    <n v="12.3"/>
    <n v="202"/>
    <n v="3"/>
    <n v="3"/>
    <n v="1"/>
    <n v="0"/>
    <n v="15.77"/>
    <n v="0"/>
    <n v="1"/>
  </r>
  <r>
    <s v="SHP-505204"/>
    <d v="2025-11-26T00:00:00"/>
    <x v="1"/>
    <s v="Q4"/>
    <x v="10"/>
    <x v="4"/>
    <x v="2"/>
    <x v="4"/>
    <x v="0"/>
    <s v="Road"/>
    <x v="1"/>
    <n v="9"/>
    <n v="1088"/>
    <n v="5"/>
    <n v="9"/>
    <n v="0"/>
    <n v="4"/>
    <n v="23.82"/>
    <n v="0"/>
    <n v="1"/>
  </r>
  <r>
    <s v="SHP-505205"/>
    <d v="2025-11-26T00:00:00"/>
    <x v="1"/>
    <s v="Q4"/>
    <x v="10"/>
    <x v="4"/>
    <x v="1"/>
    <x v="2"/>
    <x v="0"/>
    <s v="Road"/>
    <x v="1"/>
    <n v="17.8"/>
    <n v="1484"/>
    <n v="5"/>
    <n v="4"/>
    <n v="1"/>
    <n v="0"/>
    <n v="33.03"/>
    <n v="0"/>
    <n v="1"/>
  </r>
  <r>
    <s v="SHP-505206"/>
    <d v="2025-11-26T00:00:00"/>
    <x v="1"/>
    <s v="Q4"/>
    <x v="10"/>
    <x v="2"/>
    <x v="2"/>
    <x v="0"/>
    <x v="2"/>
    <s v="Air"/>
    <x v="0"/>
    <n v="202.9"/>
    <n v="1027"/>
    <n v="2"/>
    <n v="5"/>
    <n v="0"/>
    <n v="3"/>
    <n v="271.39"/>
    <n v="0"/>
    <n v="1"/>
  </r>
  <r>
    <s v="SHP-505207"/>
    <d v="2025-11-26T00:00:00"/>
    <x v="1"/>
    <s v="Q4"/>
    <x v="10"/>
    <x v="2"/>
    <x v="1"/>
    <x v="0"/>
    <x v="1"/>
    <s v="Road"/>
    <x v="1"/>
    <n v="1.7"/>
    <n v="832"/>
    <n v="6"/>
    <n v="6"/>
    <n v="1"/>
    <n v="0"/>
    <n v="10.84"/>
    <n v="0"/>
    <n v="1"/>
  </r>
  <r>
    <s v="SHP-505208"/>
    <d v="2025-11-26T00:00:00"/>
    <x v="1"/>
    <s v="Q4"/>
    <x v="10"/>
    <x v="4"/>
    <x v="0"/>
    <x v="4"/>
    <x v="2"/>
    <s v="Air"/>
    <x v="1"/>
    <n v="12.7"/>
    <n v="1160"/>
    <n v="3"/>
    <n v="5"/>
    <n v="0"/>
    <n v="2"/>
    <n v="94.34"/>
    <n v="0"/>
    <n v="1"/>
  </r>
  <r>
    <s v="SHP-505209"/>
    <d v="2025-11-26T00:00:00"/>
    <x v="1"/>
    <s v="Q4"/>
    <x v="10"/>
    <x v="0"/>
    <x v="1"/>
    <x v="3"/>
    <x v="2"/>
    <s v="Road"/>
    <x v="1"/>
    <n v="11.4"/>
    <n v="459"/>
    <n v="2"/>
    <n v="1"/>
    <n v="1"/>
    <n v="0"/>
    <n v="32.869999999999997"/>
    <n v="0"/>
    <n v="1"/>
  </r>
  <r>
    <s v="SHP-505210"/>
    <d v="2025-11-26T00:00:00"/>
    <x v="1"/>
    <s v="Q4"/>
    <x v="10"/>
    <x v="3"/>
    <x v="2"/>
    <x v="0"/>
    <x v="2"/>
    <s v="Air"/>
    <x v="1"/>
    <n v="3"/>
    <n v="1004"/>
    <n v="2"/>
    <n v="2"/>
    <n v="1"/>
    <n v="0"/>
    <n v="72.53"/>
    <n v="0"/>
    <n v="1"/>
  </r>
  <r>
    <s v="SHP-505211"/>
    <d v="2025-11-27T00:00:00"/>
    <x v="1"/>
    <s v="Q4"/>
    <x v="10"/>
    <x v="3"/>
    <x v="2"/>
    <x v="2"/>
    <x v="1"/>
    <s v="Road"/>
    <x v="1"/>
    <n v="3.4"/>
    <n v="1063"/>
    <n v="7"/>
    <n v="8"/>
    <n v="0"/>
    <n v="1"/>
    <n v="18.690000000000001"/>
    <n v="0"/>
    <n v="1"/>
  </r>
  <r>
    <s v="SHP-505212"/>
    <d v="2025-11-27T00:00:00"/>
    <x v="1"/>
    <s v="Q4"/>
    <x v="10"/>
    <x v="2"/>
    <x v="0"/>
    <x v="3"/>
    <x v="0"/>
    <s v="Road"/>
    <x v="1"/>
    <n v="8"/>
    <n v="540"/>
    <n v="4"/>
    <n v="4"/>
    <n v="1"/>
    <n v="0"/>
    <n v="15.34"/>
    <n v="0"/>
    <n v="1"/>
  </r>
  <r>
    <s v="SHP-505213"/>
    <d v="2025-11-27T00:00:00"/>
    <x v="1"/>
    <s v="Q4"/>
    <x v="10"/>
    <x v="0"/>
    <x v="2"/>
    <x v="1"/>
    <x v="1"/>
    <s v="Road"/>
    <x v="1"/>
    <n v="3.7"/>
    <n v="246"/>
    <n v="5"/>
    <n v="7"/>
    <n v="0"/>
    <n v="2"/>
    <n v="8.24"/>
    <n v="0"/>
    <n v="1"/>
  </r>
  <r>
    <s v="SHP-505214"/>
    <d v="2025-11-27T00:00:00"/>
    <x v="1"/>
    <s v="Q4"/>
    <x v="10"/>
    <x v="0"/>
    <x v="0"/>
    <x v="2"/>
    <x v="0"/>
    <s v="Road"/>
    <x v="1"/>
    <n v="17"/>
    <n v="1174"/>
    <n v="5"/>
    <n v="5"/>
    <n v="1"/>
    <n v="0"/>
    <n v="25.62"/>
    <n v="0"/>
    <n v="1"/>
  </r>
  <r>
    <s v="SHP-505215"/>
    <d v="2025-11-27T00:00:00"/>
    <x v="1"/>
    <s v="Q4"/>
    <x v="10"/>
    <x v="0"/>
    <x v="0"/>
    <x v="1"/>
    <x v="0"/>
    <s v="Road"/>
    <x v="1"/>
    <n v="38.9"/>
    <n v="315"/>
    <n v="3"/>
    <n v="4"/>
    <n v="0"/>
    <n v="1"/>
    <n v="27.56"/>
    <n v="0"/>
    <n v="1"/>
  </r>
  <r>
    <s v="SHP-505216"/>
    <d v="2025-11-27T00:00:00"/>
    <x v="1"/>
    <s v="Q4"/>
    <x v="10"/>
    <x v="3"/>
    <x v="2"/>
    <x v="2"/>
    <x v="1"/>
    <s v="Road"/>
    <x v="1"/>
    <n v="8.6999999999999993"/>
    <n v="1035"/>
    <n v="7"/>
    <n v="7"/>
    <n v="1"/>
    <n v="0"/>
    <n v="19.579999999999998"/>
    <n v="0"/>
    <n v="1"/>
  </r>
  <r>
    <s v="SHP-505217"/>
    <d v="2025-11-27T00:00:00"/>
    <x v="1"/>
    <s v="Q4"/>
    <x v="10"/>
    <x v="1"/>
    <x v="2"/>
    <x v="3"/>
    <x v="0"/>
    <s v="Road"/>
    <x v="1"/>
    <n v="0.8"/>
    <n v="459"/>
    <n v="4"/>
    <n v="4"/>
    <n v="1"/>
    <n v="0"/>
    <n v="13.31"/>
    <n v="0"/>
    <n v="1"/>
  </r>
  <r>
    <s v="SHP-505218"/>
    <d v="2025-11-27T00:00:00"/>
    <x v="1"/>
    <s v="Q4"/>
    <x v="10"/>
    <x v="4"/>
    <x v="2"/>
    <x v="1"/>
    <x v="0"/>
    <s v="Road"/>
    <x v="1"/>
    <n v="8.6999999999999993"/>
    <n v="189"/>
    <n v="3"/>
    <n v="3"/>
    <n v="1"/>
    <n v="0"/>
    <n v="13.19"/>
    <n v="0"/>
    <n v="1"/>
  </r>
  <r>
    <s v="SHP-505219"/>
    <d v="2025-11-27T00:00:00"/>
    <x v="1"/>
    <s v="Q4"/>
    <x v="10"/>
    <x v="1"/>
    <x v="1"/>
    <x v="4"/>
    <x v="1"/>
    <s v="Road"/>
    <x v="1"/>
    <n v="9.9"/>
    <n v="716"/>
    <n v="7"/>
    <n v="7"/>
    <n v="1"/>
    <n v="0"/>
    <n v="16.190000000000001"/>
    <n v="0"/>
    <n v="1"/>
  </r>
  <r>
    <s v="SHP-505220"/>
    <d v="2025-11-27T00:00:00"/>
    <x v="1"/>
    <s v="Q4"/>
    <x v="10"/>
    <x v="3"/>
    <x v="0"/>
    <x v="2"/>
    <x v="0"/>
    <s v="Road"/>
    <x v="0"/>
    <n v="72.599999999999994"/>
    <n v="1446"/>
    <n v="5"/>
    <n v="5"/>
    <n v="1"/>
    <n v="0"/>
    <n v="68.13"/>
    <n v="0"/>
    <n v="1"/>
  </r>
  <r>
    <s v="SHP-505221"/>
    <d v="2025-11-27T00:00:00"/>
    <x v="1"/>
    <s v="Q4"/>
    <x v="10"/>
    <x v="4"/>
    <x v="2"/>
    <x v="0"/>
    <x v="1"/>
    <s v="Road"/>
    <x v="1"/>
    <n v="18.8"/>
    <n v="910"/>
    <n v="6"/>
    <n v="5"/>
    <n v="1"/>
    <n v="0"/>
    <n v="21.08"/>
    <n v="0"/>
    <n v="1"/>
  </r>
  <r>
    <s v="SHP-505222"/>
    <d v="2025-11-28T00:00:00"/>
    <x v="1"/>
    <s v="Q4"/>
    <x v="10"/>
    <x v="2"/>
    <x v="2"/>
    <x v="3"/>
    <x v="0"/>
    <s v="Road"/>
    <x v="1"/>
    <n v="3.4"/>
    <n v="558"/>
    <n v="4"/>
    <n v="4"/>
    <n v="1"/>
    <n v="0"/>
    <n v="12.25"/>
    <n v="0"/>
    <n v="1"/>
  </r>
  <r>
    <s v="SHP-505223"/>
    <d v="2025-11-28T00:00:00"/>
    <x v="1"/>
    <s v="Q4"/>
    <x v="10"/>
    <x v="2"/>
    <x v="2"/>
    <x v="0"/>
    <x v="0"/>
    <s v="Road"/>
    <x v="1"/>
    <n v="2.2000000000000002"/>
    <n v="969"/>
    <n v="4"/>
    <n v="3"/>
    <n v="1"/>
    <n v="0"/>
    <n v="15.27"/>
    <n v="0"/>
    <n v="1"/>
  </r>
  <r>
    <s v="SHP-505224"/>
    <d v="2025-11-28T00:00:00"/>
    <x v="1"/>
    <s v="Q4"/>
    <x v="10"/>
    <x v="0"/>
    <x v="1"/>
    <x v="1"/>
    <x v="0"/>
    <s v="Road"/>
    <x v="0"/>
    <n v="94.2"/>
    <n v="244"/>
    <n v="3"/>
    <n v="3"/>
    <n v="1"/>
    <n v="0"/>
    <n v="49.6"/>
    <n v="0"/>
    <n v="1"/>
  </r>
  <r>
    <s v="SHP-505225"/>
    <d v="2025-11-28T00:00:00"/>
    <x v="1"/>
    <s v="Q4"/>
    <x v="10"/>
    <x v="2"/>
    <x v="1"/>
    <x v="1"/>
    <x v="1"/>
    <s v="Road"/>
    <x v="0"/>
    <n v="57.7"/>
    <n v="258"/>
    <n v="5"/>
    <n v="9"/>
    <n v="0"/>
    <n v="4"/>
    <n v="21.29"/>
    <n v="0"/>
    <n v="1"/>
  </r>
  <r>
    <s v="SHP-505226"/>
    <d v="2025-11-28T00:00:00"/>
    <x v="1"/>
    <s v="Q4"/>
    <x v="10"/>
    <x v="0"/>
    <x v="1"/>
    <x v="1"/>
    <x v="2"/>
    <s v="Road"/>
    <x v="1"/>
    <n v="2.2000000000000002"/>
    <n v="293"/>
    <n v="1"/>
    <n v="1"/>
    <n v="1"/>
    <n v="0"/>
    <n v="21.29"/>
    <n v="0"/>
    <n v="1"/>
  </r>
  <r>
    <s v="SHP-505227"/>
    <d v="2025-11-28T00:00:00"/>
    <x v="1"/>
    <s v="Q4"/>
    <x v="10"/>
    <x v="0"/>
    <x v="0"/>
    <x v="4"/>
    <x v="0"/>
    <s v="Road"/>
    <x v="0"/>
    <n v="48.2"/>
    <n v="1031"/>
    <n v="5"/>
    <n v="5"/>
    <n v="1"/>
    <n v="0"/>
    <n v="43.74"/>
    <n v="0"/>
    <n v="1"/>
  </r>
  <r>
    <s v="SHP-505228"/>
    <d v="2025-11-28T00:00:00"/>
    <x v="1"/>
    <s v="Q4"/>
    <x v="10"/>
    <x v="2"/>
    <x v="2"/>
    <x v="1"/>
    <x v="2"/>
    <s v="Road"/>
    <x v="1"/>
    <n v="11.1"/>
    <n v="164"/>
    <n v="1"/>
    <n v="1"/>
    <n v="1"/>
    <n v="0"/>
    <n v="27.32"/>
    <n v="1"/>
    <n v="1"/>
  </r>
  <r>
    <s v="SHP-505229"/>
    <d v="2025-11-28T00:00:00"/>
    <x v="1"/>
    <s v="Q4"/>
    <x v="10"/>
    <x v="0"/>
    <x v="2"/>
    <x v="1"/>
    <x v="0"/>
    <s v="Road"/>
    <x v="1"/>
    <n v="16.8"/>
    <n v="221"/>
    <n v="3"/>
    <n v="2"/>
    <n v="1"/>
    <n v="0"/>
    <n v="16.57"/>
    <n v="0"/>
    <n v="1"/>
  </r>
  <r>
    <s v="SHP-505230"/>
    <d v="2025-11-28T00:00:00"/>
    <x v="1"/>
    <s v="Q4"/>
    <x v="10"/>
    <x v="3"/>
    <x v="0"/>
    <x v="0"/>
    <x v="0"/>
    <s v="Road"/>
    <x v="1"/>
    <n v="1.1000000000000001"/>
    <n v="773"/>
    <n v="4"/>
    <n v="4"/>
    <n v="1"/>
    <n v="0"/>
    <n v="18.649999999999999"/>
    <n v="0"/>
    <n v="1"/>
  </r>
  <r>
    <s v="SHP-505231"/>
    <d v="2025-11-28T00:00:00"/>
    <x v="1"/>
    <s v="Q4"/>
    <x v="10"/>
    <x v="1"/>
    <x v="1"/>
    <x v="1"/>
    <x v="1"/>
    <s v="Road"/>
    <x v="1"/>
    <n v="0.7"/>
    <n v="277"/>
    <n v="5"/>
    <n v="5"/>
    <n v="1"/>
    <n v="0"/>
    <n v="6.94"/>
    <n v="0"/>
    <n v="1"/>
  </r>
  <r>
    <s v="SHP-505232"/>
    <d v="2025-11-28T00:00:00"/>
    <x v="1"/>
    <s v="Q4"/>
    <x v="10"/>
    <x v="3"/>
    <x v="0"/>
    <x v="4"/>
    <x v="1"/>
    <s v="Road"/>
    <x v="1"/>
    <n v="3.7"/>
    <n v="1190"/>
    <n v="7"/>
    <n v="7"/>
    <n v="1"/>
    <n v="0"/>
    <n v="16.82"/>
    <n v="0"/>
    <n v="1"/>
  </r>
  <r>
    <s v="SHP-505233"/>
    <d v="2025-11-28T00:00:00"/>
    <x v="1"/>
    <s v="Q4"/>
    <x v="10"/>
    <x v="4"/>
    <x v="2"/>
    <x v="2"/>
    <x v="1"/>
    <s v="Road"/>
    <x v="0"/>
    <n v="93.6"/>
    <n v="1257"/>
    <n v="7"/>
    <n v="12"/>
    <n v="0"/>
    <n v="5"/>
    <n v="51.71"/>
    <n v="0"/>
    <n v="1"/>
  </r>
  <r>
    <s v="SHP-505234"/>
    <d v="2025-11-28T00:00:00"/>
    <x v="1"/>
    <s v="Q4"/>
    <x v="10"/>
    <x v="2"/>
    <x v="1"/>
    <x v="4"/>
    <x v="2"/>
    <s v="Air"/>
    <x v="1"/>
    <n v="3.2"/>
    <n v="1013"/>
    <n v="3"/>
    <n v="3"/>
    <n v="1"/>
    <n v="0"/>
    <n v="55.52"/>
    <n v="0"/>
    <n v="1"/>
  </r>
  <r>
    <s v="SHP-505235"/>
    <d v="2025-11-28T00:00:00"/>
    <x v="1"/>
    <s v="Q4"/>
    <x v="10"/>
    <x v="1"/>
    <x v="0"/>
    <x v="3"/>
    <x v="1"/>
    <s v="Road"/>
    <x v="0"/>
    <n v="47.8"/>
    <n v="350"/>
    <n v="6"/>
    <n v="6"/>
    <n v="1"/>
    <n v="0"/>
    <n v="24.67"/>
    <n v="0"/>
    <n v="1"/>
  </r>
  <r>
    <s v="SHP-505236"/>
    <d v="2025-11-28T00:00:00"/>
    <x v="1"/>
    <s v="Q4"/>
    <x v="10"/>
    <x v="4"/>
    <x v="0"/>
    <x v="3"/>
    <x v="2"/>
    <s v="Road"/>
    <x v="1"/>
    <n v="5.6"/>
    <n v="625"/>
    <n v="2"/>
    <n v="2"/>
    <n v="1"/>
    <n v="0"/>
    <n v="32.729999999999997"/>
    <n v="0"/>
    <n v="1"/>
  </r>
  <r>
    <s v="SHP-505237"/>
    <d v="2025-11-29T00:00:00"/>
    <x v="1"/>
    <s v="Q4"/>
    <x v="10"/>
    <x v="0"/>
    <x v="1"/>
    <x v="3"/>
    <x v="2"/>
    <s v="Road"/>
    <x v="1"/>
    <n v="4.5"/>
    <n v="391"/>
    <n v="2"/>
    <n v="2"/>
    <n v="1"/>
    <n v="0"/>
    <n v="26.17"/>
    <n v="0"/>
    <n v="1"/>
  </r>
  <r>
    <s v="SHP-505238"/>
    <d v="2025-11-29T00:00:00"/>
    <x v="1"/>
    <s v="Q4"/>
    <x v="10"/>
    <x v="3"/>
    <x v="2"/>
    <x v="2"/>
    <x v="0"/>
    <s v="Road"/>
    <x v="0"/>
    <n v="19.3"/>
    <n v="1221"/>
    <n v="5"/>
    <n v="6"/>
    <n v="0"/>
    <n v="1"/>
    <n v="30.5"/>
    <n v="0"/>
    <n v="1"/>
  </r>
  <r>
    <s v="SHP-505239"/>
    <d v="2025-11-29T00:00:00"/>
    <x v="1"/>
    <s v="Q4"/>
    <x v="10"/>
    <x v="3"/>
    <x v="1"/>
    <x v="1"/>
    <x v="2"/>
    <s v="Road"/>
    <x v="1"/>
    <n v="11.9"/>
    <n v="235"/>
    <n v="1"/>
    <n v="1"/>
    <n v="1"/>
    <n v="0"/>
    <n v="32.58"/>
    <n v="0"/>
    <n v="1"/>
  </r>
  <r>
    <s v="SHP-505240"/>
    <d v="2025-11-30T00:00:00"/>
    <x v="1"/>
    <s v="Q4"/>
    <x v="10"/>
    <x v="2"/>
    <x v="0"/>
    <x v="1"/>
    <x v="0"/>
    <s v="Road"/>
    <x v="0"/>
    <n v="182.9"/>
    <n v="265"/>
    <n v="3"/>
    <n v="6"/>
    <n v="0"/>
    <n v="3"/>
    <n v="81.099999999999994"/>
    <n v="0"/>
    <n v="1"/>
  </r>
  <r>
    <s v="SHP-505241"/>
    <d v="2025-11-30T00:00:00"/>
    <x v="1"/>
    <s v="Q4"/>
    <x v="10"/>
    <x v="3"/>
    <x v="2"/>
    <x v="3"/>
    <x v="0"/>
    <s v="Road"/>
    <x v="1"/>
    <n v="2.8"/>
    <n v="519"/>
    <n v="4"/>
    <n v="3"/>
    <n v="1"/>
    <n v="0"/>
    <n v="16.23"/>
    <n v="0"/>
    <n v="1"/>
  </r>
  <r>
    <s v="SHP-505242"/>
    <d v="2025-11-30T00:00:00"/>
    <x v="1"/>
    <s v="Q4"/>
    <x v="10"/>
    <x v="2"/>
    <x v="2"/>
    <x v="3"/>
    <x v="0"/>
    <s v="Road"/>
    <x v="0"/>
    <n v="239.7"/>
    <n v="524"/>
    <n v="4"/>
    <n v="5"/>
    <n v="0"/>
    <n v="1"/>
    <n v="95.24"/>
    <n v="0"/>
    <n v="1"/>
  </r>
  <r>
    <s v="SHP-505243"/>
    <d v="2025-11-30T00:00:00"/>
    <x v="1"/>
    <s v="Q4"/>
    <x v="10"/>
    <x v="4"/>
    <x v="1"/>
    <x v="3"/>
    <x v="1"/>
    <s v="Road"/>
    <x v="0"/>
    <n v="140.4"/>
    <n v="510"/>
    <n v="6"/>
    <n v="5"/>
    <n v="1"/>
    <n v="0"/>
    <n v="49.98"/>
    <n v="0"/>
    <n v="1"/>
  </r>
  <r>
    <s v="SHP-505244"/>
    <d v="2025-11-30T00:00:00"/>
    <x v="1"/>
    <s v="Q4"/>
    <x v="10"/>
    <x v="4"/>
    <x v="1"/>
    <x v="1"/>
    <x v="2"/>
    <s v="Road"/>
    <x v="0"/>
    <n v="8.5"/>
    <n v="231"/>
    <n v="1"/>
    <n v="1"/>
    <n v="1"/>
    <n v="0"/>
    <n v="25.23"/>
    <n v="0"/>
    <n v="1"/>
  </r>
  <r>
    <s v="SHP-505245"/>
    <d v="2025-11-30T00:00:00"/>
    <x v="1"/>
    <s v="Q4"/>
    <x v="10"/>
    <x v="1"/>
    <x v="2"/>
    <x v="1"/>
    <x v="0"/>
    <s v="Road"/>
    <x v="0"/>
    <n v="35.299999999999997"/>
    <n v="280"/>
    <n v="3"/>
    <n v="5"/>
    <n v="0"/>
    <n v="2"/>
    <n v="28.94"/>
    <n v="0"/>
    <n v="1"/>
  </r>
  <r>
    <s v="SHP-505246"/>
    <d v="2025-11-30T00:00:00"/>
    <x v="1"/>
    <s v="Q4"/>
    <x v="10"/>
    <x v="4"/>
    <x v="2"/>
    <x v="1"/>
    <x v="2"/>
    <s v="Road"/>
    <x v="0"/>
    <n v="65.2"/>
    <n v="277"/>
    <n v="1"/>
    <n v="1"/>
    <n v="1"/>
    <n v="0"/>
    <n v="68.75"/>
    <n v="0"/>
    <n v="1"/>
  </r>
  <r>
    <s v="SHP-505247"/>
    <d v="2025-11-30T00:00:00"/>
    <x v="1"/>
    <s v="Q4"/>
    <x v="10"/>
    <x v="4"/>
    <x v="1"/>
    <x v="4"/>
    <x v="1"/>
    <s v="Road"/>
    <x v="1"/>
    <n v="12"/>
    <n v="1095"/>
    <n v="7"/>
    <n v="6"/>
    <n v="1"/>
    <n v="0"/>
    <n v="18.149999999999999"/>
    <n v="0"/>
    <n v="1"/>
  </r>
  <r>
    <s v="SHP-505248"/>
    <d v="2025-12-01T00:00:00"/>
    <x v="1"/>
    <s v="Q4"/>
    <x v="11"/>
    <x v="2"/>
    <x v="1"/>
    <x v="1"/>
    <x v="0"/>
    <s v="Road"/>
    <x v="0"/>
    <n v="111.9"/>
    <n v="283"/>
    <n v="3"/>
    <n v="2"/>
    <n v="1"/>
    <n v="0"/>
    <n v="50.1"/>
    <n v="0"/>
    <n v="1"/>
  </r>
  <r>
    <s v="SHP-505249"/>
    <d v="2025-12-01T00:00:00"/>
    <x v="1"/>
    <s v="Q4"/>
    <x v="11"/>
    <x v="0"/>
    <x v="0"/>
    <x v="0"/>
    <x v="2"/>
    <s v="Air"/>
    <x v="0"/>
    <n v="98.2"/>
    <n v="872"/>
    <n v="2"/>
    <n v="1"/>
    <n v="1"/>
    <n v="0"/>
    <n v="174.93"/>
    <n v="0"/>
    <n v="1"/>
  </r>
  <r>
    <s v="SHP-505250"/>
    <d v="2025-12-01T00:00:00"/>
    <x v="1"/>
    <s v="Q4"/>
    <x v="11"/>
    <x v="4"/>
    <x v="2"/>
    <x v="0"/>
    <x v="0"/>
    <s v="Road"/>
    <x v="0"/>
    <n v="220.3"/>
    <n v="824"/>
    <n v="4"/>
    <n v="4"/>
    <n v="1"/>
    <n v="0"/>
    <n v="102.33"/>
    <n v="0"/>
    <n v="1"/>
  </r>
  <r>
    <s v="SHP-505251"/>
    <d v="2025-12-01T00:00:00"/>
    <x v="1"/>
    <s v="Q4"/>
    <x v="11"/>
    <x v="0"/>
    <x v="1"/>
    <x v="3"/>
    <x v="1"/>
    <s v="Road"/>
    <x v="0"/>
    <n v="100"/>
    <n v="393"/>
    <n v="6"/>
    <n v="6"/>
    <n v="1"/>
    <n v="0"/>
    <n v="37.85"/>
    <n v="0"/>
    <n v="1"/>
  </r>
  <r>
    <s v="SHP-505252"/>
    <d v="2025-12-01T00:00:00"/>
    <x v="1"/>
    <s v="Q4"/>
    <x v="11"/>
    <x v="2"/>
    <x v="2"/>
    <x v="3"/>
    <x v="1"/>
    <s v="Road"/>
    <x v="1"/>
    <n v="2.8"/>
    <n v="519"/>
    <n v="6"/>
    <n v="8"/>
    <n v="0"/>
    <n v="2"/>
    <n v="8.85"/>
    <n v="0"/>
    <n v="1"/>
  </r>
  <r>
    <s v="SHP-505253"/>
    <d v="2025-12-01T00:00:00"/>
    <x v="1"/>
    <s v="Q4"/>
    <x v="11"/>
    <x v="3"/>
    <x v="0"/>
    <x v="4"/>
    <x v="1"/>
    <s v="Road"/>
    <x v="0"/>
    <n v="161.9"/>
    <n v="1169"/>
    <n v="7"/>
    <n v="6"/>
    <n v="1"/>
    <n v="0"/>
    <n v="67.13"/>
    <n v="0"/>
    <n v="1"/>
  </r>
  <r>
    <s v="SHP-505254"/>
    <d v="2025-12-01T00:00:00"/>
    <x v="1"/>
    <s v="Q4"/>
    <x v="11"/>
    <x v="0"/>
    <x v="0"/>
    <x v="3"/>
    <x v="1"/>
    <s v="Road"/>
    <x v="1"/>
    <n v="4.2"/>
    <n v="433"/>
    <n v="6"/>
    <n v="7"/>
    <n v="0"/>
    <n v="1"/>
    <n v="10.29"/>
    <n v="0"/>
    <n v="1"/>
  </r>
  <r>
    <s v="SHP-505255"/>
    <d v="2025-12-01T00:00:00"/>
    <x v="1"/>
    <s v="Q4"/>
    <x v="11"/>
    <x v="0"/>
    <x v="0"/>
    <x v="3"/>
    <x v="1"/>
    <s v="Road"/>
    <x v="0"/>
    <n v="78.8"/>
    <n v="459"/>
    <n v="6"/>
    <n v="6"/>
    <n v="1"/>
    <n v="0"/>
    <n v="35.33"/>
    <n v="0"/>
    <n v="1"/>
  </r>
  <r>
    <s v="SHP-505256"/>
    <d v="2025-12-01T00:00:00"/>
    <x v="1"/>
    <s v="Q4"/>
    <x v="11"/>
    <x v="4"/>
    <x v="0"/>
    <x v="1"/>
    <x v="0"/>
    <s v="Road"/>
    <x v="1"/>
    <n v="2.4"/>
    <n v="215"/>
    <n v="3"/>
    <n v="3"/>
    <n v="1"/>
    <n v="0"/>
    <n v="11.77"/>
    <n v="0"/>
    <n v="1"/>
  </r>
  <r>
    <s v="SHP-505257"/>
    <d v="2025-12-01T00:00:00"/>
    <x v="1"/>
    <s v="Q4"/>
    <x v="11"/>
    <x v="2"/>
    <x v="0"/>
    <x v="1"/>
    <x v="2"/>
    <s v="Road"/>
    <x v="0"/>
    <n v="24.3"/>
    <n v="233"/>
    <n v="1"/>
    <n v="6"/>
    <n v="0"/>
    <n v="5"/>
    <n v="36.71"/>
    <n v="0"/>
    <n v="1"/>
  </r>
  <r>
    <s v="SHP-505258"/>
    <d v="2025-12-01T00:00:00"/>
    <x v="1"/>
    <s v="Q4"/>
    <x v="11"/>
    <x v="2"/>
    <x v="1"/>
    <x v="0"/>
    <x v="0"/>
    <s v="Road"/>
    <x v="1"/>
    <n v="5.5"/>
    <n v="1054"/>
    <n v="4"/>
    <n v="7"/>
    <n v="0"/>
    <n v="3"/>
    <n v="19.36"/>
    <n v="0"/>
    <n v="1"/>
  </r>
  <r>
    <s v="SHP-505259"/>
    <d v="2025-12-02T00:00:00"/>
    <x v="1"/>
    <s v="Q4"/>
    <x v="11"/>
    <x v="4"/>
    <x v="2"/>
    <x v="1"/>
    <x v="0"/>
    <s v="Road"/>
    <x v="1"/>
    <n v="8.6"/>
    <n v="267"/>
    <n v="3"/>
    <n v="3"/>
    <n v="1"/>
    <n v="0"/>
    <n v="14.51"/>
    <n v="0"/>
    <n v="1"/>
  </r>
  <r>
    <s v="SHP-505260"/>
    <d v="2025-12-02T00:00:00"/>
    <x v="1"/>
    <s v="Q4"/>
    <x v="11"/>
    <x v="3"/>
    <x v="0"/>
    <x v="2"/>
    <x v="0"/>
    <s v="Road"/>
    <x v="0"/>
    <n v="229.3"/>
    <n v="1151"/>
    <n v="5"/>
    <n v="5"/>
    <n v="1"/>
    <n v="0"/>
    <n v="120.93"/>
    <n v="0"/>
    <n v="1"/>
  </r>
  <r>
    <s v="SHP-505261"/>
    <d v="2025-12-02T00:00:00"/>
    <x v="1"/>
    <s v="Q4"/>
    <x v="11"/>
    <x v="4"/>
    <x v="1"/>
    <x v="0"/>
    <x v="0"/>
    <s v="Road"/>
    <x v="1"/>
    <n v="2.2999999999999998"/>
    <n v="642"/>
    <n v="4"/>
    <n v="7"/>
    <n v="0"/>
    <n v="3"/>
    <n v="16.440000000000001"/>
    <n v="0"/>
    <n v="1"/>
  </r>
  <r>
    <s v="SHP-505262"/>
    <d v="2025-12-02T00:00:00"/>
    <x v="1"/>
    <s v="Q4"/>
    <x v="11"/>
    <x v="0"/>
    <x v="2"/>
    <x v="3"/>
    <x v="0"/>
    <s v="Road"/>
    <x v="0"/>
    <n v="89.8"/>
    <n v="411"/>
    <n v="4"/>
    <n v="4"/>
    <n v="1"/>
    <n v="0"/>
    <n v="49.54"/>
    <n v="0"/>
    <n v="1"/>
  </r>
  <r>
    <s v="SHP-505263"/>
    <d v="2025-12-02T00:00:00"/>
    <x v="1"/>
    <s v="Q4"/>
    <x v="11"/>
    <x v="4"/>
    <x v="1"/>
    <x v="0"/>
    <x v="1"/>
    <s v="Road"/>
    <x v="1"/>
    <n v="9.3000000000000007"/>
    <n v="897"/>
    <n v="6"/>
    <n v="6"/>
    <n v="1"/>
    <n v="0"/>
    <n v="15.9"/>
    <n v="0"/>
    <n v="1"/>
  </r>
  <r>
    <s v="SHP-505264"/>
    <d v="2025-12-02T00:00:00"/>
    <x v="1"/>
    <s v="Q4"/>
    <x v="11"/>
    <x v="3"/>
    <x v="0"/>
    <x v="3"/>
    <x v="2"/>
    <s v="Road"/>
    <x v="0"/>
    <n v="59.5"/>
    <n v="470"/>
    <n v="2"/>
    <n v="2"/>
    <n v="1"/>
    <n v="0"/>
    <n v="83.34"/>
    <n v="0"/>
    <n v="1"/>
  </r>
  <r>
    <s v="SHP-505265"/>
    <d v="2025-12-02T00:00:00"/>
    <x v="1"/>
    <s v="Q4"/>
    <x v="11"/>
    <x v="3"/>
    <x v="2"/>
    <x v="4"/>
    <x v="0"/>
    <s v="Road"/>
    <x v="1"/>
    <n v="19.5"/>
    <n v="903"/>
    <n v="5"/>
    <n v="5"/>
    <n v="1"/>
    <n v="0"/>
    <n v="30.95"/>
    <n v="0"/>
    <n v="1"/>
  </r>
  <r>
    <s v="SHP-505266"/>
    <d v="2025-12-02T00:00:00"/>
    <x v="1"/>
    <s v="Q4"/>
    <x v="11"/>
    <x v="0"/>
    <x v="2"/>
    <x v="3"/>
    <x v="1"/>
    <s v="Road"/>
    <x v="0"/>
    <n v="81.599999999999994"/>
    <n v="472"/>
    <n v="6"/>
    <n v="7"/>
    <n v="0"/>
    <n v="1"/>
    <n v="34.979999999999997"/>
    <n v="0"/>
    <n v="1"/>
  </r>
  <r>
    <s v="SHP-505267"/>
    <d v="2025-12-02T00:00:00"/>
    <x v="1"/>
    <s v="Q4"/>
    <x v="11"/>
    <x v="4"/>
    <x v="1"/>
    <x v="3"/>
    <x v="0"/>
    <s v="Road"/>
    <x v="0"/>
    <n v="29"/>
    <n v="496"/>
    <n v="4"/>
    <n v="4"/>
    <n v="1"/>
    <n v="0"/>
    <n v="28.24"/>
    <n v="0"/>
    <n v="1"/>
  </r>
  <r>
    <s v="SHP-505268"/>
    <d v="2025-12-02T00:00:00"/>
    <x v="1"/>
    <s v="Q4"/>
    <x v="11"/>
    <x v="2"/>
    <x v="1"/>
    <x v="1"/>
    <x v="1"/>
    <s v="Road"/>
    <x v="1"/>
    <n v="1.7"/>
    <n v="288"/>
    <n v="5"/>
    <n v="5"/>
    <n v="1"/>
    <n v="0"/>
    <n v="6.59"/>
    <n v="0"/>
    <n v="1"/>
  </r>
  <r>
    <s v="SHP-505269"/>
    <d v="2025-12-02T00:00:00"/>
    <x v="1"/>
    <s v="Q4"/>
    <x v="11"/>
    <x v="2"/>
    <x v="2"/>
    <x v="1"/>
    <x v="1"/>
    <s v="Road"/>
    <x v="1"/>
    <n v="14.1"/>
    <n v="248"/>
    <n v="5"/>
    <n v="7"/>
    <n v="0"/>
    <n v="2"/>
    <n v="10.36"/>
    <n v="0"/>
    <n v="1"/>
  </r>
  <r>
    <s v="SHP-505270"/>
    <d v="2025-12-02T00:00:00"/>
    <x v="1"/>
    <s v="Q4"/>
    <x v="11"/>
    <x v="3"/>
    <x v="1"/>
    <x v="0"/>
    <x v="0"/>
    <s v="Road"/>
    <x v="0"/>
    <n v="237.8"/>
    <n v="514"/>
    <n v="4"/>
    <n v="4"/>
    <n v="1"/>
    <n v="0"/>
    <n v="120.2"/>
    <n v="0"/>
    <n v="1"/>
  </r>
  <r>
    <s v="SHP-505271"/>
    <d v="2025-12-02T00:00:00"/>
    <x v="1"/>
    <s v="Q4"/>
    <x v="11"/>
    <x v="3"/>
    <x v="2"/>
    <x v="3"/>
    <x v="0"/>
    <s v="Road"/>
    <x v="0"/>
    <n v="275.2"/>
    <n v="337"/>
    <n v="4"/>
    <n v="4"/>
    <n v="1"/>
    <n v="0"/>
    <n v="136.16"/>
    <n v="0"/>
    <n v="1"/>
  </r>
  <r>
    <s v="SHP-505272"/>
    <d v="2025-12-02T00:00:00"/>
    <x v="1"/>
    <s v="Q4"/>
    <x v="11"/>
    <x v="2"/>
    <x v="0"/>
    <x v="0"/>
    <x v="1"/>
    <s v="Road"/>
    <x v="1"/>
    <n v="4"/>
    <n v="740"/>
    <n v="6"/>
    <n v="6"/>
    <n v="1"/>
    <n v="0"/>
    <n v="11.02"/>
    <n v="1"/>
    <n v="1"/>
  </r>
  <r>
    <s v="SHP-505273"/>
    <d v="2025-12-02T00:00:00"/>
    <x v="1"/>
    <s v="Q4"/>
    <x v="11"/>
    <x v="2"/>
    <x v="1"/>
    <x v="0"/>
    <x v="1"/>
    <s v="Road"/>
    <x v="1"/>
    <n v="17.899999999999999"/>
    <n v="983"/>
    <n v="6"/>
    <n v="6"/>
    <n v="1"/>
    <n v="0"/>
    <n v="16.98"/>
    <n v="0"/>
    <n v="1"/>
  </r>
  <r>
    <s v="SHP-505274"/>
    <d v="2025-12-02T00:00:00"/>
    <x v="1"/>
    <s v="Q4"/>
    <x v="11"/>
    <x v="3"/>
    <x v="0"/>
    <x v="0"/>
    <x v="0"/>
    <s v="Road"/>
    <x v="1"/>
    <n v="4.8"/>
    <n v="837"/>
    <n v="4"/>
    <n v="4"/>
    <n v="1"/>
    <n v="0"/>
    <n v="19.489999999999998"/>
    <n v="0"/>
    <n v="1"/>
  </r>
  <r>
    <s v="SHP-505275"/>
    <d v="2025-12-02T00:00:00"/>
    <x v="1"/>
    <s v="Q4"/>
    <x v="11"/>
    <x v="0"/>
    <x v="1"/>
    <x v="3"/>
    <x v="2"/>
    <s v="Road"/>
    <x v="0"/>
    <n v="76.3"/>
    <n v="550"/>
    <n v="2"/>
    <n v="2"/>
    <n v="1"/>
    <n v="0"/>
    <n v="91.83"/>
    <n v="0"/>
    <n v="1"/>
  </r>
  <r>
    <s v="SHP-505276"/>
    <d v="2025-12-03T00:00:00"/>
    <x v="1"/>
    <s v="Q4"/>
    <x v="11"/>
    <x v="1"/>
    <x v="0"/>
    <x v="4"/>
    <x v="0"/>
    <s v="Road"/>
    <x v="1"/>
    <n v="12.1"/>
    <n v="872"/>
    <n v="5"/>
    <n v="4"/>
    <n v="1"/>
    <n v="0"/>
    <n v="24.31"/>
    <n v="0"/>
    <n v="1"/>
  </r>
  <r>
    <s v="SHP-505277"/>
    <d v="2025-12-03T00:00:00"/>
    <x v="1"/>
    <s v="Q4"/>
    <x v="11"/>
    <x v="2"/>
    <x v="2"/>
    <x v="1"/>
    <x v="0"/>
    <s v="Road"/>
    <x v="1"/>
    <n v="2.2999999999999998"/>
    <n v="293"/>
    <n v="3"/>
    <n v="3"/>
    <n v="1"/>
    <n v="0"/>
    <n v="9.77"/>
    <n v="0"/>
    <n v="1"/>
  </r>
  <r>
    <s v="SHP-505278"/>
    <d v="2025-12-03T00:00:00"/>
    <x v="1"/>
    <s v="Q4"/>
    <x v="11"/>
    <x v="4"/>
    <x v="2"/>
    <x v="4"/>
    <x v="2"/>
    <s v="Air"/>
    <x v="1"/>
    <n v="7"/>
    <n v="1033"/>
    <n v="3"/>
    <n v="3"/>
    <n v="1"/>
    <n v="0"/>
    <n v="79.47"/>
    <n v="0"/>
    <n v="1"/>
  </r>
  <r>
    <s v="SHP-505279"/>
    <d v="2025-12-03T00:00:00"/>
    <x v="1"/>
    <s v="Q4"/>
    <x v="11"/>
    <x v="2"/>
    <x v="2"/>
    <x v="4"/>
    <x v="0"/>
    <s v="Road"/>
    <x v="1"/>
    <n v="6.4"/>
    <n v="1194"/>
    <n v="5"/>
    <n v="4"/>
    <n v="1"/>
    <n v="0"/>
    <n v="19.95"/>
    <n v="0"/>
    <n v="1"/>
  </r>
  <r>
    <s v="SHP-505280"/>
    <d v="2025-12-03T00:00:00"/>
    <x v="1"/>
    <s v="Q4"/>
    <x v="11"/>
    <x v="0"/>
    <x v="1"/>
    <x v="1"/>
    <x v="1"/>
    <s v="Road"/>
    <x v="1"/>
    <n v="8.9"/>
    <n v="289"/>
    <n v="5"/>
    <n v="5"/>
    <n v="1"/>
    <n v="0"/>
    <n v="11.51"/>
    <n v="1"/>
    <n v="1"/>
  </r>
  <r>
    <s v="SHP-505281"/>
    <d v="2025-12-03T00:00:00"/>
    <x v="1"/>
    <s v="Q4"/>
    <x v="11"/>
    <x v="2"/>
    <x v="1"/>
    <x v="4"/>
    <x v="0"/>
    <s v="Road"/>
    <x v="0"/>
    <n v="154.30000000000001"/>
    <n v="1147"/>
    <n v="5"/>
    <n v="5"/>
    <n v="1"/>
    <n v="0"/>
    <n v="72.28"/>
    <n v="0"/>
    <n v="1"/>
  </r>
  <r>
    <s v="SHP-505282"/>
    <d v="2025-12-03T00:00:00"/>
    <x v="1"/>
    <s v="Q4"/>
    <x v="11"/>
    <x v="2"/>
    <x v="1"/>
    <x v="0"/>
    <x v="1"/>
    <s v="Road"/>
    <x v="1"/>
    <n v="6.9"/>
    <n v="929"/>
    <n v="6"/>
    <n v="5"/>
    <n v="1"/>
    <n v="0"/>
    <n v="12.74"/>
    <n v="0"/>
    <n v="1"/>
  </r>
  <r>
    <s v="SHP-505283"/>
    <d v="2025-12-03T00:00:00"/>
    <x v="1"/>
    <s v="Q4"/>
    <x v="11"/>
    <x v="2"/>
    <x v="2"/>
    <x v="3"/>
    <x v="0"/>
    <s v="Road"/>
    <x v="0"/>
    <n v="42.8"/>
    <n v="614"/>
    <n v="4"/>
    <n v="3"/>
    <n v="1"/>
    <n v="0"/>
    <n v="30.38"/>
    <n v="0"/>
    <n v="1"/>
  </r>
  <r>
    <s v="SHP-505284"/>
    <d v="2025-12-03T00:00:00"/>
    <x v="1"/>
    <s v="Q4"/>
    <x v="11"/>
    <x v="1"/>
    <x v="1"/>
    <x v="0"/>
    <x v="1"/>
    <s v="Road"/>
    <x v="0"/>
    <n v="181.2"/>
    <n v="979"/>
    <n v="6"/>
    <n v="6"/>
    <n v="1"/>
    <n v="0"/>
    <n v="74.05"/>
    <n v="0"/>
    <n v="1"/>
  </r>
  <r>
    <s v="SHP-505285"/>
    <d v="2025-12-03T00:00:00"/>
    <x v="1"/>
    <s v="Q4"/>
    <x v="11"/>
    <x v="4"/>
    <x v="1"/>
    <x v="3"/>
    <x v="2"/>
    <s v="Road"/>
    <x v="0"/>
    <n v="161.69999999999999"/>
    <n v="513"/>
    <n v="2"/>
    <n v="2"/>
    <n v="1"/>
    <n v="0"/>
    <n v="147.27000000000001"/>
    <n v="0"/>
    <n v="1"/>
  </r>
  <r>
    <s v="SHP-505286"/>
    <d v="2025-12-03T00:00:00"/>
    <x v="1"/>
    <s v="Q4"/>
    <x v="11"/>
    <x v="3"/>
    <x v="0"/>
    <x v="0"/>
    <x v="0"/>
    <s v="Road"/>
    <x v="0"/>
    <n v="88.8"/>
    <n v="694"/>
    <n v="4"/>
    <n v="4"/>
    <n v="1"/>
    <n v="0"/>
    <n v="63.25"/>
    <n v="0"/>
    <n v="1"/>
  </r>
  <r>
    <s v="SHP-505287"/>
    <d v="2025-12-03T00:00:00"/>
    <x v="1"/>
    <s v="Q4"/>
    <x v="11"/>
    <x v="4"/>
    <x v="2"/>
    <x v="3"/>
    <x v="2"/>
    <s v="Road"/>
    <x v="1"/>
    <n v="2.4"/>
    <n v="365"/>
    <n v="2"/>
    <n v="1"/>
    <n v="1"/>
    <n v="0"/>
    <n v="23.78"/>
    <n v="0"/>
    <n v="1"/>
  </r>
  <r>
    <s v="SHP-505288"/>
    <d v="2025-12-03T00:00:00"/>
    <x v="1"/>
    <s v="Q4"/>
    <x v="11"/>
    <x v="1"/>
    <x v="1"/>
    <x v="2"/>
    <x v="1"/>
    <s v="Road"/>
    <x v="1"/>
    <n v="4.9000000000000004"/>
    <n v="1174"/>
    <n v="7"/>
    <n v="9"/>
    <n v="0"/>
    <n v="2"/>
    <n v="18.48"/>
    <n v="0"/>
    <n v="1"/>
  </r>
  <r>
    <s v="SHP-505289"/>
    <d v="2025-12-03T00:00:00"/>
    <x v="1"/>
    <s v="Q4"/>
    <x v="11"/>
    <x v="3"/>
    <x v="1"/>
    <x v="1"/>
    <x v="1"/>
    <s v="Road"/>
    <x v="1"/>
    <n v="4"/>
    <n v="203"/>
    <n v="5"/>
    <n v="5"/>
    <n v="1"/>
    <n v="0"/>
    <n v="9.5500000000000007"/>
    <n v="0"/>
    <n v="1"/>
  </r>
  <r>
    <s v="SHP-505290"/>
    <d v="2025-12-04T00:00:00"/>
    <x v="1"/>
    <s v="Q4"/>
    <x v="11"/>
    <x v="2"/>
    <x v="2"/>
    <x v="0"/>
    <x v="2"/>
    <s v="Air"/>
    <x v="1"/>
    <n v="5.7"/>
    <n v="1205"/>
    <n v="2"/>
    <n v="4"/>
    <n v="0"/>
    <n v="2"/>
    <n v="61.73"/>
    <n v="0"/>
    <n v="1"/>
  </r>
  <r>
    <s v="SHP-505291"/>
    <d v="2025-12-04T00:00:00"/>
    <x v="1"/>
    <s v="Q4"/>
    <x v="11"/>
    <x v="3"/>
    <x v="2"/>
    <x v="1"/>
    <x v="2"/>
    <s v="Road"/>
    <x v="1"/>
    <n v="1.8"/>
    <n v="234"/>
    <n v="1"/>
    <n v="2"/>
    <n v="0"/>
    <n v="1"/>
    <n v="23.7"/>
    <n v="0"/>
    <n v="1"/>
  </r>
  <r>
    <s v="SHP-505292"/>
    <d v="2025-12-04T00:00:00"/>
    <x v="1"/>
    <s v="Q4"/>
    <x v="11"/>
    <x v="2"/>
    <x v="2"/>
    <x v="1"/>
    <x v="0"/>
    <s v="Road"/>
    <x v="1"/>
    <n v="8.1999999999999993"/>
    <n v="310"/>
    <n v="3"/>
    <n v="5"/>
    <n v="0"/>
    <n v="2"/>
    <n v="12.72"/>
    <n v="0"/>
    <n v="1"/>
  </r>
  <r>
    <s v="SHP-505293"/>
    <d v="2025-12-04T00:00:00"/>
    <x v="1"/>
    <s v="Q4"/>
    <x v="11"/>
    <x v="3"/>
    <x v="0"/>
    <x v="0"/>
    <x v="1"/>
    <s v="Road"/>
    <x v="1"/>
    <n v="2.8"/>
    <n v="1028"/>
    <n v="6"/>
    <n v="6"/>
    <n v="1"/>
    <n v="0"/>
    <n v="16.09"/>
    <n v="0"/>
    <n v="1"/>
  </r>
  <r>
    <s v="SHP-505294"/>
    <d v="2025-12-04T00:00:00"/>
    <x v="1"/>
    <s v="Q4"/>
    <x v="11"/>
    <x v="1"/>
    <x v="2"/>
    <x v="1"/>
    <x v="0"/>
    <s v="Road"/>
    <x v="1"/>
    <n v="2.7"/>
    <n v="247"/>
    <n v="3"/>
    <n v="3"/>
    <n v="1"/>
    <n v="0"/>
    <n v="11.66"/>
    <n v="0"/>
    <n v="1"/>
  </r>
  <r>
    <s v="SHP-505295"/>
    <d v="2025-12-04T00:00:00"/>
    <x v="1"/>
    <s v="Q4"/>
    <x v="11"/>
    <x v="3"/>
    <x v="1"/>
    <x v="2"/>
    <x v="1"/>
    <s v="Road"/>
    <x v="0"/>
    <n v="245.9"/>
    <n v="1160"/>
    <n v="7"/>
    <n v="7"/>
    <n v="1"/>
    <n v="0"/>
    <n v="94.01"/>
    <n v="0"/>
    <n v="1"/>
  </r>
  <r>
    <s v="SHP-505296"/>
    <d v="2025-12-04T00:00:00"/>
    <x v="1"/>
    <s v="Q4"/>
    <x v="11"/>
    <x v="4"/>
    <x v="2"/>
    <x v="1"/>
    <x v="0"/>
    <s v="Road"/>
    <x v="0"/>
    <n v="182.4"/>
    <n v="251"/>
    <n v="3"/>
    <n v="2"/>
    <n v="1"/>
    <n v="0"/>
    <n v="87.49"/>
    <n v="0"/>
    <n v="1"/>
  </r>
  <r>
    <s v="SHP-505297"/>
    <d v="2025-12-04T00:00:00"/>
    <x v="1"/>
    <s v="Q4"/>
    <x v="11"/>
    <x v="3"/>
    <x v="2"/>
    <x v="3"/>
    <x v="0"/>
    <s v="Road"/>
    <x v="0"/>
    <n v="162.30000000000001"/>
    <n v="450"/>
    <n v="4"/>
    <n v="3"/>
    <n v="1"/>
    <n v="0"/>
    <n v="92.54"/>
    <n v="0"/>
    <n v="1"/>
  </r>
  <r>
    <s v="SHP-505298"/>
    <d v="2025-12-04T00:00:00"/>
    <x v="1"/>
    <s v="Q4"/>
    <x v="11"/>
    <x v="3"/>
    <x v="2"/>
    <x v="4"/>
    <x v="2"/>
    <s v="Air"/>
    <x v="1"/>
    <n v="3.3"/>
    <n v="977"/>
    <n v="3"/>
    <n v="3"/>
    <n v="1"/>
    <n v="0"/>
    <n v="73.02"/>
    <n v="0"/>
    <n v="1"/>
  </r>
  <r>
    <s v="SHP-505299"/>
    <d v="2025-12-04T00:00:00"/>
    <x v="1"/>
    <s v="Q4"/>
    <x v="11"/>
    <x v="3"/>
    <x v="0"/>
    <x v="4"/>
    <x v="1"/>
    <s v="Road"/>
    <x v="0"/>
    <n v="14"/>
    <n v="1083"/>
    <n v="7"/>
    <n v="7"/>
    <n v="1"/>
    <n v="0"/>
    <n v="23.18"/>
    <n v="0"/>
    <n v="1"/>
  </r>
  <r>
    <s v="SHP-505300"/>
    <d v="2025-12-04T00:00:00"/>
    <x v="1"/>
    <s v="Q4"/>
    <x v="11"/>
    <x v="3"/>
    <x v="2"/>
    <x v="3"/>
    <x v="2"/>
    <s v="Road"/>
    <x v="0"/>
    <n v="74.400000000000006"/>
    <n v="635"/>
    <n v="2"/>
    <n v="3"/>
    <n v="0"/>
    <n v="1"/>
    <n v="108.29"/>
    <n v="0"/>
    <n v="1"/>
  </r>
  <r>
    <s v="SHP-505301"/>
    <d v="2025-12-04T00:00:00"/>
    <x v="1"/>
    <s v="Q4"/>
    <x v="11"/>
    <x v="0"/>
    <x v="2"/>
    <x v="2"/>
    <x v="0"/>
    <s v="Road"/>
    <x v="1"/>
    <n v="7.4"/>
    <n v="1173"/>
    <n v="5"/>
    <n v="5"/>
    <n v="1"/>
    <n v="0"/>
    <n v="24.98"/>
    <n v="0"/>
    <n v="1"/>
  </r>
  <r>
    <s v="SHP-505302"/>
    <d v="2025-12-04T00:00:00"/>
    <x v="1"/>
    <s v="Q4"/>
    <x v="11"/>
    <x v="4"/>
    <x v="1"/>
    <x v="3"/>
    <x v="2"/>
    <s v="Road"/>
    <x v="0"/>
    <n v="76.5"/>
    <n v="445"/>
    <n v="2"/>
    <n v="2"/>
    <n v="1"/>
    <n v="0"/>
    <n v="90.28"/>
    <n v="0"/>
    <n v="1"/>
  </r>
  <r>
    <s v="SHP-505303"/>
    <d v="2025-12-04T00:00:00"/>
    <x v="1"/>
    <s v="Q4"/>
    <x v="11"/>
    <x v="3"/>
    <x v="2"/>
    <x v="3"/>
    <x v="0"/>
    <s v="Road"/>
    <x v="0"/>
    <n v="30.5"/>
    <n v="505"/>
    <n v="4"/>
    <n v="4"/>
    <n v="1"/>
    <n v="0"/>
    <n v="35.56"/>
    <n v="0"/>
    <n v="1"/>
  </r>
  <r>
    <s v="SHP-505304"/>
    <d v="2025-12-04T00:00:00"/>
    <x v="1"/>
    <s v="Q4"/>
    <x v="11"/>
    <x v="2"/>
    <x v="2"/>
    <x v="0"/>
    <x v="1"/>
    <s v="Road"/>
    <x v="0"/>
    <n v="199.5"/>
    <n v="895"/>
    <n v="6"/>
    <n v="6"/>
    <n v="1"/>
    <n v="0"/>
    <n v="53.32"/>
    <n v="0"/>
    <n v="1"/>
  </r>
  <r>
    <s v="SHP-505305"/>
    <d v="2025-12-04T00:00:00"/>
    <x v="1"/>
    <s v="Q4"/>
    <x v="11"/>
    <x v="4"/>
    <x v="2"/>
    <x v="3"/>
    <x v="2"/>
    <s v="Road"/>
    <x v="1"/>
    <n v="1.8"/>
    <n v="389"/>
    <n v="2"/>
    <n v="2"/>
    <n v="1"/>
    <n v="0"/>
    <n v="21.16"/>
    <n v="0"/>
    <n v="1"/>
  </r>
  <r>
    <s v="SHP-505306"/>
    <d v="2025-12-05T00:00:00"/>
    <x v="1"/>
    <s v="Q4"/>
    <x v="11"/>
    <x v="4"/>
    <x v="1"/>
    <x v="4"/>
    <x v="0"/>
    <s v="Road"/>
    <x v="1"/>
    <n v="1.5"/>
    <n v="1075"/>
    <n v="5"/>
    <n v="4"/>
    <n v="1"/>
    <n v="0"/>
    <n v="19.28"/>
    <n v="0"/>
    <n v="1"/>
  </r>
  <r>
    <s v="SHP-505307"/>
    <d v="2025-12-05T00:00:00"/>
    <x v="1"/>
    <s v="Q4"/>
    <x v="11"/>
    <x v="4"/>
    <x v="2"/>
    <x v="2"/>
    <x v="0"/>
    <s v="Road"/>
    <x v="1"/>
    <n v="7.7"/>
    <n v="820"/>
    <n v="5"/>
    <n v="5"/>
    <n v="1"/>
    <n v="0"/>
    <n v="19.010000000000002"/>
    <n v="0"/>
    <n v="1"/>
  </r>
  <r>
    <s v="SHP-505308"/>
    <d v="2025-12-05T00:00:00"/>
    <x v="1"/>
    <s v="Q4"/>
    <x v="11"/>
    <x v="2"/>
    <x v="2"/>
    <x v="1"/>
    <x v="1"/>
    <s v="Road"/>
    <x v="1"/>
    <n v="6.8"/>
    <n v="212"/>
    <n v="5"/>
    <n v="5"/>
    <n v="1"/>
    <n v="0"/>
    <n v="7.8"/>
    <n v="0"/>
    <n v="1"/>
  </r>
  <r>
    <s v="SHP-505309"/>
    <d v="2025-12-05T00:00:00"/>
    <x v="1"/>
    <s v="Q4"/>
    <x v="11"/>
    <x v="3"/>
    <x v="2"/>
    <x v="0"/>
    <x v="0"/>
    <s v="Road"/>
    <x v="0"/>
    <n v="410.3"/>
    <n v="780"/>
    <n v="4"/>
    <n v="4"/>
    <n v="1"/>
    <n v="0"/>
    <n v="180.21"/>
    <n v="0"/>
    <n v="1"/>
  </r>
  <r>
    <s v="SHP-505310"/>
    <d v="2025-12-05T00:00:00"/>
    <x v="1"/>
    <s v="Q4"/>
    <x v="11"/>
    <x v="0"/>
    <x v="0"/>
    <x v="3"/>
    <x v="0"/>
    <s v="Road"/>
    <x v="0"/>
    <n v="185.9"/>
    <n v="414"/>
    <n v="4"/>
    <n v="5"/>
    <n v="0"/>
    <n v="1"/>
    <n v="82.83"/>
    <n v="0"/>
    <n v="1"/>
  </r>
  <r>
    <s v="SHP-505311"/>
    <d v="2025-12-05T00:00:00"/>
    <x v="1"/>
    <s v="Q4"/>
    <x v="11"/>
    <x v="4"/>
    <x v="2"/>
    <x v="3"/>
    <x v="0"/>
    <s v="Road"/>
    <x v="1"/>
    <n v="1.1000000000000001"/>
    <n v="504"/>
    <n v="4"/>
    <n v="4"/>
    <n v="1"/>
    <n v="0"/>
    <n v="13.09"/>
    <n v="0"/>
    <n v="1"/>
  </r>
  <r>
    <s v="SHP-505312"/>
    <d v="2025-12-05T00:00:00"/>
    <x v="1"/>
    <s v="Q4"/>
    <x v="11"/>
    <x v="4"/>
    <x v="0"/>
    <x v="1"/>
    <x v="0"/>
    <s v="Road"/>
    <x v="1"/>
    <n v="1.8"/>
    <n v="244"/>
    <n v="3"/>
    <n v="3"/>
    <n v="1"/>
    <n v="0"/>
    <n v="10.91"/>
    <n v="0"/>
    <n v="1"/>
  </r>
  <r>
    <s v="SHP-505313"/>
    <d v="2025-12-05T00:00:00"/>
    <x v="1"/>
    <s v="Q4"/>
    <x v="11"/>
    <x v="1"/>
    <x v="2"/>
    <x v="0"/>
    <x v="0"/>
    <s v="Road"/>
    <x v="1"/>
    <n v="1.3"/>
    <n v="794"/>
    <n v="4"/>
    <n v="4"/>
    <n v="1"/>
    <n v="0"/>
    <n v="18.399999999999999"/>
    <n v="0"/>
    <n v="1"/>
  </r>
  <r>
    <s v="SHP-505314"/>
    <d v="2025-12-05T00:00:00"/>
    <x v="1"/>
    <s v="Q4"/>
    <x v="11"/>
    <x v="3"/>
    <x v="2"/>
    <x v="1"/>
    <x v="0"/>
    <s v="Road"/>
    <x v="0"/>
    <n v="37.5"/>
    <n v="177"/>
    <n v="3"/>
    <n v="4"/>
    <n v="0"/>
    <n v="1"/>
    <n v="34.19"/>
    <n v="0"/>
    <n v="1"/>
  </r>
  <r>
    <s v="SHP-505315"/>
    <d v="2025-12-05T00:00:00"/>
    <x v="1"/>
    <s v="Q4"/>
    <x v="11"/>
    <x v="2"/>
    <x v="1"/>
    <x v="3"/>
    <x v="0"/>
    <s v="Road"/>
    <x v="1"/>
    <n v="14.7"/>
    <n v="582"/>
    <n v="4"/>
    <n v="4"/>
    <n v="1"/>
    <n v="0"/>
    <n v="19.61"/>
    <n v="0"/>
    <n v="1"/>
  </r>
  <r>
    <s v="SHP-505316"/>
    <d v="2025-12-05T00:00:00"/>
    <x v="1"/>
    <s v="Q4"/>
    <x v="11"/>
    <x v="2"/>
    <x v="2"/>
    <x v="2"/>
    <x v="0"/>
    <s v="Road"/>
    <x v="1"/>
    <n v="4.4000000000000004"/>
    <n v="1184"/>
    <n v="5"/>
    <n v="5"/>
    <n v="1"/>
    <n v="0"/>
    <n v="21.91"/>
    <n v="0"/>
    <n v="1"/>
  </r>
  <r>
    <s v="SHP-505317"/>
    <d v="2025-12-05T00:00:00"/>
    <x v="1"/>
    <s v="Q4"/>
    <x v="11"/>
    <x v="1"/>
    <x v="2"/>
    <x v="1"/>
    <x v="2"/>
    <s v="Road"/>
    <x v="1"/>
    <n v="8.6"/>
    <n v="252"/>
    <n v="1"/>
    <n v="1"/>
    <n v="1"/>
    <n v="0"/>
    <n v="30.4"/>
    <n v="0"/>
    <n v="1"/>
  </r>
  <r>
    <s v="SHP-505318"/>
    <d v="2025-12-05T00:00:00"/>
    <x v="1"/>
    <s v="Q4"/>
    <x v="11"/>
    <x v="4"/>
    <x v="2"/>
    <x v="0"/>
    <x v="1"/>
    <s v="Road"/>
    <x v="1"/>
    <n v="16.8"/>
    <n v="729"/>
    <n v="6"/>
    <n v="8"/>
    <n v="0"/>
    <n v="2"/>
    <n v="17.84"/>
    <n v="0"/>
    <n v="1"/>
  </r>
  <r>
    <s v="SHP-505319"/>
    <d v="2025-12-05T00:00:00"/>
    <x v="1"/>
    <s v="Q4"/>
    <x v="11"/>
    <x v="0"/>
    <x v="0"/>
    <x v="2"/>
    <x v="0"/>
    <s v="Road"/>
    <x v="1"/>
    <n v="7.5"/>
    <n v="1228"/>
    <n v="5"/>
    <n v="5"/>
    <n v="1"/>
    <n v="0"/>
    <n v="25.82"/>
    <n v="0"/>
    <n v="1"/>
  </r>
  <r>
    <s v="SHP-505320"/>
    <d v="2025-12-06T00:00:00"/>
    <x v="1"/>
    <s v="Q4"/>
    <x v="11"/>
    <x v="0"/>
    <x v="2"/>
    <x v="1"/>
    <x v="1"/>
    <s v="Road"/>
    <x v="1"/>
    <n v="2.2999999999999998"/>
    <n v="303"/>
    <n v="5"/>
    <n v="4"/>
    <n v="1"/>
    <n v="0"/>
    <n v="7.45"/>
    <n v="0"/>
    <n v="1"/>
  </r>
  <r>
    <s v="SHP-505321"/>
    <d v="2025-12-06T00:00:00"/>
    <x v="1"/>
    <s v="Q4"/>
    <x v="11"/>
    <x v="1"/>
    <x v="2"/>
    <x v="0"/>
    <x v="0"/>
    <s v="Road"/>
    <x v="1"/>
    <n v="11.3"/>
    <n v="930"/>
    <n v="4"/>
    <n v="8"/>
    <n v="0"/>
    <n v="4"/>
    <n v="23.48"/>
    <n v="0"/>
    <n v="1"/>
  </r>
  <r>
    <s v="SHP-505322"/>
    <d v="2025-12-06T00:00:00"/>
    <x v="1"/>
    <s v="Q4"/>
    <x v="11"/>
    <x v="1"/>
    <x v="2"/>
    <x v="4"/>
    <x v="2"/>
    <s v="Air"/>
    <x v="1"/>
    <n v="2.2000000000000002"/>
    <n v="951"/>
    <n v="3"/>
    <n v="3"/>
    <n v="1"/>
    <n v="0"/>
    <n v="64.77"/>
    <n v="0"/>
    <n v="1"/>
  </r>
  <r>
    <s v="SHP-505323"/>
    <d v="2025-12-07T00:00:00"/>
    <x v="1"/>
    <s v="Q4"/>
    <x v="11"/>
    <x v="4"/>
    <x v="1"/>
    <x v="1"/>
    <x v="0"/>
    <s v="Road"/>
    <x v="1"/>
    <n v="8.6"/>
    <n v="233"/>
    <n v="3"/>
    <n v="5"/>
    <n v="0"/>
    <n v="2"/>
    <n v="15.19"/>
    <n v="0"/>
    <n v="1"/>
  </r>
  <r>
    <s v="SHP-505324"/>
    <d v="2025-12-07T00:00:00"/>
    <x v="1"/>
    <s v="Q4"/>
    <x v="11"/>
    <x v="3"/>
    <x v="2"/>
    <x v="0"/>
    <x v="1"/>
    <s v="Road"/>
    <x v="1"/>
    <n v="8.5"/>
    <n v="854"/>
    <n v="6"/>
    <n v="6"/>
    <n v="1"/>
    <n v="0"/>
    <n v="18.010000000000002"/>
    <n v="0"/>
    <n v="1"/>
  </r>
  <r>
    <s v="SHP-505325"/>
    <d v="2025-12-07T00:00:00"/>
    <x v="1"/>
    <s v="Q4"/>
    <x v="11"/>
    <x v="3"/>
    <x v="1"/>
    <x v="3"/>
    <x v="2"/>
    <s v="Road"/>
    <x v="1"/>
    <n v="11.4"/>
    <n v="605"/>
    <n v="2"/>
    <n v="2"/>
    <n v="1"/>
    <n v="0"/>
    <n v="45.93"/>
    <n v="0"/>
    <n v="1"/>
  </r>
  <r>
    <s v="SHP-505326"/>
    <d v="2025-12-07T00:00:00"/>
    <x v="1"/>
    <s v="Q4"/>
    <x v="11"/>
    <x v="1"/>
    <x v="2"/>
    <x v="0"/>
    <x v="2"/>
    <s v="Air"/>
    <x v="0"/>
    <n v="126.5"/>
    <n v="983"/>
    <n v="2"/>
    <n v="2"/>
    <n v="1"/>
    <n v="0"/>
    <n v="227.87"/>
    <n v="0"/>
    <n v="1"/>
  </r>
  <r>
    <s v="SHP-505327"/>
    <d v="2025-12-07T00:00:00"/>
    <x v="1"/>
    <s v="Q4"/>
    <x v="11"/>
    <x v="2"/>
    <x v="0"/>
    <x v="4"/>
    <x v="1"/>
    <s v="Road"/>
    <x v="1"/>
    <n v="6.1"/>
    <n v="1256"/>
    <n v="7"/>
    <n v="7"/>
    <n v="1"/>
    <n v="0"/>
    <n v="16.59"/>
    <n v="0"/>
    <n v="1"/>
  </r>
  <r>
    <s v="SHP-505328"/>
    <d v="2025-12-07T00:00:00"/>
    <x v="1"/>
    <s v="Q4"/>
    <x v="11"/>
    <x v="4"/>
    <x v="2"/>
    <x v="0"/>
    <x v="0"/>
    <s v="Road"/>
    <x v="1"/>
    <n v="1.6"/>
    <n v="677"/>
    <n v="4"/>
    <n v="4"/>
    <n v="1"/>
    <n v="0"/>
    <n v="15.81"/>
    <n v="0"/>
    <n v="1"/>
  </r>
  <r>
    <s v="SHP-505329"/>
    <d v="2025-12-08T00:00:00"/>
    <x v="1"/>
    <s v="Q4"/>
    <x v="11"/>
    <x v="4"/>
    <x v="2"/>
    <x v="2"/>
    <x v="1"/>
    <s v="Road"/>
    <x v="1"/>
    <n v="14.2"/>
    <n v="1156"/>
    <n v="7"/>
    <n v="9"/>
    <n v="0"/>
    <n v="2"/>
    <n v="19.41"/>
    <n v="0"/>
    <n v="1"/>
  </r>
  <r>
    <s v="SHP-505330"/>
    <d v="2025-12-08T00:00:00"/>
    <x v="1"/>
    <s v="Q4"/>
    <x v="11"/>
    <x v="4"/>
    <x v="2"/>
    <x v="1"/>
    <x v="2"/>
    <s v="Road"/>
    <x v="0"/>
    <n v="180.2"/>
    <n v="232"/>
    <n v="1"/>
    <n v="5"/>
    <n v="0"/>
    <n v="4"/>
    <n v="157.94"/>
    <n v="0"/>
    <n v="1"/>
  </r>
  <r>
    <s v="SHP-505331"/>
    <d v="2025-12-08T00:00:00"/>
    <x v="1"/>
    <s v="Q4"/>
    <x v="11"/>
    <x v="0"/>
    <x v="2"/>
    <x v="0"/>
    <x v="1"/>
    <s v="Road"/>
    <x v="0"/>
    <n v="166"/>
    <n v="620"/>
    <n v="6"/>
    <n v="5"/>
    <n v="1"/>
    <n v="0"/>
    <n v="60.14"/>
    <n v="0"/>
    <n v="1"/>
  </r>
  <r>
    <s v="SHP-505332"/>
    <d v="2025-12-08T00:00:00"/>
    <x v="1"/>
    <s v="Q4"/>
    <x v="11"/>
    <x v="0"/>
    <x v="2"/>
    <x v="1"/>
    <x v="0"/>
    <s v="Road"/>
    <x v="1"/>
    <n v="6.7"/>
    <n v="235"/>
    <n v="3"/>
    <n v="3"/>
    <n v="1"/>
    <n v="0"/>
    <n v="13.56"/>
    <n v="0"/>
    <n v="1"/>
  </r>
  <r>
    <s v="SHP-505333"/>
    <d v="2025-12-08T00:00:00"/>
    <x v="1"/>
    <s v="Q4"/>
    <x v="11"/>
    <x v="3"/>
    <x v="0"/>
    <x v="3"/>
    <x v="0"/>
    <s v="Road"/>
    <x v="1"/>
    <n v="8.1999999999999993"/>
    <n v="584"/>
    <n v="4"/>
    <n v="4"/>
    <n v="1"/>
    <n v="0"/>
    <n v="22.77"/>
    <n v="0"/>
    <n v="1"/>
  </r>
  <r>
    <s v="SHP-505334"/>
    <d v="2025-12-08T00:00:00"/>
    <x v="1"/>
    <s v="Q4"/>
    <x v="11"/>
    <x v="3"/>
    <x v="0"/>
    <x v="1"/>
    <x v="0"/>
    <s v="Road"/>
    <x v="1"/>
    <n v="22.3"/>
    <n v="162"/>
    <n v="3"/>
    <n v="2"/>
    <n v="1"/>
    <n v="0"/>
    <n v="25.67"/>
    <n v="0"/>
    <n v="1"/>
  </r>
  <r>
    <s v="SHP-505335"/>
    <d v="2025-12-08T00:00:00"/>
    <x v="1"/>
    <s v="Q4"/>
    <x v="11"/>
    <x v="4"/>
    <x v="2"/>
    <x v="3"/>
    <x v="1"/>
    <s v="Road"/>
    <x v="1"/>
    <n v="4.0999999999999996"/>
    <n v="478"/>
    <n v="6"/>
    <n v="6"/>
    <n v="1"/>
    <n v="0"/>
    <n v="10.5"/>
    <n v="0"/>
    <n v="1"/>
  </r>
  <r>
    <s v="SHP-505336"/>
    <d v="2025-12-08T00:00:00"/>
    <x v="1"/>
    <s v="Q4"/>
    <x v="11"/>
    <x v="3"/>
    <x v="2"/>
    <x v="0"/>
    <x v="0"/>
    <s v="Road"/>
    <x v="0"/>
    <n v="120.8"/>
    <n v="853"/>
    <n v="4"/>
    <n v="3"/>
    <n v="1"/>
    <n v="0"/>
    <n v="66.040000000000006"/>
    <n v="0"/>
    <n v="1"/>
  </r>
  <r>
    <s v="SHP-505337"/>
    <d v="2025-12-08T00:00:00"/>
    <x v="1"/>
    <s v="Q4"/>
    <x v="11"/>
    <x v="4"/>
    <x v="2"/>
    <x v="2"/>
    <x v="0"/>
    <s v="Road"/>
    <x v="1"/>
    <n v="4.2"/>
    <n v="849"/>
    <n v="5"/>
    <n v="5"/>
    <n v="1"/>
    <n v="0"/>
    <n v="18.829999999999998"/>
    <n v="0"/>
    <n v="1"/>
  </r>
  <r>
    <s v="SHP-505338"/>
    <d v="2025-12-08T00:00:00"/>
    <x v="1"/>
    <s v="Q4"/>
    <x v="11"/>
    <x v="1"/>
    <x v="2"/>
    <x v="3"/>
    <x v="1"/>
    <s v="Road"/>
    <x v="1"/>
    <n v="2.9"/>
    <n v="491"/>
    <n v="6"/>
    <n v="6"/>
    <n v="1"/>
    <n v="0"/>
    <n v="11.03"/>
    <n v="0"/>
    <n v="1"/>
  </r>
  <r>
    <s v="SHP-505339"/>
    <d v="2025-12-08T00:00:00"/>
    <x v="1"/>
    <s v="Q4"/>
    <x v="11"/>
    <x v="3"/>
    <x v="2"/>
    <x v="0"/>
    <x v="1"/>
    <s v="Road"/>
    <x v="1"/>
    <n v="3.2"/>
    <n v="1002"/>
    <n v="6"/>
    <n v="6"/>
    <n v="1"/>
    <n v="0"/>
    <n v="15.62"/>
    <n v="0"/>
    <n v="1"/>
  </r>
  <r>
    <s v="SHP-505340"/>
    <d v="2025-12-09T00:00:00"/>
    <x v="1"/>
    <s v="Q4"/>
    <x v="11"/>
    <x v="3"/>
    <x v="2"/>
    <x v="0"/>
    <x v="0"/>
    <s v="Road"/>
    <x v="1"/>
    <n v="1.1000000000000001"/>
    <n v="1016"/>
    <n v="4"/>
    <n v="4"/>
    <n v="1"/>
    <n v="0"/>
    <n v="21.25"/>
    <n v="0"/>
    <n v="1"/>
  </r>
  <r>
    <s v="SHP-505341"/>
    <d v="2025-12-09T00:00:00"/>
    <x v="1"/>
    <s v="Q4"/>
    <x v="11"/>
    <x v="3"/>
    <x v="1"/>
    <x v="3"/>
    <x v="0"/>
    <s v="Road"/>
    <x v="0"/>
    <n v="92.5"/>
    <n v="560"/>
    <n v="4"/>
    <n v="4"/>
    <n v="1"/>
    <n v="0"/>
    <n v="58.3"/>
    <n v="0"/>
    <n v="1"/>
  </r>
  <r>
    <s v="SHP-505342"/>
    <d v="2025-12-09T00:00:00"/>
    <x v="1"/>
    <s v="Q4"/>
    <x v="11"/>
    <x v="4"/>
    <x v="0"/>
    <x v="1"/>
    <x v="1"/>
    <s v="Road"/>
    <x v="1"/>
    <n v="6.4"/>
    <n v="281"/>
    <n v="5"/>
    <n v="5"/>
    <n v="1"/>
    <n v="0"/>
    <n v="10.14"/>
    <n v="0"/>
    <n v="1"/>
  </r>
  <r>
    <s v="SHP-505343"/>
    <d v="2025-12-09T00:00:00"/>
    <x v="1"/>
    <s v="Q4"/>
    <x v="11"/>
    <x v="4"/>
    <x v="2"/>
    <x v="3"/>
    <x v="1"/>
    <s v="Road"/>
    <x v="0"/>
    <n v="341.8"/>
    <n v="450"/>
    <n v="6"/>
    <n v="5"/>
    <n v="1"/>
    <n v="0"/>
    <n v="91.19"/>
    <n v="0"/>
    <n v="1"/>
  </r>
  <r>
    <s v="SHP-505344"/>
    <d v="2025-12-09T00:00:00"/>
    <x v="1"/>
    <s v="Q4"/>
    <x v="11"/>
    <x v="2"/>
    <x v="2"/>
    <x v="1"/>
    <x v="0"/>
    <s v="Road"/>
    <x v="1"/>
    <n v="4.8"/>
    <n v="257"/>
    <n v="3"/>
    <n v="2"/>
    <n v="1"/>
    <n v="0"/>
    <n v="9.93"/>
    <n v="0"/>
    <n v="1"/>
  </r>
  <r>
    <s v="SHP-505345"/>
    <d v="2025-12-09T00:00:00"/>
    <x v="1"/>
    <s v="Q4"/>
    <x v="11"/>
    <x v="2"/>
    <x v="1"/>
    <x v="2"/>
    <x v="0"/>
    <s v="Road"/>
    <x v="0"/>
    <n v="67.5"/>
    <n v="1381"/>
    <n v="5"/>
    <n v="7"/>
    <n v="0"/>
    <n v="2"/>
    <n v="42.52"/>
    <n v="0"/>
    <n v="1"/>
  </r>
  <r>
    <s v="SHP-505346"/>
    <d v="2025-12-10T00:00:00"/>
    <x v="1"/>
    <s v="Q4"/>
    <x v="11"/>
    <x v="0"/>
    <x v="1"/>
    <x v="2"/>
    <x v="2"/>
    <s v="Air"/>
    <x v="0"/>
    <n v="144.6"/>
    <n v="1050"/>
    <n v="3"/>
    <n v="3"/>
    <n v="1"/>
    <n v="0"/>
    <n v="236.64"/>
    <n v="0"/>
    <n v="1"/>
  </r>
  <r>
    <s v="SHP-505347"/>
    <d v="2025-12-10T00:00:00"/>
    <x v="1"/>
    <s v="Q4"/>
    <x v="11"/>
    <x v="1"/>
    <x v="2"/>
    <x v="4"/>
    <x v="2"/>
    <s v="Air"/>
    <x v="0"/>
    <n v="22.7"/>
    <n v="1062"/>
    <n v="3"/>
    <n v="2"/>
    <n v="1"/>
    <n v="0"/>
    <n v="105.43"/>
    <n v="0"/>
    <n v="1"/>
  </r>
  <r>
    <s v="SHP-505348"/>
    <d v="2025-12-10T00:00:00"/>
    <x v="1"/>
    <s v="Q4"/>
    <x v="11"/>
    <x v="3"/>
    <x v="2"/>
    <x v="3"/>
    <x v="0"/>
    <s v="Road"/>
    <x v="1"/>
    <n v="1.2"/>
    <n v="451"/>
    <n v="4"/>
    <n v="4"/>
    <n v="1"/>
    <n v="0"/>
    <n v="14.14"/>
    <n v="0"/>
    <n v="1"/>
  </r>
  <r>
    <s v="SHP-505349"/>
    <d v="2025-12-10T00:00:00"/>
    <x v="1"/>
    <s v="Q4"/>
    <x v="11"/>
    <x v="1"/>
    <x v="1"/>
    <x v="1"/>
    <x v="2"/>
    <s v="Road"/>
    <x v="0"/>
    <n v="137"/>
    <n v="274"/>
    <n v="1"/>
    <n v="1"/>
    <n v="1"/>
    <n v="0"/>
    <n v="138.52000000000001"/>
    <n v="0"/>
    <n v="1"/>
  </r>
  <r>
    <s v="SHP-505350"/>
    <d v="2025-12-10T00:00:00"/>
    <x v="1"/>
    <s v="Q4"/>
    <x v="11"/>
    <x v="1"/>
    <x v="1"/>
    <x v="1"/>
    <x v="1"/>
    <s v="Road"/>
    <x v="1"/>
    <n v="2.1"/>
    <n v="244"/>
    <n v="5"/>
    <n v="9"/>
    <n v="0"/>
    <n v="4"/>
    <n v="7.68"/>
    <n v="0"/>
    <n v="1"/>
  </r>
  <r>
    <s v="SHP-505351"/>
    <d v="2025-12-10T00:00:00"/>
    <x v="1"/>
    <s v="Q4"/>
    <x v="11"/>
    <x v="2"/>
    <x v="0"/>
    <x v="3"/>
    <x v="0"/>
    <s v="Road"/>
    <x v="1"/>
    <n v="3.9"/>
    <n v="647"/>
    <n v="4"/>
    <n v="4"/>
    <n v="1"/>
    <n v="0"/>
    <n v="15.19"/>
    <n v="0"/>
    <n v="1"/>
  </r>
  <r>
    <s v="SHP-505352"/>
    <d v="2025-12-10T00:00:00"/>
    <x v="1"/>
    <s v="Q4"/>
    <x v="11"/>
    <x v="2"/>
    <x v="2"/>
    <x v="0"/>
    <x v="2"/>
    <s v="Air"/>
    <x v="0"/>
    <n v="81.8"/>
    <n v="1180"/>
    <n v="2"/>
    <n v="2"/>
    <n v="1"/>
    <n v="0"/>
    <n v="157.63999999999999"/>
    <n v="1"/>
    <n v="1"/>
  </r>
  <r>
    <s v="SHP-505353"/>
    <d v="2025-12-10T00:00:00"/>
    <x v="1"/>
    <s v="Q4"/>
    <x v="11"/>
    <x v="0"/>
    <x v="1"/>
    <x v="3"/>
    <x v="0"/>
    <s v="Road"/>
    <x v="0"/>
    <n v="236.9"/>
    <n v="425"/>
    <n v="4"/>
    <n v="6"/>
    <n v="0"/>
    <n v="2"/>
    <n v="91.66"/>
    <n v="0"/>
    <n v="1"/>
  </r>
  <r>
    <s v="SHP-505354"/>
    <d v="2025-12-10T00:00:00"/>
    <x v="1"/>
    <s v="Q4"/>
    <x v="11"/>
    <x v="3"/>
    <x v="1"/>
    <x v="0"/>
    <x v="0"/>
    <s v="Road"/>
    <x v="1"/>
    <n v="1.9"/>
    <n v="927"/>
    <n v="4"/>
    <n v="4"/>
    <n v="1"/>
    <n v="0"/>
    <n v="22.51"/>
    <n v="0"/>
    <n v="1"/>
  </r>
  <r>
    <s v="SHP-505355"/>
    <d v="2025-12-10T00:00:00"/>
    <x v="1"/>
    <s v="Q4"/>
    <x v="11"/>
    <x v="4"/>
    <x v="2"/>
    <x v="1"/>
    <x v="2"/>
    <s v="Road"/>
    <x v="1"/>
    <n v="8.6999999999999993"/>
    <n v="288"/>
    <n v="1"/>
    <n v="1"/>
    <n v="1"/>
    <n v="0"/>
    <n v="28.36"/>
    <n v="0"/>
    <n v="1"/>
  </r>
  <r>
    <s v="SHP-505356"/>
    <d v="2025-12-11T00:00:00"/>
    <x v="1"/>
    <s v="Q4"/>
    <x v="11"/>
    <x v="2"/>
    <x v="2"/>
    <x v="4"/>
    <x v="0"/>
    <s v="Road"/>
    <x v="1"/>
    <n v="6.7"/>
    <n v="1110"/>
    <n v="5"/>
    <n v="9"/>
    <n v="0"/>
    <n v="4"/>
    <n v="19.21"/>
    <n v="0"/>
    <n v="1"/>
  </r>
  <r>
    <s v="SHP-505357"/>
    <d v="2025-12-11T00:00:00"/>
    <x v="1"/>
    <s v="Q4"/>
    <x v="11"/>
    <x v="4"/>
    <x v="0"/>
    <x v="1"/>
    <x v="1"/>
    <s v="Road"/>
    <x v="0"/>
    <n v="197.4"/>
    <n v="214"/>
    <n v="5"/>
    <n v="5"/>
    <n v="1"/>
    <n v="0"/>
    <n v="55.37"/>
    <n v="0"/>
    <n v="1"/>
  </r>
  <r>
    <s v="SHP-505358"/>
    <d v="2025-12-11T00:00:00"/>
    <x v="1"/>
    <s v="Q4"/>
    <x v="11"/>
    <x v="1"/>
    <x v="2"/>
    <x v="4"/>
    <x v="0"/>
    <s v="Road"/>
    <x v="0"/>
    <n v="304"/>
    <n v="1032"/>
    <n v="5"/>
    <n v="5"/>
    <n v="1"/>
    <n v="0"/>
    <n v="132.32"/>
    <n v="0"/>
    <n v="1"/>
  </r>
  <r>
    <s v="SHP-505359"/>
    <d v="2025-12-11T00:00:00"/>
    <x v="1"/>
    <s v="Q4"/>
    <x v="11"/>
    <x v="4"/>
    <x v="1"/>
    <x v="0"/>
    <x v="2"/>
    <s v="Air"/>
    <x v="0"/>
    <n v="28.4"/>
    <n v="861"/>
    <n v="2"/>
    <n v="2"/>
    <n v="1"/>
    <n v="0"/>
    <n v="92.13"/>
    <n v="0"/>
    <n v="1"/>
  </r>
  <r>
    <s v="SHP-505360"/>
    <d v="2025-12-11T00:00:00"/>
    <x v="1"/>
    <s v="Q4"/>
    <x v="11"/>
    <x v="3"/>
    <x v="2"/>
    <x v="3"/>
    <x v="0"/>
    <s v="Road"/>
    <x v="1"/>
    <n v="5.4"/>
    <n v="400"/>
    <n v="4"/>
    <n v="4"/>
    <n v="1"/>
    <n v="0"/>
    <n v="15.38"/>
    <n v="0"/>
    <n v="1"/>
  </r>
  <r>
    <s v="SHP-505361"/>
    <d v="2025-12-11T00:00:00"/>
    <x v="1"/>
    <s v="Q4"/>
    <x v="11"/>
    <x v="1"/>
    <x v="0"/>
    <x v="1"/>
    <x v="0"/>
    <s v="Road"/>
    <x v="0"/>
    <n v="159.69999999999999"/>
    <n v="215"/>
    <n v="3"/>
    <n v="3"/>
    <n v="1"/>
    <n v="0"/>
    <n v="77.84"/>
    <n v="0"/>
    <n v="1"/>
  </r>
  <r>
    <s v="SHP-505362"/>
    <d v="2025-12-11T00:00:00"/>
    <x v="1"/>
    <s v="Q4"/>
    <x v="11"/>
    <x v="4"/>
    <x v="2"/>
    <x v="1"/>
    <x v="1"/>
    <s v="Road"/>
    <x v="1"/>
    <n v="8.6"/>
    <n v="238"/>
    <n v="5"/>
    <n v="5"/>
    <n v="1"/>
    <n v="0"/>
    <n v="10.32"/>
    <n v="0"/>
    <n v="1"/>
  </r>
  <r>
    <s v="SHP-505363"/>
    <d v="2025-12-11T00:00:00"/>
    <x v="1"/>
    <s v="Q4"/>
    <x v="11"/>
    <x v="3"/>
    <x v="2"/>
    <x v="0"/>
    <x v="2"/>
    <s v="Air"/>
    <x v="0"/>
    <n v="158.9"/>
    <n v="877"/>
    <n v="2"/>
    <n v="2"/>
    <n v="1"/>
    <n v="0"/>
    <n v="290.58"/>
    <n v="0"/>
    <n v="1"/>
  </r>
  <r>
    <s v="SHP-505364"/>
    <d v="2025-12-11T00:00:00"/>
    <x v="1"/>
    <s v="Q4"/>
    <x v="11"/>
    <x v="1"/>
    <x v="1"/>
    <x v="2"/>
    <x v="1"/>
    <s v="Road"/>
    <x v="0"/>
    <n v="63.4"/>
    <n v="1318"/>
    <n v="7"/>
    <n v="6"/>
    <n v="1"/>
    <n v="0"/>
    <n v="41.9"/>
    <n v="0"/>
    <n v="1"/>
  </r>
  <r>
    <s v="SHP-505365"/>
    <d v="2025-12-11T00:00:00"/>
    <x v="1"/>
    <s v="Q4"/>
    <x v="11"/>
    <x v="3"/>
    <x v="1"/>
    <x v="1"/>
    <x v="0"/>
    <s v="Road"/>
    <x v="1"/>
    <n v="0.6"/>
    <n v="246"/>
    <n v="3"/>
    <n v="3"/>
    <n v="1"/>
    <n v="0"/>
    <n v="10.72"/>
    <n v="0"/>
    <n v="1"/>
  </r>
  <r>
    <s v="SHP-505366"/>
    <d v="2025-12-11T00:00:00"/>
    <x v="1"/>
    <s v="Q4"/>
    <x v="11"/>
    <x v="4"/>
    <x v="1"/>
    <x v="3"/>
    <x v="0"/>
    <s v="Road"/>
    <x v="0"/>
    <n v="200.2"/>
    <n v="540"/>
    <n v="4"/>
    <n v="4"/>
    <n v="1"/>
    <n v="0"/>
    <n v="93.36"/>
    <n v="0"/>
    <n v="1"/>
  </r>
  <r>
    <s v="SHP-505367"/>
    <d v="2025-12-12T00:00:00"/>
    <x v="1"/>
    <s v="Q4"/>
    <x v="11"/>
    <x v="3"/>
    <x v="1"/>
    <x v="0"/>
    <x v="0"/>
    <s v="Road"/>
    <x v="1"/>
    <n v="13.1"/>
    <n v="786"/>
    <n v="4"/>
    <n v="4"/>
    <n v="1"/>
    <n v="0"/>
    <n v="24.96"/>
    <n v="0"/>
    <n v="1"/>
  </r>
  <r>
    <s v="SHP-505368"/>
    <d v="2025-12-12T00:00:00"/>
    <x v="1"/>
    <s v="Q4"/>
    <x v="11"/>
    <x v="2"/>
    <x v="1"/>
    <x v="3"/>
    <x v="1"/>
    <s v="Road"/>
    <x v="1"/>
    <n v="6.7"/>
    <n v="413"/>
    <n v="6"/>
    <n v="6"/>
    <n v="1"/>
    <n v="0"/>
    <n v="10.16"/>
    <n v="0"/>
    <n v="1"/>
  </r>
  <r>
    <s v="SHP-505369"/>
    <d v="2025-12-12T00:00:00"/>
    <x v="1"/>
    <s v="Q4"/>
    <x v="11"/>
    <x v="1"/>
    <x v="2"/>
    <x v="0"/>
    <x v="0"/>
    <s v="Road"/>
    <x v="0"/>
    <n v="314"/>
    <n v="854"/>
    <n v="4"/>
    <n v="4"/>
    <n v="1"/>
    <n v="0"/>
    <n v="152.44"/>
    <n v="1"/>
    <n v="1"/>
  </r>
  <r>
    <s v="SHP-505370"/>
    <d v="2025-12-12T00:00:00"/>
    <x v="1"/>
    <s v="Q4"/>
    <x v="11"/>
    <x v="3"/>
    <x v="2"/>
    <x v="1"/>
    <x v="0"/>
    <s v="Road"/>
    <x v="1"/>
    <n v="2.1"/>
    <n v="234"/>
    <n v="3"/>
    <n v="3"/>
    <n v="1"/>
    <n v="0"/>
    <n v="11.65"/>
    <n v="0"/>
    <n v="1"/>
  </r>
  <r>
    <s v="SHP-505371"/>
    <d v="2025-12-12T00:00:00"/>
    <x v="1"/>
    <s v="Q4"/>
    <x v="11"/>
    <x v="2"/>
    <x v="1"/>
    <x v="0"/>
    <x v="1"/>
    <s v="Road"/>
    <x v="0"/>
    <n v="210.7"/>
    <n v="761"/>
    <n v="6"/>
    <n v="6"/>
    <n v="1"/>
    <n v="0"/>
    <n v="64.2"/>
    <n v="0"/>
    <n v="1"/>
  </r>
  <r>
    <s v="SHP-505372"/>
    <d v="2025-12-12T00:00:00"/>
    <x v="1"/>
    <s v="Q4"/>
    <x v="11"/>
    <x v="4"/>
    <x v="1"/>
    <x v="2"/>
    <x v="0"/>
    <s v="Road"/>
    <x v="1"/>
    <n v="2.7"/>
    <n v="1320"/>
    <n v="5"/>
    <n v="5"/>
    <n v="1"/>
    <n v="0"/>
    <n v="22.5"/>
    <n v="0"/>
    <n v="1"/>
  </r>
  <r>
    <s v="SHP-505373"/>
    <d v="2025-12-12T00:00:00"/>
    <x v="1"/>
    <s v="Q4"/>
    <x v="11"/>
    <x v="4"/>
    <x v="2"/>
    <x v="1"/>
    <x v="0"/>
    <s v="Road"/>
    <x v="1"/>
    <n v="2.2999999999999998"/>
    <n v="261"/>
    <n v="3"/>
    <n v="3"/>
    <n v="1"/>
    <n v="0"/>
    <n v="11.64"/>
    <n v="0"/>
    <n v="1"/>
  </r>
  <r>
    <s v="SHP-505374"/>
    <d v="2025-12-12T00:00:00"/>
    <x v="1"/>
    <s v="Q4"/>
    <x v="11"/>
    <x v="4"/>
    <x v="2"/>
    <x v="3"/>
    <x v="0"/>
    <s v="Road"/>
    <x v="0"/>
    <n v="19.899999999999999"/>
    <n v="393"/>
    <n v="4"/>
    <n v="4"/>
    <n v="1"/>
    <n v="0"/>
    <n v="24.1"/>
    <n v="0"/>
    <n v="1"/>
  </r>
  <r>
    <s v="SHP-505375"/>
    <d v="2025-12-12T00:00:00"/>
    <x v="1"/>
    <s v="Q4"/>
    <x v="11"/>
    <x v="4"/>
    <x v="2"/>
    <x v="3"/>
    <x v="1"/>
    <s v="Road"/>
    <x v="1"/>
    <n v="9.3000000000000007"/>
    <n v="621"/>
    <n v="6"/>
    <n v="6"/>
    <n v="1"/>
    <n v="0"/>
    <n v="13.67"/>
    <n v="0"/>
    <n v="1"/>
  </r>
  <r>
    <s v="SHP-505376"/>
    <d v="2025-12-12T00:00:00"/>
    <x v="1"/>
    <s v="Q4"/>
    <x v="11"/>
    <x v="2"/>
    <x v="0"/>
    <x v="3"/>
    <x v="0"/>
    <s v="Road"/>
    <x v="1"/>
    <n v="10.5"/>
    <n v="435"/>
    <n v="4"/>
    <n v="4"/>
    <n v="1"/>
    <n v="0"/>
    <n v="13.98"/>
    <n v="0"/>
    <n v="1"/>
  </r>
  <r>
    <s v="SHP-505377"/>
    <d v="2025-12-12T00:00:00"/>
    <x v="1"/>
    <s v="Q4"/>
    <x v="11"/>
    <x v="3"/>
    <x v="1"/>
    <x v="1"/>
    <x v="1"/>
    <s v="Road"/>
    <x v="1"/>
    <n v="10.199999999999999"/>
    <n v="225"/>
    <n v="5"/>
    <n v="4"/>
    <n v="1"/>
    <n v="0"/>
    <n v="10.8"/>
    <n v="0"/>
    <n v="1"/>
  </r>
  <r>
    <s v="SHP-505378"/>
    <d v="2025-12-12T00:00:00"/>
    <x v="1"/>
    <s v="Q4"/>
    <x v="11"/>
    <x v="2"/>
    <x v="1"/>
    <x v="3"/>
    <x v="0"/>
    <s v="Road"/>
    <x v="0"/>
    <n v="120.3"/>
    <n v="460"/>
    <n v="4"/>
    <n v="4"/>
    <n v="1"/>
    <n v="0"/>
    <n v="57.35"/>
    <n v="0"/>
    <n v="1"/>
  </r>
  <r>
    <s v="SHP-505379"/>
    <d v="2025-12-12T00:00:00"/>
    <x v="1"/>
    <s v="Q4"/>
    <x v="11"/>
    <x v="3"/>
    <x v="0"/>
    <x v="1"/>
    <x v="1"/>
    <s v="Road"/>
    <x v="1"/>
    <n v="1.1000000000000001"/>
    <n v="275"/>
    <n v="5"/>
    <n v="4"/>
    <n v="1"/>
    <n v="0"/>
    <n v="7.7"/>
    <n v="0"/>
    <n v="1"/>
  </r>
  <r>
    <s v="SHP-505380"/>
    <d v="2025-12-12T00:00:00"/>
    <x v="1"/>
    <s v="Q4"/>
    <x v="11"/>
    <x v="2"/>
    <x v="1"/>
    <x v="1"/>
    <x v="2"/>
    <s v="Road"/>
    <x v="1"/>
    <n v="2"/>
    <n v="224"/>
    <n v="1"/>
    <n v="4"/>
    <n v="0"/>
    <n v="3"/>
    <n v="16.43"/>
    <n v="0"/>
    <n v="1"/>
  </r>
  <r>
    <s v="SHP-505381"/>
    <d v="2025-12-12T00:00:00"/>
    <x v="1"/>
    <s v="Q4"/>
    <x v="11"/>
    <x v="4"/>
    <x v="2"/>
    <x v="1"/>
    <x v="1"/>
    <s v="Road"/>
    <x v="0"/>
    <n v="103.6"/>
    <n v="302"/>
    <n v="5"/>
    <n v="5"/>
    <n v="1"/>
    <n v="0"/>
    <n v="41.39"/>
    <n v="1"/>
    <n v="1"/>
  </r>
  <r>
    <s v="SHP-505382"/>
    <d v="2025-12-13T00:00:00"/>
    <x v="1"/>
    <s v="Q4"/>
    <x v="11"/>
    <x v="1"/>
    <x v="2"/>
    <x v="2"/>
    <x v="2"/>
    <s v="Air"/>
    <x v="0"/>
    <n v="18.2"/>
    <n v="663"/>
    <n v="3"/>
    <n v="3"/>
    <n v="1"/>
    <n v="0"/>
    <n v="91.16"/>
    <n v="0"/>
    <n v="1"/>
  </r>
  <r>
    <s v="SHP-505383"/>
    <d v="2025-12-13T00:00:00"/>
    <x v="1"/>
    <s v="Q4"/>
    <x v="11"/>
    <x v="1"/>
    <x v="1"/>
    <x v="1"/>
    <x v="0"/>
    <s v="Road"/>
    <x v="0"/>
    <n v="46.5"/>
    <n v="292"/>
    <n v="3"/>
    <n v="3"/>
    <n v="1"/>
    <n v="0"/>
    <n v="33.799999999999997"/>
    <n v="0"/>
    <n v="1"/>
  </r>
  <r>
    <s v="SHP-505384"/>
    <d v="2025-12-13T00:00:00"/>
    <x v="1"/>
    <s v="Q4"/>
    <x v="11"/>
    <x v="1"/>
    <x v="1"/>
    <x v="0"/>
    <x v="0"/>
    <s v="Road"/>
    <x v="0"/>
    <n v="67.099999999999994"/>
    <n v="735"/>
    <n v="4"/>
    <n v="3"/>
    <n v="1"/>
    <n v="0"/>
    <n v="50.15"/>
    <n v="0"/>
    <n v="1"/>
  </r>
  <r>
    <s v="SHP-505385"/>
    <d v="2025-12-13T00:00:00"/>
    <x v="1"/>
    <s v="Q4"/>
    <x v="11"/>
    <x v="4"/>
    <x v="2"/>
    <x v="3"/>
    <x v="0"/>
    <s v="Road"/>
    <x v="0"/>
    <n v="42.6"/>
    <n v="439"/>
    <n v="4"/>
    <n v="4"/>
    <n v="1"/>
    <n v="0"/>
    <n v="32.119999999999997"/>
    <n v="0"/>
    <n v="1"/>
  </r>
  <r>
    <s v="SHP-505386"/>
    <d v="2025-12-13T00:00:00"/>
    <x v="1"/>
    <s v="Q4"/>
    <x v="11"/>
    <x v="3"/>
    <x v="0"/>
    <x v="2"/>
    <x v="2"/>
    <s v="Air"/>
    <x v="0"/>
    <n v="43.8"/>
    <n v="1050"/>
    <n v="3"/>
    <n v="2"/>
    <n v="1"/>
    <n v="0"/>
    <n v="133.27000000000001"/>
    <n v="0"/>
    <n v="1"/>
  </r>
  <r>
    <s v="SHP-505387"/>
    <d v="2025-12-13T00:00:00"/>
    <x v="1"/>
    <s v="Q4"/>
    <x v="11"/>
    <x v="0"/>
    <x v="2"/>
    <x v="3"/>
    <x v="0"/>
    <s v="Road"/>
    <x v="0"/>
    <n v="123.9"/>
    <n v="579"/>
    <n v="4"/>
    <n v="6"/>
    <n v="0"/>
    <n v="2"/>
    <n v="67.84"/>
    <n v="0"/>
    <n v="1"/>
  </r>
  <r>
    <s v="SHP-505388"/>
    <d v="2025-12-14T00:00:00"/>
    <x v="1"/>
    <s v="Q4"/>
    <x v="11"/>
    <x v="2"/>
    <x v="2"/>
    <x v="0"/>
    <x v="0"/>
    <s v="Road"/>
    <x v="1"/>
    <n v="1.1000000000000001"/>
    <n v="949"/>
    <n v="4"/>
    <n v="4"/>
    <n v="1"/>
    <n v="0"/>
    <n v="15.36"/>
    <n v="0"/>
    <n v="1"/>
  </r>
  <r>
    <s v="SHP-505389"/>
    <d v="2025-12-14T00:00:00"/>
    <x v="1"/>
    <s v="Q4"/>
    <x v="11"/>
    <x v="1"/>
    <x v="1"/>
    <x v="1"/>
    <x v="0"/>
    <s v="Road"/>
    <x v="0"/>
    <n v="76.099999999999994"/>
    <n v="243"/>
    <n v="3"/>
    <n v="4"/>
    <n v="0"/>
    <n v="1"/>
    <n v="50.84"/>
    <n v="0"/>
    <n v="1"/>
  </r>
  <r>
    <s v="SHP-505390"/>
    <d v="2025-12-14T00:00:00"/>
    <x v="1"/>
    <s v="Q4"/>
    <x v="11"/>
    <x v="1"/>
    <x v="2"/>
    <x v="4"/>
    <x v="1"/>
    <s v="Road"/>
    <x v="1"/>
    <n v="3.7"/>
    <n v="929"/>
    <n v="7"/>
    <n v="7"/>
    <n v="1"/>
    <n v="0"/>
    <n v="16.489999999999998"/>
    <n v="0"/>
    <n v="1"/>
  </r>
  <r>
    <s v="SHP-505391"/>
    <d v="2025-12-14T00:00:00"/>
    <x v="1"/>
    <s v="Q4"/>
    <x v="11"/>
    <x v="1"/>
    <x v="1"/>
    <x v="3"/>
    <x v="1"/>
    <s v="Road"/>
    <x v="1"/>
    <n v="9.4"/>
    <n v="562"/>
    <n v="6"/>
    <n v="6"/>
    <n v="1"/>
    <n v="0"/>
    <n v="15.06"/>
    <n v="0"/>
    <n v="1"/>
  </r>
  <r>
    <s v="SHP-505392"/>
    <d v="2025-12-14T00:00:00"/>
    <x v="1"/>
    <s v="Q4"/>
    <x v="11"/>
    <x v="0"/>
    <x v="0"/>
    <x v="0"/>
    <x v="1"/>
    <s v="Road"/>
    <x v="1"/>
    <n v="12.6"/>
    <n v="1133"/>
    <n v="6"/>
    <n v="6"/>
    <n v="1"/>
    <n v="0"/>
    <n v="20"/>
    <n v="0"/>
    <n v="1"/>
  </r>
  <r>
    <s v="SHP-505393"/>
    <d v="2025-12-14T00:00:00"/>
    <x v="1"/>
    <s v="Q4"/>
    <x v="11"/>
    <x v="2"/>
    <x v="1"/>
    <x v="1"/>
    <x v="0"/>
    <s v="Road"/>
    <x v="0"/>
    <n v="216.3"/>
    <n v="208"/>
    <n v="3"/>
    <n v="4"/>
    <n v="0"/>
    <n v="1"/>
    <n v="87.7"/>
    <n v="0"/>
    <n v="1"/>
  </r>
  <r>
    <s v="SHP-505394"/>
    <d v="2025-12-15T00:00:00"/>
    <x v="1"/>
    <s v="Q4"/>
    <x v="11"/>
    <x v="4"/>
    <x v="1"/>
    <x v="0"/>
    <x v="0"/>
    <s v="Road"/>
    <x v="0"/>
    <n v="279.39999999999998"/>
    <n v="1008"/>
    <n v="4"/>
    <n v="4"/>
    <n v="1"/>
    <n v="0"/>
    <n v="125.84"/>
    <n v="0"/>
    <n v="1"/>
  </r>
  <r>
    <s v="SHP-505395"/>
    <d v="2025-12-15T00:00:00"/>
    <x v="1"/>
    <s v="Q4"/>
    <x v="11"/>
    <x v="1"/>
    <x v="2"/>
    <x v="4"/>
    <x v="0"/>
    <s v="Road"/>
    <x v="1"/>
    <n v="15.8"/>
    <n v="1202"/>
    <n v="5"/>
    <n v="5"/>
    <n v="1"/>
    <n v="0"/>
    <n v="32.06"/>
    <n v="0"/>
    <n v="1"/>
  </r>
  <r>
    <s v="SHP-505396"/>
    <d v="2025-12-15T00:00:00"/>
    <x v="1"/>
    <s v="Q4"/>
    <x v="11"/>
    <x v="2"/>
    <x v="2"/>
    <x v="4"/>
    <x v="0"/>
    <s v="Road"/>
    <x v="1"/>
    <n v="6.2"/>
    <n v="1242"/>
    <n v="5"/>
    <n v="5"/>
    <n v="1"/>
    <n v="0"/>
    <n v="22.99"/>
    <n v="0"/>
    <n v="1"/>
  </r>
  <r>
    <s v="SHP-505397"/>
    <d v="2025-12-15T00:00:00"/>
    <x v="1"/>
    <s v="Q4"/>
    <x v="11"/>
    <x v="0"/>
    <x v="2"/>
    <x v="1"/>
    <x v="0"/>
    <s v="Road"/>
    <x v="0"/>
    <n v="225.2"/>
    <n v="222"/>
    <n v="3"/>
    <n v="3"/>
    <n v="1"/>
    <n v="0"/>
    <n v="101.36"/>
    <n v="0"/>
    <n v="1"/>
  </r>
  <r>
    <s v="SHP-505398"/>
    <d v="2025-12-15T00:00:00"/>
    <x v="1"/>
    <s v="Q4"/>
    <x v="11"/>
    <x v="3"/>
    <x v="1"/>
    <x v="0"/>
    <x v="1"/>
    <s v="Road"/>
    <x v="1"/>
    <n v="0.7"/>
    <n v="1023"/>
    <n v="6"/>
    <n v="6"/>
    <n v="1"/>
    <n v="0"/>
    <n v="15.25"/>
    <n v="0"/>
    <n v="1"/>
  </r>
  <r>
    <s v="SHP-505399"/>
    <d v="2025-12-15T00:00:00"/>
    <x v="1"/>
    <s v="Q4"/>
    <x v="11"/>
    <x v="1"/>
    <x v="1"/>
    <x v="1"/>
    <x v="1"/>
    <s v="Road"/>
    <x v="0"/>
    <n v="13.9"/>
    <n v="231"/>
    <n v="5"/>
    <n v="5"/>
    <n v="1"/>
    <n v="0"/>
    <n v="13.26"/>
    <n v="0"/>
    <n v="1"/>
  </r>
  <r>
    <s v="SHP-505400"/>
    <d v="2025-12-15T00:00:00"/>
    <x v="1"/>
    <s v="Q4"/>
    <x v="11"/>
    <x v="3"/>
    <x v="2"/>
    <x v="1"/>
    <x v="2"/>
    <s v="Road"/>
    <x v="1"/>
    <n v="0.8"/>
    <n v="279"/>
    <n v="1"/>
    <n v="1"/>
    <n v="1"/>
    <n v="0"/>
    <n v="21.34"/>
    <n v="1"/>
    <n v="1"/>
  </r>
  <r>
    <s v="SHP-505401"/>
    <d v="2025-12-15T00:00:00"/>
    <x v="1"/>
    <s v="Q4"/>
    <x v="11"/>
    <x v="3"/>
    <x v="2"/>
    <x v="3"/>
    <x v="0"/>
    <s v="Road"/>
    <x v="0"/>
    <n v="90.2"/>
    <n v="433"/>
    <n v="4"/>
    <n v="4"/>
    <n v="1"/>
    <n v="0"/>
    <n v="58.65"/>
    <n v="0"/>
    <n v="1"/>
  </r>
  <r>
    <s v="SHP-505402"/>
    <d v="2025-12-15T00:00:00"/>
    <x v="1"/>
    <s v="Q4"/>
    <x v="11"/>
    <x v="0"/>
    <x v="2"/>
    <x v="1"/>
    <x v="0"/>
    <s v="Road"/>
    <x v="0"/>
    <n v="62.9"/>
    <n v="273"/>
    <n v="3"/>
    <n v="2"/>
    <n v="1"/>
    <n v="0"/>
    <n v="38.24"/>
    <n v="0"/>
    <n v="1"/>
  </r>
  <r>
    <s v="SHP-505403"/>
    <d v="2025-12-15T00:00:00"/>
    <x v="1"/>
    <s v="Q4"/>
    <x v="11"/>
    <x v="4"/>
    <x v="2"/>
    <x v="4"/>
    <x v="2"/>
    <s v="Air"/>
    <x v="1"/>
    <n v="9.3000000000000007"/>
    <n v="1204"/>
    <n v="3"/>
    <n v="2"/>
    <n v="1"/>
    <n v="0"/>
    <n v="85.58"/>
    <n v="0"/>
    <n v="1"/>
  </r>
  <r>
    <s v="SHP-505404"/>
    <d v="2025-12-15T00:00:00"/>
    <x v="1"/>
    <s v="Q4"/>
    <x v="11"/>
    <x v="1"/>
    <x v="0"/>
    <x v="4"/>
    <x v="0"/>
    <s v="Road"/>
    <x v="0"/>
    <n v="56.5"/>
    <n v="1109"/>
    <n v="5"/>
    <n v="6"/>
    <n v="0"/>
    <n v="1"/>
    <n v="45.43"/>
    <n v="0"/>
    <n v="1"/>
  </r>
  <r>
    <s v="SHP-505405"/>
    <d v="2025-12-15T00:00:00"/>
    <x v="1"/>
    <s v="Q4"/>
    <x v="11"/>
    <x v="4"/>
    <x v="2"/>
    <x v="3"/>
    <x v="2"/>
    <s v="Road"/>
    <x v="1"/>
    <n v="0.9"/>
    <n v="485"/>
    <n v="2"/>
    <n v="2"/>
    <n v="1"/>
    <n v="0"/>
    <n v="21.91"/>
    <n v="0"/>
    <n v="1"/>
  </r>
  <r>
    <s v="SHP-505406"/>
    <d v="2025-12-15T00:00:00"/>
    <x v="1"/>
    <s v="Q4"/>
    <x v="11"/>
    <x v="3"/>
    <x v="2"/>
    <x v="3"/>
    <x v="0"/>
    <s v="Road"/>
    <x v="1"/>
    <n v="1.9"/>
    <n v="459"/>
    <n v="4"/>
    <n v="3"/>
    <n v="1"/>
    <n v="0"/>
    <n v="14.68"/>
    <n v="0"/>
    <n v="1"/>
  </r>
  <r>
    <s v="SHP-505407"/>
    <d v="2025-12-15T00:00:00"/>
    <x v="1"/>
    <s v="Q4"/>
    <x v="11"/>
    <x v="1"/>
    <x v="2"/>
    <x v="0"/>
    <x v="1"/>
    <s v="Road"/>
    <x v="1"/>
    <n v="2.7"/>
    <n v="926"/>
    <n v="6"/>
    <n v="11"/>
    <n v="0"/>
    <n v="5"/>
    <n v="14.13"/>
    <n v="0"/>
    <n v="1"/>
  </r>
  <r>
    <s v="SHP-505408"/>
    <d v="2025-12-16T00:00:00"/>
    <x v="1"/>
    <s v="Q4"/>
    <x v="11"/>
    <x v="3"/>
    <x v="1"/>
    <x v="1"/>
    <x v="0"/>
    <s v="Road"/>
    <x v="1"/>
    <n v="4"/>
    <n v="251"/>
    <n v="3"/>
    <n v="3"/>
    <n v="1"/>
    <n v="0"/>
    <n v="13.15"/>
    <n v="0"/>
    <n v="1"/>
  </r>
  <r>
    <s v="SHP-505409"/>
    <d v="2025-12-16T00:00:00"/>
    <x v="1"/>
    <s v="Q4"/>
    <x v="11"/>
    <x v="2"/>
    <x v="0"/>
    <x v="1"/>
    <x v="0"/>
    <s v="Road"/>
    <x v="1"/>
    <n v="9.4"/>
    <n v="270"/>
    <n v="3"/>
    <n v="3"/>
    <n v="1"/>
    <n v="0"/>
    <n v="12.72"/>
    <n v="0"/>
    <n v="1"/>
  </r>
  <r>
    <s v="SHP-505410"/>
    <d v="2025-12-16T00:00:00"/>
    <x v="1"/>
    <s v="Q4"/>
    <x v="11"/>
    <x v="1"/>
    <x v="0"/>
    <x v="3"/>
    <x v="0"/>
    <s v="Road"/>
    <x v="1"/>
    <n v="4.5"/>
    <n v="348"/>
    <n v="4"/>
    <n v="3"/>
    <n v="1"/>
    <n v="0"/>
    <n v="14.65"/>
    <n v="0"/>
    <n v="1"/>
  </r>
  <r>
    <s v="SHP-505411"/>
    <d v="2025-12-16T00:00:00"/>
    <x v="1"/>
    <s v="Q4"/>
    <x v="11"/>
    <x v="4"/>
    <x v="1"/>
    <x v="2"/>
    <x v="1"/>
    <s v="Road"/>
    <x v="1"/>
    <n v="6.6"/>
    <n v="1310"/>
    <n v="7"/>
    <n v="7"/>
    <n v="1"/>
    <n v="0"/>
    <n v="17.14"/>
    <n v="0"/>
    <n v="1"/>
  </r>
  <r>
    <s v="SHP-505412"/>
    <d v="2025-12-16T00:00:00"/>
    <x v="1"/>
    <s v="Q4"/>
    <x v="11"/>
    <x v="2"/>
    <x v="1"/>
    <x v="1"/>
    <x v="0"/>
    <s v="Road"/>
    <x v="0"/>
    <n v="80.8"/>
    <n v="248"/>
    <n v="3"/>
    <n v="6"/>
    <n v="0"/>
    <n v="3"/>
    <n v="38.08"/>
    <n v="0"/>
    <n v="1"/>
  </r>
  <r>
    <s v="SHP-505413"/>
    <d v="2025-12-16T00:00:00"/>
    <x v="1"/>
    <s v="Q4"/>
    <x v="11"/>
    <x v="2"/>
    <x v="2"/>
    <x v="3"/>
    <x v="0"/>
    <s v="Road"/>
    <x v="1"/>
    <n v="7.9"/>
    <n v="483"/>
    <n v="4"/>
    <n v="4"/>
    <n v="1"/>
    <n v="0"/>
    <n v="16.059999999999999"/>
    <n v="0"/>
    <n v="1"/>
  </r>
  <r>
    <s v="SHP-505414"/>
    <d v="2025-12-16T00:00:00"/>
    <x v="1"/>
    <s v="Q4"/>
    <x v="11"/>
    <x v="2"/>
    <x v="0"/>
    <x v="0"/>
    <x v="0"/>
    <s v="Road"/>
    <x v="1"/>
    <n v="2.9"/>
    <n v="969"/>
    <n v="4"/>
    <n v="6"/>
    <n v="0"/>
    <n v="2"/>
    <n v="16.510000000000002"/>
    <n v="0"/>
    <n v="1"/>
  </r>
  <r>
    <s v="SHP-505415"/>
    <d v="2025-12-16T00:00:00"/>
    <x v="1"/>
    <s v="Q4"/>
    <x v="11"/>
    <x v="4"/>
    <x v="2"/>
    <x v="1"/>
    <x v="0"/>
    <s v="Road"/>
    <x v="1"/>
    <n v="9.9"/>
    <n v="249"/>
    <n v="3"/>
    <n v="3"/>
    <n v="1"/>
    <n v="0"/>
    <n v="16.34"/>
    <n v="0"/>
    <n v="1"/>
  </r>
  <r>
    <s v="SHP-505416"/>
    <d v="2025-12-16T00:00:00"/>
    <x v="1"/>
    <s v="Q4"/>
    <x v="11"/>
    <x v="3"/>
    <x v="2"/>
    <x v="4"/>
    <x v="0"/>
    <s v="Road"/>
    <x v="1"/>
    <n v="4.0999999999999996"/>
    <n v="1180"/>
    <n v="5"/>
    <n v="5"/>
    <n v="1"/>
    <n v="0"/>
    <n v="29.03"/>
    <n v="0"/>
    <n v="1"/>
  </r>
  <r>
    <s v="SHP-505417"/>
    <d v="2025-12-16T00:00:00"/>
    <x v="1"/>
    <s v="Q4"/>
    <x v="11"/>
    <x v="1"/>
    <x v="1"/>
    <x v="0"/>
    <x v="0"/>
    <s v="Road"/>
    <x v="1"/>
    <n v="9.6"/>
    <n v="688"/>
    <n v="4"/>
    <n v="3"/>
    <n v="1"/>
    <n v="0"/>
    <n v="21.78"/>
    <n v="0"/>
    <n v="1"/>
  </r>
  <r>
    <s v="SHP-505418"/>
    <d v="2025-12-16T00:00:00"/>
    <x v="1"/>
    <s v="Q4"/>
    <x v="11"/>
    <x v="2"/>
    <x v="1"/>
    <x v="3"/>
    <x v="0"/>
    <s v="Road"/>
    <x v="1"/>
    <n v="16.100000000000001"/>
    <n v="477"/>
    <n v="4"/>
    <n v="3"/>
    <n v="1"/>
    <n v="0"/>
    <n v="19.82"/>
    <n v="0"/>
    <n v="1"/>
  </r>
  <r>
    <s v="SHP-505419"/>
    <d v="2025-12-16T00:00:00"/>
    <x v="1"/>
    <s v="Q4"/>
    <x v="11"/>
    <x v="4"/>
    <x v="2"/>
    <x v="0"/>
    <x v="1"/>
    <s v="Road"/>
    <x v="1"/>
    <n v="6.5"/>
    <n v="960"/>
    <n v="6"/>
    <n v="5"/>
    <n v="1"/>
    <n v="0"/>
    <n v="15.49"/>
    <n v="0"/>
    <n v="1"/>
  </r>
  <r>
    <s v="SHP-505420"/>
    <d v="2025-12-16T00:00:00"/>
    <x v="1"/>
    <s v="Q4"/>
    <x v="11"/>
    <x v="3"/>
    <x v="1"/>
    <x v="0"/>
    <x v="0"/>
    <s v="Road"/>
    <x v="0"/>
    <n v="175.2"/>
    <n v="1091"/>
    <n v="4"/>
    <n v="3"/>
    <n v="1"/>
    <n v="0"/>
    <n v="105.33"/>
    <n v="0"/>
    <n v="1"/>
  </r>
  <r>
    <s v="SHP-505421"/>
    <d v="2025-12-16T00:00:00"/>
    <x v="1"/>
    <s v="Q4"/>
    <x v="11"/>
    <x v="0"/>
    <x v="1"/>
    <x v="0"/>
    <x v="1"/>
    <s v="Road"/>
    <x v="1"/>
    <n v="0.9"/>
    <n v="827"/>
    <n v="6"/>
    <n v="6"/>
    <n v="1"/>
    <n v="0"/>
    <n v="11.18"/>
    <n v="0"/>
    <n v="1"/>
  </r>
  <r>
    <s v="SHP-505422"/>
    <d v="2025-12-16T00:00:00"/>
    <x v="1"/>
    <s v="Q4"/>
    <x v="11"/>
    <x v="4"/>
    <x v="0"/>
    <x v="4"/>
    <x v="0"/>
    <s v="Road"/>
    <x v="1"/>
    <n v="18.399999999999999"/>
    <n v="1233"/>
    <n v="5"/>
    <n v="8"/>
    <n v="0"/>
    <n v="3"/>
    <n v="29.3"/>
    <n v="0"/>
    <n v="1"/>
  </r>
  <r>
    <s v="SHP-505423"/>
    <d v="2025-12-16T00:00:00"/>
    <x v="1"/>
    <s v="Q4"/>
    <x v="11"/>
    <x v="4"/>
    <x v="1"/>
    <x v="4"/>
    <x v="0"/>
    <s v="Road"/>
    <x v="1"/>
    <n v="8.4"/>
    <n v="865"/>
    <n v="5"/>
    <n v="4"/>
    <n v="1"/>
    <n v="0"/>
    <n v="22.66"/>
    <n v="0"/>
    <n v="1"/>
  </r>
  <r>
    <s v="SHP-505424"/>
    <d v="2025-12-17T00:00:00"/>
    <x v="1"/>
    <s v="Q4"/>
    <x v="11"/>
    <x v="4"/>
    <x v="2"/>
    <x v="1"/>
    <x v="0"/>
    <s v="Road"/>
    <x v="1"/>
    <n v="7.6"/>
    <n v="287"/>
    <n v="3"/>
    <n v="5"/>
    <n v="0"/>
    <n v="2"/>
    <n v="15.59"/>
    <n v="0"/>
    <n v="1"/>
  </r>
  <r>
    <s v="SHP-505425"/>
    <d v="2025-12-17T00:00:00"/>
    <x v="1"/>
    <s v="Q4"/>
    <x v="11"/>
    <x v="4"/>
    <x v="2"/>
    <x v="1"/>
    <x v="0"/>
    <s v="Road"/>
    <x v="0"/>
    <n v="81.8"/>
    <n v="235"/>
    <n v="3"/>
    <n v="3"/>
    <n v="1"/>
    <n v="0"/>
    <n v="50.29"/>
    <n v="0"/>
    <n v="1"/>
  </r>
  <r>
    <s v="SHP-505426"/>
    <d v="2025-12-17T00:00:00"/>
    <x v="1"/>
    <s v="Q4"/>
    <x v="11"/>
    <x v="2"/>
    <x v="2"/>
    <x v="1"/>
    <x v="1"/>
    <s v="Road"/>
    <x v="1"/>
    <n v="9.3000000000000007"/>
    <n v="266"/>
    <n v="5"/>
    <n v="7"/>
    <n v="0"/>
    <n v="2"/>
    <n v="8.57"/>
    <n v="0"/>
    <n v="1"/>
  </r>
  <r>
    <s v="SHP-505427"/>
    <d v="2025-12-17T00:00:00"/>
    <x v="1"/>
    <s v="Q4"/>
    <x v="11"/>
    <x v="1"/>
    <x v="1"/>
    <x v="0"/>
    <x v="1"/>
    <s v="Road"/>
    <x v="1"/>
    <n v="5.9"/>
    <n v="929"/>
    <n v="6"/>
    <n v="6"/>
    <n v="1"/>
    <n v="0"/>
    <n v="15.98"/>
    <n v="0"/>
    <n v="1"/>
  </r>
  <r>
    <s v="SHP-505428"/>
    <d v="2025-12-17T00:00:00"/>
    <x v="1"/>
    <s v="Q4"/>
    <x v="11"/>
    <x v="1"/>
    <x v="2"/>
    <x v="4"/>
    <x v="0"/>
    <s v="Road"/>
    <x v="1"/>
    <n v="9.1999999999999993"/>
    <n v="919"/>
    <n v="5"/>
    <n v="5"/>
    <n v="1"/>
    <n v="0"/>
    <n v="25.09"/>
    <n v="0"/>
    <n v="1"/>
  </r>
  <r>
    <s v="SHP-505429"/>
    <d v="2025-12-17T00:00:00"/>
    <x v="1"/>
    <s v="Q4"/>
    <x v="11"/>
    <x v="3"/>
    <x v="1"/>
    <x v="4"/>
    <x v="0"/>
    <s v="Road"/>
    <x v="0"/>
    <n v="146.4"/>
    <n v="1111"/>
    <n v="5"/>
    <n v="5"/>
    <n v="1"/>
    <n v="0"/>
    <n v="91.13"/>
    <n v="0"/>
    <n v="1"/>
  </r>
  <r>
    <s v="SHP-505430"/>
    <d v="2025-12-17T00:00:00"/>
    <x v="1"/>
    <s v="Q4"/>
    <x v="11"/>
    <x v="0"/>
    <x v="2"/>
    <x v="4"/>
    <x v="1"/>
    <s v="Road"/>
    <x v="0"/>
    <n v="56.3"/>
    <n v="1253"/>
    <n v="7"/>
    <n v="6"/>
    <n v="1"/>
    <n v="0"/>
    <n v="36.31"/>
    <n v="0"/>
    <n v="1"/>
  </r>
  <r>
    <s v="SHP-505431"/>
    <d v="2025-12-17T00:00:00"/>
    <x v="1"/>
    <s v="Q4"/>
    <x v="11"/>
    <x v="1"/>
    <x v="2"/>
    <x v="1"/>
    <x v="1"/>
    <s v="Road"/>
    <x v="1"/>
    <n v="1.5"/>
    <n v="272"/>
    <n v="5"/>
    <n v="6"/>
    <n v="0"/>
    <n v="1"/>
    <n v="7.92"/>
    <n v="0"/>
    <n v="1"/>
  </r>
  <r>
    <s v="SHP-505432"/>
    <d v="2025-12-17T00:00:00"/>
    <x v="1"/>
    <s v="Q4"/>
    <x v="11"/>
    <x v="3"/>
    <x v="2"/>
    <x v="1"/>
    <x v="0"/>
    <s v="Road"/>
    <x v="0"/>
    <n v="53.3"/>
    <n v="238"/>
    <n v="3"/>
    <n v="2"/>
    <n v="1"/>
    <n v="0"/>
    <n v="38.47"/>
    <n v="1"/>
    <n v="1"/>
  </r>
  <r>
    <s v="SHP-505433"/>
    <d v="2025-12-17T00:00:00"/>
    <x v="1"/>
    <s v="Q4"/>
    <x v="11"/>
    <x v="1"/>
    <x v="2"/>
    <x v="1"/>
    <x v="0"/>
    <s v="Road"/>
    <x v="1"/>
    <n v="6.3"/>
    <n v="250"/>
    <n v="3"/>
    <n v="2"/>
    <n v="1"/>
    <n v="0"/>
    <n v="14.21"/>
    <n v="0"/>
    <n v="1"/>
  </r>
  <r>
    <s v="SHP-505434"/>
    <d v="2025-12-17T00:00:00"/>
    <x v="1"/>
    <s v="Q4"/>
    <x v="11"/>
    <x v="4"/>
    <x v="2"/>
    <x v="1"/>
    <x v="0"/>
    <s v="Road"/>
    <x v="1"/>
    <n v="8.4"/>
    <n v="270"/>
    <n v="3"/>
    <n v="5"/>
    <n v="0"/>
    <n v="2"/>
    <n v="13.86"/>
    <n v="0"/>
    <n v="1"/>
  </r>
  <r>
    <s v="SHP-505435"/>
    <d v="2025-12-17T00:00:00"/>
    <x v="1"/>
    <s v="Q4"/>
    <x v="11"/>
    <x v="2"/>
    <x v="2"/>
    <x v="0"/>
    <x v="0"/>
    <s v="Road"/>
    <x v="0"/>
    <n v="98.7"/>
    <n v="916"/>
    <n v="4"/>
    <n v="4"/>
    <n v="1"/>
    <n v="0"/>
    <n v="49.44"/>
    <n v="0"/>
    <n v="1"/>
  </r>
  <r>
    <s v="SHP-505436"/>
    <d v="2025-12-17T00:00:00"/>
    <x v="1"/>
    <s v="Q4"/>
    <x v="11"/>
    <x v="3"/>
    <x v="2"/>
    <x v="1"/>
    <x v="0"/>
    <s v="Road"/>
    <x v="1"/>
    <n v="5.6"/>
    <n v="243"/>
    <n v="3"/>
    <n v="3"/>
    <n v="1"/>
    <n v="0"/>
    <n v="15.09"/>
    <n v="0"/>
    <n v="1"/>
  </r>
  <r>
    <s v="SHP-505437"/>
    <d v="2025-12-18T00:00:00"/>
    <x v="1"/>
    <s v="Q4"/>
    <x v="11"/>
    <x v="4"/>
    <x v="2"/>
    <x v="0"/>
    <x v="0"/>
    <s v="Road"/>
    <x v="1"/>
    <n v="2.9"/>
    <n v="790"/>
    <n v="4"/>
    <n v="4"/>
    <n v="1"/>
    <n v="0"/>
    <n v="17.43"/>
    <n v="0"/>
    <n v="1"/>
  </r>
  <r>
    <s v="SHP-505438"/>
    <d v="2025-12-18T00:00:00"/>
    <x v="1"/>
    <s v="Q4"/>
    <x v="11"/>
    <x v="1"/>
    <x v="2"/>
    <x v="2"/>
    <x v="1"/>
    <s v="Road"/>
    <x v="1"/>
    <n v="4.4000000000000004"/>
    <n v="1023"/>
    <n v="7"/>
    <n v="7"/>
    <n v="1"/>
    <n v="0"/>
    <n v="16.489999999999998"/>
    <n v="0"/>
    <n v="1"/>
  </r>
  <r>
    <s v="SHP-505439"/>
    <d v="2025-12-18T00:00:00"/>
    <x v="1"/>
    <s v="Q4"/>
    <x v="11"/>
    <x v="3"/>
    <x v="1"/>
    <x v="1"/>
    <x v="0"/>
    <s v="Road"/>
    <x v="1"/>
    <n v="1.7"/>
    <n v="223"/>
    <n v="3"/>
    <n v="3"/>
    <n v="1"/>
    <n v="0"/>
    <n v="11.26"/>
    <n v="0"/>
    <n v="1"/>
  </r>
  <r>
    <s v="SHP-505440"/>
    <d v="2025-12-18T00:00:00"/>
    <x v="1"/>
    <s v="Q4"/>
    <x v="11"/>
    <x v="3"/>
    <x v="0"/>
    <x v="2"/>
    <x v="0"/>
    <s v="Road"/>
    <x v="1"/>
    <n v="3.8"/>
    <n v="1214"/>
    <n v="5"/>
    <n v="5"/>
    <n v="1"/>
    <n v="0"/>
    <n v="27.2"/>
    <n v="0"/>
    <n v="1"/>
  </r>
  <r>
    <s v="SHP-505441"/>
    <d v="2025-12-18T00:00:00"/>
    <x v="1"/>
    <s v="Q4"/>
    <x v="11"/>
    <x v="4"/>
    <x v="0"/>
    <x v="0"/>
    <x v="0"/>
    <s v="Road"/>
    <x v="1"/>
    <n v="1"/>
    <n v="958"/>
    <n v="4"/>
    <n v="4"/>
    <n v="1"/>
    <n v="0"/>
    <n v="18.649999999999999"/>
    <n v="0"/>
    <n v="1"/>
  </r>
  <r>
    <s v="SHP-505442"/>
    <d v="2025-12-18T00:00:00"/>
    <x v="1"/>
    <s v="Q4"/>
    <x v="11"/>
    <x v="3"/>
    <x v="0"/>
    <x v="3"/>
    <x v="0"/>
    <s v="Road"/>
    <x v="0"/>
    <n v="63.4"/>
    <n v="554"/>
    <n v="4"/>
    <n v="4"/>
    <n v="1"/>
    <n v="0"/>
    <n v="50.07"/>
    <n v="0"/>
    <n v="1"/>
  </r>
  <r>
    <s v="SHP-505443"/>
    <d v="2025-12-18T00:00:00"/>
    <x v="1"/>
    <s v="Q4"/>
    <x v="11"/>
    <x v="3"/>
    <x v="1"/>
    <x v="1"/>
    <x v="0"/>
    <s v="Road"/>
    <x v="0"/>
    <n v="177.1"/>
    <n v="278"/>
    <n v="3"/>
    <n v="3"/>
    <n v="1"/>
    <n v="0"/>
    <n v="95.55"/>
    <n v="0"/>
    <n v="1"/>
  </r>
  <r>
    <s v="SHP-505444"/>
    <d v="2025-12-18T00:00:00"/>
    <x v="1"/>
    <s v="Q4"/>
    <x v="11"/>
    <x v="4"/>
    <x v="1"/>
    <x v="4"/>
    <x v="0"/>
    <s v="Road"/>
    <x v="0"/>
    <n v="32.299999999999997"/>
    <n v="960"/>
    <n v="5"/>
    <n v="4"/>
    <n v="1"/>
    <n v="0"/>
    <n v="36.22"/>
    <n v="0"/>
    <n v="1"/>
  </r>
  <r>
    <s v="SHP-505445"/>
    <d v="2025-12-18T00:00:00"/>
    <x v="1"/>
    <s v="Q4"/>
    <x v="11"/>
    <x v="3"/>
    <x v="1"/>
    <x v="0"/>
    <x v="0"/>
    <s v="Road"/>
    <x v="0"/>
    <n v="67.400000000000006"/>
    <n v="969"/>
    <n v="4"/>
    <n v="4"/>
    <n v="1"/>
    <n v="0"/>
    <n v="54.84"/>
    <n v="0"/>
    <n v="1"/>
  </r>
  <r>
    <s v="SHP-505446"/>
    <d v="2025-12-18T00:00:00"/>
    <x v="1"/>
    <s v="Q4"/>
    <x v="11"/>
    <x v="2"/>
    <x v="1"/>
    <x v="1"/>
    <x v="0"/>
    <s v="Road"/>
    <x v="0"/>
    <n v="108.9"/>
    <n v="221"/>
    <n v="3"/>
    <n v="3"/>
    <n v="1"/>
    <n v="0"/>
    <n v="44.81"/>
    <n v="0"/>
    <n v="1"/>
  </r>
  <r>
    <s v="SHP-505447"/>
    <d v="2025-12-18T00:00:00"/>
    <x v="1"/>
    <s v="Q4"/>
    <x v="11"/>
    <x v="0"/>
    <x v="2"/>
    <x v="0"/>
    <x v="0"/>
    <s v="Road"/>
    <x v="1"/>
    <n v="5.0999999999999996"/>
    <n v="663"/>
    <n v="4"/>
    <n v="5"/>
    <n v="0"/>
    <n v="1"/>
    <n v="18.2"/>
    <n v="0"/>
    <n v="1"/>
  </r>
  <r>
    <s v="SHP-505448"/>
    <d v="2025-12-18T00:00:00"/>
    <x v="1"/>
    <s v="Q4"/>
    <x v="11"/>
    <x v="2"/>
    <x v="0"/>
    <x v="1"/>
    <x v="0"/>
    <s v="Road"/>
    <x v="0"/>
    <n v="273.39999999999998"/>
    <n v="257"/>
    <n v="3"/>
    <n v="5"/>
    <n v="0"/>
    <n v="2"/>
    <n v="98.9"/>
    <n v="0"/>
    <n v="1"/>
  </r>
  <r>
    <s v="SHP-505449"/>
    <d v="2025-12-18T00:00:00"/>
    <x v="1"/>
    <s v="Q4"/>
    <x v="11"/>
    <x v="0"/>
    <x v="1"/>
    <x v="0"/>
    <x v="1"/>
    <s v="Road"/>
    <x v="1"/>
    <n v="3"/>
    <n v="937"/>
    <n v="6"/>
    <n v="8"/>
    <n v="0"/>
    <n v="2"/>
    <n v="14.04"/>
    <n v="0"/>
    <n v="1"/>
  </r>
  <r>
    <s v="SHP-505450"/>
    <d v="2025-12-19T00:00:00"/>
    <x v="1"/>
    <s v="Q4"/>
    <x v="11"/>
    <x v="3"/>
    <x v="2"/>
    <x v="1"/>
    <x v="2"/>
    <s v="Road"/>
    <x v="1"/>
    <n v="4.7"/>
    <n v="230"/>
    <n v="1"/>
    <n v="1"/>
    <n v="1"/>
    <n v="0"/>
    <n v="25.89"/>
    <n v="0"/>
    <n v="1"/>
  </r>
  <r>
    <s v="SHP-505451"/>
    <d v="2025-12-19T00:00:00"/>
    <x v="1"/>
    <s v="Q4"/>
    <x v="11"/>
    <x v="3"/>
    <x v="2"/>
    <x v="3"/>
    <x v="0"/>
    <s v="Road"/>
    <x v="1"/>
    <n v="5.0999999999999996"/>
    <n v="558"/>
    <n v="4"/>
    <n v="9"/>
    <n v="0"/>
    <n v="5"/>
    <n v="18.82"/>
    <n v="0"/>
    <n v="1"/>
  </r>
  <r>
    <s v="SHP-505452"/>
    <d v="2025-12-19T00:00:00"/>
    <x v="1"/>
    <s v="Q4"/>
    <x v="11"/>
    <x v="0"/>
    <x v="2"/>
    <x v="0"/>
    <x v="1"/>
    <s v="Road"/>
    <x v="0"/>
    <n v="184.8"/>
    <n v="809"/>
    <n v="6"/>
    <n v="6"/>
    <n v="1"/>
    <n v="0"/>
    <n v="63.49"/>
    <n v="0"/>
    <n v="1"/>
  </r>
  <r>
    <s v="SHP-505453"/>
    <d v="2025-12-19T00:00:00"/>
    <x v="1"/>
    <s v="Q4"/>
    <x v="11"/>
    <x v="2"/>
    <x v="0"/>
    <x v="3"/>
    <x v="0"/>
    <s v="Road"/>
    <x v="0"/>
    <n v="64"/>
    <n v="437"/>
    <n v="4"/>
    <n v="4"/>
    <n v="1"/>
    <n v="0"/>
    <n v="34.950000000000003"/>
    <n v="0"/>
    <n v="1"/>
  </r>
  <r>
    <s v="SHP-505454"/>
    <d v="2025-12-19T00:00:00"/>
    <x v="1"/>
    <s v="Q4"/>
    <x v="11"/>
    <x v="2"/>
    <x v="0"/>
    <x v="4"/>
    <x v="0"/>
    <s v="Road"/>
    <x v="1"/>
    <n v="20.3"/>
    <n v="1182"/>
    <n v="5"/>
    <n v="4"/>
    <n v="1"/>
    <n v="0"/>
    <n v="27.69"/>
    <n v="1"/>
    <n v="1"/>
  </r>
  <r>
    <s v="SHP-505455"/>
    <d v="2025-12-19T00:00:00"/>
    <x v="1"/>
    <s v="Q4"/>
    <x v="11"/>
    <x v="1"/>
    <x v="0"/>
    <x v="1"/>
    <x v="2"/>
    <s v="Road"/>
    <x v="1"/>
    <n v="7.5"/>
    <n v="223"/>
    <n v="1"/>
    <n v="1"/>
    <n v="1"/>
    <n v="0"/>
    <n v="25.04"/>
    <n v="0"/>
    <n v="1"/>
  </r>
  <r>
    <s v="SHP-505456"/>
    <d v="2025-12-19T00:00:00"/>
    <x v="1"/>
    <s v="Q4"/>
    <x v="11"/>
    <x v="1"/>
    <x v="1"/>
    <x v="2"/>
    <x v="0"/>
    <s v="Road"/>
    <x v="1"/>
    <n v="11.1"/>
    <n v="1326"/>
    <n v="5"/>
    <n v="4"/>
    <n v="1"/>
    <n v="0"/>
    <n v="31.96"/>
    <n v="0"/>
    <n v="1"/>
  </r>
  <r>
    <s v="SHP-505457"/>
    <d v="2025-12-19T00:00:00"/>
    <x v="1"/>
    <s v="Q4"/>
    <x v="11"/>
    <x v="0"/>
    <x v="2"/>
    <x v="0"/>
    <x v="2"/>
    <s v="Air"/>
    <x v="1"/>
    <n v="2.9"/>
    <n v="782"/>
    <n v="2"/>
    <n v="1"/>
    <n v="1"/>
    <n v="0"/>
    <n v="53.83"/>
    <n v="0"/>
    <n v="1"/>
  </r>
  <r>
    <s v="SHP-505458"/>
    <d v="2025-12-19T00:00:00"/>
    <x v="1"/>
    <s v="Q4"/>
    <x v="11"/>
    <x v="3"/>
    <x v="1"/>
    <x v="4"/>
    <x v="1"/>
    <s v="Road"/>
    <x v="1"/>
    <n v="11.5"/>
    <n v="1052"/>
    <n v="7"/>
    <n v="7"/>
    <n v="1"/>
    <n v="0"/>
    <n v="21.21"/>
    <n v="0"/>
    <n v="1"/>
  </r>
  <r>
    <s v="SHP-505459"/>
    <d v="2025-12-19T00:00:00"/>
    <x v="1"/>
    <s v="Q4"/>
    <x v="11"/>
    <x v="4"/>
    <x v="2"/>
    <x v="0"/>
    <x v="0"/>
    <s v="Road"/>
    <x v="1"/>
    <n v="9.8000000000000007"/>
    <n v="739"/>
    <n v="4"/>
    <n v="4"/>
    <n v="1"/>
    <n v="0"/>
    <n v="20.16"/>
    <n v="0"/>
    <n v="1"/>
  </r>
  <r>
    <s v="SHP-505460"/>
    <d v="2025-12-19T00:00:00"/>
    <x v="1"/>
    <s v="Q4"/>
    <x v="11"/>
    <x v="2"/>
    <x v="1"/>
    <x v="0"/>
    <x v="1"/>
    <s v="Road"/>
    <x v="0"/>
    <n v="126.1"/>
    <n v="1059"/>
    <n v="6"/>
    <n v="9"/>
    <n v="0"/>
    <n v="3"/>
    <n v="43.89"/>
    <n v="0"/>
    <n v="1"/>
  </r>
  <r>
    <s v="SHP-505461"/>
    <d v="2025-12-19T00:00:00"/>
    <x v="1"/>
    <s v="Q4"/>
    <x v="11"/>
    <x v="2"/>
    <x v="1"/>
    <x v="1"/>
    <x v="2"/>
    <s v="Road"/>
    <x v="0"/>
    <n v="59.5"/>
    <n v="201"/>
    <n v="1"/>
    <n v="1"/>
    <n v="1"/>
    <n v="0"/>
    <n v="64.069999999999993"/>
    <n v="0"/>
    <n v="1"/>
  </r>
  <r>
    <s v="SHP-505462"/>
    <d v="2025-12-20T00:00:00"/>
    <x v="1"/>
    <s v="Q4"/>
    <x v="11"/>
    <x v="2"/>
    <x v="2"/>
    <x v="1"/>
    <x v="0"/>
    <s v="Road"/>
    <x v="1"/>
    <n v="2.9"/>
    <n v="234"/>
    <n v="3"/>
    <n v="7"/>
    <n v="0"/>
    <n v="4"/>
    <n v="9.2799999999999994"/>
    <n v="0"/>
    <n v="1"/>
  </r>
  <r>
    <s v="SHP-505463"/>
    <d v="2025-12-20T00:00:00"/>
    <x v="1"/>
    <s v="Q4"/>
    <x v="11"/>
    <x v="0"/>
    <x v="0"/>
    <x v="0"/>
    <x v="0"/>
    <s v="Road"/>
    <x v="1"/>
    <n v="3.3"/>
    <n v="757"/>
    <n v="4"/>
    <n v="3"/>
    <n v="1"/>
    <n v="0"/>
    <n v="19.09"/>
    <n v="0"/>
    <n v="1"/>
  </r>
  <r>
    <s v="SHP-505464"/>
    <d v="2025-12-20T00:00:00"/>
    <x v="1"/>
    <s v="Q4"/>
    <x v="11"/>
    <x v="3"/>
    <x v="1"/>
    <x v="0"/>
    <x v="1"/>
    <s v="Road"/>
    <x v="0"/>
    <n v="269.60000000000002"/>
    <n v="1038"/>
    <n v="6"/>
    <n v="6"/>
    <n v="1"/>
    <n v="0"/>
    <n v="93.98"/>
    <n v="0"/>
    <n v="1"/>
  </r>
  <r>
    <s v="SHP-505465"/>
    <d v="2025-12-20T00:00:00"/>
    <x v="1"/>
    <s v="Q4"/>
    <x v="11"/>
    <x v="1"/>
    <x v="1"/>
    <x v="0"/>
    <x v="0"/>
    <s v="Road"/>
    <x v="1"/>
    <n v="0.9"/>
    <n v="603"/>
    <n v="4"/>
    <n v="5"/>
    <n v="0"/>
    <n v="1"/>
    <n v="13.58"/>
    <n v="0"/>
    <n v="1"/>
  </r>
  <r>
    <s v="SHP-505466"/>
    <d v="2025-12-20T00:00:00"/>
    <x v="1"/>
    <s v="Q4"/>
    <x v="11"/>
    <x v="3"/>
    <x v="2"/>
    <x v="1"/>
    <x v="0"/>
    <s v="Road"/>
    <x v="0"/>
    <n v="231.8"/>
    <n v="245"/>
    <n v="3"/>
    <n v="3"/>
    <n v="1"/>
    <n v="0"/>
    <n v="117.08"/>
    <n v="0"/>
    <n v="1"/>
  </r>
  <r>
    <s v="SHP-505467"/>
    <d v="2025-12-20T00:00:00"/>
    <x v="1"/>
    <s v="Q4"/>
    <x v="11"/>
    <x v="4"/>
    <x v="0"/>
    <x v="1"/>
    <x v="1"/>
    <s v="Road"/>
    <x v="0"/>
    <n v="141.69999999999999"/>
    <n v="252"/>
    <n v="5"/>
    <n v="5"/>
    <n v="1"/>
    <n v="0"/>
    <n v="52.39"/>
    <n v="0"/>
    <n v="1"/>
  </r>
  <r>
    <s v="SHP-505468"/>
    <d v="2025-12-21T00:00:00"/>
    <x v="1"/>
    <s v="Q4"/>
    <x v="11"/>
    <x v="1"/>
    <x v="2"/>
    <x v="1"/>
    <x v="1"/>
    <s v="Road"/>
    <x v="1"/>
    <n v="4.0999999999999996"/>
    <n v="205"/>
    <n v="5"/>
    <n v="5"/>
    <n v="1"/>
    <n v="0"/>
    <n v="9.1300000000000008"/>
    <n v="0"/>
    <n v="1"/>
  </r>
  <r>
    <s v="SHP-505469"/>
    <d v="2025-12-21T00:00:00"/>
    <x v="1"/>
    <s v="Q4"/>
    <x v="11"/>
    <x v="4"/>
    <x v="2"/>
    <x v="1"/>
    <x v="0"/>
    <s v="Road"/>
    <x v="0"/>
    <n v="106"/>
    <n v="244"/>
    <n v="3"/>
    <n v="3"/>
    <n v="1"/>
    <n v="0"/>
    <n v="58.39"/>
    <n v="0"/>
    <n v="1"/>
  </r>
  <r>
    <s v="SHP-505470"/>
    <d v="2025-12-21T00:00:00"/>
    <x v="1"/>
    <s v="Q4"/>
    <x v="11"/>
    <x v="2"/>
    <x v="2"/>
    <x v="3"/>
    <x v="0"/>
    <s v="Road"/>
    <x v="1"/>
    <n v="6.3"/>
    <n v="543"/>
    <n v="4"/>
    <n v="4"/>
    <n v="1"/>
    <n v="0"/>
    <n v="14.37"/>
    <n v="0"/>
    <n v="1"/>
  </r>
  <r>
    <s v="SHP-505471"/>
    <d v="2025-12-21T00:00:00"/>
    <x v="1"/>
    <s v="Q4"/>
    <x v="11"/>
    <x v="3"/>
    <x v="1"/>
    <x v="1"/>
    <x v="0"/>
    <s v="Road"/>
    <x v="1"/>
    <n v="2.7"/>
    <n v="230"/>
    <n v="3"/>
    <n v="3"/>
    <n v="1"/>
    <n v="0"/>
    <n v="13.18"/>
    <n v="0"/>
    <n v="1"/>
  </r>
  <r>
    <s v="SHP-505472"/>
    <d v="2025-12-22T00:00:00"/>
    <x v="1"/>
    <s v="Q4"/>
    <x v="11"/>
    <x v="4"/>
    <x v="2"/>
    <x v="3"/>
    <x v="2"/>
    <s v="Road"/>
    <x v="1"/>
    <n v="0.6"/>
    <n v="551"/>
    <n v="2"/>
    <n v="2"/>
    <n v="1"/>
    <n v="0"/>
    <n v="24.77"/>
    <n v="0"/>
    <n v="1"/>
  </r>
  <r>
    <s v="SHP-505473"/>
    <d v="2025-12-22T00:00:00"/>
    <x v="1"/>
    <s v="Q4"/>
    <x v="11"/>
    <x v="3"/>
    <x v="2"/>
    <x v="3"/>
    <x v="0"/>
    <s v="Road"/>
    <x v="1"/>
    <n v="2.9"/>
    <n v="447"/>
    <n v="4"/>
    <n v="4"/>
    <n v="1"/>
    <n v="0"/>
    <n v="15.22"/>
    <n v="0"/>
    <n v="1"/>
  </r>
  <r>
    <s v="SHP-505474"/>
    <d v="2025-12-22T00:00:00"/>
    <x v="1"/>
    <s v="Q4"/>
    <x v="11"/>
    <x v="2"/>
    <x v="0"/>
    <x v="3"/>
    <x v="0"/>
    <s v="Road"/>
    <x v="1"/>
    <n v="23.8"/>
    <n v="430"/>
    <n v="4"/>
    <n v="4"/>
    <n v="1"/>
    <n v="0"/>
    <n v="20.239999999999998"/>
    <n v="0"/>
    <n v="1"/>
  </r>
  <r>
    <s v="SHP-505475"/>
    <d v="2025-12-22T00:00:00"/>
    <x v="1"/>
    <s v="Q4"/>
    <x v="11"/>
    <x v="4"/>
    <x v="1"/>
    <x v="3"/>
    <x v="0"/>
    <s v="Road"/>
    <x v="1"/>
    <n v="2.9"/>
    <n v="437"/>
    <n v="4"/>
    <n v="4"/>
    <n v="1"/>
    <n v="0"/>
    <n v="13.64"/>
    <n v="0"/>
    <n v="1"/>
  </r>
  <r>
    <s v="SHP-505476"/>
    <d v="2025-12-22T00:00:00"/>
    <x v="1"/>
    <s v="Q4"/>
    <x v="11"/>
    <x v="4"/>
    <x v="2"/>
    <x v="1"/>
    <x v="1"/>
    <s v="Road"/>
    <x v="1"/>
    <n v="1.6"/>
    <n v="257"/>
    <n v="5"/>
    <n v="4"/>
    <n v="1"/>
    <n v="0"/>
    <n v="7.24"/>
    <n v="0"/>
    <n v="1"/>
  </r>
  <r>
    <s v="SHP-505477"/>
    <d v="2025-12-22T00:00:00"/>
    <x v="1"/>
    <s v="Q4"/>
    <x v="11"/>
    <x v="4"/>
    <x v="2"/>
    <x v="1"/>
    <x v="1"/>
    <s v="Road"/>
    <x v="0"/>
    <n v="180"/>
    <n v="272"/>
    <n v="5"/>
    <n v="4"/>
    <n v="1"/>
    <n v="0"/>
    <n v="59.63"/>
    <n v="0"/>
    <n v="1"/>
  </r>
  <r>
    <s v="SHP-505478"/>
    <d v="2025-12-22T00:00:00"/>
    <x v="1"/>
    <s v="Q4"/>
    <x v="11"/>
    <x v="1"/>
    <x v="1"/>
    <x v="3"/>
    <x v="0"/>
    <s v="Road"/>
    <x v="0"/>
    <n v="228.6"/>
    <n v="473"/>
    <n v="4"/>
    <n v="4"/>
    <n v="1"/>
    <n v="0"/>
    <n v="111.2"/>
    <n v="0"/>
    <n v="1"/>
  </r>
  <r>
    <s v="SHP-505479"/>
    <d v="2025-12-22T00:00:00"/>
    <x v="1"/>
    <s v="Q4"/>
    <x v="11"/>
    <x v="4"/>
    <x v="1"/>
    <x v="0"/>
    <x v="0"/>
    <s v="Road"/>
    <x v="0"/>
    <n v="227.7"/>
    <n v="955"/>
    <n v="4"/>
    <n v="4"/>
    <n v="1"/>
    <n v="0"/>
    <n v="110.49"/>
    <n v="0"/>
    <n v="1"/>
  </r>
  <r>
    <s v="SHP-505480"/>
    <d v="2025-12-22T00:00:00"/>
    <x v="1"/>
    <s v="Q4"/>
    <x v="11"/>
    <x v="4"/>
    <x v="2"/>
    <x v="2"/>
    <x v="2"/>
    <s v="Air"/>
    <x v="1"/>
    <n v="8.1999999999999993"/>
    <n v="1210"/>
    <n v="3"/>
    <n v="3"/>
    <n v="1"/>
    <n v="0"/>
    <n v="72.59"/>
    <n v="0"/>
    <n v="1"/>
  </r>
  <r>
    <s v="SHP-505481"/>
    <d v="2025-12-22T00:00:00"/>
    <x v="1"/>
    <s v="Q4"/>
    <x v="11"/>
    <x v="3"/>
    <x v="0"/>
    <x v="3"/>
    <x v="0"/>
    <s v="Road"/>
    <x v="1"/>
    <n v="7.7"/>
    <n v="479"/>
    <n v="4"/>
    <n v="4"/>
    <n v="1"/>
    <n v="0"/>
    <n v="16.75"/>
    <n v="0"/>
    <n v="1"/>
  </r>
  <r>
    <s v="SHP-505482"/>
    <d v="2025-12-22T00:00:00"/>
    <x v="1"/>
    <s v="Q4"/>
    <x v="11"/>
    <x v="4"/>
    <x v="2"/>
    <x v="2"/>
    <x v="1"/>
    <s v="Road"/>
    <x v="1"/>
    <n v="1.5"/>
    <n v="996"/>
    <n v="7"/>
    <n v="9"/>
    <n v="0"/>
    <n v="2"/>
    <n v="13.98"/>
    <n v="0"/>
    <n v="1"/>
  </r>
  <r>
    <s v="SHP-505483"/>
    <d v="2025-12-22T00:00:00"/>
    <x v="1"/>
    <s v="Q4"/>
    <x v="11"/>
    <x v="4"/>
    <x v="1"/>
    <x v="0"/>
    <x v="1"/>
    <s v="Road"/>
    <x v="0"/>
    <n v="329.4"/>
    <n v="912"/>
    <n v="6"/>
    <n v="5"/>
    <n v="1"/>
    <n v="0"/>
    <n v="98.33"/>
    <n v="0"/>
    <n v="1"/>
  </r>
  <r>
    <s v="SHP-505484"/>
    <d v="2025-12-22T00:00:00"/>
    <x v="1"/>
    <s v="Q4"/>
    <x v="11"/>
    <x v="0"/>
    <x v="1"/>
    <x v="1"/>
    <x v="0"/>
    <s v="Road"/>
    <x v="1"/>
    <n v="4.5"/>
    <n v="246"/>
    <n v="3"/>
    <n v="6"/>
    <n v="0"/>
    <n v="3"/>
    <n v="11.25"/>
    <n v="0"/>
    <n v="1"/>
  </r>
  <r>
    <s v="SHP-505485"/>
    <d v="2025-12-22T00:00:00"/>
    <x v="1"/>
    <s v="Q4"/>
    <x v="11"/>
    <x v="4"/>
    <x v="2"/>
    <x v="1"/>
    <x v="0"/>
    <s v="Road"/>
    <x v="0"/>
    <n v="24.9"/>
    <n v="277"/>
    <n v="3"/>
    <n v="3"/>
    <n v="1"/>
    <n v="0"/>
    <n v="24.68"/>
    <n v="0"/>
    <n v="1"/>
  </r>
  <r>
    <s v="SHP-505486"/>
    <d v="2025-12-23T00:00:00"/>
    <x v="1"/>
    <s v="Q4"/>
    <x v="11"/>
    <x v="3"/>
    <x v="2"/>
    <x v="0"/>
    <x v="0"/>
    <s v="Road"/>
    <x v="0"/>
    <n v="189.8"/>
    <n v="924"/>
    <n v="4"/>
    <n v="4"/>
    <n v="1"/>
    <n v="0"/>
    <n v="116.07"/>
    <n v="0"/>
    <n v="1"/>
  </r>
  <r>
    <s v="SHP-505487"/>
    <d v="2025-12-23T00:00:00"/>
    <x v="1"/>
    <s v="Q4"/>
    <x v="11"/>
    <x v="0"/>
    <x v="0"/>
    <x v="4"/>
    <x v="0"/>
    <s v="Road"/>
    <x v="0"/>
    <n v="97.3"/>
    <n v="1015"/>
    <n v="5"/>
    <n v="5"/>
    <n v="1"/>
    <n v="0"/>
    <n v="64.91"/>
    <n v="0"/>
    <n v="1"/>
  </r>
  <r>
    <s v="SHP-505488"/>
    <d v="2025-12-23T00:00:00"/>
    <x v="1"/>
    <s v="Q4"/>
    <x v="11"/>
    <x v="2"/>
    <x v="2"/>
    <x v="0"/>
    <x v="1"/>
    <s v="Road"/>
    <x v="0"/>
    <n v="57.2"/>
    <n v="829"/>
    <n v="6"/>
    <n v="6"/>
    <n v="1"/>
    <n v="0"/>
    <n v="26.47"/>
    <n v="0"/>
    <n v="1"/>
  </r>
  <r>
    <s v="SHP-505489"/>
    <d v="2025-12-23T00:00:00"/>
    <x v="1"/>
    <s v="Q4"/>
    <x v="11"/>
    <x v="4"/>
    <x v="2"/>
    <x v="2"/>
    <x v="2"/>
    <s v="Air"/>
    <x v="0"/>
    <n v="39.1"/>
    <n v="1229"/>
    <n v="3"/>
    <n v="3"/>
    <n v="1"/>
    <n v="0"/>
    <n v="122.92"/>
    <n v="0"/>
    <n v="1"/>
  </r>
  <r>
    <s v="SHP-505490"/>
    <d v="2025-12-23T00:00:00"/>
    <x v="1"/>
    <s v="Q4"/>
    <x v="11"/>
    <x v="1"/>
    <x v="2"/>
    <x v="1"/>
    <x v="0"/>
    <s v="Road"/>
    <x v="0"/>
    <n v="206.9"/>
    <n v="135"/>
    <n v="3"/>
    <n v="2"/>
    <n v="1"/>
    <n v="0"/>
    <n v="88.75"/>
    <n v="0"/>
    <n v="1"/>
  </r>
  <r>
    <s v="SHP-505491"/>
    <d v="2025-12-23T00:00:00"/>
    <x v="1"/>
    <s v="Q4"/>
    <x v="11"/>
    <x v="2"/>
    <x v="2"/>
    <x v="4"/>
    <x v="2"/>
    <s v="Air"/>
    <x v="1"/>
    <n v="10.5"/>
    <n v="1202"/>
    <n v="3"/>
    <n v="2"/>
    <n v="1"/>
    <n v="0"/>
    <n v="63.65"/>
    <n v="0"/>
    <n v="1"/>
  </r>
  <r>
    <s v="SHP-505492"/>
    <d v="2025-12-23T00:00:00"/>
    <x v="1"/>
    <s v="Q4"/>
    <x v="11"/>
    <x v="0"/>
    <x v="2"/>
    <x v="1"/>
    <x v="1"/>
    <s v="Road"/>
    <x v="1"/>
    <n v="0.6"/>
    <n v="241"/>
    <n v="5"/>
    <n v="4"/>
    <n v="1"/>
    <n v="0"/>
    <n v="6.06"/>
    <n v="0"/>
    <n v="1"/>
  </r>
  <r>
    <s v="SHP-505493"/>
    <d v="2025-12-23T00:00:00"/>
    <x v="1"/>
    <s v="Q4"/>
    <x v="11"/>
    <x v="3"/>
    <x v="1"/>
    <x v="3"/>
    <x v="0"/>
    <s v="Road"/>
    <x v="1"/>
    <n v="5"/>
    <n v="352"/>
    <n v="4"/>
    <n v="4"/>
    <n v="1"/>
    <n v="0"/>
    <n v="16.2"/>
    <n v="0"/>
    <n v="1"/>
  </r>
  <r>
    <s v="SHP-505494"/>
    <d v="2025-12-23T00:00:00"/>
    <x v="1"/>
    <s v="Q4"/>
    <x v="11"/>
    <x v="2"/>
    <x v="2"/>
    <x v="0"/>
    <x v="0"/>
    <s v="Road"/>
    <x v="0"/>
    <n v="107.5"/>
    <n v="698"/>
    <n v="4"/>
    <n v="4"/>
    <n v="1"/>
    <n v="0"/>
    <n v="58.06"/>
    <n v="0"/>
    <n v="1"/>
  </r>
  <r>
    <s v="SHP-505495"/>
    <d v="2025-12-23T00:00:00"/>
    <x v="1"/>
    <s v="Q4"/>
    <x v="11"/>
    <x v="3"/>
    <x v="2"/>
    <x v="3"/>
    <x v="0"/>
    <s v="Road"/>
    <x v="1"/>
    <n v="14.5"/>
    <n v="417"/>
    <n v="4"/>
    <n v="4"/>
    <n v="1"/>
    <n v="0"/>
    <n v="19.309999999999999"/>
    <n v="0"/>
    <n v="1"/>
  </r>
  <r>
    <s v="SHP-505496"/>
    <d v="2025-12-23T00:00:00"/>
    <x v="1"/>
    <s v="Q4"/>
    <x v="11"/>
    <x v="1"/>
    <x v="2"/>
    <x v="4"/>
    <x v="1"/>
    <s v="Road"/>
    <x v="1"/>
    <n v="19.7"/>
    <n v="1045"/>
    <n v="7"/>
    <n v="10"/>
    <n v="0"/>
    <n v="3"/>
    <n v="23.3"/>
    <n v="0"/>
    <n v="1"/>
  </r>
  <r>
    <s v="SHP-505497"/>
    <d v="2025-12-23T00:00:00"/>
    <x v="1"/>
    <s v="Q4"/>
    <x v="11"/>
    <x v="0"/>
    <x v="2"/>
    <x v="1"/>
    <x v="2"/>
    <s v="Road"/>
    <x v="0"/>
    <n v="23"/>
    <n v="285"/>
    <n v="1"/>
    <n v="1"/>
    <n v="1"/>
    <n v="0"/>
    <n v="40.159999999999997"/>
    <n v="0"/>
    <n v="1"/>
  </r>
  <r>
    <s v="SHP-505498"/>
    <d v="2025-12-23T00:00:00"/>
    <x v="1"/>
    <s v="Q4"/>
    <x v="11"/>
    <x v="3"/>
    <x v="0"/>
    <x v="4"/>
    <x v="1"/>
    <s v="Road"/>
    <x v="0"/>
    <n v="112.4"/>
    <n v="908"/>
    <n v="7"/>
    <n v="7"/>
    <n v="1"/>
    <n v="0"/>
    <n v="53.37"/>
    <n v="0"/>
    <n v="1"/>
  </r>
  <r>
    <s v="SHP-505499"/>
    <d v="2025-12-23T00:00:00"/>
    <x v="1"/>
    <s v="Q4"/>
    <x v="11"/>
    <x v="4"/>
    <x v="1"/>
    <x v="1"/>
    <x v="0"/>
    <s v="Road"/>
    <x v="1"/>
    <n v="6.3"/>
    <n v="230"/>
    <n v="3"/>
    <n v="3"/>
    <n v="1"/>
    <n v="0"/>
    <n v="13.36"/>
    <n v="0"/>
    <n v="1"/>
  </r>
  <r>
    <s v="SHP-505500"/>
    <d v="2025-12-24T00:00:00"/>
    <x v="1"/>
    <s v="Q4"/>
    <x v="11"/>
    <x v="0"/>
    <x v="1"/>
    <x v="0"/>
    <x v="1"/>
    <s v="Road"/>
    <x v="1"/>
    <n v="3.7"/>
    <n v="1066"/>
    <n v="6"/>
    <n v="6"/>
    <n v="1"/>
    <n v="0"/>
    <n v="15.55"/>
    <n v="0"/>
    <n v="1"/>
  </r>
  <r>
    <s v="SHP-505501"/>
    <d v="2025-12-24T00:00:00"/>
    <x v="1"/>
    <s v="Q4"/>
    <x v="11"/>
    <x v="3"/>
    <x v="0"/>
    <x v="2"/>
    <x v="1"/>
    <s v="Road"/>
    <x v="1"/>
    <n v="3.3"/>
    <n v="1389"/>
    <n v="7"/>
    <n v="7"/>
    <n v="1"/>
    <n v="0"/>
    <n v="19.239999999999998"/>
    <n v="0"/>
    <n v="1"/>
  </r>
  <r>
    <s v="SHP-505502"/>
    <d v="2025-12-24T00:00:00"/>
    <x v="1"/>
    <s v="Q4"/>
    <x v="11"/>
    <x v="0"/>
    <x v="1"/>
    <x v="0"/>
    <x v="0"/>
    <s v="Road"/>
    <x v="1"/>
    <n v="10.199999999999999"/>
    <n v="694"/>
    <n v="4"/>
    <n v="3"/>
    <n v="1"/>
    <n v="0"/>
    <n v="20"/>
    <n v="0"/>
    <n v="1"/>
  </r>
  <r>
    <s v="SHP-505503"/>
    <d v="2025-12-24T00:00:00"/>
    <x v="1"/>
    <s v="Q4"/>
    <x v="11"/>
    <x v="4"/>
    <x v="1"/>
    <x v="1"/>
    <x v="1"/>
    <s v="Road"/>
    <x v="1"/>
    <n v="4.0999999999999996"/>
    <n v="298"/>
    <n v="5"/>
    <n v="5"/>
    <n v="1"/>
    <n v="0"/>
    <n v="9.3800000000000008"/>
    <n v="0"/>
    <n v="1"/>
  </r>
  <r>
    <s v="SHP-505504"/>
    <d v="2025-12-24T00:00:00"/>
    <x v="1"/>
    <s v="Q4"/>
    <x v="11"/>
    <x v="2"/>
    <x v="0"/>
    <x v="4"/>
    <x v="0"/>
    <s v="Road"/>
    <x v="0"/>
    <n v="132.30000000000001"/>
    <n v="719"/>
    <n v="5"/>
    <n v="4"/>
    <n v="1"/>
    <n v="0"/>
    <n v="59.95"/>
    <n v="0"/>
    <n v="1"/>
  </r>
  <r>
    <s v="SHP-505505"/>
    <d v="2025-12-24T00:00:00"/>
    <x v="1"/>
    <s v="Q4"/>
    <x v="11"/>
    <x v="1"/>
    <x v="1"/>
    <x v="1"/>
    <x v="1"/>
    <s v="Road"/>
    <x v="1"/>
    <n v="8.3000000000000007"/>
    <n v="231"/>
    <n v="5"/>
    <n v="5"/>
    <n v="1"/>
    <n v="0"/>
    <n v="10.32"/>
    <n v="0"/>
    <n v="1"/>
  </r>
  <r>
    <s v="SHP-505506"/>
    <d v="2025-12-24T00:00:00"/>
    <x v="1"/>
    <s v="Q4"/>
    <x v="11"/>
    <x v="3"/>
    <x v="2"/>
    <x v="2"/>
    <x v="0"/>
    <s v="Road"/>
    <x v="1"/>
    <n v="23.4"/>
    <n v="1066"/>
    <n v="5"/>
    <n v="5"/>
    <n v="1"/>
    <n v="0"/>
    <n v="36.69"/>
    <n v="0"/>
    <n v="1"/>
  </r>
  <r>
    <s v="SHP-505507"/>
    <d v="2025-12-24T00:00:00"/>
    <x v="1"/>
    <s v="Q4"/>
    <x v="11"/>
    <x v="3"/>
    <x v="0"/>
    <x v="0"/>
    <x v="0"/>
    <s v="Road"/>
    <x v="1"/>
    <n v="5.5"/>
    <n v="717"/>
    <n v="4"/>
    <n v="4"/>
    <n v="1"/>
    <n v="0"/>
    <n v="19.899999999999999"/>
    <n v="0"/>
    <n v="1"/>
  </r>
  <r>
    <s v="SHP-505508"/>
    <d v="2025-12-24T00:00:00"/>
    <x v="1"/>
    <s v="Q4"/>
    <x v="11"/>
    <x v="2"/>
    <x v="1"/>
    <x v="3"/>
    <x v="1"/>
    <s v="Road"/>
    <x v="0"/>
    <n v="52.7"/>
    <n v="547"/>
    <n v="6"/>
    <n v="6"/>
    <n v="1"/>
    <n v="0"/>
    <n v="24"/>
    <n v="0"/>
    <n v="1"/>
  </r>
  <r>
    <s v="SHP-505509"/>
    <d v="2025-12-24T00:00:00"/>
    <x v="1"/>
    <s v="Q4"/>
    <x v="11"/>
    <x v="4"/>
    <x v="2"/>
    <x v="4"/>
    <x v="0"/>
    <s v="Road"/>
    <x v="0"/>
    <n v="216.7"/>
    <n v="1254"/>
    <n v="5"/>
    <n v="5"/>
    <n v="1"/>
    <n v="0"/>
    <n v="97.17"/>
    <n v="0"/>
    <n v="1"/>
  </r>
  <r>
    <s v="SHP-505510"/>
    <d v="2025-12-24T00:00:00"/>
    <x v="1"/>
    <s v="Q4"/>
    <x v="11"/>
    <x v="3"/>
    <x v="1"/>
    <x v="2"/>
    <x v="0"/>
    <s v="Road"/>
    <x v="1"/>
    <n v="3.7"/>
    <n v="1047"/>
    <n v="5"/>
    <n v="5"/>
    <n v="1"/>
    <n v="0"/>
    <n v="22.6"/>
    <n v="0"/>
    <n v="1"/>
  </r>
  <r>
    <s v="SHP-505511"/>
    <d v="2025-12-24T00:00:00"/>
    <x v="1"/>
    <s v="Q4"/>
    <x v="11"/>
    <x v="3"/>
    <x v="1"/>
    <x v="2"/>
    <x v="2"/>
    <s v="Air"/>
    <x v="0"/>
    <n v="78.8"/>
    <n v="1092"/>
    <n v="3"/>
    <n v="2"/>
    <n v="1"/>
    <n v="0"/>
    <n v="186.32"/>
    <n v="0"/>
    <n v="1"/>
  </r>
  <r>
    <s v="SHP-505512"/>
    <d v="2025-12-24T00:00:00"/>
    <x v="1"/>
    <s v="Q4"/>
    <x v="11"/>
    <x v="2"/>
    <x v="1"/>
    <x v="0"/>
    <x v="0"/>
    <s v="Road"/>
    <x v="0"/>
    <n v="18.7"/>
    <n v="992"/>
    <n v="4"/>
    <n v="3"/>
    <n v="1"/>
    <n v="0"/>
    <n v="24.62"/>
    <n v="0"/>
    <n v="1"/>
  </r>
  <r>
    <s v="SHP-505513"/>
    <d v="2025-12-24T00:00:00"/>
    <x v="1"/>
    <s v="Q4"/>
    <x v="11"/>
    <x v="3"/>
    <x v="2"/>
    <x v="4"/>
    <x v="0"/>
    <s v="Road"/>
    <x v="0"/>
    <n v="87.9"/>
    <n v="777"/>
    <n v="5"/>
    <n v="5"/>
    <n v="1"/>
    <n v="0"/>
    <n v="65.52"/>
    <n v="0"/>
    <n v="1"/>
  </r>
  <r>
    <s v="SHP-505514"/>
    <d v="2025-12-25T00:00:00"/>
    <x v="1"/>
    <s v="Q4"/>
    <x v="11"/>
    <x v="4"/>
    <x v="2"/>
    <x v="3"/>
    <x v="1"/>
    <s v="Road"/>
    <x v="1"/>
    <n v="1"/>
    <n v="478"/>
    <n v="6"/>
    <n v="6"/>
    <n v="1"/>
    <n v="0"/>
    <n v="8.6199999999999992"/>
    <n v="0"/>
    <n v="1"/>
  </r>
  <r>
    <s v="SHP-505515"/>
    <d v="2025-12-25T00:00:00"/>
    <x v="1"/>
    <s v="Q4"/>
    <x v="11"/>
    <x v="1"/>
    <x v="1"/>
    <x v="1"/>
    <x v="0"/>
    <s v="Road"/>
    <x v="1"/>
    <n v="1.3"/>
    <n v="242"/>
    <n v="3"/>
    <n v="3"/>
    <n v="1"/>
    <n v="0"/>
    <n v="10.89"/>
    <n v="0"/>
    <n v="1"/>
  </r>
  <r>
    <s v="SHP-505516"/>
    <d v="2025-12-25T00:00:00"/>
    <x v="1"/>
    <s v="Q4"/>
    <x v="11"/>
    <x v="1"/>
    <x v="1"/>
    <x v="2"/>
    <x v="1"/>
    <s v="Road"/>
    <x v="0"/>
    <n v="55.6"/>
    <n v="1093"/>
    <n v="7"/>
    <n v="7"/>
    <n v="1"/>
    <n v="0"/>
    <n v="35.71"/>
    <n v="0"/>
    <n v="1"/>
  </r>
  <r>
    <s v="SHP-505517"/>
    <d v="2025-12-25T00:00:00"/>
    <x v="1"/>
    <s v="Q4"/>
    <x v="11"/>
    <x v="0"/>
    <x v="2"/>
    <x v="3"/>
    <x v="0"/>
    <s v="Road"/>
    <x v="0"/>
    <n v="96.6"/>
    <n v="457"/>
    <n v="4"/>
    <n v="4"/>
    <n v="1"/>
    <n v="0"/>
    <n v="54.69"/>
    <n v="0"/>
    <n v="1"/>
  </r>
  <r>
    <s v="SHP-505518"/>
    <d v="2025-12-25T00:00:00"/>
    <x v="1"/>
    <s v="Q4"/>
    <x v="11"/>
    <x v="4"/>
    <x v="2"/>
    <x v="3"/>
    <x v="0"/>
    <s v="Road"/>
    <x v="1"/>
    <n v="1.3"/>
    <n v="481"/>
    <n v="4"/>
    <n v="6"/>
    <n v="0"/>
    <n v="2"/>
    <n v="12.91"/>
    <n v="0"/>
    <n v="1"/>
  </r>
  <r>
    <s v="SHP-505519"/>
    <d v="2025-12-25T00:00:00"/>
    <x v="1"/>
    <s v="Q4"/>
    <x v="11"/>
    <x v="0"/>
    <x v="2"/>
    <x v="4"/>
    <x v="0"/>
    <s v="Road"/>
    <x v="0"/>
    <n v="235.3"/>
    <n v="1313"/>
    <n v="5"/>
    <n v="5"/>
    <n v="1"/>
    <n v="0"/>
    <n v="112.1"/>
    <n v="0"/>
    <n v="1"/>
  </r>
  <r>
    <s v="SHP-505520"/>
    <d v="2025-12-25T00:00:00"/>
    <x v="1"/>
    <s v="Q4"/>
    <x v="11"/>
    <x v="3"/>
    <x v="0"/>
    <x v="0"/>
    <x v="2"/>
    <s v="Air"/>
    <x v="0"/>
    <n v="240.2"/>
    <n v="681"/>
    <n v="2"/>
    <n v="2"/>
    <n v="1"/>
    <n v="0"/>
    <n v="424.53"/>
    <n v="0"/>
    <n v="1"/>
  </r>
  <r>
    <s v="SHP-505521"/>
    <d v="2025-12-25T00:00:00"/>
    <x v="1"/>
    <s v="Q4"/>
    <x v="11"/>
    <x v="4"/>
    <x v="2"/>
    <x v="1"/>
    <x v="0"/>
    <s v="Road"/>
    <x v="0"/>
    <n v="20.3"/>
    <n v="173"/>
    <n v="3"/>
    <n v="3"/>
    <n v="1"/>
    <n v="0"/>
    <n v="19.71"/>
    <n v="0"/>
    <n v="1"/>
  </r>
  <r>
    <s v="SHP-505522"/>
    <d v="2025-12-25T00:00:00"/>
    <x v="1"/>
    <s v="Q4"/>
    <x v="11"/>
    <x v="4"/>
    <x v="0"/>
    <x v="1"/>
    <x v="1"/>
    <s v="Road"/>
    <x v="1"/>
    <n v="5.6"/>
    <n v="165"/>
    <n v="5"/>
    <n v="6"/>
    <n v="0"/>
    <n v="1"/>
    <n v="9.3000000000000007"/>
    <n v="0"/>
    <n v="1"/>
  </r>
  <r>
    <s v="SHP-505523"/>
    <d v="2025-12-25T00:00:00"/>
    <x v="1"/>
    <s v="Q4"/>
    <x v="11"/>
    <x v="3"/>
    <x v="2"/>
    <x v="3"/>
    <x v="0"/>
    <s v="Road"/>
    <x v="1"/>
    <n v="5.8"/>
    <n v="398"/>
    <n v="4"/>
    <n v="4"/>
    <n v="1"/>
    <n v="0"/>
    <n v="16.79"/>
    <n v="0"/>
    <n v="1"/>
  </r>
  <r>
    <s v="SHP-505524"/>
    <d v="2025-12-25T00:00:00"/>
    <x v="1"/>
    <s v="Q4"/>
    <x v="11"/>
    <x v="0"/>
    <x v="0"/>
    <x v="0"/>
    <x v="1"/>
    <s v="Road"/>
    <x v="0"/>
    <n v="41.1"/>
    <n v="851"/>
    <n v="6"/>
    <n v="9"/>
    <n v="0"/>
    <n v="3"/>
    <n v="26.11"/>
    <n v="0"/>
    <n v="1"/>
  </r>
  <r>
    <s v="SHP-505525"/>
    <d v="2025-12-25T00:00:00"/>
    <x v="1"/>
    <s v="Q4"/>
    <x v="11"/>
    <x v="1"/>
    <x v="2"/>
    <x v="1"/>
    <x v="1"/>
    <s v="Road"/>
    <x v="1"/>
    <n v="3.2"/>
    <n v="238"/>
    <n v="5"/>
    <n v="5"/>
    <n v="1"/>
    <n v="0"/>
    <n v="8.4499999999999993"/>
    <n v="0"/>
    <n v="1"/>
  </r>
  <r>
    <s v="SHP-505526"/>
    <d v="2025-12-25T00:00:00"/>
    <x v="1"/>
    <s v="Q4"/>
    <x v="11"/>
    <x v="1"/>
    <x v="1"/>
    <x v="0"/>
    <x v="0"/>
    <s v="Road"/>
    <x v="0"/>
    <n v="94.8"/>
    <n v="765"/>
    <n v="4"/>
    <n v="4"/>
    <n v="1"/>
    <n v="0"/>
    <n v="67.069999999999993"/>
    <n v="0"/>
    <n v="1"/>
  </r>
  <r>
    <s v="SHP-505527"/>
    <d v="2025-12-25T00:00:00"/>
    <x v="1"/>
    <s v="Q4"/>
    <x v="11"/>
    <x v="3"/>
    <x v="2"/>
    <x v="4"/>
    <x v="0"/>
    <s v="Road"/>
    <x v="1"/>
    <n v="3.6"/>
    <n v="962"/>
    <n v="5"/>
    <n v="5"/>
    <n v="1"/>
    <n v="0"/>
    <n v="22.45"/>
    <n v="0"/>
    <n v="1"/>
  </r>
  <r>
    <s v="SHP-505528"/>
    <d v="2025-12-25T00:00:00"/>
    <x v="1"/>
    <s v="Q4"/>
    <x v="11"/>
    <x v="0"/>
    <x v="2"/>
    <x v="3"/>
    <x v="1"/>
    <s v="Road"/>
    <x v="1"/>
    <n v="3.8"/>
    <n v="563"/>
    <n v="6"/>
    <n v="6"/>
    <n v="1"/>
    <n v="0"/>
    <n v="10.4"/>
    <n v="0"/>
    <n v="1"/>
  </r>
  <r>
    <s v="SHP-505529"/>
    <d v="2025-12-25T00:00:00"/>
    <x v="1"/>
    <s v="Q4"/>
    <x v="11"/>
    <x v="2"/>
    <x v="1"/>
    <x v="1"/>
    <x v="1"/>
    <s v="Road"/>
    <x v="1"/>
    <n v="3.5"/>
    <n v="294"/>
    <n v="5"/>
    <n v="5"/>
    <n v="1"/>
    <n v="0"/>
    <n v="8.3000000000000007"/>
    <n v="0"/>
    <n v="1"/>
  </r>
  <r>
    <s v="SHP-505530"/>
    <d v="2025-12-26T00:00:00"/>
    <x v="1"/>
    <s v="Q4"/>
    <x v="11"/>
    <x v="2"/>
    <x v="0"/>
    <x v="4"/>
    <x v="0"/>
    <s v="Road"/>
    <x v="1"/>
    <n v="11.6"/>
    <n v="1133"/>
    <n v="5"/>
    <n v="7"/>
    <n v="0"/>
    <n v="2"/>
    <n v="23.27"/>
    <n v="0"/>
    <n v="1"/>
  </r>
  <r>
    <s v="SHP-505531"/>
    <d v="2025-12-26T00:00:00"/>
    <x v="1"/>
    <s v="Q4"/>
    <x v="11"/>
    <x v="3"/>
    <x v="0"/>
    <x v="4"/>
    <x v="1"/>
    <s v="Road"/>
    <x v="0"/>
    <n v="225.8"/>
    <n v="1036"/>
    <n v="7"/>
    <n v="7"/>
    <n v="1"/>
    <n v="0"/>
    <n v="85.66"/>
    <n v="0"/>
    <n v="1"/>
  </r>
  <r>
    <s v="SHP-505532"/>
    <d v="2025-12-26T00:00:00"/>
    <x v="1"/>
    <s v="Q4"/>
    <x v="11"/>
    <x v="2"/>
    <x v="1"/>
    <x v="2"/>
    <x v="2"/>
    <s v="Air"/>
    <x v="1"/>
    <n v="3.1"/>
    <n v="1144"/>
    <n v="3"/>
    <n v="6"/>
    <n v="0"/>
    <n v="3"/>
    <n v="55.78"/>
    <n v="0"/>
    <n v="1"/>
  </r>
  <r>
    <s v="SHP-505533"/>
    <d v="2025-12-26T00:00:00"/>
    <x v="1"/>
    <s v="Q4"/>
    <x v="11"/>
    <x v="2"/>
    <x v="2"/>
    <x v="0"/>
    <x v="0"/>
    <s v="Road"/>
    <x v="1"/>
    <n v="8.6"/>
    <n v="940"/>
    <n v="4"/>
    <n v="4"/>
    <n v="1"/>
    <n v="0"/>
    <n v="19.559999999999999"/>
    <n v="0"/>
    <n v="1"/>
  </r>
  <r>
    <s v="SHP-505534"/>
    <d v="2025-12-26T00:00:00"/>
    <x v="1"/>
    <s v="Q4"/>
    <x v="11"/>
    <x v="0"/>
    <x v="2"/>
    <x v="3"/>
    <x v="0"/>
    <s v="Road"/>
    <x v="0"/>
    <n v="88.2"/>
    <n v="395"/>
    <n v="4"/>
    <n v="4"/>
    <n v="1"/>
    <n v="0"/>
    <n v="49.13"/>
    <n v="0"/>
    <n v="1"/>
  </r>
  <r>
    <s v="SHP-505535"/>
    <d v="2025-12-26T00:00:00"/>
    <x v="1"/>
    <s v="Q4"/>
    <x v="11"/>
    <x v="3"/>
    <x v="2"/>
    <x v="1"/>
    <x v="0"/>
    <s v="Road"/>
    <x v="0"/>
    <n v="88.8"/>
    <n v="278"/>
    <n v="3"/>
    <n v="3"/>
    <n v="1"/>
    <n v="0"/>
    <n v="53.14"/>
    <n v="0"/>
    <n v="1"/>
  </r>
  <r>
    <s v="SHP-505536"/>
    <d v="2025-12-26T00:00:00"/>
    <x v="1"/>
    <s v="Q4"/>
    <x v="11"/>
    <x v="1"/>
    <x v="1"/>
    <x v="3"/>
    <x v="1"/>
    <s v="Road"/>
    <x v="1"/>
    <n v="6.4"/>
    <n v="418"/>
    <n v="6"/>
    <n v="6"/>
    <n v="1"/>
    <n v="0"/>
    <n v="11.67"/>
    <n v="0"/>
    <n v="1"/>
  </r>
  <r>
    <s v="SHP-505537"/>
    <d v="2025-12-26T00:00:00"/>
    <x v="1"/>
    <s v="Q4"/>
    <x v="11"/>
    <x v="4"/>
    <x v="2"/>
    <x v="1"/>
    <x v="0"/>
    <s v="Road"/>
    <x v="0"/>
    <n v="83.3"/>
    <n v="277"/>
    <n v="3"/>
    <n v="3"/>
    <n v="1"/>
    <n v="0"/>
    <n v="49.88"/>
    <n v="0"/>
    <n v="1"/>
  </r>
  <r>
    <s v="SHP-505538"/>
    <d v="2025-12-26T00:00:00"/>
    <x v="1"/>
    <s v="Q4"/>
    <x v="11"/>
    <x v="0"/>
    <x v="1"/>
    <x v="0"/>
    <x v="0"/>
    <s v="Road"/>
    <x v="0"/>
    <n v="96.6"/>
    <n v="822"/>
    <n v="4"/>
    <n v="3"/>
    <n v="1"/>
    <n v="0"/>
    <n v="56.06"/>
    <n v="0"/>
    <n v="1"/>
  </r>
  <r>
    <s v="SHP-505539"/>
    <d v="2025-12-26T00:00:00"/>
    <x v="1"/>
    <s v="Q4"/>
    <x v="11"/>
    <x v="2"/>
    <x v="2"/>
    <x v="0"/>
    <x v="0"/>
    <s v="Road"/>
    <x v="1"/>
    <n v="5.8"/>
    <n v="1074"/>
    <n v="4"/>
    <n v="6"/>
    <n v="0"/>
    <n v="2"/>
    <n v="18.600000000000001"/>
    <n v="0"/>
    <n v="1"/>
  </r>
  <r>
    <s v="SHP-505540"/>
    <d v="2025-12-26T00:00:00"/>
    <x v="1"/>
    <s v="Q4"/>
    <x v="11"/>
    <x v="2"/>
    <x v="1"/>
    <x v="4"/>
    <x v="0"/>
    <s v="Road"/>
    <x v="0"/>
    <n v="206.6"/>
    <n v="1320"/>
    <n v="5"/>
    <n v="5"/>
    <n v="1"/>
    <n v="0"/>
    <n v="88.24"/>
    <n v="0"/>
    <n v="1"/>
  </r>
  <r>
    <s v="SHP-505541"/>
    <d v="2025-12-26T00:00:00"/>
    <x v="1"/>
    <s v="Q4"/>
    <x v="11"/>
    <x v="3"/>
    <x v="2"/>
    <x v="0"/>
    <x v="0"/>
    <s v="Road"/>
    <x v="0"/>
    <n v="135.30000000000001"/>
    <n v="1038"/>
    <n v="4"/>
    <n v="4"/>
    <n v="1"/>
    <n v="0"/>
    <n v="86.47"/>
    <n v="0"/>
    <n v="1"/>
  </r>
  <r>
    <s v="SHP-505542"/>
    <d v="2025-12-26T00:00:00"/>
    <x v="1"/>
    <s v="Q4"/>
    <x v="11"/>
    <x v="3"/>
    <x v="1"/>
    <x v="3"/>
    <x v="1"/>
    <s v="Road"/>
    <x v="0"/>
    <n v="199.1"/>
    <n v="457"/>
    <n v="6"/>
    <n v="6"/>
    <n v="1"/>
    <n v="0"/>
    <n v="72.150000000000006"/>
    <n v="0"/>
    <n v="1"/>
  </r>
  <r>
    <s v="SHP-505543"/>
    <d v="2025-12-26T00:00:00"/>
    <x v="1"/>
    <s v="Q4"/>
    <x v="11"/>
    <x v="4"/>
    <x v="0"/>
    <x v="1"/>
    <x v="0"/>
    <s v="Road"/>
    <x v="1"/>
    <n v="3.4"/>
    <n v="289"/>
    <n v="3"/>
    <n v="3"/>
    <n v="1"/>
    <n v="0"/>
    <n v="12.19"/>
    <n v="0"/>
    <n v="1"/>
  </r>
  <r>
    <s v="SHP-505544"/>
    <d v="2025-12-27T00:00:00"/>
    <x v="1"/>
    <s v="Q4"/>
    <x v="11"/>
    <x v="1"/>
    <x v="2"/>
    <x v="4"/>
    <x v="0"/>
    <s v="Road"/>
    <x v="0"/>
    <n v="116.3"/>
    <n v="1053"/>
    <n v="5"/>
    <n v="5"/>
    <n v="1"/>
    <n v="0"/>
    <n v="74.25"/>
    <n v="0"/>
    <n v="1"/>
  </r>
  <r>
    <s v="SHP-505545"/>
    <d v="2025-12-27T00:00:00"/>
    <x v="1"/>
    <s v="Q4"/>
    <x v="11"/>
    <x v="4"/>
    <x v="2"/>
    <x v="2"/>
    <x v="0"/>
    <s v="Road"/>
    <x v="0"/>
    <n v="3"/>
    <n v="1052"/>
    <n v="5"/>
    <n v="5"/>
    <n v="1"/>
    <n v="0"/>
    <n v="21.81"/>
    <n v="0"/>
    <n v="1"/>
  </r>
  <r>
    <s v="SHP-505546"/>
    <d v="2025-12-27T00:00:00"/>
    <x v="1"/>
    <s v="Q4"/>
    <x v="11"/>
    <x v="4"/>
    <x v="2"/>
    <x v="3"/>
    <x v="2"/>
    <s v="Road"/>
    <x v="1"/>
    <n v="3.7"/>
    <n v="501"/>
    <n v="2"/>
    <n v="2"/>
    <n v="1"/>
    <n v="0"/>
    <n v="26.36"/>
    <n v="0"/>
    <n v="1"/>
  </r>
  <r>
    <s v="SHP-505547"/>
    <d v="2025-12-27T00:00:00"/>
    <x v="1"/>
    <s v="Q4"/>
    <x v="11"/>
    <x v="3"/>
    <x v="2"/>
    <x v="3"/>
    <x v="0"/>
    <s v="Road"/>
    <x v="1"/>
    <n v="9.1"/>
    <n v="528"/>
    <n v="4"/>
    <n v="5"/>
    <n v="0"/>
    <n v="1"/>
    <n v="22.09"/>
    <n v="0"/>
    <n v="1"/>
  </r>
  <r>
    <s v="SHP-505548"/>
    <d v="2025-12-27T00:00:00"/>
    <x v="1"/>
    <s v="Q4"/>
    <x v="11"/>
    <x v="2"/>
    <x v="1"/>
    <x v="0"/>
    <x v="0"/>
    <s v="Road"/>
    <x v="0"/>
    <n v="19.399999999999999"/>
    <n v="807"/>
    <n v="4"/>
    <n v="4"/>
    <n v="1"/>
    <n v="0"/>
    <n v="24.15"/>
    <n v="0"/>
    <n v="1"/>
  </r>
  <r>
    <s v="SHP-505549"/>
    <d v="2025-12-27T00:00:00"/>
    <x v="1"/>
    <s v="Q4"/>
    <x v="11"/>
    <x v="3"/>
    <x v="0"/>
    <x v="3"/>
    <x v="2"/>
    <s v="Road"/>
    <x v="1"/>
    <n v="2.9"/>
    <n v="392"/>
    <n v="2"/>
    <n v="2"/>
    <n v="1"/>
    <n v="0"/>
    <n v="28.07"/>
    <n v="0"/>
    <n v="1"/>
  </r>
  <r>
    <s v="SHP-505550"/>
    <d v="2025-12-28T00:00:00"/>
    <x v="1"/>
    <s v="Q4"/>
    <x v="11"/>
    <x v="1"/>
    <x v="2"/>
    <x v="1"/>
    <x v="0"/>
    <s v="Road"/>
    <x v="1"/>
    <n v="3.8"/>
    <n v="240"/>
    <n v="3"/>
    <n v="3"/>
    <n v="1"/>
    <n v="0"/>
    <n v="11.17"/>
    <n v="0"/>
    <n v="1"/>
  </r>
  <r>
    <s v="SHP-505551"/>
    <d v="2025-12-28T00:00:00"/>
    <x v="1"/>
    <s v="Q4"/>
    <x v="11"/>
    <x v="0"/>
    <x v="1"/>
    <x v="0"/>
    <x v="0"/>
    <s v="Road"/>
    <x v="1"/>
    <n v="5.4"/>
    <n v="1026"/>
    <n v="4"/>
    <n v="4"/>
    <n v="1"/>
    <n v="0"/>
    <n v="20.92"/>
    <n v="1"/>
    <n v="1"/>
  </r>
  <r>
    <s v="SHP-505552"/>
    <d v="2025-12-28T00:00:00"/>
    <x v="1"/>
    <s v="Q4"/>
    <x v="11"/>
    <x v="2"/>
    <x v="0"/>
    <x v="4"/>
    <x v="0"/>
    <s v="Road"/>
    <x v="1"/>
    <n v="3.2"/>
    <n v="795"/>
    <n v="5"/>
    <n v="8"/>
    <n v="0"/>
    <n v="3"/>
    <n v="16.96"/>
    <n v="0"/>
    <n v="1"/>
  </r>
  <r>
    <s v="SHP-505553"/>
    <d v="2025-12-28T00:00:00"/>
    <x v="1"/>
    <s v="Q4"/>
    <x v="11"/>
    <x v="4"/>
    <x v="1"/>
    <x v="2"/>
    <x v="0"/>
    <s v="Road"/>
    <x v="1"/>
    <n v="6.3"/>
    <n v="1107"/>
    <n v="5"/>
    <n v="5"/>
    <n v="1"/>
    <n v="0"/>
    <n v="23.71"/>
    <n v="0"/>
    <n v="1"/>
  </r>
  <r>
    <s v="SHP-505554"/>
    <d v="2025-12-28T00:00:00"/>
    <x v="1"/>
    <s v="Q4"/>
    <x v="11"/>
    <x v="3"/>
    <x v="1"/>
    <x v="4"/>
    <x v="1"/>
    <s v="Road"/>
    <x v="0"/>
    <n v="55"/>
    <n v="1096"/>
    <n v="7"/>
    <n v="7"/>
    <n v="1"/>
    <n v="0"/>
    <n v="36.11"/>
    <n v="0"/>
    <n v="1"/>
  </r>
  <r>
    <s v="SHP-505555"/>
    <d v="2025-12-29T00:00:00"/>
    <x v="1"/>
    <s v="Q4"/>
    <x v="11"/>
    <x v="0"/>
    <x v="1"/>
    <x v="4"/>
    <x v="2"/>
    <s v="Air"/>
    <x v="1"/>
    <n v="12.1"/>
    <n v="868"/>
    <n v="3"/>
    <n v="3"/>
    <n v="1"/>
    <n v="0"/>
    <n v="75.62"/>
    <n v="0"/>
    <n v="1"/>
  </r>
  <r>
    <s v="SHP-505556"/>
    <d v="2025-12-29T00:00:00"/>
    <x v="1"/>
    <s v="Q4"/>
    <x v="11"/>
    <x v="0"/>
    <x v="0"/>
    <x v="0"/>
    <x v="0"/>
    <s v="Road"/>
    <x v="1"/>
    <n v="1.1000000000000001"/>
    <n v="986"/>
    <n v="4"/>
    <n v="4"/>
    <n v="1"/>
    <n v="0"/>
    <n v="20.02"/>
    <n v="0"/>
    <n v="1"/>
  </r>
  <r>
    <s v="SHP-505557"/>
    <d v="2025-12-29T00:00:00"/>
    <x v="1"/>
    <s v="Q4"/>
    <x v="11"/>
    <x v="1"/>
    <x v="2"/>
    <x v="1"/>
    <x v="1"/>
    <s v="Road"/>
    <x v="1"/>
    <n v="4.4000000000000004"/>
    <n v="257"/>
    <n v="5"/>
    <n v="5"/>
    <n v="1"/>
    <n v="0"/>
    <n v="9.44"/>
    <n v="0"/>
    <n v="1"/>
  </r>
  <r>
    <s v="SHP-505558"/>
    <d v="2025-12-29T00:00:00"/>
    <x v="1"/>
    <s v="Q4"/>
    <x v="11"/>
    <x v="3"/>
    <x v="1"/>
    <x v="0"/>
    <x v="0"/>
    <s v="Road"/>
    <x v="0"/>
    <n v="297.39999999999998"/>
    <n v="883"/>
    <n v="4"/>
    <n v="4"/>
    <n v="1"/>
    <n v="0"/>
    <n v="147.91999999999999"/>
    <n v="0"/>
    <n v="1"/>
  </r>
  <r>
    <s v="SHP-505559"/>
    <d v="2025-12-29T00:00:00"/>
    <x v="1"/>
    <s v="Q4"/>
    <x v="11"/>
    <x v="3"/>
    <x v="1"/>
    <x v="0"/>
    <x v="0"/>
    <s v="Road"/>
    <x v="1"/>
    <n v="12.4"/>
    <n v="995"/>
    <n v="4"/>
    <n v="4"/>
    <n v="1"/>
    <n v="0"/>
    <n v="28.2"/>
    <n v="0"/>
    <n v="1"/>
  </r>
  <r>
    <s v="SHP-505560"/>
    <d v="2025-12-29T00:00:00"/>
    <x v="1"/>
    <s v="Q4"/>
    <x v="11"/>
    <x v="3"/>
    <x v="2"/>
    <x v="3"/>
    <x v="2"/>
    <s v="Road"/>
    <x v="1"/>
    <n v="1.9"/>
    <n v="419"/>
    <n v="2"/>
    <n v="3"/>
    <n v="0"/>
    <n v="1"/>
    <n v="26.33"/>
    <n v="0"/>
    <n v="1"/>
  </r>
  <r>
    <s v="SHP-505561"/>
    <d v="2025-12-29T00:00:00"/>
    <x v="1"/>
    <s v="Q4"/>
    <x v="11"/>
    <x v="1"/>
    <x v="2"/>
    <x v="3"/>
    <x v="0"/>
    <s v="Road"/>
    <x v="1"/>
    <n v="11.8"/>
    <n v="472"/>
    <n v="4"/>
    <n v="3"/>
    <n v="1"/>
    <n v="0"/>
    <n v="19.399999999999999"/>
    <n v="0"/>
    <n v="1"/>
  </r>
  <r>
    <s v="SHP-505562"/>
    <d v="2025-12-29T00:00:00"/>
    <x v="1"/>
    <s v="Q4"/>
    <x v="11"/>
    <x v="1"/>
    <x v="1"/>
    <x v="0"/>
    <x v="0"/>
    <s v="Road"/>
    <x v="0"/>
    <n v="91.3"/>
    <n v="729"/>
    <n v="4"/>
    <n v="4"/>
    <n v="1"/>
    <n v="0"/>
    <n v="60.36"/>
    <n v="0"/>
    <n v="1"/>
  </r>
  <r>
    <s v="SHP-505563"/>
    <d v="2025-12-29T00:00:00"/>
    <x v="1"/>
    <s v="Q4"/>
    <x v="11"/>
    <x v="4"/>
    <x v="1"/>
    <x v="2"/>
    <x v="1"/>
    <s v="Road"/>
    <x v="1"/>
    <n v="3.1"/>
    <n v="1147"/>
    <n v="7"/>
    <n v="8"/>
    <n v="0"/>
    <n v="1"/>
    <n v="16"/>
    <n v="0"/>
    <n v="1"/>
  </r>
  <r>
    <s v="SHP-505564"/>
    <d v="2025-12-29T00:00:00"/>
    <x v="1"/>
    <s v="Q4"/>
    <x v="11"/>
    <x v="2"/>
    <x v="1"/>
    <x v="1"/>
    <x v="1"/>
    <s v="Road"/>
    <x v="0"/>
    <n v="39.299999999999997"/>
    <n v="234"/>
    <n v="5"/>
    <n v="5"/>
    <n v="1"/>
    <n v="0"/>
    <n v="18.98"/>
    <n v="0"/>
    <n v="1"/>
  </r>
  <r>
    <s v="SHP-505565"/>
    <d v="2025-12-29T00:00:00"/>
    <x v="1"/>
    <s v="Q4"/>
    <x v="11"/>
    <x v="0"/>
    <x v="1"/>
    <x v="3"/>
    <x v="0"/>
    <s v="Road"/>
    <x v="1"/>
    <n v="32.299999999999997"/>
    <n v="519"/>
    <n v="4"/>
    <n v="3"/>
    <n v="1"/>
    <n v="0"/>
    <n v="28.59"/>
    <n v="0"/>
    <n v="1"/>
  </r>
  <r>
    <s v="SHP-505566"/>
    <d v="2025-12-29T00:00:00"/>
    <x v="1"/>
    <s v="Q4"/>
    <x v="11"/>
    <x v="0"/>
    <x v="0"/>
    <x v="1"/>
    <x v="0"/>
    <s v="Road"/>
    <x v="1"/>
    <n v="5.3"/>
    <n v="231"/>
    <n v="3"/>
    <n v="3"/>
    <n v="1"/>
    <n v="0"/>
    <n v="11.03"/>
    <n v="0"/>
    <n v="1"/>
  </r>
  <r>
    <s v="SHP-505567"/>
    <d v="2025-12-29T00:00:00"/>
    <x v="1"/>
    <s v="Q4"/>
    <x v="11"/>
    <x v="1"/>
    <x v="1"/>
    <x v="1"/>
    <x v="1"/>
    <s v="Road"/>
    <x v="0"/>
    <n v="62.6"/>
    <n v="199"/>
    <n v="5"/>
    <n v="8"/>
    <n v="0"/>
    <n v="3"/>
    <n v="29.93"/>
    <n v="0"/>
    <n v="1"/>
  </r>
  <r>
    <s v="SHP-505568"/>
    <d v="2025-12-29T00:00:00"/>
    <x v="1"/>
    <s v="Q4"/>
    <x v="11"/>
    <x v="3"/>
    <x v="1"/>
    <x v="4"/>
    <x v="0"/>
    <s v="Road"/>
    <x v="1"/>
    <n v="6.2"/>
    <n v="892"/>
    <n v="5"/>
    <n v="5"/>
    <n v="1"/>
    <n v="0"/>
    <n v="21.71"/>
    <n v="0"/>
    <n v="1"/>
  </r>
  <r>
    <s v="SHP-505569"/>
    <d v="2025-12-30T00:00:00"/>
    <x v="1"/>
    <s v="Q4"/>
    <x v="11"/>
    <x v="2"/>
    <x v="1"/>
    <x v="0"/>
    <x v="2"/>
    <s v="Air"/>
    <x v="0"/>
    <n v="52.7"/>
    <n v="847"/>
    <n v="2"/>
    <n v="2"/>
    <n v="1"/>
    <n v="0"/>
    <n v="109.98"/>
    <n v="0"/>
    <n v="1"/>
  </r>
  <r>
    <s v="SHP-505570"/>
    <d v="2025-12-30T00:00:00"/>
    <x v="1"/>
    <s v="Q4"/>
    <x v="11"/>
    <x v="1"/>
    <x v="0"/>
    <x v="3"/>
    <x v="0"/>
    <s v="Road"/>
    <x v="0"/>
    <n v="179.1"/>
    <n v="553"/>
    <n v="4"/>
    <n v="8"/>
    <n v="0"/>
    <n v="4"/>
    <n v="78.52"/>
    <n v="0"/>
    <n v="1"/>
  </r>
  <r>
    <s v="SHP-505571"/>
    <d v="2025-12-30T00:00:00"/>
    <x v="1"/>
    <s v="Q4"/>
    <x v="11"/>
    <x v="4"/>
    <x v="1"/>
    <x v="3"/>
    <x v="2"/>
    <s v="Road"/>
    <x v="1"/>
    <n v="8.8000000000000007"/>
    <n v="538"/>
    <n v="2"/>
    <n v="2"/>
    <n v="1"/>
    <n v="0"/>
    <n v="29.19"/>
    <n v="0"/>
    <n v="1"/>
  </r>
  <r>
    <s v="SHP-505572"/>
    <d v="2025-12-30T00:00:00"/>
    <x v="1"/>
    <s v="Q4"/>
    <x v="11"/>
    <x v="3"/>
    <x v="2"/>
    <x v="0"/>
    <x v="0"/>
    <s v="Road"/>
    <x v="0"/>
    <n v="167.8"/>
    <n v="1001"/>
    <n v="4"/>
    <n v="5"/>
    <n v="0"/>
    <n v="1"/>
    <n v="109.42"/>
    <n v="0"/>
    <n v="1"/>
  </r>
  <r>
    <s v="SHP-505573"/>
    <d v="2025-12-30T00:00:00"/>
    <x v="1"/>
    <s v="Q4"/>
    <x v="11"/>
    <x v="4"/>
    <x v="2"/>
    <x v="3"/>
    <x v="0"/>
    <s v="Road"/>
    <x v="1"/>
    <n v="6.3"/>
    <n v="471"/>
    <n v="4"/>
    <n v="4"/>
    <n v="1"/>
    <n v="0"/>
    <n v="15.5"/>
    <n v="0"/>
    <n v="1"/>
  </r>
  <r>
    <s v="SHP-505574"/>
    <d v="2025-12-30T00:00:00"/>
    <x v="1"/>
    <s v="Q4"/>
    <x v="11"/>
    <x v="3"/>
    <x v="0"/>
    <x v="1"/>
    <x v="0"/>
    <s v="Road"/>
    <x v="0"/>
    <n v="53.8"/>
    <n v="306"/>
    <n v="3"/>
    <n v="2"/>
    <n v="1"/>
    <n v="0"/>
    <n v="41.11"/>
    <n v="0"/>
    <n v="1"/>
  </r>
  <r>
    <s v="SHP-505575"/>
    <d v="2025-12-30T00:00:00"/>
    <x v="1"/>
    <s v="Q4"/>
    <x v="11"/>
    <x v="1"/>
    <x v="2"/>
    <x v="1"/>
    <x v="2"/>
    <s v="Road"/>
    <x v="0"/>
    <n v="245.6"/>
    <n v="343"/>
    <n v="1"/>
    <n v="1"/>
    <n v="1"/>
    <n v="0"/>
    <n v="231.38"/>
    <n v="0"/>
    <n v="1"/>
  </r>
  <r>
    <s v="SHP-505576"/>
    <d v="2025-12-30T00:00:00"/>
    <x v="1"/>
    <s v="Q4"/>
    <x v="11"/>
    <x v="4"/>
    <x v="1"/>
    <x v="4"/>
    <x v="0"/>
    <s v="Road"/>
    <x v="1"/>
    <n v="23.4"/>
    <n v="1012"/>
    <n v="5"/>
    <n v="5"/>
    <n v="1"/>
    <n v="0"/>
    <n v="33.130000000000003"/>
    <n v="0"/>
    <n v="1"/>
  </r>
  <r>
    <s v="SHP-505577"/>
    <d v="2025-12-30T00:00:00"/>
    <x v="1"/>
    <s v="Q4"/>
    <x v="11"/>
    <x v="4"/>
    <x v="2"/>
    <x v="3"/>
    <x v="0"/>
    <s v="Road"/>
    <x v="0"/>
    <n v="121.8"/>
    <n v="515"/>
    <n v="4"/>
    <n v="4"/>
    <n v="1"/>
    <n v="0"/>
    <n v="65.31"/>
    <n v="0"/>
    <n v="1"/>
  </r>
  <r>
    <s v="SHP-505578"/>
    <d v="2025-12-30T00:00:00"/>
    <x v="1"/>
    <s v="Q4"/>
    <x v="11"/>
    <x v="3"/>
    <x v="0"/>
    <x v="0"/>
    <x v="0"/>
    <s v="Road"/>
    <x v="1"/>
    <n v="4.0999999999999996"/>
    <n v="1119"/>
    <n v="4"/>
    <n v="4"/>
    <n v="1"/>
    <n v="0"/>
    <n v="28.42"/>
    <n v="0"/>
    <n v="1"/>
  </r>
  <r>
    <s v="SHP-505579"/>
    <d v="2025-12-30T00:00:00"/>
    <x v="1"/>
    <s v="Q4"/>
    <x v="11"/>
    <x v="0"/>
    <x v="2"/>
    <x v="0"/>
    <x v="0"/>
    <s v="Road"/>
    <x v="1"/>
    <n v="7"/>
    <n v="1159"/>
    <n v="4"/>
    <n v="4"/>
    <n v="1"/>
    <n v="0"/>
    <n v="22.89"/>
    <n v="0"/>
    <n v="1"/>
  </r>
  <r>
    <s v="SHP-505580"/>
    <d v="2025-12-30T00:00:00"/>
    <x v="1"/>
    <s v="Q4"/>
    <x v="11"/>
    <x v="1"/>
    <x v="1"/>
    <x v="2"/>
    <x v="0"/>
    <s v="Road"/>
    <x v="0"/>
    <n v="215.1"/>
    <n v="1283"/>
    <n v="5"/>
    <n v="5"/>
    <n v="1"/>
    <n v="0"/>
    <n v="110.62"/>
    <n v="0"/>
    <n v="1"/>
  </r>
  <r>
    <s v="SHP-505581"/>
    <d v="2025-12-30T00:00:00"/>
    <x v="1"/>
    <s v="Q4"/>
    <x v="11"/>
    <x v="4"/>
    <x v="1"/>
    <x v="1"/>
    <x v="0"/>
    <s v="Road"/>
    <x v="1"/>
    <n v="3.3"/>
    <n v="258"/>
    <n v="3"/>
    <n v="3"/>
    <n v="1"/>
    <n v="0"/>
    <n v="11.43"/>
    <n v="0"/>
    <n v="1"/>
  </r>
  <r>
    <s v="SHP-505582"/>
    <d v="2025-12-30T00:00:00"/>
    <x v="1"/>
    <s v="Q4"/>
    <x v="11"/>
    <x v="1"/>
    <x v="1"/>
    <x v="4"/>
    <x v="2"/>
    <s v="Air"/>
    <x v="0"/>
    <n v="442.5"/>
    <n v="1025"/>
    <n v="3"/>
    <n v="3"/>
    <n v="1"/>
    <n v="0"/>
    <n v="586.36"/>
    <n v="0"/>
    <n v="1"/>
  </r>
  <r>
    <s v="SHP-505583"/>
    <d v="2025-12-30T00:00:00"/>
    <x v="1"/>
    <s v="Q4"/>
    <x v="11"/>
    <x v="4"/>
    <x v="0"/>
    <x v="0"/>
    <x v="0"/>
    <s v="Road"/>
    <x v="1"/>
    <n v="4.5"/>
    <n v="895"/>
    <n v="4"/>
    <n v="4"/>
    <n v="1"/>
    <n v="0"/>
    <n v="19.47"/>
    <n v="0"/>
    <n v="1"/>
  </r>
  <r>
    <s v="SHP-505584"/>
    <d v="2025-12-31T00:00:00"/>
    <x v="1"/>
    <s v="Q4"/>
    <x v="11"/>
    <x v="2"/>
    <x v="2"/>
    <x v="0"/>
    <x v="0"/>
    <s v="Road"/>
    <x v="0"/>
    <n v="88"/>
    <n v="914"/>
    <n v="4"/>
    <n v="4"/>
    <n v="1"/>
    <n v="0"/>
    <n v="49.96"/>
    <n v="0"/>
    <n v="1"/>
  </r>
  <r>
    <s v="SHP-505585"/>
    <d v="2025-12-31T00:00:00"/>
    <x v="1"/>
    <s v="Q4"/>
    <x v="11"/>
    <x v="2"/>
    <x v="1"/>
    <x v="1"/>
    <x v="2"/>
    <s v="Road"/>
    <x v="0"/>
    <n v="102.9"/>
    <n v="170"/>
    <n v="1"/>
    <n v="1"/>
    <n v="1"/>
    <n v="0"/>
    <n v="89.85"/>
    <n v="0"/>
    <n v="1"/>
  </r>
  <r>
    <s v="SHP-505586"/>
    <d v="2025-12-31T00:00:00"/>
    <x v="1"/>
    <s v="Q4"/>
    <x v="11"/>
    <x v="1"/>
    <x v="2"/>
    <x v="4"/>
    <x v="0"/>
    <s v="Road"/>
    <x v="1"/>
    <n v="11.4"/>
    <n v="1225"/>
    <n v="5"/>
    <n v="5"/>
    <n v="1"/>
    <n v="0"/>
    <n v="29.08"/>
    <n v="0"/>
    <n v="1"/>
  </r>
  <r>
    <s v="SHP-505587"/>
    <d v="2025-12-31T00:00:00"/>
    <x v="1"/>
    <s v="Q4"/>
    <x v="11"/>
    <x v="3"/>
    <x v="1"/>
    <x v="1"/>
    <x v="0"/>
    <s v="Road"/>
    <x v="1"/>
    <n v="2.4"/>
    <n v="194"/>
    <n v="3"/>
    <n v="7"/>
    <n v="0"/>
    <n v="4"/>
    <n v="10.96"/>
    <n v="0"/>
    <n v="1"/>
  </r>
  <r>
    <s v="SHP-505588"/>
    <d v="2025-12-31T00:00:00"/>
    <x v="1"/>
    <s v="Q4"/>
    <x v="11"/>
    <x v="4"/>
    <x v="0"/>
    <x v="3"/>
    <x v="2"/>
    <s v="Road"/>
    <x v="0"/>
    <n v="149.5"/>
    <n v="470"/>
    <n v="2"/>
    <n v="4"/>
    <n v="0"/>
    <n v="2"/>
    <n v="140.55000000000001"/>
    <n v="0"/>
    <n v="1"/>
  </r>
  <r>
    <s v="SHP-505589"/>
    <d v="2025-12-31T00:00:00"/>
    <x v="1"/>
    <s v="Q4"/>
    <x v="11"/>
    <x v="2"/>
    <x v="1"/>
    <x v="3"/>
    <x v="1"/>
    <s v="Road"/>
    <x v="1"/>
    <n v="4.0999999999999996"/>
    <n v="347"/>
    <n v="6"/>
    <n v="7"/>
    <n v="0"/>
    <n v="1"/>
    <n v="8.75"/>
    <n v="1"/>
    <n v="1"/>
  </r>
  <r>
    <s v="SHP-505590"/>
    <d v="2025-12-31T00:00:00"/>
    <x v="1"/>
    <s v="Q4"/>
    <x v="11"/>
    <x v="0"/>
    <x v="2"/>
    <x v="3"/>
    <x v="0"/>
    <s v="Road"/>
    <x v="0"/>
    <n v="106.8"/>
    <n v="451"/>
    <n v="4"/>
    <n v="6"/>
    <n v="0"/>
    <n v="2"/>
    <n v="55.59"/>
    <n v="0"/>
    <n v="1"/>
  </r>
  <r>
    <s v="SHP-505591"/>
    <d v="2025-12-31T00:00:00"/>
    <x v="1"/>
    <s v="Q4"/>
    <x v="11"/>
    <x v="3"/>
    <x v="1"/>
    <x v="0"/>
    <x v="1"/>
    <s v="Road"/>
    <x v="1"/>
    <n v="5.6"/>
    <n v="875"/>
    <n v="6"/>
    <n v="6"/>
    <n v="1"/>
    <n v="0"/>
    <n v="16.32"/>
    <n v="0"/>
    <n v="1"/>
  </r>
  <r>
    <s v="SHP-505592"/>
    <d v="2025-12-31T00:00:00"/>
    <x v="1"/>
    <s v="Q4"/>
    <x v="11"/>
    <x v="2"/>
    <x v="1"/>
    <x v="2"/>
    <x v="0"/>
    <s v="Road"/>
    <x v="0"/>
    <n v="170.8"/>
    <n v="1190"/>
    <n v="5"/>
    <n v="5"/>
    <n v="1"/>
    <n v="0"/>
    <n v="66.56"/>
    <n v="0"/>
    <n v="1"/>
  </r>
  <r>
    <s v="SHP-505593"/>
    <d v="2025-12-31T00:00:00"/>
    <x v="1"/>
    <s v="Q4"/>
    <x v="11"/>
    <x v="4"/>
    <x v="1"/>
    <x v="3"/>
    <x v="0"/>
    <s v="Road"/>
    <x v="1"/>
    <n v="11.7"/>
    <n v="517"/>
    <n v="4"/>
    <n v="3"/>
    <n v="1"/>
    <n v="0"/>
    <n v="21.42"/>
    <n v="0"/>
    <n v="1"/>
  </r>
  <r>
    <s v="SHP-505594"/>
    <d v="2025-12-31T00:00:00"/>
    <x v="1"/>
    <s v="Q4"/>
    <x v="11"/>
    <x v="4"/>
    <x v="2"/>
    <x v="3"/>
    <x v="1"/>
    <s v="Road"/>
    <x v="0"/>
    <n v="113.6"/>
    <n v="436"/>
    <n v="6"/>
    <n v="6"/>
    <n v="1"/>
    <n v="0"/>
    <n v="45.48"/>
    <n v="0"/>
    <n v="1"/>
  </r>
  <r>
    <s v="SHP-505595"/>
    <d v="2025-12-31T00:00:00"/>
    <x v="1"/>
    <s v="Q4"/>
    <x v="11"/>
    <x v="1"/>
    <x v="2"/>
    <x v="0"/>
    <x v="1"/>
    <s v="Road"/>
    <x v="0"/>
    <n v="60.1"/>
    <n v="869"/>
    <n v="6"/>
    <n v="6"/>
    <n v="1"/>
    <n v="0"/>
    <n v="33.159999999999997"/>
    <n v="0"/>
    <n v="1"/>
  </r>
  <r>
    <s v="SHP-505596"/>
    <d v="2025-12-31T00:00:00"/>
    <x v="1"/>
    <s v="Q4"/>
    <x v="11"/>
    <x v="3"/>
    <x v="1"/>
    <x v="3"/>
    <x v="2"/>
    <s v="Road"/>
    <x v="1"/>
    <n v="3.9"/>
    <n v="513"/>
    <n v="2"/>
    <n v="2"/>
    <n v="1"/>
    <n v="0"/>
    <n v="33.43"/>
    <n v="0"/>
    <n v="1"/>
  </r>
  <r>
    <s v="SHP-505597"/>
    <d v="2025-12-31T00:00:00"/>
    <x v="1"/>
    <s v="Q4"/>
    <x v="11"/>
    <x v="4"/>
    <x v="2"/>
    <x v="0"/>
    <x v="0"/>
    <s v="Road"/>
    <x v="0"/>
    <n v="135.6"/>
    <n v="1146"/>
    <n v="4"/>
    <n v="4"/>
    <n v="1"/>
    <n v="0"/>
    <n v="78.98"/>
    <n v="0"/>
    <n v="1"/>
  </r>
  <r>
    <s v="SHP-505598"/>
    <d v="2025-12-31T00:00:00"/>
    <x v="1"/>
    <s v="Q4"/>
    <x v="11"/>
    <x v="2"/>
    <x v="2"/>
    <x v="0"/>
    <x v="0"/>
    <s v="Road"/>
    <x v="1"/>
    <n v="6.5"/>
    <n v="898"/>
    <n v="4"/>
    <n v="3"/>
    <n v="1"/>
    <n v="0"/>
    <n v="19.3"/>
    <n v="0"/>
    <n v="1"/>
  </r>
  <r>
    <s v="SHP-505599"/>
    <d v="2025-12-31T00:00:00"/>
    <x v="1"/>
    <s v="Q4"/>
    <x v="11"/>
    <x v="2"/>
    <x v="2"/>
    <x v="4"/>
    <x v="0"/>
    <s v="Road"/>
    <x v="1"/>
    <n v="5.2"/>
    <n v="991"/>
    <n v="5"/>
    <n v="6"/>
    <n v="0"/>
    <n v="1"/>
    <n v="20.29"/>
    <n v="0"/>
    <n v="1"/>
  </r>
  <r>
    <s v="SHP-505600"/>
    <d v="2025-12-31T00:00:00"/>
    <x v="1"/>
    <s v="Q4"/>
    <x v="11"/>
    <x v="3"/>
    <x v="2"/>
    <x v="3"/>
    <x v="1"/>
    <s v="Road"/>
    <x v="1"/>
    <n v="11.4"/>
    <n v="492"/>
    <n v="6"/>
    <n v="6"/>
    <n v="1"/>
    <n v="0"/>
    <n v="15.98"/>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301021-9845-4BF3-910A-A7604CA69504}" name="ptDamage"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U5:V11" firstHeaderRow="1" firstDataRow="1" firstDataCol="1"/>
  <pivotFields count="24">
    <pivotField compact="0" outline="0" showAll="0"/>
    <pivotField compact="0" numFmtId="165" outline="0" showAll="0"/>
    <pivotField compact="0" outline="0" showAll="0"/>
    <pivotField compact="0" outline="0" showAll="0"/>
    <pivotField compact="0" outline="0" showAll="0"/>
    <pivotField axis="axisRow" compact="0" outline="0" showAll="0" sortType="descending" defaultSubtotal="0">
      <items count="5">
        <item x="0"/>
        <item x="4"/>
        <item x="2"/>
        <item x="3"/>
        <item x="1"/>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6">
        <item x="1"/>
        <item x="3"/>
        <item x="2"/>
        <item x="4"/>
        <item x="0"/>
        <item t="default"/>
      </items>
    </pivotField>
    <pivotField compact="0" outline="0" showAll="0">
      <items count="4">
        <item x="1"/>
        <item x="2"/>
        <item x="0"/>
        <item t="default"/>
      </items>
    </pivotField>
    <pivotField compact="0" outline="0" showAll="0"/>
    <pivotField compact="0" outline="0" showAll="0">
      <items count="3">
        <item x="0"/>
        <item x="1"/>
        <item t="default"/>
      </items>
    </pivotField>
    <pivotField compact="0" numFmtId="166" outline="0" showAll="0"/>
    <pivotField compact="0" numFmtId="3"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1">
    <field x="5"/>
  </rowFields>
  <rowItems count="6">
    <i>
      <x v="2"/>
    </i>
    <i>
      <x v="1"/>
    </i>
    <i>
      <x v="4"/>
    </i>
    <i>
      <x/>
    </i>
    <i>
      <x v="3"/>
    </i>
    <i t="grand">
      <x/>
    </i>
  </rowItems>
  <colItems count="1">
    <i/>
  </colItems>
  <dataFields count="1">
    <dataField name="Damage " fld="23"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2F6C0-197F-42D9-91DB-804A871B1C97}" name="ptCpk"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R5:S11" firstHeaderRow="1" firstDataRow="1" firstDataCol="1"/>
  <pivotFields count="24">
    <pivotField compact="0" outline="0" showAll="0"/>
    <pivotField compact="0" numFmtId="165" outline="0" showAll="0"/>
    <pivotField compact="0" outline="0" showAll="0"/>
    <pivotField compact="0" outline="0" showAll="0"/>
    <pivotField compact="0" outline="0" showAll="0"/>
    <pivotField axis="axisRow" compact="0" outline="0" showAll="0" sortType="ascending" defaultSubtotal="0">
      <items count="5">
        <item x="0"/>
        <item x="4"/>
        <item x="2"/>
        <item x="3"/>
        <item x="1"/>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6">
        <item x="1"/>
        <item x="3"/>
        <item x="2"/>
        <item x="4"/>
        <item x="0"/>
        <item t="default"/>
      </items>
    </pivotField>
    <pivotField compact="0" outline="0" showAll="0">
      <items count="4">
        <item x="1"/>
        <item x="2"/>
        <item x="0"/>
        <item t="default"/>
      </items>
    </pivotField>
    <pivotField compact="0" outline="0" showAll="0"/>
    <pivotField compact="0" outline="0" showAll="0">
      <items count="3">
        <item x="0"/>
        <item x="1"/>
        <item t="default"/>
      </items>
    </pivotField>
    <pivotField compact="0" numFmtId="166" outline="0" showAll="0"/>
    <pivotField compact="0" numFmtId="3"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6">
    <i>
      <x v="2"/>
    </i>
    <i>
      <x/>
    </i>
    <i>
      <x v="1"/>
    </i>
    <i>
      <x v="4"/>
    </i>
    <i>
      <x v="3"/>
    </i>
    <i t="grand">
      <x/>
    </i>
  </rowItems>
  <colItems count="1">
    <i/>
  </colItems>
  <dataFields count="1">
    <dataField name="Cost/Kg " fld="21" baseField="0" baseItem="0" numFmtId="170"/>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A4D87-C3CF-4641-BD96-9CF754C051A5}" name="ptService"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O5:P9" firstHeaderRow="1" firstDataRow="1" firstDataCol="1"/>
  <pivotFields count="24">
    <pivotField compact="0" outline="0" showAll="0"/>
    <pivotField compact="0" numFmtId="165"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6">
        <item x="1"/>
        <item x="3"/>
        <item x="2"/>
        <item x="4"/>
        <item x="0"/>
        <item t="default"/>
      </items>
    </pivotField>
    <pivotField axis="axisRow" compact="0" outline="0" showAll="0" defaultSubtotal="0">
      <items count="3">
        <item x="2"/>
        <item x="0"/>
        <item x="1"/>
      </items>
    </pivotField>
    <pivotField compact="0" outline="0" showAll="0"/>
    <pivotField compact="0" outline="0" showAll="0">
      <items count="3">
        <item x="0"/>
        <item x="1"/>
        <item t="default"/>
      </items>
    </pivotField>
    <pivotField compact="0" numFmtId="166" outline="0" showAll="0"/>
    <pivotField compact="0" numFmtId="3" outline="0" showAll="0"/>
    <pivotField compact="0" outline="0" showAll="0"/>
    <pivotField compact="0" outline="0" showAll="0"/>
    <pivotField compact="0" outline="0" showAll="0"/>
    <pivotField compact="0" outline="0" showAll="0"/>
    <pivotField compact="0" numFmtId="167" outline="0" showAll="0"/>
    <pivotField compact="0"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8"/>
  </rowFields>
  <rowItems count="4">
    <i>
      <x/>
    </i>
    <i>
      <x v="1"/>
    </i>
    <i>
      <x v="2"/>
    </i>
    <i t="grand">
      <x/>
    </i>
  </rowItems>
  <colItems count="1">
    <i/>
  </colItems>
  <dataFields count="1">
    <dataField name="Shipments " fld="19"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007E28-0A06-42A7-8561-B57A220C98CC}" name="ptCarrier"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L5:M11" firstHeaderRow="1" firstDataRow="1" firstDataCol="1"/>
  <pivotFields count="24">
    <pivotField compact="0" outline="0" showAll="0"/>
    <pivotField compact="0" numFmtId="165" outline="0" showAll="0"/>
    <pivotField compact="0" outline="0" showAll="0"/>
    <pivotField compact="0" outline="0" showAll="0"/>
    <pivotField compact="0" outline="0" showAll="0"/>
    <pivotField axis="axisRow" compact="0" outline="0" showAll="0" sortType="descending" defaultSubtotal="0">
      <items count="5">
        <item x="0"/>
        <item x="4"/>
        <item x="2"/>
        <item x="3"/>
        <item x="1"/>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6">
        <item x="1"/>
        <item x="3"/>
        <item x="2"/>
        <item x="4"/>
        <item x="0"/>
        <item t="default"/>
      </items>
    </pivotField>
    <pivotField compact="0" outline="0" showAll="0">
      <items count="4">
        <item x="1"/>
        <item x="2"/>
        <item x="0"/>
        <item t="default"/>
      </items>
    </pivotField>
    <pivotField compact="0" outline="0" showAll="0"/>
    <pivotField compact="0" outline="0" showAll="0">
      <items count="3">
        <item x="0"/>
        <item x="1"/>
        <item t="default"/>
      </items>
    </pivotField>
    <pivotField compact="0" numFmtId="166" outline="0" showAll="0"/>
    <pivotField compact="0" numFmtId="3"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6">
    <i>
      <x v="3"/>
    </i>
    <i>
      <x/>
    </i>
    <i>
      <x v="1"/>
    </i>
    <i>
      <x v="4"/>
    </i>
    <i>
      <x v="2"/>
    </i>
    <i t="grand">
      <x/>
    </i>
  </rowItems>
  <colItems count="1">
    <i/>
  </colItems>
  <dataFields count="1">
    <dataField name="On-Time " fld="20"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C78959-BC6A-4219-8CD4-DF848170953A}" name="ptTrend"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G5:J19" firstHeaderRow="1" firstDataRow="2" firstDataCol="1"/>
  <pivotFields count="24">
    <pivotField compact="0" outline="0" showAll="0"/>
    <pivotField compact="0" numFmtId="165" outline="0" showAll="0"/>
    <pivotField axis="axisCol" compact="0" outline="0" showAll="0" defaultSubtotal="0">
      <items count="2">
        <item x="0"/>
        <item x="1"/>
      </items>
    </pivotField>
    <pivotField compact="0" outline="0" showAll="0"/>
    <pivotField axis="axisRow" compact="0" outline="0" showAll="0" defaultSubtotal="0">
      <items count="12">
        <item x="0"/>
        <item x="1"/>
        <item x="2"/>
        <item x="3"/>
        <item x="4"/>
        <item x="5"/>
        <item x="6"/>
        <item x="7"/>
        <item x="8"/>
        <item x="9"/>
        <item x="10"/>
        <item x="11"/>
      </items>
    </pivotField>
    <pivotField compact="0" outline="0" showAll="0"/>
    <pivotField compact="0" outline="0" showAll="0">
      <items count="4">
        <item x="2"/>
        <item x="1"/>
        <item x="0"/>
        <item t="default"/>
      </items>
    </pivotField>
    <pivotField compact="0" outline="0" showAll="0">
      <items count="6">
        <item x="1"/>
        <item x="3"/>
        <item x="2"/>
        <item x="4"/>
        <item x="0"/>
        <item t="default"/>
      </items>
    </pivotField>
    <pivotField compact="0" outline="0" showAll="0">
      <items count="4">
        <item x="1"/>
        <item x="2"/>
        <item x="0"/>
        <item t="default"/>
      </items>
    </pivotField>
    <pivotField compact="0" outline="0" showAll="0"/>
    <pivotField compact="0" outline="0" showAll="0">
      <items count="3">
        <item x="0"/>
        <item x="1"/>
        <item t="default"/>
      </items>
    </pivotField>
    <pivotField compact="0" numFmtId="166" outline="0" showAll="0"/>
    <pivotField compact="0" numFmtId="3"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4"/>
  </rowFields>
  <rowItems count="13">
    <i>
      <x/>
    </i>
    <i>
      <x v="1"/>
    </i>
    <i>
      <x v="2"/>
    </i>
    <i>
      <x v="3"/>
    </i>
    <i>
      <x v="4"/>
    </i>
    <i>
      <x v="5"/>
    </i>
    <i>
      <x v="6"/>
    </i>
    <i>
      <x v="7"/>
    </i>
    <i>
      <x v="8"/>
    </i>
    <i>
      <x v="9"/>
    </i>
    <i>
      <x v="10"/>
    </i>
    <i>
      <x v="11"/>
    </i>
    <i t="grand">
      <x/>
    </i>
  </rowItems>
  <colFields count="1">
    <field x="2"/>
  </colFields>
  <colItems count="3">
    <i>
      <x/>
    </i>
    <i>
      <x v="1"/>
    </i>
    <i t="grand">
      <x/>
    </i>
  </colItems>
  <dataFields count="1">
    <dataField name="On-Time " fld="20" baseField="0" baseItem="0" numFmtId="168"/>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EE346B-EE35-4C6E-9A03-9F8FD8FCFA95}" name="ptKPI" cacheId="18" dataOnRows="1" applyNumberFormats="0" applyBorderFormats="0" applyFontFormats="0" applyPatternFormats="0" applyAlignmentFormats="0" applyWidthHeightFormats="1" dataCaption="Values" updatedVersion="8" minRefreshableVersion="3" itemPrintTitles="1" createdVersion="5" indent="0" compact="0" compactData="0" multipleFieldFilters="0">
  <location ref="B5:E11" firstHeaderRow="1" firstDataRow="2" firstDataCol="1"/>
  <pivotFields count="24">
    <pivotField compact="0" outline="0" showAll="0"/>
    <pivotField compact="0" numFmtId="165" outline="0" showAll="0"/>
    <pivotField axis="axisCol" compact="0" outline="0" showAll="0" defaultSubtotal="0">
      <items count="2">
        <item x="0"/>
        <item x="1"/>
      </items>
    </pivotField>
    <pivotField compact="0" outline="0" showAll="0"/>
    <pivotField compact="0" outline="0" showAll="0"/>
    <pivotField compact="0" outline="0" showAll="0"/>
    <pivotField compact="0" outline="0" showAll="0">
      <items count="4">
        <item x="2"/>
        <item x="1"/>
        <item x="0"/>
        <item t="default"/>
      </items>
    </pivotField>
    <pivotField compact="0" outline="0" showAll="0">
      <items count="6">
        <item x="1"/>
        <item x="3"/>
        <item x="2"/>
        <item x="4"/>
        <item x="0"/>
        <item t="default"/>
      </items>
    </pivotField>
    <pivotField compact="0" outline="0" showAll="0">
      <items count="4">
        <item x="1"/>
        <item x="2"/>
        <item x="0"/>
        <item t="default"/>
      </items>
    </pivotField>
    <pivotField compact="0" outline="0" showAll="0"/>
    <pivotField compact="0" outline="0" showAll="0">
      <items count="3">
        <item x="0"/>
        <item x="1"/>
        <item t="default"/>
      </items>
    </pivotField>
    <pivotField compact="0" numFmtId="166" outline="0" showAll="0"/>
    <pivotField compact="0" numFmtId="3" outline="0" showAll="0"/>
    <pivotField compact="0" outline="0" showAll="0"/>
    <pivotField compact="0" outline="0" showAll="0"/>
    <pivotField compact="0" outline="0" showAll="0"/>
    <pivotField compact="0" outline="0" showAll="0"/>
    <pivotField compact="0" numFmtId="167" outline="0" showAll="0"/>
    <pivotField compact="0" outline="0" showAll="0"/>
    <pivotField dataField="1"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
  </rowFields>
  <rowItems count="5">
    <i>
      <x/>
    </i>
    <i i="1">
      <x v="1"/>
    </i>
    <i i="2">
      <x v="2"/>
    </i>
    <i i="3">
      <x v="3"/>
    </i>
    <i i="4">
      <x v="4"/>
    </i>
  </rowItems>
  <colFields count="1">
    <field x="2"/>
  </colFields>
  <colItems count="3">
    <i>
      <x/>
    </i>
    <i>
      <x v="1"/>
    </i>
    <i t="grand">
      <x/>
    </i>
  </colItems>
  <dataFields count="5">
    <dataField name="Shipments " fld="19" baseField="0" baseItem="0" numFmtId="3"/>
    <dataField name="On-Time " fld="20" baseField="0" baseItem="0" numFmtId="168"/>
    <dataField name="Cost/Shipment " fld="22" baseField="0" baseItem="0" numFmtId="169"/>
    <dataField name="Cost/Kg " fld="21" baseField="0" baseItem="0" numFmtId="169"/>
    <dataField name="Damage " fld="23" baseField="0" baseItem="0"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E022EA5F-EC59-49FC-A03F-67AD3285663C}" sourceName="Warehouse">
  <pivotTables>
    <pivotTable tabId="2" name="ptKPI"/>
    <pivotTable tabId="2" name="ptTrend"/>
    <pivotTable tabId="2" name="ptCarrier"/>
    <pivotTable tabId="2" name="ptService"/>
    <pivotTable tabId="2" name="ptCpk"/>
    <pivotTable tabId="2" name="ptDamage"/>
  </pivotTables>
  <data>
    <tabular pivotCacheId="208154247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Region" xr10:uid="{BB439BCD-4EC1-42D6-8B43-B83EE32BAA69}" sourceName="DestinationRegion">
  <pivotTables>
    <pivotTable tabId="2" name="ptKPI"/>
    <pivotTable tabId="2" name="ptTrend"/>
    <pivotTable tabId="2" name="ptCarrier"/>
    <pivotTable tabId="2" name="ptService"/>
    <pivotTable tabId="2" name="ptCpk"/>
    <pivotTable tabId="2" name="ptDamage"/>
  </pivotTables>
  <data>
    <tabular pivotCacheId="2081542471">
      <items count="5">
        <i x="1"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Level" xr10:uid="{22548F21-5283-484A-B6A3-0EE6E12197A3}" sourceName="ServiceLevel">
  <pivotTables>
    <pivotTable tabId="2" name="ptKPI"/>
    <pivotTable tabId="2" name="ptTrend"/>
    <pivotTable tabId="2" name="ptCarrier"/>
    <pivotTable tabId="2" name="ptService"/>
    <pivotTable tabId="2" name="ptCpk"/>
    <pivotTable tabId="2" name="ptDamage"/>
  </pivotTables>
  <data>
    <tabular pivotCacheId="208154247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9054CBE5-704A-4B9B-8F76-C351A345A5B2}" sourceName="CustomerType">
  <pivotTables>
    <pivotTable tabId="2" name="ptKPI"/>
    <pivotTable tabId="2" name="ptTrend"/>
    <pivotTable tabId="2" name="ptCarrier"/>
    <pivotTable tabId="2" name="ptService"/>
    <pivotTable tabId="2" name="ptCpk"/>
    <pivotTable tabId="2" name="ptDamage"/>
  </pivotTables>
  <data>
    <tabular pivotCacheId="20815424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FE9A897D-0B90-490D-91EE-3F5D24589214}" cache="Slicer_Warehouse" caption="Warehouse" columnCount="3" style="SlicerStyleDark1" rowHeight="215900"/>
  <slicer name="DestinationRegion" xr10:uid="{97D30EE7-2F69-4B6C-BF27-58F67CD014AA}" cache="Slicer_DestinationRegion" caption="Destination" columnCount="5" style="SlicerStyleDark1" rowHeight="215900"/>
  <slicer name="ServiceLevel" xr10:uid="{28305CA9-27E5-40D4-8AC3-CC75EB02F760}" cache="Slicer_ServiceLevel" caption="Service Level" columnCount="3" style="SlicerStyleDark1" rowHeight="215900"/>
  <slicer name="CustomerType" xr10:uid="{63A61004-2569-436B-A5AD-6B5C68393A5B}" cache="Slicer_CustomerType" caption="Customer Type" columnCount="2" style="SlicerStyleDark1" rowHeight="2159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ta" displayName="tblData" ref="A1:T5601">
  <autoFilter ref="A1:T5601" xr:uid="{00000000-0009-0000-0100-000001000000}"/>
  <tableColumns count="20">
    <tableColumn id="1" xr3:uid="{00000000-0010-0000-0000-000001000000}" name="ShipmentID"/>
    <tableColumn id="2" xr3:uid="{00000000-0010-0000-0000-000002000000}" name="ShipDate"/>
    <tableColumn id="3" xr3:uid="{00000000-0010-0000-0000-000003000000}" name="Year"/>
    <tableColumn id="4" xr3:uid="{00000000-0010-0000-0000-000004000000}" name="Quarter"/>
    <tableColumn id="5" xr3:uid="{00000000-0010-0000-0000-000005000000}" name="Month"/>
    <tableColumn id="6" xr3:uid="{00000000-0010-0000-0000-000006000000}" name="Carrier"/>
    <tableColumn id="7" xr3:uid="{00000000-0010-0000-0000-000007000000}" name="Warehouse"/>
    <tableColumn id="8" xr3:uid="{00000000-0010-0000-0000-000008000000}" name="DestinationRegion"/>
    <tableColumn id="9" xr3:uid="{00000000-0010-0000-0000-000009000000}" name="ServiceLevel"/>
    <tableColumn id="10" xr3:uid="{00000000-0010-0000-0000-00000A000000}" name="Mode"/>
    <tableColumn id="11" xr3:uid="{00000000-0010-0000-0000-00000B000000}" name="CustomerType"/>
    <tableColumn id="12" xr3:uid="{00000000-0010-0000-0000-00000C000000}" name="WeightKg"/>
    <tableColumn id="13" xr3:uid="{00000000-0010-0000-0000-00000D000000}" name="DistanceKm"/>
    <tableColumn id="14" xr3:uid="{00000000-0010-0000-0000-00000E000000}" name="PromisedDays"/>
    <tableColumn id="15" xr3:uid="{00000000-0010-0000-0000-00000F000000}" name="ActualDays"/>
    <tableColumn id="16" xr3:uid="{00000000-0010-0000-0000-000010000000}" name="OnTime"/>
    <tableColumn id="17" xr3:uid="{00000000-0010-0000-0000-000011000000}" name="DelayDays"/>
    <tableColumn id="18" xr3:uid="{00000000-0010-0000-0000-000012000000}" name="ShippingCost"/>
    <tableColumn id="19" xr3:uid="{00000000-0010-0000-0000-000013000000}" name="Damaged"/>
    <tableColumn id="20" xr3:uid="{00000000-0010-0000-0000-000014000000}" name="Ship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C1917"/>
      </a:dk2>
      <a:lt2>
        <a:srgbClr val="EEECE1"/>
      </a:lt2>
      <a:accent1>
        <a:srgbClr val="EA580C"/>
      </a:accent1>
      <a:accent2>
        <a:srgbClr val="0EA5E9"/>
      </a:accent2>
      <a:accent3>
        <a:srgbClr val="22C55E"/>
      </a:accent3>
      <a:accent4>
        <a:srgbClr val="EAB308"/>
      </a:accent4>
      <a:accent5>
        <a:srgbClr val="A855F7"/>
      </a:accent5>
      <a:accent6>
        <a:srgbClr val="64748B"/>
      </a:accent6>
      <a:hlink>
        <a:srgbClr val="0000FF"/>
      </a:hlink>
      <a:folHlink>
        <a:srgbClr val="800080"/>
      </a:folHlink>
    </a:clrScheme>
    <a:fontScheme name="Office">
      <a:majorFont>
        <a:latin typeface="Segoe U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Segoe U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1917"/>
    <pageSetUpPr fitToPage="1"/>
  </sheetPr>
  <dimension ref="A1:BP55"/>
  <sheetViews>
    <sheetView showGridLines="0" showRowColHeaders="0" tabSelected="1" zoomScale="90" zoomScaleNormal="90" workbookViewId="0"/>
  </sheetViews>
  <sheetFormatPr defaultRowHeight="12" x14ac:dyDescent="0.2"/>
  <cols>
    <col min="1" max="74" width="2.75" style="20" customWidth="1"/>
    <col min="75" max="16384" width="9" style="20"/>
  </cols>
  <sheetData>
    <row r="1" spans="1:68" ht="15" customHeight="1" x14ac:dyDescent="0.2">
      <c r="A1" s="23"/>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row>
    <row r="2" spans="1:68" ht="24" customHeight="1" x14ac:dyDescent="0.55000000000000004">
      <c r="A2" s="23"/>
      <c r="B2" s="22"/>
      <c r="C2" s="24" t="s">
        <v>5656</v>
      </c>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6" t="s">
        <v>5736</v>
      </c>
      <c r="BP2" s="22"/>
    </row>
    <row r="3" spans="1:68" ht="15" customHeight="1" x14ac:dyDescent="0.25">
      <c r="A3" s="23"/>
      <c r="B3" s="22"/>
      <c r="C3" s="25" t="s">
        <v>5735</v>
      </c>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7" t="s">
        <v>5720</v>
      </c>
      <c r="BP3" s="22"/>
    </row>
    <row r="4" spans="1:68" ht="15" customHeight="1" x14ac:dyDescent="0.2">
      <c r="A4" s="23"/>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row>
    <row r="5" spans="1:68" ht="3.95" customHeight="1" x14ac:dyDescent="0.2">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row>
    <row r="6" spans="1:68" ht="15" customHeight="1" x14ac:dyDescent="0.2">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row>
    <row r="7" spans="1:68" ht="15" customHeight="1" x14ac:dyDescent="0.2">
      <c r="A7" s="21"/>
      <c r="B7" s="31"/>
      <c r="C7" s="34" t="s">
        <v>5737</v>
      </c>
      <c r="D7" s="29"/>
      <c r="E7" s="29"/>
      <c r="F7" s="29"/>
      <c r="G7" s="29"/>
      <c r="H7" s="29"/>
      <c r="I7" s="29"/>
      <c r="J7" s="29"/>
      <c r="K7" s="29"/>
      <c r="L7" s="29"/>
      <c r="M7" s="30"/>
      <c r="N7" s="21"/>
      <c r="O7" s="39"/>
      <c r="P7" s="34" t="s">
        <v>5738</v>
      </c>
      <c r="Q7" s="29"/>
      <c r="R7" s="29"/>
      <c r="S7" s="29"/>
      <c r="T7" s="29"/>
      <c r="U7" s="29"/>
      <c r="V7" s="29"/>
      <c r="W7" s="29"/>
      <c r="X7" s="29"/>
      <c r="Y7" s="29"/>
      <c r="Z7" s="30"/>
      <c r="AA7" s="21"/>
      <c r="AB7" s="31"/>
      <c r="AC7" s="34" t="s">
        <v>5739</v>
      </c>
      <c r="AD7" s="29"/>
      <c r="AE7" s="29"/>
      <c r="AF7" s="29"/>
      <c r="AG7" s="29"/>
      <c r="AH7" s="29"/>
      <c r="AI7" s="29"/>
      <c r="AJ7" s="29"/>
      <c r="AK7" s="29"/>
      <c r="AL7" s="29"/>
      <c r="AM7" s="30"/>
      <c r="AN7" s="21"/>
      <c r="AO7" s="31"/>
      <c r="AP7" s="34" t="s">
        <v>5740</v>
      </c>
      <c r="AQ7" s="29"/>
      <c r="AR7" s="29"/>
      <c r="AS7" s="29"/>
      <c r="AT7" s="29"/>
      <c r="AU7" s="29"/>
      <c r="AV7" s="29"/>
      <c r="AW7" s="29"/>
      <c r="AX7" s="29"/>
      <c r="AY7" s="29"/>
      <c r="AZ7" s="30"/>
      <c r="BA7" s="21"/>
      <c r="BB7" s="50"/>
      <c r="BC7" s="34" t="s">
        <v>5741</v>
      </c>
      <c r="BD7" s="29"/>
      <c r="BE7" s="29"/>
      <c r="BF7" s="29"/>
      <c r="BG7" s="29"/>
      <c r="BH7" s="29"/>
      <c r="BI7" s="29"/>
      <c r="BJ7" s="29"/>
      <c r="BK7" s="29"/>
      <c r="BL7" s="29"/>
      <c r="BM7" s="30"/>
      <c r="BN7" s="21"/>
      <c r="BO7" s="21"/>
      <c r="BP7" s="21"/>
    </row>
    <row r="8" spans="1:68" ht="15" customHeight="1" x14ac:dyDescent="0.2">
      <c r="A8" s="21"/>
      <c r="B8" s="32"/>
      <c r="C8" s="35">
        <f>IFERROR(GETPIVOTDATA("Shipments ",Pivots!$B$5,"Year",2025),0)</f>
        <v>2967</v>
      </c>
      <c r="D8" s="35"/>
      <c r="E8" s="35"/>
      <c r="F8" s="35"/>
      <c r="G8" s="35"/>
      <c r="H8" s="35"/>
      <c r="I8" s="35"/>
      <c r="J8" s="35"/>
      <c r="K8" s="35"/>
      <c r="L8" s="35"/>
      <c r="M8" s="36"/>
      <c r="N8" s="21"/>
      <c r="O8" s="40"/>
      <c r="P8" s="42">
        <f>IFERROR(GETPIVOTDATA("On-Time ",Pivots!$B$5,"Year",2025),0)</f>
        <v>0.86316144253454663</v>
      </c>
      <c r="Q8" s="42"/>
      <c r="R8" s="42"/>
      <c r="S8" s="42"/>
      <c r="T8" s="42"/>
      <c r="U8" s="42"/>
      <c r="V8" s="42"/>
      <c r="W8" s="42"/>
      <c r="X8" s="42"/>
      <c r="Y8" s="42"/>
      <c r="Z8" s="43"/>
      <c r="AA8" s="21"/>
      <c r="AB8" s="32"/>
      <c r="AC8" s="46">
        <f>IFERROR(GETPIVOTDATA("Cost/Shipment ",Pivots!$B$5,"Year",2025),0)</f>
        <v>46.765554432086248</v>
      </c>
      <c r="AD8" s="46"/>
      <c r="AE8" s="46"/>
      <c r="AF8" s="46"/>
      <c r="AG8" s="46"/>
      <c r="AH8" s="46"/>
      <c r="AI8" s="46"/>
      <c r="AJ8" s="46"/>
      <c r="AK8" s="46"/>
      <c r="AL8" s="46"/>
      <c r="AM8" s="47"/>
      <c r="AN8" s="21"/>
      <c r="AO8" s="32"/>
      <c r="AP8" s="46">
        <f>IFERROR(GETPIVOTDATA("Cost/Kg ",Pivots!$B$5,"Year",2025),0)</f>
        <v>0.85557981608722</v>
      </c>
      <c r="AQ8" s="46"/>
      <c r="AR8" s="46"/>
      <c r="AS8" s="46"/>
      <c r="AT8" s="46"/>
      <c r="AU8" s="46"/>
      <c r="AV8" s="46"/>
      <c r="AW8" s="46"/>
      <c r="AX8" s="46"/>
      <c r="AY8" s="46"/>
      <c r="AZ8" s="47"/>
      <c r="BA8" s="21"/>
      <c r="BB8" s="51"/>
      <c r="BC8" s="53">
        <f>IFERROR(GETPIVOTDATA("Damage ",Pivots!$B$5,"Year",2025),0)</f>
        <v>1.5166835187057633E-2</v>
      </c>
      <c r="BD8" s="53"/>
      <c r="BE8" s="53"/>
      <c r="BF8" s="53"/>
      <c r="BG8" s="53"/>
      <c r="BH8" s="53"/>
      <c r="BI8" s="53"/>
      <c r="BJ8" s="53"/>
      <c r="BK8" s="53"/>
      <c r="BL8" s="53"/>
      <c r="BM8" s="54"/>
      <c r="BN8" s="21"/>
      <c r="BO8" s="21"/>
      <c r="BP8" s="21"/>
    </row>
    <row r="9" spans="1:68" ht="15" customHeight="1" x14ac:dyDescent="0.2">
      <c r="A9" s="21"/>
      <c r="B9" s="32"/>
      <c r="C9" s="35"/>
      <c r="D9" s="35"/>
      <c r="E9" s="35"/>
      <c r="F9" s="35"/>
      <c r="G9" s="35"/>
      <c r="H9" s="35"/>
      <c r="I9" s="35"/>
      <c r="J9" s="35"/>
      <c r="K9" s="35"/>
      <c r="L9" s="35"/>
      <c r="M9" s="36"/>
      <c r="N9" s="21"/>
      <c r="O9" s="40"/>
      <c r="P9" s="42"/>
      <c r="Q9" s="42"/>
      <c r="R9" s="42"/>
      <c r="S9" s="42"/>
      <c r="T9" s="42"/>
      <c r="U9" s="42"/>
      <c r="V9" s="42"/>
      <c r="W9" s="42"/>
      <c r="X9" s="42"/>
      <c r="Y9" s="42"/>
      <c r="Z9" s="43"/>
      <c r="AA9" s="21"/>
      <c r="AB9" s="32"/>
      <c r="AC9" s="46"/>
      <c r="AD9" s="46"/>
      <c r="AE9" s="46"/>
      <c r="AF9" s="46"/>
      <c r="AG9" s="46"/>
      <c r="AH9" s="46"/>
      <c r="AI9" s="46"/>
      <c r="AJ9" s="46"/>
      <c r="AK9" s="46"/>
      <c r="AL9" s="46"/>
      <c r="AM9" s="47"/>
      <c r="AN9" s="21"/>
      <c r="AO9" s="32"/>
      <c r="AP9" s="46"/>
      <c r="AQ9" s="46"/>
      <c r="AR9" s="46"/>
      <c r="AS9" s="46"/>
      <c r="AT9" s="46"/>
      <c r="AU9" s="46"/>
      <c r="AV9" s="46"/>
      <c r="AW9" s="46"/>
      <c r="AX9" s="46"/>
      <c r="AY9" s="46"/>
      <c r="AZ9" s="47"/>
      <c r="BA9" s="21"/>
      <c r="BB9" s="51"/>
      <c r="BC9" s="53"/>
      <c r="BD9" s="53"/>
      <c r="BE9" s="53"/>
      <c r="BF9" s="53"/>
      <c r="BG9" s="53"/>
      <c r="BH9" s="53"/>
      <c r="BI9" s="53"/>
      <c r="BJ9" s="53"/>
      <c r="BK9" s="53"/>
      <c r="BL9" s="53"/>
      <c r="BM9" s="54"/>
      <c r="BN9" s="21"/>
      <c r="BO9" s="21"/>
      <c r="BP9" s="21"/>
    </row>
    <row r="10" spans="1:68" ht="15" customHeight="1" x14ac:dyDescent="0.2">
      <c r="A10" s="21"/>
      <c r="B10" s="33"/>
      <c r="C10" s="37">
        <f>IFERROR(GETPIVOTDATA("Shipments ",Pivots!$B$5,"Year",2025)/GETPIVOTDATA("Shipments ",Pivots!$B$5,"Year",2024)-1,"")</f>
        <v>0.12685150018989755</v>
      </c>
      <c r="D10" s="37"/>
      <c r="E10" s="37"/>
      <c r="F10" s="37"/>
      <c r="G10" s="37"/>
      <c r="H10" s="37"/>
      <c r="I10" s="37"/>
      <c r="J10" s="37"/>
      <c r="K10" s="37"/>
      <c r="L10" s="37"/>
      <c r="M10" s="38"/>
      <c r="N10" s="21"/>
      <c r="O10" s="41"/>
      <c r="P10" s="44">
        <f>IFERROR((GETPIVOTDATA("On-Time ",Pivots!$B$5,"Year",2025)-GETPIVOTDATA("On-Time ",Pivots!$B$5,"Year",2024))*100,"")</f>
        <v>1.2041047547839412</v>
      </c>
      <c r="Q10" s="44"/>
      <c r="R10" s="44"/>
      <c r="S10" s="44"/>
      <c r="T10" s="44"/>
      <c r="U10" s="44"/>
      <c r="V10" s="44"/>
      <c r="W10" s="44"/>
      <c r="X10" s="44"/>
      <c r="Y10" s="44"/>
      <c r="Z10" s="45"/>
      <c r="AA10" s="21"/>
      <c r="AB10" s="33"/>
      <c r="AC10" s="48">
        <f>IFERROR(GETPIVOTDATA("Cost/Shipment ",Pivots!$B$5,"Year",2025)/GETPIVOTDATA("Cost/Shipment ",Pivots!$B$5,"Year",2024)-1,"")</f>
        <v>-1.5766566167918161E-2</v>
      </c>
      <c r="AD10" s="48"/>
      <c r="AE10" s="48"/>
      <c r="AF10" s="48"/>
      <c r="AG10" s="48"/>
      <c r="AH10" s="48"/>
      <c r="AI10" s="48"/>
      <c r="AJ10" s="48"/>
      <c r="AK10" s="48"/>
      <c r="AL10" s="48"/>
      <c r="AM10" s="49"/>
      <c r="AN10" s="21"/>
      <c r="AO10" s="33"/>
      <c r="AP10" s="48">
        <f>IFERROR(GETPIVOTDATA("Cost/Kg ",Pivots!$B$5,"Year",2025)/GETPIVOTDATA("Cost/Kg ",Pivots!$B$5,"Year",2024)-1,"")</f>
        <v>-5.3000779378800433E-2</v>
      </c>
      <c r="AQ10" s="48"/>
      <c r="AR10" s="48"/>
      <c r="AS10" s="48"/>
      <c r="AT10" s="48"/>
      <c r="AU10" s="48"/>
      <c r="AV10" s="48"/>
      <c r="AW10" s="48"/>
      <c r="AX10" s="48"/>
      <c r="AY10" s="48"/>
      <c r="AZ10" s="49"/>
      <c r="BA10" s="21"/>
      <c r="BB10" s="52"/>
      <c r="BC10" s="55">
        <f>IFERROR((GETPIVOTDATA("Damage ",Pivots!$B$5,"Year",2025)-GETPIVOTDATA("Damage ",Pivots!$B$5,"Year",2024))*100,"")</f>
        <v>0.4912372596856342</v>
      </c>
      <c r="BD10" s="55"/>
      <c r="BE10" s="55"/>
      <c r="BF10" s="55"/>
      <c r="BG10" s="55"/>
      <c r="BH10" s="55"/>
      <c r="BI10" s="55"/>
      <c r="BJ10" s="55"/>
      <c r="BK10" s="55"/>
      <c r="BL10" s="55"/>
      <c r="BM10" s="56"/>
      <c r="BN10" s="21"/>
      <c r="BO10" s="21"/>
      <c r="BP10" s="21"/>
    </row>
    <row r="11" spans="1:68" ht="15" customHeight="1" x14ac:dyDescent="0.2">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row>
    <row r="12" spans="1:68" ht="15" customHeight="1" x14ac:dyDescent="0.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row>
    <row r="13" spans="1:68" ht="15" customHeight="1" x14ac:dyDescent="0.2">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row>
    <row r="14" spans="1:68" ht="15" customHeight="1" x14ac:dyDescent="0.2">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row>
    <row r="15" spans="1:68" ht="15" customHeight="1" x14ac:dyDescent="0.2">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row>
    <row r="16" spans="1:68" ht="15" customHeight="1" x14ac:dyDescent="0.2">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row>
    <row r="17" spans="1:68" ht="15" customHeight="1" x14ac:dyDescent="0.2">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row>
    <row r="18" spans="1:68" ht="15" customHeight="1" x14ac:dyDescent="0.2">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row>
    <row r="19" spans="1:68" ht="15" customHeight="1" x14ac:dyDescent="0.2">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row>
    <row r="20" spans="1:68" ht="15" customHeight="1" x14ac:dyDescent="0.2">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row>
    <row r="21" spans="1:68" ht="15" customHeight="1" x14ac:dyDescent="0.2">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row>
    <row r="22" spans="1:68" ht="15" customHeight="1" x14ac:dyDescent="0.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row>
    <row r="23" spans="1:68" ht="15" customHeight="1" x14ac:dyDescent="0.2">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row>
    <row r="24" spans="1:68" ht="15" customHeight="1" x14ac:dyDescent="0.2">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row>
    <row r="25" spans="1:68" ht="15" customHeight="1" x14ac:dyDescent="0.2">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row>
    <row r="26" spans="1:68" ht="15" customHeight="1" x14ac:dyDescent="0.2">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row>
    <row r="27" spans="1:68" ht="15" customHeight="1" x14ac:dyDescent="0.2">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row>
    <row r="28" spans="1:68" ht="15" customHeight="1" x14ac:dyDescent="0.2">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row>
    <row r="29" spans="1:68" ht="15" customHeight="1" x14ac:dyDescent="0.2">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row>
    <row r="30" spans="1:68" ht="15" customHeight="1" x14ac:dyDescent="0.2">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row>
    <row r="31" spans="1:68" ht="15" customHeight="1" x14ac:dyDescent="0.2">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row>
    <row r="32" spans="1:68" ht="15" customHeight="1" x14ac:dyDescent="0.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row>
    <row r="33" spans="1:68" ht="15" customHeight="1" x14ac:dyDescent="0.2">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row>
    <row r="34" spans="1:68" ht="15" customHeight="1" x14ac:dyDescent="0.2">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row>
    <row r="35" spans="1:68" ht="15" customHeight="1" x14ac:dyDescent="0.2">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row>
    <row r="36" spans="1:68" ht="15" customHeight="1" x14ac:dyDescent="0.2">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row>
    <row r="37" spans="1:68" ht="15" customHeight="1" x14ac:dyDescent="0.2">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row>
    <row r="38" spans="1:68" ht="15" customHeight="1" x14ac:dyDescent="0.2">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row>
    <row r="39" spans="1:68" ht="15" customHeight="1" x14ac:dyDescent="0.2">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row>
    <row r="40" spans="1:68" ht="15" customHeight="1" x14ac:dyDescent="0.2">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row>
    <row r="41" spans="1:68" ht="15" customHeight="1" x14ac:dyDescent="0.2">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row>
    <row r="42" spans="1:68" ht="15" customHeight="1" x14ac:dyDescent="0.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row>
    <row r="43" spans="1:68" ht="15" customHeight="1" x14ac:dyDescent="0.2">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row>
    <row r="44" spans="1:68" ht="15" customHeight="1" x14ac:dyDescent="0.2">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row>
    <row r="45" spans="1:68" ht="15" customHeight="1" x14ac:dyDescent="0.2">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row>
    <row r="46" spans="1:68" ht="15" customHeight="1" x14ac:dyDescent="0.2">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row>
    <row r="47" spans="1:68" ht="15" customHeight="1" x14ac:dyDescent="0.2">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row>
    <row r="48" spans="1:68" ht="15" customHeight="1" x14ac:dyDescent="0.2">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row>
    <row r="49" spans="1:68" ht="15" customHeight="1" x14ac:dyDescent="0.2">
      <c r="A49" s="21"/>
      <c r="B49" s="57" t="s">
        <v>5742</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row>
    <row r="50" spans="1:68" ht="15" customHeight="1" x14ac:dyDescent="0.2"/>
    <row r="51" spans="1:68" ht="15" customHeight="1" x14ac:dyDescent="0.2"/>
    <row r="52" spans="1:68" ht="15" customHeight="1" x14ac:dyDescent="0.2"/>
    <row r="53" spans="1:68" ht="15" customHeight="1" x14ac:dyDescent="0.2"/>
    <row r="54" spans="1:68" ht="15" customHeight="1" x14ac:dyDescent="0.2"/>
    <row r="55" spans="1:68" ht="15" customHeight="1" x14ac:dyDescent="0.2"/>
  </sheetData>
  <mergeCells count="10">
    <mergeCell ref="AP8:AZ9"/>
    <mergeCell ref="AP10:AZ10"/>
    <mergeCell ref="BC8:BM9"/>
    <mergeCell ref="BC10:BM10"/>
    <mergeCell ref="C8:M9"/>
    <mergeCell ref="C10:M10"/>
    <mergeCell ref="P8:Z9"/>
    <mergeCell ref="P10:Z10"/>
    <mergeCell ref="AC8:AM9"/>
    <mergeCell ref="AC10:AM10"/>
  </mergeCells>
  <pageMargins left="0.75" right="0.75" top="1" bottom="1" header="0.5" footer="0.5"/>
  <pageSetup scale="6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8C8D"/>
  </sheetPr>
  <dimension ref="B1:V19"/>
  <sheetViews>
    <sheetView workbookViewId="0"/>
  </sheetViews>
  <sheetFormatPr defaultRowHeight="16.5" x14ac:dyDescent="0.3"/>
  <cols>
    <col min="1" max="1" width="9" style="19"/>
    <col min="2" max="2" width="98.125" style="19" bestFit="1" customWidth="1"/>
    <col min="3" max="4" width="6.25" style="19" bestFit="1" customWidth="1"/>
    <col min="5" max="5" width="10.625" style="19" bestFit="1" customWidth="1"/>
    <col min="6" max="6" width="9" style="19"/>
    <col min="7" max="7" width="30" style="19" bestFit="1" customWidth="1"/>
    <col min="8" max="9" width="6.625" style="19" bestFit="1" customWidth="1"/>
    <col min="10" max="10" width="10.625" style="19" bestFit="1" customWidth="1"/>
    <col min="11" max="11" width="9" style="19"/>
    <col min="12" max="12" width="21.5" style="19" bestFit="1" customWidth="1"/>
    <col min="13" max="13" width="8.625" style="19" bestFit="1" customWidth="1"/>
    <col min="14" max="14" width="9" style="19"/>
    <col min="15" max="15" width="24.375" style="19" bestFit="1" customWidth="1"/>
    <col min="16" max="16" width="10" style="19" bestFit="1" customWidth="1"/>
    <col min="17" max="17" width="9" style="19"/>
    <col min="18" max="18" width="20" style="19" bestFit="1" customWidth="1"/>
    <col min="19" max="19" width="8" style="19" bestFit="1" customWidth="1"/>
    <col min="20" max="20" width="9" style="19"/>
    <col min="21" max="21" width="21.5" style="19" bestFit="1" customWidth="1"/>
    <col min="22" max="22" width="8.5" style="19" bestFit="1" customWidth="1"/>
    <col min="23" max="16384" width="9" style="19"/>
  </cols>
  <sheetData>
    <row r="1" spans="2:22" ht="17.25" x14ac:dyDescent="0.3">
      <c r="B1" s="12" t="s">
        <v>5721</v>
      </c>
    </row>
    <row r="3" spans="2:22" x14ac:dyDescent="0.3">
      <c r="B3" s="13" t="s">
        <v>5722</v>
      </c>
      <c r="G3" s="13" t="s">
        <v>5730</v>
      </c>
      <c r="L3" s="13" t="s">
        <v>5731</v>
      </c>
      <c r="O3" s="13" t="s">
        <v>5732</v>
      </c>
      <c r="R3" s="13" t="s">
        <v>5733</v>
      </c>
      <c r="U3" s="13" t="s">
        <v>5734</v>
      </c>
    </row>
    <row r="5" spans="2:22" x14ac:dyDescent="0.3">
      <c r="B5"/>
      <c r="C5" s="14" t="s">
        <v>2</v>
      </c>
      <c r="D5"/>
      <c r="E5"/>
      <c r="G5" s="14" t="s">
        <v>5726</v>
      </c>
      <c r="H5" s="14" t="s">
        <v>2</v>
      </c>
      <c r="I5"/>
      <c r="J5"/>
      <c r="L5" s="14" t="s">
        <v>5</v>
      </c>
      <c r="M5" t="s">
        <v>5726</v>
      </c>
      <c r="O5" s="14" t="s">
        <v>8</v>
      </c>
      <c r="P5" t="s">
        <v>5724</v>
      </c>
      <c r="R5" s="14" t="s">
        <v>5</v>
      </c>
      <c r="S5" t="s">
        <v>5728</v>
      </c>
      <c r="U5" s="14" t="s">
        <v>5</v>
      </c>
      <c r="V5" t="s">
        <v>5729</v>
      </c>
    </row>
    <row r="6" spans="2:22" x14ac:dyDescent="0.3">
      <c r="B6" s="14" t="s">
        <v>5725</v>
      </c>
      <c r="C6">
        <v>2024</v>
      </c>
      <c r="D6">
        <v>2025</v>
      </c>
      <c r="E6" t="s">
        <v>5723</v>
      </c>
      <c r="G6" s="14" t="s">
        <v>4</v>
      </c>
      <c r="H6">
        <v>2024</v>
      </c>
      <c r="I6">
        <v>2025</v>
      </c>
      <c r="J6" t="s">
        <v>5723</v>
      </c>
      <c r="L6" t="s">
        <v>38</v>
      </c>
      <c r="M6" s="15">
        <v>0.91387195121951215</v>
      </c>
      <c r="O6" t="s">
        <v>40</v>
      </c>
      <c r="P6" s="3">
        <v>1161</v>
      </c>
      <c r="R6" t="s">
        <v>34</v>
      </c>
      <c r="S6" s="18">
        <v>0.77830538970629859</v>
      </c>
      <c r="U6" t="s">
        <v>34</v>
      </c>
      <c r="V6" s="17">
        <v>2.0253164556962026E-2</v>
      </c>
    </row>
    <row r="7" spans="2:22" x14ac:dyDescent="0.3">
      <c r="B7" t="s">
        <v>5724</v>
      </c>
      <c r="C7" s="3">
        <v>2633</v>
      </c>
      <c r="D7" s="3">
        <v>2967</v>
      </c>
      <c r="E7" s="3">
        <v>5600</v>
      </c>
      <c r="G7" t="s">
        <v>22</v>
      </c>
      <c r="H7" s="15">
        <v>0.80808080808080807</v>
      </c>
      <c r="I7" s="15">
        <v>0.88938053097345138</v>
      </c>
      <c r="J7" s="15">
        <v>0.85141509433962259</v>
      </c>
      <c r="L7" t="s">
        <v>23</v>
      </c>
      <c r="M7" s="15">
        <v>0.88303477344573233</v>
      </c>
      <c r="O7" t="s">
        <v>26</v>
      </c>
      <c r="P7" s="3">
        <v>3037</v>
      </c>
      <c r="R7" t="s">
        <v>23</v>
      </c>
      <c r="S7" s="18">
        <v>0.8600890473383388</v>
      </c>
      <c r="U7" t="s">
        <v>57</v>
      </c>
      <c r="V7" s="17">
        <v>1.4229249011857707E-2</v>
      </c>
    </row>
    <row r="8" spans="2:22" x14ac:dyDescent="0.3">
      <c r="B8" t="s">
        <v>5726</v>
      </c>
      <c r="C8" s="15">
        <v>0.85112039498670722</v>
      </c>
      <c r="D8" s="15">
        <v>0.86316144253454663</v>
      </c>
      <c r="E8" s="15">
        <v>0.85750000000000004</v>
      </c>
      <c r="G8" t="s">
        <v>241</v>
      </c>
      <c r="H8" s="15">
        <v>0.92307692307692313</v>
      </c>
      <c r="I8" s="15">
        <v>0.88554216867469882</v>
      </c>
      <c r="J8" s="15">
        <v>0.90581717451523547</v>
      </c>
      <c r="L8" t="s">
        <v>57</v>
      </c>
      <c r="M8" s="15">
        <v>0.8711462450592885</v>
      </c>
      <c r="O8" t="s">
        <v>31</v>
      </c>
      <c r="P8" s="3">
        <v>1402</v>
      </c>
      <c r="R8" t="s">
        <v>57</v>
      </c>
      <c r="S8" s="18">
        <v>0.88907701865590916</v>
      </c>
      <c r="U8" t="s">
        <v>30</v>
      </c>
      <c r="V8" s="17">
        <v>1.3498312710911136E-2</v>
      </c>
    </row>
    <row r="9" spans="2:22" x14ac:dyDescent="0.3">
      <c r="B9" t="s">
        <v>5727</v>
      </c>
      <c r="C9" s="16">
        <v>47.514698063045913</v>
      </c>
      <c r="D9" s="16">
        <v>46.765554432086248</v>
      </c>
      <c r="E9" s="16">
        <v>47.117785714285567</v>
      </c>
      <c r="G9" t="s">
        <v>437</v>
      </c>
      <c r="H9" s="15">
        <v>0.85781990521327012</v>
      </c>
      <c r="I9" s="15">
        <v>0.9</v>
      </c>
      <c r="J9" s="15">
        <v>0.87885985748218531</v>
      </c>
      <c r="L9" t="s">
        <v>30</v>
      </c>
      <c r="M9" s="15">
        <v>0.8582677165354331</v>
      </c>
      <c r="O9" t="s">
        <v>5723</v>
      </c>
      <c r="P9" s="3">
        <v>5600</v>
      </c>
      <c r="R9" t="s">
        <v>30</v>
      </c>
      <c r="S9" s="18">
        <v>0.91039113051442222</v>
      </c>
      <c r="U9" t="s">
        <v>23</v>
      </c>
      <c r="V9" s="17">
        <v>1.2644889357218124E-2</v>
      </c>
    </row>
    <row r="10" spans="2:22" x14ac:dyDescent="0.3">
      <c r="B10" t="s">
        <v>5728</v>
      </c>
      <c r="C10" s="16">
        <v>0.90346411850897668</v>
      </c>
      <c r="D10" s="16">
        <v>0.85557981608722</v>
      </c>
      <c r="E10" s="16">
        <v>0.87763455409404589</v>
      </c>
      <c r="G10" t="s">
        <v>650</v>
      </c>
      <c r="H10" s="15">
        <v>0.88461538461538458</v>
      </c>
      <c r="I10" s="15">
        <v>0.92244897959183669</v>
      </c>
      <c r="J10" s="15">
        <v>0.90507726269315669</v>
      </c>
      <c r="L10" t="s">
        <v>34</v>
      </c>
      <c r="M10" s="15">
        <v>0.759493670886076</v>
      </c>
      <c r="R10" t="s">
        <v>38</v>
      </c>
      <c r="S10" s="18">
        <v>0.94917369924106543</v>
      </c>
      <c r="U10" t="s">
        <v>38</v>
      </c>
      <c r="V10" s="17">
        <v>4.5731707317073168E-3</v>
      </c>
    </row>
    <row r="11" spans="2:22" x14ac:dyDescent="0.3">
      <c r="B11" t="s">
        <v>5729</v>
      </c>
      <c r="C11" s="17">
        <v>1.0254462590201291E-2</v>
      </c>
      <c r="D11" s="17">
        <v>1.5166835187057633E-2</v>
      </c>
      <c r="E11" s="17">
        <v>1.2857142857142857E-2</v>
      </c>
      <c r="G11" t="s">
        <v>859</v>
      </c>
      <c r="H11" s="15">
        <v>0.88584474885844744</v>
      </c>
      <c r="I11" s="15">
        <v>0.8693877551020408</v>
      </c>
      <c r="J11" s="15">
        <v>0.87715517241379315</v>
      </c>
      <c r="L11" t="s">
        <v>5723</v>
      </c>
      <c r="M11" s="15">
        <v>0.85750000000000004</v>
      </c>
      <c r="R11" t="s">
        <v>5723</v>
      </c>
      <c r="S11" s="18">
        <v>0.87763455409404734</v>
      </c>
      <c r="U11" t="s">
        <v>5723</v>
      </c>
      <c r="V11" s="17">
        <v>1.2857142857142857E-2</v>
      </c>
    </row>
    <row r="12" spans="2:22" x14ac:dyDescent="0.3">
      <c r="G12" t="s">
        <v>1079</v>
      </c>
      <c r="H12" s="15">
        <v>0.87845303867403313</v>
      </c>
      <c r="I12" s="15">
        <v>0.839622641509434</v>
      </c>
      <c r="J12" s="15">
        <v>0.85750636132315516</v>
      </c>
    </row>
    <row r="13" spans="2:22" x14ac:dyDescent="0.3">
      <c r="G13" t="s">
        <v>1262</v>
      </c>
      <c r="H13" s="15">
        <v>0.86910994764397909</v>
      </c>
      <c r="I13" s="15">
        <v>0.86098654708520184</v>
      </c>
      <c r="J13" s="15">
        <v>0.86473429951690817</v>
      </c>
    </row>
    <row r="14" spans="2:22" x14ac:dyDescent="0.3">
      <c r="G14" t="s">
        <v>1454</v>
      </c>
      <c r="H14" s="15">
        <v>0.8571428571428571</v>
      </c>
      <c r="I14" s="15">
        <v>0.93023255813953487</v>
      </c>
      <c r="J14" s="15">
        <v>0.89537712895377131</v>
      </c>
    </row>
    <row r="15" spans="2:22" x14ac:dyDescent="0.3">
      <c r="G15" t="s">
        <v>1651</v>
      </c>
      <c r="H15" s="15">
        <v>0.86877828054298645</v>
      </c>
      <c r="I15" s="15">
        <v>0.84297520661157022</v>
      </c>
      <c r="J15" s="15">
        <v>0.85529157667386613</v>
      </c>
    </row>
    <row r="16" spans="2:22" x14ac:dyDescent="0.3">
      <c r="G16" t="s">
        <v>1874</v>
      </c>
      <c r="H16" s="15">
        <v>0.871244635193133</v>
      </c>
      <c r="I16" s="15">
        <v>0.86379928315412191</v>
      </c>
      <c r="J16" s="15">
        <v>0.8671875</v>
      </c>
    </row>
    <row r="17" spans="7:10" x14ac:dyDescent="0.3">
      <c r="G17" t="s">
        <v>2108</v>
      </c>
      <c r="H17" s="15">
        <v>0.78618421052631582</v>
      </c>
      <c r="I17" s="15">
        <v>0.80056980056980054</v>
      </c>
      <c r="J17" s="15">
        <v>0.79389312977099236</v>
      </c>
    </row>
    <row r="18" spans="7:10" x14ac:dyDescent="0.3">
      <c r="G18" t="s">
        <v>2413</v>
      </c>
      <c r="H18" s="15">
        <v>0.77898550724637683</v>
      </c>
      <c r="I18" s="15">
        <v>0.81869688385269124</v>
      </c>
      <c r="J18" s="15">
        <v>0.80127186009538953</v>
      </c>
    </row>
    <row r="19" spans="7:10" x14ac:dyDescent="0.3">
      <c r="G19" t="s">
        <v>5723</v>
      </c>
      <c r="H19" s="15">
        <v>0.85112039498670722</v>
      </c>
      <c r="I19" s="15">
        <v>0.86316144253454663</v>
      </c>
      <c r="J19" s="15">
        <v>0.85750000000000004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A580C"/>
  </sheetPr>
  <dimension ref="A1:T5601"/>
  <sheetViews>
    <sheetView workbookViewId="0">
      <pane ySplit="1" topLeftCell="A2" activePane="bottomLeft" state="frozen"/>
      <selection pane="bottomLeft"/>
    </sheetView>
  </sheetViews>
  <sheetFormatPr defaultRowHeight="15" x14ac:dyDescent="0.3"/>
  <cols>
    <col min="1" max="2" width="12.875" customWidth="1"/>
    <col min="3" max="3" width="8.875" customWidth="1"/>
    <col min="4" max="4" width="9.875" customWidth="1"/>
    <col min="5" max="5" width="8.875" customWidth="1"/>
    <col min="6" max="7" width="12.875" customWidth="1"/>
    <col min="8" max="8" width="19.875" customWidth="1"/>
    <col min="9" max="9" width="14.875" customWidth="1"/>
    <col min="10" max="10" width="8.875" customWidth="1"/>
    <col min="11" max="11" width="14.875" customWidth="1"/>
    <col min="12" max="12" width="10.875" customWidth="1"/>
    <col min="13" max="13" width="12.875" customWidth="1"/>
    <col min="14" max="14" width="14.875" customWidth="1"/>
    <col min="15" max="15" width="12.875" customWidth="1"/>
    <col min="16" max="16" width="8.875" customWidth="1"/>
    <col min="17" max="17" width="11.875" customWidth="1"/>
    <col min="18" max="18" width="14.875" customWidth="1"/>
    <col min="19" max="19" width="9.875" customWidth="1"/>
    <col min="20" max="20" width="11.875" customWidth="1"/>
  </cols>
  <sheetData>
    <row r="1" spans="1:20"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16.5" x14ac:dyDescent="0.3">
      <c r="A2" t="s">
        <v>20</v>
      </c>
      <c r="B2" s="1">
        <v>45292</v>
      </c>
      <c r="C2">
        <v>2024</v>
      </c>
      <c r="D2" t="s">
        <v>21</v>
      </c>
      <c r="E2" t="s">
        <v>22</v>
      </c>
      <c r="F2" t="s">
        <v>23</v>
      </c>
      <c r="G2" t="s">
        <v>24</v>
      </c>
      <c r="H2" t="s">
        <v>25</v>
      </c>
      <c r="I2" t="s">
        <v>26</v>
      </c>
      <c r="J2" t="s">
        <v>27</v>
      </c>
      <c r="K2" t="s">
        <v>28</v>
      </c>
      <c r="L2" s="2">
        <v>136.30000000000001</v>
      </c>
      <c r="M2" s="3">
        <v>717</v>
      </c>
      <c r="N2">
        <v>4</v>
      </c>
      <c r="O2">
        <v>4</v>
      </c>
      <c r="P2">
        <v>1</v>
      </c>
      <c r="Q2">
        <v>0</v>
      </c>
      <c r="R2" s="4">
        <v>78.91</v>
      </c>
      <c r="S2">
        <v>0</v>
      </c>
      <c r="T2">
        <v>1</v>
      </c>
    </row>
    <row r="3" spans="1:20" ht="16.5" x14ac:dyDescent="0.3">
      <c r="A3" t="s">
        <v>29</v>
      </c>
      <c r="B3" s="1">
        <v>45292</v>
      </c>
      <c r="C3">
        <v>2024</v>
      </c>
      <c r="D3" t="s">
        <v>21</v>
      </c>
      <c r="E3" t="s">
        <v>22</v>
      </c>
      <c r="F3" t="s">
        <v>30</v>
      </c>
      <c r="G3" t="s">
        <v>24</v>
      </c>
      <c r="H3" t="s">
        <v>25</v>
      </c>
      <c r="I3" t="s">
        <v>31</v>
      </c>
      <c r="J3" t="s">
        <v>27</v>
      </c>
      <c r="K3" t="s">
        <v>32</v>
      </c>
      <c r="L3" s="2">
        <v>6.4</v>
      </c>
      <c r="M3" s="3">
        <v>767</v>
      </c>
      <c r="N3">
        <v>6</v>
      </c>
      <c r="O3">
        <v>6</v>
      </c>
      <c r="P3">
        <v>1</v>
      </c>
      <c r="Q3">
        <v>0</v>
      </c>
      <c r="R3" s="4">
        <v>14.42</v>
      </c>
      <c r="S3">
        <v>1</v>
      </c>
      <c r="T3">
        <v>1</v>
      </c>
    </row>
    <row r="4" spans="1:20" ht="16.5" x14ac:dyDescent="0.3">
      <c r="A4" t="s">
        <v>33</v>
      </c>
      <c r="B4" s="1">
        <v>45292</v>
      </c>
      <c r="C4">
        <v>2024</v>
      </c>
      <c r="D4" t="s">
        <v>21</v>
      </c>
      <c r="E4" t="s">
        <v>22</v>
      </c>
      <c r="F4" t="s">
        <v>34</v>
      </c>
      <c r="G4" t="s">
        <v>35</v>
      </c>
      <c r="H4" t="s">
        <v>36</v>
      </c>
      <c r="I4" t="s">
        <v>31</v>
      </c>
      <c r="J4" t="s">
        <v>27</v>
      </c>
      <c r="K4" t="s">
        <v>28</v>
      </c>
      <c r="L4" s="2">
        <v>40.1</v>
      </c>
      <c r="M4" s="3">
        <v>224</v>
      </c>
      <c r="N4">
        <v>5</v>
      </c>
      <c r="O4">
        <v>4</v>
      </c>
      <c r="P4">
        <v>1</v>
      </c>
      <c r="Q4">
        <v>0</v>
      </c>
      <c r="R4" s="4">
        <v>18.28</v>
      </c>
      <c r="S4">
        <v>0</v>
      </c>
      <c r="T4">
        <v>1</v>
      </c>
    </row>
    <row r="5" spans="1:20" ht="16.5" x14ac:dyDescent="0.3">
      <c r="A5" t="s">
        <v>37</v>
      </c>
      <c r="B5" s="1">
        <v>45292</v>
      </c>
      <c r="C5">
        <v>2024</v>
      </c>
      <c r="D5" t="s">
        <v>21</v>
      </c>
      <c r="E5" t="s">
        <v>22</v>
      </c>
      <c r="F5" t="s">
        <v>38</v>
      </c>
      <c r="G5" t="s">
        <v>39</v>
      </c>
      <c r="H5" t="s">
        <v>25</v>
      </c>
      <c r="I5" t="s">
        <v>40</v>
      </c>
      <c r="J5" t="s">
        <v>41</v>
      </c>
      <c r="K5" t="s">
        <v>32</v>
      </c>
      <c r="L5" s="2">
        <v>2.4</v>
      </c>
      <c r="M5" s="3">
        <v>854</v>
      </c>
      <c r="N5">
        <v>2</v>
      </c>
      <c r="O5">
        <v>1</v>
      </c>
      <c r="P5">
        <v>1</v>
      </c>
      <c r="Q5">
        <v>0</v>
      </c>
      <c r="R5" s="4">
        <v>63.83</v>
      </c>
      <c r="S5">
        <v>0</v>
      </c>
      <c r="T5">
        <v>1</v>
      </c>
    </row>
    <row r="6" spans="1:20" ht="16.5" x14ac:dyDescent="0.3">
      <c r="A6" t="s">
        <v>42</v>
      </c>
      <c r="B6" s="1">
        <v>45292</v>
      </c>
      <c r="C6">
        <v>2024</v>
      </c>
      <c r="D6" t="s">
        <v>21</v>
      </c>
      <c r="E6" t="s">
        <v>22</v>
      </c>
      <c r="F6" t="s">
        <v>34</v>
      </c>
      <c r="G6" t="s">
        <v>39</v>
      </c>
      <c r="H6" t="s">
        <v>43</v>
      </c>
      <c r="I6" t="s">
        <v>26</v>
      </c>
      <c r="J6" t="s">
        <v>27</v>
      </c>
      <c r="K6" t="s">
        <v>32</v>
      </c>
      <c r="L6" s="2">
        <v>1.3</v>
      </c>
      <c r="M6" s="3">
        <v>1376</v>
      </c>
      <c r="N6">
        <v>5</v>
      </c>
      <c r="O6">
        <v>4</v>
      </c>
      <c r="P6">
        <v>1</v>
      </c>
      <c r="Q6">
        <v>0</v>
      </c>
      <c r="R6" s="4">
        <v>22.02</v>
      </c>
      <c r="S6">
        <v>0</v>
      </c>
      <c r="T6">
        <v>1</v>
      </c>
    </row>
    <row r="7" spans="1:20" ht="16.5" x14ac:dyDescent="0.3">
      <c r="A7" t="s">
        <v>44</v>
      </c>
      <c r="B7" s="1">
        <v>45292</v>
      </c>
      <c r="C7">
        <v>2024</v>
      </c>
      <c r="D7" t="s">
        <v>21</v>
      </c>
      <c r="E7" t="s">
        <v>22</v>
      </c>
      <c r="F7" t="s">
        <v>30</v>
      </c>
      <c r="G7" t="s">
        <v>24</v>
      </c>
      <c r="H7" t="s">
        <v>36</v>
      </c>
      <c r="I7" t="s">
        <v>26</v>
      </c>
      <c r="J7" t="s">
        <v>27</v>
      </c>
      <c r="K7" t="s">
        <v>32</v>
      </c>
      <c r="L7" s="2">
        <v>3.8</v>
      </c>
      <c r="M7" s="3">
        <v>201</v>
      </c>
      <c r="N7">
        <v>3</v>
      </c>
      <c r="O7">
        <v>3</v>
      </c>
      <c r="P7">
        <v>1</v>
      </c>
      <c r="Q7">
        <v>0</v>
      </c>
      <c r="R7" s="4">
        <v>12.16</v>
      </c>
      <c r="S7">
        <v>0</v>
      </c>
      <c r="T7">
        <v>1</v>
      </c>
    </row>
    <row r="8" spans="1:20" ht="16.5" x14ac:dyDescent="0.3">
      <c r="A8" t="s">
        <v>45</v>
      </c>
      <c r="B8" s="1">
        <v>45292</v>
      </c>
      <c r="C8">
        <v>2024</v>
      </c>
      <c r="D8" t="s">
        <v>21</v>
      </c>
      <c r="E8" t="s">
        <v>22</v>
      </c>
      <c r="F8" t="s">
        <v>34</v>
      </c>
      <c r="G8" t="s">
        <v>24</v>
      </c>
      <c r="H8" t="s">
        <v>36</v>
      </c>
      <c r="I8" t="s">
        <v>40</v>
      </c>
      <c r="J8" t="s">
        <v>27</v>
      </c>
      <c r="K8" t="s">
        <v>28</v>
      </c>
      <c r="L8" s="2">
        <v>63.9</v>
      </c>
      <c r="M8" s="3">
        <v>239</v>
      </c>
      <c r="N8">
        <v>1</v>
      </c>
      <c r="O8">
        <v>3</v>
      </c>
      <c r="P8">
        <v>0</v>
      </c>
      <c r="Q8">
        <v>2</v>
      </c>
      <c r="R8" s="4">
        <v>60.64</v>
      </c>
      <c r="S8">
        <v>0</v>
      </c>
      <c r="T8">
        <v>1</v>
      </c>
    </row>
    <row r="9" spans="1:20" ht="16.5" x14ac:dyDescent="0.3">
      <c r="A9" t="s">
        <v>46</v>
      </c>
      <c r="B9" s="1">
        <v>45292</v>
      </c>
      <c r="C9">
        <v>2024</v>
      </c>
      <c r="D9" t="s">
        <v>21</v>
      </c>
      <c r="E9" t="s">
        <v>22</v>
      </c>
      <c r="F9" t="s">
        <v>30</v>
      </c>
      <c r="G9" t="s">
        <v>35</v>
      </c>
      <c r="H9" t="s">
        <v>25</v>
      </c>
      <c r="I9" t="s">
        <v>26</v>
      </c>
      <c r="J9" t="s">
        <v>27</v>
      </c>
      <c r="K9" t="s">
        <v>32</v>
      </c>
      <c r="L9" s="2">
        <v>1.8</v>
      </c>
      <c r="M9" s="3">
        <v>767</v>
      </c>
      <c r="N9">
        <v>4</v>
      </c>
      <c r="O9">
        <v>3</v>
      </c>
      <c r="P9">
        <v>1</v>
      </c>
      <c r="Q9">
        <v>0</v>
      </c>
      <c r="R9" s="4">
        <v>16.88</v>
      </c>
      <c r="S9">
        <v>0</v>
      </c>
      <c r="T9">
        <v>1</v>
      </c>
    </row>
    <row r="10" spans="1:20" ht="16.5" x14ac:dyDescent="0.3">
      <c r="A10" t="s">
        <v>47</v>
      </c>
      <c r="B10" s="1">
        <v>45293</v>
      </c>
      <c r="C10">
        <v>2024</v>
      </c>
      <c r="D10" t="s">
        <v>21</v>
      </c>
      <c r="E10" t="s">
        <v>22</v>
      </c>
      <c r="F10" t="s">
        <v>30</v>
      </c>
      <c r="G10" t="s">
        <v>39</v>
      </c>
      <c r="H10" t="s">
        <v>48</v>
      </c>
      <c r="I10" t="s">
        <v>26</v>
      </c>
      <c r="J10" t="s">
        <v>27</v>
      </c>
      <c r="K10" t="s">
        <v>28</v>
      </c>
      <c r="L10" s="2">
        <v>60.8</v>
      </c>
      <c r="M10" s="3">
        <v>577</v>
      </c>
      <c r="N10">
        <v>4</v>
      </c>
      <c r="O10">
        <v>3</v>
      </c>
      <c r="P10">
        <v>1</v>
      </c>
      <c r="Q10">
        <v>0</v>
      </c>
      <c r="R10" s="4">
        <v>44.08</v>
      </c>
      <c r="S10">
        <v>0</v>
      </c>
      <c r="T10">
        <v>1</v>
      </c>
    </row>
    <row r="11" spans="1:20" ht="16.5" x14ac:dyDescent="0.3">
      <c r="A11" t="s">
        <v>49</v>
      </c>
      <c r="B11" s="1">
        <v>45293</v>
      </c>
      <c r="C11">
        <v>2024</v>
      </c>
      <c r="D11" t="s">
        <v>21</v>
      </c>
      <c r="E11" t="s">
        <v>22</v>
      </c>
      <c r="F11" t="s">
        <v>23</v>
      </c>
      <c r="G11" t="s">
        <v>35</v>
      </c>
      <c r="H11" t="s">
        <v>36</v>
      </c>
      <c r="I11" t="s">
        <v>26</v>
      </c>
      <c r="J11" t="s">
        <v>27</v>
      </c>
      <c r="K11" t="s">
        <v>32</v>
      </c>
      <c r="L11" s="2">
        <v>11.3</v>
      </c>
      <c r="M11" s="3">
        <v>222</v>
      </c>
      <c r="N11">
        <v>3</v>
      </c>
      <c r="O11">
        <v>3</v>
      </c>
      <c r="P11">
        <v>1</v>
      </c>
      <c r="Q11">
        <v>0</v>
      </c>
      <c r="R11" s="4">
        <v>15.54</v>
      </c>
      <c r="S11">
        <v>0</v>
      </c>
      <c r="T11">
        <v>1</v>
      </c>
    </row>
    <row r="12" spans="1:20" ht="16.5" x14ac:dyDescent="0.3">
      <c r="A12" t="s">
        <v>50</v>
      </c>
      <c r="B12" s="1">
        <v>45293</v>
      </c>
      <c r="C12">
        <v>2024</v>
      </c>
      <c r="D12" t="s">
        <v>21</v>
      </c>
      <c r="E12" t="s">
        <v>22</v>
      </c>
      <c r="F12" t="s">
        <v>30</v>
      </c>
      <c r="G12" t="s">
        <v>39</v>
      </c>
      <c r="H12" t="s">
        <v>51</v>
      </c>
      <c r="I12" t="s">
        <v>31</v>
      </c>
      <c r="J12" t="s">
        <v>27</v>
      </c>
      <c r="K12" t="s">
        <v>28</v>
      </c>
      <c r="L12" s="2">
        <v>102.8</v>
      </c>
      <c r="M12" s="3">
        <v>1269</v>
      </c>
      <c r="N12">
        <v>7</v>
      </c>
      <c r="O12">
        <v>7</v>
      </c>
      <c r="P12">
        <v>1</v>
      </c>
      <c r="Q12">
        <v>0</v>
      </c>
      <c r="R12" s="4">
        <v>46.72</v>
      </c>
      <c r="S12">
        <v>0</v>
      </c>
      <c r="T12">
        <v>1</v>
      </c>
    </row>
    <row r="13" spans="1:20" ht="16.5" x14ac:dyDescent="0.3">
      <c r="A13" t="s">
        <v>52</v>
      </c>
      <c r="B13" s="1">
        <v>45293</v>
      </c>
      <c r="C13">
        <v>2024</v>
      </c>
      <c r="D13" t="s">
        <v>21</v>
      </c>
      <c r="E13" t="s">
        <v>22</v>
      </c>
      <c r="F13" t="s">
        <v>38</v>
      </c>
      <c r="G13" t="s">
        <v>35</v>
      </c>
      <c r="H13" t="s">
        <v>25</v>
      </c>
      <c r="I13" t="s">
        <v>31</v>
      </c>
      <c r="J13" t="s">
        <v>27</v>
      </c>
      <c r="K13" t="s">
        <v>28</v>
      </c>
      <c r="L13" s="2">
        <v>90.7</v>
      </c>
      <c r="M13" s="3">
        <v>848</v>
      </c>
      <c r="N13">
        <v>6</v>
      </c>
      <c r="O13">
        <v>6</v>
      </c>
      <c r="P13">
        <v>1</v>
      </c>
      <c r="Q13">
        <v>0</v>
      </c>
      <c r="R13" s="4">
        <v>50.12</v>
      </c>
      <c r="S13">
        <v>0</v>
      </c>
      <c r="T13">
        <v>1</v>
      </c>
    </row>
    <row r="14" spans="1:20" ht="16.5" x14ac:dyDescent="0.3">
      <c r="A14" t="s">
        <v>53</v>
      </c>
      <c r="B14" s="1">
        <v>45293</v>
      </c>
      <c r="C14">
        <v>2024</v>
      </c>
      <c r="D14" t="s">
        <v>21</v>
      </c>
      <c r="E14" t="s">
        <v>22</v>
      </c>
      <c r="F14" t="s">
        <v>34</v>
      </c>
      <c r="G14" t="s">
        <v>39</v>
      </c>
      <c r="H14" t="s">
        <v>25</v>
      </c>
      <c r="I14" t="s">
        <v>26</v>
      </c>
      <c r="J14" t="s">
        <v>27</v>
      </c>
      <c r="K14" t="s">
        <v>32</v>
      </c>
      <c r="L14" s="2">
        <v>3.4</v>
      </c>
      <c r="M14" s="3">
        <v>943</v>
      </c>
      <c r="N14">
        <v>4</v>
      </c>
      <c r="O14">
        <v>4</v>
      </c>
      <c r="P14">
        <v>1</v>
      </c>
      <c r="Q14">
        <v>0</v>
      </c>
      <c r="R14" s="4">
        <v>18.3</v>
      </c>
      <c r="S14">
        <v>0</v>
      </c>
      <c r="T14">
        <v>1</v>
      </c>
    </row>
    <row r="15" spans="1:20" ht="16.5" x14ac:dyDescent="0.3">
      <c r="A15" t="s">
        <v>54</v>
      </c>
      <c r="B15" s="1">
        <v>45293</v>
      </c>
      <c r="C15">
        <v>2024</v>
      </c>
      <c r="D15" t="s">
        <v>21</v>
      </c>
      <c r="E15" t="s">
        <v>22</v>
      </c>
      <c r="F15" t="s">
        <v>23</v>
      </c>
      <c r="G15" t="s">
        <v>35</v>
      </c>
      <c r="H15" t="s">
        <v>51</v>
      </c>
      <c r="I15" t="s">
        <v>26</v>
      </c>
      <c r="J15" t="s">
        <v>27</v>
      </c>
      <c r="K15" t="s">
        <v>32</v>
      </c>
      <c r="L15" s="2">
        <v>10.3</v>
      </c>
      <c r="M15" s="3">
        <v>1101</v>
      </c>
      <c r="N15">
        <v>5</v>
      </c>
      <c r="O15">
        <v>5</v>
      </c>
      <c r="P15">
        <v>1</v>
      </c>
      <c r="Q15">
        <v>0</v>
      </c>
      <c r="R15" s="4">
        <v>26.19</v>
      </c>
      <c r="S15">
        <v>0</v>
      </c>
      <c r="T15">
        <v>1</v>
      </c>
    </row>
    <row r="16" spans="1:20" ht="16.5" x14ac:dyDescent="0.3">
      <c r="A16" t="s">
        <v>55</v>
      </c>
      <c r="B16" s="1">
        <v>45293</v>
      </c>
      <c r="C16">
        <v>2024</v>
      </c>
      <c r="D16" t="s">
        <v>21</v>
      </c>
      <c r="E16" t="s">
        <v>22</v>
      </c>
      <c r="F16" t="s">
        <v>38</v>
      </c>
      <c r="G16" t="s">
        <v>35</v>
      </c>
      <c r="H16" t="s">
        <v>25</v>
      </c>
      <c r="I16" t="s">
        <v>26</v>
      </c>
      <c r="J16" t="s">
        <v>27</v>
      </c>
      <c r="K16" t="s">
        <v>32</v>
      </c>
      <c r="L16" s="2">
        <v>7.2</v>
      </c>
      <c r="M16" s="3">
        <v>985</v>
      </c>
      <c r="N16">
        <v>4</v>
      </c>
      <c r="O16">
        <v>4</v>
      </c>
      <c r="P16">
        <v>1</v>
      </c>
      <c r="Q16">
        <v>0</v>
      </c>
      <c r="R16" s="4">
        <v>26.26</v>
      </c>
      <c r="S16">
        <v>0</v>
      </c>
      <c r="T16">
        <v>1</v>
      </c>
    </row>
    <row r="17" spans="1:20" ht="16.5" x14ac:dyDescent="0.3">
      <c r="A17" t="s">
        <v>56</v>
      </c>
      <c r="B17" s="1">
        <v>45293</v>
      </c>
      <c r="C17">
        <v>2024</v>
      </c>
      <c r="D17" t="s">
        <v>21</v>
      </c>
      <c r="E17" t="s">
        <v>22</v>
      </c>
      <c r="F17" t="s">
        <v>57</v>
      </c>
      <c r="G17" t="s">
        <v>39</v>
      </c>
      <c r="H17" t="s">
        <v>36</v>
      </c>
      <c r="I17" t="s">
        <v>26</v>
      </c>
      <c r="J17" t="s">
        <v>27</v>
      </c>
      <c r="K17" t="s">
        <v>28</v>
      </c>
      <c r="L17" s="2">
        <v>43.2</v>
      </c>
      <c r="M17" s="3">
        <v>283</v>
      </c>
      <c r="N17">
        <v>3</v>
      </c>
      <c r="O17">
        <v>2</v>
      </c>
      <c r="P17">
        <v>1</v>
      </c>
      <c r="Q17">
        <v>0</v>
      </c>
      <c r="R17" s="4">
        <v>32.89</v>
      </c>
      <c r="S17">
        <v>0</v>
      </c>
      <c r="T17">
        <v>1</v>
      </c>
    </row>
    <row r="18" spans="1:20" ht="16.5" x14ac:dyDescent="0.3">
      <c r="A18" t="s">
        <v>58</v>
      </c>
      <c r="B18" s="1">
        <v>45294</v>
      </c>
      <c r="C18">
        <v>2024</v>
      </c>
      <c r="D18" t="s">
        <v>21</v>
      </c>
      <c r="E18" t="s">
        <v>22</v>
      </c>
      <c r="F18" t="s">
        <v>38</v>
      </c>
      <c r="G18" t="s">
        <v>39</v>
      </c>
      <c r="H18" t="s">
        <v>25</v>
      </c>
      <c r="I18" t="s">
        <v>26</v>
      </c>
      <c r="J18" t="s">
        <v>27</v>
      </c>
      <c r="K18" t="s">
        <v>32</v>
      </c>
      <c r="L18" s="2">
        <v>1.2</v>
      </c>
      <c r="M18" s="3">
        <v>1053</v>
      </c>
      <c r="N18">
        <v>4</v>
      </c>
      <c r="O18">
        <v>6</v>
      </c>
      <c r="P18">
        <v>0</v>
      </c>
      <c r="Q18">
        <v>2</v>
      </c>
      <c r="R18" s="4">
        <v>20.260000000000002</v>
      </c>
      <c r="S18">
        <v>0</v>
      </c>
      <c r="T18">
        <v>1</v>
      </c>
    </row>
    <row r="19" spans="1:20" ht="16.5" x14ac:dyDescent="0.3">
      <c r="A19" t="s">
        <v>59</v>
      </c>
      <c r="B19" s="1">
        <v>45294</v>
      </c>
      <c r="C19">
        <v>2024</v>
      </c>
      <c r="D19" t="s">
        <v>21</v>
      </c>
      <c r="E19" t="s">
        <v>22</v>
      </c>
      <c r="F19" t="s">
        <v>23</v>
      </c>
      <c r="G19" t="s">
        <v>35</v>
      </c>
      <c r="H19" t="s">
        <v>25</v>
      </c>
      <c r="I19" t="s">
        <v>26</v>
      </c>
      <c r="J19" t="s">
        <v>27</v>
      </c>
      <c r="K19" t="s">
        <v>32</v>
      </c>
      <c r="L19" s="2">
        <v>12.9</v>
      </c>
      <c r="M19" s="3">
        <v>691</v>
      </c>
      <c r="N19">
        <v>4</v>
      </c>
      <c r="O19">
        <v>4</v>
      </c>
      <c r="P19">
        <v>1</v>
      </c>
      <c r="Q19">
        <v>0</v>
      </c>
      <c r="R19" s="4">
        <v>20.8</v>
      </c>
      <c r="S19">
        <v>0</v>
      </c>
      <c r="T19">
        <v>1</v>
      </c>
    </row>
    <row r="20" spans="1:20" ht="16.5" x14ac:dyDescent="0.3">
      <c r="A20" t="s">
        <v>60</v>
      </c>
      <c r="B20" s="1">
        <v>45294</v>
      </c>
      <c r="C20">
        <v>2024</v>
      </c>
      <c r="D20" t="s">
        <v>21</v>
      </c>
      <c r="E20" t="s">
        <v>22</v>
      </c>
      <c r="F20" t="s">
        <v>57</v>
      </c>
      <c r="G20" t="s">
        <v>35</v>
      </c>
      <c r="H20" t="s">
        <v>36</v>
      </c>
      <c r="I20" t="s">
        <v>31</v>
      </c>
      <c r="J20" t="s">
        <v>27</v>
      </c>
      <c r="K20" t="s">
        <v>32</v>
      </c>
      <c r="L20" s="2">
        <v>3.6</v>
      </c>
      <c r="M20" s="3">
        <v>313</v>
      </c>
      <c r="N20">
        <v>5</v>
      </c>
      <c r="O20">
        <v>4</v>
      </c>
      <c r="P20">
        <v>1</v>
      </c>
      <c r="Q20">
        <v>0</v>
      </c>
      <c r="R20" s="4">
        <v>8.56</v>
      </c>
      <c r="S20">
        <v>0</v>
      </c>
      <c r="T20">
        <v>1</v>
      </c>
    </row>
    <row r="21" spans="1:20" ht="16.5" x14ac:dyDescent="0.3">
      <c r="A21" t="s">
        <v>61</v>
      </c>
      <c r="B21" s="1">
        <v>45294</v>
      </c>
      <c r="C21">
        <v>2024</v>
      </c>
      <c r="D21" t="s">
        <v>21</v>
      </c>
      <c r="E21" t="s">
        <v>22</v>
      </c>
      <c r="F21" t="s">
        <v>57</v>
      </c>
      <c r="G21" t="s">
        <v>39</v>
      </c>
      <c r="H21" t="s">
        <v>25</v>
      </c>
      <c r="I21" t="s">
        <v>26</v>
      </c>
      <c r="J21" t="s">
        <v>27</v>
      </c>
      <c r="K21" t="s">
        <v>28</v>
      </c>
      <c r="L21" s="2">
        <v>94.9</v>
      </c>
      <c r="M21" s="3">
        <v>947</v>
      </c>
      <c r="N21">
        <v>4</v>
      </c>
      <c r="O21">
        <v>4</v>
      </c>
      <c r="P21">
        <v>1</v>
      </c>
      <c r="Q21">
        <v>0</v>
      </c>
      <c r="R21" s="4">
        <v>58.37</v>
      </c>
      <c r="S21">
        <v>0</v>
      </c>
      <c r="T21">
        <v>1</v>
      </c>
    </row>
    <row r="22" spans="1:20" ht="16.5" x14ac:dyDescent="0.3">
      <c r="A22" t="s">
        <v>62</v>
      </c>
      <c r="B22" s="1">
        <v>45294</v>
      </c>
      <c r="C22">
        <v>2024</v>
      </c>
      <c r="D22" t="s">
        <v>21</v>
      </c>
      <c r="E22" t="s">
        <v>22</v>
      </c>
      <c r="F22" t="s">
        <v>38</v>
      </c>
      <c r="G22" t="s">
        <v>39</v>
      </c>
      <c r="H22" t="s">
        <v>25</v>
      </c>
      <c r="I22" t="s">
        <v>26</v>
      </c>
      <c r="J22" t="s">
        <v>27</v>
      </c>
      <c r="K22" t="s">
        <v>32</v>
      </c>
      <c r="L22" s="2">
        <v>9.5</v>
      </c>
      <c r="M22" s="3">
        <v>1184</v>
      </c>
      <c r="N22">
        <v>4</v>
      </c>
      <c r="O22">
        <v>3</v>
      </c>
      <c r="P22">
        <v>1</v>
      </c>
      <c r="Q22">
        <v>0</v>
      </c>
      <c r="R22" s="4">
        <v>29.94</v>
      </c>
      <c r="S22">
        <v>0</v>
      </c>
      <c r="T22">
        <v>1</v>
      </c>
    </row>
    <row r="23" spans="1:20" ht="16.5" x14ac:dyDescent="0.3">
      <c r="A23" t="s">
        <v>63</v>
      </c>
      <c r="B23" s="1">
        <v>45295</v>
      </c>
      <c r="C23">
        <v>2024</v>
      </c>
      <c r="D23" t="s">
        <v>21</v>
      </c>
      <c r="E23" t="s">
        <v>22</v>
      </c>
      <c r="F23" t="s">
        <v>30</v>
      </c>
      <c r="G23" t="s">
        <v>39</v>
      </c>
      <c r="H23" t="s">
        <v>48</v>
      </c>
      <c r="I23" t="s">
        <v>26</v>
      </c>
      <c r="J23" t="s">
        <v>27</v>
      </c>
      <c r="K23" t="s">
        <v>32</v>
      </c>
      <c r="L23" s="2">
        <v>2.2000000000000002</v>
      </c>
      <c r="M23" s="3">
        <v>497</v>
      </c>
      <c r="N23">
        <v>4</v>
      </c>
      <c r="O23">
        <v>6</v>
      </c>
      <c r="P23">
        <v>0</v>
      </c>
      <c r="Q23">
        <v>2</v>
      </c>
      <c r="R23" s="4">
        <v>14.74</v>
      </c>
      <c r="S23">
        <v>0</v>
      </c>
      <c r="T23">
        <v>1</v>
      </c>
    </row>
    <row r="24" spans="1:20" ht="16.5" x14ac:dyDescent="0.3">
      <c r="A24" t="s">
        <v>64</v>
      </c>
      <c r="B24" s="1">
        <v>45295</v>
      </c>
      <c r="C24">
        <v>2024</v>
      </c>
      <c r="D24" t="s">
        <v>21</v>
      </c>
      <c r="E24" t="s">
        <v>22</v>
      </c>
      <c r="F24" t="s">
        <v>30</v>
      </c>
      <c r="G24" t="s">
        <v>24</v>
      </c>
      <c r="H24" t="s">
        <v>48</v>
      </c>
      <c r="I24" t="s">
        <v>26</v>
      </c>
      <c r="J24" t="s">
        <v>27</v>
      </c>
      <c r="K24" t="s">
        <v>32</v>
      </c>
      <c r="L24" s="2">
        <v>13.6</v>
      </c>
      <c r="M24" s="3">
        <v>535</v>
      </c>
      <c r="N24">
        <v>4</v>
      </c>
      <c r="O24">
        <v>4</v>
      </c>
      <c r="P24">
        <v>1</v>
      </c>
      <c r="Q24">
        <v>0</v>
      </c>
      <c r="R24" s="4">
        <v>20.83</v>
      </c>
      <c r="S24">
        <v>0</v>
      </c>
      <c r="T24">
        <v>1</v>
      </c>
    </row>
    <row r="25" spans="1:20" ht="16.5" x14ac:dyDescent="0.3">
      <c r="A25" t="s">
        <v>65</v>
      </c>
      <c r="B25" s="1">
        <v>45295</v>
      </c>
      <c r="C25">
        <v>2024</v>
      </c>
      <c r="D25" t="s">
        <v>21</v>
      </c>
      <c r="E25" t="s">
        <v>22</v>
      </c>
      <c r="F25" t="s">
        <v>38</v>
      </c>
      <c r="G25" t="s">
        <v>35</v>
      </c>
      <c r="H25" t="s">
        <v>51</v>
      </c>
      <c r="I25" t="s">
        <v>26</v>
      </c>
      <c r="J25" t="s">
        <v>27</v>
      </c>
      <c r="K25" t="s">
        <v>28</v>
      </c>
      <c r="L25" s="2">
        <v>57.6</v>
      </c>
      <c r="M25" s="3">
        <v>713</v>
      </c>
      <c r="N25">
        <v>5</v>
      </c>
      <c r="O25">
        <v>5</v>
      </c>
      <c r="P25">
        <v>1</v>
      </c>
      <c r="Q25">
        <v>0</v>
      </c>
      <c r="R25" s="4">
        <v>45.58</v>
      </c>
      <c r="S25">
        <v>0</v>
      </c>
      <c r="T25">
        <v>1</v>
      </c>
    </row>
    <row r="26" spans="1:20" ht="16.5" x14ac:dyDescent="0.3">
      <c r="A26" t="s">
        <v>66</v>
      </c>
      <c r="B26" s="1">
        <v>45295</v>
      </c>
      <c r="C26">
        <v>2024</v>
      </c>
      <c r="D26" t="s">
        <v>21</v>
      </c>
      <c r="E26" t="s">
        <v>22</v>
      </c>
      <c r="F26" t="s">
        <v>30</v>
      </c>
      <c r="G26" t="s">
        <v>24</v>
      </c>
      <c r="H26" t="s">
        <v>43</v>
      </c>
      <c r="I26" t="s">
        <v>31</v>
      </c>
      <c r="J26" t="s">
        <v>27</v>
      </c>
      <c r="K26" t="s">
        <v>28</v>
      </c>
      <c r="L26" s="2">
        <v>36.299999999999997</v>
      </c>
      <c r="M26" s="3">
        <v>1005</v>
      </c>
      <c r="N26">
        <v>7</v>
      </c>
      <c r="O26">
        <v>6</v>
      </c>
      <c r="P26">
        <v>1</v>
      </c>
      <c r="Q26">
        <v>0</v>
      </c>
      <c r="R26" s="4">
        <v>27.62</v>
      </c>
      <c r="S26">
        <v>0</v>
      </c>
      <c r="T26">
        <v>1</v>
      </c>
    </row>
    <row r="27" spans="1:20" ht="16.5" x14ac:dyDescent="0.3">
      <c r="A27" t="s">
        <v>67</v>
      </c>
      <c r="B27" s="1">
        <v>45295</v>
      </c>
      <c r="C27">
        <v>2024</v>
      </c>
      <c r="D27" t="s">
        <v>21</v>
      </c>
      <c r="E27" t="s">
        <v>22</v>
      </c>
      <c r="F27" t="s">
        <v>34</v>
      </c>
      <c r="G27" t="s">
        <v>35</v>
      </c>
      <c r="H27" t="s">
        <v>25</v>
      </c>
      <c r="I27" t="s">
        <v>26</v>
      </c>
      <c r="J27" t="s">
        <v>27</v>
      </c>
      <c r="K27" t="s">
        <v>32</v>
      </c>
      <c r="L27" s="2">
        <v>4.5</v>
      </c>
      <c r="M27" s="3">
        <v>860</v>
      </c>
      <c r="N27">
        <v>4</v>
      </c>
      <c r="O27">
        <v>4</v>
      </c>
      <c r="P27">
        <v>1</v>
      </c>
      <c r="Q27">
        <v>0</v>
      </c>
      <c r="R27" s="4">
        <v>15.31</v>
      </c>
      <c r="S27">
        <v>0</v>
      </c>
      <c r="T27">
        <v>1</v>
      </c>
    </row>
    <row r="28" spans="1:20" ht="16.5" x14ac:dyDescent="0.3">
      <c r="A28" t="s">
        <v>68</v>
      </c>
      <c r="B28" s="1">
        <v>45295</v>
      </c>
      <c r="C28">
        <v>2024</v>
      </c>
      <c r="D28" t="s">
        <v>21</v>
      </c>
      <c r="E28" t="s">
        <v>22</v>
      </c>
      <c r="F28" t="s">
        <v>34</v>
      </c>
      <c r="G28" t="s">
        <v>24</v>
      </c>
      <c r="H28" t="s">
        <v>36</v>
      </c>
      <c r="I28" t="s">
        <v>31</v>
      </c>
      <c r="J28" t="s">
        <v>27</v>
      </c>
      <c r="K28" t="s">
        <v>32</v>
      </c>
      <c r="L28" s="2">
        <v>2.9</v>
      </c>
      <c r="M28" s="3">
        <v>267</v>
      </c>
      <c r="N28">
        <v>5</v>
      </c>
      <c r="O28">
        <v>5</v>
      </c>
      <c r="P28">
        <v>1</v>
      </c>
      <c r="Q28">
        <v>0</v>
      </c>
      <c r="R28" s="4">
        <v>6.83</v>
      </c>
      <c r="S28">
        <v>0</v>
      </c>
      <c r="T28">
        <v>1</v>
      </c>
    </row>
    <row r="29" spans="1:20" ht="16.5" x14ac:dyDescent="0.3">
      <c r="A29" t="s">
        <v>69</v>
      </c>
      <c r="B29" s="1">
        <v>45295</v>
      </c>
      <c r="C29">
        <v>2024</v>
      </c>
      <c r="D29" t="s">
        <v>21</v>
      </c>
      <c r="E29" t="s">
        <v>22</v>
      </c>
      <c r="F29" t="s">
        <v>34</v>
      </c>
      <c r="G29" t="s">
        <v>35</v>
      </c>
      <c r="H29" t="s">
        <v>36</v>
      </c>
      <c r="I29" t="s">
        <v>26</v>
      </c>
      <c r="J29" t="s">
        <v>27</v>
      </c>
      <c r="K29" t="s">
        <v>32</v>
      </c>
      <c r="L29" s="2">
        <v>4.9000000000000004</v>
      </c>
      <c r="M29" s="3">
        <v>218</v>
      </c>
      <c r="N29">
        <v>3</v>
      </c>
      <c r="O29">
        <v>2</v>
      </c>
      <c r="P29">
        <v>1</v>
      </c>
      <c r="Q29">
        <v>0</v>
      </c>
      <c r="R29" s="4">
        <v>11.59</v>
      </c>
      <c r="S29">
        <v>0</v>
      </c>
      <c r="T29">
        <v>1</v>
      </c>
    </row>
    <row r="30" spans="1:20" ht="16.5" x14ac:dyDescent="0.3">
      <c r="A30" t="s">
        <v>70</v>
      </c>
      <c r="B30" s="1">
        <v>45295</v>
      </c>
      <c r="C30">
        <v>2024</v>
      </c>
      <c r="D30" t="s">
        <v>21</v>
      </c>
      <c r="E30" t="s">
        <v>22</v>
      </c>
      <c r="F30" t="s">
        <v>30</v>
      </c>
      <c r="G30" t="s">
        <v>39</v>
      </c>
      <c r="H30" t="s">
        <v>25</v>
      </c>
      <c r="I30" t="s">
        <v>26</v>
      </c>
      <c r="J30" t="s">
        <v>27</v>
      </c>
      <c r="K30" t="s">
        <v>32</v>
      </c>
      <c r="L30" s="2">
        <v>1.7</v>
      </c>
      <c r="M30" s="3">
        <v>1005</v>
      </c>
      <c r="N30">
        <v>4</v>
      </c>
      <c r="O30">
        <v>4</v>
      </c>
      <c r="P30">
        <v>1</v>
      </c>
      <c r="Q30">
        <v>0</v>
      </c>
      <c r="R30" s="4">
        <v>21.08</v>
      </c>
      <c r="S30">
        <v>0</v>
      </c>
      <c r="T30">
        <v>1</v>
      </c>
    </row>
    <row r="31" spans="1:20" ht="16.5" x14ac:dyDescent="0.3">
      <c r="A31" t="s">
        <v>71</v>
      </c>
      <c r="B31" s="1">
        <v>45295</v>
      </c>
      <c r="C31">
        <v>2024</v>
      </c>
      <c r="D31" t="s">
        <v>21</v>
      </c>
      <c r="E31" t="s">
        <v>22</v>
      </c>
      <c r="F31" t="s">
        <v>34</v>
      </c>
      <c r="G31" t="s">
        <v>35</v>
      </c>
      <c r="H31" t="s">
        <v>48</v>
      </c>
      <c r="I31" t="s">
        <v>40</v>
      </c>
      <c r="J31" t="s">
        <v>27</v>
      </c>
      <c r="K31" t="s">
        <v>32</v>
      </c>
      <c r="L31" s="2">
        <v>8.6</v>
      </c>
      <c r="M31" s="3">
        <v>495</v>
      </c>
      <c r="N31">
        <v>2</v>
      </c>
      <c r="O31">
        <v>6</v>
      </c>
      <c r="P31">
        <v>0</v>
      </c>
      <c r="Q31">
        <v>4</v>
      </c>
      <c r="R31" s="4">
        <v>27.32</v>
      </c>
      <c r="S31">
        <v>0</v>
      </c>
      <c r="T31">
        <v>1</v>
      </c>
    </row>
    <row r="32" spans="1:20" ht="16.5" x14ac:dyDescent="0.3">
      <c r="A32" t="s">
        <v>72</v>
      </c>
      <c r="B32" s="1">
        <v>45296</v>
      </c>
      <c r="C32">
        <v>2024</v>
      </c>
      <c r="D32" t="s">
        <v>21</v>
      </c>
      <c r="E32" t="s">
        <v>22</v>
      </c>
      <c r="F32" t="s">
        <v>38</v>
      </c>
      <c r="G32" t="s">
        <v>39</v>
      </c>
      <c r="H32" t="s">
        <v>48</v>
      </c>
      <c r="I32" t="s">
        <v>26</v>
      </c>
      <c r="J32" t="s">
        <v>27</v>
      </c>
      <c r="K32" t="s">
        <v>28</v>
      </c>
      <c r="L32" s="2">
        <v>147.4</v>
      </c>
      <c r="M32" s="3">
        <v>368</v>
      </c>
      <c r="N32">
        <v>4</v>
      </c>
      <c r="O32">
        <v>4</v>
      </c>
      <c r="P32">
        <v>1</v>
      </c>
      <c r="Q32">
        <v>0</v>
      </c>
      <c r="R32" s="4">
        <v>81.03</v>
      </c>
      <c r="S32">
        <v>0</v>
      </c>
      <c r="T32">
        <v>1</v>
      </c>
    </row>
    <row r="33" spans="1:20" ht="16.5" x14ac:dyDescent="0.3">
      <c r="A33" t="s">
        <v>73</v>
      </c>
      <c r="B33" s="1">
        <v>45296</v>
      </c>
      <c r="C33">
        <v>2024</v>
      </c>
      <c r="D33" t="s">
        <v>21</v>
      </c>
      <c r="E33" t="s">
        <v>22</v>
      </c>
      <c r="F33" t="s">
        <v>57</v>
      </c>
      <c r="G33" t="s">
        <v>35</v>
      </c>
      <c r="H33" t="s">
        <v>25</v>
      </c>
      <c r="I33" t="s">
        <v>40</v>
      </c>
      <c r="J33" t="s">
        <v>41</v>
      </c>
      <c r="K33" t="s">
        <v>32</v>
      </c>
      <c r="L33" s="2">
        <v>13.9</v>
      </c>
      <c r="M33" s="3">
        <v>1038</v>
      </c>
      <c r="N33">
        <v>2</v>
      </c>
      <c r="O33">
        <v>2</v>
      </c>
      <c r="P33">
        <v>1</v>
      </c>
      <c r="Q33">
        <v>0</v>
      </c>
      <c r="R33" s="4">
        <v>83.56</v>
      </c>
      <c r="S33">
        <v>0</v>
      </c>
      <c r="T33">
        <v>1</v>
      </c>
    </row>
    <row r="34" spans="1:20" ht="16.5" x14ac:dyDescent="0.3">
      <c r="A34" t="s">
        <v>74</v>
      </c>
      <c r="B34" s="1">
        <v>45296</v>
      </c>
      <c r="C34">
        <v>2024</v>
      </c>
      <c r="D34" t="s">
        <v>21</v>
      </c>
      <c r="E34" t="s">
        <v>22</v>
      </c>
      <c r="F34" t="s">
        <v>30</v>
      </c>
      <c r="G34" t="s">
        <v>39</v>
      </c>
      <c r="H34" t="s">
        <v>25</v>
      </c>
      <c r="I34" t="s">
        <v>40</v>
      </c>
      <c r="J34" t="s">
        <v>41</v>
      </c>
      <c r="K34" t="s">
        <v>32</v>
      </c>
      <c r="L34" s="2">
        <v>4.8</v>
      </c>
      <c r="M34" s="3">
        <v>996</v>
      </c>
      <c r="N34">
        <v>2</v>
      </c>
      <c r="O34">
        <v>2</v>
      </c>
      <c r="P34">
        <v>1</v>
      </c>
      <c r="Q34">
        <v>0</v>
      </c>
      <c r="R34" s="4">
        <v>70.94</v>
      </c>
      <c r="S34">
        <v>0</v>
      </c>
      <c r="T34">
        <v>1</v>
      </c>
    </row>
    <row r="35" spans="1:20" ht="16.5" x14ac:dyDescent="0.3">
      <c r="A35" t="s">
        <v>75</v>
      </c>
      <c r="B35" s="1">
        <v>45296</v>
      </c>
      <c r="C35">
        <v>2024</v>
      </c>
      <c r="D35" t="s">
        <v>21</v>
      </c>
      <c r="E35" t="s">
        <v>22</v>
      </c>
      <c r="F35" t="s">
        <v>34</v>
      </c>
      <c r="G35" t="s">
        <v>39</v>
      </c>
      <c r="H35" t="s">
        <v>36</v>
      </c>
      <c r="I35" t="s">
        <v>40</v>
      </c>
      <c r="J35" t="s">
        <v>27</v>
      </c>
      <c r="K35" t="s">
        <v>32</v>
      </c>
      <c r="L35" s="2">
        <v>7.1</v>
      </c>
      <c r="M35" s="3">
        <v>323</v>
      </c>
      <c r="N35">
        <v>1</v>
      </c>
      <c r="O35">
        <v>1</v>
      </c>
      <c r="P35">
        <v>1</v>
      </c>
      <c r="Q35">
        <v>0</v>
      </c>
      <c r="R35" s="4">
        <v>23.39</v>
      </c>
      <c r="S35">
        <v>0</v>
      </c>
      <c r="T35">
        <v>1</v>
      </c>
    </row>
    <row r="36" spans="1:20" ht="16.5" x14ac:dyDescent="0.3">
      <c r="A36" t="s">
        <v>76</v>
      </c>
      <c r="B36" s="1">
        <v>45296</v>
      </c>
      <c r="C36">
        <v>2024</v>
      </c>
      <c r="D36" t="s">
        <v>21</v>
      </c>
      <c r="E36" t="s">
        <v>22</v>
      </c>
      <c r="F36" t="s">
        <v>57</v>
      </c>
      <c r="G36" t="s">
        <v>24</v>
      </c>
      <c r="H36" t="s">
        <v>43</v>
      </c>
      <c r="I36" t="s">
        <v>26</v>
      </c>
      <c r="J36" t="s">
        <v>27</v>
      </c>
      <c r="K36" t="s">
        <v>32</v>
      </c>
      <c r="L36" s="2">
        <v>1.5</v>
      </c>
      <c r="M36" s="3">
        <v>965</v>
      </c>
      <c r="N36">
        <v>5</v>
      </c>
      <c r="O36">
        <v>5</v>
      </c>
      <c r="P36">
        <v>1</v>
      </c>
      <c r="Q36">
        <v>0</v>
      </c>
      <c r="R36" s="4">
        <v>17.79</v>
      </c>
      <c r="S36">
        <v>0</v>
      </c>
      <c r="T36">
        <v>1</v>
      </c>
    </row>
    <row r="37" spans="1:20" ht="16.5" x14ac:dyDescent="0.3">
      <c r="A37" t="s">
        <v>77</v>
      </c>
      <c r="B37" s="1">
        <v>45296</v>
      </c>
      <c r="C37">
        <v>2024</v>
      </c>
      <c r="D37" t="s">
        <v>21</v>
      </c>
      <c r="E37" t="s">
        <v>22</v>
      </c>
      <c r="F37" t="s">
        <v>57</v>
      </c>
      <c r="G37" t="s">
        <v>35</v>
      </c>
      <c r="H37" t="s">
        <v>36</v>
      </c>
      <c r="I37" t="s">
        <v>26</v>
      </c>
      <c r="J37" t="s">
        <v>27</v>
      </c>
      <c r="K37" t="s">
        <v>32</v>
      </c>
      <c r="L37" s="2">
        <v>3.9</v>
      </c>
      <c r="M37" s="3">
        <v>221</v>
      </c>
      <c r="N37">
        <v>3</v>
      </c>
      <c r="O37">
        <v>4</v>
      </c>
      <c r="P37">
        <v>0</v>
      </c>
      <c r="Q37">
        <v>1</v>
      </c>
      <c r="R37" s="4">
        <v>11.45</v>
      </c>
      <c r="S37">
        <v>0</v>
      </c>
      <c r="T37">
        <v>1</v>
      </c>
    </row>
    <row r="38" spans="1:20" ht="16.5" x14ac:dyDescent="0.3">
      <c r="A38" t="s">
        <v>78</v>
      </c>
      <c r="B38" s="1">
        <v>45296</v>
      </c>
      <c r="C38">
        <v>2024</v>
      </c>
      <c r="D38" t="s">
        <v>21</v>
      </c>
      <c r="E38" t="s">
        <v>22</v>
      </c>
      <c r="F38" t="s">
        <v>30</v>
      </c>
      <c r="G38" t="s">
        <v>39</v>
      </c>
      <c r="H38" t="s">
        <v>48</v>
      </c>
      <c r="I38" t="s">
        <v>26</v>
      </c>
      <c r="J38" t="s">
        <v>27</v>
      </c>
      <c r="K38" t="s">
        <v>28</v>
      </c>
      <c r="L38" s="2">
        <v>99.2</v>
      </c>
      <c r="M38" s="3">
        <v>529</v>
      </c>
      <c r="N38">
        <v>4</v>
      </c>
      <c r="O38">
        <v>3</v>
      </c>
      <c r="P38">
        <v>1</v>
      </c>
      <c r="Q38">
        <v>0</v>
      </c>
      <c r="R38" s="4">
        <v>59.41</v>
      </c>
      <c r="S38">
        <v>0</v>
      </c>
      <c r="T38">
        <v>1</v>
      </c>
    </row>
    <row r="39" spans="1:20" ht="16.5" x14ac:dyDescent="0.3">
      <c r="A39" t="s">
        <v>79</v>
      </c>
      <c r="B39" s="1">
        <v>45296</v>
      </c>
      <c r="C39">
        <v>2024</v>
      </c>
      <c r="D39" t="s">
        <v>21</v>
      </c>
      <c r="E39" t="s">
        <v>22</v>
      </c>
      <c r="F39" t="s">
        <v>57</v>
      </c>
      <c r="G39" t="s">
        <v>39</v>
      </c>
      <c r="H39" t="s">
        <v>51</v>
      </c>
      <c r="I39" t="s">
        <v>26</v>
      </c>
      <c r="J39" t="s">
        <v>27</v>
      </c>
      <c r="K39" t="s">
        <v>28</v>
      </c>
      <c r="L39" s="2">
        <v>46.4</v>
      </c>
      <c r="M39" s="3">
        <v>1089</v>
      </c>
      <c r="N39">
        <v>5</v>
      </c>
      <c r="O39">
        <v>4</v>
      </c>
      <c r="P39">
        <v>1</v>
      </c>
      <c r="Q39">
        <v>0</v>
      </c>
      <c r="R39" s="4">
        <v>42.49</v>
      </c>
      <c r="S39">
        <v>1</v>
      </c>
      <c r="T39">
        <v>1</v>
      </c>
    </row>
    <row r="40" spans="1:20" ht="16.5" x14ac:dyDescent="0.3">
      <c r="A40" t="s">
        <v>80</v>
      </c>
      <c r="B40" s="1">
        <v>45296</v>
      </c>
      <c r="C40">
        <v>2024</v>
      </c>
      <c r="D40" t="s">
        <v>21</v>
      </c>
      <c r="E40" t="s">
        <v>22</v>
      </c>
      <c r="F40" t="s">
        <v>57</v>
      </c>
      <c r="G40" t="s">
        <v>35</v>
      </c>
      <c r="H40" t="s">
        <v>48</v>
      </c>
      <c r="I40" t="s">
        <v>26</v>
      </c>
      <c r="J40" t="s">
        <v>27</v>
      </c>
      <c r="K40" t="s">
        <v>32</v>
      </c>
      <c r="L40" s="2">
        <v>12</v>
      </c>
      <c r="M40" s="3">
        <v>453</v>
      </c>
      <c r="N40">
        <v>4</v>
      </c>
      <c r="O40">
        <v>3</v>
      </c>
      <c r="P40">
        <v>1</v>
      </c>
      <c r="Q40">
        <v>0</v>
      </c>
      <c r="R40" s="4">
        <v>19.45</v>
      </c>
      <c r="S40">
        <v>0</v>
      </c>
      <c r="T40">
        <v>1</v>
      </c>
    </row>
    <row r="41" spans="1:20" ht="16.5" x14ac:dyDescent="0.3">
      <c r="A41" t="s">
        <v>81</v>
      </c>
      <c r="B41" s="1">
        <v>45297</v>
      </c>
      <c r="C41">
        <v>2024</v>
      </c>
      <c r="D41" t="s">
        <v>21</v>
      </c>
      <c r="E41" t="s">
        <v>22</v>
      </c>
      <c r="F41" t="s">
        <v>23</v>
      </c>
      <c r="G41" t="s">
        <v>39</v>
      </c>
      <c r="H41" t="s">
        <v>48</v>
      </c>
      <c r="I41" t="s">
        <v>31</v>
      </c>
      <c r="J41" t="s">
        <v>27</v>
      </c>
      <c r="K41" t="s">
        <v>32</v>
      </c>
      <c r="L41" s="2">
        <v>17.100000000000001</v>
      </c>
      <c r="M41" s="3">
        <v>380</v>
      </c>
      <c r="N41">
        <v>6</v>
      </c>
      <c r="O41">
        <v>7</v>
      </c>
      <c r="P41">
        <v>0</v>
      </c>
      <c r="Q41">
        <v>1</v>
      </c>
      <c r="R41" s="4">
        <v>16.09</v>
      </c>
      <c r="S41">
        <v>0</v>
      </c>
      <c r="T41">
        <v>1</v>
      </c>
    </row>
    <row r="42" spans="1:20" ht="16.5" x14ac:dyDescent="0.3">
      <c r="A42" t="s">
        <v>82</v>
      </c>
      <c r="B42" s="1">
        <v>45297</v>
      </c>
      <c r="C42">
        <v>2024</v>
      </c>
      <c r="D42" t="s">
        <v>21</v>
      </c>
      <c r="E42" t="s">
        <v>22</v>
      </c>
      <c r="F42" t="s">
        <v>34</v>
      </c>
      <c r="G42" t="s">
        <v>35</v>
      </c>
      <c r="H42" t="s">
        <v>51</v>
      </c>
      <c r="I42" t="s">
        <v>40</v>
      </c>
      <c r="J42" t="s">
        <v>41</v>
      </c>
      <c r="K42" t="s">
        <v>32</v>
      </c>
      <c r="L42" s="2">
        <v>14.7</v>
      </c>
      <c r="M42" s="3">
        <v>1094</v>
      </c>
      <c r="N42">
        <v>3</v>
      </c>
      <c r="O42">
        <v>3</v>
      </c>
      <c r="P42">
        <v>1</v>
      </c>
      <c r="Q42">
        <v>0</v>
      </c>
      <c r="R42" s="4">
        <v>70.2</v>
      </c>
      <c r="S42">
        <v>0</v>
      </c>
      <c r="T42">
        <v>1</v>
      </c>
    </row>
    <row r="43" spans="1:20" ht="16.5" x14ac:dyDescent="0.3">
      <c r="A43" t="s">
        <v>83</v>
      </c>
      <c r="B43" s="1">
        <v>45298</v>
      </c>
      <c r="C43">
        <v>2024</v>
      </c>
      <c r="D43" t="s">
        <v>21</v>
      </c>
      <c r="E43" t="s">
        <v>22</v>
      </c>
      <c r="F43" t="s">
        <v>38</v>
      </c>
      <c r="G43" t="s">
        <v>24</v>
      </c>
      <c r="H43" t="s">
        <v>25</v>
      </c>
      <c r="I43" t="s">
        <v>26</v>
      </c>
      <c r="J43" t="s">
        <v>27</v>
      </c>
      <c r="K43" t="s">
        <v>28</v>
      </c>
      <c r="L43" s="2">
        <v>80.900000000000006</v>
      </c>
      <c r="M43" s="3">
        <v>1123</v>
      </c>
      <c r="N43">
        <v>4</v>
      </c>
      <c r="O43">
        <v>4</v>
      </c>
      <c r="P43">
        <v>1</v>
      </c>
      <c r="Q43">
        <v>0</v>
      </c>
      <c r="R43" s="4">
        <v>62</v>
      </c>
      <c r="S43">
        <v>0</v>
      </c>
      <c r="T43">
        <v>1</v>
      </c>
    </row>
    <row r="44" spans="1:20" ht="16.5" x14ac:dyDescent="0.3">
      <c r="A44" t="s">
        <v>84</v>
      </c>
      <c r="B44" s="1">
        <v>45298</v>
      </c>
      <c r="C44">
        <v>2024</v>
      </c>
      <c r="D44" t="s">
        <v>21</v>
      </c>
      <c r="E44" t="s">
        <v>22</v>
      </c>
      <c r="F44" t="s">
        <v>57</v>
      </c>
      <c r="G44" t="s">
        <v>35</v>
      </c>
      <c r="H44" t="s">
        <v>43</v>
      </c>
      <c r="I44" t="s">
        <v>31</v>
      </c>
      <c r="J44" t="s">
        <v>27</v>
      </c>
      <c r="K44" t="s">
        <v>28</v>
      </c>
      <c r="L44" s="2">
        <v>60</v>
      </c>
      <c r="M44" s="3">
        <v>1025</v>
      </c>
      <c r="N44">
        <v>7</v>
      </c>
      <c r="O44">
        <v>7</v>
      </c>
      <c r="P44">
        <v>1</v>
      </c>
      <c r="Q44">
        <v>0</v>
      </c>
      <c r="R44" s="4">
        <v>31.62</v>
      </c>
      <c r="S44">
        <v>0</v>
      </c>
      <c r="T44">
        <v>1</v>
      </c>
    </row>
    <row r="45" spans="1:20" ht="16.5" x14ac:dyDescent="0.3">
      <c r="A45" t="s">
        <v>85</v>
      </c>
      <c r="B45" s="1">
        <v>45298</v>
      </c>
      <c r="C45">
        <v>2024</v>
      </c>
      <c r="D45" t="s">
        <v>21</v>
      </c>
      <c r="E45" t="s">
        <v>22</v>
      </c>
      <c r="F45" t="s">
        <v>57</v>
      </c>
      <c r="G45" t="s">
        <v>35</v>
      </c>
      <c r="H45" t="s">
        <v>36</v>
      </c>
      <c r="I45" t="s">
        <v>26</v>
      </c>
      <c r="J45" t="s">
        <v>27</v>
      </c>
      <c r="K45" t="s">
        <v>28</v>
      </c>
      <c r="L45" s="2">
        <v>105.5</v>
      </c>
      <c r="M45" s="3">
        <v>312</v>
      </c>
      <c r="N45">
        <v>3</v>
      </c>
      <c r="O45">
        <v>3</v>
      </c>
      <c r="P45">
        <v>1</v>
      </c>
      <c r="Q45">
        <v>0</v>
      </c>
      <c r="R45" s="4">
        <v>62.66</v>
      </c>
      <c r="S45">
        <v>0</v>
      </c>
      <c r="T45">
        <v>1</v>
      </c>
    </row>
    <row r="46" spans="1:20" ht="16.5" x14ac:dyDescent="0.3">
      <c r="A46" t="s">
        <v>86</v>
      </c>
      <c r="B46" s="1">
        <v>45299</v>
      </c>
      <c r="C46">
        <v>2024</v>
      </c>
      <c r="D46" t="s">
        <v>21</v>
      </c>
      <c r="E46" t="s">
        <v>22</v>
      </c>
      <c r="F46" t="s">
        <v>38</v>
      </c>
      <c r="G46" t="s">
        <v>24</v>
      </c>
      <c r="H46" t="s">
        <v>51</v>
      </c>
      <c r="I46" t="s">
        <v>26</v>
      </c>
      <c r="J46" t="s">
        <v>27</v>
      </c>
      <c r="K46" t="s">
        <v>32</v>
      </c>
      <c r="L46" s="2">
        <v>18.600000000000001</v>
      </c>
      <c r="M46" s="3">
        <v>1306</v>
      </c>
      <c r="N46">
        <v>5</v>
      </c>
      <c r="O46">
        <v>5</v>
      </c>
      <c r="P46">
        <v>1</v>
      </c>
      <c r="Q46">
        <v>0</v>
      </c>
      <c r="R46" s="4">
        <v>35.33</v>
      </c>
      <c r="S46">
        <v>0</v>
      </c>
      <c r="T46">
        <v>1</v>
      </c>
    </row>
    <row r="47" spans="1:20" ht="16.5" x14ac:dyDescent="0.3">
      <c r="A47" t="s">
        <v>87</v>
      </c>
      <c r="B47" s="1">
        <v>45299</v>
      </c>
      <c r="C47">
        <v>2024</v>
      </c>
      <c r="D47" t="s">
        <v>21</v>
      </c>
      <c r="E47" t="s">
        <v>22</v>
      </c>
      <c r="F47" t="s">
        <v>34</v>
      </c>
      <c r="G47" t="s">
        <v>24</v>
      </c>
      <c r="H47" t="s">
        <v>43</v>
      </c>
      <c r="I47" t="s">
        <v>26</v>
      </c>
      <c r="J47" t="s">
        <v>27</v>
      </c>
      <c r="K47" t="s">
        <v>32</v>
      </c>
      <c r="L47" s="2">
        <v>5</v>
      </c>
      <c r="M47" s="3">
        <v>1078</v>
      </c>
      <c r="N47">
        <v>5</v>
      </c>
      <c r="O47">
        <v>5</v>
      </c>
      <c r="P47">
        <v>1</v>
      </c>
      <c r="Q47">
        <v>0</v>
      </c>
      <c r="R47" s="4">
        <v>18.440000000000001</v>
      </c>
      <c r="S47">
        <v>0</v>
      </c>
      <c r="T47">
        <v>1</v>
      </c>
    </row>
    <row r="48" spans="1:20" ht="16.5" x14ac:dyDescent="0.3">
      <c r="A48" t="s">
        <v>88</v>
      </c>
      <c r="B48" s="1">
        <v>45299</v>
      </c>
      <c r="C48">
        <v>2024</v>
      </c>
      <c r="D48" t="s">
        <v>21</v>
      </c>
      <c r="E48" t="s">
        <v>22</v>
      </c>
      <c r="F48" t="s">
        <v>30</v>
      </c>
      <c r="G48" t="s">
        <v>24</v>
      </c>
      <c r="H48" t="s">
        <v>51</v>
      </c>
      <c r="I48" t="s">
        <v>26</v>
      </c>
      <c r="J48" t="s">
        <v>27</v>
      </c>
      <c r="K48" t="s">
        <v>32</v>
      </c>
      <c r="L48" s="2">
        <v>7.7</v>
      </c>
      <c r="M48" s="3">
        <v>696</v>
      </c>
      <c r="N48">
        <v>5</v>
      </c>
      <c r="O48">
        <v>5</v>
      </c>
      <c r="P48">
        <v>1</v>
      </c>
      <c r="Q48">
        <v>0</v>
      </c>
      <c r="R48" s="4">
        <v>20.43</v>
      </c>
      <c r="S48">
        <v>0</v>
      </c>
      <c r="T48">
        <v>1</v>
      </c>
    </row>
    <row r="49" spans="1:20" ht="16.5" x14ac:dyDescent="0.3">
      <c r="A49" t="s">
        <v>89</v>
      </c>
      <c r="B49" s="1">
        <v>45299</v>
      </c>
      <c r="C49">
        <v>2024</v>
      </c>
      <c r="D49" t="s">
        <v>21</v>
      </c>
      <c r="E49" t="s">
        <v>22</v>
      </c>
      <c r="F49" t="s">
        <v>38</v>
      </c>
      <c r="G49" t="s">
        <v>24</v>
      </c>
      <c r="H49" t="s">
        <v>43</v>
      </c>
      <c r="I49" t="s">
        <v>40</v>
      </c>
      <c r="J49" t="s">
        <v>41</v>
      </c>
      <c r="K49" t="s">
        <v>28</v>
      </c>
      <c r="L49" s="2">
        <v>10.5</v>
      </c>
      <c r="M49" s="3">
        <v>911</v>
      </c>
      <c r="N49">
        <v>3</v>
      </c>
      <c r="O49">
        <v>4</v>
      </c>
      <c r="P49">
        <v>0</v>
      </c>
      <c r="Q49">
        <v>1</v>
      </c>
      <c r="R49" s="4">
        <v>79.180000000000007</v>
      </c>
      <c r="S49">
        <v>0</v>
      </c>
      <c r="T49">
        <v>1</v>
      </c>
    </row>
    <row r="50" spans="1:20" ht="16.5" x14ac:dyDescent="0.3">
      <c r="A50" t="s">
        <v>90</v>
      </c>
      <c r="B50" s="1">
        <v>45299</v>
      </c>
      <c r="C50">
        <v>2024</v>
      </c>
      <c r="D50" t="s">
        <v>21</v>
      </c>
      <c r="E50" t="s">
        <v>22</v>
      </c>
      <c r="F50" t="s">
        <v>38</v>
      </c>
      <c r="G50" t="s">
        <v>39</v>
      </c>
      <c r="H50" t="s">
        <v>36</v>
      </c>
      <c r="I50" t="s">
        <v>40</v>
      </c>
      <c r="J50" t="s">
        <v>27</v>
      </c>
      <c r="K50" t="s">
        <v>28</v>
      </c>
      <c r="L50" s="2">
        <v>57.5</v>
      </c>
      <c r="M50" s="3">
        <v>270</v>
      </c>
      <c r="N50">
        <v>1</v>
      </c>
      <c r="O50">
        <v>4</v>
      </c>
      <c r="P50">
        <v>0</v>
      </c>
      <c r="Q50">
        <v>3</v>
      </c>
      <c r="R50" s="4">
        <v>82.84</v>
      </c>
      <c r="S50">
        <v>0</v>
      </c>
      <c r="T50">
        <v>1</v>
      </c>
    </row>
    <row r="51" spans="1:20" ht="16.5" x14ac:dyDescent="0.3">
      <c r="A51" t="s">
        <v>91</v>
      </c>
      <c r="B51" s="1">
        <v>45299</v>
      </c>
      <c r="C51">
        <v>2024</v>
      </c>
      <c r="D51" t="s">
        <v>21</v>
      </c>
      <c r="E51" t="s">
        <v>22</v>
      </c>
      <c r="F51" t="s">
        <v>38</v>
      </c>
      <c r="G51" t="s">
        <v>39</v>
      </c>
      <c r="H51" t="s">
        <v>51</v>
      </c>
      <c r="I51" t="s">
        <v>40</v>
      </c>
      <c r="J51" t="s">
        <v>41</v>
      </c>
      <c r="K51" t="s">
        <v>32</v>
      </c>
      <c r="L51" s="2">
        <v>13.5</v>
      </c>
      <c r="M51" s="3">
        <v>891</v>
      </c>
      <c r="N51">
        <v>3</v>
      </c>
      <c r="O51">
        <v>2</v>
      </c>
      <c r="P51">
        <v>1</v>
      </c>
      <c r="Q51">
        <v>0</v>
      </c>
      <c r="R51" s="4">
        <v>85.95</v>
      </c>
      <c r="S51">
        <v>0</v>
      </c>
      <c r="T51">
        <v>1</v>
      </c>
    </row>
    <row r="52" spans="1:20" ht="16.5" x14ac:dyDescent="0.3">
      <c r="A52" t="s">
        <v>92</v>
      </c>
      <c r="B52" s="1">
        <v>45299</v>
      </c>
      <c r="C52">
        <v>2024</v>
      </c>
      <c r="D52" t="s">
        <v>21</v>
      </c>
      <c r="E52" t="s">
        <v>22</v>
      </c>
      <c r="F52" t="s">
        <v>38</v>
      </c>
      <c r="G52" t="s">
        <v>35</v>
      </c>
      <c r="H52" t="s">
        <v>25</v>
      </c>
      <c r="I52" t="s">
        <v>40</v>
      </c>
      <c r="J52" t="s">
        <v>41</v>
      </c>
      <c r="K52" t="s">
        <v>28</v>
      </c>
      <c r="L52" s="2">
        <v>69.400000000000006</v>
      </c>
      <c r="M52" s="3">
        <v>969</v>
      </c>
      <c r="N52">
        <v>2</v>
      </c>
      <c r="O52">
        <v>2</v>
      </c>
      <c r="P52">
        <v>1</v>
      </c>
      <c r="Q52">
        <v>0</v>
      </c>
      <c r="R52" s="4">
        <v>161.26</v>
      </c>
      <c r="S52">
        <v>0</v>
      </c>
      <c r="T52">
        <v>1</v>
      </c>
    </row>
    <row r="53" spans="1:20" ht="16.5" x14ac:dyDescent="0.3">
      <c r="A53" t="s">
        <v>93</v>
      </c>
      <c r="B53" s="1">
        <v>45299</v>
      </c>
      <c r="C53">
        <v>2024</v>
      </c>
      <c r="D53" t="s">
        <v>21</v>
      </c>
      <c r="E53" t="s">
        <v>22</v>
      </c>
      <c r="F53" t="s">
        <v>34</v>
      </c>
      <c r="G53" t="s">
        <v>35</v>
      </c>
      <c r="H53" t="s">
        <v>25</v>
      </c>
      <c r="I53" t="s">
        <v>26</v>
      </c>
      <c r="J53" t="s">
        <v>27</v>
      </c>
      <c r="K53" t="s">
        <v>32</v>
      </c>
      <c r="L53" s="2">
        <v>1.9</v>
      </c>
      <c r="M53" s="3">
        <v>1230</v>
      </c>
      <c r="N53">
        <v>4</v>
      </c>
      <c r="O53">
        <v>6</v>
      </c>
      <c r="P53">
        <v>0</v>
      </c>
      <c r="Q53">
        <v>2</v>
      </c>
      <c r="R53" s="4">
        <v>20.52</v>
      </c>
      <c r="S53">
        <v>0</v>
      </c>
      <c r="T53">
        <v>1</v>
      </c>
    </row>
    <row r="54" spans="1:20" ht="16.5" x14ac:dyDescent="0.3">
      <c r="A54" t="s">
        <v>94</v>
      </c>
      <c r="B54" s="1">
        <v>45300</v>
      </c>
      <c r="C54">
        <v>2024</v>
      </c>
      <c r="D54" t="s">
        <v>21</v>
      </c>
      <c r="E54" t="s">
        <v>22</v>
      </c>
      <c r="F54" t="s">
        <v>23</v>
      </c>
      <c r="G54" t="s">
        <v>39</v>
      </c>
      <c r="H54" t="s">
        <v>48</v>
      </c>
      <c r="I54" t="s">
        <v>40</v>
      </c>
      <c r="J54" t="s">
        <v>27</v>
      </c>
      <c r="K54" t="s">
        <v>28</v>
      </c>
      <c r="L54" s="2">
        <v>162.19999999999999</v>
      </c>
      <c r="M54" s="3">
        <v>588</v>
      </c>
      <c r="N54">
        <v>2</v>
      </c>
      <c r="O54">
        <v>1</v>
      </c>
      <c r="P54">
        <v>1</v>
      </c>
      <c r="Q54">
        <v>0</v>
      </c>
      <c r="R54" s="4">
        <v>163.33000000000001</v>
      </c>
      <c r="S54">
        <v>0</v>
      </c>
      <c r="T54">
        <v>1</v>
      </c>
    </row>
    <row r="55" spans="1:20" ht="16.5" x14ac:dyDescent="0.3">
      <c r="A55" t="s">
        <v>95</v>
      </c>
      <c r="B55" s="1">
        <v>45300</v>
      </c>
      <c r="C55">
        <v>2024</v>
      </c>
      <c r="D55" t="s">
        <v>21</v>
      </c>
      <c r="E55" t="s">
        <v>22</v>
      </c>
      <c r="F55" t="s">
        <v>23</v>
      </c>
      <c r="G55" t="s">
        <v>39</v>
      </c>
      <c r="H55" t="s">
        <v>36</v>
      </c>
      <c r="I55" t="s">
        <v>31</v>
      </c>
      <c r="J55" t="s">
        <v>27</v>
      </c>
      <c r="K55" t="s">
        <v>28</v>
      </c>
      <c r="L55" s="2">
        <v>43.1</v>
      </c>
      <c r="M55" s="3">
        <v>248</v>
      </c>
      <c r="N55">
        <v>5</v>
      </c>
      <c r="O55">
        <v>5</v>
      </c>
      <c r="P55">
        <v>1</v>
      </c>
      <c r="Q55">
        <v>0</v>
      </c>
      <c r="R55" s="4">
        <v>21.33</v>
      </c>
      <c r="S55">
        <v>0</v>
      </c>
      <c r="T55">
        <v>1</v>
      </c>
    </row>
    <row r="56" spans="1:20" ht="16.5" x14ac:dyDescent="0.3">
      <c r="A56" t="s">
        <v>96</v>
      </c>
      <c r="B56" s="1">
        <v>45300</v>
      </c>
      <c r="C56">
        <v>2024</v>
      </c>
      <c r="D56" t="s">
        <v>21</v>
      </c>
      <c r="E56" t="s">
        <v>22</v>
      </c>
      <c r="F56" t="s">
        <v>34</v>
      </c>
      <c r="G56" t="s">
        <v>39</v>
      </c>
      <c r="H56" t="s">
        <v>25</v>
      </c>
      <c r="I56" t="s">
        <v>40</v>
      </c>
      <c r="J56" t="s">
        <v>41</v>
      </c>
      <c r="K56" t="s">
        <v>28</v>
      </c>
      <c r="L56" s="2">
        <v>114.2</v>
      </c>
      <c r="M56" s="3">
        <v>859</v>
      </c>
      <c r="N56">
        <v>2</v>
      </c>
      <c r="O56">
        <v>1</v>
      </c>
      <c r="P56">
        <v>1</v>
      </c>
      <c r="Q56">
        <v>0</v>
      </c>
      <c r="R56" s="4">
        <v>163.59</v>
      </c>
      <c r="S56">
        <v>0</v>
      </c>
      <c r="T56">
        <v>1</v>
      </c>
    </row>
    <row r="57" spans="1:20" ht="16.5" x14ac:dyDescent="0.3">
      <c r="A57" t="s">
        <v>97</v>
      </c>
      <c r="B57" s="1">
        <v>45300</v>
      </c>
      <c r="C57">
        <v>2024</v>
      </c>
      <c r="D57" t="s">
        <v>21</v>
      </c>
      <c r="E57" t="s">
        <v>22</v>
      </c>
      <c r="F57" t="s">
        <v>57</v>
      </c>
      <c r="G57" t="s">
        <v>24</v>
      </c>
      <c r="H57" t="s">
        <v>36</v>
      </c>
      <c r="I57" t="s">
        <v>40</v>
      </c>
      <c r="J57" t="s">
        <v>27</v>
      </c>
      <c r="K57" t="s">
        <v>32</v>
      </c>
      <c r="L57" s="2">
        <v>3.8</v>
      </c>
      <c r="M57" s="3">
        <v>293</v>
      </c>
      <c r="N57">
        <v>1</v>
      </c>
      <c r="O57">
        <v>1</v>
      </c>
      <c r="P57">
        <v>1</v>
      </c>
      <c r="Q57">
        <v>0</v>
      </c>
      <c r="R57" s="4">
        <v>22.26</v>
      </c>
      <c r="S57">
        <v>0</v>
      </c>
      <c r="T57">
        <v>1</v>
      </c>
    </row>
    <row r="58" spans="1:20" ht="16.5" x14ac:dyDescent="0.3">
      <c r="A58" t="s">
        <v>98</v>
      </c>
      <c r="B58" s="1">
        <v>45300</v>
      </c>
      <c r="C58">
        <v>2024</v>
      </c>
      <c r="D58" t="s">
        <v>21</v>
      </c>
      <c r="E58" t="s">
        <v>22</v>
      </c>
      <c r="F58" t="s">
        <v>38</v>
      </c>
      <c r="G58" t="s">
        <v>35</v>
      </c>
      <c r="H58" t="s">
        <v>25</v>
      </c>
      <c r="I58" t="s">
        <v>26</v>
      </c>
      <c r="J58" t="s">
        <v>27</v>
      </c>
      <c r="K58" t="s">
        <v>32</v>
      </c>
      <c r="L58" s="2">
        <v>7.6</v>
      </c>
      <c r="M58" s="3">
        <v>874</v>
      </c>
      <c r="N58">
        <v>4</v>
      </c>
      <c r="O58">
        <v>4</v>
      </c>
      <c r="P58">
        <v>1</v>
      </c>
      <c r="Q58">
        <v>0</v>
      </c>
      <c r="R58" s="4">
        <v>22.85</v>
      </c>
      <c r="S58">
        <v>0</v>
      </c>
      <c r="T58">
        <v>1</v>
      </c>
    </row>
    <row r="59" spans="1:20" ht="16.5" x14ac:dyDescent="0.3">
      <c r="A59" t="s">
        <v>99</v>
      </c>
      <c r="B59" s="1">
        <v>45300</v>
      </c>
      <c r="C59">
        <v>2024</v>
      </c>
      <c r="D59" t="s">
        <v>21</v>
      </c>
      <c r="E59" t="s">
        <v>22</v>
      </c>
      <c r="F59" t="s">
        <v>34</v>
      </c>
      <c r="G59" t="s">
        <v>24</v>
      </c>
      <c r="H59" t="s">
        <v>25</v>
      </c>
      <c r="I59" t="s">
        <v>40</v>
      </c>
      <c r="J59" t="s">
        <v>41</v>
      </c>
      <c r="K59" t="s">
        <v>32</v>
      </c>
      <c r="L59" s="2">
        <v>2.6</v>
      </c>
      <c r="M59" s="3">
        <v>830</v>
      </c>
      <c r="N59">
        <v>2</v>
      </c>
      <c r="O59">
        <v>4</v>
      </c>
      <c r="P59">
        <v>0</v>
      </c>
      <c r="Q59">
        <v>2</v>
      </c>
      <c r="R59" s="4">
        <v>49.91</v>
      </c>
      <c r="S59">
        <v>0</v>
      </c>
      <c r="T59">
        <v>1</v>
      </c>
    </row>
    <row r="60" spans="1:20" ht="16.5" x14ac:dyDescent="0.3">
      <c r="A60" t="s">
        <v>100</v>
      </c>
      <c r="B60" s="1">
        <v>45301</v>
      </c>
      <c r="C60">
        <v>2024</v>
      </c>
      <c r="D60" t="s">
        <v>21</v>
      </c>
      <c r="E60" t="s">
        <v>22</v>
      </c>
      <c r="F60" t="s">
        <v>23</v>
      </c>
      <c r="G60" t="s">
        <v>35</v>
      </c>
      <c r="H60" t="s">
        <v>36</v>
      </c>
      <c r="I60" t="s">
        <v>26</v>
      </c>
      <c r="J60" t="s">
        <v>27</v>
      </c>
      <c r="K60" t="s">
        <v>28</v>
      </c>
      <c r="L60" s="2">
        <v>103.2</v>
      </c>
      <c r="M60" s="3">
        <v>228</v>
      </c>
      <c r="N60">
        <v>3</v>
      </c>
      <c r="O60">
        <v>3</v>
      </c>
      <c r="P60">
        <v>1</v>
      </c>
      <c r="Q60">
        <v>0</v>
      </c>
      <c r="R60" s="4">
        <v>51.91</v>
      </c>
      <c r="S60">
        <v>0</v>
      </c>
      <c r="T60">
        <v>1</v>
      </c>
    </row>
    <row r="61" spans="1:20" ht="16.5" x14ac:dyDescent="0.3">
      <c r="A61" t="s">
        <v>101</v>
      </c>
      <c r="B61" s="1">
        <v>45301</v>
      </c>
      <c r="C61">
        <v>2024</v>
      </c>
      <c r="D61" t="s">
        <v>21</v>
      </c>
      <c r="E61" t="s">
        <v>22</v>
      </c>
      <c r="F61" t="s">
        <v>38</v>
      </c>
      <c r="G61" t="s">
        <v>24</v>
      </c>
      <c r="H61" t="s">
        <v>51</v>
      </c>
      <c r="I61" t="s">
        <v>26</v>
      </c>
      <c r="J61" t="s">
        <v>27</v>
      </c>
      <c r="K61" t="s">
        <v>28</v>
      </c>
      <c r="L61" s="2">
        <v>64.400000000000006</v>
      </c>
      <c r="M61" s="3">
        <v>1073</v>
      </c>
      <c r="N61">
        <v>5</v>
      </c>
      <c r="O61">
        <v>10</v>
      </c>
      <c r="P61">
        <v>0</v>
      </c>
      <c r="Q61">
        <v>5</v>
      </c>
      <c r="R61" s="4">
        <v>54.99</v>
      </c>
      <c r="S61">
        <v>0</v>
      </c>
      <c r="T61">
        <v>1</v>
      </c>
    </row>
    <row r="62" spans="1:20" ht="16.5" x14ac:dyDescent="0.3">
      <c r="A62" t="s">
        <v>102</v>
      </c>
      <c r="B62" s="1">
        <v>45301</v>
      </c>
      <c r="C62">
        <v>2024</v>
      </c>
      <c r="D62" t="s">
        <v>21</v>
      </c>
      <c r="E62" t="s">
        <v>22</v>
      </c>
      <c r="F62" t="s">
        <v>38</v>
      </c>
      <c r="G62" t="s">
        <v>24</v>
      </c>
      <c r="H62" t="s">
        <v>48</v>
      </c>
      <c r="I62" t="s">
        <v>40</v>
      </c>
      <c r="J62" t="s">
        <v>27</v>
      </c>
      <c r="K62" t="s">
        <v>32</v>
      </c>
      <c r="L62" s="2">
        <v>2</v>
      </c>
      <c r="M62" s="3">
        <v>527</v>
      </c>
      <c r="N62">
        <v>2</v>
      </c>
      <c r="O62">
        <v>2</v>
      </c>
      <c r="P62">
        <v>1</v>
      </c>
      <c r="Q62">
        <v>0</v>
      </c>
      <c r="R62" s="4">
        <v>28.92</v>
      </c>
      <c r="S62">
        <v>0</v>
      </c>
      <c r="T62">
        <v>1</v>
      </c>
    </row>
    <row r="63" spans="1:20" ht="16.5" x14ac:dyDescent="0.3">
      <c r="A63" t="s">
        <v>103</v>
      </c>
      <c r="B63" s="1">
        <v>45301</v>
      </c>
      <c r="C63">
        <v>2024</v>
      </c>
      <c r="D63" t="s">
        <v>21</v>
      </c>
      <c r="E63" t="s">
        <v>22</v>
      </c>
      <c r="F63" t="s">
        <v>57</v>
      </c>
      <c r="G63" t="s">
        <v>39</v>
      </c>
      <c r="H63" t="s">
        <v>51</v>
      </c>
      <c r="I63" t="s">
        <v>40</v>
      </c>
      <c r="J63" t="s">
        <v>41</v>
      </c>
      <c r="K63" t="s">
        <v>28</v>
      </c>
      <c r="L63" s="2">
        <v>178.7</v>
      </c>
      <c r="M63" s="3">
        <v>1261</v>
      </c>
      <c r="N63">
        <v>3</v>
      </c>
      <c r="O63">
        <v>3</v>
      </c>
      <c r="P63">
        <v>1</v>
      </c>
      <c r="Q63">
        <v>0</v>
      </c>
      <c r="R63" s="4">
        <v>267.24</v>
      </c>
      <c r="S63">
        <v>0</v>
      </c>
      <c r="T63">
        <v>1</v>
      </c>
    </row>
    <row r="64" spans="1:20" ht="16.5" x14ac:dyDescent="0.3">
      <c r="A64" t="s">
        <v>104</v>
      </c>
      <c r="B64" s="1">
        <v>45301</v>
      </c>
      <c r="C64">
        <v>2024</v>
      </c>
      <c r="D64" t="s">
        <v>21</v>
      </c>
      <c r="E64" t="s">
        <v>22</v>
      </c>
      <c r="F64" t="s">
        <v>34</v>
      </c>
      <c r="G64" t="s">
        <v>39</v>
      </c>
      <c r="H64" t="s">
        <v>25</v>
      </c>
      <c r="I64" t="s">
        <v>31</v>
      </c>
      <c r="J64" t="s">
        <v>27</v>
      </c>
      <c r="K64" t="s">
        <v>32</v>
      </c>
      <c r="L64" s="2">
        <v>10.7</v>
      </c>
      <c r="M64" s="3">
        <v>784</v>
      </c>
      <c r="N64">
        <v>6</v>
      </c>
      <c r="O64">
        <v>8</v>
      </c>
      <c r="P64">
        <v>0</v>
      </c>
      <c r="Q64">
        <v>2</v>
      </c>
      <c r="R64" s="4">
        <v>14.72</v>
      </c>
      <c r="S64">
        <v>0</v>
      </c>
      <c r="T64">
        <v>1</v>
      </c>
    </row>
    <row r="65" spans="1:20" ht="16.5" x14ac:dyDescent="0.3">
      <c r="A65" t="s">
        <v>105</v>
      </c>
      <c r="B65" s="1">
        <v>45301</v>
      </c>
      <c r="C65">
        <v>2024</v>
      </c>
      <c r="D65" t="s">
        <v>21</v>
      </c>
      <c r="E65" t="s">
        <v>22</v>
      </c>
      <c r="F65" t="s">
        <v>34</v>
      </c>
      <c r="G65" t="s">
        <v>24</v>
      </c>
      <c r="H65" t="s">
        <v>51</v>
      </c>
      <c r="I65" t="s">
        <v>31</v>
      </c>
      <c r="J65" t="s">
        <v>27</v>
      </c>
      <c r="K65" t="s">
        <v>32</v>
      </c>
      <c r="L65" s="2">
        <v>1.2</v>
      </c>
      <c r="M65" s="3">
        <v>876</v>
      </c>
      <c r="N65">
        <v>7</v>
      </c>
      <c r="O65">
        <v>7</v>
      </c>
      <c r="P65">
        <v>1</v>
      </c>
      <c r="Q65">
        <v>0</v>
      </c>
      <c r="R65" s="4">
        <v>11.3</v>
      </c>
      <c r="S65">
        <v>0</v>
      </c>
      <c r="T65">
        <v>1</v>
      </c>
    </row>
    <row r="66" spans="1:20" ht="16.5" x14ac:dyDescent="0.3">
      <c r="A66" t="s">
        <v>106</v>
      </c>
      <c r="B66" s="1">
        <v>45301</v>
      </c>
      <c r="C66">
        <v>2024</v>
      </c>
      <c r="D66" t="s">
        <v>21</v>
      </c>
      <c r="E66" t="s">
        <v>22</v>
      </c>
      <c r="F66" t="s">
        <v>57</v>
      </c>
      <c r="G66" t="s">
        <v>35</v>
      </c>
      <c r="H66" t="s">
        <v>36</v>
      </c>
      <c r="I66" t="s">
        <v>31</v>
      </c>
      <c r="J66" t="s">
        <v>27</v>
      </c>
      <c r="K66" t="s">
        <v>28</v>
      </c>
      <c r="L66" s="2">
        <v>97</v>
      </c>
      <c r="M66" s="3">
        <v>253</v>
      </c>
      <c r="N66">
        <v>5</v>
      </c>
      <c r="O66">
        <v>5</v>
      </c>
      <c r="P66">
        <v>1</v>
      </c>
      <c r="Q66">
        <v>0</v>
      </c>
      <c r="R66" s="4">
        <v>42.16</v>
      </c>
      <c r="S66">
        <v>0</v>
      </c>
      <c r="T66">
        <v>1</v>
      </c>
    </row>
    <row r="67" spans="1:20" ht="16.5" x14ac:dyDescent="0.3">
      <c r="A67" t="s">
        <v>107</v>
      </c>
      <c r="B67" s="1">
        <v>45301</v>
      </c>
      <c r="C67">
        <v>2024</v>
      </c>
      <c r="D67" t="s">
        <v>21</v>
      </c>
      <c r="E67" t="s">
        <v>22</v>
      </c>
      <c r="F67" t="s">
        <v>34</v>
      </c>
      <c r="G67" t="s">
        <v>24</v>
      </c>
      <c r="H67" t="s">
        <v>36</v>
      </c>
      <c r="I67" t="s">
        <v>31</v>
      </c>
      <c r="J67" t="s">
        <v>27</v>
      </c>
      <c r="K67" t="s">
        <v>32</v>
      </c>
      <c r="L67" s="2">
        <v>7.4</v>
      </c>
      <c r="M67" s="3">
        <v>312</v>
      </c>
      <c r="N67">
        <v>5</v>
      </c>
      <c r="O67">
        <v>5</v>
      </c>
      <c r="P67">
        <v>1</v>
      </c>
      <c r="Q67">
        <v>0</v>
      </c>
      <c r="R67" s="4">
        <v>8.9700000000000006</v>
      </c>
      <c r="S67">
        <v>0</v>
      </c>
      <c r="T67">
        <v>1</v>
      </c>
    </row>
    <row r="68" spans="1:20" ht="16.5" x14ac:dyDescent="0.3">
      <c r="A68" t="s">
        <v>108</v>
      </c>
      <c r="B68" s="1">
        <v>45302</v>
      </c>
      <c r="C68">
        <v>2024</v>
      </c>
      <c r="D68" t="s">
        <v>21</v>
      </c>
      <c r="E68" t="s">
        <v>22</v>
      </c>
      <c r="F68" t="s">
        <v>57</v>
      </c>
      <c r="G68" t="s">
        <v>39</v>
      </c>
      <c r="H68" t="s">
        <v>36</v>
      </c>
      <c r="I68" t="s">
        <v>26</v>
      </c>
      <c r="J68" t="s">
        <v>27</v>
      </c>
      <c r="K68" t="s">
        <v>32</v>
      </c>
      <c r="L68" s="2">
        <v>9</v>
      </c>
      <c r="M68" s="3">
        <v>218</v>
      </c>
      <c r="N68">
        <v>3</v>
      </c>
      <c r="O68">
        <v>3</v>
      </c>
      <c r="P68">
        <v>1</v>
      </c>
      <c r="Q68">
        <v>0</v>
      </c>
      <c r="R68" s="4">
        <v>13.87</v>
      </c>
      <c r="S68">
        <v>0</v>
      </c>
      <c r="T68">
        <v>1</v>
      </c>
    </row>
    <row r="69" spans="1:20" ht="16.5" x14ac:dyDescent="0.3">
      <c r="A69" t="s">
        <v>109</v>
      </c>
      <c r="B69" s="1">
        <v>45302</v>
      </c>
      <c r="C69">
        <v>2024</v>
      </c>
      <c r="D69" t="s">
        <v>21</v>
      </c>
      <c r="E69" t="s">
        <v>22</v>
      </c>
      <c r="F69" t="s">
        <v>34</v>
      </c>
      <c r="G69" t="s">
        <v>35</v>
      </c>
      <c r="H69" t="s">
        <v>48</v>
      </c>
      <c r="I69" t="s">
        <v>26</v>
      </c>
      <c r="J69" t="s">
        <v>27</v>
      </c>
      <c r="K69" t="s">
        <v>28</v>
      </c>
      <c r="L69" s="2">
        <v>80.7</v>
      </c>
      <c r="M69" s="3">
        <v>498</v>
      </c>
      <c r="N69">
        <v>4</v>
      </c>
      <c r="O69">
        <v>4</v>
      </c>
      <c r="P69">
        <v>1</v>
      </c>
      <c r="Q69">
        <v>0</v>
      </c>
      <c r="R69" s="4">
        <v>38.119999999999997</v>
      </c>
      <c r="S69">
        <v>0</v>
      </c>
      <c r="T69">
        <v>1</v>
      </c>
    </row>
    <row r="70" spans="1:20" ht="16.5" x14ac:dyDescent="0.3">
      <c r="A70" t="s">
        <v>110</v>
      </c>
      <c r="B70" s="1">
        <v>45302</v>
      </c>
      <c r="C70">
        <v>2024</v>
      </c>
      <c r="D70" t="s">
        <v>21</v>
      </c>
      <c r="E70" t="s">
        <v>22</v>
      </c>
      <c r="F70" t="s">
        <v>34</v>
      </c>
      <c r="G70" t="s">
        <v>39</v>
      </c>
      <c r="H70" t="s">
        <v>36</v>
      </c>
      <c r="I70" t="s">
        <v>26</v>
      </c>
      <c r="J70" t="s">
        <v>27</v>
      </c>
      <c r="K70" t="s">
        <v>32</v>
      </c>
      <c r="L70" s="2">
        <v>0.9</v>
      </c>
      <c r="M70" s="3">
        <v>285</v>
      </c>
      <c r="N70">
        <v>3</v>
      </c>
      <c r="O70">
        <v>3</v>
      </c>
      <c r="P70">
        <v>1</v>
      </c>
      <c r="Q70">
        <v>0</v>
      </c>
      <c r="R70" s="4">
        <v>9.27</v>
      </c>
      <c r="S70">
        <v>0</v>
      </c>
      <c r="T70">
        <v>1</v>
      </c>
    </row>
    <row r="71" spans="1:20" ht="16.5" x14ac:dyDescent="0.3">
      <c r="A71" t="s">
        <v>111</v>
      </c>
      <c r="B71" s="1">
        <v>45303</v>
      </c>
      <c r="C71">
        <v>2024</v>
      </c>
      <c r="D71" t="s">
        <v>21</v>
      </c>
      <c r="E71" t="s">
        <v>22</v>
      </c>
      <c r="F71" t="s">
        <v>23</v>
      </c>
      <c r="G71" t="s">
        <v>35</v>
      </c>
      <c r="H71" t="s">
        <v>51</v>
      </c>
      <c r="I71" t="s">
        <v>40</v>
      </c>
      <c r="J71" t="s">
        <v>41</v>
      </c>
      <c r="K71" t="s">
        <v>32</v>
      </c>
      <c r="L71" s="2">
        <v>2.2000000000000002</v>
      </c>
      <c r="M71" s="3">
        <v>999</v>
      </c>
      <c r="N71">
        <v>3</v>
      </c>
      <c r="O71">
        <v>3</v>
      </c>
      <c r="P71">
        <v>1</v>
      </c>
      <c r="Q71">
        <v>0</v>
      </c>
      <c r="R71" s="4">
        <v>58.95</v>
      </c>
      <c r="S71">
        <v>0</v>
      </c>
      <c r="T71">
        <v>1</v>
      </c>
    </row>
    <row r="72" spans="1:20" ht="16.5" x14ac:dyDescent="0.3">
      <c r="A72" t="s">
        <v>112</v>
      </c>
      <c r="B72" s="1">
        <v>45303</v>
      </c>
      <c r="C72">
        <v>2024</v>
      </c>
      <c r="D72" t="s">
        <v>21</v>
      </c>
      <c r="E72" t="s">
        <v>22</v>
      </c>
      <c r="F72" t="s">
        <v>34</v>
      </c>
      <c r="G72" t="s">
        <v>35</v>
      </c>
      <c r="H72" t="s">
        <v>36</v>
      </c>
      <c r="I72" t="s">
        <v>26</v>
      </c>
      <c r="J72" t="s">
        <v>27</v>
      </c>
      <c r="K72" t="s">
        <v>32</v>
      </c>
      <c r="L72" s="2">
        <v>1.7</v>
      </c>
      <c r="M72" s="3">
        <v>198</v>
      </c>
      <c r="N72">
        <v>3</v>
      </c>
      <c r="O72">
        <v>2</v>
      </c>
      <c r="P72">
        <v>1</v>
      </c>
      <c r="Q72">
        <v>0</v>
      </c>
      <c r="R72" s="4">
        <v>9.1999999999999993</v>
      </c>
      <c r="S72">
        <v>0</v>
      </c>
      <c r="T72">
        <v>1</v>
      </c>
    </row>
    <row r="73" spans="1:20" ht="16.5" x14ac:dyDescent="0.3">
      <c r="A73" t="s">
        <v>113</v>
      </c>
      <c r="B73" s="1">
        <v>45303</v>
      </c>
      <c r="C73">
        <v>2024</v>
      </c>
      <c r="D73" t="s">
        <v>21</v>
      </c>
      <c r="E73" t="s">
        <v>22</v>
      </c>
      <c r="F73" t="s">
        <v>57</v>
      </c>
      <c r="G73" t="s">
        <v>39</v>
      </c>
      <c r="H73" t="s">
        <v>48</v>
      </c>
      <c r="I73" t="s">
        <v>26</v>
      </c>
      <c r="J73" t="s">
        <v>27</v>
      </c>
      <c r="K73" t="s">
        <v>32</v>
      </c>
      <c r="L73" s="2">
        <v>4.7</v>
      </c>
      <c r="M73" s="3">
        <v>320</v>
      </c>
      <c r="N73">
        <v>4</v>
      </c>
      <c r="O73">
        <v>4</v>
      </c>
      <c r="P73">
        <v>1</v>
      </c>
      <c r="Q73">
        <v>0</v>
      </c>
      <c r="R73" s="4">
        <v>13.85</v>
      </c>
      <c r="S73">
        <v>0</v>
      </c>
      <c r="T73">
        <v>1</v>
      </c>
    </row>
    <row r="74" spans="1:20" ht="16.5" x14ac:dyDescent="0.3">
      <c r="A74" t="s">
        <v>114</v>
      </c>
      <c r="B74" s="1">
        <v>45304</v>
      </c>
      <c r="C74">
        <v>2024</v>
      </c>
      <c r="D74" t="s">
        <v>21</v>
      </c>
      <c r="E74" t="s">
        <v>22</v>
      </c>
      <c r="F74" t="s">
        <v>57</v>
      </c>
      <c r="G74" t="s">
        <v>35</v>
      </c>
      <c r="H74" t="s">
        <v>36</v>
      </c>
      <c r="I74" t="s">
        <v>31</v>
      </c>
      <c r="J74" t="s">
        <v>27</v>
      </c>
      <c r="K74" t="s">
        <v>32</v>
      </c>
      <c r="L74" s="2">
        <v>5</v>
      </c>
      <c r="M74" s="3">
        <v>205</v>
      </c>
      <c r="N74">
        <v>5</v>
      </c>
      <c r="O74">
        <v>4</v>
      </c>
      <c r="P74">
        <v>1</v>
      </c>
      <c r="Q74">
        <v>0</v>
      </c>
      <c r="R74" s="4">
        <v>7.42</v>
      </c>
      <c r="S74">
        <v>0</v>
      </c>
      <c r="T74">
        <v>1</v>
      </c>
    </row>
    <row r="75" spans="1:20" ht="16.5" x14ac:dyDescent="0.3">
      <c r="A75" t="s">
        <v>115</v>
      </c>
      <c r="B75" s="1">
        <v>45304</v>
      </c>
      <c r="C75">
        <v>2024</v>
      </c>
      <c r="D75" t="s">
        <v>21</v>
      </c>
      <c r="E75" t="s">
        <v>22</v>
      </c>
      <c r="F75" t="s">
        <v>38</v>
      </c>
      <c r="G75" t="s">
        <v>35</v>
      </c>
      <c r="H75" t="s">
        <v>36</v>
      </c>
      <c r="I75" t="s">
        <v>26</v>
      </c>
      <c r="J75" t="s">
        <v>27</v>
      </c>
      <c r="K75" t="s">
        <v>28</v>
      </c>
      <c r="L75" s="2">
        <v>82.8</v>
      </c>
      <c r="M75" s="3">
        <v>257</v>
      </c>
      <c r="N75">
        <v>3</v>
      </c>
      <c r="O75">
        <v>3</v>
      </c>
      <c r="P75">
        <v>1</v>
      </c>
      <c r="Q75">
        <v>0</v>
      </c>
      <c r="R75" s="4">
        <v>56.51</v>
      </c>
      <c r="S75">
        <v>0</v>
      </c>
      <c r="T75">
        <v>1</v>
      </c>
    </row>
    <row r="76" spans="1:20" ht="16.5" x14ac:dyDescent="0.3">
      <c r="A76" t="s">
        <v>116</v>
      </c>
      <c r="B76" s="1">
        <v>45304</v>
      </c>
      <c r="C76">
        <v>2024</v>
      </c>
      <c r="D76" t="s">
        <v>21</v>
      </c>
      <c r="E76" t="s">
        <v>22</v>
      </c>
      <c r="F76" t="s">
        <v>30</v>
      </c>
      <c r="G76" t="s">
        <v>39</v>
      </c>
      <c r="H76" t="s">
        <v>25</v>
      </c>
      <c r="I76" t="s">
        <v>26</v>
      </c>
      <c r="J76" t="s">
        <v>27</v>
      </c>
      <c r="K76" t="s">
        <v>32</v>
      </c>
      <c r="L76" s="2">
        <v>6.4</v>
      </c>
      <c r="M76" s="3">
        <v>919</v>
      </c>
      <c r="N76">
        <v>4</v>
      </c>
      <c r="O76">
        <v>3</v>
      </c>
      <c r="P76">
        <v>1</v>
      </c>
      <c r="Q76">
        <v>0</v>
      </c>
      <c r="R76" s="4">
        <v>23.37</v>
      </c>
      <c r="S76">
        <v>0</v>
      </c>
      <c r="T76">
        <v>1</v>
      </c>
    </row>
    <row r="77" spans="1:20" ht="16.5" x14ac:dyDescent="0.3">
      <c r="A77" t="s">
        <v>117</v>
      </c>
      <c r="B77" s="1">
        <v>45305</v>
      </c>
      <c r="C77">
        <v>2024</v>
      </c>
      <c r="D77" t="s">
        <v>21</v>
      </c>
      <c r="E77" t="s">
        <v>22</v>
      </c>
      <c r="F77" t="s">
        <v>34</v>
      </c>
      <c r="G77" t="s">
        <v>39</v>
      </c>
      <c r="H77" t="s">
        <v>51</v>
      </c>
      <c r="I77" t="s">
        <v>31</v>
      </c>
      <c r="J77" t="s">
        <v>27</v>
      </c>
      <c r="K77" t="s">
        <v>28</v>
      </c>
      <c r="L77" s="2">
        <v>106.1</v>
      </c>
      <c r="M77" s="3">
        <v>1131</v>
      </c>
      <c r="N77">
        <v>7</v>
      </c>
      <c r="O77">
        <v>7</v>
      </c>
      <c r="P77">
        <v>1</v>
      </c>
      <c r="Q77">
        <v>0</v>
      </c>
      <c r="R77" s="4">
        <v>39.96</v>
      </c>
      <c r="S77">
        <v>0</v>
      </c>
      <c r="T77">
        <v>1</v>
      </c>
    </row>
    <row r="78" spans="1:20" ht="16.5" x14ac:dyDescent="0.3">
      <c r="A78" t="s">
        <v>118</v>
      </c>
      <c r="B78" s="1">
        <v>45305</v>
      </c>
      <c r="C78">
        <v>2024</v>
      </c>
      <c r="D78" t="s">
        <v>21</v>
      </c>
      <c r="E78" t="s">
        <v>22</v>
      </c>
      <c r="F78" t="s">
        <v>23</v>
      </c>
      <c r="G78" t="s">
        <v>35</v>
      </c>
      <c r="H78" t="s">
        <v>48</v>
      </c>
      <c r="I78" t="s">
        <v>26</v>
      </c>
      <c r="J78" t="s">
        <v>27</v>
      </c>
      <c r="K78" t="s">
        <v>32</v>
      </c>
      <c r="L78" s="2">
        <v>9</v>
      </c>
      <c r="M78" s="3">
        <v>415</v>
      </c>
      <c r="N78">
        <v>4</v>
      </c>
      <c r="O78">
        <v>4</v>
      </c>
      <c r="P78">
        <v>1</v>
      </c>
      <c r="Q78">
        <v>0</v>
      </c>
      <c r="R78" s="4">
        <v>15.88</v>
      </c>
      <c r="S78">
        <v>0</v>
      </c>
      <c r="T78">
        <v>1</v>
      </c>
    </row>
    <row r="79" spans="1:20" ht="16.5" x14ac:dyDescent="0.3">
      <c r="A79" t="s">
        <v>119</v>
      </c>
      <c r="B79" s="1">
        <v>45306</v>
      </c>
      <c r="C79">
        <v>2024</v>
      </c>
      <c r="D79" t="s">
        <v>21</v>
      </c>
      <c r="E79" t="s">
        <v>22</v>
      </c>
      <c r="F79" t="s">
        <v>57</v>
      </c>
      <c r="G79" t="s">
        <v>39</v>
      </c>
      <c r="H79" t="s">
        <v>43</v>
      </c>
      <c r="I79" t="s">
        <v>31</v>
      </c>
      <c r="J79" t="s">
        <v>27</v>
      </c>
      <c r="K79" t="s">
        <v>32</v>
      </c>
      <c r="L79" s="2">
        <v>13</v>
      </c>
      <c r="M79" s="3">
        <v>1268</v>
      </c>
      <c r="N79">
        <v>7</v>
      </c>
      <c r="O79">
        <v>6</v>
      </c>
      <c r="P79">
        <v>1</v>
      </c>
      <c r="Q79">
        <v>0</v>
      </c>
      <c r="R79" s="4">
        <v>19.86</v>
      </c>
      <c r="S79">
        <v>0</v>
      </c>
      <c r="T79">
        <v>1</v>
      </c>
    </row>
    <row r="80" spans="1:20" ht="16.5" x14ac:dyDescent="0.3">
      <c r="A80" t="s">
        <v>120</v>
      </c>
      <c r="B80" s="1">
        <v>45306</v>
      </c>
      <c r="C80">
        <v>2024</v>
      </c>
      <c r="D80" t="s">
        <v>21</v>
      </c>
      <c r="E80" t="s">
        <v>22</v>
      </c>
      <c r="F80" t="s">
        <v>38</v>
      </c>
      <c r="G80" t="s">
        <v>35</v>
      </c>
      <c r="H80" t="s">
        <v>36</v>
      </c>
      <c r="I80" t="s">
        <v>31</v>
      </c>
      <c r="J80" t="s">
        <v>27</v>
      </c>
      <c r="K80" t="s">
        <v>32</v>
      </c>
      <c r="L80" s="2">
        <v>1.1000000000000001</v>
      </c>
      <c r="M80" s="3">
        <v>177</v>
      </c>
      <c r="N80">
        <v>5</v>
      </c>
      <c r="O80">
        <v>5</v>
      </c>
      <c r="P80">
        <v>1</v>
      </c>
      <c r="Q80">
        <v>0</v>
      </c>
      <c r="R80" s="4">
        <v>7.13</v>
      </c>
      <c r="S80">
        <v>0</v>
      </c>
      <c r="T80">
        <v>1</v>
      </c>
    </row>
    <row r="81" spans="1:20" ht="16.5" x14ac:dyDescent="0.3">
      <c r="A81" t="s">
        <v>121</v>
      </c>
      <c r="B81" s="1">
        <v>45306</v>
      </c>
      <c r="C81">
        <v>2024</v>
      </c>
      <c r="D81" t="s">
        <v>21</v>
      </c>
      <c r="E81" t="s">
        <v>22</v>
      </c>
      <c r="F81" t="s">
        <v>34</v>
      </c>
      <c r="G81" t="s">
        <v>24</v>
      </c>
      <c r="H81" t="s">
        <v>48</v>
      </c>
      <c r="I81" t="s">
        <v>26</v>
      </c>
      <c r="J81" t="s">
        <v>27</v>
      </c>
      <c r="K81" t="s">
        <v>28</v>
      </c>
      <c r="L81" s="2">
        <v>283.2</v>
      </c>
      <c r="M81" s="3">
        <v>293</v>
      </c>
      <c r="N81">
        <v>4</v>
      </c>
      <c r="O81">
        <v>4</v>
      </c>
      <c r="P81">
        <v>1</v>
      </c>
      <c r="Q81">
        <v>0</v>
      </c>
      <c r="R81" s="4">
        <v>106.32</v>
      </c>
      <c r="S81">
        <v>0</v>
      </c>
      <c r="T81">
        <v>1</v>
      </c>
    </row>
    <row r="82" spans="1:20" ht="16.5" x14ac:dyDescent="0.3">
      <c r="A82" t="s">
        <v>122</v>
      </c>
      <c r="B82" s="1">
        <v>45306</v>
      </c>
      <c r="C82">
        <v>2024</v>
      </c>
      <c r="D82" t="s">
        <v>21</v>
      </c>
      <c r="E82" t="s">
        <v>22</v>
      </c>
      <c r="F82" t="s">
        <v>38</v>
      </c>
      <c r="G82" t="s">
        <v>39</v>
      </c>
      <c r="H82" t="s">
        <v>36</v>
      </c>
      <c r="I82" t="s">
        <v>40</v>
      </c>
      <c r="J82" t="s">
        <v>27</v>
      </c>
      <c r="K82" t="s">
        <v>28</v>
      </c>
      <c r="L82" s="2">
        <v>211.3</v>
      </c>
      <c r="M82" s="3">
        <v>325</v>
      </c>
      <c r="N82">
        <v>1</v>
      </c>
      <c r="O82">
        <v>1</v>
      </c>
      <c r="P82">
        <v>1</v>
      </c>
      <c r="Q82">
        <v>0</v>
      </c>
      <c r="R82" s="4">
        <v>190.2</v>
      </c>
      <c r="S82">
        <v>0</v>
      </c>
      <c r="T82">
        <v>1</v>
      </c>
    </row>
    <row r="83" spans="1:20" ht="16.5" x14ac:dyDescent="0.3">
      <c r="A83" t="s">
        <v>123</v>
      </c>
      <c r="B83" s="1">
        <v>45306</v>
      </c>
      <c r="C83">
        <v>2024</v>
      </c>
      <c r="D83" t="s">
        <v>21</v>
      </c>
      <c r="E83" t="s">
        <v>22</v>
      </c>
      <c r="F83" t="s">
        <v>34</v>
      </c>
      <c r="G83" t="s">
        <v>39</v>
      </c>
      <c r="H83" t="s">
        <v>43</v>
      </c>
      <c r="I83" t="s">
        <v>40</v>
      </c>
      <c r="J83" t="s">
        <v>41</v>
      </c>
      <c r="K83" t="s">
        <v>28</v>
      </c>
      <c r="L83" s="2">
        <v>275.10000000000002</v>
      </c>
      <c r="M83" s="3">
        <v>1122</v>
      </c>
      <c r="N83">
        <v>3</v>
      </c>
      <c r="O83">
        <v>2</v>
      </c>
      <c r="P83">
        <v>1</v>
      </c>
      <c r="Q83">
        <v>0</v>
      </c>
      <c r="R83" s="4">
        <v>385.15</v>
      </c>
      <c r="S83">
        <v>0</v>
      </c>
      <c r="T83">
        <v>1</v>
      </c>
    </row>
    <row r="84" spans="1:20" ht="16.5" x14ac:dyDescent="0.3">
      <c r="A84" t="s">
        <v>124</v>
      </c>
      <c r="B84" s="1">
        <v>45306</v>
      </c>
      <c r="C84">
        <v>2024</v>
      </c>
      <c r="D84" t="s">
        <v>21</v>
      </c>
      <c r="E84" t="s">
        <v>22</v>
      </c>
      <c r="F84" t="s">
        <v>30</v>
      </c>
      <c r="G84" t="s">
        <v>24</v>
      </c>
      <c r="H84" t="s">
        <v>25</v>
      </c>
      <c r="I84" t="s">
        <v>40</v>
      </c>
      <c r="J84" t="s">
        <v>41</v>
      </c>
      <c r="K84" t="s">
        <v>32</v>
      </c>
      <c r="L84" s="2">
        <v>4.0999999999999996</v>
      </c>
      <c r="M84" s="3">
        <v>843</v>
      </c>
      <c r="N84">
        <v>2</v>
      </c>
      <c r="O84">
        <v>2</v>
      </c>
      <c r="P84">
        <v>1</v>
      </c>
      <c r="Q84">
        <v>0</v>
      </c>
      <c r="R84" s="4">
        <v>58.05</v>
      </c>
      <c r="S84">
        <v>0</v>
      </c>
      <c r="T84">
        <v>1</v>
      </c>
    </row>
    <row r="85" spans="1:20" ht="16.5" x14ac:dyDescent="0.3">
      <c r="A85" t="s">
        <v>125</v>
      </c>
      <c r="B85" s="1">
        <v>45307</v>
      </c>
      <c r="C85">
        <v>2024</v>
      </c>
      <c r="D85" t="s">
        <v>21</v>
      </c>
      <c r="E85" t="s">
        <v>22</v>
      </c>
      <c r="F85" t="s">
        <v>23</v>
      </c>
      <c r="G85" t="s">
        <v>24</v>
      </c>
      <c r="H85" t="s">
        <v>48</v>
      </c>
      <c r="I85" t="s">
        <v>40</v>
      </c>
      <c r="J85" t="s">
        <v>27</v>
      </c>
      <c r="K85" t="s">
        <v>28</v>
      </c>
      <c r="L85" s="2">
        <v>135.6</v>
      </c>
      <c r="M85" s="3">
        <v>435</v>
      </c>
      <c r="N85">
        <v>2</v>
      </c>
      <c r="O85">
        <v>6</v>
      </c>
      <c r="P85">
        <v>0</v>
      </c>
      <c r="Q85">
        <v>4</v>
      </c>
      <c r="R85" s="4">
        <v>129.01</v>
      </c>
      <c r="S85">
        <v>0</v>
      </c>
      <c r="T85">
        <v>1</v>
      </c>
    </row>
    <row r="86" spans="1:20" ht="16.5" x14ac:dyDescent="0.3">
      <c r="A86" t="s">
        <v>126</v>
      </c>
      <c r="B86" s="1">
        <v>45307</v>
      </c>
      <c r="C86">
        <v>2024</v>
      </c>
      <c r="D86" t="s">
        <v>21</v>
      </c>
      <c r="E86" t="s">
        <v>22</v>
      </c>
      <c r="F86" t="s">
        <v>30</v>
      </c>
      <c r="G86" t="s">
        <v>35</v>
      </c>
      <c r="H86" t="s">
        <v>36</v>
      </c>
      <c r="I86" t="s">
        <v>31</v>
      </c>
      <c r="J86" t="s">
        <v>27</v>
      </c>
      <c r="K86" t="s">
        <v>32</v>
      </c>
      <c r="L86" s="2">
        <v>1.8</v>
      </c>
      <c r="M86" s="3">
        <v>256</v>
      </c>
      <c r="N86">
        <v>5</v>
      </c>
      <c r="O86">
        <v>9</v>
      </c>
      <c r="P86">
        <v>0</v>
      </c>
      <c r="Q86">
        <v>4</v>
      </c>
      <c r="R86" s="4">
        <v>8.1</v>
      </c>
      <c r="S86">
        <v>0</v>
      </c>
      <c r="T86">
        <v>1</v>
      </c>
    </row>
    <row r="87" spans="1:20" ht="16.5" x14ac:dyDescent="0.3">
      <c r="A87" t="s">
        <v>127</v>
      </c>
      <c r="B87" s="1">
        <v>45307</v>
      </c>
      <c r="C87">
        <v>2024</v>
      </c>
      <c r="D87" t="s">
        <v>21</v>
      </c>
      <c r="E87" t="s">
        <v>22</v>
      </c>
      <c r="F87" t="s">
        <v>38</v>
      </c>
      <c r="G87" t="s">
        <v>39</v>
      </c>
      <c r="H87" t="s">
        <v>36</v>
      </c>
      <c r="I87" t="s">
        <v>31</v>
      </c>
      <c r="J87" t="s">
        <v>27</v>
      </c>
      <c r="K87" t="s">
        <v>28</v>
      </c>
      <c r="L87" s="2">
        <v>71.5</v>
      </c>
      <c r="M87" s="3">
        <v>310</v>
      </c>
      <c r="N87">
        <v>5</v>
      </c>
      <c r="O87">
        <v>5</v>
      </c>
      <c r="P87">
        <v>1</v>
      </c>
      <c r="Q87">
        <v>0</v>
      </c>
      <c r="R87" s="4">
        <v>38.299999999999997</v>
      </c>
      <c r="S87">
        <v>0</v>
      </c>
      <c r="T87">
        <v>1</v>
      </c>
    </row>
    <row r="88" spans="1:20" ht="16.5" x14ac:dyDescent="0.3">
      <c r="A88" t="s">
        <v>128</v>
      </c>
      <c r="B88" s="1">
        <v>45308</v>
      </c>
      <c r="C88">
        <v>2024</v>
      </c>
      <c r="D88" t="s">
        <v>21</v>
      </c>
      <c r="E88" t="s">
        <v>22</v>
      </c>
      <c r="F88" t="s">
        <v>57</v>
      </c>
      <c r="G88" t="s">
        <v>35</v>
      </c>
      <c r="H88" t="s">
        <v>25</v>
      </c>
      <c r="I88" t="s">
        <v>40</v>
      </c>
      <c r="J88" t="s">
        <v>41</v>
      </c>
      <c r="K88" t="s">
        <v>32</v>
      </c>
      <c r="L88" s="2">
        <v>7.7</v>
      </c>
      <c r="M88" s="3">
        <v>1293</v>
      </c>
      <c r="N88">
        <v>2</v>
      </c>
      <c r="O88">
        <v>1</v>
      </c>
      <c r="P88">
        <v>1</v>
      </c>
      <c r="Q88">
        <v>0</v>
      </c>
      <c r="R88" s="4">
        <v>82.52</v>
      </c>
      <c r="S88">
        <v>0</v>
      </c>
      <c r="T88">
        <v>1</v>
      </c>
    </row>
    <row r="89" spans="1:20" ht="16.5" x14ac:dyDescent="0.3">
      <c r="A89" t="s">
        <v>129</v>
      </c>
      <c r="B89" s="1">
        <v>45308</v>
      </c>
      <c r="C89">
        <v>2024</v>
      </c>
      <c r="D89" t="s">
        <v>21</v>
      </c>
      <c r="E89" t="s">
        <v>22</v>
      </c>
      <c r="F89" t="s">
        <v>34</v>
      </c>
      <c r="G89" t="s">
        <v>24</v>
      </c>
      <c r="H89" t="s">
        <v>36</v>
      </c>
      <c r="I89" t="s">
        <v>26</v>
      </c>
      <c r="J89" t="s">
        <v>27</v>
      </c>
      <c r="K89" t="s">
        <v>32</v>
      </c>
      <c r="L89" s="2">
        <v>11.3</v>
      </c>
      <c r="M89" s="3">
        <v>231</v>
      </c>
      <c r="N89">
        <v>3</v>
      </c>
      <c r="O89">
        <v>2</v>
      </c>
      <c r="P89">
        <v>1</v>
      </c>
      <c r="Q89">
        <v>0</v>
      </c>
      <c r="R89" s="4">
        <v>15.38</v>
      </c>
      <c r="S89">
        <v>0</v>
      </c>
      <c r="T89">
        <v>1</v>
      </c>
    </row>
    <row r="90" spans="1:20" ht="16.5" x14ac:dyDescent="0.3">
      <c r="A90" t="s">
        <v>130</v>
      </c>
      <c r="B90" s="1">
        <v>45308</v>
      </c>
      <c r="C90">
        <v>2024</v>
      </c>
      <c r="D90" t="s">
        <v>21</v>
      </c>
      <c r="E90" t="s">
        <v>22</v>
      </c>
      <c r="F90" t="s">
        <v>34</v>
      </c>
      <c r="G90" t="s">
        <v>39</v>
      </c>
      <c r="H90" t="s">
        <v>25</v>
      </c>
      <c r="I90" t="s">
        <v>31</v>
      </c>
      <c r="J90" t="s">
        <v>27</v>
      </c>
      <c r="K90" t="s">
        <v>32</v>
      </c>
      <c r="L90" s="2">
        <v>4.8</v>
      </c>
      <c r="M90" s="3">
        <v>886</v>
      </c>
      <c r="N90">
        <v>6</v>
      </c>
      <c r="O90">
        <v>9</v>
      </c>
      <c r="P90">
        <v>0</v>
      </c>
      <c r="Q90">
        <v>3</v>
      </c>
      <c r="R90" s="4">
        <v>12.55</v>
      </c>
      <c r="S90">
        <v>0</v>
      </c>
      <c r="T90">
        <v>1</v>
      </c>
    </row>
    <row r="91" spans="1:20" ht="16.5" x14ac:dyDescent="0.3">
      <c r="A91" t="s">
        <v>131</v>
      </c>
      <c r="B91" s="1">
        <v>45308</v>
      </c>
      <c r="C91">
        <v>2024</v>
      </c>
      <c r="D91" t="s">
        <v>21</v>
      </c>
      <c r="E91" t="s">
        <v>22</v>
      </c>
      <c r="F91" t="s">
        <v>34</v>
      </c>
      <c r="G91" t="s">
        <v>39</v>
      </c>
      <c r="H91" t="s">
        <v>51</v>
      </c>
      <c r="I91" t="s">
        <v>31</v>
      </c>
      <c r="J91" t="s">
        <v>27</v>
      </c>
      <c r="K91" t="s">
        <v>32</v>
      </c>
      <c r="L91" s="2">
        <v>6.2</v>
      </c>
      <c r="M91" s="3">
        <v>1009</v>
      </c>
      <c r="N91">
        <v>7</v>
      </c>
      <c r="O91">
        <v>7</v>
      </c>
      <c r="P91">
        <v>1</v>
      </c>
      <c r="Q91">
        <v>0</v>
      </c>
      <c r="R91" s="4">
        <v>12.68</v>
      </c>
      <c r="S91">
        <v>0</v>
      </c>
      <c r="T91">
        <v>1</v>
      </c>
    </row>
    <row r="92" spans="1:20" ht="16.5" x14ac:dyDescent="0.3">
      <c r="A92" t="s">
        <v>132</v>
      </c>
      <c r="B92" s="1">
        <v>45308</v>
      </c>
      <c r="C92">
        <v>2024</v>
      </c>
      <c r="D92" t="s">
        <v>21</v>
      </c>
      <c r="E92" t="s">
        <v>22</v>
      </c>
      <c r="F92" t="s">
        <v>34</v>
      </c>
      <c r="G92" t="s">
        <v>39</v>
      </c>
      <c r="H92" t="s">
        <v>25</v>
      </c>
      <c r="I92" t="s">
        <v>26</v>
      </c>
      <c r="J92" t="s">
        <v>27</v>
      </c>
      <c r="K92" t="s">
        <v>28</v>
      </c>
      <c r="L92" s="2">
        <v>127.4</v>
      </c>
      <c r="M92" s="3">
        <v>782</v>
      </c>
      <c r="N92">
        <v>4</v>
      </c>
      <c r="O92">
        <v>3</v>
      </c>
      <c r="P92">
        <v>1</v>
      </c>
      <c r="Q92">
        <v>0</v>
      </c>
      <c r="R92" s="4">
        <v>65.97</v>
      </c>
      <c r="S92">
        <v>0</v>
      </c>
      <c r="T92">
        <v>1</v>
      </c>
    </row>
    <row r="93" spans="1:20" ht="16.5" x14ac:dyDescent="0.3">
      <c r="A93" t="s">
        <v>133</v>
      </c>
      <c r="B93" s="1">
        <v>45308</v>
      </c>
      <c r="C93">
        <v>2024</v>
      </c>
      <c r="D93" t="s">
        <v>21</v>
      </c>
      <c r="E93" t="s">
        <v>22</v>
      </c>
      <c r="F93" t="s">
        <v>34</v>
      </c>
      <c r="G93" t="s">
        <v>24</v>
      </c>
      <c r="H93" t="s">
        <v>48</v>
      </c>
      <c r="I93" t="s">
        <v>31</v>
      </c>
      <c r="J93" t="s">
        <v>27</v>
      </c>
      <c r="K93" t="s">
        <v>32</v>
      </c>
      <c r="L93" s="2">
        <v>2.4</v>
      </c>
      <c r="M93" s="3">
        <v>519</v>
      </c>
      <c r="N93">
        <v>6</v>
      </c>
      <c r="O93">
        <v>6</v>
      </c>
      <c r="P93">
        <v>1</v>
      </c>
      <c r="Q93">
        <v>0</v>
      </c>
      <c r="R93" s="4">
        <v>9.14</v>
      </c>
      <c r="S93">
        <v>0</v>
      </c>
      <c r="T93">
        <v>1</v>
      </c>
    </row>
    <row r="94" spans="1:20" ht="16.5" x14ac:dyDescent="0.3">
      <c r="A94" t="s">
        <v>134</v>
      </c>
      <c r="B94" s="1">
        <v>45308</v>
      </c>
      <c r="C94">
        <v>2024</v>
      </c>
      <c r="D94" t="s">
        <v>21</v>
      </c>
      <c r="E94" t="s">
        <v>22</v>
      </c>
      <c r="F94" t="s">
        <v>57</v>
      </c>
      <c r="G94" t="s">
        <v>24</v>
      </c>
      <c r="H94" t="s">
        <v>25</v>
      </c>
      <c r="I94" t="s">
        <v>40</v>
      </c>
      <c r="J94" t="s">
        <v>41</v>
      </c>
      <c r="K94" t="s">
        <v>32</v>
      </c>
      <c r="L94" s="2">
        <v>2.2000000000000002</v>
      </c>
      <c r="M94" s="3">
        <v>896</v>
      </c>
      <c r="N94">
        <v>2</v>
      </c>
      <c r="O94">
        <v>4</v>
      </c>
      <c r="P94">
        <v>0</v>
      </c>
      <c r="Q94">
        <v>2</v>
      </c>
      <c r="R94" s="4">
        <v>59.42</v>
      </c>
      <c r="S94">
        <v>0</v>
      </c>
      <c r="T94">
        <v>1</v>
      </c>
    </row>
    <row r="95" spans="1:20" ht="16.5" x14ac:dyDescent="0.3">
      <c r="A95" t="s">
        <v>135</v>
      </c>
      <c r="B95" s="1">
        <v>45308</v>
      </c>
      <c r="C95">
        <v>2024</v>
      </c>
      <c r="D95" t="s">
        <v>21</v>
      </c>
      <c r="E95" t="s">
        <v>22</v>
      </c>
      <c r="F95" t="s">
        <v>57</v>
      </c>
      <c r="G95" t="s">
        <v>35</v>
      </c>
      <c r="H95" t="s">
        <v>36</v>
      </c>
      <c r="I95" t="s">
        <v>26</v>
      </c>
      <c r="J95" t="s">
        <v>27</v>
      </c>
      <c r="K95" t="s">
        <v>32</v>
      </c>
      <c r="L95" s="2">
        <v>6.1</v>
      </c>
      <c r="M95" s="3">
        <v>186</v>
      </c>
      <c r="N95">
        <v>3</v>
      </c>
      <c r="O95">
        <v>3</v>
      </c>
      <c r="P95">
        <v>1</v>
      </c>
      <c r="Q95">
        <v>0</v>
      </c>
      <c r="R95" s="4">
        <v>12.65</v>
      </c>
      <c r="S95">
        <v>0</v>
      </c>
      <c r="T95">
        <v>1</v>
      </c>
    </row>
    <row r="96" spans="1:20" ht="16.5" x14ac:dyDescent="0.3">
      <c r="A96" t="s">
        <v>136</v>
      </c>
      <c r="B96" s="1">
        <v>45309</v>
      </c>
      <c r="C96">
        <v>2024</v>
      </c>
      <c r="D96" t="s">
        <v>21</v>
      </c>
      <c r="E96" t="s">
        <v>22</v>
      </c>
      <c r="F96" t="s">
        <v>34</v>
      </c>
      <c r="G96" t="s">
        <v>24</v>
      </c>
      <c r="H96" t="s">
        <v>43</v>
      </c>
      <c r="I96" t="s">
        <v>26</v>
      </c>
      <c r="J96" t="s">
        <v>27</v>
      </c>
      <c r="K96" t="s">
        <v>32</v>
      </c>
      <c r="L96" s="2">
        <v>2.4</v>
      </c>
      <c r="M96" s="3">
        <v>872</v>
      </c>
      <c r="N96">
        <v>5</v>
      </c>
      <c r="O96">
        <v>5</v>
      </c>
      <c r="P96">
        <v>1</v>
      </c>
      <c r="Q96">
        <v>0</v>
      </c>
      <c r="R96" s="4">
        <v>15.02</v>
      </c>
      <c r="S96">
        <v>0</v>
      </c>
      <c r="T96">
        <v>1</v>
      </c>
    </row>
    <row r="97" spans="1:20" ht="16.5" x14ac:dyDescent="0.3">
      <c r="A97" t="s">
        <v>137</v>
      </c>
      <c r="B97" s="1">
        <v>45309</v>
      </c>
      <c r="C97">
        <v>2024</v>
      </c>
      <c r="D97" t="s">
        <v>21</v>
      </c>
      <c r="E97" t="s">
        <v>22</v>
      </c>
      <c r="F97" t="s">
        <v>38</v>
      </c>
      <c r="G97" t="s">
        <v>39</v>
      </c>
      <c r="H97" t="s">
        <v>48</v>
      </c>
      <c r="I97" t="s">
        <v>26</v>
      </c>
      <c r="J97" t="s">
        <v>27</v>
      </c>
      <c r="K97" t="s">
        <v>28</v>
      </c>
      <c r="L97" s="2">
        <v>41.3</v>
      </c>
      <c r="M97" s="3">
        <v>517</v>
      </c>
      <c r="N97">
        <v>4</v>
      </c>
      <c r="O97">
        <v>3</v>
      </c>
      <c r="P97">
        <v>1</v>
      </c>
      <c r="Q97">
        <v>0</v>
      </c>
      <c r="R97" s="4">
        <v>34.76</v>
      </c>
      <c r="S97">
        <v>0</v>
      </c>
      <c r="T97">
        <v>1</v>
      </c>
    </row>
    <row r="98" spans="1:20" ht="16.5" x14ac:dyDescent="0.3">
      <c r="A98" t="s">
        <v>138</v>
      </c>
      <c r="B98" s="1">
        <v>45309</v>
      </c>
      <c r="C98">
        <v>2024</v>
      </c>
      <c r="D98" t="s">
        <v>21</v>
      </c>
      <c r="E98" t="s">
        <v>22</v>
      </c>
      <c r="F98" t="s">
        <v>57</v>
      </c>
      <c r="G98" t="s">
        <v>35</v>
      </c>
      <c r="H98" t="s">
        <v>48</v>
      </c>
      <c r="I98" t="s">
        <v>26</v>
      </c>
      <c r="J98" t="s">
        <v>27</v>
      </c>
      <c r="K98" t="s">
        <v>32</v>
      </c>
      <c r="L98" s="2">
        <v>4.4000000000000004</v>
      </c>
      <c r="M98" s="3">
        <v>476</v>
      </c>
      <c r="N98">
        <v>4</v>
      </c>
      <c r="O98">
        <v>4</v>
      </c>
      <c r="P98">
        <v>1</v>
      </c>
      <c r="Q98">
        <v>0</v>
      </c>
      <c r="R98" s="4">
        <v>15.19</v>
      </c>
      <c r="S98">
        <v>0</v>
      </c>
      <c r="T98">
        <v>1</v>
      </c>
    </row>
    <row r="99" spans="1:20" ht="16.5" x14ac:dyDescent="0.3">
      <c r="A99" t="s">
        <v>139</v>
      </c>
      <c r="B99" s="1">
        <v>45309</v>
      </c>
      <c r="C99">
        <v>2024</v>
      </c>
      <c r="D99" t="s">
        <v>21</v>
      </c>
      <c r="E99" t="s">
        <v>22</v>
      </c>
      <c r="F99" t="s">
        <v>23</v>
      </c>
      <c r="G99" t="s">
        <v>24</v>
      </c>
      <c r="H99" t="s">
        <v>43</v>
      </c>
      <c r="I99" t="s">
        <v>31</v>
      </c>
      <c r="J99" t="s">
        <v>27</v>
      </c>
      <c r="K99" t="s">
        <v>32</v>
      </c>
      <c r="L99" s="2">
        <v>2.6</v>
      </c>
      <c r="M99" s="3">
        <v>1071</v>
      </c>
      <c r="N99">
        <v>7</v>
      </c>
      <c r="O99">
        <v>8</v>
      </c>
      <c r="P99">
        <v>0</v>
      </c>
      <c r="Q99">
        <v>1</v>
      </c>
      <c r="R99" s="4">
        <v>14.82</v>
      </c>
      <c r="S99">
        <v>0</v>
      </c>
      <c r="T99">
        <v>1</v>
      </c>
    </row>
    <row r="100" spans="1:20" ht="16.5" x14ac:dyDescent="0.3">
      <c r="A100" t="s">
        <v>140</v>
      </c>
      <c r="B100" s="1">
        <v>45309</v>
      </c>
      <c r="C100">
        <v>2024</v>
      </c>
      <c r="D100" t="s">
        <v>21</v>
      </c>
      <c r="E100" t="s">
        <v>22</v>
      </c>
      <c r="F100" t="s">
        <v>38</v>
      </c>
      <c r="G100" t="s">
        <v>39</v>
      </c>
      <c r="H100" t="s">
        <v>48</v>
      </c>
      <c r="I100" t="s">
        <v>26</v>
      </c>
      <c r="J100" t="s">
        <v>27</v>
      </c>
      <c r="K100" t="s">
        <v>32</v>
      </c>
      <c r="L100" s="2">
        <v>3.3</v>
      </c>
      <c r="M100" s="3">
        <v>371</v>
      </c>
      <c r="N100">
        <v>4</v>
      </c>
      <c r="O100">
        <v>4</v>
      </c>
      <c r="P100">
        <v>1</v>
      </c>
      <c r="Q100">
        <v>0</v>
      </c>
      <c r="R100" s="4">
        <v>15.32</v>
      </c>
      <c r="S100">
        <v>0</v>
      </c>
      <c r="T100">
        <v>1</v>
      </c>
    </row>
    <row r="101" spans="1:20" ht="16.5" x14ac:dyDescent="0.3">
      <c r="A101" t="s">
        <v>141</v>
      </c>
      <c r="B101" s="1">
        <v>45309</v>
      </c>
      <c r="C101">
        <v>2024</v>
      </c>
      <c r="D101" t="s">
        <v>21</v>
      </c>
      <c r="E101" t="s">
        <v>22</v>
      </c>
      <c r="F101" t="s">
        <v>38</v>
      </c>
      <c r="G101" t="s">
        <v>35</v>
      </c>
      <c r="H101" t="s">
        <v>25</v>
      </c>
      <c r="I101" t="s">
        <v>31</v>
      </c>
      <c r="J101" t="s">
        <v>27</v>
      </c>
      <c r="K101" t="s">
        <v>32</v>
      </c>
      <c r="L101" s="2">
        <v>9.1999999999999993</v>
      </c>
      <c r="M101" s="3">
        <v>887</v>
      </c>
      <c r="N101">
        <v>6</v>
      </c>
      <c r="O101">
        <v>5</v>
      </c>
      <c r="P101">
        <v>1</v>
      </c>
      <c r="Q101">
        <v>0</v>
      </c>
      <c r="R101" s="4">
        <v>19.190000000000001</v>
      </c>
      <c r="S101">
        <v>0</v>
      </c>
      <c r="T101">
        <v>1</v>
      </c>
    </row>
    <row r="102" spans="1:20" ht="16.5" x14ac:dyDescent="0.3">
      <c r="A102" t="s">
        <v>142</v>
      </c>
      <c r="B102" s="1">
        <v>45309</v>
      </c>
      <c r="C102">
        <v>2024</v>
      </c>
      <c r="D102" t="s">
        <v>21</v>
      </c>
      <c r="E102" t="s">
        <v>22</v>
      </c>
      <c r="F102" t="s">
        <v>23</v>
      </c>
      <c r="G102" t="s">
        <v>35</v>
      </c>
      <c r="H102" t="s">
        <v>25</v>
      </c>
      <c r="I102" t="s">
        <v>26</v>
      </c>
      <c r="J102" t="s">
        <v>27</v>
      </c>
      <c r="K102" t="s">
        <v>28</v>
      </c>
      <c r="L102" s="2">
        <v>107.2</v>
      </c>
      <c r="M102" s="3">
        <v>801</v>
      </c>
      <c r="N102">
        <v>4</v>
      </c>
      <c r="O102">
        <v>4</v>
      </c>
      <c r="P102">
        <v>1</v>
      </c>
      <c r="Q102">
        <v>0</v>
      </c>
      <c r="R102" s="4">
        <v>66.16</v>
      </c>
      <c r="S102">
        <v>0</v>
      </c>
      <c r="T102">
        <v>1</v>
      </c>
    </row>
    <row r="103" spans="1:20" ht="16.5" x14ac:dyDescent="0.3">
      <c r="A103" t="s">
        <v>143</v>
      </c>
      <c r="B103" s="1">
        <v>45310</v>
      </c>
      <c r="C103">
        <v>2024</v>
      </c>
      <c r="D103" t="s">
        <v>21</v>
      </c>
      <c r="E103" t="s">
        <v>22</v>
      </c>
      <c r="F103" t="s">
        <v>23</v>
      </c>
      <c r="G103" t="s">
        <v>24</v>
      </c>
      <c r="H103" t="s">
        <v>25</v>
      </c>
      <c r="I103" t="s">
        <v>26</v>
      </c>
      <c r="J103" t="s">
        <v>27</v>
      </c>
      <c r="K103" t="s">
        <v>32</v>
      </c>
      <c r="L103" s="2">
        <v>3.5</v>
      </c>
      <c r="M103" s="3">
        <v>833</v>
      </c>
      <c r="N103">
        <v>4</v>
      </c>
      <c r="O103">
        <v>4</v>
      </c>
      <c r="P103">
        <v>1</v>
      </c>
      <c r="Q103">
        <v>0</v>
      </c>
      <c r="R103" s="4">
        <v>18.87</v>
      </c>
      <c r="S103">
        <v>0</v>
      </c>
      <c r="T103">
        <v>1</v>
      </c>
    </row>
    <row r="104" spans="1:20" ht="16.5" x14ac:dyDescent="0.3">
      <c r="A104" t="s">
        <v>144</v>
      </c>
      <c r="B104" s="1">
        <v>45310</v>
      </c>
      <c r="C104">
        <v>2024</v>
      </c>
      <c r="D104" t="s">
        <v>21</v>
      </c>
      <c r="E104" t="s">
        <v>22</v>
      </c>
      <c r="F104" t="s">
        <v>23</v>
      </c>
      <c r="G104" t="s">
        <v>39</v>
      </c>
      <c r="H104" t="s">
        <v>25</v>
      </c>
      <c r="I104" t="s">
        <v>31</v>
      </c>
      <c r="J104" t="s">
        <v>27</v>
      </c>
      <c r="K104" t="s">
        <v>32</v>
      </c>
      <c r="L104" s="2">
        <v>2</v>
      </c>
      <c r="M104" s="3">
        <v>926</v>
      </c>
      <c r="N104">
        <v>6</v>
      </c>
      <c r="O104">
        <v>6</v>
      </c>
      <c r="P104">
        <v>1</v>
      </c>
      <c r="Q104">
        <v>0</v>
      </c>
      <c r="R104" s="4">
        <v>13.71</v>
      </c>
      <c r="S104">
        <v>0</v>
      </c>
      <c r="T104">
        <v>1</v>
      </c>
    </row>
    <row r="105" spans="1:20" ht="16.5" x14ac:dyDescent="0.3">
      <c r="A105" t="s">
        <v>145</v>
      </c>
      <c r="B105" s="1">
        <v>45310</v>
      </c>
      <c r="C105">
        <v>2024</v>
      </c>
      <c r="D105" t="s">
        <v>21</v>
      </c>
      <c r="E105" t="s">
        <v>22</v>
      </c>
      <c r="F105" t="s">
        <v>34</v>
      </c>
      <c r="G105" t="s">
        <v>35</v>
      </c>
      <c r="H105" t="s">
        <v>48</v>
      </c>
      <c r="I105" t="s">
        <v>26</v>
      </c>
      <c r="J105" t="s">
        <v>27</v>
      </c>
      <c r="K105" t="s">
        <v>28</v>
      </c>
      <c r="L105" s="2">
        <v>221.6</v>
      </c>
      <c r="M105" s="3">
        <v>553</v>
      </c>
      <c r="N105">
        <v>4</v>
      </c>
      <c r="O105">
        <v>3</v>
      </c>
      <c r="P105">
        <v>1</v>
      </c>
      <c r="Q105">
        <v>0</v>
      </c>
      <c r="R105" s="4">
        <v>85.76</v>
      </c>
      <c r="S105">
        <v>0</v>
      </c>
      <c r="T105">
        <v>1</v>
      </c>
    </row>
    <row r="106" spans="1:20" ht="16.5" x14ac:dyDescent="0.3">
      <c r="A106" t="s">
        <v>146</v>
      </c>
      <c r="B106" s="1">
        <v>45310</v>
      </c>
      <c r="C106">
        <v>2024</v>
      </c>
      <c r="D106" t="s">
        <v>21</v>
      </c>
      <c r="E106" t="s">
        <v>22</v>
      </c>
      <c r="F106" t="s">
        <v>38</v>
      </c>
      <c r="G106" t="s">
        <v>39</v>
      </c>
      <c r="H106" t="s">
        <v>36</v>
      </c>
      <c r="I106" t="s">
        <v>31</v>
      </c>
      <c r="J106" t="s">
        <v>27</v>
      </c>
      <c r="K106" t="s">
        <v>32</v>
      </c>
      <c r="L106" s="2">
        <v>4.7</v>
      </c>
      <c r="M106" s="3">
        <v>244</v>
      </c>
      <c r="N106">
        <v>5</v>
      </c>
      <c r="O106">
        <v>5</v>
      </c>
      <c r="P106">
        <v>1</v>
      </c>
      <c r="Q106">
        <v>0</v>
      </c>
      <c r="R106" s="4">
        <v>10.36</v>
      </c>
      <c r="S106">
        <v>0</v>
      </c>
      <c r="T106">
        <v>1</v>
      </c>
    </row>
    <row r="107" spans="1:20" ht="16.5" x14ac:dyDescent="0.3">
      <c r="A107" t="s">
        <v>147</v>
      </c>
      <c r="B107" s="1">
        <v>45310</v>
      </c>
      <c r="C107">
        <v>2024</v>
      </c>
      <c r="D107" t="s">
        <v>21</v>
      </c>
      <c r="E107" t="s">
        <v>22</v>
      </c>
      <c r="F107" t="s">
        <v>57</v>
      </c>
      <c r="G107" t="s">
        <v>24</v>
      </c>
      <c r="H107" t="s">
        <v>48</v>
      </c>
      <c r="I107" t="s">
        <v>26</v>
      </c>
      <c r="J107" t="s">
        <v>27</v>
      </c>
      <c r="K107" t="s">
        <v>28</v>
      </c>
      <c r="L107" s="2">
        <v>197.8</v>
      </c>
      <c r="M107" s="3">
        <v>505</v>
      </c>
      <c r="N107">
        <v>4</v>
      </c>
      <c r="O107">
        <v>4</v>
      </c>
      <c r="P107">
        <v>1</v>
      </c>
      <c r="Q107">
        <v>0</v>
      </c>
      <c r="R107" s="4">
        <v>90.1</v>
      </c>
      <c r="S107">
        <v>0</v>
      </c>
      <c r="T107">
        <v>1</v>
      </c>
    </row>
    <row r="108" spans="1:20" ht="16.5" x14ac:dyDescent="0.3">
      <c r="A108" t="s">
        <v>148</v>
      </c>
      <c r="B108" s="1">
        <v>45310</v>
      </c>
      <c r="C108">
        <v>2024</v>
      </c>
      <c r="D108" t="s">
        <v>21</v>
      </c>
      <c r="E108" t="s">
        <v>22</v>
      </c>
      <c r="F108" t="s">
        <v>23</v>
      </c>
      <c r="G108" t="s">
        <v>35</v>
      </c>
      <c r="H108" t="s">
        <v>51</v>
      </c>
      <c r="I108" t="s">
        <v>26</v>
      </c>
      <c r="J108" t="s">
        <v>27</v>
      </c>
      <c r="K108" t="s">
        <v>32</v>
      </c>
      <c r="L108" s="2">
        <v>2.4</v>
      </c>
      <c r="M108" s="3">
        <v>1345</v>
      </c>
      <c r="N108">
        <v>5</v>
      </c>
      <c r="O108">
        <v>4</v>
      </c>
      <c r="P108">
        <v>1</v>
      </c>
      <c r="Q108">
        <v>0</v>
      </c>
      <c r="R108" s="4">
        <v>22.29</v>
      </c>
      <c r="S108">
        <v>0</v>
      </c>
      <c r="T108">
        <v>1</v>
      </c>
    </row>
    <row r="109" spans="1:20" ht="16.5" x14ac:dyDescent="0.3">
      <c r="A109" t="s">
        <v>149</v>
      </c>
      <c r="B109" s="1">
        <v>45310</v>
      </c>
      <c r="C109">
        <v>2024</v>
      </c>
      <c r="D109" t="s">
        <v>21</v>
      </c>
      <c r="E109" t="s">
        <v>22</v>
      </c>
      <c r="F109" t="s">
        <v>34</v>
      </c>
      <c r="G109" t="s">
        <v>39</v>
      </c>
      <c r="H109" t="s">
        <v>43</v>
      </c>
      <c r="I109" t="s">
        <v>31</v>
      </c>
      <c r="J109" t="s">
        <v>27</v>
      </c>
      <c r="K109" t="s">
        <v>32</v>
      </c>
      <c r="L109" s="2">
        <v>1</v>
      </c>
      <c r="M109" s="3">
        <v>1030</v>
      </c>
      <c r="N109">
        <v>7</v>
      </c>
      <c r="O109">
        <v>7</v>
      </c>
      <c r="P109">
        <v>1</v>
      </c>
      <c r="Q109">
        <v>0</v>
      </c>
      <c r="R109" s="4">
        <v>12.85</v>
      </c>
      <c r="S109">
        <v>0</v>
      </c>
      <c r="T109">
        <v>1</v>
      </c>
    </row>
    <row r="110" spans="1:20" ht="16.5" x14ac:dyDescent="0.3">
      <c r="A110" t="s">
        <v>150</v>
      </c>
      <c r="B110" s="1">
        <v>45311</v>
      </c>
      <c r="C110">
        <v>2024</v>
      </c>
      <c r="D110" t="s">
        <v>21</v>
      </c>
      <c r="E110" t="s">
        <v>22</v>
      </c>
      <c r="F110" t="s">
        <v>57</v>
      </c>
      <c r="G110" t="s">
        <v>39</v>
      </c>
      <c r="H110" t="s">
        <v>48</v>
      </c>
      <c r="I110" t="s">
        <v>40</v>
      </c>
      <c r="J110" t="s">
        <v>27</v>
      </c>
      <c r="K110" t="s">
        <v>28</v>
      </c>
      <c r="L110" s="2">
        <v>151.80000000000001</v>
      </c>
      <c r="M110" s="3">
        <v>305</v>
      </c>
      <c r="N110">
        <v>2</v>
      </c>
      <c r="O110">
        <v>1</v>
      </c>
      <c r="P110">
        <v>1</v>
      </c>
      <c r="Q110">
        <v>0</v>
      </c>
      <c r="R110" s="4">
        <v>131.59</v>
      </c>
      <c r="S110">
        <v>0</v>
      </c>
      <c r="T110">
        <v>1</v>
      </c>
    </row>
    <row r="111" spans="1:20" ht="16.5" x14ac:dyDescent="0.3">
      <c r="A111" t="s">
        <v>151</v>
      </c>
      <c r="B111" s="1">
        <v>45311</v>
      </c>
      <c r="C111">
        <v>2024</v>
      </c>
      <c r="D111" t="s">
        <v>21</v>
      </c>
      <c r="E111" t="s">
        <v>22</v>
      </c>
      <c r="F111" t="s">
        <v>34</v>
      </c>
      <c r="G111" t="s">
        <v>39</v>
      </c>
      <c r="H111" t="s">
        <v>25</v>
      </c>
      <c r="I111" t="s">
        <v>26</v>
      </c>
      <c r="J111" t="s">
        <v>27</v>
      </c>
      <c r="K111" t="s">
        <v>32</v>
      </c>
      <c r="L111" s="2">
        <v>6.8</v>
      </c>
      <c r="M111" s="3">
        <v>967</v>
      </c>
      <c r="N111">
        <v>4</v>
      </c>
      <c r="O111">
        <v>5</v>
      </c>
      <c r="P111">
        <v>0</v>
      </c>
      <c r="Q111">
        <v>1</v>
      </c>
      <c r="R111" s="4">
        <v>20.37</v>
      </c>
      <c r="S111">
        <v>0</v>
      </c>
      <c r="T111">
        <v>1</v>
      </c>
    </row>
    <row r="112" spans="1:20" ht="16.5" x14ac:dyDescent="0.3">
      <c r="A112" t="s">
        <v>152</v>
      </c>
      <c r="B112" s="1">
        <v>45311</v>
      </c>
      <c r="C112">
        <v>2024</v>
      </c>
      <c r="D112" t="s">
        <v>21</v>
      </c>
      <c r="E112" t="s">
        <v>22</v>
      </c>
      <c r="F112" t="s">
        <v>34</v>
      </c>
      <c r="G112" t="s">
        <v>35</v>
      </c>
      <c r="H112" t="s">
        <v>51</v>
      </c>
      <c r="I112" t="s">
        <v>31</v>
      </c>
      <c r="J112" t="s">
        <v>27</v>
      </c>
      <c r="K112" t="s">
        <v>28</v>
      </c>
      <c r="L112" s="2">
        <v>72.7</v>
      </c>
      <c r="M112" s="3">
        <v>972</v>
      </c>
      <c r="N112">
        <v>7</v>
      </c>
      <c r="O112">
        <v>8</v>
      </c>
      <c r="P112">
        <v>0</v>
      </c>
      <c r="Q112">
        <v>1</v>
      </c>
      <c r="R112" s="4">
        <v>34.200000000000003</v>
      </c>
      <c r="S112">
        <v>0</v>
      </c>
      <c r="T112">
        <v>1</v>
      </c>
    </row>
    <row r="113" spans="1:20" ht="16.5" x14ac:dyDescent="0.3">
      <c r="A113" t="s">
        <v>153</v>
      </c>
      <c r="B113" s="1">
        <v>45311</v>
      </c>
      <c r="C113">
        <v>2024</v>
      </c>
      <c r="D113" t="s">
        <v>21</v>
      </c>
      <c r="E113" t="s">
        <v>22</v>
      </c>
      <c r="F113" t="s">
        <v>30</v>
      </c>
      <c r="G113" t="s">
        <v>35</v>
      </c>
      <c r="H113" t="s">
        <v>36</v>
      </c>
      <c r="I113" t="s">
        <v>40</v>
      </c>
      <c r="J113" t="s">
        <v>27</v>
      </c>
      <c r="K113" t="s">
        <v>28</v>
      </c>
      <c r="L113" s="2">
        <v>210.6</v>
      </c>
      <c r="M113" s="3">
        <v>253</v>
      </c>
      <c r="N113">
        <v>1</v>
      </c>
      <c r="O113">
        <v>1</v>
      </c>
      <c r="P113">
        <v>1</v>
      </c>
      <c r="Q113">
        <v>0</v>
      </c>
      <c r="R113" s="4">
        <v>208.76</v>
      </c>
      <c r="S113">
        <v>0</v>
      </c>
      <c r="T113">
        <v>1</v>
      </c>
    </row>
    <row r="114" spans="1:20" ht="16.5" x14ac:dyDescent="0.3">
      <c r="A114" t="s">
        <v>154</v>
      </c>
      <c r="B114" s="1">
        <v>45312</v>
      </c>
      <c r="C114">
        <v>2024</v>
      </c>
      <c r="D114" t="s">
        <v>21</v>
      </c>
      <c r="E114" t="s">
        <v>22</v>
      </c>
      <c r="F114" t="s">
        <v>38</v>
      </c>
      <c r="G114" t="s">
        <v>24</v>
      </c>
      <c r="H114" t="s">
        <v>48</v>
      </c>
      <c r="I114" t="s">
        <v>31</v>
      </c>
      <c r="J114" t="s">
        <v>27</v>
      </c>
      <c r="K114" t="s">
        <v>28</v>
      </c>
      <c r="L114" s="2">
        <v>54.5</v>
      </c>
      <c r="M114" s="3">
        <v>460</v>
      </c>
      <c r="N114">
        <v>6</v>
      </c>
      <c r="O114">
        <v>5</v>
      </c>
      <c r="P114">
        <v>1</v>
      </c>
      <c r="Q114">
        <v>0</v>
      </c>
      <c r="R114" s="4">
        <v>29.53</v>
      </c>
      <c r="S114">
        <v>0</v>
      </c>
      <c r="T114">
        <v>1</v>
      </c>
    </row>
    <row r="115" spans="1:20" ht="16.5" x14ac:dyDescent="0.3">
      <c r="A115" t="s">
        <v>155</v>
      </c>
      <c r="B115" s="1">
        <v>45312</v>
      </c>
      <c r="C115">
        <v>2024</v>
      </c>
      <c r="D115" t="s">
        <v>21</v>
      </c>
      <c r="E115" t="s">
        <v>22</v>
      </c>
      <c r="F115" t="s">
        <v>34</v>
      </c>
      <c r="G115" t="s">
        <v>35</v>
      </c>
      <c r="H115" t="s">
        <v>25</v>
      </c>
      <c r="I115" t="s">
        <v>26</v>
      </c>
      <c r="J115" t="s">
        <v>27</v>
      </c>
      <c r="K115" t="s">
        <v>28</v>
      </c>
      <c r="L115" s="2">
        <v>107.8</v>
      </c>
      <c r="M115" s="3">
        <v>1018</v>
      </c>
      <c r="N115">
        <v>4</v>
      </c>
      <c r="O115">
        <v>4</v>
      </c>
      <c r="P115">
        <v>1</v>
      </c>
      <c r="Q115">
        <v>0</v>
      </c>
      <c r="R115" s="4">
        <v>59.54</v>
      </c>
      <c r="S115">
        <v>0</v>
      </c>
      <c r="T115">
        <v>1</v>
      </c>
    </row>
    <row r="116" spans="1:20" ht="16.5" x14ac:dyDescent="0.3">
      <c r="A116" t="s">
        <v>156</v>
      </c>
      <c r="B116" s="1">
        <v>45312</v>
      </c>
      <c r="C116">
        <v>2024</v>
      </c>
      <c r="D116" t="s">
        <v>21</v>
      </c>
      <c r="E116" t="s">
        <v>22</v>
      </c>
      <c r="F116" t="s">
        <v>23</v>
      </c>
      <c r="G116" t="s">
        <v>39</v>
      </c>
      <c r="H116" t="s">
        <v>36</v>
      </c>
      <c r="I116" t="s">
        <v>40</v>
      </c>
      <c r="J116" t="s">
        <v>27</v>
      </c>
      <c r="K116" t="s">
        <v>32</v>
      </c>
      <c r="L116" s="2">
        <v>10.6</v>
      </c>
      <c r="M116" s="3">
        <v>198</v>
      </c>
      <c r="N116">
        <v>1</v>
      </c>
      <c r="O116">
        <v>3</v>
      </c>
      <c r="P116">
        <v>0</v>
      </c>
      <c r="Q116">
        <v>2</v>
      </c>
      <c r="R116" s="4">
        <v>29.29</v>
      </c>
      <c r="S116">
        <v>0</v>
      </c>
      <c r="T116">
        <v>1</v>
      </c>
    </row>
    <row r="117" spans="1:20" ht="16.5" x14ac:dyDescent="0.3">
      <c r="A117" t="s">
        <v>157</v>
      </c>
      <c r="B117" s="1">
        <v>45313</v>
      </c>
      <c r="C117">
        <v>2024</v>
      </c>
      <c r="D117" t="s">
        <v>21</v>
      </c>
      <c r="E117" t="s">
        <v>22</v>
      </c>
      <c r="F117" t="s">
        <v>38</v>
      </c>
      <c r="G117" t="s">
        <v>35</v>
      </c>
      <c r="H117" t="s">
        <v>48</v>
      </c>
      <c r="I117" t="s">
        <v>31</v>
      </c>
      <c r="J117" t="s">
        <v>27</v>
      </c>
      <c r="K117" t="s">
        <v>28</v>
      </c>
      <c r="L117" s="2">
        <v>133.4</v>
      </c>
      <c r="M117" s="3">
        <v>424</v>
      </c>
      <c r="N117">
        <v>6</v>
      </c>
      <c r="O117">
        <v>6</v>
      </c>
      <c r="P117">
        <v>1</v>
      </c>
      <c r="Q117">
        <v>0</v>
      </c>
      <c r="R117" s="4">
        <v>55.1</v>
      </c>
      <c r="S117">
        <v>0</v>
      </c>
      <c r="T117">
        <v>1</v>
      </c>
    </row>
    <row r="118" spans="1:20" ht="16.5" x14ac:dyDescent="0.3">
      <c r="A118" t="s">
        <v>158</v>
      </c>
      <c r="B118" s="1">
        <v>45313</v>
      </c>
      <c r="C118">
        <v>2024</v>
      </c>
      <c r="D118" t="s">
        <v>21</v>
      </c>
      <c r="E118" t="s">
        <v>22</v>
      </c>
      <c r="F118" t="s">
        <v>34</v>
      </c>
      <c r="G118" t="s">
        <v>39</v>
      </c>
      <c r="H118" t="s">
        <v>43</v>
      </c>
      <c r="I118" t="s">
        <v>40</v>
      </c>
      <c r="J118" t="s">
        <v>41</v>
      </c>
      <c r="K118" t="s">
        <v>28</v>
      </c>
      <c r="L118" s="2">
        <v>148.4</v>
      </c>
      <c r="M118" s="3">
        <v>1108</v>
      </c>
      <c r="N118">
        <v>3</v>
      </c>
      <c r="O118">
        <v>3</v>
      </c>
      <c r="P118">
        <v>1</v>
      </c>
      <c r="Q118">
        <v>0</v>
      </c>
      <c r="R118" s="4">
        <v>228.46</v>
      </c>
      <c r="S118">
        <v>0</v>
      </c>
      <c r="T118">
        <v>1</v>
      </c>
    </row>
    <row r="119" spans="1:20" ht="16.5" x14ac:dyDescent="0.3">
      <c r="A119" t="s">
        <v>159</v>
      </c>
      <c r="B119" s="1">
        <v>45313</v>
      </c>
      <c r="C119">
        <v>2024</v>
      </c>
      <c r="D119" t="s">
        <v>21</v>
      </c>
      <c r="E119" t="s">
        <v>22</v>
      </c>
      <c r="F119" t="s">
        <v>34</v>
      </c>
      <c r="G119" t="s">
        <v>35</v>
      </c>
      <c r="H119" t="s">
        <v>25</v>
      </c>
      <c r="I119" t="s">
        <v>40</v>
      </c>
      <c r="J119" t="s">
        <v>41</v>
      </c>
      <c r="K119" t="s">
        <v>28</v>
      </c>
      <c r="L119" s="2">
        <v>58.5</v>
      </c>
      <c r="M119" s="3">
        <v>668</v>
      </c>
      <c r="N119">
        <v>2</v>
      </c>
      <c r="O119">
        <v>2</v>
      </c>
      <c r="P119">
        <v>1</v>
      </c>
      <c r="Q119">
        <v>0</v>
      </c>
      <c r="R119" s="4">
        <v>132.83000000000001</v>
      </c>
      <c r="S119">
        <v>0</v>
      </c>
      <c r="T119">
        <v>1</v>
      </c>
    </row>
    <row r="120" spans="1:20" ht="16.5" x14ac:dyDescent="0.3">
      <c r="A120" t="s">
        <v>160</v>
      </c>
      <c r="B120" s="1">
        <v>45313</v>
      </c>
      <c r="C120">
        <v>2024</v>
      </c>
      <c r="D120" t="s">
        <v>21</v>
      </c>
      <c r="E120" t="s">
        <v>22</v>
      </c>
      <c r="F120" t="s">
        <v>57</v>
      </c>
      <c r="G120" t="s">
        <v>35</v>
      </c>
      <c r="H120" t="s">
        <v>25</v>
      </c>
      <c r="I120" t="s">
        <v>26</v>
      </c>
      <c r="J120" t="s">
        <v>27</v>
      </c>
      <c r="K120" t="s">
        <v>32</v>
      </c>
      <c r="L120" s="2">
        <v>4.4000000000000004</v>
      </c>
      <c r="M120" s="3">
        <v>961</v>
      </c>
      <c r="N120">
        <v>4</v>
      </c>
      <c r="O120">
        <v>3</v>
      </c>
      <c r="P120">
        <v>1</v>
      </c>
      <c r="Q120">
        <v>0</v>
      </c>
      <c r="R120" s="4">
        <v>22.52</v>
      </c>
      <c r="S120">
        <v>0</v>
      </c>
      <c r="T120">
        <v>1</v>
      </c>
    </row>
    <row r="121" spans="1:20" ht="16.5" x14ac:dyDescent="0.3">
      <c r="A121" t="s">
        <v>161</v>
      </c>
      <c r="B121" s="1">
        <v>45313</v>
      </c>
      <c r="C121">
        <v>2024</v>
      </c>
      <c r="D121" t="s">
        <v>21</v>
      </c>
      <c r="E121" t="s">
        <v>22</v>
      </c>
      <c r="F121" t="s">
        <v>57</v>
      </c>
      <c r="G121" t="s">
        <v>24</v>
      </c>
      <c r="H121" t="s">
        <v>25</v>
      </c>
      <c r="I121" t="s">
        <v>31</v>
      </c>
      <c r="J121" t="s">
        <v>27</v>
      </c>
      <c r="K121" t="s">
        <v>32</v>
      </c>
      <c r="L121" s="2">
        <v>4.9000000000000004</v>
      </c>
      <c r="M121" s="3">
        <v>957</v>
      </c>
      <c r="N121">
        <v>6</v>
      </c>
      <c r="O121">
        <v>6</v>
      </c>
      <c r="P121">
        <v>1</v>
      </c>
      <c r="Q121">
        <v>0</v>
      </c>
      <c r="R121" s="4">
        <v>14.64</v>
      </c>
      <c r="S121">
        <v>0</v>
      </c>
      <c r="T121">
        <v>1</v>
      </c>
    </row>
    <row r="122" spans="1:20" ht="16.5" x14ac:dyDescent="0.3">
      <c r="A122" t="s">
        <v>162</v>
      </c>
      <c r="B122" s="1">
        <v>45313</v>
      </c>
      <c r="C122">
        <v>2024</v>
      </c>
      <c r="D122" t="s">
        <v>21</v>
      </c>
      <c r="E122" t="s">
        <v>22</v>
      </c>
      <c r="F122" t="s">
        <v>34</v>
      </c>
      <c r="G122" t="s">
        <v>39</v>
      </c>
      <c r="H122" t="s">
        <v>48</v>
      </c>
      <c r="I122" t="s">
        <v>31</v>
      </c>
      <c r="J122" t="s">
        <v>27</v>
      </c>
      <c r="K122" t="s">
        <v>32</v>
      </c>
      <c r="L122" s="2">
        <v>17</v>
      </c>
      <c r="M122" s="3">
        <v>511</v>
      </c>
      <c r="N122">
        <v>6</v>
      </c>
      <c r="O122">
        <v>8</v>
      </c>
      <c r="P122">
        <v>0</v>
      </c>
      <c r="Q122">
        <v>2</v>
      </c>
      <c r="R122" s="4">
        <v>13.18</v>
      </c>
      <c r="S122">
        <v>0</v>
      </c>
      <c r="T122">
        <v>1</v>
      </c>
    </row>
    <row r="123" spans="1:20" ht="16.5" x14ac:dyDescent="0.3">
      <c r="A123" t="s">
        <v>163</v>
      </c>
      <c r="B123" s="1">
        <v>45313</v>
      </c>
      <c r="C123">
        <v>2024</v>
      </c>
      <c r="D123" t="s">
        <v>21</v>
      </c>
      <c r="E123" t="s">
        <v>22</v>
      </c>
      <c r="F123" t="s">
        <v>30</v>
      </c>
      <c r="G123" t="s">
        <v>39</v>
      </c>
      <c r="H123" t="s">
        <v>43</v>
      </c>
      <c r="I123" t="s">
        <v>26</v>
      </c>
      <c r="J123" t="s">
        <v>27</v>
      </c>
      <c r="K123" t="s">
        <v>32</v>
      </c>
      <c r="L123" s="2">
        <v>2.5</v>
      </c>
      <c r="M123" s="3">
        <v>1170</v>
      </c>
      <c r="N123">
        <v>5</v>
      </c>
      <c r="O123">
        <v>4</v>
      </c>
      <c r="P123">
        <v>1</v>
      </c>
      <c r="Q123">
        <v>0</v>
      </c>
      <c r="R123" s="4">
        <v>22.76</v>
      </c>
      <c r="S123">
        <v>0</v>
      </c>
      <c r="T123">
        <v>1</v>
      </c>
    </row>
    <row r="124" spans="1:20" ht="16.5" x14ac:dyDescent="0.3">
      <c r="A124" t="s">
        <v>164</v>
      </c>
      <c r="B124" s="1">
        <v>45313</v>
      </c>
      <c r="C124">
        <v>2024</v>
      </c>
      <c r="D124" t="s">
        <v>21</v>
      </c>
      <c r="E124" t="s">
        <v>22</v>
      </c>
      <c r="F124" t="s">
        <v>57</v>
      </c>
      <c r="G124" t="s">
        <v>39</v>
      </c>
      <c r="H124" t="s">
        <v>36</v>
      </c>
      <c r="I124" t="s">
        <v>31</v>
      </c>
      <c r="J124" t="s">
        <v>27</v>
      </c>
      <c r="K124" t="s">
        <v>28</v>
      </c>
      <c r="L124" s="2">
        <v>42.9</v>
      </c>
      <c r="M124" s="3">
        <v>202</v>
      </c>
      <c r="N124">
        <v>5</v>
      </c>
      <c r="O124">
        <v>5</v>
      </c>
      <c r="P124">
        <v>1</v>
      </c>
      <c r="Q124">
        <v>0</v>
      </c>
      <c r="R124" s="4">
        <v>22.13</v>
      </c>
      <c r="S124">
        <v>0</v>
      </c>
      <c r="T124">
        <v>1</v>
      </c>
    </row>
    <row r="125" spans="1:20" ht="16.5" x14ac:dyDescent="0.3">
      <c r="A125" t="s">
        <v>165</v>
      </c>
      <c r="B125" s="1">
        <v>45313</v>
      </c>
      <c r="C125">
        <v>2024</v>
      </c>
      <c r="D125" t="s">
        <v>21</v>
      </c>
      <c r="E125" t="s">
        <v>22</v>
      </c>
      <c r="F125" t="s">
        <v>23</v>
      </c>
      <c r="G125" t="s">
        <v>39</v>
      </c>
      <c r="H125" t="s">
        <v>36</v>
      </c>
      <c r="I125" t="s">
        <v>26</v>
      </c>
      <c r="J125" t="s">
        <v>27</v>
      </c>
      <c r="K125" t="s">
        <v>32</v>
      </c>
      <c r="L125" s="2">
        <v>2.6</v>
      </c>
      <c r="M125" s="3">
        <v>272</v>
      </c>
      <c r="N125">
        <v>3</v>
      </c>
      <c r="O125">
        <v>3</v>
      </c>
      <c r="P125">
        <v>1</v>
      </c>
      <c r="Q125">
        <v>0</v>
      </c>
      <c r="R125" s="4">
        <v>10.86</v>
      </c>
      <c r="S125">
        <v>0</v>
      </c>
      <c r="T125">
        <v>1</v>
      </c>
    </row>
    <row r="126" spans="1:20" ht="16.5" x14ac:dyDescent="0.3">
      <c r="A126" t="s">
        <v>166</v>
      </c>
      <c r="B126" s="1">
        <v>45314</v>
      </c>
      <c r="C126">
        <v>2024</v>
      </c>
      <c r="D126" t="s">
        <v>21</v>
      </c>
      <c r="E126" t="s">
        <v>22</v>
      </c>
      <c r="F126" t="s">
        <v>34</v>
      </c>
      <c r="G126" t="s">
        <v>39</v>
      </c>
      <c r="H126" t="s">
        <v>48</v>
      </c>
      <c r="I126" t="s">
        <v>40</v>
      </c>
      <c r="J126" t="s">
        <v>27</v>
      </c>
      <c r="K126" t="s">
        <v>28</v>
      </c>
      <c r="L126" s="2">
        <v>219.6</v>
      </c>
      <c r="M126" s="3">
        <v>477</v>
      </c>
      <c r="N126">
        <v>2</v>
      </c>
      <c r="O126">
        <v>3</v>
      </c>
      <c r="P126">
        <v>0</v>
      </c>
      <c r="Q126">
        <v>1</v>
      </c>
      <c r="R126" s="4">
        <v>178.05</v>
      </c>
      <c r="S126">
        <v>0</v>
      </c>
      <c r="T126">
        <v>1</v>
      </c>
    </row>
    <row r="127" spans="1:20" ht="16.5" x14ac:dyDescent="0.3">
      <c r="A127" t="s">
        <v>167</v>
      </c>
      <c r="B127" s="1">
        <v>45314</v>
      </c>
      <c r="C127">
        <v>2024</v>
      </c>
      <c r="D127" t="s">
        <v>21</v>
      </c>
      <c r="E127" t="s">
        <v>22</v>
      </c>
      <c r="F127" t="s">
        <v>57</v>
      </c>
      <c r="G127" t="s">
        <v>35</v>
      </c>
      <c r="H127" t="s">
        <v>25</v>
      </c>
      <c r="I127" t="s">
        <v>26</v>
      </c>
      <c r="J127" t="s">
        <v>27</v>
      </c>
      <c r="K127" t="s">
        <v>32</v>
      </c>
      <c r="L127" s="2">
        <v>3.2</v>
      </c>
      <c r="M127" s="3">
        <v>862</v>
      </c>
      <c r="N127">
        <v>4</v>
      </c>
      <c r="O127">
        <v>4</v>
      </c>
      <c r="P127">
        <v>1</v>
      </c>
      <c r="Q127">
        <v>0</v>
      </c>
      <c r="R127" s="4">
        <v>18.440000000000001</v>
      </c>
      <c r="S127">
        <v>0</v>
      </c>
      <c r="T127">
        <v>1</v>
      </c>
    </row>
    <row r="128" spans="1:20" ht="16.5" x14ac:dyDescent="0.3">
      <c r="A128" t="s">
        <v>168</v>
      </c>
      <c r="B128" s="1">
        <v>45314</v>
      </c>
      <c r="C128">
        <v>2024</v>
      </c>
      <c r="D128" t="s">
        <v>21</v>
      </c>
      <c r="E128" t="s">
        <v>22</v>
      </c>
      <c r="F128" t="s">
        <v>23</v>
      </c>
      <c r="G128" t="s">
        <v>24</v>
      </c>
      <c r="H128" t="s">
        <v>25</v>
      </c>
      <c r="I128" t="s">
        <v>40</v>
      </c>
      <c r="J128" t="s">
        <v>41</v>
      </c>
      <c r="K128" t="s">
        <v>28</v>
      </c>
      <c r="L128" s="2">
        <v>114.7</v>
      </c>
      <c r="M128" s="3">
        <v>868</v>
      </c>
      <c r="N128">
        <v>2</v>
      </c>
      <c r="O128">
        <v>2</v>
      </c>
      <c r="P128">
        <v>1</v>
      </c>
      <c r="Q128">
        <v>0</v>
      </c>
      <c r="R128" s="4">
        <v>193.52</v>
      </c>
      <c r="S128">
        <v>0</v>
      </c>
      <c r="T128">
        <v>1</v>
      </c>
    </row>
    <row r="129" spans="1:20" ht="16.5" x14ac:dyDescent="0.3">
      <c r="A129" t="s">
        <v>169</v>
      </c>
      <c r="B129" s="1">
        <v>45314</v>
      </c>
      <c r="C129">
        <v>2024</v>
      </c>
      <c r="D129" t="s">
        <v>21</v>
      </c>
      <c r="E129" t="s">
        <v>22</v>
      </c>
      <c r="F129" t="s">
        <v>34</v>
      </c>
      <c r="G129" t="s">
        <v>35</v>
      </c>
      <c r="H129" t="s">
        <v>48</v>
      </c>
      <c r="I129" t="s">
        <v>31</v>
      </c>
      <c r="J129" t="s">
        <v>27</v>
      </c>
      <c r="K129" t="s">
        <v>28</v>
      </c>
      <c r="L129" s="2">
        <v>124.2</v>
      </c>
      <c r="M129" s="3">
        <v>438</v>
      </c>
      <c r="N129">
        <v>6</v>
      </c>
      <c r="O129">
        <v>6</v>
      </c>
      <c r="P129">
        <v>1</v>
      </c>
      <c r="Q129">
        <v>0</v>
      </c>
      <c r="R129" s="4">
        <v>39.53</v>
      </c>
      <c r="S129">
        <v>0</v>
      </c>
      <c r="T129">
        <v>1</v>
      </c>
    </row>
    <row r="130" spans="1:20" ht="16.5" x14ac:dyDescent="0.3">
      <c r="A130" t="s">
        <v>170</v>
      </c>
      <c r="B130" s="1">
        <v>45314</v>
      </c>
      <c r="C130">
        <v>2024</v>
      </c>
      <c r="D130" t="s">
        <v>21</v>
      </c>
      <c r="E130" t="s">
        <v>22</v>
      </c>
      <c r="F130" t="s">
        <v>23</v>
      </c>
      <c r="G130" t="s">
        <v>39</v>
      </c>
      <c r="H130" t="s">
        <v>48</v>
      </c>
      <c r="I130" t="s">
        <v>26</v>
      </c>
      <c r="J130" t="s">
        <v>27</v>
      </c>
      <c r="K130" t="s">
        <v>32</v>
      </c>
      <c r="L130" s="2">
        <v>4.9000000000000004</v>
      </c>
      <c r="M130" s="3">
        <v>544</v>
      </c>
      <c r="N130">
        <v>4</v>
      </c>
      <c r="O130">
        <v>3</v>
      </c>
      <c r="P130">
        <v>1</v>
      </c>
      <c r="Q130">
        <v>0</v>
      </c>
      <c r="R130" s="4">
        <v>15.78</v>
      </c>
      <c r="S130">
        <v>0</v>
      </c>
      <c r="T130">
        <v>1</v>
      </c>
    </row>
    <row r="131" spans="1:20" ht="16.5" x14ac:dyDescent="0.3">
      <c r="A131" t="s">
        <v>171</v>
      </c>
      <c r="B131" s="1">
        <v>45314</v>
      </c>
      <c r="C131">
        <v>2024</v>
      </c>
      <c r="D131" t="s">
        <v>21</v>
      </c>
      <c r="E131" t="s">
        <v>22</v>
      </c>
      <c r="F131" t="s">
        <v>57</v>
      </c>
      <c r="G131" t="s">
        <v>35</v>
      </c>
      <c r="H131" t="s">
        <v>48</v>
      </c>
      <c r="I131" t="s">
        <v>26</v>
      </c>
      <c r="J131" t="s">
        <v>27</v>
      </c>
      <c r="K131" t="s">
        <v>32</v>
      </c>
      <c r="L131" s="2">
        <v>2.1</v>
      </c>
      <c r="M131" s="3">
        <v>531</v>
      </c>
      <c r="N131">
        <v>4</v>
      </c>
      <c r="O131">
        <v>3</v>
      </c>
      <c r="P131">
        <v>1</v>
      </c>
      <c r="Q131">
        <v>0</v>
      </c>
      <c r="R131" s="4">
        <v>13.89</v>
      </c>
      <c r="S131">
        <v>0</v>
      </c>
      <c r="T131">
        <v>1</v>
      </c>
    </row>
    <row r="132" spans="1:20" ht="16.5" x14ac:dyDescent="0.3">
      <c r="A132" t="s">
        <v>172</v>
      </c>
      <c r="B132" s="1">
        <v>45314</v>
      </c>
      <c r="C132">
        <v>2024</v>
      </c>
      <c r="D132" t="s">
        <v>21</v>
      </c>
      <c r="E132" t="s">
        <v>22</v>
      </c>
      <c r="F132" t="s">
        <v>23</v>
      </c>
      <c r="G132" t="s">
        <v>35</v>
      </c>
      <c r="H132" t="s">
        <v>36</v>
      </c>
      <c r="I132" t="s">
        <v>40</v>
      </c>
      <c r="J132" t="s">
        <v>27</v>
      </c>
      <c r="K132" t="s">
        <v>32</v>
      </c>
      <c r="L132" s="2">
        <v>4.9000000000000004</v>
      </c>
      <c r="M132" s="3">
        <v>194</v>
      </c>
      <c r="N132">
        <v>1</v>
      </c>
      <c r="O132">
        <v>1</v>
      </c>
      <c r="P132">
        <v>1</v>
      </c>
      <c r="Q132">
        <v>0</v>
      </c>
      <c r="R132" s="4">
        <v>20.52</v>
      </c>
      <c r="S132">
        <v>0</v>
      </c>
      <c r="T132">
        <v>1</v>
      </c>
    </row>
    <row r="133" spans="1:20" ht="16.5" x14ac:dyDescent="0.3">
      <c r="A133" t="s">
        <v>173</v>
      </c>
      <c r="B133" s="1">
        <v>45314</v>
      </c>
      <c r="C133">
        <v>2024</v>
      </c>
      <c r="D133" t="s">
        <v>21</v>
      </c>
      <c r="E133" t="s">
        <v>22</v>
      </c>
      <c r="F133" t="s">
        <v>38</v>
      </c>
      <c r="G133" t="s">
        <v>39</v>
      </c>
      <c r="H133" t="s">
        <v>25</v>
      </c>
      <c r="I133" t="s">
        <v>26</v>
      </c>
      <c r="J133" t="s">
        <v>27</v>
      </c>
      <c r="K133" t="s">
        <v>32</v>
      </c>
      <c r="L133" s="2">
        <v>5.3</v>
      </c>
      <c r="M133" s="3">
        <v>1007</v>
      </c>
      <c r="N133">
        <v>4</v>
      </c>
      <c r="O133">
        <v>4</v>
      </c>
      <c r="P133">
        <v>1</v>
      </c>
      <c r="Q133">
        <v>0</v>
      </c>
      <c r="R133" s="4">
        <v>23.22</v>
      </c>
      <c r="S133">
        <v>0</v>
      </c>
      <c r="T133">
        <v>1</v>
      </c>
    </row>
    <row r="134" spans="1:20" ht="16.5" x14ac:dyDescent="0.3">
      <c r="A134" t="s">
        <v>174</v>
      </c>
      <c r="B134" s="1">
        <v>45314</v>
      </c>
      <c r="C134">
        <v>2024</v>
      </c>
      <c r="D134" t="s">
        <v>21</v>
      </c>
      <c r="E134" t="s">
        <v>22</v>
      </c>
      <c r="F134" t="s">
        <v>57</v>
      </c>
      <c r="G134" t="s">
        <v>39</v>
      </c>
      <c r="H134" t="s">
        <v>48</v>
      </c>
      <c r="I134" t="s">
        <v>26</v>
      </c>
      <c r="J134" t="s">
        <v>27</v>
      </c>
      <c r="K134" t="s">
        <v>28</v>
      </c>
      <c r="L134" s="2">
        <v>39.200000000000003</v>
      </c>
      <c r="M134" s="3">
        <v>428</v>
      </c>
      <c r="N134">
        <v>4</v>
      </c>
      <c r="O134">
        <v>6</v>
      </c>
      <c r="P134">
        <v>0</v>
      </c>
      <c r="Q134">
        <v>2</v>
      </c>
      <c r="R134" s="4">
        <v>29.29</v>
      </c>
      <c r="S134">
        <v>0</v>
      </c>
      <c r="T134">
        <v>1</v>
      </c>
    </row>
    <row r="135" spans="1:20" ht="16.5" x14ac:dyDescent="0.3">
      <c r="A135" t="s">
        <v>175</v>
      </c>
      <c r="B135" s="1">
        <v>45314</v>
      </c>
      <c r="C135">
        <v>2024</v>
      </c>
      <c r="D135" t="s">
        <v>21</v>
      </c>
      <c r="E135" t="s">
        <v>22</v>
      </c>
      <c r="F135" t="s">
        <v>57</v>
      </c>
      <c r="G135" t="s">
        <v>24</v>
      </c>
      <c r="H135" t="s">
        <v>25</v>
      </c>
      <c r="I135" t="s">
        <v>31</v>
      </c>
      <c r="J135" t="s">
        <v>27</v>
      </c>
      <c r="K135" t="s">
        <v>28</v>
      </c>
      <c r="L135" s="2">
        <v>65</v>
      </c>
      <c r="M135" s="3">
        <v>954</v>
      </c>
      <c r="N135">
        <v>6</v>
      </c>
      <c r="O135">
        <v>7</v>
      </c>
      <c r="P135">
        <v>0</v>
      </c>
      <c r="Q135">
        <v>1</v>
      </c>
      <c r="R135" s="4">
        <v>35.08</v>
      </c>
      <c r="S135">
        <v>0</v>
      </c>
      <c r="T135">
        <v>1</v>
      </c>
    </row>
    <row r="136" spans="1:20" ht="16.5" x14ac:dyDescent="0.3">
      <c r="A136" t="s">
        <v>176</v>
      </c>
      <c r="B136" s="1">
        <v>45314</v>
      </c>
      <c r="C136">
        <v>2024</v>
      </c>
      <c r="D136" t="s">
        <v>21</v>
      </c>
      <c r="E136" t="s">
        <v>22</v>
      </c>
      <c r="F136" t="s">
        <v>23</v>
      </c>
      <c r="G136" t="s">
        <v>39</v>
      </c>
      <c r="H136" t="s">
        <v>48</v>
      </c>
      <c r="I136" t="s">
        <v>31</v>
      </c>
      <c r="J136" t="s">
        <v>27</v>
      </c>
      <c r="K136" t="s">
        <v>32</v>
      </c>
      <c r="L136" s="2">
        <v>5.0999999999999996</v>
      </c>
      <c r="M136" s="3">
        <v>494</v>
      </c>
      <c r="N136">
        <v>6</v>
      </c>
      <c r="O136">
        <v>7</v>
      </c>
      <c r="P136">
        <v>0</v>
      </c>
      <c r="Q136">
        <v>1</v>
      </c>
      <c r="R136" s="4">
        <v>10.61</v>
      </c>
      <c r="S136">
        <v>0</v>
      </c>
      <c r="T136">
        <v>1</v>
      </c>
    </row>
    <row r="137" spans="1:20" ht="16.5" x14ac:dyDescent="0.3">
      <c r="A137" t="s">
        <v>177</v>
      </c>
      <c r="B137" s="1">
        <v>45315</v>
      </c>
      <c r="C137">
        <v>2024</v>
      </c>
      <c r="D137" t="s">
        <v>21</v>
      </c>
      <c r="E137" t="s">
        <v>22</v>
      </c>
      <c r="F137" t="s">
        <v>23</v>
      </c>
      <c r="G137" t="s">
        <v>35</v>
      </c>
      <c r="H137" t="s">
        <v>25</v>
      </c>
      <c r="I137" t="s">
        <v>31</v>
      </c>
      <c r="J137" t="s">
        <v>27</v>
      </c>
      <c r="K137" t="s">
        <v>32</v>
      </c>
      <c r="L137" s="2">
        <v>4.4000000000000004</v>
      </c>
      <c r="M137" s="3">
        <v>1099</v>
      </c>
      <c r="N137">
        <v>6</v>
      </c>
      <c r="O137">
        <v>9</v>
      </c>
      <c r="P137">
        <v>0</v>
      </c>
      <c r="Q137">
        <v>3</v>
      </c>
      <c r="R137" s="4">
        <v>16.34</v>
      </c>
      <c r="S137">
        <v>0</v>
      </c>
      <c r="T137">
        <v>1</v>
      </c>
    </row>
    <row r="138" spans="1:20" ht="16.5" x14ac:dyDescent="0.3">
      <c r="A138" t="s">
        <v>178</v>
      </c>
      <c r="B138" s="1">
        <v>45315</v>
      </c>
      <c r="C138">
        <v>2024</v>
      </c>
      <c r="D138" t="s">
        <v>21</v>
      </c>
      <c r="E138" t="s">
        <v>22</v>
      </c>
      <c r="F138" t="s">
        <v>23</v>
      </c>
      <c r="G138" t="s">
        <v>35</v>
      </c>
      <c r="H138" t="s">
        <v>43</v>
      </c>
      <c r="I138" t="s">
        <v>40</v>
      </c>
      <c r="J138" t="s">
        <v>41</v>
      </c>
      <c r="K138" t="s">
        <v>28</v>
      </c>
      <c r="L138" s="2">
        <v>105.3</v>
      </c>
      <c r="M138" s="3">
        <v>1027</v>
      </c>
      <c r="N138">
        <v>3</v>
      </c>
      <c r="O138">
        <v>2</v>
      </c>
      <c r="P138">
        <v>1</v>
      </c>
      <c r="Q138">
        <v>0</v>
      </c>
      <c r="R138" s="4">
        <v>184.49</v>
      </c>
      <c r="S138">
        <v>0</v>
      </c>
      <c r="T138">
        <v>1</v>
      </c>
    </row>
    <row r="139" spans="1:20" ht="16.5" x14ac:dyDescent="0.3">
      <c r="A139" t="s">
        <v>179</v>
      </c>
      <c r="B139" s="1">
        <v>45315</v>
      </c>
      <c r="C139">
        <v>2024</v>
      </c>
      <c r="D139" t="s">
        <v>21</v>
      </c>
      <c r="E139" t="s">
        <v>22</v>
      </c>
      <c r="F139" t="s">
        <v>34</v>
      </c>
      <c r="G139" t="s">
        <v>24</v>
      </c>
      <c r="H139" t="s">
        <v>36</v>
      </c>
      <c r="I139" t="s">
        <v>40</v>
      </c>
      <c r="J139" t="s">
        <v>27</v>
      </c>
      <c r="K139" t="s">
        <v>28</v>
      </c>
      <c r="L139" s="2">
        <v>92.2</v>
      </c>
      <c r="M139" s="3">
        <v>245</v>
      </c>
      <c r="N139">
        <v>1</v>
      </c>
      <c r="O139">
        <v>1</v>
      </c>
      <c r="P139">
        <v>1</v>
      </c>
      <c r="Q139">
        <v>0</v>
      </c>
      <c r="R139" s="4">
        <v>88.81</v>
      </c>
      <c r="S139">
        <v>0</v>
      </c>
      <c r="T139">
        <v>1</v>
      </c>
    </row>
    <row r="140" spans="1:20" ht="16.5" x14ac:dyDescent="0.3">
      <c r="A140" t="s">
        <v>180</v>
      </c>
      <c r="B140" s="1">
        <v>45315</v>
      </c>
      <c r="C140">
        <v>2024</v>
      </c>
      <c r="D140" t="s">
        <v>21</v>
      </c>
      <c r="E140" t="s">
        <v>22</v>
      </c>
      <c r="F140" t="s">
        <v>38</v>
      </c>
      <c r="G140" t="s">
        <v>24</v>
      </c>
      <c r="H140" t="s">
        <v>51</v>
      </c>
      <c r="I140" t="s">
        <v>26</v>
      </c>
      <c r="J140" t="s">
        <v>27</v>
      </c>
      <c r="K140" t="s">
        <v>28</v>
      </c>
      <c r="L140" s="2">
        <v>102</v>
      </c>
      <c r="M140" s="3">
        <v>1197</v>
      </c>
      <c r="N140">
        <v>5</v>
      </c>
      <c r="O140">
        <v>5</v>
      </c>
      <c r="P140">
        <v>1</v>
      </c>
      <c r="Q140">
        <v>0</v>
      </c>
      <c r="R140" s="4">
        <v>64.290000000000006</v>
      </c>
      <c r="S140">
        <v>0</v>
      </c>
      <c r="T140">
        <v>1</v>
      </c>
    </row>
    <row r="141" spans="1:20" ht="16.5" x14ac:dyDescent="0.3">
      <c r="A141" t="s">
        <v>181</v>
      </c>
      <c r="B141" s="1">
        <v>45315</v>
      </c>
      <c r="C141">
        <v>2024</v>
      </c>
      <c r="D141" t="s">
        <v>21</v>
      </c>
      <c r="E141" t="s">
        <v>22</v>
      </c>
      <c r="F141" t="s">
        <v>34</v>
      </c>
      <c r="G141" t="s">
        <v>24</v>
      </c>
      <c r="H141" t="s">
        <v>51</v>
      </c>
      <c r="I141" t="s">
        <v>31</v>
      </c>
      <c r="J141" t="s">
        <v>27</v>
      </c>
      <c r="K141" t="s">
        <v>28</v>
      </c>
      <c r="L141" s="2">
        <v>91.7</v>
      </c>
      <c r="M141" s="3">
        <v>946</v>
      </c>
      <c r="N141">
        <v>7</v>
      </c>
      <c r="O141">
        <v>7</v>
      </c>
      <c r="P141">
        <v>1</v>
      </c>
      <c r="Q141">
        <v>0</v>
      </c>
      <c r="R141" s="4">
        <v>31.4</v>
      </c>
      <c r="S141">
        <v>0</v>
      </c>
      <c r="T141">
        <v>1</v>
      </c>
    </row>
    <row r="142" spans="1:20" ht="16.5" x14ac:dyDescent="0.3">
      <c r="A142" t="s">
        <v>182</v>
      </c>
      <c r="B142" s="1">
        <v>45316</v>
      </c>
      <c r="C142">
        <v>2024</v>
      </c>
      <c r="D142" t="s">
        <v>21</v>
      </c>
      <c r="E142" t="s">
        <v>22</v>
      </c>
      <c r="F142" t="s">
        <v>23</v>
      </c>
      <c r="G142" t="s">
        <v>24</v>
      </c>
      <c r="H142" t="s">
        <v>25</v>
      </c>
      <c r="I142" t="s">
        <v>26</v>
      </c>
      <c r="J142" t="s">
        <v>27</v>
      </c>
      <c r="K142" t="s">
        <v>28</v>
      </c>
      <c r="L142" s="2">
        <v>520.29999999999995</v>
      </c>
      <c r="M142" s="3">
        <v>814</v>
      </c>
      <c r="N142">
        <v>4</v>
      </c>
      <c r="O142">
        <v>7</v>
      </c>
      <c r="P142">
        <v>0</v>
      </c>
      <c r="Q142">
        <v>3</v>
      </c>
      <c r="R142" s="4">
        <v>195.94</v>
      </c>
      <c r="S142">
        <v>0</v>
      </c>
      <c r="T142">
        <v>1</v>
      </c>
    </row>
    <row r="143" spans="1:20" ht="16.5" x14ac:dyDescent="0.3">
      <c r="A143" t="s">
        <v>183</v>
      </c>
      <c r="B143" s="1">
        <v>45316</v>
      </c>
      <c r="C143">
        <v>2024</v>
      </c>
      <c r="D143" t="s">
        <v>21</v>
      </c>
      <c r="E143" t="s">
        <v>22</v>
      </c>
      <c r="F143" t="s">
        <v>57</v>
      </c>
      <c r="G143" t="s">
        <v>35</v>
      </c>
      <c r="H143" t="s">
        <v>48</v>
      </c>
      <c r="I143" t="s">
        <v>31</v>
      </c>
      <c r="J143" t="s">
        <v>27</v>
      </c>
      <c r="K143" t="s">
        <v>32</v>
      </c>
      <c r="L143" s="2">
        <v>2.2999999999999998</v>
      </c>
      <c r="M143" s="3">
        <v>408</v>
      </c>
      <c r="N143">
        <v>6</v>
      </c>
      <c r="O143">
        <v>6</v>
      </c>
      <c r="P143">
        <v>1</v>
      </c>
      <c r="Q143">
        <v>0</v>
      </c>
      <c r="R143" s="4">
        <v>9.32</v>
      </c>
      <c r="S143">
        <v>0</v>
      </c>
      <c r="T143">
        <v>1</v>
      </c>
    </row>
    <row r="144" spans="1:20" ht="16.5" x14ac:dyDescent="0.3">
      <c r="A144" t="s">
        <v>184</v>
      </c>
      <c r="B144" s="1">
        <v>45316</v>
      </c>
      <c r="C144">
        <v>2024</v>
      </c>
      <c r="D144" t="s">
        <v>21</v>
      </c>
      <c r="E144" t="s">
        <v>22</v>
      </c>
      <c r="F144" t="s">
        <v>30</v>
      </c>
      <c r="G144" t="s">
        <v>35</v>
      </c>
      <c r="H144" t="s">
        <v>36</v>
      </c>
      <c r="I144" t="s">
        <v>26</v>
      </c>
      <c r="J144" t="s">
        <v>27</v>
      </c>
      <c r="K144" t="s">
        <v>32</v>
      </c>
      <c r="L144" s="2">
        <v>12.6</v>
      </c>
      <c r="M144" s="3">
        <v>226</v>
      </c>
      <c r="N144">
        <v>3</v>
      </c>
      <c r="O144">
        <v>3</v>
      </c>
      <c r="P144">
        <v>1</v>
      </c>
      <c r="Q144">
        <v>0</v>
      </c>
      <c r="R144" s="4">
        <v>18.55</v>
      </c>
      <c r="S144">
        <v>0</v>
      </c>
      <c r="T144">
        <v>1</v>
      </c>
    </row>
    <row r="145" spans="1:20" ht="16.5" x14ac:dyDescent="0.3">
      <c r="A145" t="s">
        <v>185</v>
      </c>
      <c r="B145" s="1">
        <v>45316</v>
      </c>
      <c r="C145">
        <v>2024</v>
      </c>
      <c r="D145" t="s">
        <v>21</v>
      </c>
      <c r="E145" t="s">
        <v>22</v>
      </c>
      <c r="F145" t="s">
        <v>38</v>
      </c>
      <c r="G145" t="s">
        <v>39</v>
      </c>
      <c r="H145" t="s">
        <v>48</v>
      </c>
      <c r="I145" t="s">
        <v>26</v>
      </c>
      <c r="J145" t="s">
        <v>27</v>
      </c>
      <c r="K145" t="s">
        <v>28</v>
      </c>
      <c r="L145" s="2">
        <v>247.1</v>
      </c>
      <c r="M145" s="3">
        <v>442</v>
      </c>
      <c r="N145">
        <v>4</v>
      </c>
      <c r="O145">
        <v>4</v>
      </c>
      <c r="P145">
        <v>1</v>
      </c>
      <c r="Q145">
        <v>0</v>
      </c>
      <c r="R145" s="4">
        <v>119.05</v>
      </c>
      <c r="S145">
        <v>0</v>
      </c>
      <c r="T145">
        <v>1</v>
      </c>
    </row>
    <row r="146" spans="1:20" ht="16.5" x14ac:dyDescent="0.3">
      <c r="A146" t="s">
        <v>186</v>
      </c>
      <c r="B146" s="1">
        <v>45316</v>
      </c>
      <c r="C146">
        <v>2024</v>
      </c>
      <c r="D146" t="s">
        <v>21</v>
      </c>
      <c r="E146" t="s">
        <v>22</v>
      </c>
      <c r="F146" t="s">
        <v>57</v>
      </c>
      <c r="G146" t="s">
        <v>24</v>
      </c>
      <c r="H146" t="s">
        <v>48</v>
      </c>
      <c r="I146" t="s">
        <v>31</v>
      </c>
      <c r="J146" t="s">
        <v>27</v>
      </c>
      <c r="K146" t="s">
        <v>28</v>
      </c>
      <c r="L146" s="2">
        <v>67.3</v>
      </c>
      <c r="M146" s="3">
        <v>503</v>
      </c>
      <c r="N146">
        <v>6</v>
      </c>
      <c r="O146">
        <v>5</v>
      </c>
      <c r="P146">
        <v>1</v>
      </c>
      <c r="Q146">
        <v>0</v>
      </c>
      <c r="R146" s="4">
        <v>31.13</v>
      </c>
      <c r="S146">
        <v>0</v>
      </c>
      <c r="T146">
        <v>1</v>
      </c>
    </row>
    <row r="147" spans="1:20" ht="16.5" x14ac:dyDescent="0.3">
      <c r="A147" t="s">
        <v>187</v>
      </c>
      <c r="B147" s="1">
        <v>45316</v>
      </c>
      <c r="C147">
        <v>2024</v>
      </c>
      <c r="D147" t="s">
        <v>21</v>
      </c>
      <c r="E147" t="s">
        <v>22</v>
      </c>
      <c r="F147" t="s">
        <v>38</v>
      </c>
      <c r="G147" t="s">
        <v>39</v>
      </c>
      <c r="H147" t="s">
        <v>25</v>
      </c>
      <c r="I147" t="s">
        <v>26</v>
      </c>
      <c r="J147" t="s">
        <v>27</v>
      </c>
      <c r="K147" t="s">
        <v>32</v>
      </c>
      <c r="L147" s="2">
        <v>1.8</v>
      </c>
      <c r="M147" s="3">
        <v>771</v>
      </c>
      <c r="N147">
        <v>4</v>
      </c>
      <c r="O147">
        <v>4</v>
      </c>
      <c r="P147">
        <v>1</v>
      </c>
      <c r="Q147">
        <v>0</v>
      </c>
      <c r="R147" s="4">
        <v>18.600000000000001</v>
      </c>
      <c r="S147">
        <v>0</v>
      </c>
      <c r="T147">
        <v>1</v>
      </c>
    </row>
    <row r="148" spans="1:20" ht="16.5" x14ac:dyDescent="0.3">
      <c r="A148" t="s">
        <v>188</v>
      </c>
      <c r="B148" s="1">
        <v>45316</v>
      </c>
      <c r="C148">
        <v>2024</v>
      </c>
      <c r="D148" t="s">
        <v>21</v>
      </c>
      <c r="E148" t="s">
        <v>22</v>
      </c>
      <c r="F148" t="s">
        <v>57</v>
      </c>
      <c r="G148" t="s">
        <v>35</v>
      </c>
      <c r="H148" t="s">
        <v>48</v>
      </c>
      <c r="I148" t="s">
        <v>40</v>
      </c>
      <c r="J148" t="s">
        <v>27</v>
      </c>
      <c r="K148" t="s">
        <v>28</v>
      </c>
      <c r="L148" s="2">
        <v>26.6</v>
      </c>
      <c r="M148" s="3">
        <v>345</v>
      </c>
      <c r="N148">
        <v>2</v>
      </c>
      <c r="O148">
        <v>2</v>
      </c>
      <c r="P148">
        <v>1</v>
      </c>
      <c r="Q148">
        <v>0</v>
      </c>
      <c r="R148" s="4">
        <v>47.05</v>
      </c>
      <c r="S148">
        <v>0</v>
      </c>
      <c r="T148">
        <v>1</v>
      </c>
    </row>
    <row r="149" spans="1:20" ht="16.5" x14ac:dyDescent="0.3">
      <c r="A149" t="s">
        <v>189</v>
      </c>
      <c r="B149" s="1">
        <v>45316</v>
      </c>
      <c r="C149">
        <v>2024</v>
      </c>
      <c r="D149" t="s">
        <v>21</v>
      </c>
      <c r="E149" t="s">
        <v>22</v>
      </c>
      <c r="F149" t="s">
        <v>34</v>
      </c>
      <c r="G149" t="s">
        <v>24</v>
      </c>
      <c r="H149" t="s">
        <v>25</v>
      </c>
      <c r="I149" t="s">
        <v>26</v>
      </c>
      <c r="J149" t="s">
        <v>27</v>
      </c>
      <c r="K149" t="s">
        <v>32</v>
      </c>
      <c r="L149" s="2">
        <v>10.9</v>
      </c>
      <c r="M149" s="3">
        <v>1034</v>
      </c>
      <c r="N149">
        <v>4</v>
      </c>
      <c r="O149">
        <v>7</v>
      </c>
      <c r="P149">
        <v>0</v>
      </c>
      <c r="Q149">
        <v>3</v>
      </c>
      <c r="R149" s="4">
        <v>22.68</v>
      </c>
      <c r="S149">
        <v>0</v>
      </c>
      <c r="T149">
        <v>1</v>
      </c>
    </row>
    <row r="150" spans="1:20" ht="16.5" x14ac:dyDescent="0.3">
      <c r="A150" t="s">
        <v>190</v>
      </c>
      <c r="B150" s="1">
        <v>45316</v>
      </c>
      <c r="C150">
        <v>2024</v>
      </c>
      <c r="D150" t="s">
        <v>21</v>
      </c>
      <c r="E150" t="s">
        <v>22</v>
      </c>
      <c r="F150" t="s">
        <v>38</v>
      </c>
      <c r="G150" t="s">
        <v>24</v>
      </c>
      <c r="H150" t="s">
        <v>36</v>
      </c>
      <c r="I150" t="s">
        <v>31</v>
      </c>
      <c r="J150" t="s">
        <v>27</v>
      </c>
      <c r="K150" t="s">
        <v>28</v>
      </c>
      <c r="L150" s="2">
        <v>131</v>
      </c>
      <c r="M150" s="3">
        <v>258</v>
      </c>
      <c r="N150">
        <v>5</v>
      </c>
      <c r="O150">
        <v>4</v>
      </c>
      <c r="P150">
        <v>1</v>
      </c>
      <c r="Q150">
        <v>0</v>
      </c>
      <c r="R150" s="4">
        <v>55.53</v>
      </c>
      <c r="S150">
        <v>0</v>
      </c>
      <c r="T150">
        <v>1</v>
      </c>
    </row>
    <row r="151" spans="1:20" ht="16.5" x14ac:dyDescent="0.3">
      <c r="A151" t="s">
        <v>191</v>
      </c>
      <c r="B151" s="1">
        <v>45316</v>
      </c>
      <c r="C151">
        <v>2024</v>
      </c>
      <c r="D151" t="s">
        <v>21</v>
      </c>
      <c r="E151" t="s">
        <v>22</v>
      </c>
      <c r="F151" t="s">
        <v>57</v>
      </c>
      <c r="G151" t="s">
        <v>39</v>
      </c>
      <c r="H151" t="s">
        <v>25</v>
      </c>
      <c r="I151" t="s">
        <v>26</v>
      </c>
      <c r="J151" t="s">
        <v>27</v>
      </c>
      <c r="K151" t="s">
        <v>28</v>
      </c>
      <c r="L151" s="2">
        <v>51.6</v>
      </c>
      <c r="M151" s="3">
        <v>876</v>
      </c>
      <c r="N151">
        <v>4</v>
      </c>
      <c r="O151">
        <v>3</v>
      </c>
      <c r="P151">
        <v>1</v>
      </c>
      <c r="Q151">
        <v>0</v>
      </c>
      <c r="R151" s="4">
        <v>45.5</v>
      </c>
      <c r="S151">
        <v>0</v>
      </c>
      <c r="T151">
        <v>1</v>
      </c>
    </row>
    <row r="152" spans="1:20" ht="16.5" x14ac:dyDescent="0.3">
      <c r="A152" t="s">
        <v>192</v>
      </c>
      <c r="B152" s="1">
        <v>45316</v>
      </c>
      <c r="C152">
        <v>2024</v>
      </c>
      <c r="D152" t="s">
        <v>21</v>
      </c>
      <c r="E152" t="s">
        <v>22</v>
      </c>
      <c r="F152" t="s">
        <v>30</v>
      </c>
      <c r="G152" t="s">
        <v>39</v>
      </c>
      <c r="H152" t="s">
        <v>51</v>
      </c>
      <c r="I152" t="s">
        <v>26</v>
      </c>
      <c r="J152" t="s">
        <v>27</v>
      </c>
      <c r="K152" t="s">
        <v>32</v>
      </c>
      <c r="L152" s="2">
        <v>12.3</v>
      </c>
      <c r="M152" s="3">
        <v>1265</v>
      </c>
      <c r="N152">
        <v>5</v>
      </c>
      <c r="O152">
        <v>5</v>
      </c>
      <c r="P152">
        <v>1</v>
      </c>
      <c r="Q152">
        <v>0</v>
      </c>
      <c r="R152" s="4">
        <v>32.33</v>
      </c>
      <c r="S152">
        <v>0</v>
      </c>
      <c r="T152">
        <v>1</v>
      </c>
    </row>
    <row r="153" spans="1:20" ht="16.5" x14ac:dyDescent="0.3">
      <c r="A153" t="s">
        <v>193</v>
      </c>
      <c r="B153" s="1">
        <v>45317</v>
      </c>
      <c r="C153">
        <v>2024</v>
      </c>
      <c r="D153" t="s">
        <v>21</v>
      </c>
      <c r="E153" t="s">
        <v>22</v>
      </c>
      <c r="F153" t="s">
        <v>38</v>
      </c>
      <c r="G153" t="s">
        <v>24</v>
      </c>
      <c r="H153" t="s">
        <v>48</v>
      </c>
      <c r="I153" t="s">
        <v>31</v>
      </c>
      <c r="J153" t="s">
        <v>27</v>
      </c>
      <c r="K153" t="s">
        <v>32</v>
      </c>
      <c r="L153" s="2">
        <v>11.1</v>
      </c>
      <c r="M153" s="3">
        <v>397</v>
      </c>
      <c r="N153">
        <v>6</v>
      </c>
      <c r="O153">
        <v>6</v>
      </c>
      <c r="P153">
        <v>1</v>
      </c>
      <c r="Q153">
        <v>0</v>
      </c>
      <c r="R153" s="4">
        <v>13.95</v>
      </c>
      <c r="S153">
        <v>0</v>
      </c>
      <c r="T153">
        <v>1</v>
      </c>
    </row>
    <row r="154" spans="1:20" ht="16.5" x14ac:dyDescent="0.3">
      <c r="A154" t="s">
        <v>194</v>
      </c>
      <c r="B154" s="1">
        <v>45317</v>
      </c>
      <c r="C154">
        <v>2024</v>
      </c>
      <c r="D154" t="s">
        <v>21</v>
      </c>
      <c r="E154" t="s">
        <v>22</v>
      </c>
      <c r="F154" t="s">
        <v>57</v>
      </c>
      <c r="G154" t="s">
        <v>39</v>
      </c>
      <c r="H154" t="s">
        <v>48</v>
      </c>
      <c r="I154" t="s">
        <v>26</v>
      </c>
      <c r="J154" t="s">
        <v>27</v>
      </c>
      <c r="K154" t="s">
        <v>28</v>
      </c>
      <c r="L154" s="2">
        <v>249.2</v>
      </c>
      <c r="M154" s="3">
        <v>460</v>
      </c>
      <c r="N154">
        <v>4</v>
      </c>
      <c r="O154">
        <v>4</v>
      </c>
      <c r="P154">
        <v>1</v>
      </c>
      <c r="Q154">
        <v>0</v>
      </c>
      <c r="R154" s="4">
        <v>97.75</v>
      </c>
      <c r="S154">
        <v>0</v>
      </c>
      <c r="T154">
        <v>1</v>
      </c>
    </row>
    <row r="155" spans="1:20" ht="16.5" x14ac:dyDescent="0.3">
      <c r="A155" t="s">
        <v>195</v>
      </c>
      <c r="B155" s="1">
        <v>45317</v>
      </c>
      <c r="C155">
        <v>2024</v>
      </c>
      <c r="D155" t="s">
        <v>21</v>
      </c>
      <c r="E155" t="s">
        <v>22</v>
      </c>
      <c r="F155" t="s">
        <v>23</v>
      </c>
      <c r="G155" t="s">
        <v>39</v>
      </c>
      <c r="H155" t="s">
        <v>36</v>
      </c>
      <c r="I155" t="s">
        <v>31</v>
      </c>
      <c r="J155" t="s">
        <v>27</v>
      </c>
      <c r="K155" t="s">
        <v>28</v>
      </c>
      <c r="L155" s="2">
        <v>29</v>
      </c>
      <c r="M155" s="3">
        <v>242</v>
      </c>
      <c r="N155">
        <v>5</v>
      </c>
      <c r="O155">
        <v>4</v>
      </c>
      <c r="P155">
        <v>1</v>
      </c>
      <c r="Q155">
        <v>0</v>
      </c>
      <c r="R155" s="4">
        <v>17.38</v>
      </c>
      <c r="S155">
        <v>0</v>
      </c>
      <c r="T155">
        <v>1</v>
      </c>
    </row>
    <row r="156" spans="1:20" ht="16.5" x14ac:dyDescent="0.3">
      <c r="A156" t="s">
        <v>196</v>
      </c>
      <c r="B156" s="1">
        <v>45317</v>
      </c>
      <c r="C156">
        <v>2024</v>
      </c>
      <c r="D156" t="s">
        <v>21</v>
      </c>
      <c r="E156" t="s">
        <v>22</v>
      </c>
      <c r="F156" t="s">
        <v>34</v>
      </c>
      <c r="G156" t="s">
        <v>39</v>
      </c>
      <c r="H156" t="s">
        <v>51</v>
      </c>
      <c r="I156" t="s">
        <v>26</v>
      </c>
      <c r="J156" t="s">
        <v>27</v>
      </c>
      <c r="K156" t="s">
        <v>32</v>
      </c>
      <c r="L156" s="2">
        <v>13.5</v>
      </c>
      <c r="M156" s="3">
        <v>1170</v>
      </c>
      <c r="N156">
        <v>5</v>
      </c>
      <c r="O156">
        <v>8</v>
      </c>
      <c r="P156">
        <v>0</v>
      </c>
      <c r="Q156">
        <v>3</v>
      </c>
      <c r="R156" s="4">
        <v>26.52</v>
      </c>
      <c r="S156">
        <v>0</v>
      </c>
      <c r="T156">
        <v>1</v>
      </c>
    </row>
    <row r="157" spans="1:20" ht="16.5" x14ac:dyDescent="0.3">
      <c r="A157" t="s">
        <v>197</v>
      </c>
      <c r="B157" s="1">
        <v>45317</v>
      </c>
      <c r="C157">
        <v>2024</v>
      </c>
      <c r="D157" t="s">
        <v>21</v>
      </c>
      <c r="E157" t="s">
        <v>22</v>
      </c>
      <c r="F157" t="s">
        <v>57</v>
      </c>
      <c r="G157" t="s">
        <v>39</v>
      </c>
      <c r="H157" t="s">
        <v>43</v>
      </c>
      <c r="I157" t="s">
        <v>31</v>
      </c>
      <c r="J157" t="s">
        <v>27</v>
      </c>
      <c r="K157" t="s">
        <v>28</v>
      </c>
      <c r="L157" s="2">
        <v>36</v>
      </c>
      <c r="M157" s="3">
        <v>1197</v>
      </c>
      <c r="N157">
        <v>7</v>
      </c>
      <c r="O157">
        <v>7</v>
      </c>
      <c r="P157">
        <v>1</v>
      </c>
      <c r="Q157">
        <v>0</v>
      </c>
      <c r="R157" s="4">
        <v>26.14</v>
      </c>
      <c r="S157">
        <v>0</v>
      </c>
      <c r="T157">
        <v>1</v>
      </c>
    </row>
    <row r="158" spans="1:20" ht="16.5" x14ac:dyDescent="0.3">
      <c r="A158" t="s">
        <v>198</v>
      </c>
      <c r="B158" s="1">
        <v>45317</v>
      </c>
      <c r="C158">
        <v>2024</v>
      </c>
      <c r="D158" t="s">
        <v>21</v>
      </c>
      <c r="E158" t="s">
        <v>22</v>
      </c>
      <c r="F158" t="s">
        <v>38</v>
      </c>
      <c r="G158" t="s">
        <v>35</v>
      </c>
      <c r="H158" t="s">
        <v>25</v>
      </c>
      <c r="I158" t="s">
        <v>26</v>
      </c>
      <c r="J158" t="s">
        <v>27</v>
      </c>
      <c r="K158" t="s">
        <v>28</v>
      </c>
      <c r="L158" s="2">
        <v>269</v>
      </c>
      <c r="M158" s="3">
        <v>775</v>
      </c>
      <c r="N158">
        <v>4</v>
      </c>
      <c r="O158">
        <v>3</v>
      </c>
      <c r="P158">
        <v>1</v>
      </c>
      <c r="Q158">
        <v>0</v>
      </c>
      <c r="R158" s="4">
        <v>135.49</v>
      </c>
      <c r="S158">
        <v>0</v>
      </c>
      <c r="T158">
        <v>1</v>
      </c>
    </row>
    <row r="159" spans="1:20" ht="16.5" x14ac:dyDescent="0.3">
      <c r="A159" t="s">
        <v>199</v>
      </c>
      <c r="B159" s="1">
        <v>45317</v>
      </c>
      <c r="C159">
        <v>2024</v>
      </c>
      <c r="D159" t="s">
        <v>21</v>
      </c>
      <c r="E159" t="s">
        <v>22</v>
      </c>
      <c r="F159" t="s">
        <v>57</v>
      </c>
      <c r="G159" t="s">
        <v>35</v>
      </c>
      <c r="H159" t="s">
        <v>43</v>
      </c>
      <c r="I159" t="s">
        <v>40</v>
      </c>
      <c r="J159" t="s">
        <v>41</v>
      </c>
      <c r="K159" t="s">
        <v>28</v>
      </c>
      <c r="L159" s="2">
        <v>67.7</v>
      </c>
      <c r="M159" s="3">
        <v>1082</v>
      </c>
      <c r="N159">
        <v>3</v>
      </c>
      <c r="O159">
        <v>3</v>
      </c>
      <c r="P159">
        <v>1</v>
      </c>
      <c r="Q159">
        <v>0</v>
      </c>
      <c r="R159" s="4">
        <v>157.19999999999999</v>
      </c>
      <c r="S159">
        <v>0</v>
      </c>
      <c r="T159">
        <v>1</v>
      </c>
    </row>
    <row r="160" spans="1:20" ht="16.5" x14ac:dyDescent="0.3">
      <c r="A160" t="s">
        <v>200</v>
      </c>
      <c r="B160" s="1">
        <v>45317</v>
      </c>
      <c r="C160">
        <v>2024</v>
      </c>
      <c r="D160" t="s">
        <v>21</v>
      </c>
      <c r="E160" t="s">
        <v>22</v>
      </c>
      <c r="F160" t="s">
        <v>34</v>
      </c>
      <c r="G160" t="s">
        <v>35</v>
      </c>
      <c r="H160" t="s">
        <v>43</v>
      </c>
      <c r="I160" t="s">
        <v>26</v>
      </c>
      <c r="J160" t="s">
        <v>27</v>
      </c>
      <c r="K160" t="s">
        <v>28</v>
      </c>
      <c r="L160" s="2">
        <v>30.5</v>
      </c>
      <c r="M160" s="3">
        <v>1049</v>
      </c>
      <c r="N160">
        <v>5</v>
      </c>
      <c r="O160">
        <v>8</v>
      </c>
      <c r="P160">
        <v>0</v>
      </c>
      <c r="Q160">
        <v>3</v>
      </c>
      <c r="R160" s="4">
        <v>32.01</v>
      </c>
      <c r="S160">
        <v>0</v>
      </c>
      <c r="T160">
        <v>1</v>
      </c>
    </row>
    <row r="161" spans="1:20" ht="16.5" x14ac:dyDescent="0.3">
      <c r="A161" t="s">
        <v>201</v>
      </c>
      <c r="B161" s="1">
        <v>45317</v>
      </c>
      <c r="C161">
        <v>2024</v>
      </c>
      <c r="D161" t="s">
        <v>21</v>
      </c>
      <c r="E161" t="s">
        <v>22</v>
      </c>
      <c r="F161" t="s">
        <v>23</v>
      </c>
      <c r="G161" t="s">
        <v>39</v>
      </c>
      <c r="H161" t="s">
        <v>25</v>
      </c>
      <c r="I161" t="s">
        <v>40</v>
      </c>
      <c r="J161" t="s">
        <v>41</v>
      </c>
      <c r="K161" t="s">
        <v>32</v>
      </c>
      <c r="L161" s="2">
        <v>17.5</v>
      </c>
      <c r="M161" s="3">
        <v>1009</v>
      </c>
      <c r="N161">
        <v>2</v>
      </c>
      <c r="O161">
        <v>2</v>
      </c>
      <c r="P161">
        <v>1</v>
      </c>
      <c r="Q161">
        <v>0</v>
      </c>
      <c r="R161" s="4">
        <v>82.98</v>
      </c>
      <c r="S161">
        <v>0</v>
      </c>
      <c r="T161">
        <v>1</v>
      </c>
    </row>
    <row r="162" spans="1:20" ht="16.5" x14ac:dyDescent="0.3">
      <c r="A162" t="s">
        <v>202</v>
      </c>
      <c r="B162" s="1">
        <v>45318</v>
      </c>
      <c r="C162">
        <v>2024</v>
      </c>
      <c r="D162" t="s">
        <v>21</v>
      </c>
      <c r="E162" t="s">
        <v>22</v>
      </c>
      <c r="F162" t="s">
        <v>38</v>
      </c>
      <c r="G162" t="s">
        <v>39</v>
      </c>
      <c r="H162" t="s">
        <v>36</v>
      </c>
      <c r="I162" t="s">
        <v>26</v>
      </c>
      <c r="J162" t="s">
        <v>27</v>
      </c>
      <c r="K162" t="s">
        <v>28</v>
      </c>
      <c r="L162" s="2">
        <v>110.2</v>
      </c>
      <c r="M162" s="3">
        <v>275</v>
      </c>
      <c r="N162">
        <v>3</v>
      </c>
      <c r="O162">
        <v>3</v>
      </c>
      <c r="P162">
        <v>1</v>
      </c>
      <c r="Q162">
        <v>0</v>
      </c>
      <c r="R162" s="4">
        <v>64.81</v>
      </c>
      <c r="S162">
        <v>0</v>
      </c>
      <c r="T162">
        <v>1</v>
      </c>
    </row>
    <row r="163" spans="1:20" ht="16.5" x14ac:dyDescent="0.3">
      <c r="A163" t="s">
        <v>203</v>
      </c>
      <c r="B163" s="1">
        <v>45318</v>
      </c>
      <c r="C163">
        <v>2024</v>
      </c>
      <c r="D163" t="s">
        <v>21</v>
      </c>
      <c r="E163" t="s">
        <v>22</v>
      </c>
      <c r="F163" t="s">
        <v>30</v>
      </c>
      <c r="G163" t="s">
        <v>39</v>
      </c>
      <c r="H163" t="s">
        <v>51</v>
      </c>
      <c r="I163" t="s">
        <v>26</v>
      </c>
      <c r="J163" t="s">
        <v>27</v>
      </c>
      <c r="K163" t="s">
        <v>32</v>
      </c>
      <c r="L163" s="2">
        <v>3.5</v>
      </c>
      <c r="M163" s="3">
        <v>853</v>
      </c>
      <c r="N163">
        <v>5</v>
      </c>
      <c r="O163">
        <v>6</v>
      </c>
      <c r="P163">
        <v>0</v>
      </c>
      <c r="Q163">
        <v>1</v>
      </c>
      <c r="R163" s="4">
        <v>20.94</v>
      </c>
      <c r="S163">
        <v>0</v>
      </c>
      <c r="T163">
        <v>1</v>
      </c>
    </row>
    <row r="164" spans="1:20" ht="16.5" x14ac:dyDescent="0.3">
      <c r="A164" t="s">
        <v>204</v>
      </c>
      <c r="B164" s="1">
        <v>45319</v>
      </c>
      <c r="C164">
        <v>2024</v>
      </c>
      <c r="D164" t="s">
        <v>21</v>
      </c>
      <c r="E164" t="s">
        <v>22</v>
      </c>
      <c r="F164" t="s">
        <v>23</v>
      </c>
      <c r="G164" t="s">
        <v>35</v>
      </c>
      <c r="H164" t="s">
        <v>25</v>
      </c>
      <c r="I164" t="s">
        <v>40</v>
      </c>
      <c r="J164" t="s">
        <v>41</v>
      </c>
      <c r="K164" t="s">
        <v>28</v>
      </c>
      <c r="L164" s="2">
        <v>51.2</v>
      </c>
      <c r="M164" s="3">
        <v>1198</v>
      </c>
      <c r="N164">
        <v>2</v>
      </c>
      <c r="O164">
        <v>2</v>
      </c>
      <c r="P164">
        <v>1</v>
      </c>
      <c r="Q164">
        <v>0</v>
      </c>
      <c r="R164" s="4">
        <v>132.58000000000001</v>
      </c>
      <c r="S164">
        <v>0</v>
      </c>
      <c r="T164">
        <v>1</v>
      </c>
    </row>
    <row r="165" spans="1:20" ht="16.5" x14ac:dyDescent="0.3">
      <c r="A165" t="s">
        <v>205</v>
      </c>
      <c r="B165" s="1">
        <v>45319</v>
      </c>
      <c r="C165">
        <v>2024</v>
      </c>
      <c r="D165" t="s">
        <v>21</v>
      </c>
      <c r="E165" t="s">
        <v>22</v>
      </c>
      <c r="F165" t="s">
        <v>34</v>
      </c>
      <c r="G165" t="s">
        <v>39</v>
      </c>
      <c r="H165" t="s">
        <v>25</v>
      </c>
      <c r="I165" t="s">
        <v>31</v>
      </c>
      <c r="J165" t="s">
        <v>27</v>
      </c>
      <c r="K165" t="s">
        <v>32</v>
      </c>
      <c r="L165" s="2">
        <v>1.8</v>
      </c>
      <c r="M165" s="3">
        <v>739</v>
      </c>
      <c r="N165">
        <v>6</v>
      </c>
      <c r="O165">
        <v>5</v>
      </c>
      <c r="P165">
        <v>1</v>
      </c>
      <c r="Q165">
        <v>0</v>
      </c>
      <c r="R165" s="4">
        <v>11.39</v>
      </c>
      <c r="S165">
        <v>0</v>
      </c>
      <c r="T165">
        <v>1</v>
      </c>
    </row>
    <row r="166" spans="1:20" ht="16.5" x14ac:dyDescent="0.3">
      <c r="A166" t="s">
        <v>206</v>
      </c>
      <c r="B166" s="1">
        <v>45319</v>
      </c>
      <c r="C166">
        <v>2024</v>
      </c>
      <c r="D166" t="s">
        <v>21</v>
      </c>
      <c r="E166" t="s">
        <v>22</v>
      </c>
      <c r="F166" t="s">
        <v>34</v>
      </c>
      <c r="G166" t="s">
        <v>35</v>
      </c>
      <c r="H166" t="s">
        <v>48</v>
      </c>
      <c r="I166" t="s">
        <v>40</v>
      </c>
      <c r="J166" t="s">
        <v>27</v>
      </c>
      <c r="K166" t="s">
        <v>28</v>
      </c>
      <c r="L166" s="2">
        <v>29.5</v>
      </c>
      <c r="M166" s="3">
        <v>512</v>
      </c>
      <c r="N166">
        <v>2</v>
      </c>
      <c r="O166">
        <v>2</v>
      </c>
      <c r="P166">
        <v>1</v>
      </c>
      <c r="Q166">
        <v>0</v>
      </c>
      <c r="R166" s="4">
        <v>44.49</v>
      </c>
      <c r="S166">
        <v>0</v>
      </c>
      <c r="T166">
        <v>1</v>
      </c>
    </row>
    <row r="167" spans="1:20" ht="16.5" x14ac:dyDescent="0.3">
      <c r="A167" t="s">
        <v>207</v>
      </c>
      <c r="B167" s="1">
        <v>45319</v>
      </c>
      <c r="C167">
        <v>2024</v>
      </c>
      <c r="D167" t="s">
        <v>21</v>
      </c>
      <c r="E167" t="s">
        <v>22</v>
      </c>
      <c r="F167" t="s">
        <v>30</v>
      </c>
      <c r="G167" t="s">
        <v>35</v>
      </c>
      <c r="H167" t="s">
        <v>25</v>
      </c>
      <c r="I167" t="s">
        <v>40</v>
      </c>
      <c r="J167" t="s">
        <v>41</v>
      </c>
      <c r="K167" t="s">
        <v>32</v>
      </c>
      <c r="L167" s="2">
        <v>9.6999999999999993</v>
      </c>
      <c r="M167" s="3">
        <v>1035</v>
      </c>
      <c r="N167">
        <v>2</v>
      </c>
      <c r="O167">
        <v>2</v>
      </c>
      <c r="P167">
        <v>1</v>
      </c>
      <c r="Q167">
        <v>0</v>
      </c>
      <c r="R167" s="4">
        <v>68.78</v>
      </c>
      <c r="S167">
        <v>0</v>
      </c>
      <c r="T167">
        <v>1</v>
      </c>
    </row>
    <row r="168" spans="1:20" ht="16.5" x14ac:dyDescent="0.3">
      <c r="A168" t="s">
        <v>208</v>
      </c>
      <c r="B168" s="1">
        <v>45319</v>
      </c>
      <c r="C168">
        <v>2024</v>
      </c>
      <c r="D168" t="s">
        <v>21</v>
      </c>
      <c r="E168" t="s">
        <v>22</v>
      </c>
      <c r="F168" t="s">
        <v>57</v>
      </c>
      <c r="G168" t="s">
        <v>35</v>
      </c>
      <c r="H168" t="s">
        <v>25</v>
      </c>
      <c r="I168" t="s">
        <v>40</v>
      </c>
      <c r="J168" t="s">
        <v>41</v>
      </c>
      <c r="K168" t="s">
        <v>32</v>
      </c>
      <c r="L168" s="2">
        <v>8.1</v>
      </c>
      <c r="M168" s="3">
        <v>674</v>
      </c>
      <c r="N168">
        <v>2</v>
      </c>
      <c r="O168">
        <v>2</v>
      </c>
      <c r="P168">
        <v>1</v>
      </c>
      <c r="Q168">
        <v>0</v>
      </c>
      <c r="R168" s="4">
        <v>58.65</v>
      </c>
      <c r="S168">
        <v>0</v>
      </c>
      <c r="T168">
        <v>1</v>
      </c>
    </row>
    <row r="169" spans="1:20" ht="16.5" x14ac:dyDescent="0.3">
      <c r="A169" t="s">
        <v>209</v>
      </c>
      <c r="B169" s="1">
        <v>45319</v>
      </c>
      <c r="C169">
        <v>2024</v>
      </c>
      <c r="D169" t="s">
        <v>21</v>
      </c>
      <c r="E169" t="s">
        <v>22</v>
      </c>
      <c r="F169" t="s">
        <v>30</v>
      </c>
      <c r="G169" t="s">
        <v>24</v>
      </c>
      <c r="H169" t="s">
        <v>48</v>
      </c>
      <c r="I169" t="s">
        <v>31</v>
      </c>
      <c r="J169" t="s">
        <v>27</v>
      </c>
      <c r="K169" t="s">
        <v>32</v>
      </c>
      <c r="L169" s="2">
        <v>1.7</v>
      </c>
      <c r="M169" s="3">
        <v>520</v>
      </c>
      <c r="N169">
        <v>6</v>
      </c>
      <c r="O169">
        <v>5</v>
      </c>
      <c r="P169">
        <v>1</v>
      </c>
      <c r="Q169">
        <v>0</v>
      </c>
      <c r="R169" s="4">
        <v>9.57</v>
      </c>
      <c r="S169">
        <v>0</v>
      </c>
      <c r="T169">
        <v>1</v>
      </c>
    </row>
    <row r="170" spans="1:20" ht="16.5" x14ac:dyDescent="0.3">
      <c r="A170" t="s">
        <v>210</v>
      </c>
      <c r="B170" s="1">
        <v>45319</v>
      </c>
      <c r="C170">
        <v>2024</v>
      </c>
      <c r="D170" t="s">
        <v>21</v>
      </c>
      <c r="E170" t="s">
        <v>22</v>
      </c>
      <c r="F170" t="s">
        <v>30</v>
      </c>
      <c r="G170" t="s">
        <v>39</v>
      </c>
      <c r="H170" t="s">
        <v>43</v>
      </c>
      <c r="I170" t="s">
        <v>26</v>
      </c>
      <c r="J170" t="s">
        <v>27</v>
      </c>
      <c r="K170" t="s">
        <v>32</v>
      </c>
      <c r="L170" s="2">
        <v>6.5</v>
      </c>
      <c r="M170" s="3">
        <v>771</v>
      </c>
      <c r="N170">
        <v>5</v>
      </c>
      <c r="O170">
        <v>7</v>
      </c>
      <c r="P170">
        <v>0</v>
      </c>
      <c r="Q170">
        <v>2</v>
      </c>
      <c r="R170" s="4">
        <v>23.31</v>
      </c>
      <c r="S170">
        <v>0</v>
      </c>
      <c r="T170">
        <v>1</v>
      </c>
    </row>
    <row r="171" spans="1:20" ht="16.5" x14ac:dyDescent="0.3">
      <c r="A171" t="s">
        <v>211</v>
      </c>
      <c r="B171" s="1">
        <v>45319</v>
      </c>
      <c r="C171">
        <v>2024</v>
      </c>
      <c r="D171" t="s">
        <v>21</v>
      </c>
      <c r="E171" t="s">
        <v>22</v>
      </c>
      <c r="F171" t="s">
        <v>38</v>
      </c>
      <c r="G171" t="s">
        <v>39</v>
      </c>
      <c r="H171" t="s">
        <v>48</v>
      </c>
      <c r="I171" t="s">
        <v>31</v>
      </c>
      <c r="J171" t="s">
        <v>27</v>
      </c>
      <c r="K171" t="s">
        <v>32</v>
      </c>
      <c r="L171" s="2">
        <v>0.8</v>
      </c>
      <c r="M171" s="3">
        <v>473</v>
      </c>
      <c r="N171">
        <v>6</v>
      </c>
      <c r="O171">
        <v>6</v>
      </c>
      <c r="P171">
        <v>1</v>
      </c>
      <c r="Q171">
        <v>0</v>
      </c>
      <c r="R171" s="4">
        <v>9.92</v>
      </c>
      <c r="S171">
        <v>0</v>
      </c>
      <c r="T171">
        <v>1</v>
      </c>
    </row>
    <row r="172" spans="1:20" ht="16.5" x14ac:dyDescent="0.3">
      <c r="A172" t="s">
        <v>212</v>
      </c>
      <c r="B172" s="1">
        <v>45319</v>
      </c>
      <c r="C172">
        <v>2024</v>
      </c>
      <c r="D172" t="s">
        <v>21</v>
      </c>
      <c r="E172" t="s">
        <v>22</v>
      </c>
      <c r="F172" t="s">
        <v>34</v>
      </c>
      <c r="G172" t="s">
        <v>39</v>
      </c>
      <c r="H172" t="s">
        <v>48</v>
      </c>
      <c r="I172" t="s">
        <v>40</v>
      </c>
      <c r="J172" t="s">
        <v>27</v>
      </c>
      <c r="K172" t="s">
        <v>32</v>
      </c>
      <c r="L172" s="2">
        <v>3.9</v>
      </c>
      <c r="M172" s="3">
        <v>564</v>
      </c>
      <c r="N172">
        <v>2</v>
      </c>
      <c r="O172">
        <v>2</v>
      </c>
      <c r="P172">
        <v>1</v>
      </c>
      <c r="Q172">
        <v>0</v>
      </c>
      <c r="R172" s="4">
        <v>24.72</v>
      </c>
      <c r="S172">
        <v>0</v>
      </c>
      <c r="T172">
        <v>1</v>
      </c>
    </row>
    <row r="173" spans="1:20" ht="16.5" x14ac:dyDescent="0.3">
      <c r="A173" t="s">
        <v>213</v>
      </c>
      <c r="B173" s="1">
        <v>45320</v>
      </c>
      <c r="C173">
        <v>2024</v>
      </c>
      <c r="D173" t="s">
        <v>21</v>
      </c>
      <c r="E173" t="s">
        <v>22</v>
      </c>
      <c r="F173" t="s">
        <v>23</v>
      </c>
      <c r="G173" t="s">
        <v>39</v>
      </c>
      <c r="H173" t="s">
        <v>25</v>
      </c>
      <c r="I173" t="s">
        <v>26</v>
      </c>
      <c r="J173" t="s">
        <v>27</v>
      </c>
      <c r="K173" t="s">
        <v>32</v>
      </c>
      <c r="L173" s="2">
        <v>17.5</v>
      </c>
      <c r="M173" s="3">
        <v>1080</v>
      </c>
      <c r="N173">
        <v>4</v>
      </c>
      <c r="O173">
        <v>4</v>
      </c>
      <c r="P173">
        <v>1</v>
      </c>
      <c r="Q173">
        <v>0</v>
      </c>
      <c r="R173" s="4">
        <v>31.49</v>
      </c>
      <c r="S173">
        <v>0</v>
      </c>
      <c r="T173">
        <v>1</v>
      </c>
    </row>
    <row r="174" spans="1:20" ht="16.5" x14ac:dyDescent="0.3">
      <c r="A174" t="s">
        <v>214</v>
      </c>
      <c r="B174" s="1">
        <v>45320</v>
      </c>
      <c r="C174">
        <v>2024</v>
      </c>
      <c r="D174" t="s">
        <v>21</v>
      </c>
      <c r="E174" t="s">
        <v>22</v>
      </c>
      <c r="F174" t="s">
        <v>30</v>
      </c>
      <c r="G174" t="s">
        <v>39</v>
      </c>
      <c r="H174" t="s">
        <v>43</v>
      </c>
      <c r="I174" t="s">
        <v>26</v>
      </c>
      <c r="J174" t="s">
        <v>27</v>
      </c>
      <c r="K174" t="s">
        <v>32</v>
      </c>
      <c r="L174" s="2">
        <v>4.9000000000000004</v>
      </c>
      <c r="M174" s="3">
        <v>1159</v>
      </c>
      <c r="N174">
        <v>5</v>
      </c>
      <c r="O174">
        <v>4</v>
      </c>
      <c r="P174">
        <v>1</v>
      </c>
      <c r="Q174">
        <v>0</v>
      </c>
      <c r="R174" s="4">
        <v>26.49</v>
      </c>
      <c r="S174">
        <v>0</v>
      </c>
      <c r="T174">
        <v>1</v>
      </c>
    </row>
    <row r="175" spans="1:20" ht="16.5" x14ac:dyDescent="0.3">
      <c r="A175" t="s">
        <v>215</v>
      </c>
      <c r="B175" s="1">
        <v>45320</v>
      </c>
      <c r="C175">
        <v>2024</v>
      </c>
      <c r="D175" t="s">
        <v>21</v>
      </c>
      <c r="E175" t="s">
        <v>22</v>
      </c>
      <c r="F175" t="s">
        <v>34</v>
      </c>
      <c r="G175" t="s">
        <v>35</v>
      </c>
      <c r="H175" t="s">
        <v>43</v>
      </c>
      <c r="I175" t="s">
        <v>26</v>
      </c>
      <c r="J175" t="s">
        <v>27</v>
      </c>
      <c r="K175" t="s">
        <v>28</v>
      </c>
      <c r="L175" s="2">
        <v>51.1</v>
      </c>
      <c r="M175" s="3">
        <v>877</v>
      </c>
      <c r="N175">
        <v>5</v>
      </c>
      <c r="O175">
        <v>5</v>
      </c>
      <c r="P175">
        <v>1</v>
      </c>
      <c r="Q175">
        <v>0</v>
      </c>
      <c r="R175" s="4">
        <v>35.51</v>
      </c>
      <c r="S175">
        <v>0</v>
      </c>
      <c r="T175">
        <v>1</v>
      </c>
    </row>
    <row r="176" spans="1:20" ht="16.5" x14ac:dyDescent="0.3">
      <c r="A176" t="s">
        <v>216</v>
      </c>
      <c r="B176" s="1">
        <v>45320</v>
      </c>
      <c r="C176">
        <v>2024</v>
      </c>
      <c r="D176" t="s">
        <v>21</v>
      </c>
      <c r="E176" t="s">
        <v>22</v>
      </c>
      <c r="F176" t="s">
        <v>30</v>
      </c>
      <c r="G176" t="s">
        <v>24</v>
      </c>
      <c r="H176" t="s">
        <v>48</v>
      </c>
      <c r="I176" t="s">
        <v>40</v>
      </c>
      <c r="J176" t="s">
        <v>27</v>
      </c>
      <c r="K176" t="s">
        <v>32</v>
      </c>
      <c r="L176" s="2">
        <v>6</v>
      </c>
      <c r="M176" s="3">
        <v>497</v>
      </c>
      <c r="N176">
        <v>2</v>
      </c>
      <c r="O176">
        <v>2</v>
      </c>
      <c r="P176">
        <v>1</v>
      </c>
      <c r="Q176">
        <v>0</v>
      </c>
      <c r="R176" s="4">
        <v>33.11</v>
      </c>
      <c r="S176">
        <v>0</v>
      </c>
      <c r="T176">
        <v>1</v>
      </c>
    </row>
    <row r="177" spans="1:20" ht="16.5" x14ac:dyDescent="0.3">
      <c r="A177" t="s">
        <v>217</v>
      </c>
      <c r="B177" s="1">
        <v>45320</v>
      </c>
      <c r="C177">
        <v>2024</v>
      </c>
      <c r="D177" t="s">
        <v>21</v>
      </c>
      <c r="E177" t="s">
        <v>22</v>
      </c>
      <c r="F177" t="s">
        <v>23</v>
      </c>
      <c r="G177" t="s">
        <v>35</v>
      </c>
      <c r="H177" t="s">
        <v>36</v>
      </c>
      <c r="I177" t="s">
        <v>40</v>
      </c>
      <c r="J177" t="s">
        <v>27</v>
      </c>
      <c r="K177" t="s">
        <v>28</v>
      </c>
      <c r="L177" s="2">
        <v>113.6</v>
      </c>
      <c r="M177" s="3">
        <v>265</v>
      </c>
      <c r="N177">
        <v>1</v>
      </c>
      <c r="O177">
        <v>1</v>
      </c>
      <c r="P177">
        <v>1</v>
      </c>
      <c r="Q177">
        <v>0</v>
      </c>
      <c r="R177" s="4">
        <v>109.37</v>
      </c>
      <c r="S177">
        <v>0</v>
      </c>
      <c r="T177">
        <v>1</v>
      </c>
    </row>
    <row r="178" spans="1:20" ht="16.5" x14ac:dyDescent="0.3">
      <c r="A178" t="s">
        <v>218</v>
      </c>
      <c r="B178" s="1">
        <v>45320</v>
      </c>
      <c r="C178">
        <v>2024</v>
      </c>
      <c r="D178" t="s">
        <v>21</v>
      </c>
      <c r="E178" t="s">
        <v>22</v>
      </c>
      <c r="F178" t="s">
        <v>34</v>
      </c>
      <c r="G178" t="s">
        <v>39</v>
      </c>
      <c r="H178" t="s">
        <v>36</v>
      </c>
      <c r="I178" t="s">
        <v>26</v>
      </c>
      <c r="J178" t="s">
        <v>27</v>
      </c>
      <c r="K178" t="s">
        <v>28</v>
      </c>
      <c r="L178" s="2">
        <v>81.5</v>
      </c>
      <c r="M178" s="3">
        <v>230</v>
      </c>
      <c r="N178">
        <v>3</v>
      </c>
      <c r="O178">
        <v>6</v>
      </c>
      <c r="P178">
        <v>0</v>
      </c>
      <c r="Q178">
        <v>3</v>
      </c>
      <c r="R178" s="4">
        <v>41.09</v>
      </c>
      <c r="S178">
        <v>0</v>
      </c>
      <c r="T178">
        <v>1</v>
      </c>
    </row>
    <row r="179" spans="1:20" ht="16.5" x14ac:dyDescent="0.3">
      <c r="A179" t="s">
        <v>219</v>
      </c>
      <c r="B179" s="1">
        <v>45320</v>
      </c>
      <c r="C179">
        <v>2024</v>
      </c>
      <c r="D179" t="s">
        <v>21</v>
      </c>
      <c r="E179" t="s">
        <v>22</v>
      </c>
      <c r="F179" t="s">
        <v>23</v>
      </c>
      <c r="G179" t="s">
        <v>39</v>
      </c>
      <c r="H179" t="s">
        <v>51</v>
      </c>
      <c r="I179" t="s">
        <v>26</v>
      </c>
      <c r="J179" t="s">
        <v>27</v>
      </c>
      <c r="K179" t="s">
        <v>32</v>
      </c>
      <c r="L179" s="2">
        <v>5.3</v>
      </c>
      <c r="M179" s="3">
        <v>1138</v>
      </c>
      <c r="N179">
        <v>5</v>
      </c>
      <c r="O179">
        <v>4</v>
      </c>
      <c r="P179">
        <v>1</v>
      </c>
      <c r="Q179">
        <v>0</v>
      </c>
      <c r="R179" s="4">
        <v>21.88</v>
      </c>
      <c r="S179">
        <v>0</v>
      </c>
      <c r="T179">
        <v>1</v>
      </c>
    </row>
    <row r="180" spans="1:20" ht="16.5" x14ac:dyDescent="0.3">
      <c r="A180" t="s">
        <v>220</v>
      </c>
      <c r="B180" s="1">
        <v>45320</v>
      </c>
      <c r="C180">
        <v>2024</v>
      </c>
      <c r="D180" t="s">
        <v>21</v>
      </c>
      <c r="E180" t="s">
        <v>22</v>
      </c>
      <c r="F180" t="s">
        <v>57</v>
      </c>
      <c r="G180" t="s">
        <v>35</v>
      </c>
      <c r="H180" t="s">
        <v>43</v>
      </c>
      <c r="I180" t="s">
        <v>26</v>
      </c>
      <c r="J180" t="s">
        <v>27</v>
      </c>
      <c r="K180" t="s">
        <v>28</v>
      </c>
      <c r="L180" s="2">
        <v>165.8</v>
      </c>
      <c r="M180" s="3">
        <v>1119</v>
      </c>
      <c r="N180">
        <v>5</v>
      </c>
      <c r="O180">
        <v>5</v>
      </c>
      <c r="P180">
        <v>1</v>
      </c>
      <c r="Q180">
        <v>0</v>
      </c>
      <c r="R180" s="4">
        <v>97.57</v>
      </c>
      <c r="S180">
        <v>0</v>
      </c>
      <c r="T180">
        <v>1</v>
      </c>
    </row>
    <row r="181" spans="1:20" ht="16.5" x14ac:dyDescent="0.3">
      <c r="A181" t="s">
        <v>221</v>
      </c>
      <c r="B181" s="1">
        <v>45320</v>
      </c>
      <c r="C181">
        <v>2024</v>
      </c>
      <c r="D181" t="s">
        <v>21</v>
      </c>
      <c r="E181" t="s">
        <v>22</v>
      </c>
      <c r="F181" t="s">
        <v>34</v>
      </c>
      <c r="G181" t="s">
        <v>39</v>
      </c>
      <c r="H181" t="s">
        <v>51</v>
      </c>
      <c r="I181" t="s">
        <v>26</v>
      </c>
      <c r="J181" t="s">
        <v>27</v>
      </c>
      <c r="K181" t="s">
        <v>28</v>
      </c>
      <c r="L181" s="2">
        <v>200.9</v>
      </c>
      <c r="M181" s="3">
        <v>1116</v>
      </c>
      <c r="N181">
        <v>5</v>
      </c>
      <c r="O181">
        <v>5</v>
      </c>
      <c r="P181">
        <v>1</v>
      </c>
      <c r="Q181">
        <v>0</v>
      </c>
      <c r="R181" s="4">
        <v>89.4</v>
      </c>
      <c r="S181">
        <v>0</v>
      </c>
      <c r="T181">
        <v>1</v>
      </c>
    </row>
    <row r="182" spans="1:20" ht="16.5" x14ac:dyDescent="0.3">
      <c r="A182" t="s">
        <v>222</v>
      </c>
      <c r="B182" s="1">
        <v>45320</v>
      </c>
      <c r="C182">
        <v>2024</v>
      </c>
      <c r="D182" t="s">
        <v>21</v>
      </c>
      <c r="E182" t="s">
        <v>22</v>
      </c>
      <c r="F182" t="s">
        <v>30</v>
      </c>
      <c r="G182" t="s">
        <v>39</v>
      </c>
      <c r="H182" t="s">
        <v>51</v>
      </c>
      <c r="I182" t="s">
        <v>40</v>
      </c>
      <c r="J182" t="s">
        <v>41</v>
      </c>
      <c r="K182" t="s">
        <v>32</v>
      </c>
      <c r="L182" s="2">
        <v>6.6</v>
      </c>
      <c r="M182" s="3">
        <v>1096</v>
      </c>
      <c r="N182">
        <v>3</v>
      </c>
      <c r="O182">
        <v>3</v>
      </c>
      <c r="P182">
        <v>1</v>
      </c>
      <c r="Q182">
        <v>0</v>
      </c>
      <c r="R182" s="4">
        <v>73.13</v>
      </c>
      <c r="S182">
        <v>0</v>
      </c>
      <c r="T182">
        <v>1</v>
      </c>
    </row>
    <row r="183" spans="1:20" ht="16.5" x14ac:dyDescent="0.3">
      <c r="A183" t="s">
        <v>223</v>
      </c>
      <c r="B183" s="1">
        <v>45321</v>
      </c>
      <c r="C183">
        <v>2024</v>
      </c>
      <c r="D183" t="s">
        <v>21</v>
      </c>
      <c r="E183" t="s">
        <v>22</v>
      </c>
      <c r="F183" t="s">
        <v>34</v>
      </c>
      <c r="G183" t="s">
        <v>35</v>
      </c>
      <c r="H183" t="s">
        <v>36</v>
      </c>
      <c r="I183" t="s">
        <v>26</v>
      </c>
      <c r="J183" t="s">
        <v>27</v>
      </c>
      <c r="K183" t="s">
        <v>32</v>
      </c>
      <c r="L183" s="2">
        <v>3.9</v>
      </c>
      <c r="M183" s="3">
        <v>276</v>
      </c>
      <c r="N183">
        <v>3</v>
      </c>
      <c r="O183">
        <v>3</v>
      </c>
      <c r="P183">
        <v>1</v>
      </c>
      <c r="Q183">
        <v>0</v>
      </c>
      <c r="R183" s="4">
        <v>11.42</v>
      </c>
      <c r="S183">
        <v>0</v>
      </c>
      <c r="T183">
        <v>1</v>
      </c>
    </row>
    <row r="184" spans="1:20" ht="16.5" x14ac:dyDescent="0.3">
      <c r="A184" t="s">
        <v>224</v>
      </c>
      <c r="B184" s="1">
        <v>45321</v>
      </c>
      <c r="C184">
        <v>2024</v>
      </c>
      <c r="D184" t="s">
        <v>21</v>
      </c>
      <c r="E184" t="s">
        <v>22</v>
      </c>
      <c r="F184" t="s">
        <v>38</v>
      </c>
      <c r="G184" t="s">
        <v>39</v>
      </c>
      <c r="H184" t="s">
        <v>43</v>
      </c>
      <c r="I184" t="s">
        <v>26</v>
      </c>
      <c r="J184" t="s">
        <v>27</v>
      </c>
      <c r="K184" t="s">
        <v>28</v>
      </c>
      <c r="L184" s="2">
        <v>133.5</v>
      </c>
      <c r="M184" s="3">
        <v>1050</v>
      </c>
      <c r="N184">
        <v>5</v>
      </c>
      <c r="O184">
        <v>8</v>
      </c>
      <c r="P184">
        <v>0</v>
      </c>
      <c r="Q184">
        <v>3</v>
      </c>
      <c r="R184" s="4">
        <v>82.46</v>
      </c>
      <c r="S184">
        <v>0</v>
      </c>
      <c r="T184">
        <v>1</v>
      </c>
    </row>
    <row r="185" spans="1:20" ht="16.5" x14ac:dyDescent="0.3">
      <c r="A185" t="s">
        <v>225</v>
      </c>
      <c r="B185" s="1">
        <v>45321</v>
      </c>
      <c r="C185">
        <v>2024</v>
      </c>
      <c r="D185" t="s">
        <v>21</v>
      </c>
      <c r="E185" t="s">
        <v>22</v>
      </c>
      <c r="F185" t="s">
        <v>30</v>
      </c>
      <c r="G185" t="s">
        <v>24</v>
      </c>
      <c r="H185" t="s">
        <v>25</v>
      </c>
      <c r="I185" t="s">
        <v>26</v>
      </c>
      <c r="J185" t="s">
        <v>27</v>
      </c>
      <c r="K185" t="s">
        <v>32</v>
      </c>
      <c r="L185" s="2">
        <v>4.9000000000000004</v>
      </c>
      <c r="M185" s="3">
        <v>977</v>
      </c>
      <c r="N185">
        <v>4</v>
      </c>
      <c r="O185">
        <v>4</v>
      </c>
      <c r="P185">
        <v>1</v>
      </c>
      <c r="Q185">
        <v>0</v>
      </c>
      <c r="R185" s="4">
        <v>21.52</v>
      </c>
      <c r="S185">
        <v>0</v>
      </c>
      <c r="T185">
        <v>1</v>
      </c>
    </row>
    <row r="186" spans="1:20" ht="16.5" x14ac:dyDescent="0.3">
      <c r="A186" t="s">
        <v>226</v>
      </c>
      <c r="B186" s="1">
        <v>45321</v>
      </c>
      <c r="C186">
        <v>2024</v>
      </c>
      <c r="D186" t="s">
        <v>21</v>
      </c>
      <c r="E186" t="s">
        <v>22</v>
      </c>
      <c r="F186" t="s">
        <v>38</v>
      </c>
      <c r="G186" t="s">
        <v>24</v>
      </c>
      <c r="H186" t="s">
        <v>43</v>
      </c>
      <c r="I186" t="s">
        <v>26</v>
      </c>
      <c r="J186" t="s">
        <v>27</v>
      </c>
      <c r="K186" t="s">
        <v>32</v>
      </c>
      <c r="L186" s="2">
        <v>17</v>
      </c>
      <c r="M186" s="3">
        <v>1098</v>
      </c>
      <c r="N186">
        <v>5</v>
      </c>
      <c r="O186">
        <v>4</v>
      </c>
      <c r="P186">
        <v>1</v>
      </c>
      <c r="Q186">
        <v>0</v>
      </c>
      <c r="R186" s="4">
        <v>31.75</v>
      </c>
      <c r="S186">
        <v>0</v>
      </c>
      <c r="T186">
        <v>1</v>
      </c>
    </row>
    <row r="187" spans="1:20" ht="16.5" x14ac:dyDescent="0.3">
      <c r="A187" t="s">
        <v>227</v>
      </c>
      <c r="B187" s="1">
        <v>45321</v>
      </c>
      <c r="C187">
        <v>2024</v>
      </c>
      <c r="D187" t="s">
        <v>21</v>
      </c>
      <c r="E187" t="s">
        <v>22</v>
      </c>
      <c r="F187" t="s">
        <v>38</v>
      </c>
      <c r="G187" t="s">
        <v>39</v>
      </c>
      <c r="H187" t="s">
        <v>43</v>
      </c>
      <c r="I187" t="s">
        <v>26</v>
      </c>
      <c r="J187" t="s">
        <v>27</v>
      </c>
      <c r="K187" t="s">
        <v>28</v>
      </c>
      <c r="L187" s="2">
        <v>69.2</v>
      </c>
      <c r="M187" s="3">
        <v>1272</v>
      </c>
      <c r="N187">
        <v>5</v>
      </c>
      <c r="O187">
        <v>8</v>
      </c>
      <c r="P187">
        <v>0</v>
      </c>
      <c r="Q187">
        <v>3</v>
      </c>
      <c r="R187" s="4">
        <v>54.47</v>
      </c>
      <c r="S187">
        <v>0</v>
      </c>
      <c r="T187">
        <v>1</v>
      </c>
    </row>
    <row r="188" spans="1:20" ht="16.5" x14ac:dyDescent="0.3">
      <c r="A188" t="s">
        <v>228</v>
      </c>
      <c r="B188" s="1">
        <v>45321</v>
      </c>
      <c r="C188">
        <v>2024</v>
      </c>
      <c r="D188" t="s">
        <v>21</v>
      </c>
      <c r="E188" t="s">
        <v>22</v>
      </c>
      <c r="F188" t="s">
        <v>23</v>
      </c>
      <c r="G188" t="s">
        <v>24</v>
      </c>
      <c r="H188" t="s">
        <v>25</v>
      </c>
      <c r="I188" t="s">
        <v>31</v>
      </c>
      <c r="J188" t="s">
        <v>27</v>
      </c>
      <c r="K188" t="s">
        <v>32</v>
      </c>
      <c r="L188" s="2">
        <v>7.7</v>
      </c>
      <c r="M188" s="3">
        <v>982</v>
      </c>
      <c r="N188">
        <v>6</v>
      </c>
      <c r="O188">
        <v>5</v>
      </c>
      <c r="P188">
        <v>1</v>
      </c>
      <c r="Q188">
        <v>0</v>
      </c>
      <c r="R188" s="4">
        <v>16.16</v>
      </c>
      <c r="S188">
        <v>0</v>
      </c>
      <c r="T188">
        <v>1</v>
      </c>
    </row>
    <row r="189" spans="1:20" ht="16.5" x14ac:dyDescent="0.3">
      <c r="A189" t="s">
        <v>229</v>
      </c>
      <c r="B189" s="1">
        <v>45322</v>
      </c>
      <c r="C189">
        <v>2024</v>
      </c>
      <c r="D189" t="s">
        <v>21</v>
      </c>
      <c r="E189" t="s">
        <v>22</v>
      </c>
      <c r="F189" t="s">
        <v>38</v>
      </c>
      <c r="G189" t="s">
        <v>39</v>
      </c>
      <c r="H189" t="s">
        <v>48</v>
      </c>
      <c r="I189" t="s">
        <v>40</v>
      </c>
      <c r="J189" t="s">
        <v>27</v>
      </c>
      <c r="K189" t="s">
        <v>32</v>
      </c>
      <c r="L189" s="2">
        <v>11.7</v>
      </c>
      <c r="M189" s="3">
        <v>501</v>
      </c>
      <c r="N189">
        <v>2</v>
      </c>
      <c r="O189">
        <v>2</v>
      </c>
      <c r="P189">
        <v>1</v>
      </c>
      <c r="Q189">
        <v>0</v>
      </c>
      <c r="R189" s="4">
        <v>41.82</v>
      </c>
      <c r="S189">
        <v>0</v>
      </c>
      <c r="T189">
        <v>1</v>
      </c>
    </row>
    <row r="190" spans="1:20" ht="16.5" x14ac:dyDescent="0.3">
      <c r="A190" t="s">
        <v>230</v>
      </c>
      <c r="B190" s="1">
        <v>45322</v>
      </c>
      <c r="C190">
        <v>2024</v>
      </c>
      <c r="D190" t="s">
        <v>21</v>
      </c>
      <c r="E190" t="s">
        <v>22</v>
      </c>
      <c r="F190" t="s">
        <v>30</v>
      </c>
      <c r="G190" t="s">
        <v>39</v>
      </c>
      <c r="H190" t="s">
        <v>25</v>
      </c>
      <c r="I190" t="s">
        <v>31</v>
      </c>
      <c r="J190" t="s">
        <v>27</v>
      </c>
      <c r="K190" t="s">
        <v>32</v>
      </c>
      <c r="L190" s="2">
        <v>5.2</v>
      </c>
      <c r="M190" s="3">
        <v>1175</v>
      </c>
      <c r="N190">
        <v>6</v>
      </c>
      <c r="O190">
        <v>6</v>
      </c>
      <c r="P190">
        <v>1</v>
      </c>
      <c r="Q190">
        <v>0</v>
      </c>
      <c r="R190" s="4">
        <v>17.78</v>
      </c>
      <c r="S190">
        <v>0</v>
      </c>
      <c r="T190">
        <v>1</v>
      </c>
    </row>
    <row r="191" spans="1:20" ht="16.5" x14ac:dyDescent="0.3">
      <c r="A191" t="s">
        <v>231</v>
      </c>
      <c r="B191" s="1">
        <v>45322</v>
      </c>
      <c r="C191">
        <v>2024</v>
      </c>
      <c r="D191" t="s">
        <v>21</v>
      </c>
      <c r="E191" t="s">
        <v>22</v>
      </c>
      <c r="F191" t="s">
        <v>38</v>
      </c>
      <c r="G191" t="s">
        <v>35</v>
      </c>
      <c r="H191" t="s">
        <v>25</v>
      </c>
      <c r="I191" t="s">
        <v>40</v>
      </c>
      <c r="J191" t="s">
        <v>41</v>
      </c>
      <c r="K191" t="s">
        <v>32</v>
      </c>
      <c r="L191" s="2">
        <v>6.6</v>
      </c>
      <c r="M191" s="3">
        <v>661</v>
      </c>
      <c r="N191">
        <v>2</v>
      </c>
      <c r="O191">
        <v>5</v>
      </c>
      <c r="P191">
        <v>0</v>
      </c>
      <c r="Q191">
        <v>3</v>
      </c>
      <c r="R191" s="4">
        <v>62.98</v>
      </c>
      <c r="S191">
        <v>0</v>
      </c>
      <c r="T191">
        <v>1</v>
      </c>
    </row>
    <row r="192" spans="1:20" ht="16.5" x14ac:dyDescent="0.3">
      <c r="A192" t="s">
        <v>232</v>
      </c>
      <c r="B192" s="1">
        <v>45322</v>
      </c>
      <c r="C192">
        <v>2024</v>
      </c>
      <c r="D192" t="s">
        <v>21</v>
      </c>
      <c r="E192" t="s">
        <v>22</v>
      </c>
      <c r="F192" t="s">
        <v>34</v>
      </c>
      <c r="G192" t="s">
        <v>35</v>
      </c>
      <c r="H192" t="s">
        <v>36</v>
      </c>
      <c r="I192" t="s">
        <v>40</v>
      </c>
      <c r="J192" t="s">
        <v>27</v>
      </c>
      <c r="K192" t="s">
        <v>32</v>
      </c>
      <c r="L192" s="2">
        <v>1.6</v>
      </c>
      <c r="M192" s="3">
        <v>280</v>
      </c>
      <c r="N192">
        <v>1</v>
      </c>
      <c r="O192">
        <v>4</v>
      </c>
      <c r="P192">
        <v>0</v>
      </c>
      <c r="Q192">
        <v>3</v>
      </c>
      <c r="R192" s="4">
        <v>16.75</v>
      </c>
      <c r="S192">
        <v>0</v>
      </c>
      <c r="T192">
        <v>1</v>
      </c>
    </row>
    <row r="193" spans="1:20" ht="16.5" x14ac:dyDescent="0.3">
      <c r="A193" t="s">
        <v>233</v>
      </c>
      <c r="B193" s="1">
        <v>45322</v>
      </c>
      <c r="C193">
        <v>2024</v>
      </c>
      <c r="D193" t="s">
        <v>21</v>
      </c>
      <c r="E193" t="s">
        <v>22</v>
      </c>
      <c r="F193" t="s">
        <v>57</v>
      </c>
      <c r="G193" t="s">
        <v>24</v>
      </c>
      <c r="H193" t="s">
        <v>51</v>
      </c>
      <c r="I193" t="s">
        <v>40</v>
      </c>
      <c r="J193" t="s">
        <v>41</v>
      </c>
      <c r="K193" t="s">
        <v>28</v>
      </c>
      <c r="L193" s="2">
        <v>344.2</v>
      </c>
      <c r="M193" s="3">
        <v>1061</v>
      </c>
      <c r="N193">
        <v>3</v>
      </c>
      <c r="O193">
        <v>2</v>
      </c>
      <c r="P193">
        <v>1</v>
      </c>
      <c r="Q193">
        <v>0</v>
      </c>
      <c r="R193" s="4">
        <v>423.85</v>
      </c>
      <c r="S193">
        <v>0</v>
      </c>
      <c r="T193">
        <v>1</v>
      </c>
    </row>
    <row r="194" spans="1:20" ht="16.5" x14ac:dyDescent="0.3">
      <c r="A194" t="s">
        <v>234</v>
      </c>
      <c r="B194" s="1">
        <v>45322</v>
      </c>
      <c r="C194">
        <v>2024</v>
      </c>
      <c r="D194" t="s">
        <v>21</v>
      </c>
      <c r="E194" t="s">
        <v>22</v>
      </c>
      <c r="F194" t="s">
        <v>38</v>
      </c>
      <c r="G194" t="s">
        <v>39</v>
      </c>
      <c r="H194" t="s">
        <v>48</v>
      </c>
      <c r="I194" t="s">
        <v>26</v>
      </c>
      <c r="J194" t="s">
        <v>27</v>
      </c>
      <c r="K194" t="s">
        <v>32</v>
      </c>
      <c r="L194" s="2">
        <v>0.8</v>
      </c>
      <c r="M194" s="3">
        <v>487</v>
      </c>
      <c r="N194">
        <v>4</v>
      </c>
      <c r="O194">
        <v>4</v>
      </c>
      <c r="P194">
        <v>1</v>
      </c>
      <c r="Q194">
        <v>0</v>
      </c>
      <c r="R194" s="4">
        <v>13.27</v>
      </c>
      <c r="S194">
        <v>0</v>
      </c>
      <c r="T194">
        <v>1</v>
      </c>
    </row>
    <row r="195" spans="1:20" ht="16.5" x14ac:dyDescent="0.3">
      <c r="A195" t="s">
        <v>235</v>
      </c>
      <c r="B195" s="1">
        <v>45322</v>
      </c>
      <c r="C195">
        <v>2024</v>
      </c>
      <c r="D195" t="s">
        <v>21</v>
      </c>
      <c r="E195" t="s">
        <v>22</v>
      </c>
      <c r="F195" t="s">
        <v>34</v>
      </c>
      <c r="G195" t="s">
        <v>35</v>
      </c>
      <c r="H195" t="s">
        <v>51</v>
      </c>
      <c r="I195" t="s">
        <v>26</v>
      </c>
      <c r="J195" t="s">
        <v>27</v>
      </c>
      <c r="K195" t="s">
        <v>32</v>
      </c>
      <c r="L195" s="2">
        <v>2.2000000000000002</v>
      </c>
      <c r="M195" s="3">
        <v>862</v>
      </c>
      <c r="N195">
        <v>5</v>
      </c>
      <c r="O195">
        <v>9</v>
      </c>
      <c r="P195">
        <v>0</v>
      </c>
      <c r="Q195">
        <v>4</v>
      </c>
      <c r="R195" s="4">
        <v>15.97</v>
      </c>
      <c r="S195">
        <v>0</v>
      </c>
      <c r="T195">
        <v>1</v>
      </c>
    </row>
    <row r="196" spans="1:20" ht="16.5" x14ac:dyDescent="0.3">
      <c r="A196" t="s">
        <v>236</v>
      </c>
      <c r="B196" s="1">
        <v>45322</v>
      </c>
      <c r="C196">
        <v>2024</v>
      </c>
      <c r="D196" t="s">
        <v>21</v>
      </c>
      <c r="E196" t="s">
        <v>22</v>
      </c>
      <c r="F196" t="s">
        <v>34</v>
      </c>
      <c r="G196" t="s">
        <v>35</v>
      </c>
      <c r="H196" t="s">
        <v>48</v>
      </c>
      <c r="I196" t="s">
        <v>31</v>
      </c>
      <c r="J196" t="s">
        <v>27</v>
      </c>
      <c r="K196" t="s">
        <v>28</v>
      </c>
      <c r="L196" s="2">
        <v>50.2</v>
      </c>
      <c r="M196" s="3">
        <v>351</v>
      </c>
      <c r="N196">
        <v>6</v>
      </c>
      <c r="O196">
        <v>6</v>
      </c>
      <c r="P196">
        <v>1</v>
      </c>
      <c r="Q196">
        <v>0</v>
      </c>
      <c r="R196" s="4">
        <v>22.68</v>
      </c>
      <c r="S196">
        <v>0</v>
      </c>
      <c r="T196">
        <v>1</v>
      </c>
    </row>
    <row r="197" spans="1:20" ht="16.5" x14ac:dyDescent="0.3">
      <c r="A197" t="s">
        <v>237</v>
      </c>
      <c r="B197" s="1">
        <v>45322</v>
      </c>
      <c r="C197">
        <v>2024</v>
      </c>
      <c r="D197" t="s">
        <v>21</v>
      </c>
      <c r="E197" t="s">
        <v>22</v>
      </c>
      <c r="F197" t="s">
        <v>38</v>
      </c>
      <c r="G197" t="s">
        <v>39</v>
      </c>
      <c r="H197" t="s">
        <v>43</v>
      </c>
      <c r="I197" t="s">
        <v>26</v>
      </c>
      <c r="J197" t="s">
        <v>27</v>
      </c>
      <c r="K197" t="s">
        <v>28</v>
      </c>
      <c r="L197" s="2">
        <v>42.9</v>
      </c>
      <c r="M197" s="3">
        <v>1123</v>
      </c>
      <c r="N197">
        <v>5</v>
      </c>
      <c r="O197">
        <v>5</v>
      </c>
      <c r="P197">
        <v>1</v>
      </c>
      <c r="Q197">
        <v>0</v>
      </c>
      <c r="R197" s="4">
        <v>44.17</v>
      </c>
      <c r="S197">
        <v>0</v>
      </c>
      <c r="T197">
        <v>1</v>
      </c>
    </row>
    <row r="198" spans="1:20" ht="16.5" x14ac:dyDescent="0.3">
      <c r="A198" t="s">
        <v>238</v>
      </c>
      <c r="B198" s="1">
        <v>45322</v>
      </c>
      <c r="C198">
        <v>2024</v>
      </c>
      <c r="D198" t="s">
        <v>21</v>
      </c>
      <c r="E198" t="s">
        <v>22</v>
      </c>
      <c r="F198" t="s">
        <v>38</v>
      </c>
      <c r="G198" t="s">
        <v>39</v>
      </c>
      <c r="H198" t="s">
        <v>36</v>
      </c>
      <c r="I198" t="s">
        <v>26</v>
      </c>
      <c r="J198" t="s">
        <v>27</v>
      </c>
      <c r="K198" t="s">
        <v>32</v>
      </c>
      <c r="L198" s="2">
        <v>1.6</v>
      </c>
      <c r="M198" s="3">
        <v>283</v>
      </c>
      <c r="N198">
        <v>3</v>
      </c>
      <c r="O198">
        <v>3</v>
      </c>
      <c r="P198">
        <v>1</v>
      </c>
      <c r="Q198">
        <v>0</v>
      </c>
      <c r="R198" s="4">
        <v>10.31</v>
      </c>
      <c r="S198">
        <v>0</v>
      </c>
      <c r="T198">
        <v>1</v>
      </c>
    </row>
    <row r="199" spans="1:20" ht="16.5" x14ac:dyDescent="0.3">
      <c r="A199" t="s">
        <v>239</v>
      </c>
      <c r="B199" s="1">
        <v>45322</v>
      </c>
      <c r="C199">
        <v>2024</v>
      </c>
      <c r="D199" t="s">
        <v>21</v>
      </c>
      <c r="E199" t="s">
        <v>22</v>
      </c>
      <c r="F199" t="s">
        <v>23</v>
      </c>
      <c r="G199" t="s">
        <v>35</v>
      </c>
      <c r="H199" t="s">
        <v>48</v>
      </c>
      <c r="I199" t="s">
        <v>26</v>
      </c>
      <c r="J199" t="s">
        <v>27</v>
      </c>
      <c r="K199" t="s">
        <v>28</v>
      </c>
      <c r="L199" s="2">
        <v>123.3</v>
      </c>
      <c r="M199" s="3">
        <v>424</v>
      </c>
      <c r="N199">
        <v>4</v>
      </c>
      <c r="O199">
        <v>4</v>
      </c>
      <c r="P199">
        <v>1</v>
      </c>
      <c r="Q199">
        <v>0</v>
      </c>
      <c r="R199" s="4">
        <v>63.44</v>
      </c>
      <c r="S199">
        <v>0</v>
      </c>
      <c r="T199">
        <v>1</v>
      </c>
    </row>
    <row r="200" spans="1:20" ht="16.5" x14ac:dyDescent="0.3">
      <c r="A200" t="s">
        <v>240</v>
      </c>
      <c r="B200" s="1">
        <v>45323</v>
      </c>
      <c r="C200">
        <v>2024</v>
      </c>
      <c r="D200" t="s">
        <v>21</v>
      </c>
      <c r="E200" t="s">
        <v>241</v>
      </c>
      <c r="F200" t="s">
        <v>34</v>
      </c>
      <c r="G200" t="s">
        <v>24</v>
      </c>
      <c r="H200" t="s">
        <v>25</v>
      </c>
      <c r="I200" t="s">
        <v>40</v>
      </c>
      <c r="J200" t="s">
        <v>41</v>
      </c>
      <c r="K200" t="s">
        <v>28</v>
      </c>
      <c r="L200" s="2">
        <v>119.8</v>
      </c>
      <c r="M200" s="3">
        <v>1023</v>
      </c>
      <c r="N200">
        <v>2</v>
      </c>
      <c r="O200">
        <v>2</v>
      </c>
      <c r="P200">
        <v>1</v>
      </c>
      <c r="Q200">
        <v>0</v>
      </c>
      <c r="R200" s="4">
        <v>205.57</v>
      </c>
      <c r="S200">
        <v>0</v>
      </c>
      <c r="T200">
        <v>1</v>
      </c>
    </row>
    <row r="201" spans="1:20" ht="16.5" x14ac:dyDescent="0.3">
      <c r="A201" t="s">
        <v>242</v>
      </c>
      <c r="B201" s="1">
        <v>45323</v>
      </c>
      <c r="C201">
        <v>2024</v>
      </c>
      <c r="D201" t="s">
        <v>21</v>
      </c>
      <c r="E201" t="s">
        <v>241</v>
      </c>
      <c r="F201" t="s">
        <v>57</v>
      </c>
      <c r="G201" t="s">
        <v>24</v>
      </c>
      <c r="H201" t="s">
        <v>48</v>
      </c>
      <c r="I201" t="s">
        <v>31</v>
      </c>
      <c r="J201" t="s">
        <v>27</v>
      </c>
      <c r="K201" t="s">
        <v>32</v>
      </c>
      <c r="L201" s="2">
        <v>12.5</v>
      </c>
      <c r="M201" s="3">
        <v>485</v>
      </c>
      <c r="N201">
        <v>6</v>
      </c>
      <c r="O201">
        <v>6</v>
      </c>
      <c r="P201">
        <v>1</v>
      </c>
      <c r="Q201">
        <v>0</v>
      </c>
      <c r="R201" s="4">
        <v>14.08</v>
      </c>
      <c r="S201">
        <v>0</v>
      </c>
      <c r="T201">
        <v>1</v>
      </c>
    </row>
    <row r="202" spans="1:20" ht="16.5" x14ac:dyDescent="0.3">
      <c r="A202" t="s">
        <v>243</v>
      </c>
      <c r="B202" s="1">
        <v>45323</v>
      </c>
      <c r="C202">
        <v>2024</v>
      </c>
      <c r="D202" t="s">
        <v>21</v>
      </c>
      <c r="E202" t="s">
        <v>241</v>
      </c>
      <c r="F202" t="s">
        <v>23</v>
      </c>
      <c r="G202" t="s">
        <v>35</v>
      </c>
      <c r="H202" t="s">
        <v>36</v>
      </c>
      <c r="I202" t="s">
        <v>26</v>
      </c>
      <c r="J202" t="s">
        <v>27</v>
      </c>
      <c r="K202" t="s">
        <v>32</v>
      </c>
      <c r="L202" s="2">
        <v>2.6</v>
      </c>
      <c r="M202" s="3">
        <v>307</v>
      </c>
      <c r="N202">
        <v>3</v>
      </c>
      <c r="O202">
        <v>3</v>
      </c>
      <c r="P202">
        <v>1</v>
      </c>
      <c r="Q202">
        <v>0</v>
      </c>
      <c r="R202" s="4">
        <v>11.05</v>
      </c>
      <c r="S202">
        <v>0</v>
      </c>
      <c r="T202">
        <v>1</v>
      </c>
    </row>
    <row r="203" spans="1:20" ht="16.5" x14ac:dyDescent="0.3">
      <c r="A203" t="s">
        <v>244</v>
      </c>
      <c r="B203" s="1">
        <v>45323</v>
      </c>
      <c r="C203">
        <v>2024</v>
      </c>
      <c r="D203" t="s">
        <v>21</v>
      </c>
      <c r="E203" t="s">
        <v>241</v>
      </c>
      <c r="F203" t="s">
        <v>38</v>
      </c>
      <c r="G203" t="s">
        <v>39</v>
      </c>
      <c r="H203" t="s">
        <v>48</v>
      </c>
      <c r="I203" t="s">
        <v>31</v>
      </c>
      <c r="J203" t="s">
        <v>27</v>
      </c>
      <c r="K203" t="s">
        <v>28</v>
      </c>
      <c r="L203" s="2">
        <v>141.19999999999999</v>
      </c>
      <c r="M203" s="3">
        <v>402</v>
      </c>
      <c r="N203">
        <v>6</v>
      </c>
      <c r="O203">
        <v>5</v>
      </c>
      <c r="P203">
        <v>1</v>
      </c>
      <c r="Q203">
        <v>0</v>
      </c>
      <c r="R203" s="4">
        <v>54.94</v>
      </c>
      <c r="S203">
        <v>0</v>
      </c>
      <c r="T203">
        <v>1</v>
      </c>
    </row>
    <row r="204" spans="1:20" ht="16.5" x14ac:dyDescent="0.3">
      <c r="A204" t="s">
        <v>245</v>
      </c>
      <c r="B204" s="1">
        <v>45323</v>
      </c>
      <c r="C204">
        <v>2024</v>
      </c>
      <c r="D204" t="s">
        <v>21</v>
      </c>
      <c r="E204" t="s">
        <v>241</v>
      </c>
      <c r="F204" t="s">
        <v>38</v>
      </c>
      <c r="G204" t="s">
        <v>39</v>
      </c>
      <c r="H204" t="s">
        <v>36</v>
      </c>
      <c r="I204" t="s">
        <v>26</v>
      </c>
      <c r="J204" t="s">
        <v>27</v>
      </c>
      <c r="K204" t="s">
        <v>28</v>
      </c>
      <c r="L204" s="2">
        <v>93.3</v>
      </c>
      <c r="M204" s="3">
        <v>247</v>
      </c>
      <c r="N204">
        <v>3</v>
      </c>
      <c r="O204">
        <v>3</v>
      </c>
      <c r="P204">
        <v>1</v>
      </c>
      <c r="Q204">
        <v>0</v>
      </c>
      <c r="R204" s="4">
        <v>53.78</v>
      </c>
      <c r="S204">
        <v>0</v>
      </c>
      <c r="T204">
        <v>1</v>
      </c>
    </row>
    <row r="205" spans="1:20" ht="16.5" x14ac:dyDescent="0.3">
      <c r="A205" t="s">
        <v>246</v>
      </c>
      <c r="B205" s="1">
        <v>45323</v>
      </c>
      <c r="C205">
        <v>2024</v>
      </c>
      <c r="D205" t="s">
        <v>21</v>
      </c>
      <c r="E205" t="s">
        <v>241</v>
      </c>
      <c r="F205" t="s">
        <v>30</v>
      </c>
      <c r="G205" t="s">
        <v>24</v>
      </c>
      <c r="H205" t="s">
        <v>36</v>
      </c>
      <c r="I205" t="s">
        <v>31</v>
      </c>
      <c r="J205" t="s">
        <v>27</v>
      </c>
      <c r="K205" t="s">
        <v>32</v>
      </c>
      <c r="L205" s="2">
        <v>5.8</v>
      </c>
      <c r="M205" s="3">
        <v>246</v>
      </c>
      <c r="N205">
        <v>5</v>
      </c>
      <c r="O205">
        <v>5</v>
      </c>
      <c r="P205">
        <v>1</v>
      </c>
      <c r="Q205">
        <v>0</v>
      </c>
      <c r="R205" s="4">
        <v>10.57</v>
      </c>
      <c r="S205">
        <v>0</v>
      </c>
      <c r="T205">
        <v>1</v>
      </c>
    </row>
    <row r="206" spans="1:20" ht="16.5" x14ac:dyDescent="0.3">
      <c r="A206" t="s">
        <v>247</v>
      </c>
      <c r="B206" s="1">
        <v>45323</v>
      </c>
      <c r="C206">
        <v>2024</v>
      </c>
      <c r="D206" t="s">
        <v>21</v>
      </c>
      <c r="E206" t="s">
        <v>241</v>
      </c>
      <c r="F206" t="s">
        <v>34</v>
      </c>
      <c r="G206" t="s">
        <v>35</v>
      </c>
      <c r="H206" t="s">
        <v>36</v>
      </c>
      <c r="I206" t="s">
        <v>31</v>
      </c>
      <c r="J206" t="s">
        <v>27</v>
      </c>
      <c r="K206" t="s">
        <v>32</v>
      </c>
      <c r="L206" s="2">
        <v>8.4</v>
      </c>
      <c r="M206" s="3">
        <v>318</v>
      </c>
      <c r="N206">
        <v>5</v>
      </c>
      <c r="O206">
        <v>4</v>
      </c>
      <c r="P206">
        <v>1</v>
      </c>
      <c r="Q206">
        <v>0</v>
      </c>
      <c r="R206" s="4">
        <v>10.48</v>
      </c>
      <c r="S206">
        <v>0</v>
      </c>
      <c r="T206">
        <v>1</v>
      </c>
    </row>
    <row r="207" spans="1:20" ht="16.5" x14ac:dyDescent="0.3">
      <c r="A207" t="s">
        <v>248</v>
      </c>
      <c r="B207" s="1">
        <v>45323</v>
      </c>
      <c r="C207">
        <v>2024</v>
      </c>
      <c r="D207" t="s">
        <v>21</v>
      </c>
      <c r="E207" t="s">
        <v>241</v>
      </c>
      <c r="F207" t="s">
        <v>38</v>
      </c>
      <c r="G207" t="s">
        <v>39</v>
      </c>
      <c r="H207" t="s">
        <v>43</v>
      </c>
      <c r="I207" t="s">
        <v>26</v>
      </c>
      <c r="J207" t="s">
        <v>27</v>
      </c>
      <c r="K207" t="s">
        <v>32</v>
      </c>
      <c r="L207" s="2">
        <v>1.9</v>
      </c>
      <c r="M207" s="3">
        <v>1211</v>
      </c>
      <c r="N207">
        <v>5</v>
      </c>
      <c r="O207">
        <v>5</v>
      </c>
      <c r="P207">
        <v>1</v>
      </c>
      <c r="Q207">
        <v>0</v>
      </c>
      <c r="R207" s="4">
        <v>23.23</v>
      </c>
      <c r="S207">
        <v>0</v>
      </c>
      <c r="T207">
        <v>1</v>
      </c>
    </row>
    <row r="208" spans="1:20" ht="16.5" x14ac:dyDescent="0.3">
      <c r="A208" t="s">
        <v>249</v>
      </c>
      <c r="B208" s="1">
        <v>45324</v>
      </c>
      <c r="C208">
        <v>2024</v>
      </c>
      <c r="D208" t="s">
        <v>21</v>
      </c>
      <c r="E208" t="s">
        <v>241</v>
      </c>
      <c r="F208" t="s">
        <v>34</v>
      </c>
      <c r="G208" t="s">
        <v>39</v>
      </c>
      <c r="H208" t="s">
        <v>36</v>
      </c>
      <c r="I208" t="s">
        <v>26</v>
      </c>
      <c r="J208" t="s">
        <v>27</v>
      </c>
      <c r="K208" t="s">
        <v>32</v>
      </c>
      <c r="L208" s="2">
        <v>6.2</v>
      </c>
      <c r="M208" s="3">
        <v>263</v>
      </c>
      <c r="N208">
        <v>3</v>
      </c>
      <c r="O208">
        <v>3</v>
      </c>
      <c r="P208">
        <v>1</v>
      </c>
      <c r="Q208">
        <v>0</v>
      </c>
      <c r="R208" s="4">
        <v>11.54</v>
      </c>
      <c r="S208">
        <v>0</v>
      </c>
      <c r="T208">
        <v>1</v>
      </c>
    </row>
    <row r="209" spans="1:20" ht="16.5" x14ac:dyDescent="0.3">
      <c r="A209" t="s">
        <v>250</v>
      </c>
      <c r="B209" s="1">
        <v>45324</v>
      </c>
      <c r="C209">
        <v>2024</v>
      </c>
      <c r="D209" t="s">
        <v>21</v>
      </c>
      <c r="E209" t="s">
        <v>241</v>
      </c>
      <c r="F209" t="s">
        <v>34</v>
      </c>
      <c r="G209" t="s">
        <v>39</v>
      </c>
      <c r="H209" t="s">
        <v>25</v>
      </c>
      <c r="I209" t="s">
        <v>26</v>
      </c>
      <c r="J209" t="s">
        <v>27</v>
      </c>
      <c r="K209" t="s">
        <v>28</v>
      </c>
      <c r="L209" s="2">
        <v>57</v>
      </c>
      <c r="M209" s="3">
        <v>728</v>
      </c>
      <c r="N209">
        <v>4</v>
      </c>
      <c r="O209">
        <v>4</v>
      </c>
      <c r="P209">
        <v>1</v>
      </c>
      <c r="Q209">
        <v>0</v>
      </c>
      <c r="R209" s="4">
        <v>34.94</v>
      </c>
      <c r="S209">
        <v>0</v>
      </c>
      <c r="T209">
        <v>1</v>
      </c>
    </row>
    <row r="210" spans="1:20" ht="16.5" x14ac:dyDescent="0.3">
      <c r="A210" t="s">
        <v>251</v>
      </c>
      <c r="B210" s="1">
        <v>45324</v>
      </c>
      <c r="C210">
        <v>2024</v>
      </c>
      <c r="D210" t="s">
        <v>21</v>
      </c>
      <c r="E210" t="s">
        <v>241</v>
      </c>
      <c r="F210" t="s">
        <v>38</v>
      </c>
      <c r="G210" t="s">
        <v>35</v>
      </c>
      <c r="H210" t="s">
        <v>48</v>
      </c>
      <c r="I210" t="s">
        <v>26</v>
      </c>
      <c r="J210" t="s">
        <v>27</v>
      </c>
      <c r="K210" t="s">
        <v>28</v>
      </c>
      <c r="L210" s="2">
        <v>150.5</v>
      </c>
      <c r="M210" s="3">
        <v>485</v>
      </c>
      <c r="N210">
        <v>4</v>
      </c>
      <c r="O210">
        <v>4</v>
      </c>
      <c r="P210">
        <v>1</v>
      </c>
      <c r="Q210">
        <v>0</v>
      </c>
      <c r="R210" s="4">
        <v>86.61</v>
      </c>
      <c r="S210">
        <v>0</v>
      </c>
      <c r="T210">
        <v>1</v>
      </c>
    </row>
    <row r="211" spans="1:20" ht="16.5" x14ac:dyDescent="0.3">
      <c r="A211" t="s">
        <v>252</v>
      </c>
      <c r="B211" s="1">
        <v>45324</v>
      </c>
      <c r="C211">
        <v>2024</v>
      </c>
      <c r="D211" t="s">
        <v>21</v>
      </c>
      <c r="E211" t="s">
        <v>241</v>
      </c>
      <c r="F211" t="s">
        <v>23</v>
      </c>
      <c r="G211" t="s">
        <v>24</v>
      </c>
      <c r="H211" t="s">
        <v>43</v>
      </c>
      <c r="I211" t="s">
        <v>26</v>
      </c>
      <c r="J211" t="s">
        <v>27</v>
      </c>
      <c r="K211" t="s">
        <v>32</v>
      </c>
      <c r="L211" s="2">
        <v>3.5</v>
      </c>
      <c r="M211" s="3">
        <v>1319</v>
      </c>
      <c r="N211">
        <v>5</v>
      </c>
      <c r="O211">
        <v>7</v>
      </c>
      <c r="P211">
        <v>0</v>
      </c>
      <c r="Q211">
        <v>2</v>
      </c>
      <c r="R211" s="4">
        <v>23.52</v>
      </c>
      <c r="S211">
        <v>0</v>
      </c>
      <c r="T211">
        <v>1</v>
      </c>
    </row>
    <row r="212" spans="1:20" ht="16.5" x14ac:dyDescent="0.3">
      <c r="A212" t="s">
        <v>253</v>
      </c>
      <c r="B212" s="1">
        <v>45324</v>
      </c>
      <c r="C212">
        <v>2024</v>
      </c>
      <c r="D212" t="s">
        <v>21</v>
      </c>
      <c r="E212" t="s">
        <v>241</v>
      </c>
      <c r="F212" t="s">
        <v>34</v>
      </c>
      <c r="G212" t="s">
        <v>24</v>
      </c>
      <c r="H212" t="s">
        <v>51</v>
      </c>
      <c r="I212" t="s">
        <v>26</v>
      </c>
      <c r="J212" t="s">
        <v>27</v>
      </c>
      <c r="K212" t="s">
        <v>32</v>
      </c>
      <c r="L212" s="2">
        <v>1.2</v>
      </c>
      <c r="M212" s="3">
        <v>875</v>
      </c>
      <c r="N212">
        <v>5</v>
      </c>
      <c r="O212">
        <v>5</v>
      </c>
      <c r="P212">
        <v>1</v>
      </c>
      <c r="Q212">
        <v>0</v>
      </c>
      <c r="R212" s="4">
        <v>14.94</v>
      </c>
      <c r="S212">
        <v>0</v>
      </c>
      <c r="T212">
        <v>1</v>
      </c>
    </row>
    <row r="213" spans="1:20" ht="16.5" x14ac:dyDescent="0.3">
      <c r="A213" t="s">
        <v>254</v>
      </c>
      <c r="B213" s="1">
        <v>45324</v>
      </c>
      <c r="C213">
        <v>2024</v>
      </c>
      <c r="D213" t="s">
        <v>21</v>
      </c>
      <c r="E213" t="s">
        <v>241</v>
      </c>
      <c r="F213" t="s">
        <v>30</v>
      </c>
      <c r="G213" t="s">
        <v>35</v>
      </c>
      <c r="H213" t="s">
        <v>25</v>
      </c>
      <c r="I213" t="s">
        <v>40</v>
      </c>
      <c r="J213" t="s">
        <v>41</v>
      </c>
      <c r="K213" t="s">
        <v>32</v>
      </c>
      <c r="L213" s="2">
        <v>5.4</v>
      </c>
      <c r="M213" s="3">
        <v>978</v>
      </c>
      <c r="N213">
        <v>2</v>
      </c>
      <c r="O213">
        <v>1</v>
      </c>
      <c r="P213">
        <v>1</v>
      </c>
      <c r="Q213">
        <v>0</v>
      </c>
      <c r="R213" s="4">
        <v>73.86</v>
      </c>
      <c r="S213">
        <v>0</v>
      </c>
      <c r="T213">
        <v>1</v>
      </c>
    </row>
    <row r="214" spans="1:20" ht="16.5" x14ac:dyDescent="0.3">
      <c r="A214" t="s">
        <v>255</v>
      </c>
      <c r="B214" s="1">
        <v>45324</v>
      </c>
      <c r="C214">
        <v>2024</v>
      </c>
      <c r="D214" t="s">
        <v>21</v>
      </c>
      <c r="E214" t="s">
        <v>241</v>
      </c>
      <c r="F214" t="s">
        <v>34</v>
      </c>
      <c r="G214" t="s">
        <v>39</v>
      </c>
      <c r="H214" t="s">
        <v>43</v>
      </c>
      <c r="I214" t="s">
        <v>26</v>
      </c>
      <c r="J214" t="s">
        <v>27</v>
      </c>
      <c r="K214" t="s">
        <v>28</v>
      </c>
      <c r="L214" s="2">
        <v>67.2</v>
      </c>
      <c r="M214" s="3">
        <v>1218</v>
      </c>
      <c r="N214">
        <v>5</v>
      </c>
      <c r="O214">
        <v>8</v>
      </c>
      <c r="P214">
        <v>0</v>
      </c>
      <c r="Q214">
        <v>3</v>
      </c>
      <c r="R214" s="4">
        <v>47.14</v>
      </c>
      <c r="S214">
        <v>0</v>
      </c>
      <c r="T214">
        <v>1</v>
      </c>
    </row>
    <row r="215" spans="1:20" ht="16.5" x14ac:dyDescent="0.3">
      <c r="A215" t="s">
        <v>256</v>
      </c>
      <c r="B215" s="1">
        <v>45325</v>
      </c>
      <c r="C215">
        <v>2024</v>
      </c>
      <c r="D215" t="s">
        <v>21</v>
      </c>
      <c r="E215" t="s">
        <v>241</v>
      </c>
      <c r="F215" t="s">
        <v>30</v>
      </c>
      <c r="G215" t="s">
        <v>24</v>
      </c>
      <c r="H215" t="s">
        <v>36</v>
      </c>
      <c r="I215" t="s">
        <v>26</v>
      </c>
      <c r="J215" t="s">
        <v>27</v>
      </c>
      <c r="K215" t="s">
        <v>28</v>
      </c>
      <c r="L215" s="2">
        <v>63.3</v>
      </c>
      <c r="M215" s="3">
        <v>236</v>
      </c>
      <c r="N215">
        <v>3</v>
      </c>
      <c r="O215">
        <v>2</v>
      </c>
      <c r="P215">
        <v>1</v>
      </c>
      <c r="Q215">
        <v>0</v>
      </c>
      <c r="R215" s="4">
        <v>42.13</v>
      </c>
      <c r="S215">
        <v>0</v>
      </c>
      <c r="T215">
        <v>1</v>
      </c>
    </row>
    <row r="216" spans="1:20" ht="16.5" x14ac:dyDescent="0.3">
      <c r="A216" t="s">
        <v>257</v>
      </c>
      <c r="B216" s="1">
        <v>45326</v>
      </c>
      <c r="C216">
        <v>2024</v>
      </c>
      <c r="D216" t="s">
        <v>21</v>
      </c>
      <c r="E216" t="s">
        <v>241</v>
      </c>
      <c r="F216" t="s">
        <v>23</v>
      </c>
      <c r="G216" t="s">
        <v>35</v>
      </c>
      <c r="H216" t="s">
        <v>48</v>
      </c>
      <c r="I216" t="s">
        <v>31</v>
      </c>
      <c r="J216" t="s">
        <v>27</v>
      </c>
      <c r="K216" t="s">
        <v>28</v>
      </c>
      <c r="L216" s="2">
        <v>233.7</v>
      </c>
      <c r="M216" s="3">
        <v>473</v>
      </c>
      <c r="N216">
        <v>6</v>
      </c>
      <c r="O216">
        <v>6</v>
      </c>
      <c r="P216">
        <v>1</v>
      </c>
      <c r="Q216">
        <v>0</v>
      </c>
      <c r="R216" s="4">
        <v>72.930000000000007</v>
      </c>
      <c r="S216">
        <v>0</v>
      </c>
      <c r="T216">
        <v>1</v>
      </c>
    </row>
    <row r="217" spans="1:20" ht="16.5" x14ac:dyDescent="0.3">
      <c r="A217" t="s">
        <v>258</v>
      </c>
      <c r="B217" s="1">
        <v>45326</v>
      </c>
      <c r="C217">
        <v>2024</v>
      </c>
      <c r="D217" t="s">
        <v>21</v>
      </c>
      <c r="E217" t="s">
        <v>241</v>
      </c>
      <c r="F217" t="s">
        <v>38</v>
      </c>
      <c r="G217" t="s">
        <v>39</v>
      </c>
      <c r="H217" t="s">
        <v>36</v>
      </c>
      <c r="I217" t="s">
        <v>26</v>
      </c>
      <c r="J217" t="s">
        <v>27</v>
      </c>
      <c r="K217" t="s">
        <v>32</v>
      </c>
      <c r="L217" s="2">
        <v>5.6</v>
      </c>
      <c r="M217" s="3">
        <v>292</v>
      </c>
      <c r="N217">
        <v>3</v>
      </c>
      <c r="O217">
        <v>3</v>
      </c>
      <c r="P217">
        <v>1</v>
      </c>
      <c r="Q217">
        <v>0</v>
      </c>
      <c r="R217" s="4">
        <v>14.57</v>
      </c>
      <c r="S217">
        <v>0</v>
      </c>
      <c r="T217">
        <v>1</v>
      </c>
    </row>
    <row r="218" spans="1:20" ht="16.5" x14ac:dyDescent="0.3">
      <c r="A218" t="s">
        <v>259</v>
      </c>
      <c r="B218" s="1">
        <v>45326</v>
      </c>
      <c r="C218">
        <v>2024</v>
      </c>
      <c r="D218" t="s">
        <v>21</v>
      </c>
      <c r="E218" t="s">
        <v>241</v>
      </c>
      <c r="F218" t="s">
        <v>57</v>
      </c>
      <c r="G218" t="s">
        <v>39</v>
      </c>
      <c r="H218" t="s">
        <v>51</v>
      </c>
      <c r="I218" t="s">
        <v>26</v>
      </c>
      <c r="J218" t="s">
        <v>27</v>
      </c>
      <c r="K218" t="s">
        <v>32</v>
      </c>
      <c r="L218" s="2">
        <v>10.3</v>
      </c>
      <c r="M218" s="3">
        <v>803</v>
      </c>
      <c r="N218">
        <v>5</v>
      </c>
      <c r="O218">
        <v>4</v>
      </c>
      <c r="P218">
        <v>1</v>
      </c>
      <c r="Q218">
        <v>0</v>
      </c>
      <c r="R218" s="4">
        <v>21.2</v>
      </c>
      <c r="S218">
        <v>0</v>
      </c>
      <c r="T218">
        <v>1</v>
      </c>
    </row>
    <row r="219" spans="1:20" ht="16.5" x14ac:dyDescent="0.3">
      <c r="A219" t="s">
        <v>260</v>
      </c>
      <c r="B219" s="1">
        <v>45326</v>
      </c>
      <c r="C219">
        <v>2024</v>
      </c>
      <c r="D219" t="s">
        <v>21</v>
      </c>
      <c r="E219" t="s">
        <v>241</v>
      </c>
      <c r="F219" t="s">
        <v>38</v>
      </c>
      <c r="G219" t="s">
        <v>35</v>
      </c>
      <c r="H219" t="s">
        <v>36</v>
      </c>
      <c r="I219" t="s">
        <v>40</v>
      </c>
      <c r="J219" t="s">
        <v>27</v>
      </c>
      <c r="K219" t="s">
        <v>32</v>
      </c>
      <c r="L219" s="2">
        <v>6.5</v>
      </c>
      <c r="M219" s="3">
        <v>233</v>
      </c>
      <c r="N219">
        <v>1</v>
      </c>
      <c r="O219">
        <v>1</v>
      </c>
      <c r="P219">
        <v>1</v>
      </c>
      <c r="Q219">
        <v>0</v>
      </c>
      <c r="R219" s="4">
        <v>28.22</v>
      </c>
      <c r="S219">
        <v>0</v>
      </c>
      <c r="T219">
        <v>1</v>
      </c>
    </row>
    <row r="220" spans="1:20" ht="16.5" x14ac:dyDescent="0.3">
      <c r="A220" t="s">
        <v>261</v>
      </c>
      <c r="B220" s="1">
        <v>45326</v>
      </c>
      <c r="C220">
        <v>2024</v>
      </c>
      <c r="D220" t="s">
        <v>21</v>
      </c>
      <c r="E220" t="s">
        <v>241</v>
      </c>
      <c r="F220" t="s">
        <v>57</v>
      </c>
      <c r="G220" t="s">
        <v>39</v>
      </c>
      <c r="H220" t="s">
        <v>25</v>
      </c>
      <c r="I220" t="s">
        <v>26</v>
      </c>
      <c r="J220" t="s">
        <v>27</v>
      </c>
      <c r="K220" t="s">
        <v>32</v>
      </c>
      <c r="L220" s="2">
        <v>3.2</v>
      </c>
      <c r="M220" s="3">
        <v>839</v>
      </c>
      <c r="N220">
        <v>4</v>
      </c>
      <c r="O220">
        <v>4</v>
      </c>
      <c r="P220">
        <v>1</v>
      </c>
      <c r="Q220">
        <v>0</v>
      </c>
      <c r="R220" s="4">
        <v>17.5</v>
      </c>
      <c r="S220">
        <v>0</v>
      </c>
      <c r="T220">
        <v>1</v>
      </c>
    </row>
    <row r="221" spans="1:20" ht="16.5" x14ac:dyDescent="0.3">
      <c r="A221" t="s">
        <v>262</v>
      </c>
      <c r="B221" s="1">
        <v>45327</v>
      </c>
      <c r="C221">
        <v>2024</v>
      </c>
      <c r="D221" t="s">
        <v>21</v>
      </c>
      <c r="E221" t="s">
        <v>241</v>
      </c>
      <c r="F221" t="s">
        <v>34</v>
      </c>
      <c r="G221" t="s">
        <v>39</v>
      </c>
      <c r="H221" t="s">
        <v>48</v>
      </c>
      <c r="I221" t="s">
        <v>26</v>
      </c>
      <c r="J221" t="s">
        <v>27</v>
      </c>
      <c r="K221" t="s">
        <v>28</v>
      </c>
      <c r="L221" s="2">
        <v>81.599999999999994</v>
      </c>
      <c r="M221" s="3">
        <v>445</v>
      </c>
      <c r="N221">
        <v>4</v>
      </c>
      <c r="O221">
        <v>3</v>
      </c>
      <c r="P221">
        <v>1</v>
      </c>
      <c r="Q221">
        <v>0</v>
      </c>
      <c r="R221" s="4">
        <v>42.14</v>
      </c>
      <c r="S221">
        <v>0</v>
      </c>
      <c r="T221">
        <v>1</v>
      </c>
    </row>
    <row r="222" spans="1:20" ht="16.5" x14ac:dyDescent="0.3">
      <c r="A222" t="s">
        <v>263</v>
      </c>
      <c r="B222" s="1">
        <v>45327</v>
      </c>
      <c r="C222">
        <v>2024</v>
      </c>
      <c r="D222" t="s">
        <v>21</v>
      </c>
      <c r="E222" t="s">
        <v>241</v>
      </c>
      <c r="F222" t="s">
        <v>34</v>
      </c>
      <c r="G222" t="s">
        <v>39</v>
      </c>
      <c r="H222" t="s">
        <v>43</v>
      </c>
      <c r="I222" t="s">
        <v>31</v>
      </c>
      <c r="J222" t="s">
        <v>27</v>
      </c>
      <c r="K222" t="s">
        <v>32</v>
      </c>
      <c r="L222" s="2">
        <v>8.1999999999999993</v>
      </c>
      <c r="M222" s="3">
        <v>1366</v>
      </c>
      <c r="N222">
        <v>7</v>
      </c>
      <c r="O222">
        <v>9</v>
      </c>
      <c r="P222">
        <v>0</v>
      </c>
      <c r="Q222">
        <v>2</v>
      </c>
      <c r="R222" s="4">
        <v>17.260000000000002</v>
      </c>
      <c r="S222">
        <v>0</v>
      </c>
      <c r="T222">
        <v>1</v>
      </c>
    </row>
    <row r="223" spans="1:20" ht="16.5" x14ac:dyDescent="0.3">
      <c r="A223" t="s">
        <v>264</v>
      </c>
      <c r="B223" s="1">
        <v>45327</v>
      </c>
      <c r="C223">
        <v>2024</v>
      </c>
      <c r="D223" t="s">
        <v>21</v>
      </c>
      <c r="E223" t="s">
        <v>241</v>
      </c>
      <c r="F223" t="s">
        <v>57</v>
      </c>
      <c r="G223" t="s">
        <v>24</v>
      </c>
      <c r="H223" t="s">
        <v>36</v>
      </c>
      <c r="I223" t="s">
        <v>26</v>
      </c>
      <c r="J223" t="s">
        <v>27</v>
      </c>
      <c r="K223" t="s">
        <v>32</v>
      </c>
      <c r="L223" s="2">
        <v>12.2</v>
      </c>
      <c r="M223" s="3">
        <v>242</v>
      </c>
      <c r="N223">
        <v>3</v>
      </c>
      <c r="O223">
        <v>3</v>
      </c>
      <c r="P223">
        <v>1</v>
      </c>
      <c r="Q223">
        <v>0</v>
      </c>
      <c r="R223" s="4">
        <v>14.96</v>
      </c>
      <c r="S223">
        <v>0</v>
      </c>
      <c r="T223">
        <v>1</v>
      </c>
    </row>
    <row r="224" spans="1:20" ht="16.5" x14ac:dyDescent="0.3">
      <c r="A224" t="s">
        <v>265</v>
      </c>
      <c r="B224" s="1">
        <v>45327</v>
      </c>
      <c r="C224">
        <v>2024</v>
      </c>
      <c r="D224" t="s">
        <v>21</v>
      </c>
      <c r="E224" t="s">
        <v>241</v>
      </c>
      <c r="F224" t="s">
        <v>34</v>
      </c>
      <c r="G224" t="s">
        <v>39</v>
      </c>
      <c r="H224" t="s">
        <v>25</v>
      </c>
      <c r="I224" t="s">
        <v>40</v>
      </c>
      <c r="J224" t="s">
        <v>41</v>
      </c>
      <c r="K224" t="s">
        <v>28</v>
      </c>
      <c r="L224" s="2">
        <v>131.1</v>
      </c>
      <c r="M224" s="3">
        <v>496</v>
      </c>
      <c r="N224">
        <v>2</v>
      </c>
      <c r="O224">
        <v>2</v>
      </c>
      <c r="P224">
        <v>1</v>
      </c>
      <c r="Q224">
        <v>0</v>
      </c>
      <c r="R224" s="4">
        <v>177.9</v>
      </c>
      <c r="S224">
        <v>0</v>
      </c>
      <c r="T224">
        <v>1</v>
      </c>
    </row>
    <row r="225" spans="1:20" ht="16.5" x14ac:dyDescent="0.3">
      <c r="A225" t="s">
        <v>266</v>
      </c>
      <c r="B225" s="1">
        <v>45327</v>
      </c>
      <c r="C225">
        <v>2024</v>
      </c>
      <c r="D225" t="s">
        <v>21</v>
      </c>
      <c r="E225" t="s">
        <v>241</v>
      </c>
      <c r="F225" t="s">
        <v>38</v>
      </c>
      <c r="G225" t="s">
        <v>39</v>
      </c>
      <c r="H225" t="s">
        <v>25</v>
      </c>
      <c r="I225" t="s">
        <v>26</v>
      </c>
      <c r="J225" t="s">
        <v>27</v>
      </c>
      <c r="K225" t="s">
        <v>32</v>
      </c>
      <c r="L225" s="2">
        <v>2.6</v>
      </c>
      <c r="M225" s="3">
        <v>696</v>
      </c>
      <c r="N225">
        <v>4</v>
      </c>
      <c r="O225">
        <v>4</v>
      </c>
      <c r="P225">
        <v>1</v>
      </c>
      <c r="Q225">
        <v>0</v>
      </c>
      <c r="R225" s="4">
        <v>18.21</v>
      </c>
      <c r="S225">
        <v>0</v>
      </c>
      <c r="T225">
        <v>1</v>
      </c>
    </row>
    <row r="226" spans="1:20" ht="16.5" x14ac:dyDescent="0.3">
      <c r="A226" t="s">
        <v>267</v>
      </c>
      <c r="B226" s="1">
        <v>45327</v>
      </c>
      <c r="C226">
        <v>2024</v>
      </c>
      <c r="D226" t="s">
        <v>21</v>
      </c>
      <c r="E226" t="s">
        <v>241</v>
      </c>
      <c r="F226" t="s">
        <v>57</v>
      </c>
      <c r="G226" t="s">
        <v>39</v>
      </c>
      <c r="H226" t="s">
        <v>36</v>
      </c>
      <c r="I226" t="s">
        <v>31</v>
      </c>
      <c r="J226" t="s">
        <v>27</v>
      </c>
      <c r="K226" t="s">
        <v>32</v>
      </c>
      <c r="L226" s="2">
        <v>9.1999999999999993</v>
      </c>
      <c r="M226" s="3">
        <v>302</v>
      </c>
      <c r="N226">
        <v>5</v>
      </c>
      <c r="O226">
        <v>4</v>
      </c>
      <c r="P226">
        <v>1</v>
      </c>
      <c r="Q226">
        <v>0</v>
      </c>
      <c r="R226" s="4">
        <v>11.35</v>
      </c>
      <c r="S226">
        <v>0</v>
      </c>
      <c r="T226">
        <v>1</v>
      </c>
    </row>
    <row r="227" spans="1:20" ht="16.5" x14ac:dyDescent="0.3">
      <c r="A227" t="s">
        <v>268</v>
      </c>
      <c r="B227" s="1">
        <v>45327</v>
      </c>
      <c r="C227">
        <v>2024</v>
      </c>
      <c r="D227" t="s">
        <v>21</v>
      </c>
      <c r="E227" t="s">
        <v>241</v>
      </c>
      <c r="F227" t="s">
        <v>23</v>
      </c>
      <c r="G227" t="s">
        <v>24</v>
      </c>
      <c r="H227" t="s">
        <v>25</v>
      </c>
      <c r="I227" t="s">
        <v>40</v>
      </c>
      <c r="J227" t="s">
        <v>41</v>
      </c>
      <c r="K227" t="s">
        <v>28</v>
      </c>
      <c r="L227" s="2">
        <v>145.1</v>
      </c>
      <c r="M227" s="3">
        <v>917</v>
      </c>
      <c r="N227">
        <v>2</v>
      </c>
      <c r="O227">
        <v>1</v>
      </c>
      <c r="P227">
        <v>1</v>
      </c>
      <c r="Q227">
        <v>0</v>
      </c>
      <c r="R227" s="4">
        <v>240.56</v>
      </c>
      <c r="S227">
        <v>0</v>
      </c>
      <c r="T227">
        <v>1</v>
      </c>
    </row>
    <row r="228" spans="1:20" ht="16.5" x14ac:dyDescent="0.3">
      <c r="A228" t="s">
        <v>269</v>
      </c>
      <c r="B228" s="1">
        <v>45327</v>
      </c>
      <c r="C228">
        <v>2024</v>
      </c>
      <c r="D228" t="s">
        <v>21</v>
      </c>
      <c r="E228" t="s">
        <v>241</v>
      </c>
      <c r="F228" t="s">
        <v>34</v>
      </c>
      <c r="G228" t="s">
        <v>39</v>
      </c>
      <c r="H228" t="s">
        <v>36</v>
      </c>
      <c r="I228" t="s">
        <v>26</v>
      </c>
      <c r="J228" t="s">
        <v>27</v>
      </c>
      <c r="K228" t="s">
        <v>32</v>
      </c>
      <c r="L228" s="2">
        <v>6.1</v>
      </c>
      <c r="M228" s="3">
        <v>207</v>
      </c>
      <c r="N228">
        <v>3</v>
      </c>
      <c r="O228">
        <v>3</v>
      </c>
      <c r="P228">
        <v>1</v>
      </c>
      <c r="Q228">
        <v>0</v>
      </c>
      <c r="R228" s="4">
        <v>10.88</v>
      </c>
      <c r="S228">
        <v>0</v>
      </c>
      <c r="T228">
        <v>1</v>
      </c>
    </row>
    <row r="229" spans="1:20" ht="16.5" x14ac:dyDescent="0.3">
      <c r="A229" t="s">
        <v>270</v>
      </c>
      <c r="B229" s="1">
        <v>45328</v>
      </c>
      <c r="C229">
        <v>2024</v>
      </c>
      <c r="D229" t="s">
        <v>21</v>
      </c>
      <c r="E229" t="s">
        <v>241</v>
      </c>
      <c r="F229" t="s">
        <v>57</v>
      </c>
      <c r="G229" t="s">
        <v>39</v>
      </c>
      <c r="H229" t="s">
        <v>48</v>
      </c>
      <c r="I229" t="s">
        <v>26</v>
      </c>
      <c r="J229" t="s">
        <v>27</v>
      </c>
      <c r="K229" t="s">
        <v>28</v>
      </c>
      <c r="L229" s="2">
        <v>161.6</v>
      </c>
      <c r="M229" s="3">
        <v>474</v>
      </c>
      <c r="N229">
        <v>4</v>
      </c>
      <c r="O229">
        <v>4</v>
      </c>
      <c r="P229">
        <v>1</v>
      </c>
      <c r="Q229">
        <v>0</v>
      </c>
      <c r="R229" s="4">
        <v>76.06</v>
      </c>
      <c r="S229">
        <v>0</v>
      </c>
      <c r="T229">
        <v>1</v>
      </c>
    </row>
    <row r="230" spans="1:20" ht="16.5" x14ac:dyDescent="0.3">
      <c r="A230" t="s">
        <v>271</v>
      </c>
      <c r="B230" s="1">
        <v>45328</v>
      </c>
      <c r="C230">
        <v>2024</v>
      </c>
      <c r="D230" t="s">
        <v>21</v>
      </c>
      <c r="E230" t="s">
        <v>241</v>
      </c>
      <c r="F230" t="s">
        <v>57</v>
      </c>
      <c r="G230" t="s">
        <v>35</v>
      </c>
      <c r="H230" t="s">
        <v>43</v>
      </c>
      <c r="I230" t="s">
        <v>26</v>
      </c>
      <c r="J230" t="s">
        <v>27</v>
      </c>
      <c r="K230" t="s">
        <v>28</v>
      </c>
      <c r="L230" s="2">
        <v>144</v>
      </c>
      <c r="M230" s="3">
        <v>963</v>
      </c>
      <c r="N230">
        <v>5</v>
      </c>
      <c r="O230">
        <v>4</v>
      </c>
      <c r="P230">
        <v>1</v>
      </c>
      <c r="Q230">
        <v>0</v>
      </c>
      <c r="R230" s="4">
        <v>76.489999999999995</v>
      </c>
      <c r="S230">
        <v>0</v>
      </c>
      <c r="T230">
        <v>1</v>
      </c>
    </row>
    <row r="231" spans="1:20" ht="16.5" x14ac:dyDescent="0.3">
      <c r="A231" t="s">
        <v>272</v>
      </c>
      <c r="B231" s="1">
        <v>45328</v>
      </c>
      <c r="C231">
        <v>2024</v>
      </c>
      <c r="D231" t="s">
        <v>21</v>
      </c>
      <c r="E231" t="s">
        <v>241</v>
      </c>
      <c r="F231" t="s">
        <v>38</v>
      </c>
      <c r="G231" t="s">
        <v>35</v>
      </c>
      <c r="H231" t="s">
        <v>43</v>
      </c>
      <c r="I231" t="s">
        <v>26</v>
      </c>
      <c r="J231" t="s">
        <v>27</v>
      </c>
      <c r="K231" t="s">
        <v>28</v>
      </c>
      <c r="L231" s="2">
        <v>112.3</v>
      </c>
      <c r="M231" s="3">
        <v>819</v>
      </c>
      <c r="N231">
        <v>5</v>
      </c>
      <c r="O231">
        <v>4</v>
      </c>
      <c r="P231">
        <v>1</v>
      </c>
      <c r="Q231">
        <v>0</v>
      </c>
      <c r="R231" s="4">
        <v>69.17</v>
      </c>
      <c r="S231">
        <v>0</v>
      </c>
      <c r="T231">
        <v>1</v>
      </c>
    </row>
    <row r="232" spans="1:20" ht="16.5" x14ac:dyDescent="0.3">
      <c r="A232" t="s">
        <v>273</v>
      </c>
      <c r="B232" s="1">
        <v>45328</v>
      </c>
      <c r="C232">
        <v>2024</v>
      </c>
      <c r="D232" t="s">
        <v>21</v>
      </c>
      <c r="E232" t="s">
        <v>241</v>
      </c>
      <c r="F232" t="s">
        <v>57</v>
      </c>
      <c r="G232" t="s">
        <v>35</v>
      </c>
      <c r="H232" t="s">
        <v>25</v>
      </c>
      <c r="I232" t="s">
        <v>26</v>
      </c>
      <c r="J232" t="s">
        <v>27</v>
      </c>
      <c r="K232" t="s">
        <v>32</v>
      </c>
      <c r="L232" s="2">
        <v>15.7</v>
      </c>
      <c r="M232" s="3">
        <v>743</v>
      </c>
      <c r="N232">
        <v>4</v>
      </c>
      <c r="O232">
        <v>4</v>
      </c>
      <c r="P232">
        <v>1</v>
      </c>
      <c r="Q232">
        <v>0</v>
      </c>
      <c r="R232" s="4">
        <v>25.77</v>
      </c>
      <c r="S232">
        <v>0</v>
      </c>
      <c r="T232">
        <v>1</v>
      </c>
    </row>
    <row r="233" spans="1:20" ht="16.5" x14ac:dyDescent="0.3">
      <c r="A233" t="s">
        <v>274</v>
      </c>
      <c r="B233" s="1">
        <v>45328</v>
      </c>
      <c r="C233">
        <v>2024</v>
      </c>
      <c r="D233" t="s">
        <v>21</v>
      </c>
      <c r="E233" t="s">
        <v>241</v>
      </c>
      <c r="F233" t="s">
        <v>57</v>
      </c>
      <c r="G233" t="s">
        <v>35</v>
      </c>
      <c r="H233" t="s">
        <v>36</v>
      </c>
      <c r="I233" t="s">
        <v>40</v>
      </c>
      <c r="J233" t="s">
        <v>27</v>
      </c>
      <c r="K233" t="s">
        <v>28</v>
      </c>
      <c r="L233" s="2">
        <v>113.3</v>
      </c>
      <c r="M233" s="3">
        <v>248</v>
      </c>
      <c r="N233">
        <v>1</v>
      </c>
      <c r="O233">
        <v>1</v>
      </c>
      <c r="P233">
        <v>1</v>
      </c>
      <c r="Q233">
        <v>0</v>
      </c>
      <c r="R233" s="4">
        <v>104.43</v>
      </c>
      <c r="S233">
        <v>0</v>
      </c>
      <c r="T233">
        <v>1</v>
      </c>
    </row>
    <row r="234" spans="1:20" ht="16.5" x14ac:dyDescent="0.3">
      <c r="A234" t="s">
        <v>275</v>
      </c>
      <c r="B234" s="1">
        <v>45328</v>
      </c>
      <c r="C234">
        <v>2024</v>
      </c>
      <c r="D234" t="s">
        <v>21</v>
      </c>
      <c r="E234" t="s">
        <v>241</v>
      </c>
      <c r="F234" t="s">
        <v>23</v>
      </c>
      <c r="G234" t="s">
        <v>39</v>
      </c>
      <c r="H234" t="s">
        <v>25</v>
      </c>
      <c r="I234" t="s">
        <v>26</v>
      </c>
      <c r="J234" t="s">
        <v>27</v>
      </c>
      <c r="K234" t="s">
        <v>32</v>
      </c>
      <c r="L234" s="2">
        <v>9.1</v>
      </c>
      <c r="M234" s="3">
        <v>589</v>
      </c>
      <c r="N234">
        <v>4</v>
      </c>
      <c r="O234">
        <v>4</v>
      </c>
      <c r="P234">
        <v>1</v>
      </c>
      <c r="Q234">
        <v>0</v>
      </c>
      <c r="R234" s="4">
        <v>20.59</v>
      </c>
      <c r="S234">
        <v>0</v>
      </c>
      <c r="T234">
        <v>1</v>
      </c>
    </row>
    <row r="235" spans="1:20" ht="16.5" x14ac:dyDescent="0.3">
      <c r="A235" t="s">
        <v>276</v>
      </c>
      <c r="B235" s="1">
        <v>45328</v>
      </c>
      <c r="C235">
        <v>2024</v>
      </c>
      <c r="D235" t="s">
        <v>21</v>
      </c>
      <c r="E235" t="s">
        <v>241</v>
      </c>
      <c r="F235" t="s">
        <v>57</v>
      </c>
      <c r="G235" t="s">
        <v>35</v>
      </c>
      <c r="H235" t="s">
        <v>25</v>
      </c>
      <c r="I235" t="s">
        <v>26</v>
      </c>
      <c r="J235" t="s">
        <v>27</v>
      </c>
      <c r="K235" t="s">
        <v>28</v>
      </c>
      <c r="L235" s="2">
        <v>56.9</v>
      </c>
      <c r="M235" s="3">
        <v>934</v>
      </c>
      <c r="N235">
        <v>4</v>
      </c>
      <c r="O235">
        <v>4</v>
      </c>
      <c r="P235">
        <v>1</v>
      </c>
      <c r="Q235">
        <v>0</v>
      </c>
      <c r="R235" s="4">
        <v>48.73</v>
      </c>
      <c r="S235">
        <v>0</v>
      </c>
      <c r="T235">
        <v>1</v>
      </c>
    </row>
    <row r="236" spans="1:20" ht="16.5" x14ac:dyDescent="0.3">
      <c r="A236" t="s">
        <v>277</v>
      </c>
      <c r="B236" s="1">
        <v>45328</v>
      </c>
      <c r="C236">
        <v>2024</v>
      </c>
      <c r="D236" t="s">
        <v>21</v>
      </c>
      <c r="E236" t="s">
        <v>241</v>
      </c>
      <c r="F236" t="s">
        <v>34</v>
      </c>
      <c r="G236" t="s">
        <v>24</v>
      </c>
      <c r="H236" t="s">
        <v>36</v>
      </c>
      <c r="I236" t="s">
        <v>40</v>
      </c>
      <c r="J236" t="s">
        <v>27</v>
      </c>
      <c r="K236" t="s">
        <v>32</v>
      </c>
      <c r="L236" s="2">
        <v>12</v>
      </c>
      <c r="M236" s="3">
        <v>191</v>
      </c>
      <c r="N236">
        <v>1</v>
      </c>
      <c r="O236">
        <v>1</v>
      </c>
      <c r="P236">
        <v>1</v>
      </c>
      <c r="Q236">
        <v>0</v>
      </c>
      <c r="R236" s="4">
        <v>26.56</v>
      </c>
      <c r="S236">
        <v>0</v>
      </c>
      <c r="T236">
        <v>1</v>
      </c>
    </row>
    <row r="237" spans="1:20" ht="16.5" x14ac:dyDescent="0.3">
      <c r="A237" t="s">
        <v>278</v>
      </c>
      <c r="B237" s="1">
        <v>45329</v>
      </c>
      <c r="C237">
        <v>2024</v>
      </c>
      <c r="D237" t="s">
        <v>21</v>
      </c>
      <c r="E237" t="s">
        <v>241</v>
      </c>
      <c r="F237" t="s">
        <v>57</v>
      </c>
      <c r="G237" t="s">
        <v>39</v>
      </c>
      <c r="H237" t="s">
        <v>43</v>
      </c>
      <c r="I237" t="s">
        <v>31</v>
      </c>
      <c r="J237" t="s">
        <v>27</v>
      </c>
      <c r="K237" t="s">
        <v>32</v>
      </c>
      <c r="L237" s="2">
        <v>4</v>
      </c>
      <c r="M237" s="3">
        <v>1261</v>
      </c>
      <c r="N237">
        <v>7</v>
      </c>
      <c r="O237">
        <v>7</v>
      </c>
      <c r="P237">
        <v>1</v>
      </c>
      <c r="Q237">
        <v>0</v>
      </c>
      <c r="R237" s="4">
        <v>15.8</v>
      </c>
      <c r="S237">
        <v>0</v>
      </c>
      <c r="T237">
        <v>1</v>
      </c>
    </row>
    <row r="238" spans="1:20" ht="16.5" x14ac:dyDescent="0.3">
      <c r="A238" t="s">
        <v>279</v>
      </c>
      <c r="B238" s="1">
        <v>45329</v>
      </c>
      <c r="C238">
        <v>2024</v>
      </c>
      <c r="D238" t="s">
        <v>21</v>
      </c>
      <c r="E238" t="s">
        <v>241</v>
      </c>
      <c r="F238" t="s">
        <v>38</v>
      </c>
      <c r="G238" t="s">
        <v>24</v>
      </c>
      <c r="H238" t="s">
        <v>48</v>
      </c>
      <c r="I238" t="s">
        <v>26</v>
      </c>
      <c r="J238" t="s">
        <v>27</v>
      </c>
      <c r="K238" t="s">
        <v>28</v>
      </c>
      <c r="L238" s="2">
        <v>266.39999999999998</v>
      </c>
      <c r="M238" s="3">
        <v>488</v>
      </c>
      <c r="N238">
        <v>4</v>
      </c>
      <c r="O238">
        <v>4</v>
      </c>
      <c r="P238">
        <v>1</v>
      </c>
      <c r="Q238">
        <v>0</v>
      </c>
      <c r="R238" s="4">
        <v>141.34</v>
      </c>
      <c r="S238">
        <v>0</v>
      </c>
      <c r="T238">
        <v>1</v>
      </c>
    </row>
    <row r="239" spans="1:20" ht="16.5" x14ac:dyDescent="0.3">
      <c r="A239" t="s">
        <v>280</v>
      </c>
      <c r="B239" s="1">
        <v>45329</v>
      </c>
      <c r="C239">
        <v>2024</v>
      </c>
      <c r="D239" t="s">
        <v>21</v>
      </c>
      <c r="E239" t="s">
        <v>241</v>
      </c>
      <c r="F239" t="s">
        <v>38</v>
      </c>
      <c r="G239" t="s">
        <v>39</v>
      </c>
      <c r="H239" t="s">
        <v>25</v>
      </c>
      <c r="I239" t="s">
        <v>31</v>
      </c>
      <c r="J239" t="s">
        <v>27</v>
      </c>
      <c r="K239" t="s">
        <v>32</v>
      </c>
      <c r="L239" s="2">
        <v>5.3</v>
      </c>
      <c r="M239" s="3">
        <v>840</v>
      </c>
      <c r="N239">
        <v>6</v>
      </c>
      <c r="O239">
        <v>6</v>
      </c>
      <c r="P239">
        <v>1</v>
      </c>
      <c r="Q239">
        <v>0</v>
      </c>
      <c r="R239" s="4">
        <v>16.010000000000002</v>
      </c>
      <c r="S239">
        <v>0</v>
      </c>
      <c r="T239">
        <v>1</v>
      </c>
    </row>
    <row r="240" spans="1:20" ht="16.5" x14ac:dyDescent="0.3">
      <c r="A240" t="s">
        <v>281</v>
      </c>
      <c r="B240" s="1">
        <v>45329</v>
      </c>
      <c r="C240">
        <v>2024</v>
      </c>
      <c r="D240" t="s">
        <v>21</v>
      </c>
      <c r="E240" t="s">
        <v>241</v>
      </c>
      <c r="F240" t="s">
        <v>34</v>
      </c>
      <c r="G240" t="s">
        <v>24</v>
      </c>
      <c r="H240" t="s">
        <v>36</v>
      </c>
      <c r="I240" t="s">
        <v>26</v>
      </c>
      <c r="J240" t="s">
        <v>27</v>
      </c>
      <c r="K240" t="s">
        <v>32</v>
      </c>
      <c r="L240" s="2">
        <v>5.8</v>
      </c>
      <c r="M240" s="3">
        <v>280</v>
      </c>
      <c r="N240">
        <v>3</v>
      </c>
      <c r="O240">
        <v>5</v>
      </c>
      <c r="P240">
        <v>0</v>
      </c>
      <c r="Q240">
        <v>2</v>
      </c>
      <c r="R240" s="4">
        <v>11.96</v>
      </c>
      <c r="S240">
        <v>0</v>
      </c>
      <c r="T240">
        <v>1</v>
      </c>
    </row>
    <row r="241" spans="1:20" ht="16.5" x14ac:dyDescent="0.3">
      <c r="A241" t="s">
        <v>282</v>
      </c>
      <c r="B241" s="1">
        <v>45329</v>
      </c>
      <c r="C241">
        <v>2024</v>
      </c>
      <c r="D241" t="s">
        <v>21</v>
      </c>
      <c r="E241" t="s">
        <v>241</v>
      </c>
      <c r="F241" t="s">
        <v>38</v>
      </c>
      <c r="G241" t="s">
        <v>24</v>
      </c>
      <c r="H241" t="s">
        <v>25</v>
      </c>
      <c r="I241" t="s">
        <v>26</v>
      </c>
      <c r="J241" t="s">
        <v>27</v>
      </c>
      <c r="K241" t="s">
        <v>32</v>
      </c>
      <c r="L241" s="2">
        <v>9</v>
      </c>
      <c r="M241" s="3">
        <v>827</v>
      </c>
      <c r="N241">
        <v>4</v>
      </c>
      <c r="O241">
        <v>4</v>
      </c>
      <c r="P241">
        <v>1</v>
      </c>
      <c r="Q241">
        <v>0</v>
      </c>
      <c r="R241" s="4">
        <v>25.52</v>
      </c>
      <c r="S241">
        <v>0</v>
      </c>
      <c r="T241">
        <v>1</v>
      </c>
    </row>
    <row r="242" spans="1:20" ht="16.5" x14ac:dyDescent="0.3">
      <c r="A242" t="s">
        <v>283</v>
      </c>
      <c r="B242" s="1">
        <v>45330</v>
      </c>
      <c r="C242">
        <v>2024</v>
      </c>
      <c r="D242" t="s">
        <v>21</v>
      </c>
      <c r="E242" t="s">
        <v>241</v>
      </c>
      <c r="F242" t="s">
        <v>34</v>
      </c>
      <c r="G242" t="s">
        <v>39</v>
      </c>
      <c r="H242" t="s">
        <v>36</v>
      </c>
      <c r="I242" t="s">
        <v>26</v>
      </c>
      <c r="J242" t="s">
        <v>27</v>
      </c>
      <c r="K242" t="s">
        <v>28</v>
      </c>
      <c r="L242" s="2">
        <v>49.5</v>
      </c>
      <c r="M242" s="3">
        <v>251</v>
      </c>
      <c r="N242">
        <v>3</v>
      </c>
      <c r="O242">
        <v>4</v>
      </c>
      <c r="P242">
        <v>0</v>
      </c>
      <c r="Q242">
        <v>1</v>
      </c>
      <c r="R242" s="4">
        <v>26.09</v>
      </c>
      <c r="S242">
        <v>0</v>
      </c>
      <c r="T242">
        <v>1</v>
      </c>
    </row>
    <row r="243" spans="1:20" ht="16.5" x14ac:dyDescent="0.3">
      <c r="A243" t="s">
        <v>284</v>
      </c>
      <c r="B243" s="1">
        <v>45330</v>
      </c>
      <c r="C243">
        <v>2024</v>
      </c>
      <c r="D243" t="s">
        <v>21</v>
      </c>
      <c r="E243" t="s">
        <v>241</v>
      </c>
      <c r="F243" t="s">
        <v>57</v>
      </c>
      <c r="G243" t="s">
        <v>39</v>
      </c>
      <c r="H243" t="s">
        <v>36</v>
      </c>
      <c r="I243" t="s">
        <v>26</v>
      </c>
      <c r="J243" t="s">
        <v>27</v>
      </c>
      <c r="K243" t="s">
        <v>28</v>
      </c>
      <c r="L243" s="2">
        <v>174.1</v>
      </c>
      <c r="M243" s="3">
        <v>229</v>
      </c>
      <c r="N243">
        <v>3</v>
      </c>
      <c r="O243">
        <v>3</v>
      </c>
      <c r="P243">
        <v>1</v>
      </c>
      <c r="Q243">
        <v>0</v>
      </c>
      <c r="R243" s="4">
        <v>76.849999999999994</v>
      </c>
      <c r="S243">
        <v>0</v>
      </c>
      <c r="T243">
        <v>1</v>
      </c>
    </row>
    <row r="244" spans="1:20" ht="16.5" x14ac:dyDescent="0.3">
      <c r="A244" t="s">
        <v>285</v>
      </c>
      <c r="B244" s="1">
        <v>45330</v>
      </c>
      <c r="C244">
        <v>2024</v>
      </c>
      <c r="D244" t="s">
        <v>21</v>
      </c>
      <c r="E244" t="s">
        <v>241</v>
      </c>
      <c r="F244" t="s">
        <v>34</v>
      </c>
      <c r="G244" t="s">
        <v>35</v>
      </c>
      <c r="H244" t="s">
        <v>48</v>
      </c>
      <c r="I244" t="s">
        <v>26</v>
      </c>
      <c r="J244" t="s">
        <v>27</v>
      </c>
      <c r="K244" t="s">
        <v>28</v>
      </c>
      <c r="L244" s="2">
        <v>29.1</v>
      </c>
      <c r="M244" s="3">
        <v>483</v>
      </c>
      <c r="N244">
        <v>4</v>
      </c>
      <c r="O244">
        <v>4</v>
      </c>
      <c r="P244">
        <v>1</v>
      </c>
      <c r="Q244">
        <v>0</v>
      </c>
      <c r="R244" s="4">
        <v>23.48</v>
      </c>
      <c r="S244">
        <v>0</v>
      </c>
      <c r="T244">
        <v>1</v>
      </c>
    </row>
    <row r="245" spans="1:20" ht="16.5" x14ac:dyDescent="0.3">
      <c r="A245" t="s">
        <v>286</v>
      </c>
      <c r="B245" s="1">
        <v>45330</v>
      </c>
      <c r="C245">
        <v>2024</v>
      </c>
      <c r="D245" t="s">
        <v>21</v>
      </c>
      <c r="E245" t="s">
        <v>241</v>
      </c>
      <c r="F245" t="s">
        <v>23</v>
      </c>
      <c r="G245" t="s">
        <v>39</v>
      </c>
      <c r="H245" t="s">
        <v>25</v>
      </c>
      <c r="I245" t="s">
        <v>26</v>
      </c>
      <c r="J245" t="s">
        <v>27</v>
      </c>
      <c r="K245" t="s">
        <v>32</v>
      </c>
      <c r="L245" s="2">
        <v>6.2</v>
      </c>
      <c r="M245" s="3">
        <v>999</v>
      </c>
      <c r="N245">
        <v>4</v>
      </c>
      <c r="O245">
        <v>3</v>
      </c>
      <c r="P245">
        <v>1</v>
      </c>
      <c r="Q245">
        <v>0</v>
      </c>
      <c r="R245" s="4">
        <v>22.29</v>
      </c>
      <c r="S245">
        <v>0</v>
      </c>
      <c r="T245">
        <v>1</v>
      </c>
    </row>
    <row r="246" spans="1:20" ht="16.5" x14ac:dyDescent="0.3">
      <c r="A246" t="s">
        <v>287</v>
      </c>
      <c r="B246" s="1">
        <v>45330</v>
      </c>
      <c r="C246">
        <v>2024</v>
      </c>
      <c r="D246" t="s">
        <v>21</v>
      </c>
      <c r="E246" t="s">
        <v>241</v>
      </c>
      <c r="F246" t="s">
        <v>30</v>
      </c>
      <c r="G246" t="s">
        <v>39</v>
      </c>
      <c r="H246" t="s">
        <v>25</v>
      </c>
      <c r="I246" t="s">
        <v>40</v>
      </c>
      <c r="J246" t="s">
        <v>41</v>
      </c>
      <c r="K246" t="s">
        <v>28</v>
      </c>
      <c r="L246" s="2">
        <v>193.6</v>
      </c>
      <c r="M246" s="3">
        <v>961</v>
      </c>
      <c r="N246">
        <v>2</v>
      </c>
      <c r="O246">
        <v>1</v>
      </c>
      <c r="P246">
        <v>1</v>
      </c>
      <c r="Q246">
        <v>0</v>
      </c>
      <c r="R246" s="4">
        <v>303.7</v>
      </c>
      <c r="S246">
        <v>0</v>
      </c>
      <c r="T246">
        <v>1</v>
      </c>
    </row>
    <row r="247" spans="1:20" ht="16.5" x14ac:dyDescent="0.3">
      <c r="A247" t="s">
        <v>288</v>
      </c>
      <c r="B247" s="1">
        <v>45330</v>
      </c>
      <c r="C247">
        <v>2024</v>
      </c>
      <c r="D247" t="s">
        <v>21</v>
      </c>
      <c r="E247" t="s">
        <v>241</v>
      </c>
      <c r="F247" t="s">
        <v>34</v>
      </c>
      <c r="G247" t="s">
        <v>39</v>
      </c>
      <c r="H247" t="s">
        <v>43</v>
      </c>
      <c r="I247" t="s">
        <v>26</v>
      </c>
      <c r="J247" t="s">
        <v>27</v>
      </c>
      <c r="K247" t="s">
        <v>28</v>
      </c>
      <c r="L247" s="2">
        <v>52.2</v>
      </c>
      <c r="M247" s="3">
        <v>1225</v>
      </c>
      <c r="N247">
        <v>5</v>
      </c>
      <c r="O247">
        <v>8</v>
      </c>
      <c r="P247">
        <v>0</v>
      </c>
      <c r="Q247">
        <v>3</v>
      </c>
      <c r="R247" s="4">
        <v>38.57</v>
      </c>
      <c r="S247">
        <v>0</v>
      </c>
      <c r="T247">
        <v>1</v>
      </c>
    </row>
    <row r="248" spans="1:20" ht="16.5" x14ac:dyDescent="0.3">
      <c r="A248" t="s">
        <v>289</v>
      </c>
      <c r="B248" s="1">
        <v>45330</v>
      </c>
      <c r="C248">
        <v>2024</v>
      </c>
      <c r="D248" t="s">
        <v>21</v>
      </c>
      <c r="E248" t="s">
        <v>241</v>
      </c>
      <c r="F248" t="s">
        <v>23</v>
      </c>
      <c r="G248" t="s">
        <v>35</v>
      </c>
      <c r="H248" t="s">
        <v>48</v>
      </c>
      <c r="I248" t="s">
        <v>26</v>
      </c>
      <c r="J248" t="s">
        <v>27</v>
      </c>
      <c r="K248" t="s">
        <v>28</v>
      </c>
      <c r="L248" s="2">
        <v>125.6</v>
      </c>
      <c r="M248" s="3">
        <v>474</v>
      </c>
      <c r="N248">
        <v>4</v>
      </c>
      <c r="O248">
        <v>4</v>
      </c>
      <c r="P248">
        <v>1</v>
      </c>
      <c r="Q248">
        <v>0</v>
      </c>
      <c r="R248" s="4">
        <v>68.78</v>
      </c>
      <c r="S248">
        <v>0</v>
      </c>
      <c r="T248">
        <v>1</v>
      </c>
    </row>
    <row r="249" spans="1:20" ht="16.5" x14ac:dyDescent="0.3">
      <c r="A249" t="s">
        <v>290</v>
      </c>
      <c r="B249" s="1">
        <v>45330</v>
      </c>
      <c r="C249">
        <v>2024</v>
      </c>
      <c r="D249" t="s">
        <v>21</v>
      </c>
      <c r="E249" t="s">
        <v>241</v>
      </c>
      <c r="F249" t="s">
        <v>34</v>
      </c>
      <c r="G249" t="s">
        <v>35</v>
      </c>
      <c r="H249" t="s">
        <v>36</v>
      </c>
      <c r="I249" t="s">
        <v>40</v>
      </c>
      <c r="J249" t="s">
        <v>27</v>
      </c>
      <c r="K249" t="s">
        <v>32</v>
      </c>
      <c r="L249" s="2">
        <v>2.2999999999999998</v>
      </c>
      <c r="M249" s="3">
        <v>202</v>
      </c>
      <c r="N249">
        <v>1</v>
      </c>
      <c r="O249">
        <v>1</v>
      </c>
      <c r="P249">
        <v>1</v>
      </c>
      <c r="Q249">
        <v>0</v>
      </c>
      <c r="R249" s="4">
        <v>16.53</v>
      </c>
      <c r="S249">
        <v>0</v>
      </c>
      <c r="T249">
        <v>1</v>
      </c>
    </row>
    <row r="250" spans="1:20" ht="16.5" x14ac:dyDescent="0.3">
      <c r="A250" t="s">
        <v>291</v>
      </c>
      <c r="B250" s="1">
        <v>45330</v>
      </c>
      <c r="C250">
        <v>2024</v>
      </c>
      <c r="D250" t="s">
        <v>21</v>
      </c>
      <c r="E250" t="s">
        <v>241</v>
      </c>
      <c r="F250" t="s">
        <v>38</v>
      </c>
      <c r="G250" t="s">
        <v>35</v>
      </c>
      <c r="H250" t="s">
        <v>25</v>
      </c>
      <c r="I250" t="s">
        <v>26</v>
      </c>
      <c r="J250" t="s">
        <v>27</v>
      </c>
      <c r="K250" t="s">
        <v>32</v>
      </c>
      <c r="L250" s="2">
        <v>0.7</v>
      </c>
      <c r="M250" s="3">
        <v>1003</v>
      </c>
      <c r="N250">
        <v>4</v>
      </c>
      <c r="O250">
        <v>3</v>
      </c>
      <c r="P250">
        <v>1</v>
      </c>
      <c r="Q250">
        <v>0</v>
      </c>
      <c r="R250" s="4">
        <v>20.7</v>
      </c>
      <c r="S250">
        <v>0</v>
      </c>
      <c r="T250">
        <v>1</v>
      </c>
    </row>
    <row r="251" spans="1:20" ht="16.5" x14ac:dyDescent="0.3">
      <c r="A251" t="s">
        <v>292</v>
      </c>
      <c r="B251" s="1">
        <v>45331</v>
      </c>
      <c r="C251">
        <v>2024</v>
      </c>
      <c r="D251" t="s">
        <v>21</v>
      </c>
      <c r="E251" t="s">
        <v>241</v>
      </c>
      <c r="F251" t="s">
        <v>38</v>
      </c>
      <c r="G251" t="s">
        <v>39</v>
      </c>
      <c r="H251" t="s">
        <v>25</v>
      </c>
      <c r="I251" t="s">
        <v>26</v>
      </c>
      <c r="J251" t="s">
        <v>27</v>
      </c>
      <c r="K251" t="s">
        <v>32</v>
      </c>
      <c r="L251" s="2">
        <v>3</v>
      </c>
      <c r="M251" s="3">
        <v>979</v>
      </c>
      <c r="N251">
        <v>4</v>
      </c>
      <c r="O251">
        <v>4</v>
      </c>
      <c r="P251">
        <v>1</v>
      </c>
      <c r="Q251">
        <v>0</v>
      </c>
      <c r="R251" s="4">
        <v>23.03</v>
      </c>
      <c r="S251">
        <v>0</v>
      </c>
      <c r="T251">
        <v>1</v>
      </c>
    </row>
    <row r="252" spans="1:20" ht="16.5" x14ac:dyDescent="0.3">
      <c r="A252" t="s">
        <v>293</v>
      </c>
      <c r="B252" s="1">
        <v>45331</v>
      </c>
      <c r="C252">
        <v>2024</v>
      </c>
      <c r="D252" t="s">
        <v>21</v>
      </c>
      <c r="E252" t="s">
        <v>241</v>
      </c>
      <c r="F252" t="s">
        <v>30</v>
      </c>
      <c r="G252" t="s">
        <v>39</v>
      </c>
      <c r="H252" t="s">
        <v>36</v>
      </c>
      <c r="I252" t="s">
        <v>26</v>
      </c>
      <c r="J252" t="s">
        <v>27</v>
      </c>
      <c r="K252" t="s">
        <v>32</v>
      </c>
      <c r="L252" s="2">
        <v>12.2</v>
      </c>
      <c r="M252" s="3">
        <v>266</v>
      </c>
      <c r="N252">
        <v>3</v>
      </c>
      <c r="O252">
        <v>2</v>
      </c>
      <c r="P252">
        <v>1</v>
      </c>
      <c r="Q252">
        <v>0</v>
      </c>
      <c r="R252" s="4">
        <v>17.75</v>
      </c>
      <c r="S252">
        <v>0</v>
      </c>
      <c r="T252">
        <v>1</v>
      </c>
    </row>
    <row r="253" spans="1:20" ht="16.5" x14ac:dyDescent="0.3">
      <c r="A253" t="s">
        <v>294</v>
      </c>
      <c r="B253" s="1">
        <v>45331</v>
      </c>
      <c r="C253">
        <v>2024</v>
      </c>
      <c r="D253" t="s">
        <v>21</v>
      </c>
      <c r="E253" t="s">
        <v>241</v>
      </c>
      <c r="F253" t="s">
        <v>57</v>
      </c>
      <c r="G253" t="s">
        <v>35</v>
      </c>
      <c r="H253" t="s">
        <v>43</v>
      </c>
      <c r="I253" t="s">
        <v>40</v>
      </c>
      <c r="J253" t="s">
        <v>41</v>
      </c>
      <c r="K253" t="s">
        <v>32</v>
      </c>
      <c r="L253" s="2">
        <v>25.8</v>
      </c>
      <c r="M253" s="3">
        <v>1197</v>
      </c>
      <c r="N253">
        <v>3</v>
      </c>
      <c r="O253">
        <v>2</v>
      </c>
      <c r="P253">
        <v>1</v>
      </c>
      <c r="Q253">
        <v>0</v>
      </c>
      <c r="R253" s="4">
        <v>105.95</v>
      </c>
      <c r="S253">
        <v>0</v>
      </c>
      <c r="T253">
        <v>1</v>
      </c>
    </row>
    <row r="254" spans="1:20" ht="16.5" x14ac:dyDescent="0.3">
      <c r="A254" t="s">
        <v>295</v>
      </c>
      <c r="B254" s="1">
        <v>45331</v>
      </c>
      <c r="C254">
        <v>2024</v>
      </c>
      <c r="D254" t="s">
        <v>21</v>
      </c>
      <c r="E254" t="s">
        <v>241</v>
      </c>
      <c r="F254" t="s">
        <v>34</v>
      </c>
      <c r="G254" t="s">
        <v>35</v>
      </c>
      <c r="H254" t="s">
        <v>25</v>
      </c>
      <c r="I254" t="s">
        <v>40</v>
      </c>
      <c r="J254" t="s">
        <v>41</v>
      </c>
      <c r="K254" t="s">
        <v>32</v>
      </c>
      <c r="L254" s="2">
        <v>4.7</v>
      </c>
      <c r="M254" s="3">
        <v>1134</v>
      </c>
      <c r="N254">
        <v>2</v>
      </c>
      <c r="O254">
        <v>1</v>
      </c>
      <c r="P254">
        <v>1</v>
      </c>
      <c r="Q254">
        <v>0</v>
      </c>
      <c r="R254" s="4">
        <v>55.48</v>
      </c>
      <c r="S254">
        <v>0</v>
      </c>
      <c r="T254">
        <v>1</v>
      </c>
    </row>
    <row r="255" spans="1:20" ht="16.5" x14ac:dyDescent="0.3">
      <c r="A255" t="s">
        <v>296</v>
      </c>
      <c r="B255" s="1">
        <v>45331</v>
      </c>
      <c r="C255">
        <v>2024</v>
      </c>
      <c r="D255" t="s">
        <v>21</v>
      </c>
      <c r="E255" t="s">
        <v>241</v>
      </c>
      <c r="F255" t="s">
        <v>30</v>
      </c>
      <c r="G255" t="s">
        <v>35</v>
      </c>
      <c r="H255" t="s">
        <v>25</v>
      </c>
      <c r="I255" t="s">
        <v>40</v>
      </c>
      <c r="J255" t="s">
        <v>41</v>
      </c>
      <c r="K255" t="s">
        <v>28</v>
      </c>
      <c r="L255" s="2">
        <v>135.69999999999999</v>
      </c>
      <c r="M255" s="3">
        <v>690</v>
      </c>
      <c r="N255">
        <v>2</v>
      </c>
      <c r="O255">
        <v>2</v>
      </c>
      <c r="P255">
        <v>1</v>
      </c>
      <c r="Q255">
        <v>0</v>
      </c>
      <c r="R255" s="4">
        <v>210.06</v>
      </c>
      <c r="S255">
        <v>0</v>
      </c>
      <c r="T255">
        <v>1</v>
      </c>
    </row>
    <row r="256" spans="1:20" ht="16.5" x14ac:dyDescent="0.3">
      <c r="A256" t="s">
        <v>297</v>
      </c>
      <c r="B256" s="1">
        <v>45331</v>
      </c>
      <c r="C256">
        <v>2024</v>
      </c>
      <c r="D256" t="s">
        <v>21</v>
      </c>
      <c r="E256" t="s">
        <v>241</v>
      </c>
      <c r="F256" t="s">
        <v>38</v>
      </c>
      <c r="G256" t="s">
        <v>35</v>
      </c>
      <c r="H256" t="s">
        <v>36</v>
      </c>
      <c r="I256" t="s">
        <v>40</v>
      </c>
      <c r="J256" t="s">
        <v>27</v>
      </c>
      <c r="K256" t="s">
        <v>28</v>
      </c>
      <c r="L256" s="2">
        <v>300.2</v>
      </c>
      <c r="M256" s="3">
        <v>253</v>
      </c>
      <c r="N256">
        <v>1</v>
      </c>
      <c r="O256">
        <v>1</v>
      </c>
      <c r="P256">
        <v>1</v>
      </c>
      <c r="Q256">
        <v>0</v>
      </c>
      <c r="R256" s="4">
        <v>258.3</v>
      </c>
      <c r="S256">
        <v>0</v>
      </c>
      <c r="T256">
        <v>1</v>
      </c>
    </row>
    <row r="257" spans="1:20" ht="16.5" x14ac:dyDescent="0.3">
      <c r="A257" t="s">
        <v>298</v>
      </c>
      <c r="B257" s="1">
        <v>45332</v>
      </c>
      <c r="C257">
        <v>2024</v>
      </c>
      <c r="D257" t="s">
        <v>21</v>
      </c>
      <c r="E257" t="s">
        <v>241</v>
      </c>
      <c r="F257" t="s">
        <v>30</v>
      </c>
      <c r="G257" t="s">
        <v>24</v>
      </c>
      <c r="H257" t="s">
        <v>36</v>
      </c>
      <c r="I257" t="s">
        <v>26</v>
      </c>
      <c r="J257" t="s">
        <v>27</v>
      </c>
      <c r="K257" t="s">
        <v>32</v>
      </c>
      <c r="L257" s="2">
        <v>9.9</v>
      </c>
      <c r="M257" s="3">
        <v>236</v>
      </c>
      <c r="N257">
        <v>3</v>
      </c>
      <c r="O257">
        <v>3</v>
      </c>
      <c r="P257">
        <v>1</v>
      </c>
      <c r="Q257">
        <v>0</v>
      </c>
      <c r="R257" s="4">
        <v>16.91</v>
      </c>
      <c r="S257">
        <v>0</v>
      </c>
      <c r="T257">
        <v>1</v>
      </c>
    </row>
    <row r="258" spans="1:20" ht="16.5" x14ac:dyDescent="0.3">
      <c r="A258" t="s">
        <v>299</v>
      </c>
      <c r="B258" s="1">
        <v>45332</v>
      </c>
      <c r="C258">
        <v>2024</v>
      </c>
      <c r="D258" t="s">
        <v>21</v>
      </c>
      <c r="E258" t="s">
        <v>241</v>
      </c>
      <c r="F258" t="s">
        <v>38</v>
      </c>
      <c r="G258" t="s">
        <v>39</v>
      </c>
      <c r="H258" t="s">
        <v>36</v>
      </c>
      <c r="I258" t="s">
        <v>40</v>
      </c>
      <c r="J258" t="s">
        <v>27</v>
      </c>
      <c r="K258" t="s">
        <v>32</v>
      </c>
      <c r="L258" s="2">
        <v>7.5</v>
      </c>
      <c r="M258" s="3">
        <v>309</v>
      </c>
      <c r="N258">
        <v>1</v>
      </c>
      <c r="O258">
        <v>1</v>
      </c>
      <c r="P258">
        <v>1</v>
      </c>
      <c r="Q258">
        <v>0</v>
      </c>
      <c r="R258" s="4">
        <v>31.6</v>
      </c>
      <c r="S258">
        <v>0</v>
      </c>
      <c r="T258">
        <v>1</v>
      </c>
    </row>
    <row r="259" spans="1:20" ht="16.5" x14ac:dyDescent="0.3">
      <c r="A259" t="s">
        <v>300</v>
      </c>
      <c r="B259" s="1">
        <v>45332</v>
      </c>
      <c r="C259">
        <v>2024</v>
      </c>
      <c r="D259" t="s">
        <v>21</v>
      </c>
      <c r="E259" t="s">
        <v>241</v>
      </c>
      <c r="F259" t="s">
        <v>30</v>
      </c>
      <c r="G259" t="s">
        <v>35</v>
      </c>
      <c r="H259" t="s">
        <v>25</v>
      </c>
      <c r="I259" t="s">
        <v>40</v>
      </c>
      <c r="J259" t="s">
        <v>41</v>
      </c>
      <c r="K259" t="s">
        <v>32</v>
      </c>
      <c r="L259" s="2">
        <v>11.8</v>
      </c>
      <c r="M259" s="3">
        <v>781</v>
      </c>
      <c r="N259">
        <v>2</v>
      </c>
      <c r="O259">
        <v>2</v>
      </c>
      <c r="P259">
        <v>1</v>
      </c>
      <c r="Q259">
        <v>0</v>
      </c>
      <c r="R259" s="4">
        <v>68.92</v>
      </c>
      <c r="S259">
        <v>0</v>
      </c>
      <c r="T259">
        <v>1</v>
      </c>
    </row>
    <row r="260" spans="1:20" ht="16.5" x14ac:dyDescent="0.3">
      <c r="A260" t="s">
        <v>301</v>
      </c>
      <c r="B260" s="1">
        <v>45332</v>
      </c>
      <c r="C260">
        <v>2024</v>
      </c>
      <c r="D260" t="s">
        <v>21</v>
      </c>
      <c r="E260" t="s">
        <v>241</v>
      </c>
      <c r="F260" t="s">
        <v>38</v>
      </c>
      <c r="G260" t="s">
        <v>39</v>
      </c>
      <c r="H260" t="s">
        <v>36</v>
      </c>
      <c r="I260" t="s">
        <v>26</v>
      </c>
      <c r="J260" t="s">
        <v>27</v>
      </c>
      <c r="K260" t="s">
        <v>28</v>
      </c>
      <c r="L260" s="2">
        <v>58.4</v>
      </c>
      <c r="M260" s="3">
        <v>214</v>
      </c>
      <c r="N260">
        <v>3</v>
      </c>
      <c r="O260">
        <v>3</v>
      </c>
      <c r="P260">
        <v>1</v>
      </c>
      <c r="Q260">
        <v>0</v>
      </c>
      <c r="R260" s="4">
        <v>41.39</v>
      </c>
      <c r="S260">
        <v>0</v>
      </c>
      <c r="T260">
        <v>1</v>
      </c>
    </row>
    <row r="261" spans="1:20" ht="16.5" x14ac:dyDescent="0.3">
      <c r="A261" t="s">
        <v>302</v>
      </c>
      <c r="B261" s="1">
        <v>45333</v>
      </c>
      <c r="C261">
        <v>2024</v>
      </c>
      <c r="D261" t="s">
        <v>21</v>
      </c>
      <c r="E261" t="s">
        <v>241</v>
      </c>
      <c r="F261" t="s">
        <v>30</v>
      </c>
      <c r="G261" t="s">
        <v>39</v>
      </c>
      <c r="H261" t="s">
        <v>51</v>
      </c>
      <c r="I261" t="s">
        <v>40</v>
      </c>
      <c r="J261" t="s">
        <v>41</v>
      </c>
      <c r="K261" t="s">
        <v>32</v>
      </c>
      <c r="L261" s="2">
        <v>3.4</v>
      </c>
      <c r="M261" s="3">
        <v>1263</v>
      </c>
      <c r="N261">
        <v>3</v>
      </c>
      <c r="O261">
        <v>3</v>
      </c>
      <c r="P261">
        <v>1</v>
      </c>
      <c r="Q261">
        <v>0</v>
      </c>
      <c r="R261" s="4">
        <v>73.599999999999994</v>
      </c>
      <c r="S261">
        <v>0</v>
      </c>
      <c r="T261">
        <v>1</v>
      </c>
    </row>
    <row r="262" spans="1:20" ht="16.5" x14ac:dyDescent="0.3">
      <c r="A262" t="s">
        <v>303</v>
      </c>
      <c r="B262" s="1">
        <v>45333</v>
      </c>
      <c r="C262">
        <v>2024</v>
      </c>
      <c r="D262" t="s">
        <v>21</v>
      </c>
      <c r="E262" t="s">
        <v>241</v>
      </c>
      <c r="F262" t="s">
        <v>57</v>
      </c>
      <c r="G262" t="s">
        <v>35</v>
      </c>
      <c r="H262" t="s">
        <v>25</v>
      </c>
      <c r="I262" t="s">
        <v>40</v>
      </c>
      <c r="J262" t="s">
        <v>41</v>
      </c>
      <c r="K262" t="s">
        <v>32</v>
      </c>
      <c r="L262" s="2">
        <v>3.7</v>
      </c>
      <c r="M262" s="3">
        <v>952</v>
      </c>
      <c r="N262">
        <v>2</v>
      </c>
      <c r="O262">
        <v>7</v>
      </c>
      <c r="P262">
        <v>0</v>
      </c>
      <c r="Q262">
        <v>5</v>
      </c>
      <c r="R262" s="4">
        <v>55.69</v>
      </c>
      <c r="S262">
        <v>0</v>
      </c>
      <c r="T262">
        <v>1</v>
      </c>
    </row>
    <row r="263" spans="1:20" ht="16.5" x14ac:dyDescent="0.3">
      <c r="A263" t="s">
        <v>304</v>
      </c>
      <c r="B263" s="1">
        <v>45333</v>
      </c>
      <c r="C263">
        <v>2024</v>
      </c>
      <c r="D263" t="s">
        <v>21</v>
      </c>
      <c r="E263" t="s">
        <v>241</v>
      </c>
      <c r="F263" t="s">
        <v>23</v>
      </c>
      <c r="G263" t="s">
        <v>35</v>
      </c>
      <c r="H263" t="s">
        <v>48</v>
      </c>
      <c r="I263" t="s">
        <v>40</v>
      </c>
      <c r="J263" t="s">
        <v>27</v>
      </c>
      <c r="K263" t="s">
        <v>32</v>
      </c>
      <c r="L263" s="2">
        <v>3.5</v>
      </c>
      <c r="M263" s="3">
        <v>389</v>
      </c>
      <c r="N263">
        <v>2</v>
      </c>
      <c r="O263">
        <v>2</v>
      </c>
      <c r="P263">
        <v>1</v>
      </c>
      <c r="Q263">
        <v>0</v>
      </c>
      <c r="R263" s="4">
        <v>26.53</v>
      </c>
      <c r="S263">
        <v>0</v>
      </c>
      <c r="T263">
        <v>1</v>
      </c>
    </row>
    <row r="264" spans="1:20" ht="16.5" x14ac:dyDescent="0.3">
      <c r="A264" t="s">
        <v>305</v>
      </c>
      <c r="B264" s="1">
        <v>45334</v>
      </c>
      <c r="C264">
        <v>2024</v>
      </c>
      <c r="D264" t="s">
        <v>21</v>
      </c>
      <c r="E264" t="s">
        <v>241</v>
      </c>
      <c r="F264" t="s">
        <v>23</v>
      </c>
      <c r="G264" t="s">
        <v>35</v>
      </c>
      <c r="H264" t="s">
        <v>25</v>
      </c>
      <c r="I264" t="s">
        <v>26</v>
      </c>
      <c r="J264" t="s">
        <v>27</v>
      </c>
      <c r="K264" t="s">
        <v>32</v>
      </c>
      <c r="L264" s="2">
        <v>12.9</v>
      </c>
      <c r="M264" s="3">
        <v>865</v>
      </c>
      <c r="N264">
        <v>4</v>
      </c>
      <c r="O264">
        <v>4</v>
      </c>
      <c r="P264">
        <v>1</v>
      </c>
      <c r="Q264">
        <v>0</v>
      </c>
      <c r="R264" s="4">
        <v>20.25</v>
      </c>
      <c r="S264">
        <v>0</v>
      </c>
      <c r="T264">
        <v>1</v>
      </c>
    </row>
    <row r="265" spans="1:20" ht="16.5" x14ac:dyDescent="0.3">
      <c r="A265" t="s">
        <v>306</v>
      </c>
      <c r="B265" s="1">
        <v>45334</v>
      </c>
      <c r="C265">
        <v>2024</v>
      </c>
      <c r="D265" t="s">
        <v>21</v>
      </c>
      <c r="E265" t="s">
        <v>241</v>
      </c>
      <c r="F265" t="s">
        <v>34</v>
      </c>
      <c r="G265" t="s">
        <v>35</v>
      </c>
      <c r="H265" t="s">
        <v>36</v>
      </c>
      <c r="I265" t="s">
        <v>26</v>
      </c>
      <c r="J265" t="s">
        <v>27</v>
      </c>
      <c r="K265" t="s">
        <v>32</v>
      </c>
      <c r="L265" s="2">
        <v>11.3</v>
      </c>
      <c r="M265" s="3">
        <v>274</v>
      </c>
      <c r="N265">
        <v>3</v>
      </c>
      <c r="O265">
        <v>4</v>
      </c>
      <c r="P265">
        <v>0</v>
      </c>
      <c r="Q265">
        <v>1</v>
      </c>
      <c r="R265" s="4">
        <v>13.85</v>
      </c>
      <c r="S265">
        <v>0</v>
      </c>
      <c r="T265">
        <v>1</v>
      </c>
    </row>
    <row r="266" spans="1:20" ht="16.5" x14ac:dyDescent="0.3">
      <c r="A266" t="s">
        <v>307</v>
      </c>
      <c r="B266" s="1">
        <v>45334</v>
      </c>
      <c r="C266">
        <v>2024</v>
      </c>
      <c r="D266" t="s">
        <v>21</v>
      </c>
      <c r="E266" t="s">
        <v>241</v>
      </c>
      <c r="F266" t="s">
        <v>23</v>
      </c>
      <c r="G266" t="s">
        <v>35</v>
      </c>
      <c r="H266" t="s">
        <v>25</v>
      </c>
      <c r="I266" t="s">
        <v>31</v>
      </c>
      <c r="J266" t="s">
        <v>27</v>
      </c>
      <c r="K266" t="s">
        <v>32</v>
      </c>
      <c r="L266" s="2">
        <v>2.5</v>
      </c>
      <c r="M266" s="3">
        <v>721</v>
      </c>
      <c r="N266">
        <v>6</v>
      </c>
      <c r="O266">
        <v>5</v>
      </c>
      <c r="P266">
        <v>1</v>
      </c>
      <c r="Q266">
        <v>0</v>
      </c>
      <c r="R266" s="4">
        <v>12.58</v>
      </c>
      <c r="S266">
        <v>0</v>
      </c>
      <c r="T266">
        <v>1</v>
      </c>
    </row>
    <row r="267" spans="1:20" ht="16.5" x14ac:dyDescent="0.3">
      <c r="A267" t="s">
        <v>308</v>
      </c>
      <c r="B267" s="1">
        <v>45334</v>
      </c>
      <c r="C267">
        <v>2024</v>
      </c>
      <c r="D267" t="s">
        <v>21</v>
      </c>
      <c r="E267" t="s">
        <v>241</v>
      </c>
      <c r="F267" t="s">
        <v>30</v>
      </c>
      <c r="G267" t="s">
        <v>24</v>
      </c>
      <c r="H267" t="s">
        <v>43</v>
      </c>
      <c r="I267" t="s">
        <v>26</v>
      </c>
      <c r="J267" t="s">
        <v>27</v>
      </c>
      <c r="K267" t="s">
        <v>32</v>
      </c>
      <c r="L267" s="2">
        <v>7.2</v>
      </c>
      <c r="M267" s="3">
        <v>951</v>
      </c>
      <c r="N267">
        <v>5</v>
      </c>
      <c r="O267">
        <v>5</v>
      </c>
      <c r="P267">
        <v>1</v>
      </c>
      <c r="Q267">
        <v>0</v>
      </c>
      <c r="R267" s="4">
        <v>22.95</v>
      </c>
      <c r="S267">
        <v>0</v>
      </c>
      <c r="T267">
        <v>1</v>
      </c>
    </row>
    <row r="268" spans="1:20" ht="16.5" x14ac:dyDescent="0.3">
      <c r="A268" t="s">
        <v>309</v>
      </c>
      <c r="B268" s="1">
        <v>45334</v>
      </c>
      <c r="C268">
        <v>2024</v>
      </c>
      <c r="D268" t="s">
        <v>21</v>
      </c>
      <c r="E268" t="s">
        <v>241</v>
      </c>
      <c r="F268" t="s">
        <v>57</v>
      </c>
      <c r="G268" t="s">
        <v>24</v>
      </c>
      <c r="H268" t="s">
        <v>36</v>
      </c>
      <c r="I268" t="s">
        <v>31</v>
      </c>
      <c r="J268" t="s">
        <v>27</v>
      </c>
      <c r="K268" t="s">
        <v>28</v>
      </c>
      <c r="L268" s="2">
        <v>326.8</v>
      </c>
      <c r="M268" s="3">
        <v>289</v>
      </c>
      <c r="N268">
        <v>5</v>
      </c>
      <c r="O268">
        <v>4</v>
      </c>
      <c r="P268">
        <v>1</v>
      </c>
      <c r="Q268">
        <v>0</v>
      </c>
      <c r="R268" s="4">
        <v>101.17</v>
      </c>
      <c r="S268">
        <v>0</v>
      </c>
      <c r="T268">
        <v>1</v>
      </c>
    </row>
    <row r="269" spans="1:20" ht="16.5" x14ac:dyDescent="0.3">
      <c r="A269" t="s">
        <v>310</v>
      </c>
      <c r="B269" s="1">
        <v>45334</v>
      </c>
      <c r="C269">
        <v>2024</v>
      </c>
      <c r="D269" t="s">
        <v>21</v>
      </c>
      <c r="E269" t="s">
        <v>241</v>
      </c>
      <c r="F269" t="s">
        <v>38</v>
      </c>
      <c r="G269" t="s">
        <v>35</v>
      </c>
      <c r="H269" t="s">
        <v>25</v>
      </c>
      <c r="I269" t="s">
        <v>40</v>
      </c>
      <c r="J269" t="s">
        <v>41</v>
      </c>
      <c r="K269" t="s">
        <v>32</v>
      </c>
      <c r="L269" s="2">
        <v>1.9</v>
      </c>
      <c r="M269" s="3">
        <v>901</v>
      </c>
      <c r="N269">
        <v>2</v>
      </c>
      <c r="O269">
        <v>2</v>
      </c>
      <c r="P269">
        <v>1</v>
      </c>
      <c r="Q269">
        <v>0</v>
      </c>
      <c r="R269" s="4">
        <v>67.02</v>
      </c>
      <c r="S269">
        <v>0</v>
      </c>
      <c r="T269">
        <v>1</v>
      </c>
    </row>
    <row r="270" spans="1:20" ht="16.5" x14ac:dyDescent="0.3">
      <c r="A270" t="s">
        <v>311</v>
      </c>
      <c r="B270" s="1">
        <v>45334</v>
      </c>
      <c r="C270">
        <v>2024</v>
      </c>
      <c r="D270" t="s">
        <v>21</v>
      </c>
      <c r="E270" t="s">
        <v>241</v>
      </c>
      <c r="F270" t="s">
        <v>34</v>
      </c>
      <c r="G270" t="s">
        <v>24</v>
      </c>
      <c r="H270" t="s">
        <v>25</v>
      </c>
      <c r="I270" t="s">
        <v>40</v>
      </c>
      <c r="J270" t="s">
        <v>41</v>
      </c>
      <c r="K270" t="s">
        <v>28</v>
      </c>
      <c r="L270" s="2">
        <v>103.1</v>
      </c>
      <c r="M270" s="3">
        <v>962</v>
      </c>
      <c r="N270">
        <v>2</v>
      </c>
      <c r="O270">
        <v>2</v>
      </c>
      <c r="P270">
        <v>1</v>
      </c>
      <c r="Q270">
        <v>0</v>
      </c>
      <c r="R270" s="4">
        <v>182.32</v>
      </c>
      <c r="S270">
        <v>0</v>
      </c>
      <c r="T270">
        <v>1</v>
      </c>
    </row>
    <row r="271" spans="1:20" ht="16.5" x14ac:dyDescent="0.3">
      <c r="A271" t="s">
        <v>312</v>
      </c>
      <c r="B271" s="1">
        <v>45334</v>
      </c>
      <c r="C271">
        <v>2024</v>
      </c>
      <c r="D271" t="s">
        <v>21</v>
      </c>
      <c r="E271" t="s">
        <v>241</v>
      </c>
      <c r="F271" t="s">
        <v>23</v>
      </c>
      <c r="G271" t="s">
        <v>39</v>
      </c>
      <c r="H271" t="s">
        <v>25</v>
      </c>
      <c r="I271" t="s">
        <v>40</v>
      </c>
      <c r="J271" t="s">
        <v>41</v>
      </c>
      <c r="K271" t="s">
        <v>28</v>
      </c>
      <c r="L271" s="2">
        <v>58.4</v>
      </c>
      <c r="M271" s="3">
        <v>980</v>
      </c>
      <c r="N271">
        <v>2</v>
      </c>
      <c r="O271">
        <v>1</v>
      </c>
      <c r="P271">
        <v>1</v>
      </c>
      <c r="Q271">
        <v>0</v>
      </c>
      <c r="R271" s="4">
        <v>135.85</v>
      </c>
      <c r="S271">
        <v>0</v>
      </c>
      <c r="T271">
        <v>1</v>
      </c>
    </row>
    <row r="272" spans="1:20" ht="16.5" x14ac:dyDescent="0.3">
      <c r="A272" t="s">
        <v>313</v>
      </c>
      <c r="B272" s="1">
        <v>45334</v>
      </c>
      <c r="C272">
        <v>2024</v>
      </c>
      <c r="D272" t="s">
        <v>21</v>
      </c>
      <c r="E272" t="s">
        <v>241</v>
      </c>
      <c r="F272" t="s">
        <v>23</v>
      </c>
      <c r="G272" t="s">
        <v>35</v>
      </c>
      <c r="H272" t="s">
        <v>25</v>
      </c>
      <c r="I272" t="s">
        <v>26</v>
      </c>
      <c r="J272" t="s">
        <v>27</v>
      </c>
      <c r="K272" t="s">
        <v>32</v>
      </c>
      <c r="L272" s="2">
        <v>10.199999999999999</v>
      </c>
      <c r="M272" s="3">
        <v>921</v>
      </c>
      <c r="N272">
        <v>4</v>
      </c>
      <c r="O272">
        <v>4</v>
      </c>
      <c r="P272">
        <v>1</v>
      </c>
      <c r="Q272">
        <v>0</v>
      </c>
      <c r="R272" s="4">
        <v>21.15</v>
      </c>
      <c r="S272">
        <v>0</v>
      </c>
      <c r="T272">
        <v>1</v>
      </c>
    </row>
    <row r="273" spans="1:20" ht="16.5" x14ac:dyDescent="0.3">
      <c r="A273" t="s">
        <v>314</v>
      </c>
      <c r="B273" s="1">
        <v>45334</v>
      </c>
      <c r="C273">
        <v>2024</v>
      </c>
      <c r="D273" t="s">
        <v>21</v>
      </c>
      <c r="E273" t="s">
        <v>241</v>
      </c>
      <c r="F273" t="s">
        <v>38</v>
      </c>
      <c r="G273" t="s">
        <v>39</v>
      </c>
      <c r="H273" t="s">
        <v>43</v>
      </c>
      <c r="I273" t="s">
        <v>26</v>
      </c>
      <c r="J273" t="s">
        <v>27</v>
      </c>
      <c r="K273" t="s">
        <v>32</v>
      </c>
      <c r="L273" s="2">
        <v>3.3</v>
      </c>
      <c r="M273" s="3">
        <v>913</v>
      </c>
      <c r="N273">
        <v>5</v>
      </c>
      <c r="O273">
        <v>5</v>
      </c>
      <c r="P273">
        <v>1</v>
      </c>
      <c r="Q273">
        <v>0</v>
      </c>
      <c r="R273" s="4">
        <v>21.26</v>
      </c>
      <c r="S273">
        <v>0</v>
      </c>
      <c r="T273">
        <v>1</v>
      </c>
    </row>
    <row r="274" spans="1:20" ht="16.5" x14ac:dyDescent="0.3">
      <c r="A274" t="s">
        <v>315</v>
      </c>
      <c r="B274" s="1">
        <v>45334</v>
      </c>
      <c r="C274">
        <v>2024</v>
      </c>
      <c r="D274" t="s">
        <v>21</v>
      </c>
      <c r="E274" t="s">
        <v>241</v>
      </c>
      <c r="F274" t="s">
        <v>23</v>
      </c>
      <c r="G274" t="s">
        <v>35</v>
      </c>
      <c r="H274" t="s">
        <v>36</v>
      </c>
      <c r="I274" t="s">
        <v>26</v>
      </c>
      <c r="J274" t="s">
        <v>27</v>
      </c>
      <c r="K274" t="s">
        <v>32</v>
      </c>
      <c r="L274" s="2">
        <v>9.1</v>
      </c>
      <c r="M274" s="3">
        <v>282</v>
      </c>
      <c r="N274">
        <v>3</v>
      </c>
      <c r="O274">
        <v>2</v>
      </c>
      <c r="P274">
        <v>1</v>
      </c>
      <c r="Q274">
        <v>0</v>
      </c>
      <c r="R274" s="4">
        <v>14.89</v>
      </c>
      <c r="S274">
        <v>0</v>
      </c>
      <c r="T274">
        <v>1</v>
      </c>
    </row>
    <row r="275" spans="1:20" ht="16.5" x14ac:dyDescent="0.3">
      <c r="A275" t="s">
        <v>316</v>
      </c>
      <c r="B275" s="1">
        <v>45334</v>
      </c>
      <c r="C275">
        <v>2024</v>
      </c>
      <c r="D275" t="s">
        <v>21</v>
      </c>
      <c r="E275" t="s">
        <v>241</v>
      </c>
      <c r="F275" t="s">
        <v>34</v>
      </c>
      <c r="G275" t="s">
        <v>24</v>
      </c>
      <c r="H275" t="s">
        <v>48</v>
      </c>
      <c r="I275" t="s">
        <v>26</v>
      </c>
      <c r="J275" t="s">
        <v>27</v>
      </c>
      <c r="K275" t="s">
        <v>28</v>
      </c>
      <c r="L275" s="2">
        <v>21.6</v>
      </c>
      <c r="M275" s="3">
        <v>568</v>
      </c>
      <c r="N275">
        <v>4</v>
      </c>
      <c r="O275">
        <v>4</v>
      </c>
      <c r="P275">
        <v>1</v>
      </c>
      <c r="Q275">
        <v>0</v>
      </c>
      <c r="R275" s="4">
        <v>23.38</v>
      </c>
      <c r="S275">
        <v>0</v>
      </c>
      <c r="T275">
        <v>1</v>
      </c>
    </row>
    <row r="276" spans="1:20" ht="16.5" x14ac:dyDescent="0.3">
      <c r="A276" t="s">
        <v>317</v>
      </c>
      <c r="B276" s="1">
        <v>45334</v>
      </c>
      <c r="C276">
        <v>2024</v>
      </c>
      <c r="D276" t="s">
        <v>21</v>
      </c>
      <c r="E276" t="s">
        <v>241</v>
      </c>
      <c r="F276" t="s">
        <v>38</v>
      </c>
      <c r="G276" t="s">
        <v>24</v>
      </c>
      <c r="H276" t="s">
        <v>36</v>
      </c>
      <c r="I276" t="s">
        <v>31</v>
      </c>
      <c r="J276" t="s">
        <v>27</v>
      </c>
      <c r="K276" t="s">
        <v>32</v>
      </c>
      <c r="L276" s="2">
        <v>5.2</v>
      </c>
      <c r="M276" s="3">
        <v>232</v>
      </c>
      <c r="N276">
        <v>5</v>
      </c>
      <c r="O276">
        <v>5</v>
      </c>
      <c r="P276">
        <v>1</v>
      </c>
      <c r="Q276">
        <v>0</v>
      </c>
      <c r="R276" s="4">
        <v>10.71</v>
      </c>
      <c r="S276">
        <v>0</v>
      </c>
      <c r="T276">
        <v>1</v>
      </c>
    </row>
    <row r="277" spans="1:20" ht="16.5" x14ac:dyDescent="0.3">
      <c r="A277" t="s">
        <v>318</v>
      </c>
      <c r="B277" s="1">
        <v>45334</v>
      </c>
      <c r="C277">
        <v>2024</v>
      </c>
      <c r="D277" t="s">
        <v>21</v>
      </c>
      <c r="E277" t="s">
        <v>241</v>
      </c>
      <c r="F277" t="s">
        <v>34</v>
      </c>
      <c r="G277" t="s">
        <v>35</v>
      </c>
      <c r="H277" t="s">
        <v>48</v>
      </c>
      <c r="I277" t="s">
        <v>31</v>
      </c>
      <c r="J277" t="s">
        <v>27</v>
      </c>
      <c r="K277" t="s">
        <v>28</v>
      </c>
      <c r="L277" s="2">
        <v>227.1</v>
      </c>
      <c r="M277" s="3">
        <v>533</v>
      </c>
      <c r="N277">
        <v>6</v>
      </c>
      <c r="O277">
        <v>8</v>
      </c>
      <c r="P277">
        <v>0</v>
      </c>
      <c r="Q277">
        <v>2</v>
      </c>
      <c r="R277" s="4">
        <v>59.95</v>
      </c>
      <c r="S277">
        <v>0</v>
      </c>
      <c r="T277">
        <v>1</v>
      </c>
    </row>
    <row r="278" spans="1:20" ht="16.5" x14ac:dyDescent="0.3">
      <c r="A278" t="s">
        <v>319</v>
      </c>
      <c r="B278" s="1">
        <v>45335</v>
      </c>
      <c r="C278">
        <v>2024</v>
      </c>
      <c r="D278" t="s">
        <v>21</v>
      </c>
      <c r="E278" t="s">
        <v>241</v>
      </c>
      <c r="F278" t="s">
        <v>38</v>
      </c>
      <c r="G278" t="s">
        <v>39</v>
      </c>
      <c r="H278" t="s">
        <v>25</v>
      </c>
      <c r="I278" t="s">
        <v>31</v>
      </c>
      <c r="J278" t="s">
        <v>27</v>
      </c>
      <c r="K278" t="s">
        <v>32</v>
      </c>
      <c r="L278" s="2">
        <v>2.1</v>
      </c>
      <c r="M278" s="3">
        <v>692</v>
      </c>
      <c r="N278">
        <v>6</v>
      </c>
      <c r="O278">
        <v>6</v>
      </c>
      <c r="P278">
        <v>1</v>
      </c>
      <c r="Q278">
        <v>0</v>
      </c>
      <c r="R278" s="4">
        <v>13.32</v>
      </c>
      <c r="S278">
        <v>0</v>
      </c>
      <c r="T278">
        <v>1</v>
      </c>
    </row>
    <row r="279" spans="1:20" ht="16.5" x14ac:dyDescent="0.3">
      <c r="A279" t="s">
        <v>320</v>
      </c>
      <c r="B279" s="1">
        <v>45335</v>
      </c>
      <c r="C279">
        <v>2024</v>
      </c>
      <c r="D279" t="s">
        <v>21</v>
      </c>
      <c r="E279" t="s">
        <v>241</v>
      </c>
      <c r="F279" t="s">
        <v>23</v>
      </c>
      <c r="G279" t="s">
        <v>24</v>
      </c>
      <c r="H279" t="s">
        <v>25</v>
      </c>
      <c r="I279" t="s">
        <v>26</v>
      </c>
      <c r="J279" t="s">
        <v>27</v>
      </c>
      <c r="K279" t="s">
        <v>32</v>
      </c>
      <c r="L279" s="2">
        <v>4.5999999999999996</v>
      </c>
      <c r="M279" s="3">
        <v>787</v>
      </c>
      <c r="N279">
        <v>4</v>
      </c>
      <c r="O279">
        <v>3</v>
      </c>
      <c r="P279">
        <v>1</v>
      </c>
      <c r="Q279">
        <v>0</v>
      </c>
      <c r="R279" s="4">
        <v>17.53</v>
      </c>
      <c r="S279">
        <v>0</v>
      </c>
      <c r="T279">
        <v>1</v>
      </c>
    </row>
    <row r="280" spans="1:20" ht="16.5" x14ac:dyDescent="0.3">
      <c r="A280" t="s">
        <v>321</v>
      </c>
      <c r="B280" s="1">
        <v>45335</v>
      </c>
      <c r="C280">
        <v>2024</v>
      </c>
      <c r="D280" t="s">
        <v>21</v>
      </c>
      <c r="E280" t="s">
        <v>241</v>
      </c>
      <c r="F280" t="s">
        <v>57</v>
      </c>
      <c r="G280" t="s">
        <v>39</v>
      </c>
      <c r="H280" t="s">
        <v>48</v>
      </c>
      <c r="I280" t="s">
        <v>26</v>
      </c>
      <c r="J280" t="s">
        <v>27</v>
      </c>
      <c r="K280" t="s">
        <v>32</v>
      </c>
      <c r="L280" s="2">
        <v>13.7</v>
      </c>
      <c r="M280" s="3">
        <v>462</v>
      </c>
      <c r="N280">
        <v>4</v>
      </c>
      <c r="O280">
        <v>4</v>
      </c>
      <c r="P280">
        <v>1</v>
      </c>
      <c r="Q280">
        <v>0</v>
      </c>
      <c r="R280" s="4">
        <v>18.940000000000001</v>
      </c>
      <c r="S280">
        <v>0</v>
      </c>
      <c r="T280">
        <v>1</v>
      </c>
    </row>
    <row r="281" spans="1:20" ht="16.5" x14ac:dyDescent="0.3">
      <c r="A281" t="s">
        <v>322</v>
      </c>
      <c r="B281" s="1">
        <v>45335</v>
      </c>
      <c r="C281">
        <v>2024</v>
      </c>
      <c r="D281" t="s">
        <v>21</v>
      </c>
      <c r="E281" t="s">
        <v>241</v>
      </c>
      <c r="F281" t="s">
        <v>57</v>
      </c>
      <c r="G281" t="s">
        <v>39</v>
      </c>
      <c r="H281" t="s">
        <v>48</v>
      </c>
      <c r="I281" t="s">
        <v>40</v>
      </c>
      <c r="J281" t="s">
        <v>27</v>
      </c>
      <c r="K281" t="s">
        <v>28</v>
      </c>
      <c r="L281" s="2">
        <v>58.9</v>
      </c>
      <c r="M281" s="3">
        <v>417</v>
      </c>
      <c r="N281">
        <v>2</v>
      </c>
      <c r="O281">
        <v>2</v>
      </c>
      <c r="P281">
        <v>1</v>
      </c>
      <c r="Q281">
        <v>0</v>
      </c>
      <c r="R281" s="4">
        <v>74.069999999999993</v>
      </c>
      <c r="S281">
        <v>0</v>
      </c>
      <c r="T281">
        <v>1</v>
      </c>
    </row>
    <row r="282" spans="1:20" ht="16.5" x14ac:dyDescent="0.3">
      <c r="A282" t="s">
        <v>323</v>
      </c>
      <c r="B282" s="1">
        <v>45335</v>
      </c>
      <c r="C282">
        <v>2024</v>
      </c>
      <c r="D282" t="s">
        <v>21</v>
      </c>
      <c r="E282" t="s">
        <v>241</v>
      </c>
      <c r="F282" t="s">
        <v>38</v>
      </c>
      <c r="G282" t="s">
        <v>39</v>
      </c>
      <c r="H282" t="s">
        <v>43</v>
      </c>
      <c r="I282" t="s">
        <v>40</v>
      </c>
      <c r="J282" t="s">
        <v>41</v>
      </c>
      <c r="K282" t="s">
        <v>32</v>
      </c>
      <c r="L282" s="2">
        <v>3.4</v>
      </c>
      <c r="M282" s="3">
        <v>1009</v>
      </c>
      <c r="N282">
        <v>3</v>
      </c>
      <c r="O282">
        <v>3</v>
      </c>
      <c r="P282">
        <v>1</v>
      </c>
      <c r="Q282">
        <v>0</v>
      </c>
      <c r="R282" s="4">
        <v>70.23</v>
      </c>
      <c r="S282">
        <v>0</v>
      </c>
      <c r="T282">
        <v>1</v>
      </c>
    </row>
    <row r="283" spans="1:20" ht="16.5" x14ac:dyDescent="0.3">
      <c r="A283" t="s">
        <v>324</v>
      </c>
      <c r="B283" s="1">
        <v>45335</v>
      </c>
      <c r="C283">
        <v>2024</v>
      </c>
      <c r="D283" t="s">
        <v>21</v>
      </c>
      <c r="E283" t="s">
        <v>241</v>
      </c>
      <c r="F283" t="s">
        <v>34</v>
      </c>
      <c r="G283" t="s">
        <v>35</v>
      </c>
      <c r="H283" t="s">
        <v>25</v>
      </c>
      <c r="I283" t="s">
        <v>31</v>
      </c>
      <c r="J283" t="s">
        <v>27</v>
      </c>
      <c r="K283" t="s">
        <v>32</v>
      </c>
      <c r="L283" s="2">
        <v>3</v>
      </c>
      <c r="M283" s="3">
        <v>1018</v>
      </c>
      <c r="N283">
        <v>6</v>
      </c>
      <c r="O283">
        <v>6</v>
      </c>
      <c r="P283">
        <v>1</v>
      </c>
      <c r="Q283">
        <v>0</v>
      </c>
      <c r="R283" s="4">
        <v>12.44</v>
      </c>
      <c r="S283">
        <v>0</v>
      </c>
      <c r="T283">
        <v>1</v>
      </c>
    </row>
    <row r="284" spans="1:20" ht="16.5" x14ac:dyDescent="0.3">
      <c r="A284" t="s">
        <v>325</v>
      </c>
      <c r="B284" s="1">
        <v>45335</v>
      </c>
      <c r="C284">
        <v>2024</v>
      </c>
      <c r="D284" t="s">
        <v>21</v>
      </c>
      <c r="E284" t="s">
        <v>241</v>
      </c>
      <c r="F284" t="s">
        <v>38</v>
      </c>
      <c r="G284" t="s">
        <v>39</v>
      </c>
      <c r="H284" t="s">
        <v>43</v>
      </c>
      <c r="I284" t="s">
        <v>31</v>
      </c>
      <c r="J284" t="s">
        <v>27</v>
      </c>
      <c r="K284" t="s">
        <v>32</v>
      </c>
      <c r="L284" s="2">
        <v>14.7</v>
      </c>
      <c r="M284" s="3">
        <v>1073</v>
      </c>
      <c r="N284">
        <v>7</v>
      </c>
      <c r="O284">
        <v>6</v>
      </c>
      <c r="P284">
        <v>1</v>
      </c>
      <c r="Q284">
        <v>0</v>
      </c>
      <c r="R284" s="4">
        <v>22.55</v>
      </c>
      <c r="S284">
        <v>0</v>
      </c>
      <c r="T284">
        <v>1</v>
      </c>
    </row>
    <row r="285" spans="1:20" ht="16.5" x14ac:dyDescent="0.3">
      <c r="A285" t="s">
        <v>326</v>
      </c>
      <c r="B285" s="1">
        <v>45335</v>
      </c>
      <c r="C285">
        <v>2024</v>
      </c>
      <c r="D285" t="s">
        <v>21</v>
      </c>
      <c r="E285" t="s">
        <v>241</v>
      </c>
      <c r="F285" t="s">
        <v>34</v>
      </c>
      <c r="G285" t="s">
        <v>35</v>
      </c>
      <c r="H285" t="s">
        <v>51</v>
      </c>
      <c r="I285" t="s">
        <v>26</v>
      </c>
      <c r="J285" t="s">
        <v>27</v>
      </c>
      <c r="K285" t="s">
        <v>32</v>
      </c>
      <c r="L285" s="2">
        <v>5.7</v>
      </c>
      <c r="M285" s="3">
        <v>969</v>
      </c>
      <c r="N285">
        <v>5</v>
      </c>
      <c r="O285">
        <v>4</v>
      </c>
      <c r="P285">
        <v>1</v>
      </c>
      <c r="Q285">
        <v>0</v>
      </c>
      <c r="R285" s="4">
        <v>17.73</v>
      </c>
      <c r="S285">
        <v>0</v>
      </c>
      <c r="T285">
        <v>1</v>
      </c>
    </row>
    <row r="286" spans="1:20" ht="16.5" x14ac:dyDescent="0.3">
      <c r="A286" t="s">
        <v>327</v>
      </c>
      <c r="B286" s="1">
        <v>45336</v>
      </c>
      <c r="C286">
        <v>2024</v>
      </c>
      <c r="D286" t="s">
        <v>21</v>
      </c>
      <c r="E286" t="s">
        <v>241</v>
      </c>
      <c r="F286" t="s">
        <v>30</v>
      </c>
      <c r="G286" t="s">
        <v>24</v>
      </c>
      <c r="H286" t="s">
        <v>25</v>
      </c>
      <c r="I286" t="s">
        <v>31</v>
      </c>
      <c r="J286" t="s">
        <v>27</v>
      </c>
      <c r="K286" t="s">
        <v>32</v>
      </c>
      <c r="L286" s="2">
        <v>6.7</v>
      </c>
      <c r="M286" s="3">
        <v>878</v>
      </c>
      <c r="N286">
        <v>6</v>
      </c>
      <c r="O286">
        <v>6</v>
      </c>
      <c r="P286">
        <v>1</v>
      </c>
      <c r="Q286">
        <v>0</v>
      </c>
      <c r="R286" s="4">
        <v>17.079999999999998</v>
      </c>
      <c r="S286">
        <v>0</v>
      </c>
      <c r="T286">
        <v>1</v>
      </c>
    </row>
    <row r="287" spans="1:20" ht="16.5" x14ac:dyDescent="0.3">
      <c r="A287" t="s">
        <v>328</v>
      </c>
      <c r="B287" s="1">
        <v>45336</v>
      </c>
      <c r="C287">
        <v>2024</v>
      </c>
      <c r="D287" t="s">
        <v>21</v>
      </c>
      <c r="E287" t="s">
        <v>241</v>
      </c>
      <c r="F287" t="s">
        <v>30</v>
      </c>
      <c r="G287" t="s">
        <v>39</v>
      </c>
      <c r="H287" t="s">
        <v>25</v>
      </c>
      <c r="I287" t="s">
        <v>31</v>
      </c>
      <c r="J287" t="s">
        <v>27</v>
      </c>
      <c r="K287" t="s">
        <v>32</v>
      </c>
      <c r="L287" s="2">
        <v>6.3</v>
      </c>
      <c r="M287" s="3">
        <v>874</v>
      </c>
      <c r="N287">
        <v>6</v>
      </c>
      <c r="O287">
        <v>6</v>
      </c>
      <c r="P287">
        <v>1</v>
      </c>
      <c r="Q287">
        <v>0</v>
      </c>
      <c r="R287" s="4">
        <v>15.88</v>
      </c>
      <c r="S287">
        <v>0</v>
      </c>
      <c r="T287">
        <v>1</v>
      </c>
    </row>
    <row r="288" spans="1:20" ht="16.5" x14ac:dyDescent="0.3">
      <c r="A288" t="s">
        <v>329</v>
      </c>
      <c r="B288" s="1">
        <v>45336</v>
      </c>
      <c r="C288">
        <v>2024</v>
      </c>
      <c r="D288" t="s">
        <v>21</v>
      </c>
      <c r="E288" t="s">
        <v>241</v>
      </c>
      <c r="F288" t="s">
        <v>38</v>
      </c>
      <c r="G288" t="s">
        <v>39</v>
      </c>
      <c r="H288" t="s">
        <v>36</v>
      </c>
      <c r="I288" t="s">
        <v>26</v>
      </c>
      <c r="J288" t="s">
        <v>27</v>
      </c>
      <c r="K288" t="s">
        <v>32</v>
      </c>
      <c r="L288" s="2">
        <v>18.3</v>
      </c>
      <c r="M288" s="3">
        <v>275</v>
      </c>
      <c r="N288">
        <v>3</v>
      </c>
      <c r="O288">
        <v>2</v>
      </c>
      <c r="P288">
        <v>1</v>
      </c>
      <c r="Q288">
        <v>0</v>
      </c>
      <c r="R288" s="4">
        <v>22.83</v>
      </c>
      <c r="S288">
        <v>0</v>
      </c>
      <c r="T288">
        <v>1</v>
      </c>
    </row>
    <row r="289" spans="1:20" ht="16.5" x14ac:dyDescent="0.3">
      <c r="A289" t="s">
        <v>330</v>
      </c>
      <c r="B289" s="1">
        <v>45336</v>
      </c>
      <c r="C289">
        <v>2024</v>
      </c>
      <c r="D289" t="s">
        <v>21</v>
      </c>
      <c r="E289" t="s">
        <v>241</v>
      </c>
      <c r="F289" t="s">
        <v>57</v>
      </c>
      <c r="G289" t="s">
        <v>24</v>
      </c>
      <c r="H289" t="s">
        <v>43</v>
      </c>
      <c r="I289" t="s">
        <v>26</v>
      </c>
      <c r="J289" t="s">
        <v>27</v>
      </c>
      <c r="K289" t="s">
        <v>28</v>
      </c>
      <c r="L289" s="2">
        <v>104</v>
      </c>
      <c r="M289" s="3">
        <v>1205</v>
      </c>
      <c r="N289">
        <v>5</v>
      </c>
      <c r="O289">
        <v>5</v>
      </c>
      <c r="P289">
        <v>1</v>
      </c>
      <c r="Q289">
        <v>0</v>
      </c>
      <c r="R289" s="4">
        <v>71.95</v>
      </c>
      <c r="S289">
        <v>0</v>
      </c>
      <c r="T289">
        <v>1</v>
      </c>
    </row>
    <row r="290" spans="1:20" ht="16.5" x14ac:dyDescent="0.3">
      <c r="A290" t="s">
        <v>331</v>
      </c>
      <c r="B290" s="1">
        <v>45336</v>
      </c>
      <c r="C290">
        <v>2024</v>
      </c>
      <c r="D290" t="s">
        <v>21</v>
      </c>
      <c r="E290" t="s">
        <v>241</v>
      </c>
      <c r="F290" t="s">
        <v>38</v>
      </c>
      <c r="G290" t="s">
        <v>39</v>
      </c>
      <c r="H290" t="s">
        <v>25</v>
      </c>
      <c r="I290" t="s">
        <v>40</v>
      </c>
      <c r="J290" t="s">
        <v>41</v>
      </c>
      <c r="K290" t="s">
        <v>28</v>
      </c>
      <c r="L290" s="2">
        <v>254.5</v>
      </c>
      <c r="M290" s="3">
        <v>878</v>
      </c>
      <c r="N290">
        <v>2</v>
      </c>
      <c r="O290">
        <v>1</v>
      </c>
      <c r="P290">
        <v>1</v>
      </c>
      <c r="Q290">
        <v>0</v>
      </c>
      <c r="R290" s="4">
        <v>380.29</v>
      </c>
      <c r="S290">
        <v>0</v>
      </c>
      <c r="T290">
        <v>1</v>
      </c>
    </row>
    <row r="291" spans="1:20" ht="16.5" x14ac:dyDescent="0.3">
      <c r="A291" t="s">
        <v>332</v>
      </c>
      <c r="B291" s="1">
        <v>45336</v>
      </c>
      <c r="C291">
        <v>2024</v>
      </c>
      <c r="D291" t="s">
        <v>21</v>
      </c>
      <c r="E291" t="s">
        <v>241</v>
      </c>
      <c r="F291" t="s">
        <v>38</v>
      </c>
      <c r="G291" t="s">
        <v>39</v>
      </c>
      <c r="H291" t="s">
        <v>36</v>
      </c>
      <c r="I291" t="s">
        <v>26</v>
      </c>
      <c r="J291" t="s">
        <v>27</v>
      </c>
      <c r="K291" t="s">
        <v>28</v>
      </c>
      <c r="L291" s="2">
        <v>82.2</v>
      </c>
      <c r="M291" s="3">
        <v>310</v>
      </c>
      <c r="N291">
        <v>3</v>
      </c>
      <c r="O291">
        <v>3</v>
      </c>
      <c r="P291">
        <v>1</v>
      </c>
      <c r="Q291">
        <v>0</v>
      </c>
      <c r="R291" s="4">
        <v>53.14</v>
      </c>
      <c r="S291">
        <v>0</v>
      </c>
      <c r="T291">
        <v>1</v>
      </c>
    </row>
    <row r="292" spans="1:20" ht="16.5" x14ac:dyDescent="0.3">
      <c r="A292" t="s">
        <v>333</v>
      </c>
      <c r="B292" s="1">
        <v>45336</v>
      </c>
      <c r="C292">
        <v>2024</v>
      </c>
      <c r="D292" t="s">
        <v>21</v>
      </c>
      <c r="E292" t="s">
        <v>241</v>
      </c>
      <c r="F292" t="s">
        <v>34</v>
      </c>
      <c r="G292" t="s">
        <v>39</v>
      </c>
      <c r="H292" t="s">
        <v>25</v>
      </c>
      <c r="I292" t="s">
        <v>26</v>
      </c>
      <c r="J292" t="s">
        <v>27</v>
      </c>
      <c r="K292" t="s">
        <v>32</v>
      </c>
      <c r="L292" s="2">
        <v>8</v>
      </c>
      <c r="M292" s="3">
        <v>770</v>
      </c>
      <c r="N292">
        <v>4</v>
      </c>
      <c r="O292">
        <v>4</v>
      </c>
      <c r="P292">
        <v>1</v>
      </c>
      <c r="Q292">
        <v>0</v>
      </c>
      <c r="R292" s="4">
        <v>16.82</v>
      </c>
      <c r="S292">
        <v>0</v>
      </c>
      <c r="T292">
        <v>1</v>
      </c>
    </row>
    <row r="293" spans="1:20" ht="16.5" x14ac:dyDescent="0.3">
      <c r="A293" t="s">
        <v>334</v>
      </c>
      <c r="B293" s="1">
        <v>45336</v>
      </c>
      <c r="C293">
        <v>2024</v>
      </c>
      <c r="D293" t="s">
        <v>21</v>
      </c>
      <c r="E293" t="s">
        <v>241</v>
      </c>
      <c r="F293" t="s">
        <v>57</v>
      </c>
      <c r="G293" t="s">
        <v>35</v>
      </c>
      <c r="H293" t="s">
        <v>25</v>
      </c>
      <c r="I293" t="s">
        <v>26</v>
      </c>
      <c r="J293" t="s">
        <v>27</v>
      </c>
      <c r="K293" t="s">
        <v>28</v>
      </c>
      <c r="L293" s="2">
        <v>59.3</v>
      </c>
      <c r="M293" s="3">
        <v>907</v>
      </c>
      <c r="N293">
        <v>4</v>
      </c>
      <c r="O293">
        <v>4</v>
      </c>
      <c r="P293">
        <v>1</v>
      </c>
      <c r="Q293">
        <v>0</v>
      </c>
      <c r="R293" s="4">
        <v>44.49</v>
      </c>
      <c r="S293">
        <v>0</v>
      </c>
      <c r="T293">
        <v>1</v>
      </c>
    </row>
    <row r="294" spans="1:20" ht="16.5" x14ac:dyDescent="0.3">
      <c r="A294" t="s">
        <v>335</v>
      </c>
      <c r="B294" s="1">
        <v>45336</v>
      </c>
      <c r="C294">
        <v>2024</v>
      </c>
      <c r="D294" t="s">
        <v>21</v>
      </c>
      <c r="E294" t="s">
        <v>241</v>
      </c>
      <c r="F294" t="s">
        <v>38</v>
      </c>
      <c r="G294" t="s">
        <v>35</v>
      </c>
      <c r="H294" t="s">
        <v>43</v>
      </c>
      <c r="I294" t="s">
        <v>26</v>
      </c>
      <c r="J294" t="s">
        <v>27</v>
      </c>
      <c r="K294" t="s">
        <v>28</v>
      </c>
      <c r="L294" s="2">
        <v>39.700000000000003</v>
      </c>
      <c r="M294" s="3">
        <v>907</v>
      </c>
      <c r="N294">
        <v>5</v>
      </c>
      <c r="O294">
        <v>5</v>
      </c>
      <c r="P294">
        <v>1</v>
      </c>
      <c r="Q294">
        <v>0</v>
      </c>
      <c r="R294" s="4">
        <v>41.78</v>
      </c>
      <c r="S294">
        <v>0</v>
      </c>
      <c r="T294">
        <v>1</v>
      </c>
    </row>
    <row r="295" spans="1:20" ht="16.5" x14ac:dyDescent="0.3">
      <c r="A295" t="s">
        <v>336</v>
      </c>
      <c r="B295" s="1">
        <v>45337</v>
      </c>
      <c r="C295">
        <v>2024</v>
      </c>
      <c r="D295" t="s">
        <v>21</v>
      </c>
      <c r="E295" t="s">
        <v>241</v>
      </c>
      <c r="F295" t="s">
        <v>30</v>
      </c>
      <c r="G295" t="s">
        <v>39</v>
      </c>
      <c r="H295" t="s">
        <v>48</v>
      </c>
      <c r="I295" t="s">
        <v>26</v>
      </c>
      <c r="J295" t="s">
        <v>27</v>
      </c>
      <c r="K295" t="s">
        <v>28</v>
      </c>
      <c r="L295" s="2">
        <v>115.1</v>
      </c>
      <c r="M295" s="3">
        <v>584</v>
      </c>
      <c r="N295">
        <v>4</v>
      </c>
      <c r="O295">
        <v>4</v>
      </c>
      <c r="P295">
        <v>1</v>
      </c>
      <c r="Q295">
        <v>0</v>
      </c>
      <c r="R295" s="4">
        <v>70.27</v>
      </c>
      <c r="S295">
        <v>0</v>
      </c>
      <c r="T295">
        <v>1</v>
      </c>
    </row>
    <row r="296" spans="1:20" ht="16.5" x14ac:dyDescent="0.3">
      <c r="A296" t="s">
        <v>337</v>
      </c>
      <c r="B296" s="1">
        <v>45337</v>
      </c>
      <c r="C296">
        <v>2024</v>
      </c>
      <c r="D296" t="s">
        <v>21</v>
      </c>
      <c r="E296" t="s">
        <v>241</v>
      </c>
      <c r="F296" t="s">
        <v>38</v>
      </c>
      <c r="G296" t="s">
        <v>39</v>
      </c>
      <c r="H296" t="s">
        <v>43</v>
      </c>
      <c r="I296" t="s">
        <v>40</v>
      </c>
      <c r="J296" t="s">
        <v>41</v>
      </c>
      <c r="K296" t="s">
        <v>28</v>
      </c>
      <c r="L296" s="2">
        <v>152.9</v>
      </c>
      <c r="M296" s="3">
        <v>1340</v>
      </c>
      <c r="N296">
        <v>3</v>
      </c>
      <c r="O296">
        <v>3</v>
      </c>
      <c r="P296">
        <v>1</v>
      </c>
      <c r="Q296">
        <v>0</v>
      </c>
      <c r="R296" s="4">
        <v>322.56</v>
      </c>
      <c r="S296">
        <v>0</v>
      </c>
      <c r="T296">
        <v>1</v>
      </c>
    </row>
    <row r="297" spans="1:20" ht="16.5" x14ac:dyDescent="0.3">
      <c r="A297" t="s">
        <v>338</v>
      </c>
      <c r="B297" s="1">
        <v>45337</v>
      </c>
      <c r="C297">
        <v>2024</v>
      </c>
      <c r="D297" t="s">
        <v>21</v>
      </c>
      <c r="E297" t="s">
        <v>241</v>
      </c>
      <c r="F297" t="s">
        <v>30</v>
      </c>
      <c r="G297" t="s">
        <v>39</v>
      </c>
      <c r="H297" t="s">
        <v>36</v>
      </c>
      <c r="I297" t="s">
        <v>40</v>
      </c>
      <c r="J297" t="s">
        <v>27</v>
      </c>
      <c r="K297" t="s">
        <v>32</v>
      </c>
      <c r="L297" s="2">
        <v>3.4</v>
      </c>
      <c r="M297" s="3">
        <v>279</v>
      </c>
      <c r="N297">
        <v>1</v>
      </c>
      <c r="O297">
        <v>1</v>
      </c>
      <c r="P297">
        <v>1</v>
      </c>
      <c r="Q297">
        <v>0</v>
      </c>
      <c r="R297" s="4">
        <v>27.18</v>
      </c>
      <c r="S297">
        <v>0</v>
      </c>
      <c r="T297">
        <v>1</v>
      </c>
    </row>
    <row r="298" spans="1:20" ht="16.5" x14ac:dyDescent="0.3">
      <c r="A298" t="s">
        <v>339</v>
      </c>
      <c r="B298" s="1">
        <v>45337</v>
      </c>
      <c r="C298">
        <v>2024</v>
      </c>
      <c r="D298" t="s">
        <v>21</v>
      </c>
      <c r="E298" t="s">
        <v>241</v>
      </c>
      <c r="F298" t="s">
        <v>23</v>
      </c>
      <c r="G298" t="s">
        <v>35</v>
      </c>
      <c r="H298" t="s">
        <v>51</v>
      </c>
      <c r="I298" t="s">
        <v>31</v>
      </c>
      <c r="J298" t="s">
        <v>27</v>
      </c>
      <c r="K298" t="s">
        <v>28</v>
      </c>
      <c r="L298" s="2">
        <v>254.3</v>
      </c>
      <c r="M298" s="3">
        <v>902</v>
      </c>
      <c r="N298">
        <v>7</v>
      </c>
      <c r="O298">
        <v>7</v>
      </c>
      <c r="P298">
        <v>1</v>
      </c>
      <c r="Q298">
        <v>0</v>
      </c>
      <c r="R298" s="4">
        <v>88.3</v>
      </c>
      <c r="S298">
        <v>0</v>
      </c>
      <c r="T298">
        <v>1</v>
      </c>
    </row>
    <row r="299" spans="1:20" ht="16.5" x14ac:dyDescent="0.3">
      <c r="A299" t="s">
        <v>340</v>
      </c>
      <c r="B299" s="1">
        <v>45337</v>
      </c>
      <c r="C299">
        <v>2024</v>
      </c>
      <c r="D299" t="s">
        <v>21</v>
      </c>
      <c r="E299" t="s">
        <v>241</v>
      </c>
      <c r="F299" t="s">
        <v>38</v>
      </c>
      <c r="G299" t="s">
        <v>39</v>
      </c>
      <c r="H299" t="s">
        <v>43</v>
      </c>
      <c r="I299" t="s">
        <v>26</v>
      </c>
      <c r="J299" t="s">
        <v>27</v>
      </c>
      <c r="K299" t="s">
        <v>32</v>
      </c>
      <c r="L299" s="2">
        <v>6.9</v>
      </c>
      <c r="M299" s="3">
        <v>1258</v>
      </c>
      <c r="N299">
        <v>5</v>
      </c>
      <c r="O299">
        <v>5</v>
      </c>
      <c r="P299">
        <v>1</v>
      </c>
      <c r="Q299">
        <v>0</v>
      </c>
      <c r="R299" s="4">
        <v>31.69</v>
      </c>
      <c r="S299">
        <v>0</v>
      </c>
      <c r="T299">
        <v>1</v>
      </c>
    </row>
    <row r="300" spans="1:20" ht="16.5" x14ac:dyDescent="0.3">
      <c r="A300" t="s">
        <v>341</v>
      </c>
      <c r="B300" s="1">
        <v>45338</v>
      </c>
      <c r="C300">
        <v>2024</v>
      </c>
      <c r="D300" t="s">
        <v>21</v>
      </c>
      <c r="E300" t="s">
        <v>241</v>
      </c>
      <c r="F300" t="s">
        <v>30</v>
      </c>
      <c r="G300" t="s">
        <v>24</v>
      </c>
      <c r="H300" t="s">
        <v>36</v>
      </c>
      <c r="I300" t="s">
        <v>31</v>
      </c>
      <c r="J300" t="s">
        <v>27</v>
      </c>
      <c r="K300" t="s">
        <v>28</v>
      </c>
      <c r="L300" s="2">
        <v>29.8</v>
      </c>
      <c r="M300" s="3">
        <v>254</v>
      </c>
      <c r="N300">
        <v>5</v>
      </c>
      <c r="O300">
        <v>5</v>
      </c>
      <c r="P300">
        <v>1</v>
      </c>
      <c r="Q300">
        <v>0</v>
      </c>
      <c r="R300" s="4">
        <v>20.23</v>
      </c>
      <c r="S300">
        <v>0</v>
      </c>
      <c r="T300">
        <v>1</v>
      </c>
    </row>
    <row r="301" spans="1:20" ht="16.5" x14ac:dyDescent="0.3">
      <c r="A301" t="s">
        <v>342</v>
      </c>
      <c r="B301" s="1">
        <v>45338</v>
      </c>
      <c r="C301">
        <v>2024</v>
      </c>
      <c r="D301" t="s">
        <v>21</v>
      </c>
      <c r="E301" t="s">
        <v>241</v>
      </c>
      <c r="F301" t="s">
        <v>57</v>
      </c>
      <c r="G301" t="s">
        <v>35</v>
      </c>
      <c r="H301" t="s">
        <v>48</v>
      </c>
      <c r="I301" t="s">
        <v>40</v>
      </c>
      <c r="J301" t="s">
        <v>27</v>
      </c>
      <c r="K301" t="s">
        <v>28</v>
      </c>
      <c r="L301" s="2">
        <v>99.4</v>
      </c>
      <c r="M301" s="3">
        <v>480</v>
      </c>
      <c r="N301">
        <v>2</v>
      </c>
      <c r="O301">
        <v>2</v>
      </c>
      <c r="P301">
        <v>1</v>
      </c>
      <c r="Q301">
        <v>0</v>
      </c>
      <c r="R301" s="4">
        <v>115.09</v>
      </c>
      <c r="S301">
        <v>0</v>
      </c>
      <c r="T301">
        <v>1</v>
      </c>
    </row>
    <row r="302" spans="1:20" ht="16.5" x14ac:dyDescent="0.3">
      <c r="A302" t="s">
        <v>343</v>
      </c>
      <c r="B302" s="1">
        <v>45338</v>
      </c>
      <c r="C302">
        <v>2024</v>
      </c>
      <c r="D302" t="s">
        <v>21</v>
      </c>
      <c r="E302" t="s">
        <v>241</v>
      </c>
      <c r="F302" t="s">
        <v>23</v>
      </c>
      <c r="G302" t="s">
        <v>35</v>
      </c>
      <c r="H302" t="s">
        <v>43</v>
      </c>
      <c r="I302" t="s">
        <v>26</v>
      </c>
      <c r="J302" t="s">
        <v>27</v>
      </c>
      <c r="K302" t="s">
        <v>28</v>
      </c>
      <c r="L302" s="2">
        <v>101.2</v>
      </c>
      <c r="M302" s="3">
        <v>1149</v>
      </c>
      <c r="N302">
        <v>5</v>
      </c>
      <c r="O302">
        <v>5</v>
      </c>
      <c r="P302">
        <v>1</v>
      </c>
      <c r="Q302">
        <v>0</v>
      </c>
      <c r="R302" s="4">
        <v>63.31</v>
      </c>
      <c r="S302">
        <v>0</v>
      </c>
      <c r="T302">
        <v>1</v>
      </c>
    </row>
    <row r="303" spans="1:20" ht="16.5" x14ac:dyDescent="0.3">
      <c r="A303" t="s">
        <v>344</v>
      </c>
      <c r="B303" s="1">
        <v>45338</v>
      </c>
      <c r="C303">
        <v>2024</v>
      </c>
      <c r="D303" t="s">
        <v>21</v>
      </c>
      <c r="E303" t="s">
        <v>241</v>
      </c>
      <c r="F303" t="s">
        <v>30</v>
      </c>
      <c r="G303" t="s">
        <v>35</v>
      </c>
      <c r="H303" t="s">
        <v>36</v>
      </c>
      <c r="I303" t="s">
        <v>26</v>
      </c>
      <c r="J303" t="s">
        <v>27</v>
      </c>
      <c r="K303" t="s">
        <v>32</v>
      </c>
      <c r="L303" s="2">
        <v>7.2</v>
      </c>
      <c r="M303" s="3">
        <v>270</v>
      </c>
      <c r="N303">
        <v>3</v>
      </c>
      <c r="O303">
        <v>3</v>
      </c>
      <c r="P303">
        <v>1</v>
      </c>
      <c r="Q303">
        <v>0</v>
      </c>
      <c r="R303" s="4">
        <v>16.11</v>
      </c>
      <c r="S303">
        <v>0</v>
      </c>
      <c r="T303">
        <v>1</v>
      </c>
    </row>
    <row r="304" spans="1:20" ht="16.5" x14ac:dyDescent="0.3">
      <c r="A304" t="s">
        <v>345</v>
      </c>
      <c r="B304" s="1">
        <v>45338</v>
      </c>
      <c r="C304">
        <v>2024</v>
      </c>
      <c r="D304" t="s">
        <v>21</v>
      </c>
      <c r="E304" t="s">
        <v>241</v>
      </c>
      <c r="F304" t="s">
        <v>34</v>
      </c>
      <c r="G304" t="s">
        <v>39</v>
      </c>
      <c r="H304" t="s">
        <v>51</v>
      </c>
      <c r="I304" t="s">
        <v>26</v>
      </c>
      <c r="J304" t="s">
        <v>27</v>
      </c>
      <c r="K304" t="s">
        <v>32</v>
      </c>
      <c r="L304" s="2">
        <v>0.6</v>
      </c>
      <c r="M304" s="3">
        <v>948</v>
      </c>
      <c r="N304">
        <v>5</v>
      </c>
      <c r="O304">
        <v>5</v>
      </c>
      <c r="P304">
        <v>1</v>
      </c>
      <c r="Q304">
        <v>0</v>
      </c>
      <c r="R304" s="4">
        <v>13.52</v>
      </c>
      <c r="S304">
        <v>0</v>
      </c>
      <c r="T304">
        <v>1</v>
      </c>
    </row>
    <row r="305" spans="1:20" ht="16.5" x14ac:dyDescent="0.3">
      <c r="A305" t="s">
        <v>346</v>
      </c>
      <c r="B305" s="1">
        <v>45338</v>
      </c>
      <c r="C305">
        <v>2024</v>
      </c>
      <c r="D305" t="s">
        <v>21</v>
      </c>
      <c r="E305" t="s">
        <v>241</v>
      </c>
      <c r="F305" t="s">
        <v>38</v>
      </c>
      <c r="G305" t="s">
        <v>24</v>
      </c>
      <c r="H305" t="s">
        <v>36</v>
      </c>
      <c r="I305" t="s">
        <v>26</v>
      </c>
      <c r="J305" t="s">
        <v>27</v>
      </c>
      <c r="K305" t="s">
        <v>32</v>
      </c>
      <c r="L305" s="2">
        <v>1.8</v>
      </c>
      <c r="M305" s="3">
        <v>233</v>
      </c>
      <c r="N305">
        <v>3</v>
      </c>
      <c r="O305">
        <v>3</v>
      </c>
      <c r="P305">
        <v>1</v>
      </c>
      <c r="Q305">
        <v>0</v>
      </c>
      <c r="R305" s="4">
        <v>9.56</v>
      </c>
      <c r="S305">
        <v>0</v>
      </c>
      <c r="T305">
        <v>1</v>
      </c>
    </row>
    <row r="306" spans="1:20" ht="16.5" x14ac:dyDescent="0.3">
      <c r="A306" t="s">
        <v>347</v>
      </c>
      <c r="B306" s="1">
        <v>45338</v>
      </c>
      <c r="C306">
        <v>2024</v>
      </c>
      <c r="D306" t="s">
        <v>21</v>
      </c>
      <c r="E306" t="s">
        <v>241</v>
      </c>
      <c r="F306" t="s">
        <v>38</v>
      </c>
      <c r="G306" t="s">
        <v>24</v>
      </c>
      <c r="H306" t="s">
        <v>36</v>
      </c>
      <c r="I306" t="s">
        <v>40</v>
      </c>
      <c r="J306" t="s">
        <v>27</v>
      </c>
      <c r="K306" t="s">
        <v>32</v>
      </c>
      <c r="L306" s="2">
        <v>10.3</v>
      </c>
      <c r="M306" s="3">
        <v>280</v>
      </c>
      <c r="N306">
        <v>1</v>
      </c>
      <c r="O306">
        <v>1</v>
      </c>
      <c r="P306">
        <v>1</v>
      </c>
      <c r="Q306">
        <v>0</v>
      </c>
      <c r="R306" s="4">
        <v>33.22</v>
      </c>
      <c r="S306">
        <v>0</v>
      </c>
      <c r="T306">
        <v>1</v>
      </c>
    </row>
    <row r="307" spans="1:20" ht="16.5" x14ac:dyDescent="0.3">
      <c r="A307" t="s">
        <v>348</v>
      </c>
      <c r="B307" s="1">
        <v>45339</v>
      </c>
      <c r="C307">
        <v>2024</v>
      </c>
      <c r="D307" t="s">
        <v>21</v>
      </c>
      <c r="E307" t="s">
        <v>241</v>
      </c>
      <c r="F307" t="s">
        <v>38</v>
      </c>
      <c r="G307" t="s">
        <v>35</v>
      </c>
      <c r="H307" t="s">
        <v>25</v>
      </c>
      <c r="I307" t="s">
        <v>26</v>
      </c>
      <c r="J307" t="s">
        <v>27</v>
      </c>
      <c r="K307" t="s">
        <v>32</v>
      </c>
      <c r="L307" s="2">
        <v>0.9</v>
      </c>
      <c r="M307" s="3">
        <v>711</v>
      </c>
      <c r="N307">
        <v>4</v>
      </c>
      <c r="O307">
        <v>4</v>
      </c>
      <c r="P307">
        <v>1</v>
      </c>
      <c r="Q307">
        <v>0</v>
      </c>
      <c r="R307" s="4">
        <v>17.190000000000001</v>
      </c>
      <c r="S307">
        <v>0</v>
      </c>
      <c r="T307">
        <v>1</v>
      </c>
    </row>
    <row r="308" spans="1:20" ht="16.5" x14ac:dyDescent="0.3">
      <c r="A308" t="s">
        <v>349</v>
      </c>
      <c r="B308" s="1">
        <v>45339</v>
      </c>
      <c r="C308">
        <v>2024</v>
      </c>
      <c r="D308" t="s">
        <v>21</v>
      </c>
      <c r="E308" t="s">
        <v>241</v>
      </c>
      <c r="F308" t="s">
        <v>38</v>
      </c>
      <c r="G308" t="s">
        <v>39</v>
      </c>
      <c r="H308" t="s">
        <v>36</v>
      </c>
      <c r="I308" t="s">
        <v>26</v>
      </c>
      <c r="J308" t="s">
        <v>27</v>
      </c>
      <c r="K308" t="s">
        <v>32</v>
      </c>
      <c r="L308" s="2">
        <v>7.5</v>
      </c>
      <c r="M308" s="3">
        <v>250</v>
      </c>
      <c r="N308">
        <v>3</v>
      </c>
      <c r="O308">
        <v>2</v>
      </c>
      <c r="P308">
        <v>1</v>
      </c>
      <c r="Q308">
        <v>0</v>
      </c>
      <c r="R308" s="4">
        <v>17.43</v>
      </c>
      <c r="S308">
        <v>0</v>
      </c>
      <c r="T308">
        <v>1</v>
      </c>
    </row>
    <row r="309" spans="1:20" ht="16.5" x14ac:dyDescent="0.3">
      <c r="A309" t="s">
        <v>350</v>
      </c>
      <c r="B309" s="1">
        <v>45339</v>
      </c>
      <c r="C309">
        <v>2024</v>
      </c>
      <c r="D309" t="s">
        <v>21</v>
      </c>
      <c r="E309" t="s">
        <v>241</v>
      </c>
      <c r="F309" t="s">
        <v>38</v>
      </c>
      <c r="G309" t="s">
        <v>39</v>
      </c>
      <c r="H309" t="s">
        <v>25</v>
      </c>
      <c r="I309" t="s">
        <v>31</v>
      </c>
      <c r="J309" t="s">
        <v>27</v>
      </c>
      <c r="K309" t="s">
        <v>28</v>
      </c>
      <c r="L309" s="2">
        <v>213</v>
      </c>
      <c r="M309" s="3">
        <v>924</v>
      </c>
      <c r="N309">
        <v>6</v>
      </c>
      <c r="O309">
        <v>6</v>
      </c>
      <c r="P309">
        <v>1</v>
      </c>
      <c r="Q309">
        <v>0</v>
      </c>
      <c r="R309" s="4">
        <v>77.91</v>
      </c>
      <c r="S309">
        <v>0</v>
      </c>
      <c r="T309">
        <v>1</v>
      </c>
    </row>
    <row r="310" spans="1:20" ht="16.5" x14ac:dyDescent="0.3">
      <c r="A310" t="s">
        <v>351</v>
      </c>
      <c r="B310" s="1">
        <v>45339</v>
      </c>
      <c r="C310">
        <v>2024</v>
      </c>
      <c r="D310" t="s">
        <v>21</v>
      </c>
      <c r="E310" t="s">
        <v>241</v>
      </c>
      <c r="F310" t="s">
        <v>38</v>
      </c>
      <c r="G310" t="s">
        <v>39</v>
      </c>
      <c r="H310" t="s">
        <v>48</v>
      </c>
      <c r="I310" t="s">
        <v>31</v>
      </c>
      <c r="J310" t="s">
        <v>27</v>
      </c>
      <c r="K310" t="s">
        <v>32</v>
      </c>
      <c r="L310" s="2">
        <v>16</v>
      </c>
      <c r="M310" s="3">
        <v>583</v>
      </c>
      <c r="N310">
        <v>6</v>
      </c>
      <c r="O310">
        <v>6</v>
      </c>
      <c r="P310">
        <v>1</v>
      </c>
      <c r="Q310">
        <v>0</v>
      </c>
      <c r="R310" s="4">
        <v>17.579999999999998</v>
      </c>
      <c r="S310">
        <v>0</v>
      </c>
      <c r="T310">
        <v>1</v>
      </c>
    </row>
    <row r="311" spans="1:20" ht="16.5" x14ac:dyDescent="0.3">
      <c r="A311" t="s">
        <v>352</v>
      </c>
      <c r="B311" s="1">
        <v>45340</v>
      </c>
      <c r="C311">
        <v>2024</v>
      </c>
      <c r="D311" t="s">
        <v>21</v>
      </c>
      <c r="E311" t="s">
        <v>241</v>
      </c>
      <c r="F311" t="s">
        <v>34</v>
      </c>
      <c r="G311" t="s">
        <v>35</v>
      </c>
      <c r="H311" t="s">
        <v>25</v>
      </c>
      <c r="I311" t="s">
        <v>40</v>
      </c>
      <c r="J311" t="s">
        <v>41</v>
      </c>
      <c r="K311" t="s">
        <v>28</v>
      </c>
      <c r="L311" s="2">
        <v>52.1</v>
      </c>
      <c r="M311" s="3">
        <v>844</v>
      </c>
      <c r="N311">
        <v>2</v>
      </c>
      <c r="O311">
        <v>1</v>
      </c>
      <c r="P311">
        <v>1</v>
      </c>
      <c r="Q311">
        <v>0</v>
      </c>
      <c r="R311" s="4">
        <v>97.21</v>
      </c>
      <c r="S311">
        <v>0</v>
      </c>
      <c r="T311">
        <v>1</v>
      </c>
    </row>
    <row r="312" spans="1:20" ht="16.5" x14ac:dyDescent="0.3">
      <c r="A312" t="s">
        <v>353</v>
      </c>
      <c r="B312" s="1">
        <v>45341</v>
      </c>
      <c r="C312">
        <v>2024</v>
      </c>
      <c r="D312" t="s">
        <v>21</v>
      </c>
      <c r="E312" t="s">
        <v>241</v>
      </c>
      <c r="F312" t="s">
        <v>57</v>
      </c>
      <c r="G312" t="s">
        <v>24</v>
      </c>
      <c r="H312" t="s">
        <v>48</v>
      </c>
      <c r="I312" t="s">
        <v>40</v>
      </c>
      <c r="J312" t="s">
        <v>27</v>
      </c>
      <c r="K312" t="s">
        <v>32</v>
      </c>
      <c r="L312" s="2">
        <v>3.7</v>
      </c>
      <c r="M312" s="3">
        <v>536</v>
      </c>
      <c r="N312">
        <v>2</v>
      </c>
      <c r="O312">
        <v>2</v>
      </c>
      <c r="P312">
        <v>1</v>
      </c>
      <c r="Q312">
        <v>0</v>
      </c>
      <c r="R312" s="4">
        <v>29.89</v>
      </c>
      <c r="S312">
        <v>0</v>
      </c>
      <c r="T312">
        <v>1</v>
      </c>
    </row>
    <row r="313" spans="1:20" ht="16.5" x14ac:dyDescent="0.3">
      <c r="A313" t="s">
        <v>354</v>
      </c>
      <c r="B313" s="1">
        <v>45341</v>
      </c>
      <c r="C313">
        <v>2024</v>
      </c>
      <c r="D313" t="s">
        <v>21</v>
      </c>
      <c r="E313" t="s">
        <v>241</v>
      </c>
      <c r="F313" t="s">
        <v>34</v>
      </c>
      <c r="G313" t="s">
        <v>35</v>
      </c>
      <c r="H313" t="s">
        <v>43</v>
      </c>
      <c r="I313" t="s">
        <v>31</v>
      </c>
      <c r="J313" t="s">
        <v>27</v>
      </c>
      <c r="K313" t="s">
        <v>32</v>
      </c>
      <c r="L313" s="2">
        <v>1.9</v>
      </c>
      <c r="M313" s="3">
        <v>1320</v>
      </c>
      <c r="N313">
        <v>7</v>
      </c>
      <c r="O313">
        <v>7</v>
      </c>
      <c r="P313">
        <v>1</v>
      </c>
      <c r="Q313">
        <v>0</v>
      </c>
      <c r="R313" s="4">
        <v>14.6</v>
      </c>
      <c r="S313">
        <v>0</v>
      </c>
      <c r="T313">
        <v>1</v>
      </c>
    </row>
    <row r="314" spans="1:20" ht="16.5" x14ac:dyDescent="0.3">
      <c r="A314" t="s">
        <v>355</v>
      </c>
      <c r="B314" s="1">
        <v>45341</v>
      </c>
      <c r="C314">
        <v>2024</v>
      </c>
      <c r="D314" t="s">
        <v>21</v>
      </c>
      <c r="E314" t="s">
        <v>241</v>
      </c>
      <c r="F314" t="s">
        <v>57</v>
      </c>
      <c r="G314" t="s">
        <v>39</v>
      </c>
      <c r="H314" t="s">
        <v>48</v>
      </c>
      <c r="I314" t="s">
        <v>40</v>
      </c>
      <c r="J314" t="s">
        <v>27</v>
      </c>
      <c r="K314" t="s">
        <v>32</v>
      </c>
      <c r="L314" s="2">
        <v>7.3</v>
      </c>
      <c r="M314" s="3">
        <v>516</v>
      </c>
      <c r="N314">
        <v>2</v>
      </c>
      <c r="O314">
        <v>2</v>
      </c>
      <c r="P314">
        <v>1</v>
      </c>
      <c r="Q314">
        <v>0</v>
      </c>
      <c r="R314" s="4">
        <v>31.7</v>
      </c>
      <c r="S314">
        <v>0</v>
      </c>
      <c r="T314">
        <v>1</v>
      </c>
    </row>
    <row r="315" spans="1:20" ht="16.5" x14ac:dyDescent="0.3">
      <c r="A315" t="s">
        <v>356</v>
      </c>
      <c r="B315" s="1">
        <v>45341</v>
      </c>
      <c r="C315">
        <v>2024</v>
      </c>
      <c r="D315" t="s">
        <v>21</v>
      </c>
      <c r="E315" t="s">
        <v>241</v>
      </c>
      <c r="F315" t="s">
        <v>30</v>
      </c>
      <c r="G315" t="s">
        <v>35</v>
      </c>
      <c r="H315" t="s">
        <v>36</v>
      </c>
      <c r="I315" t="s">
        <v>26</v>
      </c>
      <c r="J315" t="s">
        <v>27</v>
      </c>
      <c r="K315" t="s">
        <v>32</v>
      </c>
      <c r="L315" s="2">
        <v>7.1</v>
      </c>
      <c r="M315" s="3">
        <v>243</v>
      </c>
      <c r="N315">
        <v>3</v>
      </c>
      <c r="O315">
        <v>2</v>
      </c>
      <c r="P315">
        <v>1</v>
      </c>
      <c r="Q315">
        <v>0</v>
      </c>
      <c r="R315" s="4">
        <v>14</v>
      </c>
      <c r="S315">
        <v>0</v>
      </c>
      <c r="T315">
        <v>1</v>
      </c>
    </row>
    <row r="316" spans="1:20" ht="16.5" x14ac:dyDescent="0.3">
      <c r="A316" t="s">
        <v>357</v>
      </c>
      <c r="B316" s="1">
        <v>45341</v>
      </c>
      <c r="C316">
        <v>2024</v>
      </c>
      <c r="D316" t="s">
        <v>21</v>
      </c>
      <c r="E316" t="s">
        <v>241</v>
      </c>
      <c r="F316" t="s">
        <v>23</v>
      </c>
      <c r="G316" t="s">
        <v>39</v>
      </c>
      <c r="H316" t="s">
        <v>36</v>
      </c>
      <c r="I316" t="s">
        <v>40</v>
      </c>
      <c r="J316" t="s">
        <v>27</v>
      </c>
      <c r="K316" t="s">
        <v>32</v>
      </c>
      <c r="L316" s="2">
        <v>4.2</v>
      </c>
      <c r="M316" s="3">
        <v>261</v>
      </c>
      <c r="N316">
        <v>1</v>
      </c>
      <c r="O316">
        <v>1</v>
      </c>
      <c r="P316">
        <v>1</v>
      </c>
      <c r="Q316">
        <v>0</v>
      </c>
      <c r="R316" s="4">
        <v>23.47</v>
      </c>
      <c r="S316">
        <v>0</v>
      </c>
      <c r="T316">
        <v>1</v>
      </c>
    </row>
    <row r="317" spans="1:20" ht="16.5" x14ac:dyDescent="0.3">
      <c r="A317" t="s">
        <v>358</v>
      </c>
      <c r="B317" s="1">
        <v>45341</v>
      </c>
      <c r="C317">
        <v>2024</v>
      </c>
      <c r="D317" t="s">
        <v>21</v>
      </c>
      <c r="E317" t="s">
        <v>241</v>
      </c>
      <c r="F317" t="s">
        <v>23</v>
      </c>
      <c r="G317" t="s">
        <v>35</v>
      </c>
      <c r="H317" t="s">
        <v>36</v>
      </c>
      <c r="I317" t="s">
        <v>31</v>
      </c>
      <c r="J317" t="s">
        <v>27</v>
      </c>
      <c r="K317" t="s">
        <v>28</v>
      </c>
      <c r="L317" s="2">
        <v>508.3</v>
      </c>
      <c r="M317" s="3">
        <v>314</v>
      </c>
      <c r="N317">
        <v>5</v>
      </c>
      <c r="O317">
        <v>5</v>
      </c>
      <c r="P317">
        <v>1</v>
      </c>
      <c r="Q317">
        <v>0</v>
      </c>
      <c r="R317" s="4">
        <v>144.25</v>
      </c>
      <c r="S317">
        <v>0</v>
      </c>
      <c r="T317">
        <v>1</v>
      </c>
    </row>
    <row r="318" spans="1:20" ht="16.5" x14ac:dyDescent="0.3">
      <c r="A318" t="s">
        <v>359</v>
      </c>
      <c r="B318" s="1">
        <v>45342</v>
      </c>
      <c r="C318">
        <v>2024</v>
      </c>
      <c r="D318" t="s">
        <v>21</v>
      </c>
      <c r="E318" t="s">
        <v>241</v>
      </c>
      <c r="F318" t="s">
        <v>57</v>
      </c>
      <c r="G318" t="s">
        <v>35</v>
      </c>
      <c r="H318" t="s">
        <v>48</v>
      </c>
      <c r="I318" t="s">
        <v>26</v>
      </c>
      <c r="J318" t="s">
        <v>27</v>
      </c>
      <c r="K318" t="s">
        <v>32</v>
      </c>
      <c r="L318" s="2">
        <v>10.1</v>
      </c>
      <c r="M318" s="3">
        <v>379</v>
      </c>
      <c r="N318">
        <v>4</v>
      </c>
      <c r="O318">
        <v>6</v>
      </c>
      <c r="P318">
        <v>0</v>
      </c>
      <c r="Q318">
        <v>2</v>
      </c>
      <c r="R318" s="4">
        <v>18.010000000000002</v>
      </c>
      <c r="S318">
        <v>0</v>
      </c>
      <c r="T318">
        <v>1</v>
      </c>
    </row>
    <row r="319" spans="1:20" ht="16.5" x14ac:dyDescent="0.3">
      <c r="A319" t="s">
        <v>360</v>
      </c>
      <c r="B319" s="1">
        <v>45342</v>
      </c>
      <c r="C319">
        <v>2024</v>
      </c>
      <c r="D319" t="s">
        <v>21</v>
      </c>
      <c r="E319" t="s">
        <v>241</v>
      </c>
      <c r="F319" t="s">
        <v>34</v>
      </c>
      <c r="G319" t="s">
        <v>35</v>
      </c>
      <c r="H319" t="s">
        <v>43</v>
      </c>
      <c r="I319" t="s">
        <v>26</v>
      </c>
      <c r="J319" t="s">
        <v>27</v>
      </c>
      <c r="K319" t="s">
        <v>32</v>
      </c>
      <c r="L319" s="2">
        <v>9</v>
      </c>
      <c r="M319" s="3">
        <v>1344</v>
      </c>
      <c r="N319">
        <v>5</v>
      </c>
      <c r="O319">
        <v>5</v>
      </c>
      <c r="P319">
        <v>1</v>
      </c>
      <c r="Q319">
        <v>0</v>
      </c>
      <c r="R319" s="4">
        <v>22.26</v>
      </c>
      <c r="S319">
        <v>0</v>
      </c>
      <c r="T319">
        <v>1</v>
      </c>
    </row>
    <row r="320" spans="1:20" ht="16.5" x14ac:dyDescent="0.3">
      <c r="A320" t="s">
        <v>361</v>
      </c>
      <c r="B320" s="1">
        <v>45342</v>
      </c>
      <c r="C320">
        <v>2024</v>
      </c>
      <c r="D320" t="s">
        <v>21</v>
      </c>
      <c r="E320" t="s">
        <v>241</v>
      </c>
      <c r="F320" t="s">
        <v>30</v>
      </c>
      <c r="G320" t="s">
        <v>35</v>
      </c>
      <c r="H320" t="s">
        <v>36</v>
      </c>
      <c r="I320" t="s">
        <v>26</v>
      </c>
      <c r="J320" t="s">
        <v>27</v>
      </c>
      <c r="K320" t="s">
        <v>32</v>
      </c>
      <c r="L320" s="2">
        <v>4.5999999999999996</v>
      </c>
      <c r="M320" s="3">
        <v>264</v>
      </c>
      <c r="N320">
        <v>3</v>
      </c>
      <c r="O320">
        <v>3</v>
      </c>
      <c r="P320">
        <v>1</v>
      </c>
      <c r="Q320">
        <v>0</v>
      </c>
      <c r="R320" s="4">
        <v>11.71</v>
      </c>
      <c r="S320">
        <v>0</v>
      </c>
      <c r="T320">
        <v>1</v>
      </c>
    </row>
    <row r="321" spans="1:20" ht="16.5" x14ac:dyDescent="0.3">
      <c r="A321" t="s">
        <v>362</v>
      </c>
      <c r="B321" s="1">
        <v>45342</v>
      </c>
      <c r="C321">
        <v>2024</v>
      </c>
      <c r="D321" t="s">
        <v>21</v>
      </c>
      <c r="E321" t="s">
        <v>241</v>
      </c>
      <c r="F321" t="s">
        <v>30</v>
      </c>
      <c r="G321" t="s">
        <v>39</v>
      </c>
      <c r="H321" t="s">
        <v>43</v>
      </c>
      <c r="I321" t="s">
        <v>26</v>
      </c>
      <c r="J321" t="s">
        <v>27</v>
      </c>
      <c r="K321" t="s">
        <v>28</v>
      </c>
      <c r="L321" s="2">
        <v>156.1</v>
      </c>
      <c r="M321" s="3">
        <v>1067</v>
      </c>
      <c r="N321">
        <v>5</v>
      </c>
      <c r="O321">
        <v>5</v>
      </c>
      <c r="P321">
        <v>1</v>
      </c>
      <c r="Q321">
        <v>0</v>
      </c>
      <c r="R321" s="4">
        <v>87.11</v>
      </c>
      <c r="S321">
        <v>0</v>
      </c>
      <c r="T321">
        <v>1</v>
      </c>
    </row>
    <row r="322" spans="1:20" ht="16.5" x14ac:dyDescent="0.3">
      <c r="A322" t="s">
        <v>363</v>
      </c>
      <c r="B322" s="1">
        <v>45342</v>
      </c>
      <c r="C322">
        <v>2024</v>
      </c>
      <c r="D322" t="s">
        <v>21</v>
      </c>
      <c r="E322" t="s">
        <v>241</v>
      </c>
      <c r="F322" t="s">
        <v>38</v>
      </c>
      <c r="G322" t="s">
        <v>35</v>
      </c>
      <c r="H322" t="s">
        <v>36</v>
      </c>
      <c r="I322" t="s">
        <v>26</v>
      </c>
      <c r="J322" t="s">
        <v>27</v>
      </c>
      <c r="K322" t="s">
        <v>32</v>
      </c>
      <c r="L322" s="2">
        <v>10.6</v>
      </c>
      <c r="M322" s="3">
        <v>297</v>
      </c>
      <c r="N322">
        <v>3</v>
      </c>
      <c r="O322">
        <v>3</v>
      </c>
      <c r="P322">
        <v>1</v>
      </c>
      <c r="Q322">
        <v>0</v>
      </c>
      <c r="R322" s="4">
        <v>17.25</v>
      </c>
      <c r="S322">
        <v>0</v>
      </c>
      <c r="T322">
        <v>1</v>
      </c>
    </row>
    <row r="323" spans="1:20" ht="16.5" x14ac:dyDescent="0.3">
      <c r="A323" t="s">
        <v>364</v>
      </c>
      <c r="B323" s="1">
        <v>45342</v>
      </c>
      <c r="C323">
        <v>2024</v>
      </c>
      <c r="D323" t="s">
        <v>21</v>
      </c>
      <c r="E323" t="s">
        <v>241</v>
      </c>
      <c r="F323" t="s">
        <v>34</v>
      </c>
      <c r="G323" t="s">
        <v>39</v>
      </c>
      <c r="H323" t="s">
        <v>51</v>
      </c>
      <c r="I323" t="s">
        <v>31</v>
      </c>
      <c r="J323" t="s">
        <v>27</v>
      </c>
      <c r="K323" t="s">
        <v>32</v>
      </c>
      <c r="L323" s="2">
        <v>10.3</v>
      </c>
      <c r="M323" s="3">
        <v>1071</v>
      </c>
      <c r="N323">
        <v>7</v>
      </c>
      <c r="O323">
        <v>7</v>
      </c>
      <c r="P323">
        <v>1</v>
      </c>
      <c r="Q323">
        <v>0</v>
      </c>
      <c r="R323" s="4">
        <v>16.670000000000002</v>
      </c>
      <c r="S323">
        <v>0</v>
      </c>
      <c r="T323">
        <v>1</v>
      </c>
    </row>
    <row r="324" spans="1:20" ht="16.5" x14ac:dyDescent="0.3">
      <c r="A324" t="s">
        <v>365</v>
      </c>
      <c r="B324" s="1">
        <v>45342</v>
      </c>
      <c r="C324">
        <v>2024</v>
      </c>
      <c r="D324" t="s">
        <v>21</v>
      </c>
      <c r="E324" t="s">
        <v>241</v>
      </c>
      <c r="F324" t="s">
        <v>38</v>
      </c>
      <c r="G324" t="s">
        <v>39</v>
      </c>
      <c r="H324" t="s">
        <v>36</v>
      </c>
      <c r="I324" t="s">
        <v>26</v>
      </c>
      <c r="J324" t="s">
        <v>27</v>
      </c>
      <c r="K324" t="s">
        <v>32</v>
      </c>
      <c r="L324" s="2">
        <v>3.6</v>
      </c>
      <c r="M324" s="3">
        <v>200</v>
      </c>
      <c r="N324">
        <v>3</v>
      </c>
      <c r="O324">
        <v>2</v>
      </c>
      <c r="P324">
        <v>1</v>
      </c>
      <c r="Q324">
        <v>0</v>
      </c>
      <c r="R324" s="4">
        <v>13</v>
      </c>
      <c r="S324">
        <v>0</v>
      </c>
      <c r="T324">
        <v>1</v>
      </c>
    </row>
    <row r="325" spans="1:20" ht="16.5" x14ac:dyDescent="0.3">
      <c r="A325" t="s">
        <v>366</v>
      </c>
      <c r="B325" s="1">
        <v>45342</v>
      </c>
      <c r="C325">
        <v>2024</v>
      </c>
      <c r="D325" t="s">
        <v>21</v>
      </c>
      <c r="E325" t="s">
        <v>241</v>
      </c>
      <c r="F325" t="s">
        <v>57</v>
      </c>
      <c r="G325" t="s">
        <v>24</v>
      </c>
      <c r="H325" t="s">
        <v>51</v>
      </c>
      <c r="I325" t="s">
        <v>31</v>
      </c>
      <c r="J325" t="s">
        <v>27</v>
      </c>
      <c r="K325" t="s">
        <v>28</v>
      </c>
      <c r="L325" s="2">
        <v>97.8</v>
      </c>
      <c r="M325" s="3">
        <v>1020</v>
      </c>
      <c r="N325">
        <v>7</v>
      </c>
      <c r="O325">
        <v>7</v>
      </c>
      <c r="P325">
        <v>1</v>
      </c>
      <c r="Q325">
        <v>0</v>
      </c>
      <c r="R325" s="4">
        <v>42.92</v>
      </c>
      <c r="S325">
        <v>0</v>
      </c>
      <c r="T325">
        <v>1</v>
      </c>
    </row>
    <row r="326" spans="1:20" ht="16.5" x14ac:dyDescent="0.3">
      <c r="A326" t="s">
        <v>367</v>
      </c>
      <c r="B326" s="1">
        <v>45342</v>
      </c>
      <c r="C326">
        <v>2024</v>
      </c>
      <c r="D326" t="s">
        <v>21</v>
      </c>
      <c r="E326" t="s">
        <v>241</v>
      </c>
      <c r="F326" t="s">
        <v>38</v>
      </c>
      <c r="G326" t="s">
        <v>35</v>
      </c>
      <c r="H326" t="s">
        <v>25</v>
      </c>
      <c r="I326" t="s">
        <v>26</v>
      </c>
      <c r="J326" t="s">
        <v>27</v>
      </c>
      <c r="K326" t="s">
        <v>28</v>
      </c>
      <c r="L326" s="2">
        <v>119.4</v>
      </c>
      <c r="M326" s="3">
        <v>774</v>
      </c>
      <c r="N326">
        <v>4</v>
      </c>
      <c r="O326">
        <v>4</v>
      </c>
      <c r="P326">
        <v>1</v>
      </c>
      <c r="Q326">
        <v>0</v>
      </c>
      <c r="R326" s="4">
        <v>71.08</v>
      </c>
      <c r="S326">
        <v>0</v>
      </c>
      <c r="T326">
        <v>1</v>
      </c>
    </row>
    <row r="327" spans="1:20" ht="16.5" x14ac:dyDescent="0.3">
      <c r="A327" t="s">
        <v>368</v>
      </c>
      <c r="B327" s="1">
        <v>45343</v>
      </c>
      <c r="C327">
        <v>2024</v>
      </c>
      <c r="D327" t="s">
        <v>21</v>
      </c>
      <c r="E327" t="s">
        <v>241</v>
      </c>
      <c r="F327" t="s">
        <v>57</v>
      </c>
      <c r="G327" t="s">
        <v>39</v>
      </c>
      <c r="H327" t="s">
        <v>51</v>
      </c>
      <c r="I327" t="s">
        <v>26</v>
      </c>
      <c r="J327" t="s">
        <v>27</v>
      </c>
      <c r="K327" t="s">
        <v>28</v>
      </c>
      <c r="L327" s="2">
        <v>15.2</v>
      </c>
      <c r="M327" s="3">
        <v>1322</v>
      </c>
      <c r="N327">
        <v>5</v>
      </c>
      <c r="O327">
        <v>7</v>
      </c>
      <c r="P327">
        <v>0</v>
      </c>
      <c r="Q327">
        <v>2</v>
      </c>
      <c r="R327" s="4">
        <v>30.58</v>
      </c>
      <c r="S327">
        <v>0</v>
      </c>
      <c r="T327">
        <v>1</v>
      </c>
    </row>
    <row r="328" spans="1:20" ht="16.5" x14ac:dyDescent="0.3">
      <c r="A328" t="s">
        <v>369</v>
      </c>
      <c r="B328" s="1">
        <v>45343</v>
      </c>
      <c r="C328">
        <v>2024</v>
      </c>
      <c r="D328" t="s">
        <v>21</v>
      </c>
      <c r="E328" t="s">
        <v>241</v>
      </c>
      <c r="F328" t="s">
        <v>57</v>
      </c>
      <c r="G328" t="s">
        <v>35</v>
      </c>
      <c r="H328" t="s">
        <v>36</v>
      </c>
      <c r="I328" t="s">
        <v>26</v>
      </c>
      <c r="J328" t="s">
        <v>27</v>
      </c>
      <c r="K328" t="s">
        <v>32</v>
      </c>
      <c r="L328" s="2">
        <v>3.5</v>
      </c>
      <c r="M328" s="3">
        <v>217</v>
      </c>
      <c r="N328">
        <v>3</v>
      </c>
      <c r="O328">
        <v>3</v>
      </c>
      <c r="P328">
        <v>1</v>
      </c>
      <c r="Q328">
        <v>0</v>
      </c>
      <c r="R328" s="4">
        <v>11.14</v>
      </c>
      <c r="S328">
        <v>0</v>
      </c>
      <c r="T328">
        <v>1</v>
      </c>
    </row>
    <row r="329" spans="1:20" ht="16.5" x14ac:dyDescent="0.3">
      <c r="A329" t="s">
        <v>370</v>
      </c>
      <c r="B329" s="1">
        <v>45343</v>
      </c>
      <c r="C329">
        <v>2024</v>
      </c>
      <c r="D329" t="s">
        <v>21</v>
      </c>
      <c r="E329" t="s">
        <v>241</v>
      </c>
      <c r="F329" t="s">
        <v>38</v>
      </c>
      <c r="G329" t="s">
        <v>39</v>
      </c>
      <c r="H329" t="s">
        <v>51</v>
      </c>
      <c r="I329" t="s">
        <v>31</v>
      </c>
      <c r="J329" t="s">
        <v>27</v>
      </c>
      <c r="K329" t="s">
        <v>28</v>
      </c>
      <c r="L329" s="2">
        <v>154.4</v>
      </c>
      <c r="M329" s="3">
        <v>919</v>
      </c>
      <c r="N329">
        <v>7</v>
      </c>
      <c r="O329">
        <v>7</v>
      </c>
      <c r="P329">
        <v>1</v>
      </c>
      <c r="Q329">
        <v>0</v>
      </c>
      <c r="R329" s="4">
        <v>60.9</v>
      </c>
      <c r="S329">
        <v>0</v>
      </c>
      <c r="T329">
        <v>1</v>
      </c>
    </row>
    <row r="330" spans="1:20" ht="16.5" x14ac:dyDescent="0.3">
      <c r="A330" t="s">
        <v>371</v>
      </c>
      <c r="B330" s="1">
        <v>45343</v>
      </c>
      <c r="C330">
        <v>2024</v>
      </c>
      <c r="D330" t="s">
        <v>21</v>
      </c>
      <c r="E330" t="s">
        <v>241</v>
      </c>
      <c r="F330" t="s">
        <v>34</v>
      </c>
      <c r="G330" t="s">
        <v>39</v>
      </c>
      <c r="H330" t="s">
        <v>36</v>
      </c>
      <c r="I330" t="s">
        <v>40</v>
      </c>
      <c r="J330" t="s">
        <v>27</v>
      </c>
      <c r="K330" t="s">
        <v>28</v>
      </c>
      <c r="L330" s="2">
        <v>184.8</v>
      </c>
      <c r="M330" s="3">
        <v>205</v>
      </c>
      <c r="N330">
        <v>1</v>
      </c>
      <c r="O330">
        <v>1</v>
      </c>
      <c r="P330">
        <v>1</v>
      </c>
      <c r="Q330">
        <v>0</v>
      </c>
      <c r="R330" s="4">
        <v>133.53</v>
      </c>
      <c r="S330">
        <v>0</v>
      </c>
      <c r="T330">
        <v>1</v>
      </c>
    </row>
    <row r="331" spans="1:20" ht="16.5" x14ac:dyDescent="0.3">
      <c r="A331" t="s">
        <v>372</v>
      </c>
      <c r="B331" s="1">
        <v>45343</v>
      </c>
      <c r="C331">
        <v>2024</v>
      </c>
      <c r="D331" t="s">
        <v>21</v>
      </c>
      <c r="E331" t="s">
        <v>241</v>
      </c>
      <c r="F331" t="s">
        <v>23</v>
      </c>
      <c r="G331" t="s">
        <v>35</v>
      </c>
      <c r="H331" t="s">
        <v>43</v>
      </c>
      <c r="I331" t="s">
        <v>31</v>
      </c>
      <c r="J331" t="s">
        <v>27</v>
      </c>
      <c r="K331" t="s">
        <v>32</v>
      </c>
      <c r="L331" s="2">
        <v>2.5</v>
      </c>
      <c r="M331" s="3">
        <v>1154</v>
      </c>
      <c r="N331">
        <v>7</v>
      </c>
      <c r="O331">
        <v>6</v>
      </c>
      <c r="P331">
        <v>1</v>
      </c>
      <c r="Q331">
        <v>0</v>
      </c>
      <c r="R331" s="4">
        <v>15.36</v>
      </c>
      <c r="S331">
        <v>0</v>
      </c>
      <c r="T331">
        <v>1</v>
      </c>
    </row>
    <row r="332" spans="1:20" ht="16.5" x14ac:dyDescent="0.3">
      <c r="A332" t="s">
        <v>373</v>
      </c>
      <c r="B332" s="1">
        <v>45343</v>
      </c>
      <c r="C332">
        <v>2024</v>
      </c>
      <c r="D332" t="s">
        <v>21</v>
      </c>
      <c r="E332" t="s">
        <v>241</v>
      </c>
      <c r="F332" t="s">
        <v>30</v>
      </c>
      <c r="G332" t="s">
        <v>35</v>
      </c>
      <c r="H332" t="s">
        <v>25</v>
      </c>
      <c r="I332" t="s">
        <v>31</v>
      </c>
      <c r="J332" t="s">
        <v>27</v>
      </c>
      <c r="K332" t="s">
        <v>32</v>
      </c>
      <c r="L332" s="2">
        <v>4.7</v>
      </c>
      <c r="M332" s="3">
        <v>868</v>
      </c>
      <c r="N332">
        <v>6</v>
      </c>
      <c r="O332">
        <v>6</v>
      </c>
      <c r="P332">
        <v>1</v>
      </c>
      <c r="Q332">
        <v>0</v>
      </c>
      <c r="R332" s="4">
        <v>14.81</v>
      </c>
      <c r="S332">
        <v>0</v>
      </c>
      <c r="T332">
        <v>1</v>
      </c>
    </row>
    <row r="333" spans="1:20" ht="16.5" x14ac:dyDescent="0.3">
      <c r="A333" t="s">
        <v>374</v>
      </c>
      <c r="B333" s="1">
        <v>45343</v>
      </c>
      <c r="C333">
        <v>2024</v>
      </c>
      <c r="D333" t="s">
        <v>21</v>
      </c>
      <c r="E333" t="s">
        <v>241</v>
      </c>
      <c r="F333" t="s">
        <v>38</v>
      </c>
      <c r="G333" t="s">
        <v>24</v>
      </c>
      <c r="H333" t="s">
        <v>36</v>
      </c>
      <c r="I333" t="s">
        <v>31</v>
      </c>
      <c r="J333" t="s">
        <v>27</v>
      </c>
      <c r="K333" t="s">
        <v>32</v>
      </c>
      <c r="L333" s="2">
        <v>3.9</v>
      </c>
      <c r="M333" s="3">
        <v>285</v>
      </c>
      <c r="N333">
        <v>5</v>
      </c>
      <c r="O333">
        <v>5</v>
      </c>
      <c r="P333">
        <v>1</v>
      </c>
      <c r="Q333">
        <v>0</v>
      </c>
      <c r="R333" s="4">
        <v>9.56</v>
      </c>
      <c r="S333">
        <v>0</v>
      </c>
      <c r="T333">
        <v>1</v>
      </c>
    </row>
    <row r="334" spans="1:20" ht="16.5" x14ac:dyDescent="0.3">
      <c r="A334" t="s">
        <v>375</v>
      </c>
      <c r="B334" s="1">
        <v>45343</v>
      </c>
      <c r="C334">
        <v>2024</v>
      </c>
      <c r="D334" t="s">
        <v>21</v>
      </c>
      <c r="E334" t="s">
        <v>241</v>
      </c>
      <c r="F334" t="s">
        <v>23</v>
      </c>
      <c r="G334" t="s">
        <v>39</v>
      </c>
      <c r="H334" t="s">
        <v>51</v>
      </c>
      <c r="I334" t="s">
        <v>26</v>
      </c>
      <c r="J334" t="s">
        <v>27</v>
      </c>
      <c r="K334" t="s">
        <v>32</v>
      </c>
      <c r="L334" s="2">
        <v>5.6</v>
      </c>
      <c r="M334" s="3">
        <v>961</v>
      </c>
      <c r="N334">
        <v>5</v>
      </c>
      <c r="O334">
        <v>4</v>
      </c>
      <c r="P334">
        <v>1</v>
      </c>
      <c r="Q334">
        <v>0</v>
      </c>
      <c r="R334" s="4">
        <v>18.21</v>
      </c>
      <c r="S334">
        <v>0</v>
      </c>
      <c r="T334">
        <v>1</v>
      </c>
    </row>
    <row r="335" spans="1:20" ht="16.5" x14ac:dyDescent="0.3">
      <c r="A335" t="s">
        <v>376</v>
      </c>
      <c r="B335" s="1">
        <v>45343</v>
      </c>
      <c r="C335">
        <v>2024</v>
      </c>
      <c r="D335" t="s">
        <v>21</v>
      </c>
      <c r="E335" t="s">
        <v>241</v>
      </c>
      <c r="F335" t="s">
        <v>30</v>
      </c>
      <c r="G335" t="s">
        <v>39</v>
      </c>
      <c r="H335" t="s">
        <v>36</v>
      </c>
      <c r="I335" t="s">
        <v>31</v>
      </c>
      <c r="J335" t="s">
        <v>27</v>
      </c>
      <c r="K335" t="s">
        <v>32</v>
      </c>
      <c r="L335" s="2">
        <v>1.9</v>
      </c>
      <c r="M335" s="3">
        <v>239</v>
      </c>
      <c r="N335">
        <v>5</v>
      </c>
      <c r="O335">
        <v>5</v>
      </c>
      <c r="P335">
        <v>1</v>
      </c>
      <c r="Q335">
        <v>0</v>
      </c>
      <c r="R335" s="4">
        <v>7.27</v>
      </c>
      <c r="S335">
        <v>0</v>
      </c>
      <c r="T335">
        <v>1</v>
      </c>
    </row>
    <row r="336" spans="1:20" ht="16.5" x14ac:dyDescent="0.3">
      <c r="A336" t="s">
        <v>377</v>
      </c>
      <c r="B336" s="1">
        <v>45343</v>
      </c>
      <c r="C336">
        <v>2024</v>
      </c>
      <c r="D336" t="s">
        <v>21</v>
      </c>
      <c r="E336" t="s">
        <v>241</v>
      </c>
      <c r="F336" t="s">
        <v>30</v>
      </c>
      <c r="G336" t="s">
        <v>24</v>
      </c>
      <c r="H336" t="s">
        <v>51</v>
      </c>
      <c r="I336" t="s">
        <v>26</v>
      </c>
      <c r="J336" t="s">
        <v>27</v>
      </c>
      <c r="K336" t="s">
        <v>28</v>
      </c>
      <c r="L336" s="2">
        <v>60</v>
      </c>
      <c r="M336" s="3">
        <v>1044</v>
      </c>
      <c r="N336">
        <v>5</v>
      </c>
      <c r="O336">
        <v>6</v>
      </c>
      <c r="P336">
        <v>0</v>
      </c>
      <c r="Q336">
        <v>1</v>
      </c>
      <c r="R336" s="4">
        <v>51.21</v>
      </c>
      <c r="S336">
        <v>0</v>
      </c>
      <c r="T336">
        <v>1</v>
      </c>
    </row>
    <row r="337" spans="1:20" ht="16.5" x14ac:dyDescent="0.3">
      <c r="A337" t="s">
        <v>378</v>
      </c>
      <c r="B337" s="1">
        <v>45343</v>
      </c>
      <c r="C337">
        <v>2024</v>
      </c>
      <c r="D337" t="s">
        <v>21</v>
      </c>
      <c r="E337" t="s">
        <v>241</v>
      </c>
      <c r="F337" t="s">
        <v>57</v>
      </c>
      <c r="G337" t="s">
        <v>24</v>
      </c>
      <c r="H337" t="s">
        <v>25</v>
      </c>
      <c r="I337" t="s">
        <v>31</v>
      </c>
      <c r="J337" t="s">
        <v>27</v>
      </c>
      <c r="K337" t="s">
        <v>28</v>
      </c>
      <c r="L337" s="2">
        <v>99.2</v>
      </c>
      <c r="M337" s="3">
        <v>788</v>
      </c>
      <c r="N337">
        <v>6</v>
      </c>
      <c r="O337">
        <v>6</v>
      </c>
      <c r="P337">
        <v>1</v>
      </c>
      <c r="Q337">
        <v>0</v>
      </c>
      <c r="R337" s="4">
        <v>44.89</v>
      </c>
      <c r="S337">
        <v>0</v>
      </c>
      <c r="T337">
        <v>1</v>
      </c>
    </row>
    <row r="338" spans="1:20" ht="16.5" x14ac:dyDescent="0.3">
      <c r="A338" t="s">
        <v>379</v>
      </c>
      <c r="B338" s="1">
        <v>45344</v>
      </c>
      <c r="C338">
        <v>2024</v>
      </c>
      <c r="D338" t="s">
        <v>21</v>
      </c>
      <c r="E338" t="s">
        <v>241</v>
      </c>
      <c r="F338" t="s">
        <v>38</v>
      </c>
      <c r="G338" t="s">
        <v>24</v>
      </c>
      <c r="H338" t="s">
        <v>51</v>
      </c>
      <c r="I338" t="s">
        <v>40</v>
      </c>
      <c r="J338" t="s">
        <v>41</v>
      </c>
      <c r="K338" t="s">
        <v>32</v>
      </c>
      <c r="L338" s="2">
        <v>7.5</v>
      </c>
      <c r="M338" s="3">
        <v>1357</v>
      </c>
      <c r="N338">
        <v>3</v>
      </c>
      <c r="O338">
        <v>3</v>
      </c>
      <c r="P338">
        <v>1</v>
      </c>
      <c r="Q338">
        <v>0</v>
      </c>
      <c r="R338" s="4">
        <v>96.43</v>
      </c>
      <c r="S338">
        <v>0</v>
      </c>
      <c r="T338">
        <v>1</v>
      </c>
    </row>
    <row r="339" spans="1:20" ht="16.5" x14ac:dyDescent="0.3">
      <c r="A339" t="s">
        <v>380</v>
      </c>
      <c r="B339" s="1">
        <v>45344</v>
      </c>
      <c r="C339">
        <v>2024</v>
      </c>
      <c r="D339" t="s">
        <v>21</v>
      </c>
      <c r="E339" t="s">
        <v>241</v>
      </c>
      <c r="F339" t="s">
        <v>38</v>
      </c>
      <c r="G339" t="s">
        <v>39</v>
      </c>
      <c r="H339" t="s">
        <v>51</v>
      </c>
      <c r="I339" t="s">
        <v>26</v>
      </c>
      <c r="J339" t="s">
        <v>27</v>
      </c>
      <c r="K339" t="s">
        <v>32</v>
      </c>
      <c r="L339" s="2">
        <v>3.3</v>
      </c>
      <c r="M339" s="3">
        <v>1291</v>
      </c>
      <c r="N339">
        <v>5</v>
      </c>
      <c r="O339">
        <v>5</v>
      </c>
      <c r="P339">
        <v>1</v>
      </c>
      <c r="Q339">
        <v>0</v>
      </c>
      <c r="R339" s="4">
        <v>28.1</v>
      </c>
      <c r="S339">
        <v>0</v>
      </c>
      <c r="T339">
        <v>1</v>
      </c>
    </row>
    <row r="340" spans="1:20" ht="16.5" x14ac:dyDescent="0.3">
      <c r="A340" t="s">
        <v>381</v>
      </c>
      <c r="B340" s="1">
        <v>45344</v>
      </c>
      <c r="C340">
        <v>2024</v>
      </c>
      <c r="D340" t="s">
        <v>21</v>
      </c>
      <c r="E340" t="s">
        <v>241</v>
      </c>
      <c r="F340" t="s">
        <v>38</v>
      </c>
      <c r="G340" t="s">
        <v>39</v>
      </c>
      <c r="H340" t="s">
        <v>36</v>
      </c>
      <c r="I340" t="s">
        <v>40</v>
      </c>
      <c r="J340" t="s">
        <v>27</v>
      </c>
      <c r="K340" t="s">
        <v>32</v>
      </c>
      <c r="L340" s="2">
        <v>1.8</v>
      </c>
      <c r="M340" s="3">
        <v>239</v>
      </c>
      <c r="N340">
        <v>1</v>
      </c>
      <c r="O340">
        <v>1</v>
      </c>
      <c r="P340">
        <v>1</v>
      </c>
      <c r="Q340">
        <v>0</v>
      </c>
      <c r="R340" s="4">
        <v>20.62</v>
      </c>
      <c r="S340">
        <v>0</v>
      </c>
      <c r="T340">
        <v>1</v>
      </c>
    </row>
    <row r="341" spans="1:20" ht="16.5" x14ac:dyDescent="0.3">
      <c r="A341" t="s">
        <v>382</v>
      </c>
      <c r="B341" s="1">
        <v>45344</v>
      </c>
      <c r="C341">
        <v>2024</v>
      </c>
      <c r="D341" t="s">
        <v>21</v>
      </c>
      <c r="E341" t="s">
        <v>241</v>
      </c>
      <c r="F341" t="s">
        <v>38</v>
      </c>
      <c r="G341" t="s">
        <v>35</v>
      </c>
      <c r="H341" t="s">
        <v>43</v>
      </c>
      <c r="I341" t="s">
        <v>26</v>
      </c>
      <c r="J341" t="s">
        <v>27</v>
      </c>
      <c r="K341" t="s">
        <v>32</v>
      </c>
      <c r="L341" s="2">
        <v>6.4</v>
      </c>
      <c r="M341" s="3">
        <v>1067</v>
      </c>
      <c r="N341">
        <v>5</v>
      </c>
      <c r="O341">
        <v>5</v>
      </c>
      <c r="P341">
        <v>1</v>
      </c>
      <c r="Q341">
        <v>0</v>
      </c>
      <c r="R341" s="4">
        <v>28.46</v>
      </c>
      <c r="S341">
        <v>0</v>
      </c>
      <c r="T341">
        <v>1</v>
      </c>
    </row>
    <row r="342" spans="1:20" ht="16.5" x14ac:dyDescent="0.3">
      <c r="A342" t="s">
        <v>383</v>
      </c>
      <c r="B342" s="1">
        <v>45344</v>
      </c>
      <c r="C342">
        <v>2024</v>
      </c>
      <c r="D342" t="s">
        <v>21</v>
      </c>
      <c r="E342" t="s">
        <v>241</v>
      </c>
      <c r="F342" t="s">
        <v>57</v>
      </c>
      <c r="G342" t="s">
        <v>39</v>
      </c>
      <c r="H342" t="s">
        <v>36</v>
      </c>
      <c r="I342" t="s">
        <v>40</v>
      </c>
      <c r="J342" t="s">
        <v>27</v>
      </c>
      <c r="K342" t="s">
        <v>28</v>
      </c>
      <c r="L342" s="2">
        <v>13.5</v>
      </c>
      <c r="M342" s="3">
        <v>195</v>
      </c>
      <c r="N342">
        <v>1</v>
      </c>
      <c r="O342">
        <v>1</v>
      </c>
      <c r="P342">
        <v>1</v>
      </c>
      <c r="Q342">
        <v>0</v>
      </c>
      <c r="R342" s="4">
        <v>35.53</v>
      </c>
      <c r="S342">
        <v>0</v>
      </c>
      <c r="T342">
        <v>1</v>
      </c>
    </row>
    <row r="343" spans="1:20" ht="16.5" x14ac:dyDescent="0.3">
      <c r="A343" t="s">
        <v>384</v>
      </c>
      <c r="B343" s="1">
        <v>45344</v>
      </c>
      <c r="C343">
        <v>2024</v>
      </c>
      <c r="D343" t="s">
        <v>21</v>
      </c>
      <c r="E343" t="s">
        <v>241</v>
      </c>
      <c r="F343" t="s">
        <v>30</v>
      </c>
      <c r="G343" t="s">
        <v>24</v>
      </c>
      <c r="H343" t="s">
        <v>51</v>
      </c>
      <c r="I343" t="s">
        <v>31</v>
      </c>
      <c r="J343" t="s">
        <v>27</v>
      </c>
      <c r="K343" t="s">
        <v>28</v>
      </c>
      <c r="L343" s="2">
        <v>53.4</v>
      </c>
      <c r="M343" s="3">
        <v>896</v>
      </c>
      <c r="N343">
        <v>7</v>
      </c>
      <c r="O343">
        <v>7</v>
      </c>
      <c r="P343">
        <v>1</v>
      </c>
      <c r="Q343">
        <v>0</v>
      </c>
      <c r="R343" s="4">
        <v>32.86</v>
      </c>
      <c r="S343">
        <v>0</v>
      </c>
      <c r="T343">
        <v>1</v>
      </c>
    </row>
    <row r="344" spans="1:20" ht="16.5" x14ac:dyDescent="0.3">
      <c r="A344" t="s">
        <v>385</v>
      </c>
      <c r="B344" s="1">
        <v>45344</v>
      </c>
      <c r="C344">
        <v>2024</v>
      </c>
      <c r="D344" t="s">
        <v>21</v>
      </c>
      <c r="E344" t="s">
        <v>241</v>
      </c>
      <c r="F344" t="s">
        <v>57</v>
      </c>
      <c r="G344" t="s">
        <v>39</v>
      </c>
      <c r="H344" t="s">
        <v>51</v>
      </c>
      <c r="I344" t="s">
        <v>26</v>
      </c>
      <c r="J344" t="s">
        <v>27</v>
      </c>
      <c r="K344" t="s">
        <v>32</v>
      </c>
      <c r="L344" s="2">
        <v>2.9</v>
      </c>
      <c r="M344" s="3">
        <v>1114</v>
      </c>
      <c r="N344">
        <v>5</v>
      </c>
      <c r="O344">
        <v>5</v>
      </c>
      <c r="P344">
        <v>1</v>
      </c>
      <c r="Q344">
        <v>0</v>
      </c>
      <c r="R344" s="4">
        <v>23.44</v>
      </c>
      <c r="S344">
        <v>0</v>
      </c>
      <c r="T344">
        <v>1</v>
      </c>
    </row>
    <row r="345" spans="1:20" ht="16.5" x14ac:dyDescent="0.3">
      <c r="A345" t="s">
        <v>386</v>
      </c>
      <c r="B345" s="1">
        <v>45344</v>
      </c>
      <c r="C345">
        <v>2024</v>
      </c>
      <c r="D345" t="s">
        <v>21</v>
      </c>
      <c r="E345" t="s">
        <v>241</v>
      </c>
      <c r="F345" t="s">
        <v>38</v>
      </c>
      <c r="G345" t="s">
        <v>39</v>
      </c>
      <c r="H345" t="s">
        <v>48</v>
      </c>
      <c r="I345" t="s">
        <v>26</v>
      </c>
      <c r="J345" t="s">
        <v>27</v>
      </c>
      <c r="K345" t="s">
        <v>32</v>
      </c>
      <c r="L345" s="2">
        <v>4.0999999999999996</v>
      </c>
      <c r="M345" s="3">
        <v>471</v>
      </c>
      <c r="N345">
        <v>4</v>
      </c>
      <c r="O345">
        <v>4</v>
      </c>
      <c r="P345">
        <v>1</v>
      </c>
      <c r="Q345">
        <v>0</v>
      </c>
      <c r="R345" s="4">
        <v>17.32</v>
      </c>
      <c r="S345">
        <v>0</v>
      </c>
      <c r="T345">
        <v>1</v>
      </c>
    </row>
    <row r="346" spans="1:20" ht="16.5" x14ac:dyDescent="0.3">
      <c r="A346" t="s">
        <v>387</v>
      </c>
      <c r="B346" s="1">
        <v>45344</v>
      </c>
      <c r="C346">
        <v>2024</v>
      </c>
      <c r="D346" t="s">
        <v>21</v>
      </c>
      <c r="E346" t="s">
        <v>241</v>
      </c>
      <c r="F346" t="s">
        <v>38</v>
      </c>
      <c r="G346" t="s">
        <v>39</v>
      </c>
      <c r="H346" t="s">
        <v>51</v>
      </c>
      <c r="I346" t="s">
        <v>31</v>
      </c>
      <c r="J346" t="s">
        <v>27</v>
      </c>
      <c r="K346" t="s">
        <v>28</v>
      </c>
      <c r="L346" s="2">
        <v>178.7</v>
      </c>
      <c r="M346" s="3">
        <v>1141</v>
      </c>
      <c r="N346">
        <v>7</v>
      </c>
      <c r="O346">
        <v>6</v>
      </c>
      <c r="P346">
        <v>1</v>
      </c>
      <c r="Q346">
        <v>0</v>
      </c>
      <c r="R346" s="4">
        <v>72.239999999999995</v>
      </c>
      <c r="S346">
        <v>0</v>
      </c>
      <c r="T346">
        <v>1</v>
      </c>
    </row>
    <row r="347" spans="1:20" ht="16.5" x14ac:dyDescent="0.3">
      <c r="A347" t="s">
        <v>388</v>
      </c>
      <c r="B347" s="1">
        <v>45344</v>
      </c>
      <c r="C347">
        <v>2024</v>
      </c>
      <c r="D347" t="s">
        <v>21</v>
      </c>
      <c r="E347" t="s">
        <v>241</v>
      </c>
      <c r="F347" t="s">
        <v>30</v>
      </c>
      <c r="G347" t="s">
        <v>39</v>
      </c>
      <c r="H347" t="s">
        <v>36</v>
      </c>
      <c r="I347" t="s">
        <v>26</v>
      </c>
      <c r="J347" t="s">
        <v>27</v>
      </c>
      <c r="K347" t="s">
        <v>32</v>
      </c>
      <c r="L347" s="2">
        <v>3.9</v>
      </c>
      <c r="M347" s="3">
        <v>244</v>
      </c>
      <c r="N347">
        <v>3</v>
      </c>
      <c r="O347">
        <v>2</v>
      </c>
      <c r="P347">
        <v>1</v>
      </c>
      <c r="Q347">
        <v>0</v>
      </c>
      <c r="R347" s="4">
        <v>11.51</v>
      </c>
      <c r="S347">
        <v>0</v>
      </c>
      <c r="T347">
        <v>1</v>
      </c>
    </row>
    <row r="348" spans="1:20" ht="16.5" x14ac:dyDescent="0.3">
      <c r="A348" t="s">
        <v>389</v>
      </c>
      <c r="B348" s="1">
        <v>45344</v>
      </c>
      <c r="C348">
        <v>2024</v>
      </c>
      <c r="D348" t="s">
        <v>21</v>
      </c>
      <c r="E348" t="s">
        <v>241</v>
      </c>
      <c r="F348" t="s">
        <v>23</v>
      </c>
      <c r="G348" t="s">
        <v>35</v>
      </c>
      <c r="H348" t="s">
        <v>36</v>
      </c>
      <c r="I348" t="s">
        <v>40</v>
      </c>
      <c r="J348" t="s">
        <v>27</v>
      </c>
      <c r="K348" t="s">
        <v>32</v>
      </c>
      <c r="L348" s="2">
        <v>6.2</v>
      </c>
      <c r="M348" s="3">
        <v>247</v>
      </c>
      <c r="N348">
        <v>1</v>
      </c>
      <c r="O348">
        <v>1</v>
      </c>
      <c r="P348">
        <v>1</v>
      </c>
      <c r="Q348">
        <v>0</v>
      </c>
      <c r="R348" s="4">
        <v>25.76</v>
      </c>
      <c r="S348">
        <v>0</v>
      </c>
      <c r="T348">
        <v>1</v>
      </c>
    </row>
    <row r="349" spans="1:20" ht="16.5" x14ac:dyDescent="0.3">
      <c r="A349" t="s">
        <v>390</v>
      </c>
      <c r="B349" s="1">
        <v>45345</v>
      </c>
      <c r="C349">
        <v>2024</v>
      </c>
      <c r="D349" t="s">
        <v>21</v>
      </c>
      <c r="E349" t="s">
        <v>241</v>
      </c>
      <c r="F349" t="s">
        <v>23</v>
      </c>
      <c r="G349" t="s">
        <v>35</v>
      </c>
      <c r="H349" t="s">
        <v>36</v>
      </c>
      <c r="I349" t="s">
        <v>26</v>
      </c>
      <c r="J349" t="s">
        <v>27</v>
      </c>
      <c r="K349" t="s">
        <v>32</v>
      </c>
      <c r="L349" s="2">
        <v>20.399999999999999</v>
      </c>
      <c r="M349" s="3">
        <v>236</v>
      </c>
      <c r="N349">
        <v>3</v>
      </c>
      <c r="O349">
        <v>3</v>
      </c>
      <c r="P349">
        <v>1</v>
      </c>
      <c r="Q349">
        <v>0</v>
      </c>
      <c r="R349" s="4">
        <v>20.13</v>
      </c>
      <c r="S349">
        <v>0</v>
      </c>
      <c r="T349">
        <v>1</v>
      </c>
    </row>
    <row r="350" spans="1:20" ht="16.5" x14ac:dyDescent="0.3">
      <c r="A350" t="s">
        <v>391</v>
      </c>
      <c r="B350" s="1">
        <v>45345</v>
      </c>
      <c r="C350">
        <v>2024</v>
      </c>
      <c r="D350" t="s">
        <v>21</v>
      </c>
      <c r="E350" t="s">
        <v>241</v>
      </c>
      <c r="F350" t="s">
        <v>30</v>
      </c>
      <c r="G350" t="s">
        <v>24</v>
      </c>
      <c r="H350" t="s">
        <v>25</v>
      </c>
      <c r="I350" t="s">
        <v>31</v>
      </c>
      <c r="J350" t="s">
        <v>27</v>
      </c>
      <c r="K350" t="s">
        <v>28</v>
      </c>
      <c r="L350" s="2">
        <v>74.7</v>
      </c>
      <c r="M350" s="3">
        <v>811</v>
      </c>
      <c r="N350">
        <v>6</v>
      </c>
      <c r="O350">
        <v>5</v>
      </c>
      <c r="P350">
        <v>1</v>
      </c>
      <c r="Q350">
        <v>0</v>
      </c>
      <c r="R350" s="4">
        <v>38.909999999999997</v>
      </c>
      <c r="S350">
        <v>0</v>
      </c>
      <c r="T350">
        <v>1</v>
      </c>
    </row>
    <row r="351" spans="1:20" ht="16.5" x14ac:dyDescent="0.3">
      <c r="A351" t="s">
        <v>392</v>
      </c>
      <c r="B351" s="1">
        <v>45345</v>
      </c>
      <c r="C351">
        <v>2024</v>
      </c>
      <c r="D351" t="s">
        <v>21</v>
      </c>
      <c r="E351" t="s">
        <v>241</v>
      </c>
      <c r="F351" t="s">
        <v>57</v>
      </c>
      <c r="G351" t="s">
        <v>35</v>
      </c>
      <c r="H351" t="s">
        <v>25</v>
      </c>
      <c r="I351" t="s">
        <v>26</v>
      </c>
      <c r="J351" t="s">
        <v>27</v>
      </c>
      <c r="K351" t="s">
        <v>28</v>
      </c>
      <c r="L351" s="2">
        <v>9.1999999999999993</v>
      </c>
      <c r="M351" s="3">
        <v>859</v>
      </c>
      <c r="N351">
        <v>4</v>
      </c>
      <c r="O351">
        <v>4</v>
      </c>
      <c r="P351">
        <v>1</v>
      </c>
      <c r="Q351">
        <v>0</v>
      </c>
      <c r="R351" s="4">
        <v>20.81</v>
      </c>
      <c r="S351">
        <v>0</v>
      </c>
      <c r="T351">
        <v>1</v>
      </c>
    </row>
    <row r="352" spans="1:20" ht="16.5" x14ac:dyDescent="0.3">
      <c r="A352" t="s">
        <v>393</v>
      </c>
      <c r="B352" s="1">
        <v>45345</v>
      </c>
      <c r="C352">
        <v>2024</v>
      </c>
      <c r="D352" t="s">
        <v>21</v>
      </c>
      <c r="E352" t="s">
        <v>241</v>
      </c>
      <c r="F352" t="s">
        <v>30</v>
      </c>
      <c r="G352" t="s">
        <v>39</v>
      </c>
      <c r="H352" t="s">
        <v>36</v>
      </c>
      <c r="I352" t="s">
        <v>26</v>
      </c>
      <c r="J352" t="s">
        <v>27</v>
      </c>
      <c r="K352" t="s">
        <v>28</v>
      </c>
      <c r="L352" s="2">
        <v>140.80000000000001</v>
      </c>
      <c r="M352" s="3">
        <v>245</v>
      </c>
      <c r="N352">
        <v>3</v>
      </c>
      <c r="O352">
        <v>3</v>
      </c>
      <c r="P352">
        <v>1</v>
      </c>
      <c r="Q352">
        <v>0</v>
      </c>
      <c r="R352" s="4">
        <v>80.05</v>
      </c>
      <c r="S352">
        <v>0</v>
      </c>
      <c r="T352">
        <v>1</v>
      </c>
    </row>
    <row r="353" spans="1:20" ht="16.5" x14ac:dyDescent="0.3">
      <c r="A353" t="s">
        <v>394</v>
      </c>
      <c r="B353" s="1">
        <v>45345</v>
      </c>
      <c r="C353">
        <v>2024</v>
      </c>
      <c r="D353" t="s">
        <v>21</v>
      </c>
      <c r="E353" t="s">
        <v>241</v>
      </c>
      <c r="F353" t="s">
        <v>23</v>
      </c>
      <c r="G353" t="s">
        <v>24</v>
      </c>
      <c r="H353" t="s">
        <v>51</v>
      </c>
      <c r="I353" t="s">
        <v>26</v>
      </c>
      <c r="J353" t="s">
        <v>27</v>
      </c>
      <c r="K353" t="s">
        <v>32</v>
      </c>
      <c r="L353" s="2">
        <v>9.4</v>
      </c>
      <c r="M353" s="3">
        <v>1220</v>
      </c>
      <c r="N353">
        <v>5</v>
      </c>
      <c r="O353">
        <v>4</v>
      </c>
      <c r="P353">
        <v>1</v>
      </c>
      <c r="Q353">
        <v>0</v>
      </c>
      <c r="R353" s="4">
        <v>28.4</v>
      </c>
      <c r="S353">
        <v>0</v>
      </c>
      <c r="T353">
        <v>1</v>
      </c>
    </row>
    <row r="354" spans="1:20" ht="16.5" x14ac:dyDescent="0.3">
      <c r="A354" t="s">
        <v>395</v>
      </c>
      <c r="B354" s="1">
        <v>45346</v>
      </c>
      <c r="C354">
        <v>2024</v>
      </c>
      <c r="D354" t="s">
        <v>21</v>
      </c>
      <c r="E354" t="s">
        <v>241</v>
      </c>
      <c r="F354" t="s">
        <v>23</v>
      </c>
      <c r="G354" t="s">
        <v>24</v>
      </c>
      <c r="H354" t="s">
        <v>43</v>
      </c>
      <c r="I354" t="s">
        <v>40</v>
      </c>
      <c r="J354" t="s">
        <v>41</v>
      </c>
      <c r="K354" t="s">
        <v>32</v>
      </c>
      <c r="L354" s="2">
        <v>14.6</v>
      </c>
      <c r="M354" s="3">
        <v>1257</v>
      </c>
      <c r="N354">
        <v>3</v>
      </c>
      <c r="O354">
        <v>3</v>
      </c>
      <c r="P354">
        <v>1</v>
      </c>
      <c r="Q354">
        <v>0</v>
      </c>
      <c r="R354" s="4">
        <v>90.59</v>
      </c>
      <c r="S354">
        <v>0</v>
      </c>
      <c r="T354">
        <v>1</v>
      </c>
    </row>
    <row r="355" spans="1:20" ht="16.5" x14ac:dyDescent="0.3">
      <c r="A355" t="s">
        <v>396</v>
      </c>
      <c r="B355" s="1">
        <v>45346</v>
      </c>
      <c r="C355">
        <v>2024</v>
      </c>
      <c r="D355" t="s">
        <v>21</v>
      </c>
      <c r="E355" t="s">
        <v>241</v>
      </c>
      <c r="F355" t="s">
        <v>34</v>
      </c>
      <c r="G355" t="s">
        <v>39</v>
      </c>
      <c r="H355" t="s">
        <v>36</v>
      </c>
      <c r="I355" t="s">
        <v>26</v>
      </c>
      <c r="J355" t="s">
        <v>27</v>
      </c>
      <c r="K355" t="s">
        <v>32</v>
      </c>
      <c r="L355" s="2">
        <v>16.600000000000001</v>
      </c>
      <c r="M355" s="3">
        <v>284</v>
      </c>
      <c r="N355">
        <v>3</v>
      </c>
      <c r="O355">
        <v>3</v>
      </c>
      <c r="P355">
        <v>1</v>
      </c>
      <c r="Q355">
        <v>0</v>
      </c>
      <c r="R355" s="4">
        <v>17.79</v>
      </c>
      <c r="S355">
        <v>0</v>
      </c>
      <c r="T355">
        <v>1</v>
      </c>
    </row>
    <row r="356" spans="1:20" ht="16.5" x14ac:dyDescent="0.3">
      <c r="A356" t="s">
        <v>397</v>
      </c>
      <c r="B356" s="1">
        <v>45346</v>
      </c>
      <c r="C356">
        <v>2024</v>
      </c>
      <c r="D356" t="s">
        <v>21</v>
      </c>
      <c r="E356" t="s">
        <v>241</v>
      </c>
      <c r="F356" t="s">
        <v>57</v>
      </c>
      <c r="G356" t="s">
        <v>39</v>
      </c>
      <c r="H356" t="s">
        <v>25</v>
      </c>
      <c r="I356" t="s">
        <v>40</v>
      </c>
      <c r="J356" t="s">
        <v>41</v>
      </c>
      <c r="K356" t="s">
        <v>32</v>
      </c>
      <c r="L356" s="2">
        <v>3.7</v>
      </c>
      <c r="M356" s="3">
        <v>758</v>
      </c>
      <c r="N356">
        <v>2</v>
      </c>
      <c r="O356">
        <v>2</v>
      </c>
      <c r="P356">
        <v>1</v>
      </c>
      <c r="Q356">
        <v>0</v>
      </c>
      <c r="R356" s="4">
        <v>55.81</v>
      </c>
      <c r="S356">
        <v>0</v>
      </c>
      <c r="T356">
        <v>1</v>
      </c>
    </row>
    <row r="357" spans="1:20" ht="16.5" x14ac:dyDescent="0.3">
      <c r="A357" t="s">
        <v>398</v>
      </c>
      <c r="B357" s="1">
        <v>45346</v>
      </c>
      <c r="C357">
        <v>2024</v>
      </c>
      <c r="D357" t="s">
        <v>21</v>
      </c>
      <c r="E357" t="s">
        <v>241</v>
      </c>
      <c r="F357" t="s">
        <v>23</v>
      </c>
      <c r="G357" t="s">
        <v>35</v>
      </c>
      <c r="H357" t="s">
        <v>25</v>
      </c>
      <c r="I357" t="s">
        <v>26</v>
      </c>
      <c r="J357" t="s">
        <v>27</v>
      </c>
      <c r="K357" t="s">
        <v>28</v>
      </c>
      <c r="L357" s="2">
        <v>211.5</v>
      </c>
      <c r="M357" s="3">
        <v>855</v>
      </c>
      <c r="N357">
        <v>4</v>
      </c>
      <c r="O357">
        <v>5</v>
      </c>
      <c r="P357">
        <v>0</v>
      </c>
      <c r="Q357">
        <v>1</v>
      </c>
      <c r="R357" s="4">
        <v>104.44</v>
      </c>
      <c r="S357">
        <v>0</v>
      </c>
      <c r="T357">
        <v>1</v>
      </c>
    </row>
    <row r="358" spans="1:20" ht="16.5" x14ac:dyDescent="0.3">
      <c r="A358" t="s">
        <v>399</v>
      </c>
      <c r="B358" s="1">
        <v>45347</v>
      </c>
      <c r="C358">
        <v>2024</v>
      </c>
      <c r="D358" t="s">
        <v>21</v>
      </c>
      <c r="E358" t="s">
        <v>241</v>
      </c>
      <c r="F358" t="s">
        <v>38</v>
      </c>
      <c r="G358" t="s">
        <v>24</v>
      </c>
      <c r="H358" t="s">
        <v>25</v>
      </c>
      <c r="I358" t="s">
        <v>31</v>
      </c>
      <c r="J358" t="s">
        <v>27</v>
      </c>
      <c r="K358" t="s">
        <v>32</v>
      </c>
      <c r="L358" s="2">
        <v>2.6</v>
      </c>
      <c r="M358" s="3">
        <v>848</v>
      </c>
      <c r="N358">
        <v>6</v>
      </c>
      <c r="O358">
        <v>6</v>
      </c>
      <c r="P358">
        <v>1</v>
      </c>
      <c r="Q358">
        <v>0</v>
      </c>
      <c r="R358" s="4">
        <v>13.85</v>
      </c>
      <c r="S358">
        <v>0</v>
      </c>
      <c r="T358">
        <v>1</v>
      </c>
    </row>
    <row r="359" spans="1:20" ht="16.5" x14ac:dyDescent="0.3">
      <c r="A359" t="s">
        <v>400</v>
      </c>
      <c r="B359" s="1">
        <v>45347</v>
      </c>
      <c r="C359">
        <v>2024</v>
      </c>
      <c r="D359" t="s">
        <v>21</v>
      </c>
      <c r="E359" t="s">
        <v>241</v>
      </c>
      <c r="F359" t="s">
        <v>23</v>
      </c>
      <c r="G359" t="s">
        <v>24</v>
      </c>
      <c r="H359" t="s">
        <v>36</v>
      </c>
      <c r="I359" t="s">
        <v>26</v>
      </c>
      <c r="J359" t="s">
        <v>27</v>
      </c>
      <c r="K359" t="s">
        <v>32</v>
      </c>
      <c r="L359" s="2">
        <v>9.6999999999999993</v>
      </c>
      <c r="M359" s="3">
        <v>277</v>
      </c>
      <c r="N359">
        <v>3</v>
      </c>
      <c r="O359">
        <v>3</v>
      </c>
      <c r="P359">
        <v>1</v>
      </c>
      <c r="Q359">
        <v>0</v>
      </c>
      <c r="R359" s="4">
        <v>15.52</v>
      </c>
      <c r="S359">
        <v>0</v>
      </c>
      <c r="T359">
        <v>1</v>
      </c>
    </row>
    <row r="360" spans="1:20" ht="16.5" x14ac:dyDescent="0.3">
      <c r="A360" t="s">
        <v>401</v>
      </c>
      <c r="B360" s="1">
        <v>45347</v>
      </c>
      <c r="C360">
        <v>2024</v>
      </c>
      <c r="D360" t="s">
        <v>21</v>
      </c>
      <c r="E360" t="s">
        <v>241</v>
      </c>
      <c r="F360" t="s">
        <v>23</v>
      </c>
      <c r="G360" t="s">
        <v>24</v>
      </c>
      <c r="H360" t="s">
        <v>25</v>
      </c>
      <c r="I360" t="s">
        <v>26</v>
      </c>
      <c r="J360" t="s">
        <v>27</v>
      </c>
      <c r="K360" t="s">
        <v>32</v>
      </c>
      <c r="L360" s="2">
        <v>3.9</v>
      </c>
      <c r="M360" s="3">
        <v>1107</v>
      </c>
      <c r="N360">
        <v>4</v>
      </c>
      <c r="O360">
        <v>4</v>
      </c>
      <c r="P360">
        <v>1</v>
      </c>
      <c r="Q360">
        <v>0</v>
      </c>
      <c r="R360" s="4">
        <v>18.440000000000001</v>
      </c>
      <c r="S360">
        <v>0</v>
      </c>
      <c r="T360">
        <v>1</v>
      </c>
    </row>
    <row r="361" spans="1:20" ht="16.5" x14ac:dyDescent="0.3">
      <c r="A361" t="s">
        <v>402</v>
      </c>
      <c r="B361" s="1">
        <v>45347</v>
      </c>
      <c r="C361">
        <v>2024</v>
      </c>
      <c r="D361" t="s">
        <v>21</v>
      </c>
      <c r="E361" t="s">
        <v>241</v>
      </c>
      <c r="F361" t="s">
        <v>57</v>
      </c>
      <c r="G361" t="s">
        <v>39</v>
      </c>
      <c r="H361" t="s">
        <v>36</v>
      </c>
      <c r="I361" t="s">
        <v>31</v>
      </c>
      <c r="J361" t="s">
        <v>27</v>
      </c>
      <c r="K361" t="s">
        <v>28</v>
      </c>
      <c r="L361" s="2">
        <v>166.6</v>
      </c>
      <c r="M361" s="3">
        <v>311</v>
      </c>
      <c r="N361">
        <v>5</v>
      </c>
      <c r="O361">
        <v>4</v>
      </c>
      <c r="P361">
        <v>1</v>
      </c>
      <c r="Q361">
        <v>0</v>
      </c>
      <c r="R361" s="4">
        <v>57.02</v>
      </c>
      <c r="S361">
        <v>0</v>
      </c>
      <c r="T361">
        <v>1</v>
      </c>
    </row>
    <row r="362" spans="1:20" ht="16.5" x14ac:dyDescent="0.3">
      <c r="A362" t="s">
        <v>403</v>
      </c>
      <c r="B362" s="1">
        <v>45347</v>
      </c>
      <c r="C362">
        <v>2024</v>
      </c>
      <c r="D362" t="s">
        <v>21</v>
      </c>
      <c r="E362" t="s">
        <v>241</v>
      </c>
      <c r="F362" t="s">
        <v>23</v>
      </c>
      <c r="G362" t="s">
        <v>35</v>
      </c>
      <c r="H362" t="s">
        <v>25</v>
      </c>
      <c r="I362" t="s">
        <v>26</v>
      </c>
      <c r="J362" t="s">
        <v>27</v>
      </c>
      <c r="K362" t="s">
        <v>32</v>
      </c>
      <c r="L362" s="2">
        <v>3.9</v>
      </c>
      <c r="M362" s="3">
        <v>776</v>
      </c>
      <c r="N362">
        <v>4</v>
      </c>
      <c r="O362">
        <v>4</v>
      </c>
      <c r="P362">
        <v>1</v>
      </c>
      <c r="Q362">
        <v>0</v>
      </c>
      <c r="R362" s="4">
        <v>16.600000000000001</v>
      </c>
      <c r="S362">
        <v>0</v>
      </c>
      <c r="T362">
        <v>1</v>
      </c>
    </row>
    <row r="363" spans="1:20" ht="16.5" x14ac:dyDescent="0.3">
      <c r="A363" t="s">
        <v>404</v>
      </c>
      <c r="B363" s="1">
        <v>45347</v>
      </c>
      <c r="C363">
        <v>2024</v>
      </c>
      <c r="D363" t="s">
        <v>21</v>
      </c>
      <c r="E363" t="s">
        <v>241</v>
      </c>
      <c r="F363" t="s">
        <v>30</v>
      </c>
      <c r="G363" t="s">
        <v>39</v>
      </c>
      <c r="H363" t="s">
        <v>51</v>
      </c>
      <c r="I363" t="s">
        <v>26</v>
      </c>
      <c r="J363" t="s">
        <v>27</v>
      </c>
      <c r="K363" t="s">
        <v>32</v>
      </c>
      <c r="L363" s="2">
        <v>20.8</v>
      </c>
      <c r="M363" s="3">
        <v>961</v>
      </c>
      <c r="N363">
        <v>5</v>
      </c>
      <c r="O363">
        <v>5</v>
      </c>
      <c r="P363">
        <v>1</v>
      </c>
      <c r="Q363">
        <v>0</v>
      </c>
      <c r="R363" s="4">
        <v>32.72</v>
      </c>
      <c r="S363">
        <v>0</v>
      </c>
      <c r="T363">
        <v>1</v>
      </c>
    </row>
    <row r="364" spans="1:20" ht="16.5" x14ac:dyDescent="0.3">
      <c r="A364" t="s">
        <v>405</v>
      </c>
      <c r="B364" s="1">
        <v>45347</v>
      </c>
      <c r="C364">
        <v>2024</v>
      </c>
      <c r="D364" t="s">
        <v>21</v>
      </c>
      <c r="E364" t="s">
        <v>241</v>
      </c>
      <c r="F364" t="s">
        <v>23</v>
      </c>
      <c r="G364" t="s">
        <v>35</v>
      </c>
      <c r="H364" t="s">
        <v>48</v>
      </c>
      <c r="I364" t="s">
        <v>31</v>
      </c>
      <c r="J364" t="s">
        <v>27</v>
      </c>
      <c r="K364" t="s">
        <v>28</v>
      </c>
      <c r="L364" s="2">
        <v>20.8</v>
      </c>
      <c r="M364" s="3">
        <v>533</v>
      </c>
      <c r="N364">
        <v>6</v>
      </c>
      <c r="O364">
        <v>6</v>
      </c>
      <c r="P364">
        <v>1</v>
      </c>
      <c r="Q364">
        <v>0</v>
      </c>
      <c r="R364" s="4">
        <v>18.32</v>
      </c>
      <c r="S364">
        <v>0</v>
      </c>
      <c r="T364">
        <v>1</v>
      </c>
    </row>
    <row r="365" spans="1:20" ht="16.5" x14ac:dyDescent="0.3">
      <c r="A365" t="s">
        <v>406</v>
      </c>
      <c r="B365" s="1">
        <v>45347</v>
      </c>
      <c r="C365">
        <v>2024</v>
      </c>
      <c r="D365" t="s">
        <v>21</v>
      </c>
      <c r="E365" t="s">
        <v>241</v>
      </c>
      <c r="F365" t="s">
        <v>38</v>
      </c>
      <c r="G365" t="s">
        <v>39</v>
      </c>
      <c r="H365" t="s">
        <v>36</v>
      </c>
      <c r="I365" t="s">
        <v>26</v>
      </c>
      <c r="J365" t="s">
        <v>27</v>
      </c>
      <c r="K365" t="s">
        <v>32</v>
      </c>
      <c r="L365" s="2">
        <v>14</v>
      </c>
      <c r="M365" s="3">
        <v>229</v>
      </c>
      <c r="N365">
        <v>3</v>
      </c>
      <c r="O365">
        <v>3</v>
      </c>
      <c r="P365">
        <v>1</v>
      </c>
      <c r="Q365">
        <v>0</v>
      </c>
      <c r="R365" s="4">
        <v>18.43</v>
      </c>
      <c r="S365">
        <v>0</v>
      </c>
      <c r="T365">
        <v>1</v>
      </c>
    </row>
    <row r="366" spans="1:20" ht="16.5" x14ac:dyDescent="0.3">
      <c r="A366" t="s">
        <v>407</v>
      </c>
      <c r="B366" s="1">
        <v>45348</v>
      </c>
      <c r="C366">
        <v>2024</v>
      </c>
      <c r="D366" t="s">
        <v>21</v>
      </c>
      <c r="E366" t="s">
        <v>241</v>
      </c>
      <c r="F366" t="s">
        <v>34</v>
      </c>
      <c r="G366" t="s">
        <v>35</v>
      </c>
      <c r="H366" t="s">
        <v>36</v>
      </c>
      <c r="I366" t="s">
        <v>31</v>
      </c>
      <c r="J366" t="s">
        <v>27</v>
      </c>
      <c r="K366" t="s">
        <v>32</v>
      </c>
      <c r="L366" s="2">
        <v>1.6</v>
      </c>
      <c r="M366" s="3">
        <v>208</v>
      </c>
      <c r="N366">
        <v>5</v>
      </c>
      <c r="O366">
        <v>4</v>
      </c>
      <c r="P366">
        <v>1</v>
      </c>
      <c r="Q366">
        <v>0</v>
      </c>
      <c r="R366" s="4">
        <v>6.74</v>
      </c>
      <c r="S366">
        <v>0</v>
      </c>
      <c r="T366">
        <v>1</v>
      </c>
    </row>
    <row r="367" spans="1:20" ht="16.5" x14ac:dyDescent="0.3">
      <c r="A367" t="s">
        <v>408</v>
      </c>
      <c r="B367" s="1">
        <v>45348</v>
      </c>
      <c r="C367">
        <v>2024</v>
      </c>
      <c r="D367" t="s">
        <v>21</v>
      </c>
      <c r="E367" t="s">
        <v>241</v>
      </c>
      <c r="F367" t="s">
        <v>34</v>
      </c>
      <c r="G367" t="s">
        <v>39</v>
      </c>
      <c r="H367" t="s">
        <v>36</v>
      </c>
      <c r="I367" t="s">
        <v>26</v>
      </c>
      <c r="J367" t="s">
        <v>27</v>
      </c>
      <c r="K367" t="s">
        <v>32</v>
      </c>
      <c r="L367" s="2">
        <v>7.7</v>
      </c>
      <c r="M367" s="3">
        <v>296</v>
      </c>
      <c r="N367">
        <v>3</v>
      </c>
      <c r="O367">
        <v>6</v>
      </c>
      <c r="P367">
        <v>0</v>
      </c>
      <c r="Q367">
        <v>3</v>
      </c>
      <c r="R367" s="4">
        <v>12.27</v>
      </c>
      <c r="S367">
        <v>0</v>
      </c>
      <c r="T367">
        <v>1</v>
      </c>
    </row>
    <row r="368" spans="1:20" ht="16.5" x14ac:dyDescent="0.3">
      <c r="A368" t="s">
        <v>409</v>
      </c>
      <c r="B368" s="1">
        <v>45348</v>
      </c>
      <c r="C368">
        <v>2024</v>
      </c>
      <c r="D368" t="s">
        <v>21</v>
      </c>
      <c r="E368" t="s">
        <v>241</v>
      </c>
      <c r="F368" t="s">
        <v>57</v>
      </c>
      <c r="G368" t="s">
        <v>24</v>
      </c>
      <c r="H368" t="s">
        <v>25</v>
      </c>
      <c r="I368" t="s">
        <v>40</v>
      </c>
      <c r="J368" t="s">
        <v>41</v>
      </c>
      <c r="K368" t="s">
        <v>32</v>
      </c>
      <c r="L368" s="2">
        <v>2.9</v>
      </c>
      <c r="M368" s="3">
        <v>1013</v>
      </c>
      <c r="N368">
        <v>2</v>
      </c>
      <c r="O368">
        <v>2</v>
      </c>
      <c r="P368">
        <v>1</v>
      </c>
      <c r="Q368">
        <v>0</v>
      </c>
      <c r="R368" s="4">
        <v>63.67</v>
      </c>
      <c r="S368">
        <v>0</v>
      </c>
      <c r="T368">
        <v>1</v>
      </c>
    </row>
    <row r="369" spans="1:20" ht="16.5" x14ac:dyDescent="0.3">
      <c r="A369" t="s">
        <v>410</v>
      </c>
      <c r="B369" s="1">
        <v>45348</v>
      </c>
      <c r="C369">
        <v>2024</v>
      </c>
      <c r="D369" t="s">
        <v>21</v>
      </c>
      <c r="E369" t="s">
        <v>241</v>
      </c>
      <c r="F369" t="s">
        <v>30</v>
      </c>
      <c r="G369" t="s">
        <v>39</v>
      </c>
      <c r="H369" t="s">
        <v>51</v>
      </c>
      <c r="I369" t="s">
        <v>26</v>
      </c>
      <c r="J369" t="s">
        <v>27</v>
      </c>
      <c r="K369" t="s">
        <v>32</v>
      </c>
      <c r="L369" s="2">
        <v>12.1</v>
      </c>
      <c r="M369" s="3">
        <v>765</v>
      </c>
      <c r="N369">
        <v>5</v>
      </c>
      <c r="O369">
        <v>5</v>
      </c>
      <c r="P369">
        <v>1</v>
      </c>
      <c r="Q369">
        <v>0</v>
      </c>
      <c r="R369" s="4">
        <v>21.03</v>
      </c>
      <c r="S369">
        <v>0</v>
      </c>
      <c r="T369">
        <v>1</v>
      </c>
    </row>
    <row r="370" spans="1:20" ht="16.5" x14ac:dyDescent="0.3">
      <c r="A370" t="s">
        <v>411</v>
      </c>
      <c r="B370" s="1">
        <v>45348</v>
      </c>
      <c r="C370">
        <v>2024</v>
      </c>
      <c r="D370" t="s">
        <v>21</v>
      </c>
      <c r="E370" t="s">
        <v>241</v>
      </c>
      <c r="F370" t="s">
        <v>34</v>
      </c>
      <c r="G370" t="s">
        <v>24</v>
      </c>
      <c r="H370" t="s">
        <v>36</v>
      </c>
      <c r="I370" t="s">
        <v>26</v>
      </c>
      <c r="J370" t="s">
        <v>27</v>
      </c>
      <c r="K370" t="s">
        <v>32</v>
      </c>
      <c r="L370" s="2">
        <v>4</v>
      </c>
      <c r="M370" s="3">
        <v>294</v>
      </c>
      <c r="N370">
        <v>3</v>
      </c>
      <c r="O370">
        <v>2</v>
      </c>
      <c r="P370">
        <v>1</v>
      </c>
      <c r="Q370">
        <v>0</v>
      </c>
      <c r="R370" s="4">
        <v>11.74</v>
      </c>
      <c r="S370">
        <v>0</v>
      </c>
      <c r="T370">
        <v>1</v>
      </c>
    </row>
    <row r="371" spans="1:20" ht="16.5" x14ac:dyDescent="0.3">
      <c r="A371" t="s">
        <v>412</v>
      </c>
      <c r="B371" s="1">
        <v>45348</v>
      </c>
      <c r="C371">
        <v>2024</v>
      </c>
      <c r="D371" t="s">
        <v>21</v>
      </c>
      <c r="E371" t="s">
        <v>241</v>
      </c>
      <c r="F371" t="s">
        <v>30</v>
      </c>
      <c r="G371" t="s">
        <v>35</v>
      </c>
      <c r="H371" t="s">
        <v>36</v>
      </c>
      <c r="I371" t="s">
        <v>40</v>
      </c>
      <c r="J371" t="s">
        <v>27</v>
      </c>
      <c r="K371" t="s">
        <v>32</v>
      </c>
      <c r="L371" s="2">
        <v>8.6</v>
      </c>
      <c r="M371" s="3">
        <v>342</v>
      </c>
      <c r="N371">
        <v>1</v>
      </c>
      <c r="O371">
        <v>1</v>
      </c>
      <c r="P371">
        <v>1</v>
      </c>
      <c r="Q371">
        <v>0</v>
      </c>
      <c r="R371" s="4">
        <v>30.41</v>
      </c>
      <c r="S371">
        <v>0</v>
      </c>
      <c r="T371">
        <v>1</v>
      </c>
    </row>
    <row r="372" spans="1:20" ht="16.5" x14ac:dyDescent="0.3">
      <c r="A372" t="s">
        <v>413</v>
      </c>
      <c r="B372" s="1">
        <v>45348</v>
      </c>
      <c r="C372">
        <v>2024</v>
      </c>
      <c r="D372" t="s">
        <v>21</v>
      </c>
      <c r="E372" t="s">
        <v>241</v>
      </c>
      <c r="F372" t="s">
        <v>30</v>
      </c>
      <c r="G372" t="s">
        <v>35</v>
      </c>
      <c r="H372" t="s">
        <v>51</v>
      </c>
      <c r="I372" t="s">
        <v>26</v>
      </c>
      <c r="J372" t="s">
        <v>27</v>
      </c>
      <c r="K372" t="s">
        <v>32</v>
      </c>
      <c r="L372" s="2">
        <v>4.4000000000000004</v>
      </c>
      <c r="M372" s="3">
        <v>880</v>
      </c>
      <c r="N372">
        <v>5</v>
      </c>
      <c r="O372">
        <v>5</v>
      </c>
      <c r="P372">
        <v>1</v>
      </c>
      <c r="Q372">
        <v>0</v>
      </c>
      <c r="R372" s="4">
        <v>19.399999999999999</v>
      </c>
      <c r="S372">
        <v>0</v>
      </c>
      <c r="T372">
        <v>1</v>
      </c>
    </row>
    <row r="373" spans="1:20" ht="16.5" x14ac:dyDescent="0.3">
      <c r="A373" t="s">
        <v>414</v>
      </c>
      <c r="B373" s="1">
        <v>45348</v>
      </c>
      <c r="C373">
        <v>2024</v>
      </c>
      <c r="D373" t="s">
        <v>21</v>
      </c>
      <c r="E373" t="s">
        <v>241</v>
      </c>
      <c r="F373" t="s">
        <v>34</v>
      </c>
      <c r="G373" t="s">
        <v>39</v>
      </c>
      <c r="H373" t="s">
        <v>25</v>
      </c>
      <c r="I373" t="s">
        <v>26</v>
      </c>
      <c r="J373" t="s">
        <v>27</v>
      </c>
      <c r="K373" t="s">
        <v>32</v>
      </c>
      <c r="L373" s="2">
        <v>3.1</v>
      </c>
      <c r="M373" s="3">
        <v>1047</v>
      </c>
      <c r="N373">
        <v>4</v>
      </c>
      <c r="O373">
        <v>3</v>
      </c>
      <c r="P373">
        <v>1</v>
      </c>
      <c r="Q373">
        <v>0</v>
      </c>
      <c r="R373" s="4">
        <v>17.600000000000001</v>
      </c>
      <c r="S373">
        <v>0</v>
      </c>
      <c r="T373">
        <v>1</v>
      </c>
    </row>
    <row r="374" spans="1:20" ht="16.5" x14ac:dyDescent="0.3">
      <c r="A374" t="s">
        <v>415</v>
      </c>
      <c r="B374" s="1">
        <v>45348</v>
      </c>
      <c r="C374">
        <v>2024</v>
      </c>
      <c r="D374" t="s">
        <v>21</v>
      </c>
      <c r="E374" t="s">
        <v>241</v>
      </c>
      <c r="F374" t="s">
        <v>34</v>
      </c>
      <c r="G374" t="s">
        <v>35</v>
      </c>
      <c r="H374" t="s">
        <v>48</v>
      </c>
      <c r="I374" t="s">
        <v>26</v>
      </c>
      <c r="J374" t="s">
        <v>27</v>
      </c>
      <c r="K374" t="s">
        <v>32</v>
      </c>
      <c r="L374" s="2">
        <v>13</v>
      </c>
      <c r="M374" s="3">
        <v>484</v>
      </c>
      <c r="N374">
        <v>4</v>
      </c>
      <c r="O374">
        <v>4</v>
      </c>
      <c r="P374">
        <v>1</v>
      </c>
      <c r="Q374">
        <v>0</v>
      </c>
      <c r="R374" s="4">
        <v>16.170000000000002</v>
      </c>
      <c r="S374">
        <v>0</v>
      </c>
      <c r="T374">
        <v>1</v>
      </c>
    </row>
    <row r="375" spans="1:20" ht="16.5" x14ac:dyDescent="0.3">
      <c r="A375" t="s">
        <v>416</v>
      </c>
      <c r="B375" s="1">
        <v>45348</v>
      </c>
      <c r="C375">
        <v>2024</v>
      </c>
      <c r="D375" t="s">
        <v>21</v>
      </c>
      <c r="E375" t="s">
        <v>241</v>
      </c>
      <c r="F375" t="s">
        <v>23</v>
      </c>
      <c r="G375" t="s">
        <v>39</v>
      </c>
      <c r="H375" t="s">
        <v>36</v>
      </c>
      <c r="I375" t="s">
        <v>26</v>
      </c>
      <c r="J375" t="s">
        <v>27</v>
      </c>
      <c r="K375" t="s">
        <v>28</v>
      </c>
      <c r="L375" s="2">
        <v>37.700000000000003</v>
      </c>
      <c r="M375" s="3">
        <v>289</v>
      </c>
      <c r="N375">
        <v>3</v>
      </c>
      <c r="O375">
        <v>3</v>
      </c>
      <c r="P375">
        <v>1</v>
      </c>
      <c r="Q375">
        <v>0</v>
      </c>
      <c r="R375" s="4">
        <v>26.9</v>
      </c>
      <c r="S375">
        <v>0</v>
      </c>
      <c r="T375">
        <v>1</v>
      </c>
    </row>
    <row r="376" spans="1:20" ht="16.5" x14ac:dyDescent="0.3">
      <c r="A376" t="s">
        <v>417</v>
      </c>
      <c r="B376" s="1">
        <v>45349</v>
      </c>
      <c r="C376">
        <v>2024</v>
      </c>
      <c r="D376" t="s">
        <v>21</v>
      </c>
      <c r="E376" t="s">
        <v>241</v>
      </c>
      <c r="F376" t="s">
        <v>57</v>
      </c>
      <c r="G376" t="s">
        <v>39</v>
      </c>
      <c r="H376" t="s">
        <v>48</v>
      </c>
      <c r="I376" t="s">
        <v>31</v>
      </c>
      <c r="J376" t="s">
        <v>27</v>
      </c>
      <c r="K376" t="s">
        <v>32</v>
      </c>
      <c r="L376" s="2">
        <v>4.9000000000000004</v>
      </c>
      <c r="M376" s="3">
        <v>466</v>
      </c>
      <c r="N376">
        <v>6</v>
      </c>
      <c r="O376">
        <v>9</v>
      </c>
      <c r="P376">
        <v>0</v>
      </c>
      <c r="Q376">
        <v>3</v>
      </c>
      <c r="R376" s="4">
        <v>10.27</v>
      </c>
      <c r="S376">
        <v>0</v>
      </c>
      <c r="T376">
        <v>1</v>
      </c>
    </row>
    <row r="377" spans="1:20" ht="16.5" x14ac:dyDescent="0.3">
      <c r="A377" t="s">
        <v>418</v>
      </c>
      <c r="B377" s="1">
        <v>45349</v>
      </c>
      <c r="C377">
        <v>2024</v>
      </c>
      <c r="D377" t="s">
        <v>21</v>
      </c>
      <c r="E377" t="s">
        <v>241</v>
      </c>
      <c r="F377" t="s">
        <v>57</v>
      </c>
      <c r="G377" t="s">
        <v>24</v>
      </c>
      <c r="H377" t="s">
        <v>51</v>
      </c>
      <c r="I377" t="s">
        <v>26</v>
      </c>
      <c r="J377" t="s">
        <v>27</v>
      </c>
      <c r="K377" t="s">
        <v>32</v>
      </c>
      <c r="L377" s="2">
        <v>4.5</v>
      </c>
      <c r="M377" s="3">
        <v>1209</v>
      </c>
      <c r="N377">
        <v>5</v>
      </c>
      <c r="O377">
        <v>5</v>
      </c>
      <c r="P377">
        <v>1</v>
      </c>
      <c r="Q377">
        <v>0</v>
      </c>
      <c r="R377" s="4">
        <v>26.5</v>
      </c>
      <c r="S377">
        <v>0</v>
      </c>
      <c r="T377">
        <v>1</v>
      </c>
    </row>
    <row r="378" spans="1:20" ht="16.5" x14ac:dyDescent="0.3">
      <c r="A378" t="s">
        <v>419</v>
      </c>
      <c r="B378" s="1">
        <v>45349</v>
      </c>
      <c r="C378">
        <v>2024</v>
      </c>
      <c r="D378" t="s">
        <v>21</v>
      </c>
      <c r="E378" t="s">
        <v>241</v>
      </c>
      <c r="F378" t="s">
        <v>38</v>
      </c>
      <c r="G378" t="s">
        <v>39</v>
      </c>
      <c r="H378" t="s">
        <v>43</v>
      </c>
      <c r="I378" t="s">
        <v>31</v>
      </c>
      <c r="J378" t="s">
        <v>27</v>
      </c>
      <c r="K378" t="s">
        <v>28</v>
      </c>
      <c r="L378" s="2">
        <v>189</v>
      </c>
      <c r="M378" s="3">
        <v>1011</v>
      </c>
      <c r="N378">
        <v>7</v>
      </c>
      <c r="O378">
        <v>7</v>
      </c>
      <c r="P378">
        <v>1</v>
      </c>
      <c r="Q378">
        <v>0</v>
      </c>
      <c r="R378" s="4">
        <v>84.22</v>
      </c>
      <c r="S378">
        <v>0</v>
      </c>
      <c r="T378">
        <v>1</v>
      </c>
    </row>
    <row r="379" spans="1:20" ht="16.5" x14ac:dyDescent="0.3">
      <c r="A379" t="s">
        <v>420</v>
      </c>
      <c r="B379" s="1">
        <v>45349</v>
      </c>
      <c r="C379">
        <v>2024</v>
      </c>
      <c r="D379" t="s">
        <v>21</v>
      </c>
      <c r="E379" t="s">
        <v>241</v>
      </c>
      <c r="F379" t="s">
        <v>30</v>
      </c>
      <c r="G379" t="s">
        <v>35</v>
      </c>
      <c r="H379" t="s">
        <v>25</v>
      </c>
      <c r="I379" t="s">
        <v>26</v>
      </c>
      <c r="J379" t="s">
        <v>27</v>
      </c>
      <c r="K379" t="s">
        <v>32</v>
      </c>
      <c r="L379" s="2">
        <v>7.3</v>
      </c>
      <c r="M379" s="3">
        <v>1156</v>
      </c>
      <c r="N379">
        <v>4</v>
      </c>
      <c r="O379">
        <v>4</v>
      </c>
      <c r="P379">
        <v>1</v>
      </c>
      <c r="Q379">
        <v>0</v>
      </c>
      <c r="R379" s="4">
        <v>27.28</v>
      </c>
      <c r="S379">
        <v>0</v>
      </c>
      <c r="T379">
        <v>1</v>
      </c>
    </row>
    <row r="380" spans="1:20" ht="16.5" x14ac:dyDescent="0.3">
      <c r="A380" t="s">
        <v>421</v>
      </c>
      <c r="B380" s="1">
        <v>45349</v>
      </c>
      <c r="C380">
        <v>2024</v>
      </c>
      <c r="D380" t="s">
        <v>21</v>
      </c>
      <c r="E380" t="s">
        <v>241</v>
      </c>
      <c r="F380" t="s">
        <v>34</v>
      </c>
      <c r="G380" t="s">
        <v>39</v>
      </c>
      <c r="H380" t="s">
        <v>36</v>
      </c>
      <c r="I380" t="s">
        <v>31</v>
      </c>
      <c r="J380" t="s">
        <v>27</v>
      </c>
      <c r="K380" t="s">
        <v>32</v>
      </c>
      <c r="L380" s="2">
        <v>4.4000000000000004</v>
      </c>
      <c r="M380" s="3">
        <v>273</v>
      </c>
      <c r="N380">
        <v>5</v>
      </c>
      <c r="O380">
        <v>5</v>
      </c>
      <c r="P380">
        <v>1</v>
      </c>
      <c r="Q380">
        <v>0</v>
      </c>
      <c r="R380" s="4">
        <v>7.73</v>
      </c>
      <c r="S380">
        <v>0</v>
      </c>
      <c r="T380">
        <v>1</v>
      </c>
    </row>
    <row r="381" spans="1:20" ht="16.5" x14ac:dyDescent="0.3">
      <c r="A381" t="s">
        <v>422</v>
      </c>
      <c r="B381" s="1">
        <v>45350</v>
      </c>
      <c r="C381">
        <v>2024</v>
      </c>
      <c r="D381" t="s">
        <v>21</v>
      </c>
      <c r="E381" t="s">
        <v>241</v>
      </c>
      <c r="F381" t="s">
        <v>57</v>
      </c>
      <c r="G381" t="s">
        <v>35</v>
      </c>
      <c r="H381" t="s">
        <v>36</v>
      </c>
      <c r="I381" t="s">
        <v>26</v>
      </c>
      <c r="J381" t="s">
        <v>27</v>
      </c>
      <c r="K381" t="s">
        <v>32</v>
      </c>
      <c r="L381" s="2">
        <v>7.7</v>
      </c>
      <c r="M381" s="3">
        <v>271</v>
      </c>
      <c r="N381">
        <v>3</v>
      </c>
      <c r="O381">
        <v>3</v>
      </c>
      <c r="P381">
        <v>1</v>
      </c>
      <c r="Q381">
        <v>0</v>
      </c>
      <c r="R381" s="4">
        <v>14.14</v>
      </c>
      <c r="S381">
        <v>0</v>
      </c>
      <c r="T381">
        <v>1</v>
      </c>
    </row>
    <row r="382" spans="1:20" ht="16.5" x14ac:dyDescent="0.3">
      <c r="A382" t="s">
        <v>423</v>
      </c>
      <c r="B382" s="1">
        <v>45350</v>
      </c>
      <c r="C382">
        <v>2024</v>
      </c>
      <c r="D382" t="s">
        <v>21</v>
      </c>
      <c r="E382" t="s">
        <v>241</v>
      </c>
      <c r="F382" t="s">
        <v>57</v>
      </c>
      <c r="G382" t="s">
        <v>39</v>
      </c>
      <c r="H382" t="s">
        <v>25</v>
      </c>
      <c r="I382" t="s">
        <v>40</v>
      </c>
      <c r="J382" t="s">
        <v>41</v>
      </c>
      <c r="K382" t="s">
        <v>32</v>
      </c>
      <c r="L382" s="2">
        <v>11</v>
      </c>
      <c r="M382" s="3">
        <v>1076</v>
      </c>
      <c r="N382">
        <v>2</v>
      </c>
      <c r="O382">
        <v>2</v>
      </c>
      <c r="P382">
        <v>1</v>
      </c>
      <c r="Q382">
        <v>0</v>
      </c>
      <c r="R382" s="4">
        <v>75.69</v>
      </c>
      <c r="S382">
        <v>0</v>
      </c>
      <c r="T382">
        <v>1</v>
      </c>
    </row>
    <row r="383" spans="1:20" ht="16.5" x14ac:dyDescent="0.3">
      <c r="A383" t="s">
        <v>424</v>
      </c>
      <c r="B383" s="1">
        <v>45350</v>
      </c>
      <c r="C383">
        <v>2024</v>
      </c>
      <c r="D383" t="s">
        <v>21</v>
      </c>
      <c r="E383" t="s">
        <v>241</v>
      </c>
      <c r="F383" t="s">
        <v>30</v>
      </c>
      <c r="G383" t="s">
        <v>35</v>
      </c>
      <c r="H383" t="s">
        <v>36</v>
      </c>
      <c r="I383" t="s">
        <v>31</v>
      </c>
      <c r="J383" t="s">
        <v>27</v>
      </c>
      <c r="K383" t="s">
        <v>28</v>
      </c>
      <c r="L383" s="2">
        <v>34.299999999999997</v>
      </c>
      <c r="M383" s="3">
        <v>206</v>
      </c>
      <c r="N383">
        <v>5</v>
      </c>
      <c r="O383">
        <v>5</v>
      </c>
      <c r="P383">
        <v>1</v>
      </c>
      <c r="Q383">
        <v>0</v>
      </c>
      <c r="R383" s="4">
        <v>20.78</v>
      </c>
      <c r="S383">
        <v>0</v>
      </c>
      <c r="T383">
        <v>1</v>
      </c>
    </row>
    <row r="384" spans="1:20" ht="16.5" x14ac:dyDescent="0.3">
      <c r="A384" t="s">
        <v>425</v>
      </c>
      <c r="B384" s="1">
        <v>45350</v>
      </c>
      <c r="C384">
        <v>2024</v>
      </c>
      <c r="D384" t="s">
        <v>21</v>
      </c>
      <c r="E384" t="s">
        <v>241</v>
      </c>
      <c r="F384" t="s">
        <v>38</v>
      </c>
      <c r="G384" t="s">
        <v>39</v>
      </c>
      <c r="H384" t="s">
        <v>43</v>
      </c>
      <c r="I384" t="s">
        <v>31</v>
      </c>
      <c r="J384" t="s">
        <v>27</v>
      </c>
      <c r="K384" t="s">
        <v>32</v>
      </c>
      <c r="L384" s="2">
        <v>6.1</v>
      </c>
      <c r="M384" s="3">
        <v>1233</v>
      </c>
      <c r="N384">
        <v>7</v>
      </c>
      <c r="O384">
        <v>7</v>
      </c>
      <c r="P384">
        <v>1</v>
      </c>
      <c r="Q384">
        <v>0</v>
      </c>
      <c r="R384" s="4">
        <v>20.010000000000002</v>
      </c>
      <c r="S384">
        <v>0</v>
      </c>
      <c r="T384">
        <v>1</v>
      </c>
    </row>
    <row r="385" spans="1:20" ht="16.5" x14ac:dyDescent="0.3">
      <c r="A385" t="s">
        <v>426</v>
      </c>
      <c r="B385" s="1">
        <v>45350</v>
      </c>
      <c r="C385">
        <v>2024</v>
      </c>
      <c r="D385" t="s">
        <v>21</v>
      </c>
      <c r="E385" t="s">
        <v>241</v>
      </c>
      <c r="F385" t="s">
        <v>23</v>
      </c>
      <c r="G385" t="s">
        <v>39</v>
      </c>
      <c r="H385" t="s">
        <v>36</v>
      </c>
      <c r="I385" t="s">
        <v>26</v>
      </c>
      <c r="J385" t="s">
        <v>27</v>
      </c>
      <c r="K385" t="s">
        <v>28</v>
      </c>
      <c r="L385" s="2">
        <v>178.9</v>
      </c>
      <c r="M385" s="3">
        <v>211</v>
      </c>
      <c r="N385">
        <v>3</v>
      </c>
      <c r="O385">
        <v>3</v>
      </c>
      <c r="P385">
        <v>1</v>
      </c>
      <c r="Q385">
        <v>0</v>
      </c>
      <c r="R385" s="4">
        <v>80.53</v>
      </c>
      <c r="S385">
        <v>0</v>
      </c>
      <c r="T385">
        <v>1</v>
      </c>
    </row>
    <row r="386" spans="1:20" ht="16.5" x14ac:dyDescent="0.3">
      <c r="A386" t="s">
        <v>427</v>
      </c>
      <c r="B386" s="1">
        <v>45350</v>
      </c>
      <c r="C386">
        <v>2024</v>
      </c>
      <c r="D386" t="s">
        <v>21</v>
      </c>
      <c r="E386" t="s">
        <v>241</v>
      </c>
      <c r="F386" t="s">
        <v>30</v>
      </c>
      <c r="G386" t="s">
        <v>35</v>
      </c>
      <c r="H386" t="s">
        <v>51</v>
      </c>
      <c r="I386" t="s">
        <v>26</v>
      </c>
      <c r="J386" t="s">
        <v>27</v>
      </c>
      <c r="K386" t="s">
        <v>28</v>
      </c>
      <c r="L386" s="2">
        <v>212.3</v>
      </c>
      <c r="M386" s="3">
        <v>894</v>
      </c>
      <c r="N386">
        <v>5</v>
      </c>
      <c r="O386">
        <v>5</v>
      </c>
      <c r="P386">
        <v>1</v>
      </c>
      <c r="Q386">
        <v>0</v>
      </c>
      <c r="R386" s="4">
        <v>113.84</v>
      </c>
      <c r="S386">
        <v>0</v>
      </c>
      <c r="T386">
        <v>1</v>
      </c>
    </row>
    <row r="387" spans="1:20" ht="16.5" x14ac:dyDescent="0.3">
      <c r="A387" t="s">
        <v>428</v>
      </c>
      <c r="B387" s="1">
        <v>45351</v>
      </c>
      <c r="C387">
        <v>2024</v>
      </c>
      <c r="D387" t="s">
        <v>21</v>
      </c>
      <c r="E387" t="s">
        <v>241</v>
      </c>
      <c r="F387" t="s">
        <v>57</v>
      </c>
      <c r="G387" t="s">
        <v>35</v>
      </c>
      <c r="H387" t="s">
        <v>51</v>
      </c>
      <c r="I387" t="s">
        <v>26</v>
      </c>
      <c r="J387" t="s">
        <v>27</v>
      </c>
      <c r="K387" t="s">
        <v>28</v>
      </c>
      <c r="L387" s="2">
        <v>132.4</v>
      </c>
      <c r="M387" s="3">
        <v>839</v>
      </c>
      <c r="N387">
        <v>5</v>
      </c>
      <c r="O387">
        <v>5</v>
      </c>
      <c r="P387">
        <v>1</v>
      </c>
      <c r="Q387">
        <v>0</v>
      </c>
      <c r="R387" s="4">
        <v>72.900000000000006</v>
      </c>
      <c r="S387">
        <v>0</v>
      </c>
      <c r="T387">
        <v>1</v>
      </c>
    </row>
    <row r="388" spans="1:20" ht="16.5" x14ac:dyDescent="0.3">
      <c r="A388" t="s">
        <v>429</v>
      </c>
      <c r="B388" s="1">
        <v>45351</v>
      </c>
      <c r="C388">
        <v>2024</v>
      </c>
      <c r="D388" t="s">
        <v>21</v>
      </c>
      <c r="E388" t="s">
        <v>241</v>
      </c>
      <c r="F388" t="s">
        <v>57</v>
      </c>
      <c r="G388" t="s">
        <v>39</v>
      </c>
      <c r="H388" t="s">
        <v>25</v>
      </c>
      <c r="I388" t="s">
        <v>31</v>
      </c>
      <c r="J388" t="s">
        <v>27</v>
      </c>
      <c r="K388" t="s">
        <v>28</v>
      </c>
      <c r="L388" s="2">
        <v>166.1</v>
      </c>
      <c r="M388" s="3">
        <v>829</v>
      </c>
      <c r="N388">
        <v>6</v>
      </c>
      <c r="O388">
        <v>6</v>
      </c>
      <c r="P388">
        <v>1</v>
      </c>
      <c r="Q388">
        <v>0</v>
      </c>
      <c r="R388" s="4">
        <v>65.099999999999994</v>
      </c>
      <c r="S388">
        <v>0</v>
      </c>
      <c r="T388">
        <v>1</v>
      </c>
    </row>
    <row r="389" spans="1:20" ht="16.5" x14ac:dyDescent="0.3">
      <c r="A389" t="s">
        <v>430</v>
      </c>
      <c r="B389" s="1">
        <v>45351</v>
      </c>
      <c r="C389">
        <v>2024</v>
      </c>
      <c r="D389" t="s">
        <v>21</v>
      </c>
      <c r="E389" t="s">
        <v>241</v>
      </c>
      <c r="F389" t="s">
        <v>23</v>
      </c>
      <c r="G389" t="s">
        <v>39</v>
      </c>
      <c r="H389" t="s">
        <v>36</v>
      </c>
      <c r="I389" t="s">
        <v>26</v>
      </c>
      <c r="J389" t="s">
        <v>27</v>
      </c>
      <c r="K389" t="s">
        <v>32</v>
      </c>
      <c r="L389" s="2">
        <v>7.6</v>
      </c>
      <c r="M389" s="3">
        <v>252</v>
      </c>
      <c r="N389">
        <v>3</v>
      </c>
      <c r="O389">
        <v>3</v>
      </c>
      <c r="P389">
        <v>1</v>
      </c>
      <c r="Q389">
        <v>0</v>
      </c>
      <c r="R389" s="4">
        <v>13.73</v>
      </c>
      <c r="S389">
        <v>0</v>
      </c>
      <c r="T389">
        <v>1</v>
      </c>
    </row>
    <row r="390" spans="1:20" ht="16.5" x14ac:dyDescent="0.3">
      <c r="A390" t="s">
        <v>431</v>
      </c>
      <c r="B390" s="1">
        <v>45351</v>
      </c>
      <c r="C390">
        <v>2024</v>
      </c>
      <c r="D390" t="s">
        <v>21</v>
      </c>
      <c r="E390" t="s">
        <v>241</v>
      </c>
      <c r="F390" t="s">
        <v>30</v>
      </c>
      <c r="G390" t="s">
        <v>39</v>
      </c>
      <c r="H390" t="s">
        <v>36</v>
      </c>
      <c r="I390" t="s">
        <v>31</v>
      </c>
      <c r="J390" t="s">
        <v>27</v>
      </c>
      <c r="K390" t="s">
        <v>32</v>
      </c>
      <c r="L390" s="2">
        <v>19.3</v>
      </c>
      <c r="M390" s="3">
        <v>228</v>
      </c>
      <c r="N390">
        <v>5</v>
      </c>
      <c r="O390">
        <v>5</v>
      </c>
      <c r="P390">
        <v>1</v>
      </c>
      <c r="Q390">
        <v>0</v>
      </c>
      <c r="R390" s="4">
        <v>15.03</v>
      </c>
      <c r="S390">
        <v>0</v>
      </c>
      <c r="T390">
        <v>1</v>
      </c>
    </row>
    <row r="391" spans="1:20" ht="16.5" x14ac:dyDescent="0.3">
      <c r="A391" t="s">
        <v>432</v>
      </c>
      <c r="B391" s="1">
        <v>45351</v>
      </c>
      <c r="C391">
        <v>2024</v>
      </c>
      <c r="D391" t="s">
        <v>21</v>
      </c>
      <c r="E391" t="s">
        <v>241</v>
      </c>
      <c r="F391" t="s">
        <v>30</v>
      </c>
      <c r="G391" t="s">
        <v>39</v>
      </c>
      <c r="H391" t="s">
        <v>36</v>
      </c>
      <c r="I391" t="s">
        <v>26</v>
      </c>
      <c r="J391" t="s">
        <v>27</v>
      </c>
      <c r="K391" t="s">
        <v>28</v>
      </c>
      <c r="L391" s="2">
        <v>229.4</v>
      </c>
      <c r="M391" s="3">
        <v>244</v>
      </c>
      <c r="N391">
        <v>3</v>
      </c>
      <c r="O391">
        <v>3</v>
      </c>
      <c r="P391">
        <v>1</v>
      </c>
      <c r="Q391">
        <v>0</v>
      </c>
      <c r="R391" s="4">
        <v>90.85</v>
      </c>
      <c r="S391">
        <v>0</v>
      </c>
      <c r="T391">
        <v>1</v>
      </c>
    </row>
    <row r="392" spans="1:20" ht="16.5" x14ac:dyDescent="0.3">
      <c r="A392" t="s">
        <v>433</v>
      </c>
      <c r="B392" s="1">
        <v>45351</v>
      </c>
      <c r="C392">
        <v>2024</v>
      </c>
      <c r="D392" t="s">
        <v>21</v>
      </c>
      <c r="E392" t="s">
        <v>241</v>
      </c>
      <c r="F392" t="s">
        <v>30</v>
      </c>
      <c r="G392" t="s">
        <v>24</v>
      </c>
      <c r="H392" t="s">
        <v>25</v>
      </c>
      <c r="I392" t="s">
        <v>31</v>
      </c>
      <c r="J392" t="s">
        <v>27</v>
      </c>
      <c r="K392" t="s">
        <v>28</v>
      </c>
      <c r="L392" s="2">
        <v>89.4</v>
      </c>
      <c r="M392" s="3">
        <v>873</v>
      </c>
      <c r="N392">
        <v>6</v>
      </c>
      <c r="O392">
        <v>5</v>
      </c>
      <c r="P392">
        <v>1</v>
      </c>
      <c r="Q392">
        <v>0</v>
      </c>
      <c r="R392" s="4">
        <v>41.95</v>
      </c>
      <c r="S392">
        <v>0</v>
      </c>
      <c r="T392">
        <v>1</v>
      </c>
    </row>
    <row r="393" spans="1:20" ht="16.5" x14ac:dyDescent="0.3">
      <c r="A393" t="s">
        <v>434</v>
      </c>
      <c r="B393" s="1">
        <v>45351</v>
      </c>
      <c r="C393">
        <v>2024</v>
      </c>
      <c r="D393" t="s">
        <v>21</v>
      </c>
      <c r="E393" t="s">
        <v>241</v>
      </c>
      <c r="F393" t="s">
        <v>23</v>
      </c>
      <c r="G393" t="s">
        <v>35</v>
      </c>
      <c r="H393" t="s">
        <v>25</v>
      </c>
      <c r="I393" t="s">
        <v>26</v>
      </c>
      <c r="J393" t="s">
        <v>27</v>
      </c>
      <c r="K393" t="s">
        <v>28</v>
      </c>
      <c r="L393" s="2">
        <v>53.1</v>
      </c>
      <c r="M393" s="3">
        <v>1019</v>
      </c>
      <c r="N393">
        <v>4</v>
      </c>
      <c r="O393">
        <v>4</v>
      </c>
      <c r="P393">
        <v>1</v>
      </c>
      <c r="Q393">
        <v>0</v>
      </c>
      <c r="R393" s="4">
        <v>43.16</v>
      </c>
      <c r="S393">
        <v>0</v>
      </c>
      <c r="T393">
        <v>1</v>
      </c>
    </row>
    <row r="394" spans="1:20" ht="16.5" x14ac:dyDescent="0.3">
      <c r="A394" t="s">
        <v>435</v>
      </c>
      <c r="B394" s="1">
        <v>45351</v>
      </c>
      <c r="C394">
        <v>2024</v>
      </c>
      <c r="D394" t="s">
        <v>21</v>
      </c>
      <c r="E394" t="s">
        <v>241</v>
      </c>
      <c r="F394" t="s">
        <v>30</v>
      </c>
      <c r="G394" t="s">
        <v>24</v>
      </c>
      <c r="H394" t="s">
        <v>36</v>
      </c>
      <c r="I394" t="s">
        <v>31</v>
      </c>
      <c r="J394" t="s">
        <v>27</v>
      </c>
      <c r="K394" t="s">
        <v>28</v>
      </c>
      <c r="L394" s="2">
        <v>75.599999999999994</v>
      </c>
      <c r="M394" s="3">
        <v>226</v>
      </c>
      <c r="N394">
        <v>5</v>
      </c>
      <c r="O394">
        <v>4</v>
      </c>
      <c r="P394">
        <v>1</v>
      </c>
      <c r="Q394">
        <v>0</v>
      </c>
      <c r="R394" s="4">
        <v>33.49</v>
      </c>
      <c r="S394">
        <v>0</v>
      </c>
      <c r="T394">
        <v>1</v>
      </c>
    </row>
    <row r="395" spans="1:20" ht="16.5" x14ac:dyDescent="0.3">
      <c r="A395" t="s">
        <v>436</v>
      </c>
      <c r="B395" s="1">
        <v>45352</v>
      </c>
      <c r="C395">
        <v>2024</v>
      </c>
      <c r="D395" t="s">
        <v>21</v>
      </c>
      <c r="E395" t="s">
        <v>437</v>
      </c>
      <c r="F395" t="s">
        <v>23</v>
      </c>
      <c r="G395" t="s">
        <v>39</v>
      </c>
      <c r="H395" t="s">
        <v>51</v>
      </c>
      <c r="I395" t="s">
        <v>31</v>
      </c>
      <c r="J395" t="s">
        <v>27</v>
      </c>
      <c r="K395" t="s">
        <v>32</v>
      </c>
      <c r="L395" s="2">
        <v>6.5</v>
      </c>
      <c r="M395" s="3">
        <v>1078</v>
      </c>
      <c r="N395">
        <v>7</v>
      </c>
      <c r="O395">
        <v>7</v>
      </c>
      <c r="P395">
        <v>1</v>
      </c>
      <c r="Q395">
        <v>0</v>
      </c>
      <c r="R395" s="4">
        <v>15.3</v>
      </c>
      <c r="S395">
        <v>0</v>
      </c>
      <c r="T395">
        <v>1</v>
      </c>
    </row>
    <row r="396" spans="1:20" ht="16.5" x14ac:dyDescent="0.3">
      <c r="A396" t="s">
        <v>438</v>
      </c>
      <c r="B396" s="1">
        <v>45352</v>
      </c>
      <c r="C396">
        <v>2024</v>
      </c>
      <c r="D396" t="s">
        <v>21</v>
      </c>
      <c r="E396" t="s">
        <v>437</v>
      </c>
      <c r="F396" t="s">
        <v>34</v>
      </c>
      <c r="G396" t="s">
        <v>39</v>
      </c>
      <c r="H396" t="s">
        <v>51</v>
      </c>
      <c r="I396" t="s">
        <v>26</v>
      </c>
      <c r="J396" t="s">
        <v>27</v>
      </c>
      <c r="K396" t="s">
        <v>28</v>
      </c>
      <c r="L396" s="2">
        <v>225.8</v>
      </c>
      <c r="M396" s="3">
        <v>1347</v>
      </c>
      <c r="N396">
        <v>5</v>
      </c>
      <c r="O396">
        <v>9</v>
      </c>
      <c r="P396">
        <v>0</v>
      </c>
      <c r="Q396">
        <v>4</v>
      </c>
      <c r="R396" s="4">
        <v>96.64</v>
      </c>
      <c r="S396">
        <v>0</v>
      </c>
      <c r="T396">
        <v>1</v>
      </c>
    </row>
    <row r="397" spans="1:20" ht="16.5" x14ac:dyDescent="0.3">
      <c r="A397" t="s">
        <v>439</v>
      </c>
      <c r="B397" s="1">
        <v>45352</v>
      </c>
      <c r="C397">
        <v>2024</v>
      </c>
      <c r="D397" t="s">
        <v>21</v>
      </c>
      <c r="E397" t="s">
        <v>437</v>
      </c>
      <c r="F397" t="s">
        <v>34</v>
      </c>
      <c r="G397" t="s">
        <v>39</v>
      </c>
      <c r="H397" t="s">
        <v>25</v>
      </c>
      <c r="I397" t="s">
        <v>26</v>
      </c>
      <c r="J397" t="s">
        <v>27</v>
      </c>
      <c r="K397" t="s">
        <v>28</v>
      </c>
      <c r="L397" s="2">
        <v>40.200000000000003</v>
      </c>
      <c r="M397" s="3">
        <v>724</v>
      </c>
      <c r="N397">
        <v>4</v>
      </c>
      <c r="O397">
        <v>4</v>
      </c>
      <c r="P397">
        <v>1</v>
      </c>
      <c r="Q397">
        <v>0</v>
      </c>
      <c r="R397" s="4">
        <v>32.04</v>
      </c>
      <c r="S397">
        <v>0</v>
      </c>
      <c r="T397">
        <v>1</v>
      </c>
    </row>
    <row r="398" spans="1:20" ht="16.5" x14ac:dyDescent="0.3">
      <c r="A398" t="s">
        <v>440</v>
      </c>
      <c r="B398" s="1">
        <v>45352</v>
      </c>
      <c r="C398">
        <v>2024</v>
      </c>
      <c r="D398" t="s">
        <v>21</v>
      </c>
      <c r="E398" t="s">
        <v>437</v>
      </c>
      <c r="F398" t="s">
        <v>57</v>
      </c>
      <c r="G398" t="s">
        <v>24</v>
      </c>
      <c r="H398" t="s">
        <v>51</v>
      </c>
      <c r="I398" t="s">
        <v>26</v>
      </c>
      <c r="J398" t="s">
        <v>27</v>
      </c>
      <c r="K398" t="s">
        <v>28</v>
      </c>
      <c r="L398" s="2">
        <v>73.900000000000006</v>
      </c>
      <c r="M398" s="3">
        <v>1184</v>
      </c>
      <c r="N398">
        <v>5</v>
      </c>
      <c r="O398">
        <v>4</v>
      </c>
      <c r="P398">
        <v>1</v>
      </c>
      <c r="Q398">
        <v>0</v>
      </c>
      <c r="R398" s="4">
        <v>56.9</v>
      </c>
      <c r="S398">
        <v>0</v>
      </c>
      <c r="T398">
        <v>1</v>
      </c>
    </row>
    <row r="399" spans="1:20" ht="16.5" x14ac:dyDescent="0.3">
      <c r="A399" t="s">
        <v>441</v>
      </c>
      <c r="B399" s="1">
        <v>45353</v>
      </c>
      <c r="C399">
        <v>2024</v>
      </c>
      <c r="D399" t="s">
        <v>21</v>
      </c>
      <c r="E399" t="s">
        <v>437</v>
      </c>
      <c r="F399" t="s">
        <v>38</v>
      </c>
      <c r="G399" t="s">
        <v>39</v>
      </c>
      <c r="H399" t="s">
        <v>51</v>
      </c>
      <c r="I399" t="s">
        <v>26</v>
      </c>
      <c r="J399" t="s">
        <v>27</v>
      </c>
      <c r="K399" t="s">
        <v>28</v>
      </c>
      <c r="L399" s="2">
        <v>118.5</v>
      </c>
      <c r="M399" s="3">
        <v>961</v>
      </c>
      <c r="N399">
        <v>5</v>
      </c>
      <c r="O399">
        <v>5</v>
      </c>
      <c r="P399">
        <v>1</v>
      </c>
      <c r="Q399">
        <v>0</v>
      </c>
      <c r="R399" s="4">
        <v>77.459999999999994</v>
      </c>
      <c r="S399">
        <v>0</v>
      </c>
      <c r="T399">
        <v>1</v>
      </c>
    </row>
    <row r="400" spans="1:20" ht="16.5" x14ac:dyDescent="0.3">
      <c r="A400" t="s">
        <v>442</v>
      </c>
      <c r="B400" s="1">
        <v>45353</v>
      </c>
      <c r="C400">
        <v>2024</v>
      </c>
      <c r="D400" t="s">
        <v>21</v>
      </c>
      <c r="E400" t="s">
        <v>437</v>
      </c>
      <c r="F400" t="s">
        <v>30</v>
      </c>
      <c r="G400" t="s">
        <v>24</v>
      </c>
      <c r="H400" t="s">
        <v>51</v>
      </c>
      <c r="I400" t="s">
        <v>31</v>
      </c>
      <c r="J400" t="s">
        <v>27</v>
      </c>
      <c r="K400" t="s">
        <v>32</v>
      </c>
      <c r="L400" s="2">
        <v>2.2000000000000002</v>
      </c>
      <c r="M400" s="3">
        <v>1146</v>
      </c>
      <c r="N400">
        <v>7</v>
      </c>
      <c r="O400">
        <v>6</v>
      </c>
      <c r="P400">
        <v>1</v>
      </c>
      <c r="Q400">
        <v>0</v>
      </c>
      <c r="R400" s="4">
        <v>15.72</v>
      </c>
      <c r="S400">
        <v>0</v>
      </c>
      <c r="T400">
        <v>1</v>
      </c>
    </row>
    <row r="401" spans="1:20" ht="16.5" x14ac:dyDescent="0.3">
      <c r="A401" t="s">
        <v>443</v>
      </c>
      <c r="B401" s="1">
        <v>45353</v>
      </c>
      <c r="C401">
        <v>2024</v>
      </c>
      <c r="D401" t="s">
        <v>21</v>
      </c>
      <c r="E401" t="s">
        <v>437</v>
      </c>
      <c r="F401" t="s">
        <v>38</v>
      </c>
      <c r="G401" t="s">
        <v>39</v>
      </c>
      <c r="H401" t="s">
        <v>25</v>
      </c>
      <c r="I401" t="s">
        <v>40</v>
      </c>
      <c r="J401" t="s">
        <v>41</v>
      </c>
      <c r="K401" t="s">
        <v>32</v>
      </c>
      <c r="L401" s="2">
        <v>0.9</v>
      </c>
      <c r="M401" s="3">
        <v>817</v>
      </c>
      <c r="N401">
        <v>2</v>
      </c>
      <c r="O401">
        <v>2</v>
      </c>
      <c r="P401">
        <v>1</v>
      </c>
      <c r="Q401">
        <v>0</v>
      </c>
      <c r="R401" s="4">
        <v>58.65</v>
      </c>
      <c r="S401">
        <v>0</v>
      </c>
      <c r="T401">
        <v>1</v>
      </c>
    </row>
    <row r="402" spans="1:20" ht="16.5" x14ac:dyDescent="0.3">
      <c r="A402" t="s">
        <v>444</v>
      </c>
      <c r="B402" s="1">
        <v>45353</v>
      </c>
      <c r="C402">
        <v>2024</v>
      </c>
      <c r="D402" t="s">
        <v>21</v>
      </c>
      <c r="E402" t="s">
        <v>437</v>
      </c>
      <c r="F402" t="s">
        <v>38</v>
      </c>
      <c r="G402" t="s">
        <v>35</v>
      </c>
      <c r="H402" t="s">
        <v>48</v>
      </c>
      <c r="I402" t="s">
        <v>26</v>
      </c>
      <c r="J402" t="s">
        <v>27</v>
      </c>
      <c r="K402" t="s">
        <v>32</v>
      </c>
      <c r="L402" s="2">
        <v>2.7</v>
      </c>
      <c r="M402" s="3">
        <v>529</v>
      </c>
      <c r="N402">
        <v>4</v>
      </c>
      <c r="O402">
        <v>4</v>
      </c>
      <c r="P402">
        <v>1</v>
      </c>
      <c r="Q402">
        <v>0</v>
      </c>
      <c r="R402" s="4">
        <v>16.79</v>
      </c>
      <c r="S402">
        <v>0</v>
      </c>
      <c r="T402">
        <v>1</v>
      </c>
    </row>
    <row r="403" spans="1:20" ht="16.5" x14ac:dyDescent="0.3">
      <c r="A403" t="s">
        <v>445</v>
      </c>
      <c r="B403" s="1">
        <v>45354</v>
      </c>
      <c r="C403">
        <v>2024</v>
      </c>
      <c r="D403" t="s">
        <v>21</v>
      </c>
      <c r="E403" t="s">
        <v>437</v>
      </c>
      <c r="F403" t="s">
        <v>34</v>
      </c>
      <c r="G403" t="s">
        <v>35</v>
      </c>
      <c r="H403" t="s">
        <v>51</v>
      </c>
      <c r="I403" t="s">
        <v>26</v>
      </c>
      <c r="J403" t="s">
        <v>27</v>
      </c>
      <c r="K403" t="s">
        <v>32</v>
      </c>
      <c r="L403" s="2">
        <v>3.9</v>
      </c>
      <c r="M403" s="3">
        <v>1124</v>
      </c>
      <c r="N403">
        <v>5</v>
      </c>
      <c r="O403">
        <v>7</v>
      </c>
      <c r="P403">
        <v>0</v>
      </c>
      <c r="Q403">
        <v>2</v>
      </c>
      <c r="R403" s="4">
        <v>17.809999999999999</v>
      </c>
      <c r="S403">
        <v>0</v>
      </c>
      <c r="T403">
        <v>1</v>
      </c>
    </row>
    <row r="404" spans="1:20" ht="16.5" x14ac:dyDescent="0.3">
      <c r="A404" t="s">
        <v>446</v>
      </c>
      <c r="B404" s="1">
        <v>45354</v>
      </c>
      <c r="C404">
        <v>2024</v>
      </c>
      <c r="D404" t="s">
        <v>21</v>
      </c>
      <c r="E404" t="s">
        <v>437</v>
      </c>
      <c r="F404" t="s">
        <v>34</v>
      </c>
      <c r="G404" t="s">
        <v>39</v>
      </c>
      <c r="H404" t="s">
        <v>36</v>
      </c>
      <c r="I404" t="s">
        <v>26</v>
      </c>
      <c r="J404" t="s">
        <v>27</v>
      </c>
      <c r="K404" t="s">
        <v>32</v>
      </c>
      <c r="L404" s="2">
        <v>4</v>
      </c>
      <c r="M404" s="3">
        <v>249</v>
      </c>
      <c r="N404">
        <v>3</v>
      </c>
      <c r="O404">
        <v>2</v>
      </c>
      <c r="P404">
        <v>1</v>
      </c>
      <c r="Q404">
        <v>0</v>
      </c>
      <c r="R404" s="4">
        <v>10.81</v>
      </c>
      <c r="S404">
        <v>0</v>
      </c>
      <c r="T404">
        <v>1</v>
      </c>
    </row>
    <row r="405" spans="1:20" ht="16.5" x14ac:dyDescent="0.3">
      <c r="A405" t="s">
        <v>447</v>
      </c>
      <c r="B405" s="1">
        <v>45354</v>
      </c>
      <c r="C405">
        <v>2024</v>
      </c>
      <c r="D405" t="s">
        <v>21</v>
      </c>
      <c r="E405" t="s">
        <v>437</v>
      </c>
      <c r="F405" t="s">
        <v>30</v>
      </c>
      <c r="G405" t="s">
        <v>24</v>
      </c>
      <c r="H405" t="s">
        <v>25</v>
      </c>
      <c r="I405" t="s">
        <v>31</v>
      </c>
      <c r="J405" t="s">
        <v>27</v>
      </c>
      <c r="K405" t="s">
        <v>32</v>
      </c>
      <c r="L405" s="2">
        <v>6</v>
      </c>
      <c r="M405" s="3">
        <v>841</v>
      </c>
      <c r="N405">
        <v>6</v>
      </c>
      <c r="O405">
        <v>6</v>
      </c>
      <c r="P405">
        <v>1</v>
      </c>
      <c r="Q405">
        <v>0</v>
      </c>
      <c r="R405" s="4">
        <v>16.260000000000002</v>
      </c>
      <c r="S405">
        <v>0</v>
      </c>
      <c r="T405">
        <v>1</v>
      </c>
    </row>
    <row r="406" spans="1:20" ht="16.5" x14ac:dyDescent="0.3">
      <c r="A406" t="s">
        <v>448</v>
      </c>
      <c r="B406" s="1">
        <v>45355</v>
      </c>
      <c r="C406">
        <v>2024</v>
      </c>
      <c r="D406" t="s">
        <v>21</v>
      </c>
      <c r="E406" t="s">
        <v>437</v>
      </c>
      <c r="F406" t="s">
        <v>23</v>
      </c>
      <c r="G406" t="s">
        <v>35</v>
      </c>
      <c r="H406" t="s">
        <v>36</v>
      </c>
      <c r="I406" t="s">
        <v>26</v>
      </c>
      <c r="J406" t="s">
        <v>27</v>
      </c>
      <c r="K406" t="s">
        <v>32</v>
      </c>
      <c r="L406" s="2">
        <v>1.1000000000000001</v>
      </c>
      <c r="M406" s="3">
        <v>241</v>
      </c>
      <c r="N406">
        <v>3</v>
      </c>
      <c r="O406">
        <v>3</v>
      </c>
      <c r="P406">
        <v>1</v>
      </c>
      <c r="Q406">
        <v>0</v>
      </c>
      <c r="R406" s="4">
        <v>8.43</v>
      </c>
      <c r="S406">
        <v>0</v>
      </c>
      <c r="T406">
        <v>1</v>
      </c>
    </row>
    <row r="407" spans="1:20" ht="16.5" x14ac:dyDescent="0.3">
      <c r="A407" t="s">
        <v>449</v>
      </c>
      <c r="B407" s="1">
        <v>45355</v>
      </c>
      <c r="C407">
        <v>2024</v>
      </c>
      <c r="D407" t="s">
        <v>21</v>
      </c>
      <c r="E407" t="s">
        <v>437</v>
      </c>
      <c r="F407" t="s">
        <v>34</v>
      </c>
      <c r="G407" t="s">
        <v>39</v>
      </c>
      <c r="H407" t="s">
        <v>36</v>
      </c>
      <c r="I407" t="s">
        <v>26</v>
      </c>
      <c r="J407" t="s">
        <v>27</v>
      </c>
      <c r="K407" t="s">
        <v>28</v>
      </c>
      <c r="L407" s="2">
        <v>161.19999999999999</v>
      </c>
      <c r="M407" s="3">
        <v>274</v>
      </c>
      <c r="N407">
        <v>3</v>
      </c>
      <c r="O407">
        <v>7</v>
      </c>
      <c r="P407">
        <v>0</v>
      </c>
      <c r="Q407">
        <v>4</v>
      </c>
      <c r="R407" s="4">
        <v>61.4</v>
      </c>
      <c r="S407">
        <v>0</v>
      </c>
      <c r="T407">
        <v>1</v>
      </c>
    </row>
    <row r="408" spans="1:20" ht="16.5" x14ac:dyDescent="0.3">
      <c r="A408" t="s">
        <v>450</v>
      </c>
      <c r="B408" s="1">
        <v>45355</v>
      </c>
      <c r="C408">
        <v>2024</v>
      </c>
      <c r="D408" t="s">
        <v>21</v>
      </c>
      <c r="E408" t="s">
        <v>437</v>
      </c>
      <c r="F408" t="s">
        <v>23</v>
      </c>
      <c r="G408" t="s">
        <v>39</v>
      </c>
      <c r="H408" t="s">
        <v>25</v>
      </c>
      <c r="I408" t="s">
        <v>26</v>
      </c>
      <c r="J408" t="s">
        <v>27</v>
      </c>
      <c r="K408" t="s">
        <v>28</v>
      </c>
      <c r="L408" s="2">
        <v>218.4</v>
      </c>
      <c r="M408" s="3">
        <v>860</v>
      </c>
      <c r="N408">
        <v>4</v>
      </c>
      <c r="O408">
        <v>4</v>
      </c>
      <c r="P408">
        <v>1</v>
      </c>
      <c r="Q408">
        <v>0</v>
      </c>
      <c r="R408" s="4">
        <v>104.26</v>
      </c>
      <c r="S408">
        <v>0</v>
      </c>
      <c r="T408">
        <v>1</v>
      </c>
    </row>
    <row r="409" spans="1:20" ht="16.5" x14ac:dyDescent="0.3">
      <c r="A409" t="s">
        <v>451</v>
      </c>
      <c r="B409" s="1">
        <v>45355</v>
      </c>
      <c r="C409">
        <v>2024</v>
      </c>
      <c r="D409" t="s">
        <v>21</v>
      </c>
      <c r="E409" t="s">
        <v>437</v>
      </c>
      <c r="F409" t="s">
        <v>38</v>
      </c>
      <c r="G409" t="s">
        <v>39</v>
      </c>
      <c r="H409" t="s">
        <v>36</v>
      </c>
      <c r="I409" t="s">
        <v>26</v>
      </c>
      <c r="J409" t="s">
        <v>27</v>
      </c>
      <c r="K409" t="s">
        <v>32</v>
      </c>
      <c r="L409" s="2">
        <v>2.7</v>
      </c>
      <c r="M409" s="3">
        <v>276</v>
      </c>
      <c r="N409">
        <v>3</v>
      </c>
      <c r="O409">
        <v>3</v>
      </c>
      <c r="P409">
        <v>1</v>
      </c>
      <c r="Q409">
        <v>0</v>
      </c>
      <c r="R409" s="4">
        <v>13.6</v>
      </c>
      <c r="S409">
        <v>0</v>
      </c>
      <c r="T409">
        <v>1</v>
      </c>
    </row>
    <row r="410" spans="1:20" ht="16.5" x14ac:dyDescent="0.3">
      <c r="A410" t="s">
        <v>452</v>
      </c>
      <c r="B410" s="1">
        <v>45356</v>
      </c>
      <c r="C410">
        <v>2024</v>
      </c>
      <c r="D410" t="s">
        <v>21</v>
      </c>
      <c r="E410" t="s">
        <v>437</v>
      </c>
      <c r="F410" t="s">
        <v>23</v>
      </c>
      <c r="G410" t="s">
        <v>39</v>
      </c>
      <c r="H410" t="s">
        <v>36</v>
      </c>
      <c r="I410" t="s">
        <v>26</v>
      </c>
      <c r="J410" t="s">
        <v>27</v>
      </c>
      <c r="K410" t="s">
        <v>32</v>
      </c>
      <c r="L410" s="2">
        <v>15.5</v>
      </c>
      <c r="M410" s="3">
        <v>222</v>
      </c>
      <c r="N410">
        <v>3</v>
      </c>
      <c r="O410">
        <v>2</v>
      </c>
      <c r="P410">
        <v>1</v>
      </c>
      <c r="Q410">
        <v>0</v>
      </c>
      <c r="R410" s="4">
        <v>17.88</v>
      </c>
      <c r="S410">
        <v>0</v>
      </c>
      <c r="T410">
        <v>1</v>
      </c>
    </row>
    <row r="411" spans="1:20" ht="16.5" x14ac:dyDescent="0.3">
      <c r="A411" t="s">
        <v>453</v>
      </c>
      <c r="B411" s="1">
        <v>45356</v>
      </c>
      <c r="C411">
        <v>2024</v>
      </c>
      <c r="D411" t="s">
        <v>21</v>
      </c>
      <c r="E411" t="s">
        <v>437</v>
      </c>
      <c r="F411" t="s">
        <v>34</v>
      </c>
      <c r="G411" t="s">
        <v>35</v>
      </c>
      <c r="H411" t="s">
        <v>36</v>
      </c>
      <c r="I411" t="s">
        <v>26</v>
      </c>
      <c r="J411" t="s">
        <v>27</v>
      </c>
      <c r="K411" t="s">
        <v>28</v>
      </c>
      <c r="L411" s="2">
        <v>42.8</v>
      </c>
      <c r="M411" s="3">
        <v>225</v>
      </c>
      <c r="N411">
        <v>3</v>
      </c>
      <c r="O411">
        <v>2</v>
      </c>
      <c r="P411">
        <v>1</v>
      </c>
      <c r="Q411">
        <v>0</v>
      </c>
      <c r="R411" s="4">
        <v>27.19</v>
      </c>
      <c r="S411">
        <v>0</v>
      </c>
      <c r="T411">
        <v>1</v>
      </c>
    </row>
    <row r="412" spans="1:20" ht="16.5" x14ac:dyDescent="0.3">
      <c r="A412" t="s">
        <v>454</v>
      </c>
      <c r="B412" s="1">
        <v>45356</v>
      </c>
      <c r="C412">
        <v>2024</v>
      </c>
      <c r="D412" t="s">
        <v>21</v>
      </c>
      <c r="E412" t="s">
        <v>437</v>
      </c>
      <c r="F412" t="s">
        <v>38</v>
      </c>
      <c r="G412" t="s">
        <v>39</v>
      </c>
      <c r="H412" t="s">
        <v>48</v>
      </c>
      <c r="I412" t="s">
        <v>31</v>
      </c>
      <c r="J412" t="s">
        <v>27</v>
      </c>
      <c r="K412" t="s">
        <v>28</v>
      </c>
      <c r="L412" s="2">
        <v>81.900000000000006</v>
      </c>
      <c r="M412" s="3">
        <v>530</v>
      </c>
      <c r="N412">
        <v>6</v>
      </c>
      <c r="O412">
        <v>6</v>
      </c>
      <c r="P412">
        <v>1</v>
      </c>
      <c r="Q412">
        <v>0</v>
      </c>
      <c r="R412" s="4">
        <v>39.479999999999997</v>
      </c>
      <c r="S412">
        <v>0</v>
      </c>
      <c r="T412">
        <v>1</v>
      </c>
    </row>
    <row r="413" spans="1:20" ht="16.5" x14ac:dyDescent="0.3">
      <c r="A413" t="s">
        <v>455</v>
      </c>
      <c r="B413" s="1">
        <v>45356</v>
      </c>
      <c r="C413">
        <v>2024</v>
      </c>
      <c r="D413" t="s">
        <v>21</v>
      </c>
      <c r="E413" t="s">
        <v>437</v>
      </c>
      <c r="F413" t="s">
        <v>34</v>
      </c>
      <c r="G413" t="s">
        <v>24</v>
      </c>
      <c r="H413" t="s">
        <v>25</v>
      </c>
      <c r="I413" t="s">
        <v>26</v>
      </c>
      <c r="J413" t="s">
        <v>27</v>
      </c>
      <c r="K413" t="s">
        <v>28</v>
      </c>
      <c r="L413" s="2">
        <v>160.9</v>
      </c>
      <c r="M413" s="3">
        <v>1140</v>
      </c>
      <c r="N413">
        <v>4</v>
      </c>
      <c r="O413">
        <v>4</v>
      </c>
      <c r="P413">
        <v>1</v>
      </c>
      <c r="Q413">
        <v>0</v>
      </c>
      <c r="R413" s="4">
        <v>78.38</v>
      </c>
      <c r="S413">
        <v>0</v>
      </c>
      <c r="T413">
        <v>1</v>
      </c>
    </row>
    <row r="414" spans="1:20" ht="16.5" x14ac:dyDescent="0.3">
      <c r="A414" t="s">
        <v>456</v>
      </c>
      <c r="B414" s="1">
        <v>45356</v>
      </c>
      <c r="C414">
        <v>2024</v>
      </c>
      <c r="D414" t="s">
        <v>21</v>
      </c>
      <c r="E414" t="s">
        <v>437</v>
      </c>
      <c r="F414" t="s">
        <v>38</v>
      </c>
      <c r="G414" t="s">
        <v>39</v>
      </c>
      <c r="H414" t="s">
        <v>36</v>
      </c>
      <c r="I414" t="s">
        <v>31</v>
      </c>
      <c r="J414" t="s">
        <v>27</v>
      </c>
      <c r="K414" t="s">
        <v>28</v>
      </c>
      <c r="L414" s="2">
        <v>142.80000000000001</v>
      </c>
      <c r="M414" s="3">
        <v>292</v>
      </c>
      <c r="N414">
        <v>5</v>
      </c>
      <c r="O414">
        <v>5</v>
      </c>
      <c r="P414">
        <v>1</v>
      </c>
      <c r="Q414">
        <v>0</v>
      </c>
      <c r="R414" s="4">
        <v>55.66</v>
      </c>
      <c r="S414">
        <v>0</v>
      </c>
      <c r="T414">
        <v>1</v>
      </c>
    </row>
    <row r="415" spans="1:20" ht="16.5" x14ac:dyDescent="0.3">
      <c r="A415" t="s">
        <v>457</v>
      </c>
      <c r="B415" s="1">
        <v>45356</v>
      </c>
      <c r="C415">
        <v>2024</v>
      </c>
      <c r="D415" t="s">
        <v>21</v>
      </c>
      <c r="E415" t="s">
        <v>437</v>
      </c>
      <c r="F415" t="s">
        <v>38</v>
      </c>
      <c r="G415" t="s">
        <v>35</v>
      </c>
      <c r="H415" t="s">
        <v>51</v>
      </c>
      <c r="I415" t="s">
        <v>31</v>
      </c>
      <c r="J415" t="s">
        <v>27</v>
      </c>
      <c r="K415" t="s">
        <v>32</v>
      </c>
      <c r="L415" s="2">
        <v>1.3</v>
      </c>
      <c r="M415" s="3">
        <v>849</v>
      </c>
      <c r="N415">
        <v>7</v>
      </c>
      <c r="O415">
        <v>6</v>
      </c>
      <c r="P415">
        <v>1</v>
      </c>
      <c r="Q415">
        <v>0</v>
      </c>
      <c r="R415" s="4">
        <v>13.21</v>
      </c>
      <c r="S415">
        <v>0</v>
      </c>
      <c r="T415">
        <v>1</v>
      </c>
    </row>
    <row r="416" spans="1:20" ht="16.5" x14ac:dyDescent="0.3">
      <c r="A416" t="s">
        <v>458</v>
      </c>
      <c r="B416" s="1">
        <v>45356</v>
      </c>
      <c r="C416">
        <v>2024</v>
      </c>
      <c r="D416" t="s">
        <v>21</v>
      </c>
      <c r="E416" t="s">
        <v>437</v>
      </c>
      <c r="F416" t="s">
        <v>23</v>
      </c>
      <c r="G416" t="s">
        <v>35</v>
      </c>
      <c r="H416" t="s">
        <v>51</v>
      </c>
      <c r="I416" t="s">
        <v>26</v>
      </c>
      <c r="J416" t="s">
        <v>27</v>
      </c>
      <c r="K416" t="s">
        <v>32</v>
      </c>
      <c r="L416" s="2">
        <v>7.5</v>
      </c>
      <c r="M416" s="3">
        <v>647</v>
      </c>
      <c r="N416">
        <v>5</v>
      </c>
      <c r="O416">
        <v>5</v>
      </c>
      <c r="P416">
        <v>1</v>
      </c>
      <c r="Q416">
        <v>0</v>
      </c>
      <c r="R416" s="4">
        <v>16.11</v>
      </c>
      <c r="S416">
        <v>0</v>
      </c>
      <c r="T416">
        <v>1</v>
      </c>
    </row>
    <row r="417" spans="1:20" ht="16.5" x14ac:dyDescent="0.3">
      <c r="A417" t="s">
        <v>459</v>
      </c>
      <c r="B417" s="1">
        <v>45357</v>
      </c>
      <c r="C417">
        <v>2024</v>
      </c>
      <c r="D417" t="s">
        <v>21</v>
      </c>
      <c r="E417" t="s">
        <v>437</v>
      </c>
      <c r="F417" t="s">
        <v>34</v>
      </c>
      <c r="G417" t="s">
        <v>39</v>
      </c>
      <c r="H417" t="s">
        <v>36</v>
      </c>
      <c r="I417" t="s">
        <v>40</v>
      </c>
      <c r="J417" t="s">
        <v>27</v>
      </c>
      <c r="K417" t="s">
        <v>32</v>
      </c>
      <c r="L417" s="2">
        <v>7.9</v>
      </c>
      <c r="M417" s="3">
        <v>294</v>
      </c>
      <c r="N417">
        <v>1</v>
      </c>
      <c r="O417">
        <v>1</v>
      </c>
      <c r="P417">
        <v>1</v>
      </c>
      <c r="Q417">
        <v>0</v>
      </c>
      <c r="R417" s="4">
        <v>23.78</v>
      </c>
      <c r="S417">
        <v>0</v>
      </c>
      <c r="T417">
        <v>1</v>
      </c>
    </row>
    <row r="418" spans="1:20" ht="16.5" x14ac:dyDescent="0.3">
      <c r="A418" t="s">
        <v>460</v>
      </c>
      <c r="B418" s="1">
        <v>45357</v>
      </c>
      <c r="C418">
        <v>2024</v>
      </c>
      <c r="D418" t="s">
        <v>21</v>
      </c>
      <c r="E418" t="s">
        <v>437</v>
      </c>
      <c r="F418" t="s">
        <v>34</v>
      </c>
      <c r="G418" t="s">
        <v>35</v>
      </c>
      <c r="H418" t="s">
        <v>36</v>
      </c>
      <c r="I418" t="s">
        <v>40</v>
      </c>
      <c r="J418" t="s">
        <v>27</v>
      </c>
      <c r="K418" t="s">
        <v>28</v>
      </c>
      <c r="L418" s="2">
        <v>13.3</v>
      </c>
      <c r="M418" s="3">
        <v>155</v>
      </c>
      <c r="N418">
        <v>1</v>
      </c>
      <c r="O418">
        <v>2</v>
      </c>
      <c r="P418">
        <v>0</v>
      </c>
      <c r="Q418">
        <v>1</v>
      </c>
      <c r="R418" s="4">
        <v>26.8</v>
      </c>
      <c r="S418">
        <v>0</v>
      </c>
      <c r="T418">
        <v>1</v>
      </c>
    </row>
    <row r="419" spans="1:20" ht="16.5" x14ac:dyDescent="0.3">
      <c r="A419" t="s">
        <v>461</v>
      </c>
      <c r="B419" s="1">
        <v>45357</v>
      </c>
      <c r="C419">
        <v>2024</v>
      </c>
      <c r="D419" t="s">
        <v>21</v>
      </c>
      <c r="E419" t="s">
        <v>437</v>
      </c>
      <c r="F419" t="s">
        <v>34</v>
      </c>
      <c r="G419" t="s">
        <v>35</v>
      </c>
      <c r="H419" t="s">
        <v>25</v>
      </c>
      <c r="I419" t="s">
        <v>26</v>
      </c>
      <c r="J419" t="s">
        <v>27</v>
      </c>
      <c r="K419" t="s">
        <v>32</v>
      </c>
      <c r="L419" s="2">
        <v>15.9</v>
      </c>
      <c r="M419" s="3">
        <v>871</v>
      </c>
      <c r="N419">
        <v>4</v>
      </c>
      <c r="O419">
        <v>3</v>
      </c>
      <c r="P419">
        <v>1</v>
      </c>
      <c r="Q419">
        <v>0</v>
      </c>
      <c r="R419" s="4">
        <v>22.48</v>
      </c>
      <c r="S419">
        <v>0</v>
      </c>
      <c r="T419">
        <v>1</v>
      </c>
    </row>
    <row r="420" spans="1:20" ht="16.5" x14ac:dyDescent="0.3">
      <c r="A420" t="s">
        <v>462</v>
      </c>
      <c r="B420" s="1">
        <v>45357</v>
      </c>
      <c r="C420">
        <v>2024</v>
      </c>
      <c r="D420" t="s">
        <v>21</v>
      </c>
      <c r="E420" t="s">
        <v>437</v>
      </c>
      <c r="F420" t="s">
        <v>23</v>
      </c>
      <c r="G420" t="s">
        <v>39</v>
      </c>
      <c r="H420" t="s">
        <v>43</v>
      </c>
      <c r="I420" t="s">
        <v>26</v>
      </c>
      <c r="J420" t="s">
        <v>27</v>
      </c>
      <c r="K420" t="s">
        <v>28</v>
      </c>
      <c r="L420" s="2">
        <v>123.4</v>
      </c>
      <c r="M420" s="3">
        <v>1431</v>
      </c>
      <c r="N420">
        <v>5</v>
      </c>
      <c r="O420">
        <v>5</v>
      </c>
      <c r="P420">
        <v>1</v>
      </c>
      <c r="Q420">
        <v>0</v>
      </c>
      <c r="R420" s="4">
        <v>71.760000000000005</v>
      </c>
      <c r="S420">
        <v>0</v>
      </c>
      <c r="T420">
        <v>1</v>
      </c>
    </row>
    <row r="421" spans="1:20" ht="16.5" x14ac:dyDescent="0.3">
      <c r="A421" t="s">
        <v>463</v>
      </c>
      <c r="B421" s="1">
        <v>45357</v>
      </c>
      <c r="C421">
        <v>2024</v>
      </c>
      <c r="D421" t="s">
        <v>21</v>
      </c>
      <c r="E421" t="s">
        <v>437</v>
      </c>
      <c r="F421" t="s">
        <v>38</v>
      </c>
      <c r="G421" t="s">
        <v>35</v>
      </c>
      <c r="H421" t="s">
        <v>51</v>
      </c>
      <c r="I421" t="s">
        <v>31</v>
      </c>
      <c r="J421" t="s">
        <v>27</v>
      </c>
      <c r="K421" t="s">
        <v>32</v>
      </c>
      <c r="L421" s="2">
        <v>1.8</v>
      </c>
      <c r="M421" s="3">
        <v>920</v>
      </c>
      <c r="N421">
        <v>7</v>
      </c>
      <c r="O421">
        <v>7</v>
      </c>
      <c r="P421">
        <v>1</v>
      </c>
      <c r="Q421">
        <v>0</v>
      </c>
      <c r="R421" s="4">
        <v>14.97</v>
      </c>
      <c r="S421">
        <v>0</v>
      </c>
      <c r="T421">
        <v>1</v>
      </c>
    </row>
    <row r="422" spans="1:20" ht="16.5" x14ac:dyDescent="0.3">
      <c r="A422" t="s">
        <v>464</v>
      </c>
      <c r="B422" s="1">
        <v>45357</v>
      </c>
      <c r="C422">
        <v>2024</v>
      </c>
      <c r="D422" t="s">
        <v>21</v>
      </c>
      <c r="E422" t="s">
        <v>437</v>
      </c>
      <c r="F422" t="s">
        <v>34</v>
      </c>
      <c r="G422" t="s">
        <v>24</v>
      </c>
      <c r="H422" t="s">
        <v>48</v>
      </c>
      <c r="I422" t="s">
        <v>26</v>
      </c>
      <c r="J422" t="s">
        <v>27</v>
      </c>
      <c r="K422" t="s">
        <v>28</v>
      </c>
      <c r="L422" s="2">
        <v>164.4</v>
      </c>
      <c r="M422" s="3">
        <v>412</v>
      </c>
      <c r="N422">
        <v>4</v>
      </c>
      <c r="O422">
        <v>4</v>
      </c>
      <c r="P422">
        <v>1</v>
      </c>
      <c r="Q422">
        <v>0</v>
      </c>
      <c r="R422" s="4">
        <v>71.319999999999993</v>
      </c>
      <c r="S422">
        <v>0</v>
      </c>
      <c r="T422">
        <v>1</v>
      </c>
    </row>
    <row r="423" spans="1:20" ht="16.5" x14ac:dyDescent="0.3">
      <c r="A423" t="s">
        <v>465</v>
      </c>
      <c r="B423" s="1">
        <v>45357</v>
      </c>
      <c r="C423">
        <v>2024</v>
      </c>
      <c r="D423" t="s">
        <v>21</v>
      </c>
      <c r="E423" t="s">
        <v>437</v>
      </c>
      <c r="F423" t="s">
        <v>38</v>
      </c>
      <c r="G423" t="s">
        <v>24</v>
      </c>
      <c r="H423" t="s">
        <v>36</v>
      </c>
      <c r="I423" t="s">
        <v>31</v>
      </c>
      <c r="J423" t="s">
        <v>27</v>
      </c>
      <c r="K423" t="s">
        <v>28</v>
      </c>
      <c r="L423" s="2">
        <v>195.8</v>
      </c>
      <c r="M423" s="3">
        <v>228</v>
      </c>
      <c r="N423">
        <v>5</v>
      </c>
      <c r="O423">
        <v>5</v>
      </c>
      <c r="P423">
        <v>1</v>
      </c>
      <c r="Q423">
        <v>0</v>
      </c>
      <c r="R423" s="4">
        <v>74.489999999999995</v>
      </c>
      <c r="S423">
        <v>0</v>
      </c>
      <c r="T423">
        <v>1</v>
      </c>
    </row>
    <row r="424" spans="1:20" ht="16.5" x14ac:dyDescent="0.3">
      <c r="A424" t="s">
        <v>466</v>
      </c>
      <c r="B424" s="1">
        <v>45357</v>
      </c>
      <c r="C424">
        <v>2024</v>
      </c>
      <c r="D424" t="s">
        <v>21</v>
      </c>
      <c r="E424" t="s">
        <v>437</v>
      </c>
      <c r="F424" t="s">
        <v>57</v>
      </c>
      <c r="G424" t="s">
        <v>39</v>
      </c>
      <c r="H424" t="s">
        <v>25</v>
      </c>
      <c r="I424" t="s">
        <v>40</v>
      </c>
      <c r="J424" t="s">
        <v>41</v>
      </c>
      <c r="K424" t="s">
        <v>32</v>
      </c>
      <c r="L424" s="2">
        <v>1.7</v>
      </c>
      <c r="M424" s="3">
        <v>937</v>
      </c>
      <c r="N424">
        <v>2</v>
      </c>
      <c r="O424">
        <v>2</v>
      </c>
      <c r="P424">
        <v>1</v>
      </c>
      <c r="Q424">
        <v>0</v>
      </c>
      <c r="R424" s="4">
        <v>53.28</v>
      </c>
      <c r="S424">
        <v>0</v>
      </c>
      <c r="T424">
        <v>1</v>
      </c>
    </row>
    <row r="425" spans="1:20" ht="16.5" x14ac:dyDescent="0.3">
      <c r="A425" t="s">
        <v>467</v>
      </c>
      <c r="B425" s="1">
        <v>45358</v>
      </c>
      <c r="C425">
        <v>2024</v>
      </c>
      <c r="D425" t="s">
        <v>21</v>
      </c>
      <c r="E425" t="s">
        <v>437</v>
      </c>
      <c r="F425" t="s">
        <v>34</v>
      </c>
      <c r="G425" t="s">
        <v>39</v>
      </c>
      <c r="H425" t="s">
        <v>51</v>
      </c>
      <c r="I425" t="s">
        <v>31</v>
      </c>
      <c r="J425" t="s">
        <v>27</v>
      </c>
      <c r="K425" t="s">
        <v>32</v>
      </c>
      <c r="L425" s="2">
        <v>12.6</v>
      </c>
      <c r="M425" s="3">
        <v>868</v>
      </c>
      <c r="N425">
        <v>7</v>
      </c>
      <c r="O425">
        <v>9</v>
      </c>
      <c r="P425">
        <v>0</v>
      </c>
      <c r="Q425">
        <v>2</v>
      </c>
      <c r="R425" s="4">
        <v>15.59</v>
      </c>
      <c r="S425">
        <v>0</v>
      </c>
      <c r="T425">
        <v>1</v>
      </c>
    </row>
    <row r="426" spans="1:20" ht="16.5" x14ac:dyDescent="0.3">
      <c r="A426" t="s">
        <v>468</v>
      </c>
      <c r="B426" s="1">
        <v>45358</v>
      </c>
      <c r="C426">
        <v>2024</v>
      </c>
      <c r="D426" t="s">
        <v>21</v>
      </c>
      <c r="E426" t="s">
        <v>437</v>
      </c>
      <c r="F426" t="s">
        <v>57</v>
      </c>
      <c r="G426" t="s">
        <v>39</v>
      </c>
      <c r="H426" t="s">
        <v>51</v>
      </c>
      <c r="I426" t="s">
        <v>26</v>
      </c>
      <c r="J426" t="s">
        <v>27</v>
      </c>
      <c r="K426" t="s">
        <v>32</v>
      </c>
      <c r="L426" s="2">
        <v>3.3</v>
      </c>
      <c r="M426" s="3">
        <v>1125</v>
      </c>
      <c r="N426">
        <v>5</v>
      </c>
      <c r="O426">
        <v>4</v>
      </c>
      <c r="P426">
        <v>1</v>
      </c>
      <c r="Q426">
        <v>0</v>
      </c>
      <c r="R426" s="4">
        <v>21.65</v>
      </c>
      <c r="S426">
        <v>0</v>
      </c>
      <c r="T426">
        <v>1</v>
      </c>
    </row>
    <row r="427" spans="1:20" ht="16.5" x14ac:dyDescent="0.3">
      <c r="A427" t="s">
        <v>469</v>
      </c>
      <c r="B427" s="1">
        <v>45358</v>
      </c>
      <c r="C427">
        <v>2024</v>
      </c>
      <c r="D427" t="s">
        <v>21</v>
      </c>
      <c r="E427" t="s">
        <v>437</v>
      </c>
      <c r="F427" t="s">
        <v>38</v>
      </c>
      <c r="G427" t="s">
        <v>35</v>
      </c>
      <c r="H427" t="s">
        <v>25</v>
      </c>
      <c r="I427" t="s">
        <v>26</v>
      </c>
      <c r="J427" t="s">
        <v>27</v>
      </c>
      <c r="K427" t="s">
        <v>32</v>
      </c>
      <c r="L427" s="2">
        <v>4.8</v>
      </c>
      <c r="M427" s="3">
        <v>975</v>
      </c>
      <c r="N427">
        <v>4</v>
      </c>
      <c r="O427">
        <v>3</v>
      </c>
      <c r="P427">
        <v>1</v>
      </c>
      <c r="Q427">
        <v>0</v>
      </c>
      <c r="R427" s="4">
        <v>23.31</v>
      </c>
      <c r="S427">
        <v>0</v>
      </c>
      <c r="T427">
        <v>1</v>
      </c>
    </row>
    <row r="428" spans="1:20" ht="16.5" x14ac:dyDescent="0.3">
      <c r="A428" t="s">
        <v>470</v>
      </c>
      <c r="B428" s="1">
        <v>45358</v>
      </c>
      <c r="C428">
        <v>2024</v>
      </c>
      <c r="D428" t="s">
        <v>21</v>
      </c>
      <c r="E428" t="s">
        <v>437</v>
      </c>
      <c r="F428" t="s">
        <v>34</v>
      </c>
      <c r="G428" t="s">
        <v>24</v>
      </c>
      <c r="H428" t="s">
        <v>36</v>
      </c>
      <c r="I428" t="s">
        <v>26</v>
      </c>
      <c r="J428" t="s">
        <v>27</v>
      </c>
      <c r="K428" t="s">
        <v>28</v>
      </c>
      <c r="L428" s="2">
        <v>24.5</v>
      </c>
      <c r="M428" s="3">
        <v>223</v>
      </c>
      <c r="N428">
        <v>3</v>
      </c>
      <c r="O428">
        <v>6</v>
      </c>
      <c r="P428">
        <v>0</v>
      </c>
      <c r="Q428">
        <v>3</v>
      </c>
      <c r="R428" s="4">
        <v>17.690000000000001</v>
      </c>
      <c r="S428">
        <v>0</v>
      </c>
      <c r="T428">
        <v>1</v>
      </c>
    </row>
    <row r="429" spans="1:20" ht="16.5" x14ac:dyDescent="0.3">
      <c r="A429" t="s">
        <v>471</v>
      </c>
      <c r="B429" s="1">
        <v>45358</v>
      </c>
      <c r="C429">
        <v>2024</v>
      </c>
      <c r="D429" t="s">
        <v>21</v>
      </c>
      <c r="E429" t="s">
        <v>437</v>
      </c>
      <c r="F429" t="s">
        <v>57</v>
      </c>
      <c r="G429" t="s">
        <v>39</v>
      </c>
      <c r="H429" t="s">
        <v>36</v>
      </c>
      <c r="I429" t="s">
        <v>31</v>
      </c>
      <c r="J429" t="s">
        <v>27</v>
      </c>
      <c r="K429" t="s">
        <v>32</v>
      </c>
      <c r="L429" s="2">
        <v>8.1999999999999993</v>
      </c>
      <c r="M429" s="3">
        <v>305</v>
      </c>
      <c r="N429">
        <v>5</v>
      </c>
      <c r="O429">
        <v>5</v>
      </c>
      <c r="P429">
        <v>1</v>
      </c>
      <c r="Q429">
        <v>0</v>
      </c>
      <c r="R429" s="4">
        <v>11.15</v>
      </c>
      <c r="S429">
        <v>0</v>
      </c>
      <c r="T429">
        <v>1</v>
      </c>
    </row>
    <row r="430" spans="1:20" ht="16.5" x14ac:dyDescent="0.3">
      <c r="A430" t="s">
        <v>472</v>
      </c>
      <c r="B430" s="1">
        <v>45358</v>
      </c>
      <c r="C430">
        <v>2024</v>
      </c>
      <c r="D430" t="s">
        <v>21</v>
      </c>
      <c r="E430" t="s">
        <v>437</v>
      </c>
      <c r="F430" t="s">
        <v>34</v>
      </c>
      <c r="G430" t="s">
        <v>24</v>
      </c>
      <c r="H430" t="s">
        <v>36</v>
      </c>
      <c r="I430" t="s">
        <v>26</v>
      </c>
      <c r="J430" t="s">
        <v>27</v>
      </c>
      <c r="K430" t="s">
        <v>32</v>
      </c>
      <c r="L430" s="2">
        <v>2.2000000000000002</v>
      </c>
      <c r="M430" s="3">
        <v>217</v>
      </c>
      <c r="N430">
        <v>3</v>
      </c>
      <c r="O430">
        <v>3</v>
      </c>
      <c r="P430">
        <v>1</v>
      </c>
      <c r="Q430">
        <v>0</v>
      </c>
      <c r="R430" s="4">
        <v>8.6</v>
      </c>
      <c r="S430">
        <v>0</v>
      </c>
      <c r="T430">
        <v>1</v>
      </c>
    </row>
    <row r="431" spans="1:20" ht="16.5" x14ac:dyDescent="0.3">
      <c r="A431" t="s">
        <v>473</v>
      </c>
      <c r="B431" s="1">
        <v>45358</v>
      </c>
      <c r="C431">
        <v>2024</v>
      </c>
      <c r="D431" t="s">
        <v>21</v>
      </c>
      <c r="E431" t="s">
        <v>437</v>
      </c>
      <c r="F431" t="s">
        <v>30</v>
      </c>
      <c r="G431" t="s">
        <v>39</v>
      </c>
      <c r="H431" t="s">
        <v>48</v>
      </c>
      <c r="I431" t="s">
        <v>26</v>
      </c>
      <c r="J431" t="s">
        <v>27</v>
      </c>
      <c r="K431" t="s">
        <v>32</v>
      </c>
      <c r="L431" s="2">
        <v>8.6</v>
      </c>
      <c r="M431" s="3">
        <v>480</v>
      </c>
      <c r="N431">
        <v>4</v>
      </c>
      <c r="O431">
        <v>3</v>
      </c>
      <c r="P431">
        <v>1</v>
      </c>
      <c r="Q431">
        <v>0</v>
      </c>
      <c r="R431" s="4">
        <v>18.399999999999999</v>
      </c>
      <c r="S431">
        <v>0</v>
      </c>
      <c r="T431">
        <v>1</v>
      </c>
    </row>
    <row r="432" spans="1:20" ht="16.5" x14ac:dyDescent="0.3">
      <c r="A432" t="s">
        <v>474</v>
      </c>
      <c r="B432" s="1">
        <v>45359</v>
      </c>
      <c r="C432">
        <v>2024</v>
      </c>
      <c r="D432" t="s">
        <v>21</v>
      </c>
      <c r="E432" t="s">
        <v>437</v>
      </c>
      <c r="F432" t="s">
        <v>38</v>
      </c>
      <c r="G432" t="s">
        <v>24</v>
      </c>
      <c r="H432" t="s">
        <v>25</v>
      </c>
      <c r="I432" t="s">
        <v>26</v>
      </c>
      <c r="J432" t="s">
        <v>27</v>
      </c>
      <c r="K432" t="s">
        <v>32</v>
      </c>
      <c r="L432" s="2">
        <v>5.8</v>
      </c>
      <c r="M432" s="3">
        <v>780</v>
      </c>
      <c r="N432">
        <v>4</v>
      </c>
      <c r="O432">
        <v>4</v>
      </c>
      <c r="P432">
        <v>1</v>
      </c>
      <c r="Q432">
        <v>0</v>
      </c>
      <c r="R432" s="4">
        <v>17.72</v>
      </c>
      <c r="S432">
        <v>0</v>
      </c>
      <c r="T432">
        <v>1</v>
      </c>
    </row>
    <row r="433" spans="1:20" ht="16.5" x14ac:dyDescent="0.3">
      <c r="A433" t="s">
        <v>475</v>
      </c>
      <c r="B433" s="1">
        <v>45359</v>
      </c>
      <c r="C433">
        <v>2024</v>
      </c>
      <c r="D433" t="s">
        <v>21</v>
      </c>
      <c r="E433" t="s">
        <v>437</v>
      </c>
      <c r="F433" t="s">
        <v>30</v>
      </c>
      <c r="G433" t="s">
        <v>24</v>
      </c>
      <c r="H433" t="s">
        <v>48</v>
      </c>
      <c r="I433" t="s">
        <v>26</v>
      </c>
      <c r="J433" t="s">
        <v>27</v>
      </c>
      <c r="K433" t="s">
        <v>32</v>
      </c>
      <c r="L433" s="2">
        <v>2.6</v>
      </c>
      <c r="M433" s="3">
        <v>414</v>
      </c>
      <c r="N433">
        <v>4</v>
      </c>
      <c r="O433">
        <v>4</v>
      </c>
      <c r="P433">
        <v>1</v>
      </c>
      <c r="Q433">
        <v>0</v>
      </c>
      <c r="R433" s="4">
        <v>13.91</v>
      </c>
      <c r="S433">
        <v>0</v>
      </c>
      <c r="T433">
        <v>1</v>
      </c>
    </row>
    <row r="434" spans="1:20" ht="16.5" x14ac:dyDescent="0.3">
      <c r="A434" t="s">
        <v>476</v>
      </c>
      <c r="B434" s="1">
        <v>45359</v>
      </c>
      <c r="C434">
        <v>2024</v>
      </c>
      <c r="D434" t="s">
        <v>21</v>
      </c>
      <c r="E434" t="s">
        <v>437</v>
      </c>
      <c r="F434" t="s">
        <v>30</v>
      </c>
      <c r="G434" t="s">
        <v>24</v>
      </c>
      <c r="H434" t="s">
        <v>25</v>
      </c>
      <c r="I434" t="s">
        <v>40</v>
      </c>
      <c r="J434" t="s">
        <v>41</v>
      </c>
      <c r="K434" t="s">
        <v>32</v>
      </c>
      <c r="L434" s="2">
        <v>8.4</v>
      </c>
      <c r="M434" s="3">
        <v>891</v>
      </c>
      <c r="N434">
        <v>2</v>
      </c>
      <c r="O434">
        <v>4</v>
      </c>
      <c r="P434">
        <v>0</v>
      </c>
      <c r="Q434">
        <v>2</v>
      </c>
      <c r="R434" s="4">
        <v>69.7</v>
      </c>
      <c r="S434">
        <v>0</v>
      </c>
      <c r="T434">
        <v>1</v>
      </c>
    </row>
    <row r="435" spans="1:20" ht="16.5" x14ac:dyDescent="0.3">
      <c r="A435" t="s">
        <v>477</v>
      </c>
      <c r="B435" s="1">
        <v>45359</v>
      </c>
      <c r="C435">
        <v>2024</v>
      </c>
      <c r="D435" t="s">
        <v>21</v>
      </c>
      <c r="E435" t="s">
        <v>437</v>
      </c>
      <c r="F435" t="s">
        <v>23</v>
      </c>
      <c r="G435" t="s">
        <v>24</v>
      </c>
      <c r="H435" t="s">
        <v>36</v>
      </c>
      <c r="I435" t="s">
        <v>26</v>
      </c>
      <c r="J435" t="s">
        <v>27</v>
      </c>
      <c r="K435" t="s">
        <v>28</v>
      </c>
      <c r="L435" s="2">
        <v>165.7</v>
      </c>
      <c r="M435" s="3">
        <v>198</v>
      </c>
      <c r="N435">
        <v>3</v>
      </c>
      <c r="O435">
        <v>2</v>
      </c>
      <c r="P435">
        <v>1</v>
      </c>
      <c r="Q435">
        <v>0</v>
      </c>
      <c r="R435" s="4">
        <v>69.19</v>
      </c>
      <c r="S435">
        <v>0</v>
      </c>
      <c r="T435">
        <v>1</v>
      </c>
    </row>
    <row r="436" spans="1:20" ht="16.5" x14ac:dyDescent="0.3">
      <c r="A436" t="s">
        <v>478</v>
      </c>
      <c r="B436" s="1">
        <v>45359</v>
      </c>
      <c r="C436">
        <v>2024</v>
      </c>
      <c r="D436" t="s">
        <v>21</v>
      </c>
      <c r="E436" t="s">
        <v>437</v>
      </c>
      <c r="F436" t="s">
        <v>30</v>
      </c>
      <c r="G436" t="s">
        <v>39</v>
      </c>
      <c r="H436" t="s">
        <v>43</v>
      </c>
      <c r="I436" t="s">
        <v>26</v>
      </c>
      <c r="J436" t="s">
        <v>27</v>
      </c>
      <c r="K436" t="s">
        <v>32</v>
      </c>
      <c r="L436" s="2">
        <v>15.7</v>
      </c>
      <c r="M436" s="3">
        <v>1071</v>
      </c>
      <c r="N436">
        <v>5</v>
      </c>
      <c r="O436">
        <v>6</v>
      </c>
      <c r="P436">
        <v>0</v>
      </c>
      <c r="Q436">
        <v>1</v>
      </c>
      <c r="R436" s="4">
        <v>31.2</v>
      </c>
      <c r="S436">
        <v>0</v>
      </c>
      <c r="T436">
        <v>1</v>
      </c>
    </row>
    <row r="437" spans="1:20" ht="16.5" x14ac:dyDescent="0.3">
      <c r="A437" t="s">
        <v>479</v>
      </c>
      <c r="B437" s="1">
        <v>45359</v>
      </c>
      <c r="C437">
        <v>2024</v>
      </c>
      <c r="D437" t="s">
        <v>21</v>
      </c>
      <c r="E437" t="s">
        <v>437</v>
      </c>
      <c r="F437" t="s">
        <v>38</v>
      </c>
      <c r="G437" t="s">
        <v>39</v>
      </c>
      <c r="H437" t="s">
        <v>36</v>
      </c>
      <c r="I437" t="s">
        <v>26</v>
      </c>
      <c r="J437" t="s">
        <v>27</v>
      </c>
      <c r="K437" t="s">
        <v>28</v>
      </c>
      <c r="L437" s="2">
        <v>317.60000000000002</v>
      </c>
      <c r="M437" s="3">
        <v>198</v>
      </c>
      <c r="N437">
        <v>3</v>
      </c>
      <c r="O437">
        <v>3</v>
      </c>
      <c r="P437">
        <v>1</v>
      </c>
      <c r="Q437">
        <v>0</v>
      </c>
      <c r="R437" s="4">
        <v>121.79</v>
      </c>
      <c r="S437">
        <v>0</v>
      </c>
      <c r="T437">
        <v>1</v>
      </c>
    </row>
    <row r="438" spans="1:20" ht="16.5" x14ac:dyDescent="0.3">
      <c r="A438" t="s">
        <v>480</v>
      </c>
      <c r="B438" s="1">
        <v>45359</v>
      </c>
      <c r="C438">
        <v>2024</v>
      </c>
      <c r="D438" t="s">
        <v>21</v>
      </c>
      <c r="E438" t="s">
        <v>437</v>
      </c>
      <c r="F438" t="s">
        <v>34</v>
      </c>
      <c r="G438" t="s">
        <v>39</v>
      </c>
      <c r="H438" t="s">
        <v>36</v>
      </c>
      <c r="I438" t="s">
        <v>31</v>
      </c>
      <c r="J438" t="s">
        <v>27</v>
      </c>
      <c r="K438" t="s">
        <v>32</v>
      </c>
      <c r="L438" s="2">
        <v>7.2</v>
      </c>
      <c r="M438" s="3">
        <v>236</v>
      </c>
      <c r="N438">
        <v>5</v>
      </c>
      <c r="O438">
        <v>9</v>
      </c>
      <c r="P438">
        <v>0</v>
      </c>
      <c r="Q438">
        <v>4</v>
      </c>
      <c r="R438" s="4">
        <v>8.2200000000000006</v>
      </c>
      <c r="S438">
        <v>0</v>
      </c>
      <c r="T438">
        <v>1</v>
      </c>
    </row>
    <row r="439" spans="1:20" ht="16.5" x14ac:dyDescent="0.3">
      <c r="A439" t="s">
        <v>481</v>
      </c>
      <c r="B439" s="1">
        <v>45360</v>
      </c>
      <c r="C439">
        <v>2024</v>
      </c>
      <c r="D439" t="s">
        <v>21</v>
      </c>
      <c r="E439" t="s">
        <v>437</v>
      </c>
      <c r="F439" t="s">
        <v>38</v>
      </c>
      <c r="G439" t="s">
        <v>24</v>
      </c>
      <c r="H439" t="s">
        <v>51</v>
      </c>
      <c r="I439" t="s">
        <v>40</v>
      </c>
      <c r="J439" t="s">
        <v>41</v>
      </c>
      <c r="K439" t="s">
        <v>28</v>
      </c>
      <c r="L439" s="2">
        <v>20.8</v>
      </c>
      <c r="M439" s="3">
        <v>1242</v>
      </c>
      <c r="N439">
        <v>3</v>
      </c>
      <c r="O439">
        <v>3</v>
      </c>
      <c r="P439">
        <v>1</v>
      </c>
      <c r="Q439">
        <v>0</v>
      </c>
      <c r="R439" s="4">
        <v>126.63</v>
      </c>
      <c r="S439">
        <v>0</v>
      </c>
      <c r="T439">
        <v>1</v>
      </c>
    </row>
    <row r="440" spans="1:20" ht="16.5" x14ac:dyDescent="0.3">
      <c r="A440" t="s">
        <v>482</v>
      </c>
      <c r="B440" s="1">
        <v>45360</v>
      </c>
      <c r="C440">
        <v>2024</v>
      </c>
      <c r="D440" t="s">
        <v>21</v>
      </c>
      <c r="E440" t="s">
        <v>437</v>
      </c>
      <c r="F440" t="s">
        <v>38</v>
      </c>
      <c r="G440" t="s">
        <v>39</v>
      </c>
      <c r="H440" t="s">
        <v>36</v>
      </c>
      <c r="I440" t="s">
        <v>31</v>
      </c>
      <c r="J440" t="s">
        <v>27</v>
      </c>
      <c r="K440" t="s">
        <v>28</v>
      </c>
      <c r="L440" s="2">
        <v>283.89999999999998</v>
      </c>
      <c r="M440" s="3">
        <v>181</v>
      </c>
      <c r="N440">
        <v>5</v>
      </c>
      <c r="O440">
        <v>5</v>
      </c>
      <c r="P440">
        <v>1</v>
      </c>
      <c r="Q440">
        <v>0</v>
      </c>
      <c r="R440" s="4">
        <v>86.41</v>
      </c>
      <c r="S440">
        <v>0</v>
      </c>
      <c r="T440">
        <v>1</v>
      </c>
    </row>
    <row r="441" spans="1:20" ht="16.5" x14ac:dyDescent="0.3">
      <c r="A441" t="s">
        <v>483</v>
      </c>
      <c r="B441" s="1">
        <v>45360</v>
      </c>
      <c r="C441">
        <v>2024</v>
      </c>
      <c r="D441" t="s">
        <v>21</v>
      </c>
      <c r="E441" t="s">
        <v>437</v>
      </c>
      <c r="F441" t="s">
        <v>34</v>
      </c>
      <c r="G441" t="s">
        <v>24</v>
      </c>
      <c r="H441" t="s">
        <v>36</v>
      </c>
      <c r="I441" t="s">
        <v>31</v>
      </c>
      <c r="J441" t="s">
        <v>27</v>
      </c>
      <c r="K441" t="s">
        <v>28</v>
      </c>
      <c r="L441" s="2">
        <v>419.9</v>
      </c>
      <c r="M441" s="3">
        <v>218</v>
      </c>
      <c r="N441">
        <v>5</v>
      </c>
      <c r="O441">
        <v>4</v>
      </c>
      <c r="P441">
        <v>1</v>
      </c>
      <c r="Q441">
        <v>0</v>
      </c>
      <c r="R441" s="4">
        <v>103.34</v>
      </c>
      <c r="S441">
        <v>0</v>
      </c>
      <c r="T441">
        <v>1</v>
      </c>
    </row>
    <row r="442" spans="1:20" ht="16.5" x14ac:dyDescent="0.3">
      <c r="A442" t="s">
        <v>484</v>
      </c>
      <c r="B442" s="1">
        <v>45360</v>
      </c>
      <c r="C442">
        <v>2024</v>
      </c>
      <c r="D442" t="s">
        <v>21</v>
      </c>
      <c r="E442" t="s">
        <v>437</v>
      </c>
      <c r="F442" t="s">
        <v>57</v>
      </c>
      <c r="G442" t="s">
        <v>39</v>
      </c>
      <c r="H442" t="s">
        <v>25</v>
      </c>
      <c r="I442" t="s">
        <v>40</v>
      </c>
      <c r="J442" t="s">
        <v>41</v>
      </c>
      <c r="K442" t="s">
        <v>32</v>
      </c>
      <c r="L442" s="2">
        <v>1.8</v>
      </c>
      <c r="M442" s="3">
        <v>1036</v>
      </c>
      <c r="N442">
        <v>2</v>
      </c>
      <c r="O442">
        <v>2</v>
      </c>
      <c r="P442">
        <v>1</v>
      </c>
      <c r="Q442">
        <v>0</v>
      </c>
      <c r="R442" s="4">
        <v>58.6</v>
      </c>
      <c r="S442">
        <v>0</v>
      </c>
      <c r="T442">
        <v>1</v>
      </c>
    </row>
    <row r="443" spans="1:20" ht="16.5" x14ac:dyDescent="0.3">
      <c r="A443" t="s">
        <v>485</v>
      </c>
      <c r="B443" s="1">
        <v>45360</v>
      </c>
      <c r="C443">
        <v>2024</v>
      </c>
      <c r="D443" t="s">
        <v>21</v>
      </c>
      <c r="E443" t="s">
        <v>437</v>
      </c>
      <c r="F443" t="s">
        <v>38</v>
      </c>
      <c r="G443" t="s">
        <v>24</v>
      </c>
      <c r="H443" t="s">
        <v>48</v>
      </c>
      <c r="I443" t="s">
        <v>26</v>
      </c>
      <c r="J443" t="s">
        <v>27</v>
      </c>
      <c r="K443" t="s">
        <v>32</v>
      </c>
      <c r="L443" s="2">
        <v>13.9</v>
      </c>
      <c r="M443" s="3">
        <v>437</v>
      </c>
      <c r="N443">
        <v>4</v>
      </c>
      <c r="O443">
        <v>3</v>
      </c>
      <c r="P443">
        <v>1</v>
      </c>
      <c r="Q443">
        <v>0</v>
      </c>
      <c r="R443" s="4">
        <v>22.75</v>
      </c>
      <c r="S443">
        <v>0</v>
      </c>
      <c r="T443">
        <v>1</v>
      </c>
    </row>
    <row r="444" spans="1:20" ht="16.5" x14ac:dyDescent="0.3">
      <c r="A444" t="s">
        <v>486</v>
      </c>
      <c r="B444" s="1">
        <v>45361</v>
      </c>
      <c r="C444">
        <v>2024</v>
      </c>
      <c r="D444" t="s">
        <v>21</v>
      </c>
      <c r="E444" t="s">
        <v>437</v>
      </c>
      <c r="F444" t="s">
        <v>34</v>
      </c>
      <c r="G444" t="s">
        <v>39</v>
      </c>
      <c r="H444" t="s">
        <v>36</v>
      </c>
      <c r="I444" t="s">
        <v>40</v>
      </c>
      <c r="J444" t="s">
        <v>27</v>
      </c>
      <c r="K444" t="s">
        <v>32</v>
      </c>
      <c r="L444" s="2">
        <v>6.1</v>
      </c>
      <c r="M444" s="3">
        <v>283</v>
      </c>
      <c r="N444">
        <v>1</v>
      </c>
      <c r="O444">
        <v>1</v>
      </c>
      <c r="P444">
        <v>1</v>
      </c>
      <c r="Q444">
        <v>0</v>
      </c>
      <c r="R444" s="4">
        <v>22.84</v>
      </c>
      <c r="S444">
        <v>0</v>
      </c>
      <c r="T444">
        <v>1</v>
      </c>
    </row>
    <row r="445" spans="1:20" ht="16.5" x14ac:dyDescent="0.3">
      <c r="A445" t="s">
        <v>487</v>
      </c>
      <c r="B445" s="1">
        <v>45361</v>
      </c>
      <c r="C445">
        <v>2024</v>
      </c>
      <c r="D445" t="s">
        <v>21</v>
      </c>
      <c r="E445" t="s">
        <v>437</v>
      </c>
      <c r="F445" t="s">
        <v>38</v>
      </c>
      <c r="G445" t="s">
        <v>24</v>
      </c>
      <c r="H445" t="s">
        <v>48</v>
      </c>
      <c r="I445" t="s">
        <v>26</v>
      </c>
      <c r="J445" t="s">
        <v>27</v>
      </c>
      <c r="K445" t="s">
        <v>28</v>
      </c>
      <c r="L445" s="2">
        <v>95.7</v>
      </c>
      <c r="M445" s="3">
        <v>412</v>
      </c>
      <c r="N445">
        <v>4</v>
      </c>
      <c r="O445">
        <v>4</v>
      </c>
      <c r="P445">
        <v>1</v>
      </c>
      <c r="Q445">
        <v>0</v>
      </c>
      <c r="R445" s="4">
        <v>60.33</v>
      </c>
      <c r="S445">
        <v>0</v>
      </c>
      <c r="T445">
        <v>1</v>
      </c>
    </row>
    <row r="446" spans="1:20" ht="16.5" x14ac:dyDescent="0.3">
      <c r="A446" t="s">
        <v>488</v>
      </c>
      <c r="B446" s="1">
        <v>45361</v>
      </c>
      <c r="C446">
        <v>2024</v>
      </c>
      <c r="D446" t="s">
        <v>21</v>
      </c>
      <c r="E446" t="s">
        <v>437</v>
      </c>
      <c r="F446" t="s">
        <v>38</v>
      </c>
      <c r="G446" t="s">
        <v>39</v>
      </c>
      <c r="H446" t="s">
        <v>36</v>
      </c>
      <c r="I446" t="s">
        <v>26</v>
      </c>
      <c r="J446" t="s">
        <v>27</v>
      </c>
      <c r="K446" t="s">
        <v>28</v>
      </c>
      <c r="L446" s="2">
        <v>141.5</v>
      </c>
      <c r="M446" s="3">
        <v>263</v>
      </c>
      <c r="N446">
        <v>3</v>
      </c>
      <c r="O446">
        <v>3</v>
      </c>
      <c r="P446">
        <v>1</v>
      </c>
      <c r="Q446">
        <v>0</v>
      </c>
      <c r="R446" s="4">
        <v>82.42</v>
      </c>
      <c r="S446">
        <v>0</v>
      </c>
      <c r="T446">
        <v>1</v>
      </c>
    </row>
    <row r="447" spans="1:20" ht="16.5" x14ac:dyDescent="0.3">
      <c r="A447" t="s">
        <v>489</v>
      </c>
      <c r="B447" s="1">
        <v>45361</v>
      </c>
      <c r="C447">
        <v>2024</v>
      </c>
      <c r="D447" t="s">
        <v>21</v>
      </c>
      <c r="E447" t="s">
        <v>437</v>
      </c>
      <c r="F447" t="s">
        <v>57</v>
      </c>
      <c r="G447" t="s">
        <v>35</v>
      </c>
      <c r="H447" t="s">
        <v>43</v>
      </c>
      <c r="I447" t="s">
        <v>26</v>
      </c>
      <c r="J447" t="s">
        <v>27</v>
      </c>
      <c r="K447" t="s">
        <v>28</v>
      </c>
      <c r="L447" s="2">
        <v>188.8</v>
      </c>
      <c r="M447" s="3">
        <v>1156</v>
      </c>
      <c r="N447">
        <v>5</v>
      </c>
      <c r="O447">
        <v>5</v>
      </c>
      <c r="P447">
        <v>1</v>
      </c>
      <c r="Q447">
        <v>0</v>
      </c>
      <c r="R447" s="4">
        <v>88.72</v>
      </c>
      <c r="S447">
        <v>0</v>
      </c>
      <c r="T447">
        <v>1</v>
      </c>
    </row>
    <row r="448" spans="1:20" ht="16.5" x14ac:dyDescent="0.3">
      <c r="A448" t="s">
        <v>490</v>
      </c>
      <c r="B448" s="1">
        <v>45362</v>
      </c>
      <c r="C448">
        <v>2024</v>
      </c>
      <c r="D448" t="s">
        <v>21</v>
      </c>
      <c r="E448" t="s">
        <v>437</v>
      </c>
      <c r="F448" t="s">
        <v>23</v>
      </c>
      <c r="G448" t="s">
        <v>39</v>
      </c>
      <c r="H448" t="s">
        <v>48</v>
      </c>
      <c r="I448" t="s">
        <v>26</v>
      </c>
      <c r="J448" t="s">
        <v>27</v>
      </c>
      <c r="K448" t="s">
        <v>32</v>
      </c>
      <c r="L448" s="2">
        <v>6.8</v>
      </c>
      <c r="M448" s="3">
        <v>408</v>
      </c>
      <c r="N448">
        <v>4</v>
      </c>
      <c r="O448">
        <v>3</v>
      </c>
      <c r="P448">
        <v>1</v>
      </c>
      <c r="Q448">
        <v>0</v>
      </c>
      <c r="R448" s="4">
        <v>15.53</v>
      </c>
      <c r="S448">
        <v>0</v>
      </c>
      <c r="T448">
        <v>1</v>
      </c>
    </row>
    <row r="449" spans="1:20" ht="16.5" x14ac:dyDescent="0.3">
      <c r="A449" t="s">
        <v>491</v>
      </c>
      <c r="B449" s="1">
        <v>45362</v>
      </c>
      <c r="C449">
        <v>2024</v>
      </c>
      <c r="D449" t="s">
        <v>21</v>
      </c>
      <c r="E449" t="s">
        <v>437</v>
      </c>
      <c r="F449" t="s">
        <v>23</v>
      </c>
      <c r="G449" t="s">
        <v>35</v>
      </c>
      <c r="H449" t="s">
        <v>25</v>
      </c>
      <c r="I449" t="s">
        <v>31</v>
      </c>
      <c r="J449" t="s">
        <v>27</v>
      </c>
      <c r="K449" t="s">
        <v>32</v>
      </c>
      <c r="L449" s="2">
        <v>12</v>
      </c>
      <c r="M449" s="3">
        <v>986</v>
      </c>
      <c r="N449">
        <v>6</v>
      </c>
      <c r="O449">
        <v>6</v>
      </c>
      <c r="P449">
        <v>1</v>
      </c>
      <c r="Q449">
        <v>0</v>
      </c>
      <c r="R449" s="4">
        <v>16.63</v>
      </c>
      <c r="S449">
        <v>0</v>
      </c>
      <c r="T449">
        <v>1</v>
      </c>
    </row>
    <row r="450" spans="1:20" ht="16.5" x14ac:dyDescent="0.3">
      <c r="A450" t="s">
        <v>492</v>
      </c>
      <c r="B450" s="1">
        <v>45362</v>
      </c>
      <c r="C450">
        <v>2024</v>
      </c>
      <c r="D450" t="s">
        <v>21</v>
      </c>
      <c r="E450" t="s">
        <v>437</v>
      </c>
      <c r="F450" t="s">
        <v>34</v>
      </c>
      <c r="G450" t="s">
        <v>24</v>
      </c>
      <c r="H450" t="s">
        <v>36</v>
      </c>
      <c r="I450" t="s">
        <v>31</v>
      </c>
      <c r="J450" t="s">
        <v>27</v>
      </c>
      <c r="K450" t="s">
        <v>32</v>
      </c>
      <c r="L450" s="2">
        <v>1.4</v>
      </c>
      <c r="M450" s="3">
        <v>234</v>
      </c>
      <c r="N450">
        <v>5</v>
      </c>
      <c r="O450">
        <v>4</v>
      </c>
      <c r="P450">
        <v>1</v>
      </c>
      <c r="Q450">
        <v>0</v>
      </c>
      <c r="R450" s="4">
        <v>5.99</v>
      </c>
      <c r="S450">
        <v>0</v>
      </c>
      <c r="T450">
        <v>1</v>
      </c>
    </row>
    <row r="451" spans="1:20" ht="16.5" x14ac:dyDescent="0.3">
      <c r="A451" t="s">
        <v>493</v>
      </c>
      <c r="B451" s="1">
        <v>45362</v>
      </c>
      <c r="C451">
        <v>2024</v>
      </c>
      <c r="D451" t="s">
        <v>21</v>
      </c>
      <c r="E451" t="s">
        <v>437</v>
      </c>
      <c r="F451" t="s">
        <v>38</v>
      </c>
      <c r="G451" t="s">
        <v>39</v>
      </c>
      <c r="H451" t="s">
        <v>25</v>
      </c>
      <c r="I451" t="s">
        <v>31</v>
      </c>
      <c r="J451" t="s">
        <v>27</v>
      </c>
      <c r="K451" t="s">
        <v>32</v>
      </c>
      <c r="L451" s="2">
        <v>7.1</v>
      </c>
      <c r="M451" s="3">
        <v>981</v>
      </c>
      <c r="N451">
        <v>6</v>
      </c>
      <c r="O451">
        <v>6</v>
      </c>
      <c r="P451">
        <v>1</v>
      </c>
      <c r="Q451">
        <v>0</v>
      </c>
      <c r="R451" s="4">
        <v>18.350000000000001</v>
      </c>
      <c r="S451">
        <v>0</v>
      </c>
      <c r="T451">
        <v>1</v>
      </c>
    </row>
    <row r="452" spans="1:20" ht="16.5" x14ac:dyDescent="0.3">
      <c r="A452" t="s">
        <v>494</v>
      </c>
      <c r="B452" s="1">
        <v>45362</v>
      </c>
      <c r="C452">
        <v>2024</v>
      </c>
      <c r="D452" t="s">
        <v>21</v>
      </c>
      <c r="E452" t="s">
        <v>437</v>
      </c>
      <c r="F452" t="s">
        <v>34</v>
      </c>
      <c r="G452" t="s">
        <v>24</v>
      </c>
      <c r="H452" t="s">
        <v>25</v>
      </c>
      <c r="I452" t="s">
        <v>31</v>
      </c>
      <c r="J452" t="s">
        <v>27</v>
      </c>
      <c r="K452" t="s">
        <v>32</v>
      </c>
      <c r="L452" s="2">
        <v>5</v>
      </c>
      <c r="M452" s="3">
        <v>893</v>
      </c>
      <c r="N452">
        <v>6</v>
      </c>
      <c r="O452">
        <v>6</v>
      </c>
      <c r="P452">
        <v>1</v>
      </c>
      <c r="Q452">
        <v>0</v>
      </c>
      <c r="R452" s="4">
        <v>12.3</v>
      </c>
      <c r="S452">
        <v>0</v>
      </c>
      <c r="T452">
        <v>1</v>
      </c>
    </row>
    <row r="453" spans="1:20" ht="16.5" x14ac:dyDescent="0.3">
      <c r="A453" t="s">
        <v>495</v>
      </c>
      <c r="B453" s="1">
        <v>45362</v>
      </c>
      <c r="C453">
        <v>2024</v>
      </c>
      <c r="D453" t="s">
        <v>21</v>
      </c>
      <c r="E453" t="s">
        <v>437</v>
      </c>
      <c r="F453" t="s">
        <v>57</v>
      </c>
      <c r="G453" t="s">
        <v>35</v>
      </c>
      <c r="H453" t="s">
        <v>43</v>
      </c>
      <c r="I453" t="s">
        <v>31</v>
      </c>
      <c r="J453" t="s">
        <v>27</v>
      </c>
      <c r="K453" t="s">
        <v>32</v>
      </c>
      <c r="L453" s="2">
        <v>7.3</v>
      </c>
      <c r="M453" s="3">
        <v>1214</v>
      </c>
      <c r="N453">
        <v>7</v>
      </c>
      <c r="O453">
        <v>7</v>
      </c>
      <c r="P453">
        <v>1</v>
      </c>
      <c r="Q453">
        <v>0</v>
      </c>
      <c r="R453" s="4">
        <v>17.46</v>
      </c>
      <c r="S453">
        <v>0</v>
      </c>
      <c r="T453">
        <v>1</v>
      </c>
    </row>
    <row r="454" spans="1:20" ht="16.5" x14ac:dyDescent="0.3">
      <c r="A454" t="s">
        <v>496</v>
      </c>
      <c r="B454" s="1">
        <v>45362</v>
      </c>
      <c r="C454">
        <v>2024</v>
      </c>
      <c r="D454" t="s">
        <v>21</v>
      </c>
      <c r="E454" t="s">
        <v>437</v>
      </c>
      <c r="F454" t="s">
        <v>23</v>
      </c>
      <c r="G454" t="s">
        <v>39</v>
      </c>
      <c r="H454" t="s">
        <v>48</v>
      </c>
      <c r="I454" t="s">
        <v>31</v>
      </c>
      <c r="J454" t="s">
        <v>27</v>
      </c>
      <c r="K454" t="s">
        <v>32</v>
      </c>
      <c r="L454" s="2">
        <v>4.5999999999999996</v>
      </c>
      <c r="M454" s="3">
        <v>413</v>
      </c>
      <c r="N454">
        <v>6</v>
      </c>
      <c r="O454">
        <v>8</v>
      </c>
      <c r="P454">
        <v>0</v>
      </c>
      <c r="Q454">
        <v>2</v>
      </c>
      <c r="R454" s="4">
        <v>9.23</v>
      </c>
      <c r="S454">
        <v>0</v>
      </c>
      <c r="T454">
        <v>1</v>
      </c>
    </row>
    <row r="455" spans="1:20" ht="16.5" x14ac:dyDescent="0.3">
      <c r="A455" t="s">
        <v>497</v>
      </c>
      <c r="B455" s="1">
        <v>45362</v>
      </c>
      <c r="C455">
        <v>2024</v>
      </c>
      <c r="D455" t="s">
        <v>21</v>
      </c>
      <c r="E455" t="s">
        <v>437</v>
      </c>
      <c r="F455" t="s">
        <v>38</v>
      </c>
      <c r="G455" t="s">
        <v>24</v>
      </c>
      <c r="H455" t="s">
        <v>48</v>
      </c>
      <c r="I455" t="s">
        <v>26</v>
      </c>
      <c r="J455" t="s">
        <v>27</v>
      </c>
      <c r="K455" t="s">
        <v>32</v>
      </c>
      <c r="L455" s="2">
        <v>1.9</v>
      </c>
      <c r="M455" s="3">
        <v>603</v>
      </c>
      <c r="N455">
        <v>4</v>
      </c>
      <c r="O455">
        <v>4</v>
      </c>
      <c r="P455">
        <v>1</v>
      </c>
      <c r="Q455">
        <v>0</v>
      </c>
      <c r="R455" s="4">
        <v>18.27</v>
      </c>
      <c r="S455">
        <v>0</v>
      </c>
      <c r="T455">
        <v>1</v>
      </c>
    </row>
    <row r="456" spans="1:20" ht="16.5" x14ac:dyDescent="0.3">
      <c r="A456" t="s">
        <v>498</v>
      </c>
      <c r="B456" s="1">
        <v>45362</v>
      </c>
      <c r="C456">
        <v>2024</v>
      </c>
      <c r="D456" t="s">
        <v>21</v>
      </c>
      <c r="E456" t="s">
        <v>437</v>
      </c>
      <c r="F456" t="s">
        <v>57</v>
      </c>
      <c r="G456" t="s">
        <v>35</v>
      </c>
      <c r="H456" t="s">
        <v>43</v>
      </c>
      <c r="I456" t="s">
        <v>31</v>
      </c>
      <c r="J456" t="s">
        <v>27</v>
      </c>
      <c r="K456" t="s">
        <v>28</v>
      </c>
      <c r="L456" s="2">
        <v>118.1</v>
      </c>
      <c r="M456" s="3">
        <v>1172</v>
      </c>
      <c r="N456">
        <v>7</v>
      </c>
      <c r="O456">
        <v>7</v>
      </c>
      <c r="P456">
        <v>1</v>
      </c>
      <c r="Q456">
        <v>0</v>
      </c>
      <c r="R456" s="4">
        <v>53.37</v>
      </c>
      <c r="S456">
        <v>0</v>
      </c>
      <c r="T456">
        <v>1</v>
      </c>
    </row>
    <row r="457" spans="1:20" ht="16.5" x14ac:dyDescent="0.3">
      <c r="A457" t="s">
        <v>499</v>
      </c>
      <c r="B457" s="1">
        <v>45362</v>
      </c>
      <c r="C457">
        <v>2024</v>
      </c>
      <c r="D457" t="s">
        <v>21</v>
      </c>
      <c r="E457" t="s">
        <v>437</v>
      </c>
      <c r="F457" t="s">
        <v>30</v>
      </c>
      <c r="G457" t="s">
        <v>35</v>
      </c>
      <c r="H457" t="s">
        <v>48</v>
      </c>
      <c r="I457" t="s">
        <v>26</v>
      </c>
      <c r="J457" t="s">
        <v>27</v>
      </c>
      <c r="K457" t="s">
        <v>32</v>
      </c>
      <c r="L457" s="2">
        <v>10.199999999999999</v>
      </c>
      <c r="M457" s="3">
        <v>533</v>
      </c>
      <c r="N457">
        <v>4</v>
      </c>
      <c r="O457">
        <v>4</v>
      </c>
      <c r="P457">
        <v>1</v>
      </c>
      <c r="Q457">
        <v>0</v>
      </c>
      <c r="R457" s="4">
        <v>20.36</v>
      </c>
      <c r="S457">
        <v>0</v>
      </c>
      <c r="T457">
        <v>1</v>
      </c>
    </row>
    <row r="458" spans="1:20" ht="16.5" x14ac:dyDescent="0.3">
      <c r="A458" t="s">
        <v>500</v>
      </c>
      <c r="B458" s="1">
        <v>45362</v>
      </c>
      <c r="C458">
        <v>2024</v>
      </c>
      <c r="D458" t="s">
        <v>21</v>
      </c>
      <c r="E458" t="s">
        <v>437</v>
      </c>
      <c r="F458" t="s">
        <v>38</v>
      </c>
      <c r="G458" t="s">
        <v>39</v>
      </c>
      <c r="H458" t="s">
        <v>51</v>
      </c>
      <c r="I458" t="s">
        <v>26</v>
      </c>
      <c r="J458" t="s">
        <v>27</v>
      </c>
      <c r="K458" t="s">
        <v>28</v>
      </c>
      <c r="L458" s="2">
        <v>168.2</v>
      </c>
      <c r="M458" s="3">
        <v>964</v>
      </c>
      <c r="N458">
        <v>5</v>
      </c>
      <c r="O458">
        <v>4</v>
      </c>
      <c r="P458">
        <v>1</v>
      </c>
      <c r="Q458">
        <v>0</v>
      </c>
      <c r="R458" s="4">
        <v>98.68</v>
      </c>
      <c r="S458">
        <v>0</v>
      </c>
      <c r="T458">
        <v>1</v>
      </c>
    </row>
    <row r="459" spans="1:20" ht="16.5" x14ac:dyDescent="0.3">
      <c r="A459" t="s">
        <v>501</v>
      </c>
      <c r="B459" s="1">
        <v>45363</v>
      </c>
      <c r="C459">
        <v>2024</v>
      </c>
      <c r="D459" t="s">
        <v>21</v>
      </c>
      <c r="E459" t="s">
        <v>437</v>
      </c>
      <c r="F459" t="s">
        <v>23</v>
      </c>
      <c r="G459" t="s">
        <v>35</v>
      </c>
      <c r="H459" t="s">
        <v>36</v>
      </c>
      <c r="I459" t="s">
        <v>26</v>
      </c>
      <c r="J459" t="s">
        <v>27</v>
      </c>
      <c r="K459" t="s">
        <v>32</v>
      </c>
      <c r="L459" s="2">
        <v>2.4</v>
      </c>
      <c r="M459" s="3">
        <v>253</v>
      </c>
      <c r="N459">
        <v>3</v>
      </c>
      <c r="O459">
        <v>5</v>
      </c>
      <c r="P459">
        <v>0</v>
      </c>
      <c r="Q459">
        <v>2</v>
      </c>
      <c r="R459" s="4">
        <v>9.8000000000000007</v>
      </c>
      <c r="S459">
        <v>0</v>
      </c>
      <c r="T459">
        <v>1</v>
      </c>
    </row>
    <row r="460" spans="1:20" ht="16.5" x14ac:dyDescent="0.3">
      <c r="A460" t="s">
        <v>502</v>
      </c>
      <c r="B460" s="1">
        <v>45363</v>
      </c>
      <c r="C460">
        <v>2024</v>
      </c>
      <c r="D460" t="s">
        <v>21</v>
      </c>
      <c r="E460" t="s">
        <v>437</v>
      </c>
      <c r="F460" t="s">
        <v>38</v>
      </c>
      <c r="G460" t="s">
        <v>35</v>
      </c>
      <c r="H460" t="s">
        <v>25</v>
      </c>
      <c r="I460" t="s">
        <v>26</v>
      </c>
      <c r="J460" t="s">
        <v>27</v>
      </c>
      <c r="K460" t="s">
        <v>28</v>
      </c>
      <c r="L460" s="2">
        <v>194.3</v>
      </c>
      <c r="M460" s="3">
        <v>915</v>
      </c>
      <c r="N460">
        <v>4</v>
      </c>
      <c r="O460">
        <v>4</v>
      </c>
      <c r="P460">
        <v>1</v>
      </c>
      <c r="Q460">
        <v>0</v>
      </c>
      <c r="R460" s="4">
        <v>105.26</v>
      </c>
      <c r="S460">
        <v>0</v>
      </c>
      <c r="T460">
        <v>1</v>
      </c>
    </row>
    <row r="461" spans="1:20" ht="16.5" x14ac:dyDescent="0.3">
      <c r="A461" t="s">
        <v>503</v>
      </c>
      <c r="B461" s="1">
        <v>45363</v>
      </c>
      <c r="C461">
        <v>2024</v>
      </c>
      <c r="D461" t="s">
        <v>21</v>
      </c>
      <c r="E461" t="s">
        <v>437</v>
      </c>
      <c r="F461" t="s">
        <v>30</v>
      </c>
      <c r="G461" t="s">
        <v>39</v>
      </c>
      <c r="H461" t="s">
        <v>25</v>
      </c>
      <c r="I461" t="s">
        <v>31</v>
      </c>
      <c r="J461" t="s">
        <v>27</v>
      </c>
      <c r="K461" t="s">
        <v>28</v>
      </c>
      <c r="L461" s="2">
        <v>64.900000000000006</v>
      </c>
      <c r="M461" s="3">
        <v>838</v>
      </c>
      <c r="N461">
        <v>6</v>
      </c>
      <c r="O461">
        <v>6</v>
      </c>
      <c r="P461">
        <v>1</v>
      </c>
      <c r="Q461">
        <v>0</v>
      </c>
      <c r="R461" s="4">
        <v>35.51</v>
      </c>
      <c r="S461">
        <v>0</v>
      </c>
      <c r="T461">
        <v>1</v>
      </c>
    </row>
    <row r="462" spans="1:20" ht="16.5" x14ac:dyDescent="0.3">
      <c r="A462" t="s">
        <v>504</v>
      </c>
      <c r="B462" s="1">
        <v>45363</v>
      </c>
      <c r="C462">
        <v>2024</v>
      </c>
      <c r="D462" t="s">
        <v>21</v>
      </c>
      <c r="E462" t="s">
        <v>437</v>
      </c>
      <c r="F462" t="s">
        <v>38</v>
      </c>
      <c r="G462" t="s">
        <v>39</v>
      </c>
      <c r="H462" t="s">
        <v>36</v>
      </c>
      <c r="I462" t="s">
        <v>26</v>
      </c>
      <c r="J462" t="s">
        <v>27</v>
      </c>
      <c r="K462" t="s">
        <v>28</v>
      </c>
      <c r="L462" s="2">
        <v>25.2</v>
      </c>
      <c r="M462" s="3">
        <v>263</v>
      </c>
      <c r="N462">
        <v>3</v>
      </c>
      <c r="O462">
        <v>3</v>
      </c>
      <c r="P462">
        <v>1</v>
      </c>
      <c r="Q462">
        <v>0</v>
      </c>
      <c r="R462" s="4">
        <v>24.53</v>
      </c>
      <c r="S462">
        <v>0</v>
      </c>
      <c r="T462">
        <v>1</v>
      </c>
    </row>
    <row r="463" spans="1:20" ht="16.5" x14ac:dyDescent="0.3">
      <c r="A463" t="s">
        <v>505</v>
      </c>
      <c r="B463" s="1">
        <v>45363</v>
      </c>
      <c r="C463">
        <v>2024</v>
      </c>
      <c r="D463" t="s">
        <v>21</v>
      </c>
      <c r="E463" t="s">
        <v>437</v>
      </c>
      <c r="F463" t="s">
        <v>38</v>
      </c>
      <c r="G463" t="s">
        <v>35</v>
      </c>
      <c r="H463" t="s">
        <v>36</v>
      </c>
      <c r="I463" t="s">
        <v>31</v>
      </c>
      <c r="J463" t="s">
        <v>27</v>
      </c>
      <c r="K463" t="s">
        <v>32</v>
      </c>
      <c r="L463" s="2">
        <v>0.8</v>
      </c>
      <c r="M463" s="3">
        <v>188</v>
      </c>
      <c r="N463">
        <v>5</v>
      </c>
      <c r="O463">
        <v>5</v>
      </c>
      <c r="P463">
        <v>1</v>
      </c>
      <c r="Q463">
        <v>0</v>
      </c>
      <c r="R463" s="4">
        <v>7.72</v>
      </c>
      <c r="S463">
        <v>0</v>
      </c>
      <c r="T463">
        <v>1</v>
      </c>
    </row>
    <row r="464" spans="1:20" ht="16.5" x14ac:dyDescent="0.3">
      <c r="A464" t="s">
        <v>506</v>
      </c>
      <c r="B464" s="1">
        <v>45363</v>
      </c>
      <c r="C464">
        <v>2024</v>
      </c>
      <c r="D464" t="s">
        <v>21</v>
      </c>
      <c r="E464" t="s">
        <v>437</v>
      </c>
      <c r="F464" t="s">
        <v>38</v>
      </c>
      <c r="G464" t="s">
        <v>24</v>
      </c>
      <c r="H464" t="s">
        <v>25</v>
      </c>
      <c r="I464" t="s">
        <v>26</v>
      </c>
      <c r="J464" t="s">
        <v>27</v>
      </c>
      <c r="K464" t="s">
        <v>32</v>
      </c>
      <c r="L464" s="2">
        <v>2.2999999999999998</v>
      </c>
      <c r="M464" s="3">
        <v>878</v>
      </c>
      <c r="N464">
        <v>4</v>
      </c>
      <c r="O464">
        <v>4</v>
      </c>
      <c r="P464">
        <v>1</v>
      </c>
      <c r="Q464">
        <v>0</v>
      </c>
      <c r="R464" s="4">
        <v>16.649999999999999</v>
      </c>
      <c r="S464">
        <v>0</v>
      </c>
      <c r="T464">
        <v>1</v>
      </c>
    </row>
    <row r="465" spans="1:20" ht="16.5" x14ac:dyDescent="0.3">
      <c r="A465" t="s">
        <v>507</v>
      </c>
      <c r="B465" s="1">
        <v>45363</v>
      </c>
      <c r="C465">
        <v>2024</v>
      </c>
      <c r="D465" t="s">
        <v>21</v>
      </c>
      <c r="E465" t="s">
        <v>437</v>
      </c>
      <c r="F465" t="s">
        <v>23</v>
      </c>
      <c r="G465" t="s">
        <v>39</v>
      </c>
      <c r="H465" t="s">
        <v>25</v>
      </c>
      <c r="I465" t="s">
        <v>26</v>
      </c>
      <c r="J465" t="s">
        <v>27</v>
      </c>
      <c r="K465" t="s">
        <v>32</v>
      </c>
      <c r="L465" s="2">
        <v>11.6</v>
      </c>
      <c r="M465" s="3">
        <v>871</v>
      </c>
      <c r="N465">
        <v>4</v>
      </c>
      <c r="O465">
        <v>4</v>
      </c>
      <c r="P465">
        <v>1</v>
      </c>
      <c r="Q465">
        <v>0</v>
      </c>
      <c r="R465" s="4">
        <v>23.04</v>
      </c>
      <c r="S465">
        <v>0</v>
      </c>
      <c r="T465">
        <v>1</v>
      </c>
    </row>
    <row r="466" spans="1:20" ht="16.5" x14ac:dyDescent="0.3">
      <c r="A466" t="s">
        <v>508</v>
      </c>
      <c r="B466" s="1">
        <v>45363</v>
      </c>
      <c r="C466">
        <v>2024</v>
      </c>
      <c r="D466" t="s">
        <v>21</v>
      </c>
      <c r="E466" t="s">
        <v>437</v>
      </c>
      <c r="F466" t="s">
        <v>23</v>
      </c>
      <c r="G466" t="s">
        <v>24</v>
      </c>
      <c r="H466" t="s">
        <v>36</v>
      </c>
      <c r="I466" t="s">
        <v>40</v>
      </c>
      <c r="J466" t="s">
        <v>27</v>
      </c>
      <c r="K466" t="s">
        <v>32</v>
      </c>
      <c r="L466" s="2">
        <v>3.2</v>
      </c>
      <c r="M466" s="3">
        <v>253</v>
      </c>
      <c r="N466">
        <v>1</v>
      </c>
      <c r="O466">
        <v>1</v>
      </c>
      <c r="P466">
        <v>1</v>
      </c>
      <c r="Q466">
        <v>0</v>
      </c>
      <c r="R466" s="4">
        <v>22.29</v>
      </c>
      <c r="S466">
        <v>0</v>
      </c>
      <c r="T466">
        <v>1</v>
      </c>
    </row>
    <row r="467" spans="1:20" ht="16.5" x14ac:dyDescent="0.3">
      <c r="A467" t="s">
        <v>509</v>
      </c>
      <c r="B467" s="1">
        <v>45363</v>
      </c>
      <c r="C467">
        <v>2024</v>
      </c>
      <c r="D467" t="s">
        <v>21</v>
      </c>
      <c r="E467" t="s">
        <v>437</v>
      </c>
      <c r="F467" t="s">
        <v>57</v>
      </c>
      <c r="G467" t="s">
        <v>39</v>
      </c>
      <c r="H467" t="s">
        <v>36</v>
      </c>
      <c r="I467" t="s">
        <v>26</v>
      </c>
      <c r="J467" t="s">
        <v>27</v>
      </c>
      <c r="K467" t="s">
        <v>32</v>
      </c>
      <c r="L467" s="2">
        <v>7.3</v>
      </c>
      <c r="M467" s="3">
        <v>220</v>
      </c>
      <c r="N467">
        <v>3</v>
      </c>
      <c r="O467">
        <v>3</v>
      </c>
      <c r="P467">
        <v>1</v>
      </c>
      <c r="Q467">
        <v>0</v>
      </c>
      <c r="R467" s="4">
        <v>13.61</v>
      </c>
      <c r="S467">
        <v>0</v>
      </c>
      <c r="T467">
        <v>1</v>
      </c>
    </row>
    <row r="468" spans="1:20" ht="16.5" x14ac:dyDescent="0.3">
      <c r="A468" t="s">
        <v>510</v>
      </c>
      <c r="B468" s="1">
        <v>45363</v>
      </c>
      <c r="C468">
        <v>2024</v>
      </c>
      <c r="D468" t="s">
        <v>21</v>
      </c>
      <c r="E468" t="s">
        <v>437</v>
      </c>
      <c r="F468" t="s">
        <v>57</v>
      </c>
      <c r="G468" t="s">
        <v>35</v>
      </c>
      <c r="H468" t="s">
        <v>36</v>
      </c>
      <c r="I468" t="s">
        <v>26</v>
      </c>
      <c r="J468" t="s">
        <v>27</v>
      </c>
      <c r="K468" t="s">
        <v>32</v>
      </c>
      <c r="L468" s="2">
        <v>1.4</v>
      </c>
      <c r="M468" s="3">
        <v>215</v>
      </c>
      <c r="N468">
        <v>3</v>
      </c>
      <c r="O468">
        <v>3</v>
      </c>
      <c r="P468">
        <v>1</v>
      </c>
      <c r="Q468">
        <v>0</v>
      </c>
      <c r="R468" s="4">
        <v>10.19</v>
      </c>
      <c r="S468">
        <v>0</v>
      </c>
      <c r="T468">
        <v>1</v>
      </c>
    </row>
    <row r="469" spans="1:20" ht="16.5" x14ac:dyDescent="0.3">
      <c r="A469" t="s">
        <v>511</v>
      </c>
      <c r="B469" s="1">
        <v>45363</v>
      </c>
      <c r="C469">
        <v>2024</v>
      </c>
      <c r="D469" t="s">
        <v>21</v>
      </c>
      <c r="E469" t="s">
        <v>437</v>
      </c>
      <c r="F469" t="s">
        <v>23</v>
      </c>
      <c r="G469" t="s">
        <v>39</v>
      </c>
      <c r="H469" t="s">
        <v>48</v>
      </c>
      <c r="I469" t="s">
        <v>31</v>
      </c>
      <c r="J469" t="s">
        <v>27</v>
      </c>
      <c r="K469" t="s">
        <v>32</v>
      </c>
      <c r="L469" s="2">
        <v>8.4</v>
      </c>
      <c r="M469" s="3">
        <v>525</v>
      </c>
      <c r="N469">
        <v>6</v>
      </c>
      <c r="O469">
        <v>5</v>
      </c>
      <c r="P469">
        <v>1</v>
      </c>
      <c r="Q469">
        <v>0</v>
      </c>
      <c r="R469" s="4">
        <v>12.88</v>
      </c>
      <c r="S469">
        <v>0</v>
      </c>
      <c r="T469">
        <v>1</v>
      </c>
    </row>
    <row r="470" spans="1:20" ht="16.5" x14ac:dyDescent="0.3">
      <c r="A470" t="s">
        <v>512</v>
      </c>
      <c r="B470" s="1">
        <v>45364</v>
      </c>
      <c r="C470">
        <v>2024</v>
      </c>
      <c r="D470" t="s">
        <v>21</v>
      </c>
      <c r="E470" t="s">
        <v>437</v>
      </c>
      <c r="F470" t="s">
        <v>38</v>
      </c>
      <c r="G470" t="s">
        <v>24</v>
      </c>
      <c r="H470" t="s">
        <v>48</v>
      </c>
      <c r="I470" t="s">
        <v>31</v>
      </c>
      <c r="J470" t="s">
        <v>27</v>
      </c>
      <c r="K470" t="s">
        <v>32</v>
      </c>
      <c r="L470" s="2">
        <v>4.5</v>
      </c>
      <c r="M470" s="3">
        <v>510</v>
      </c>
      <c r="N470">
        <v>6</v>
      </c>
      <c r="O470">
        <v>8</v>
      </c>
      <c r="P470">
        <v>0</v>
      </c>
      <c r="Q470">
        <v>2</v>
      </c>
      <c r="R470" s="4">
        <v>13.41</v>
      </c>
      <c r="S470">
        <v>0</v>
      </c>
      <c r="T470">
        <v>1</v>
      </c>
    </row>
    <row r="471" spans="1:20" ht="16.5" x14ac:dyDescent="0.3">
      <c r="A471" t="s">
        <v>513</v>
      </c>
      <c r="B471" s="1">
        <v>45364</v>
      </c>
      <c r="C471">
        <v>2024</v>
      </c>
      <c r="D471" t="s">
        <v>21</v>
      </c>
      <c r="E471" t="s">
        <v>437</v>
      </c>
      <c r="F471" t="s">
        <v>23</v>
      </c>
      <c r="G471" t="s">
        <v>35</v>
      </c>
      <c r="H471" t="s">
        <v>25</v>
      </c>
      <c r="I471" t="s">
        <v>26</v>
      </c>
      <c r="J471" t="s">
        <v>27</v>
      </c>
      <c r="K471" t="s">
        <v>28</v>
      </c>
      <c r="L471" s="2">
        <v>64.3</v>
      </c>
      <c r="M471" s="3">
        <v>1000</v>
      </c>
      <c r="N471">
        <v>4</v>
      </c>
      <c r="O471">
        <v>4</v>
      </c>
      <c r="P471">
        <v>1</v>
      </c>
      <c r="Q471">
        <v>0</v>
      </c>
      <c r="R471" s="4">
        <v>50.53</v>
      </c>
      <c r="S471">
        <v>0</v>
      </c>
      <c r="T471">
        <v>1</v>
      </c>
    </row>
    <row r="472" spans="1:20" ht="16.5" x14ac:dyDescent="0.3">
      <c r="A472" t="s">
        <v>514</v>
      </c>
      <c r="B472" s="1">
        <v>45364</v>
      </c>
      <c r="C472">
        <v>2024</v>
      </c>
      <c r="D472" t="s">
        <v>21</v>
      </c>
      <c r="E472" t="s">
        <v>437</v>
      </c>
      <c r="F472" t="s">
        <v>34</v>
      </c>
      <c r="G472" t="s">
        <v>39</v>
      </c>
      <c r="H472" t="s">
        <v>36</v>
      </c>
      <c r="I472" t="s">
        <v>31</v>
      </c>
      <c r="J472" t="s">
        <v>27</v>
      </c>
      <c r="K472" t="s">
        <v>32</v>
      </c>
      <c r="L472" s="2">
        <v>4.7</v>
      </c>
      <c r="M472" s="3">
        <v>227</v>
      </c>
      <c r="N472">
        <v>5</v>
      </c>
      <c r="O472">
        <v>5</v>
      </c>
      <c r="P472">
        <v>1</v>
      </c>
      <c r="Q472">
        <v>0</v>
      </c>
      <c r="R472" s="4">
        <v>7.04</v>
      </c>
      <c r="S472">
        <v>0</v>
      </c>
      <c r="T472">
        <v>1</v>
      </c>
    </row>
    <row r="473" spans="1:20" ht="16.5" x14ac:dyDescent="0.3">
      <c r="A473" t="s">
        <v>515</v>
      </c>
      <c r="B473" s="1">
        <v>45364</v>
      </c>
      <c r="C473">
        <v>2024</v>
      </c>
      <c r="D473" t="s">
        <v>21</v>
      </c>
      <c r="E473" t="s">
        <v>437</v>
      </c>
      <c r="F473" t="s">
        <v>38</v>
      </c>
      <c r="G473" t="s">
        <v>39</v>
      </c>
      <c r="H473" t="s">
        <v>25</v>
      </c>
      <c r="I473" t="s">
        <v>26</v>
      </c>
      <c r="J473" t="s">
        <v>27</v>
      </c>
      <c r="K473" t="s">
        <v>28</v>
      </c>
      <c r="L473" s="2">
        <v>57.1</v>
      </c>
      <c r="M473" s="3">
        <v>803</v>
      </c>
      <c r="N473">
        <v>4</v>
      </c>
      <c r="O473">
        <v>3</v>
      </c>
      <c r="P473">
        <v>1</v>
      </c>
      <c r="Q473">
        <v>0</v>
      </c>
      <c r="R473" s="4">
        <v>46.44</v>
      </c>
      <c r="S473">
        <v>0</v>
      </c>
      <c r="T473">
        <v>1</v>
      </c>
    </row>
    <row r="474" spans="1:20" ht="16.5" x14ac:dyDescent="0.3">
      <c r="A474" t="s">
        <v>516</v>
      </c>
      <c r="B474" s="1">
        <v>45365</v>
      </c>
      <c r="C474">
        <v>2024</v>
      </c>
      <c r="D474" t="s">
        <v>21</v>
      </c>
      <c r="E474" t="s">
        <v>437</v>
      </c>
      <c r="F474" t="s">
        <v>30</v>
      </c>
      <c r="G474" t="s">
        <v>39</v>
      </c>
      <c r="H474" t="s">
        <v>48</v>
      </c>
      <c r="I474" t="s">
        <v>26</v>
      </c>
      <c r="J474" t="s">
        <v>27</v>
      </c>
      <c r="K474" t="s">
        <v>32</v>
      </c>
      <c r="L474" s="2">
        <v>8.1</v>
      </c>
      <c r="M474" s="3">
        <v>630</v>
      </c>
      <c r="N474">
        <v>4</v>
      </c>
      <c r="O474">
        <v>7</v>
      </c>
      <c r="P474">
        <v>0</v>
      </c>
      <c r="Q474">
        <v>3</v>
      </c>
      <c r="R474" s="4">
        <v>22.07</v>
      </c>
      <c r="S474">
        <v>0</v>
      </c>
      <c r="T474">
        <v>1</v>
      </c>
    </row>
    <row r="475" spans="1:20" ht="16.5" x14ac:dyDescent="0.3">
      <c r="A475" t="s">
        <v>517</v>
      </c>
      <c r="B475" s="1">
        <v>45365</v>
      </c>
      <c r="C475">
        <v>2024</v>
      </c>
      <c r="D475" t="s">
        <v>21</v>
      </c>
      <c r="E475" t="s">
        <v>437</v>
      </c>
      <c r="F475" t="s">
        <v>38</v>
      </c>
      <c r="G475" t="s">
        <v>39</v>
      </c>
      <c r="H475" t="s">
        <v>36</v>
      </c>
      <c r="I475" t="s">
        <v>40</v>
      </c>
      <c r="J475" t="s">
        <v>27</v>
      </c>
      <c r="K475" t="s">
        <v>32</v>
      </c>
      <c r="L475" s="2">
        <v>2.2999999999999998</v>
      </c>
      <c r="M475" s="3">
        <v>277</v>
      </c>
      <c r="N475">
        <v>1</v>
      </c>
      <c r="O475">
        <v>1</v>
      </c>
      <c r="P475">
        <v>1</v>
      </c>
      <c r="Q475">
        <v>0</v>
      </c>
      <c r="R475" s="4">
        <v>23.87</v>
      </c>
      <c r="S475">
        <v>0</v>
      </c>
      <c r="T475">
        <v>1</v>
      </c>
    </row>
    <row r="476" spans="1:20" ht="16.5" x14ac:dyDescent="0.3">
      <c r="A476" t="s">
        <v>518</v>
      </c>
      <c r="B476" s="1">
        <v>45365</v>
      </c>
      <c r="C476">
        <v>2024</v>
      </c>
      <c r="D476" t="s">
        <v>21</v>
      </c>
      <c r="E476" t="s">
        <v>437</v>
      </c>
      <c r="F476" t="s">
        <v>30</v>
      </c>
      <c r="G476" t="s">
        <v>39</v>
      </c>
      <c r="H476" t="s">
        <v>51</v>
      </c>
      <c r="I476" t="s">
        <v>26</v>
      </c>
      <c r="J476" t="s">
        <v>27</v>
      </c>
      <c r="K476" t="s">
        <v>32</v>
      </c>
      <c r="L476" s="2">
        <v>12.1</v>
      </c>
      <c r="M476" s="3">
        <v>1176</v>
      </c>
      <c r="N476">
        <v>5</v>
      </c>
      <c r="O476">
        <v>6</v>
      </c>
      <c r="P476">
        <v>0</v>
      </c>
      <c r="Q476">
        <v>1</v>
      </c>
      <c r="R476" s="4">
        <v>27.13</v>
      </c>
      <c r="S476">
        <v>0</v>
      </c>
      <c r="T476">
        <v>1</v>
      </c>
    </row>
    <row r="477" spans="1:20" ht="16.5" x14ac:dyDescent="0.3">
      <c r="A477" t="s">
        <v>519</v>
      </c>
      <c r="B477" s="1">
        <v>45365</v>
      </c>
      <c r="C477">
        <v>2024</v>
      </c>
      <c r="D477" t="s">
        <v>21</v>
      </c>
      <c r="E477" t="s">
        <v>437</v>
      </c>
      <c r="F477" t="s">
        <v>34</v>
      </c>
      <c r="G477" t="s">
        <v>24</v>
      </c>
      <c r="H477" t="s">
        <v>48</v>
      </c>
      <c r="I477" t="s">
        <v>26</v>
      </c>
      <c r="J477" t="s">
        <v>27</v>
      </c>
      <c r="K477" t="s">
        <v>32</v>
      </c>
      <c r="L477" s="2">
        <v>8.1999999999999993</v>
      </c>
      <c r="M477" s="3">
        <v>551</v>
      </c>
      <c r="N477">
        <v>4</v>
      </c>
      <c r="O477">
        <v>5</v>
      </c>
      <c r="P477">
        <v>0</v>
      </c>
      <c r="Q477">
        <v>1</v>
      </c>
      <c r="R477" s="4">
        <v>15.84</v>
      </c>
      <c r="S477">
        <v>0</v>
      </c>
      <c r="T477">
        <v>1</v>
      </c>
    </row>
    <row r="478" spans="1:20" ht="16.5" x14ac:dyDescent="0.3">
      <c r="A478" t="s">
        <v>520</v>
      </c>
      <c r="B478" s="1">
        <v>45365</v>
      </c>
      <c r="C478">
        <v>2024</v>
      </c>
      <c r="D478" t="s">
        <v>21</v>
      </c>
      <c r="E478" t="s">
        <v>437</v>
      </c>
      <c r="F478" t="s">
        <v>34</v>
      </c>
      <c r="G478" t="s">
        <v>35</v>
      </c>
      <c r="H478" t="s">
        <v>36</v>
      </c>
      <c r="I478" t="s">
        <v>26</v>
      </c>
      <c r="J478" t="s">
        <v>27</v>
      </c>
      <c r="K478" t="s">
        <v>28</v>
      </c>
      <c r="L478" s="2">
        <v>33.9</v>
      </c>
      <c r="M478" s="3">
        <v>221</v>
      </c>
      <c r="N478">
        <v>3</v>
      </c>
      <c r="O478">
        <v>3</v>
      </c>
      <c r="P478">
        <v>1</v>
      </c>
      <c r="Q478">
        <v>0</v>
      </c>
      <c r="R478" s="4">
        <v>21.84</v>
      </c>
      <c r="S478">
        <v>0</v>
      </c>
      <c r="T478">
        <v>1</v>
      </c>
    </row>
    <row r="479" spans="1:20" ht="16.5" x14ac:dyDescent="0.3">
      <c r="A479" t="s">
        <v>521</v>
      </c>
      <c r="B479" s="1">
        <v>45365</v>
      </c>
      <c r="C479">
        <v>2024</v>
      </c>
      <c r="D479" t="s">
        <v>21</v>
      </c>
      <c r="E479" t="s">
        <v>437</v>
      </c>
      <c r="F479" t="s">
        <v>34</v>
      </c>
      <c r="G479" t="s">
        <v>39</v>
      </c>
      <c r="H479" t="s">
        <v>25</v>
      </c>
      <c r="I479" t="s">
        <v>31</v>
      </c>
      <c r="J479" t="s">
        <v>27</v>
      </c>
      <c r="K479" t="s">
        <v>32</v>
      </c>
      <c r="L479" s="2">
        <v>3.8</v>
      </c>
      <c r="M479" s="3">
        <v>1047</v>
      </c>
      <c r="N479">
        <v>6</v>
      </c>
      <c r="O479">
        <v>5</v>
      </c>
      <c r="P479">
        <v>1</v>
      </c>
      <c r="Q479">
        <v>0</v>
      </c>
      <c r="R479" s="4">
        <v>11.97</v>
      </c>
      <c r="S479">
        <v>0</v>
      </c>
      <c r="T479">
        <v>1</v>
      </c>
    </row>
    <row r="480" spans="1:20" ht="16.5" x14ac:dyDescent="0.3">
      <c r="A480" t="s">
        <v>522</v>
      </c>
      <c r="B480" s="1">
        <v>45365</v>
      </c>
      <c r="C480">
        <v>2024</v>
      </c>
      <c r="D480" t="s">
        <v>21</v>
      </c>
      <c r="E480" t="s">
        <v>437</v>
      </c>
      <c r="F480" t="s">
        <v>34</v>
      </c>
      <c r="G480" t="s">
        <v>39</v>
      </c>
      <c r="H480" t="s">
        <v>51</v>
      </c>
      <c r="I480" t="s">
        <v>26</v>
      </c>
      <c r="J480" t="s">
        <v>27</v>
      </c>
      <c r="K480" t="s">
        <v>28</v>
      </c>
      <c r="L480" s="2">
        <v>98.3</v>
      </c>
      <c r="M480" s="3">
        <v>1023</v>
      </c>
      <c r="N480">
        <v>5</v>
      </c>
      <c r="O480">
        <v>5</v>
      </c>
      <c r="P480">
        <v>1</v>
      </c>
      <c r="Q480">
        <v>0</v>
      </c>
      <c r="R480" s="4">
        <v>52.78</v>
      </c>
      <c r="S480">
        <v>0</v>
      </c>
      <c r="T480">
        <v>1</v>
      </c>
    </row>
    <row r="481" spans="1:20" ht="16.5" x14ac:dyDescent="0.3">
      <c r="A481" t="s">
        <v>523</v>
      </c>
      <c r="B481" s="1">
        <v>45365</v>
      </c>
      <c r="C481">
        <v>2024</v>
      </c>
      <c r="D481" t="s">
        <v>21</v>
      </c>
      <c r="E481" t="s">
        <v>437</v>
      </c>
      <c r="F481" t="s">
        <v>23</v>
      </c>
      <c r="G481" t="s">
        <v>35</v>
      </c>
      <c r="H481" t="s">
        <v>48</v>
      </c>
      <c r="I481" t="s">
        <v>26</v>
      </c>
      <c r="J481" t="s">
        <v>27</v>
      </c>
      <c r="K481" t="s">
        <v>28</v>
      </c>
      <c r="L481" s="2">
        <v>30.5</v>
      </c>
      <c r="M481" s="3">
        <v>448</v>
      </c>
      <c r="N481">
        <v>4</v>
      </c>
      <c r="O481">
        <v>3</v>
      </c>
      <c r="P481">
        <v>1</v>
      </c>
      <c r="Q481">
        <v>0</v>
      </c>
      <c r="R481" s="4">
        <v>23.87</v>
      </c>
      <c r="S481">
        <v>0</v>
      </c>
      <c r="T481">
        <v>1</v>
      </c>
    </row>
    <row r="482" spans="1:20" ht="16.5" x14ac:dyDescent="0.3">
      <c r="A482" t="s">
        <v>524</v>
      </c>
      <c r="B482" s="1">
        <v>45365</v>
      </c>
      <c r="C482">
        <v>2024</v>
      </c>
      <c r="D482" t="s">
        <v>21</v>
      </c>
      <c r="E482" t="s">
        <v>437</v>
      </c>
      <c r="F482" t="s">
        <v>38</v>
      </c>
      <c r="G482" t="s">
        <v>39</v>
      </c>
      <c r="H482" t="s">
        <v>51</v>
      </c>
      <c r="I482" t="s">
        <v>26</v>
      </c>
      <c r="J482" t="s">
        <v>27</v>
      </c>
      <c r="K482" t="s">
        <v>32</v>
      </c>
      <c r="L482" s="2">
        <v>8.6</v>
      </c>
      <c r="M482" s="3">
        <v>1091</v>
      </c>
      <c r="N482">
        <v>5</v>
      </c>
      <c r="O482">
        <v>5</v>
      </c>
      <c r="P482">
        <v>1</v>
      </c>
      <c r="Q482">
        <v>0</v>
      </c>
      <c r="R482" s="4">
        <v>29.17</v>
      </c>
      <c r="S482">
        <v>0</v>
      </c>
      <c r="T482">
        <v>1</v>
      </c>
    </row>
    <row r="483" spans="1:20" ht="16.5" x14ac:dyDescent="0.3">
      <c r="A483" t="s">
        <v>525</v>
      </c>
      <c r="B483" s="1">
        <v>45365</v>
      </c>
      <c r="C483">
        <v>2024</v>
      </c>
      <c r="D483" t="s">
        <v>21</v>
      </c>
      <c r="E483" t="s">
        <v>437</v>
      </c>
      <c r="F483" t="s">
        <v>23</v>
      </c>
      <c r="G483" t="s">
        <v>24</v>
      </c>
      <c r="H483" t="s">
        <v>43</v>
      </c>
      <c r="I483" t="s">
        <v>40</v>
      </c>
      <c r="J483" t="s">
        <v>41</v>
      </c>
      <c r="K483" t="s">
        <v>28</v>
      </c>
      <c r="L483" s="2">
        <v>128.19999999999999</v>
      </c>
      <c r="M483" s="3">
        <v>1025</v>
      </c>
      <c r="N483">
        <v>3</v>
      </c>
      <c r="O483">
        <v>3</v>
      </c>
      <c r="P483">
        <v>1</v>
      </c>
      <c r="Q483">
        <v>0</v>
      </c>
      <c r="R483" s="4">
        <v>214.62</v>
      </c>
      <c r="S483">
        <v>0</v>
      </c>
      <c r="T483">
        <v>1</v>
      </c>
    </row>
    <row r="484" spans="1:20" ht="16.5" x14ac:dyDescent="0.3">
      <c r="A484" t="s">
        <v>526</v>
      </c>
      <c r="B484" s="1">
        <v>45365</v>
      </c>
      <c r="C484">
        <v>2024</v>
      </c>
      <c r="D484" t="s">
        <v>21</v>
      </c>
      <c r="E484" t="s">
        <v>437</v>
      </c>
      <c r="F484" t="s">
        <v>30</v>
      </c>
      <c r="G484" t="s">
        <v>39</v>
      </c>
      <c r="H484" t="s">
        <v>25</v>
      </c>
      <c r="I484" t="s">
        <v>31</v>
      </c>
      <c r="J484" t="s">
        <v>27</v>
      </c>
      <c r="K484" t="s">
        <v>32</v>
      </c>
      <c r="L484" s="2">
        <v>8.1999999999999993</v>
      </c>
      <c r="M484" s="3">
        <v>902</v>
      </c>
      <c r="N484">
        <v>6</v>
      </c>
      <c r="O484">
        <v>6</v>
      </c>
      <c r="P484">
        <v>1</v>
      </c>
      <c r="Q484">
        <v>0</v>
      </c>
      <c r="R484" s="4">
        <v>16.93</v>
      </c>
      <c r="S484">
        <v>0</v>
      </c>
      <c r="T484">
        <v>1</v>
      </c>
    </row>
    <row r="485" spans="1:20" ht="16.5" x14ac:dyDescent="0.3">
      <c r="A485" t="s">
        <v>527</v>
      </c>
      <c r="B485" s="1">
        <v>45365</v>
      </c>
      <c r="C485">
        <v>2024</v>
      </c>
      <c r="D485" t="s">
        <v>21</v>
      </c>
      <c r="E485" t="s">
        <v>437</v>
      </c>
      <c r="F485" t="s">
        <v>23</v>
      </c>
      <c r="G485" t="s">
        <v>24</v>
      </c>
      <c r="H485" t="s">
        <v>48</v>
      </c>
      <c r="I485" t="s">
        <v>26</v>
      </c>
      <c r="J485" t="s">
        <v>27</v>
      </c>
      <c r="K485" t="s">
        <v>32</v>
      </c>
      <c r="L485" s="2">
        <v>6.6</v>
      </c>
      <c r="M485" s="3">
        <v>467</v>
      </c>
      <c r="N485">
        <v>4</v>
      </c>
      <c r="O485">
        <v>4</v>
      </c>
      <c r="P485">
        <v>1</v>
      </c>
      <c r="Q485">
        <v>0</v>
      </c>
      <c r="R485" s="4">
        <v>14.91</v>
      </c>
      <c r="S485">
        <v>0</v>
      </c>
      <c r="T485">
        <v>1</v>
      </c>
    </row>
    <row r="486" spans="1:20" ht="16.5" x14ac:dyDescent="0.3">
      <c r="A486" t="s">
        <v>528</v>
      </c>
      <c r="B486" s="1">
        <v>45366</v>
      </c>
      <c r="C486">
        <v>2024</v>
      </c>
      <c r="D486" t="s">
        <v>21</v>
      </c>
      <c r="E486" t="s">
        <v>437</v>
      </c>
      <c r="F486" t="s">
        <v>34</v>
      </c>
      <c r="G486" t="s">
        <v>35</v>
      </c>
      <c r="H486" t="s">
        <v>51</v>
      </c>
      <c r="I486" t="s">
        <v>26</v>
      </c>
      <c r="J486" t="s">
        <v>27</v>
      </c>
      <c r="K486" t="s">
        <v>28</v>
      </c>
      <c r="L486" s="2">
        <v>97.9</v>
      </c>
      <c r="M486" s="3">
        <v>838</v>
      </c>
      <c r="N486">
        <v>5</v>
      </c>
      <c r="O486">
        <v>4</v>
      </c>
      <c r="P486">
        <v>1</v>
      </c>
      <c r="Q486">
        <v>0</v>
      </c>
      <c r="R486" s="4">
        <v>54.5</v>
      </c>
      <c r="S486">
        <v>0</v>
      </c>
      <c r="T486">
        <v>1</v>
      </c>
    </row>
    <row r="487" spans="1:20" ht="16.5" x14ac:dyDescent="0.3">
      <c r="A487" t="s">
        <v>529</v>
      </c>
      <c r="B487" s="1">
        <v>45366</v>
      </c>
      <c r="C487">
        <v>2024</v>
      </c>
      <c r="D487" t="s">
        <v>21</v>
      </c>
      <c r="E487" t="s">
        <v>437</v>
      </c>
      <c r="F487" t="s">
        <v>57</v>
      </c>
      <c r="G487" t="s">
        <v>39</v>
      </c>
      <c r="H487" t="s">
        <v>51</v>
      </c>
      <c r="I487" t="s">
        <v>40</v>
      </c>
      <c r="J487" t="s">
        <v>41</v>
      </c>
      <c r="K487" t="s">
        <v>32</v>
      </c>
      <c r="L487" s="2">
        <v>3</v>
      </c>
      <c r="M487" s="3">
        <v>1034</v>
      </c>
      <c r="N487">
        <v>3</v>
      </c>
      <c r="O487">
        <v>3</v>
      </c>
      <c r="P487">
        <v>1</v>
      </c>
      <c r="Q487">
        <v>0</v>
      </c>
      <c r="R487" s="4">
        <v>58.82</v>
      </c>
      <c r="S487">
        <v>0</v>
      </c>
      <c r="T487">
        <v>1</v>
      </c>
    </row>
    <row r="488" spans="1:20" ht="16.5" x14ac:dyDescent="0.3">
      <c r="A488" t="s">
        <v>530</v>
      </c>
      <c r="B488" s="1">
        <v>45366</v>
      </c>
      <c r="C488">
        <v>2024</v>
      </c>
      <c r="D488" t="s">
        <v>21</v>
      </c>
      <c r="E488" t="s">
        <v>437</v>
      </c>
      <c r="F488" t="s">
        <v>38</v>
      </c>
      <c r="G488" t="s">
        <v>39</v>
      </c>
      <c r="H488" t="s">
        <v>25</v>
      </c>
      <c r="I488" t="s">
        <v>40</v>
      </c>
      <c r="J488" t="s">
        <v>41</v>
      </c>
      <c r="K488" t="s">
        <v>32</v>
      </c>
      <c r="L488" s="2">
        <v>7.5</v>
      </c>
      <c r="M488" s="3">
        <v>998</v>
      </c>
      <c r="N488">
        <v>2</v>
      </c>
      <c r="O488">
        <v>2</v>
      </c>
      <c r="P488">
        <v>1</v>
      </c>
      <c r="Q488">
        <v>0</v>
      </c>
      <c r="R488" s="4">
        <v>76.12</v>
      </c>
      <c r="S488">
        <v>0</v>
      </c>
      <c r="T488">
        <v>1</v>
      </c>
    </row>
    <row r="489" spans="1:20" ht="16.5" x14ac:dyDescent="0.3">
      <c r="A489" t="s">
        <v>531</v>
      </c>
      <c r="B489" s="1">
        <v>45367</v>
      </c>
      <c r="C489">
        <v>2024</v>
      </c>
      <c r="D489" t="s">
        <v>21</v>
      </c>
      <c r="E489" t="s">
        <v>437</v>
      </c>
      <c r="F489" t="s">
        <v>23</v>
      </c>
      <c r="G489" t="s">
        <v>35</v>
      </c>
      <c r="H489" t="s">
        <v>25</v>
      </c>
      <c r="I489" t="s">
        <v>31</v>
      </c>
      <c r="J489" t="s">
        <v>27</v>
      </c>
      <c r="K489" t="s">
        <v>32</v>
      </c>
      <c r="L489" s="2">
        <v>12.1</v>
      </c>
      <c r="M489" s="3">
        <v>940</v>
      </c>
      <c r="N489">
        <v>6</v>
      </c>
      <c r="O489">
        <v>6</v>
      </c>
      <c r="P489">
        <v>1</v>
      </c>
      <c r="Q489">
        <v>0</v>
      </c>
      <c r="R489" s="4">
        <v>16.78</v>
      </c>
      <c r="S489">
        <v>0</v>
      </c>
      <c r="T489">
        <v>1</v>
      </c>
    </row>
    <row r="490" spans="1:20" ht="16.5" x14ac:dyDescent="0.3">
      <c r="A490" t="s">
        <v>532</v>
      </c>
      <c r="B490" s="1">
        <v>45367</v>
      </c>
      <c r="C490">
        <v>2024</v>
      </c>
      <c r="D490" t="s">
        <v>21</v>
      </c>
      <c r="E490" t="s">
        <v>437</v>
      </c>
      <c r="F490" t="s">
        <v>34</v>
      </c>
      <c r="G490" t="s">
        <v>35</v>
      </c>
      <c r="H490" t="s">
        <v>48</v>
      </c>
      <c r="I490" t="s">
        <v>26</v>
      </c>
      <c r="J490" t="s">
        <v>27</v>
      </c>
      <c r="K490" t="s">
        <v>32</v>
      </c>
      <c r="L490" s="2">
        <v>5.8</v>
      </c>
      <c r="M490" s="3">
        <v>392</v>
      </c>
      <c r="N490">
        <v>4</v>
      </c>
      <c r="O490">
        <v>4</v>
      </c>
      <c r="P490">
        <v>1</v>
      </c>
      <c r="Q490">
        <v>0</v>
      </c>
      <c r="R490" s="4">
        <v>12.06</v>
      </c>
      <c r="S490">
        <v>0</v>
      </c>
      <c r="T490">
        <v>1</v>
      </c>
    </row>
    <row r="491" spans="1:20" ht="16.5" x14ac:dyDescent="0.3">
      <c r="A491" t="s">
        <v>533</v>
      </c>
      <c r="B491" s="1">
        <v>45367</v>
      </c>
      <c r="C491">
        <v>2024</v>
      </c>
      <c r="D491" t="s">
        <v>21</v>
      </c>
      <c r="E491" t="s">
        <v>437</v>
      </c>
      <c r="F491" t="s">
        <v>23</v>
      </c>
      <c r="G491" t="s">
        <v>24</v>
      </c>
      <c r="H491" t="s">
        <v>25</v>
      </c>
      <c r="I491" t="s">
        <v>26</v>
      </c>
      <c r="J491" t="s">
        <v>27</v>
      </c>
      <c r="K491" t="s">
        <v>28</v>
      </c>
      <c r="L491" s="2">
        <v>91.4</v>
      </c>
      <c r="M491" s="3">
        <v>881</v>
      </c>
      <c r="N491">
        <v>4</v>
      </c>
      <c r="O491">
        <v>4</v>
      </c>
      <c r="P491">
        <v>1</v>
      </c>
      <c r="Q491">
        <v>0</v>
      </c>
      <c r="R491" s="4">
        <v>59.46</v>
      </c>
      <c r="S491">
        <v>0</v>
      </c>
      <c r="T491">
        <v>1</v>
      </c>
    </row>
    <row r="492" spans="1:20" ht="16.5" x14ac:dyDescent="0.3">
      <c r="A492" t="s">
        <v>534</v>
      </c>
      <c r="B492" s="1">
        <v>45367</v>
      </c>
      <c r="C492">
        <v>2024</v>
      </c>
      <c r="D492" t="s">
        <v>21</v>
      </c>
      <c r="E492" t="s">
        <v>437</v>
      </c>
      <c r="F492" t="s">
        <v>30</v>
      </c>
      <c r="G492" t="s">
        <v>39</v>
      </c>
      <c r="H492" t="s">
        <v>36</v>
      </c>
      <c r="I492" t="s">
        <v>26</v>
      </c>
      <c r="J492" t="s">
        <v>27</v>
      </c>
      <c r="K492" t="s">
        <v>32</v>
      </c>
      <c r="L492" s="2">
        <v>1.9</v>
      </c>
      <c r="M492" s="3">
        <v>235</v>
      </c>
      <c r="N492">
        <v>3</v>
      </c>
      <c r="O492">
        <v>4</v>
      </c>
      <c r="P492">
        <v>0</v>
      </c>
      <c r="Q492">
        <v>1</v>
      </c>
      <c r="R492" s="4">
        <v>11.71</v>
      </c>
      <c r="S492">
        <v>0</v>
      </c>
      <c r="T492">
        <v>1</v>
      </c>
    </row>
    <row r="493" spans="1:20" ht="16.5" x14ac:dyDescent="0.3">
      <c r="A493" t="s">
        <v>535</v>
      </c>
      <c r="B493" s="1">
        <v>45368</v>
      </c>
      <c r="C493">
        <v>2024</v>
      </c>
      <c r="D493" t="s">
        <v>21</v>
      </c>
      <c r="E493" t="s">
        <v>437</v>
      </c>
      <c r="F493" t="s">
        <v>38</v>
      </c>
      <c r="G493" t="s">
        <v>24</v>
      </c>
      <c r="H493" t="s">
        <v>48</v>
      </c>
      <c r="I493" t="s">
        <v>40</v>
      </c>
      <c r="J493" t="s">
        <v>27</v>
      </c>
      <c r="K493" t="s">
        <v>32</v>
      </c>
      <c r="L493" s="2">
        <v>6.8</v>
      </c>
      <c r="M493" s="3">
        <v>540</v>
      </c>
      <c r="N493">
        <v>2</v>
      </c>
      <c r="O493">
        <v>2</v>
      </c>
      <c r="P493">
        <v>1</v>
      </c>
      <c r="Q493">
        <v>0</v>
      </c>
      <c r="R493" s="4">
        <v>33.78</v>
      </c>
      <c r="S493">
        <v>0</v>
      </c>
      <c r="T493">
        <v>1</v>
      </c>
    </row>
    <row r="494" spans="1:20" ht="16.5" x14ac:dyDescent="0.3">
      <c r="A494" t="s">
        <v>536</v>
      </c>
      <c r="B494" s="1">
        <v>45368</v>
      </c>
      <c r="C494">
        <v>2024</v>
      </c>
      <c r="D494" t="s">
        <v>21</v>
      </c>
      <c r="E494" t="s">
        <v>437</v>
      </c>
      <c r="F494" t="s">
        <v>38</v>
      </c>
      <c r="G494" t="s">
        <v>39</v>
      </c>
      <c r="H494" t="s">
        <v>25</v>
      </c>
      <c r="I494" t="s">
        <v>31</v>
      </c>
      <c r="J494" t="s">
        <v>27</v>
      </c>
      <c r="K494" t="s">
        <v>28</v>
      </c>
      <c r="L494" s="2">
        <v>168.6</v>
      </c>
      <c r="M494" s="3">
        <v>1094</v>
      </c>
      <c r="N494">
        <v>6</v>
      </c>
      <c r="O494">
        <v>6</v>
      </c>
      <c r="P494">
        <v>1</v>
      </c>
      <c r="Q494">
        <v>0</v>
      </c>
      <c r="R494" s="4">
        <v>73.27</v>
      </c>
      <c r="S494">
        <v>0</v>
      </c>
      <c r="T494">
        <v>1</v>
      </c>
    </row>
    <row r="495" spans="1:20" ht="16.5" x14ac:dyDescent="0.3">
      <c r="A495" t="s">
        <v>537</v>
      </c>
      <c r="B495" s="1">
        <v>45368</v>
      </c>
      <c r="C495">
        <v>2024</v>
      </c>
      <c r="D495" t="s">
        <v>21</v>
      </c>
      <c r="E495" t="s">
        <v>437</v>
      </c>
      <c r="F495" t="s">
        <v>23</v>
      </c>
      <c r="G495" t="s">
        <v>35</v>
      </c>
      <c r="H495" t="s">
        <v>51</v>
      </c>
      <c r="I495" t="s">
        <v>40</v>
      </c>
      <c r="J495" t="s">
        <v>41</v>
      </c>
      <c r="K495" t="s">
        <v>28</v>
      </c>
      <c r="L495" s="2">
        <v>145.6</v>
      </c>
      <c r="M495" s="3">
        <v>1243</v>
      </c>
      <c r="N495">
        <v>3</v>
      </c>
      <c r="O495">
        <v>3</v>
      </c>
      <c r="P495">
        <v>1</v>
      </c>
      <c r="Q495">
        <v>0</v>
      </c>
      <c r="R495" s="4">
        <v>237.65</v>
      </c>
      <c r="S495">
        <v>0</v>
      </c>
      <c r="T495">
        <v>1</v>
      </c>
    </row>
    <row r="496" spans="1:20" ht="16.5" x14ac:dyDescent="0.3">
      <c r="A496" t="s">
        <v>538</v>
      </c>
      <c r="B496" s="1">
        <v>45369</v>
      </c>
      <c r="C496">
        <v>2024</v>
      </c>
      <c r="D496" t="s">
        <v>21</v>
      </c>
      <c r="E496" t="s">
        <v>437</v>
      </c>
      <c r="F496" t="s">
        <v>30</v>
      </c>
      <c r="G496" t="s">
        <v>35</v>
      </c>
      <c r="H496" t="s">
        <v>48</v>
      </c>
      <c r="I496" t="s">
        <v>31</v>
      </c>
      <c r="J496" t="s">
        <v>27</v>
      </c>
      <c r="K496" t="s">
        <v>28</v>
      </c>
      <c r="L496" s="2">
        <v>35.799999999999997</v>
      </c>
      <c r="M496" s="3">
        <v>451</v>
      </c>
      <c r="N496">
        <v>6</v>
      </c>
      <c r="O496">
        <v>6</v>
      </c>
      <c r="P496">
        <v>1</v>
      </c>
      <c r="Q496">
        <v>0</v>
      </c>
      <c r="R496" s="4">
        <v>25.01</v>
      </c>
      <c r="S496">
        <v>0</v>
      </c>
      <c r="T496">
        <v>1</v>
      </c>
    </row>
    <row r="497" spans="1:20" ht="16.5" x14ac:dyDescent="0.3">
      <c r="A497" t="s">
        <v>539</v>
      </c>
      <c r="B497" s="1">
        <v>45369</v>
      </c>
      <c r="C497">
        <v>2024</v>
      </c>
      <c r="D497" t="s">
        <v>21</v>
      </c>
      <c r="E497" t="s">
        <v>437</v>
      </c>
      <c r="F497" t="s">
        <v>30</v>
      </c>
      <c r="G497" t="s">
        <v>39</v>
      </c>
      <c r="H497" t="s">
        <v>36</v>
      </c>
      <c r="I497" t="s">
        <v>40</v>
      </c>
      <c r="J497" t="s">
        <v>27</v>
      </c>
      <c r="K497" t="s">
        <v>32</v>
      </c>
      <c r="L497" s="2">
        <v>8.1</v>
      </c>
      <c r="M497" s="3">
        <v>320</v>
      </c>
      <c r="N497">
        <v>1</v>
      </c>
      <c r="O497">
        <v>1</v>
      </c>
      <c r="P497">
        <v>1</v>
      </c>
      <c r="Q497">
        <v>0</v>
      </c>
      <c r="R497" s="4">
        <v>31.54</v>
      </c>
      <c r="S497">
        <v>0</v>
      </c>
      <c r="T497">
        <v>1</v>
      </c>
    </row>
    <row r="498" spans="1:20" ht="16.5" x14ac:dyDescent="0.3">
      <c r="A498" t="s">
        <v>540</v>
      </c>
      <c r="B498" s="1">
        <v>45369</v>
      </c>
      <c r="C498">
        <v>2024</v>
      </c>
      <c r="D498" t="s">
        <v>21</v>
      </c>
      <c r="E498" t="s">
        <v>437</v>
      </c>
      <c r="F498" t="s">
        <v>34</v>
      </c>
      <c r="G498" t="s">
        <v>39</v>
      </c>
      <c r="H498" t="s">
        <v>36</v>
      </c>
      <c r="I498" t="s">
        <v>26</v>
      </c>
      <c r="J498" t="s">
        <v>27</v>
      </c>
      <c r="K498" t="s">
        <v>28</v>
      </c>
      <c r="L498" s="2">
        <v>104.7</v>
      </c>
      <c r="M498" s="3">
        <v>216</v>
      </c>
      <c r="N498">
        <v>3</v>
      </c>
      <c r="O498">
        <v>5</v>
      </c>
      <c r="P498">
        <v>0</v>
      </c>
      <c r="Q498">
        <v>2</v>
      </c>
      <c r="R498" s="4">
        <v>47.93</v>
      </c>
      <c r="S498">
        <v>0</v>
      </c>
      <c r="T498">
        <v>1</v>
      </c>
    </row>
    <row r="499" spans="1:20" ht="16.5" x14ac:dyDescent="0.3">
      <c r="A499" t="s">
        <v>541</v>
      </c>
      <c r="B499" s="1">
        <v>45369</v>
      </c>
      <c r="C499">
        <v>2024</v>
      </c>
      <c r="D499" t="s">
        <v>21</v>
      </c>
      <c r="E499" t="s">
        <v>437</v>
      </c>
      <c r="F499" t="s">
        <v>57</v>
      </c>
      <c r="G499" t="s">
        <v>35</v>
      </c>
      <c r="H499" t="s">
        <v>48</v>
      </c>
      <c r="I499" t="s">
        <v>26</v>
      </c>
      <c r="J499" t="s">
        <v>27</v>
      </c>
      <c r="K499" t="s">
        <v>28</v>
      </c>
      <c r="L499" s="2">
        <v>82.9</v>
      </c>
      <c r="M499" s="3">
        <v>467</v>
      </c>
      <c r="N499">
        <v>4</v>
      </c>
      <c r="O499">
        <v>3</v>
      </c>
      <c r="P499">
        <v>1</v>
      </c>
      <c r="Q499">
        <v>0</v>
      </c>
      <c r="R499" s="4">
        <v>49.08</v>
      </c>
      <c r="S499">
        <v>0</v>
      </c>
      <c r="T499">
        <v>1</v>
      </c>
    </row>
    <row r="500" spans="1:20" ht="16.5" x14ac:dyDescent="0.3">
      <c r="A500" t="s">
        <v>542</v>
      </c>
      <c r="B500" s="1">
        <v>45369</v>
      </c>
      <c r="C500">
        <v>2024</v>
      </c>
      <c r="D500" t="s">
        <v>21</v>
      </c>
      <c r="E500" t="s">
        <v>437</v>
      </c>
      <c r="F500" t="s">
        <v>30</v>
      </c>
      <c r="G500" t="s">
        <v>24</v>
      </c>
      <c r="H500" t="s">
        <v>25</v>
      </c>
      <c r="I500" t="s">
        <v>26</v>
      </c>
      <c r="J500" t="s">
        <v>27</v>
      </c>
      <c r="K500" t="s">
        <v>28</v>
      </c>
      <c r="L500" s="2">
        <v>33.1</v>
      </c>
      <c r="M500" s="3">
        <v>962</v>
      </c>
      <c r="N500">
        <v>4</v>
      </c>
      <c r="O500">
        <v>3</v>
      </c>
      <c r="P500">
        <v>1</v>
      </c>
      <c r="Q500">
        <v>0</v>
      </c>
      <c r="R500" s="4">
        <v>38.33</v>
      </c>
      <c r="S500">
        <v>0</v>
      </c>
      <c r="T500">
        <v>1</v>
      </c>
    </row>
    <row r="501" spans="1:20" ht="16.5" x14ac:dyDescent="0.3">
      <c r="A501" t="s">
        <v>543</v>
      </c>
      <c r="B501" s="1">
        <v>45369</v>
      </c>
      <c r="C501">
        <v>2024</v>
      </c>
      <c r="D501" t="s">
        <v>21</v>
      </c>
      <c r="E501" t="s">
        <v>437</v>
      </c>
      <c r="F501" t="s">
        <v>23</v>
      </c>
      <c r="G501" t="s">
        <v>35</v>
      </c>
      <c r="H501" t="s">
        <v>43</v>
      </c>
      <c r="I501" t="s">
        <v>31</v>
      </c>
      <c r="J501" t="s">
        <v>27</v>
      </c>
      <c r="K501" t="s">
        <v>32</v>
      </c>
      <c r="L501" s="2">
        <v>1.5</v>
      </c>
      <c r="M501" s="3">
        <v>1201</v>
      </c>
      <c r="N501">
        <v>7</v>
      </c>
      <c r="O501">
        <v>6</v>
      </c>
      <c r="P501">
        <v>1</v>
      </c>
      <c r="Q501">
        <v>0</v>
      </c>
      <c r="R501" s="4">
        <v>16.38</v>
      </c>
      <c r="S501">
        <v>0</v>
      </c>
      <c r="T501">
        <v>1</v>
      </c>
    </row>
    <row r="502" spans="1:20" ht="16.5" x14ac:dyDescent="0.3">
      <c r="A502" t="s">
        <v>544</v>
      </c>
      <c r="B502" s="1">
        <v>45369</v>
      </c>
      <c r="C502">
        <v>2024</v>
      </c>
      <c r="D502" t="s">
        <v>21</v>
      </c>
      <c r="E502" t="s">
        <v>437</v>
      </c>
      <c r="F502" t="s">
        <v>30</v>
      </c>
      <c r="G502" t="s">
        <v>39</v>
      </c>
      <c r="H502" t="s">
        <v>25</v>
      </c>
      <c r="I502" t="s">
        <v>31</v>
      </c>
      <c r="J502" t="s">
        <v>27</v>
      </c>
      <c r="K502" t="s">
        <v>28</v>
      </c>
      <c r="L502" s="2">
        <v>121</v>
      </c>
      <c r="M502" s="3">
        <v>887</v>
      </c>
      <c r="N502">
        <v>6</v>
      </c>
      <c r="O502">
        <v>6</v>
      </c>
      <c r="P502">
        <v>1</v>
      </c>
      <c r="Q502">
        <v>0</v>
      </c>
      <c r="R502" s="4">
        <v>52.47</v>
      </c>
      <c r="S502">
        <v>0</v>
      </c>
      <c r="T502">
        <v>1</v>
      </c>
    </row>
    <row r="503" spans="1:20" ht="16.5" x14ac:dyDescent="0.3">
      <c r="A503" t="s">
        <v>545</v>
      </c>
      <c r="B503" s="1">
        <v>45369</v>
      </c>
      <c r="C503">
        <v>2024</v>
      </c>
      <c r="D503" t="s">
        <v>21</v>
      </c>
      <c r="E503" t="s">
        <v>437</v>
      </c>
      <c r="F503" t="s">
        <v>57</v>
      </c>
      <c r="G503" t="s">
        <v>35</v>
      </c>
      <c r="H503" t="s">
        <v>25</v>
      </c>
      <c r="I503" t="s">
        <v>26</v>
      </c>
      <c r="J503" t="s">
        <v>27</v>
      </c>
      <c r="K503" t="s">
        <v>28</v>
      </c>
      <c r="L503" s="2">
        <v>80.599999999999994</v>
      </c>
      <c r="M503" s="3">
        <v>483</v>
      </c>
      <c r="N503">
        <v>4</v>
      </c>
      <c r="O503">
        <v>4</v>
      </c>
      <c r="P503">
        <v>1</v>
      </c>
      <c r="Q503">
        <v>0</v>
      </c>
      <c r="R503" s="4">
        <v>46.17</v>
      </c>
      <c r="S503">
        <v>0</v>
      </c>
      <c r="T503">
        <v>1</v>
      </c>
    </row>
    <row r="504" spans="1:20" ht="16.5" x14ac:dyDescent="0.3">
      <c r="A504" t="s">
        <v>546</v>
      </c>
      <c r="B504" s="1">
        <v>45369</v>
      </c>
      <c r="C504">
        <v>2024</v>
      </c>
      <c r="D504" t="s">
        <v>21</v>
      </c>
      <c r="E504" t="s">
        <v>437</v>
      </c>
      <c r="F504" t="s">
        <v>34</v>
      </c>
      <c r="G504" t="s">
        <v>39</v>
      </c>
      <c r="H504" t="s">
        <v>51</v>
      </c>
      <c r="I504" t="s">
        <v>26</v>
      </c>
      <c r="J504" t="s">
        <v>27</v>
      </c>
      <c r="K504" t="s">
        <v>32</v>
      </c>
      <c r="L504" s="2">
        <v>8.3000000000000007</v>
      </c>
      <c r="M504" s="3">
        <v>834</v>
      </c>
      <c r="N504">
        <v>5</v>
      </c>
      <c r="O504">
        <v>8</v>
      </c>
      <c r="P504">
        <v>0</v>
      </c>
      <c r="Q504">
        <v>3</v>
      </c>
      <c r="R504" s="4">
        <v>19.91</v>
      </c>
      <c r="S504">
        <v>0</v>
      </c>
      <c r="T504">
        <v>1</v>
      </c>
    </row>
    <row r="505" spans="1:20" ht="16.5" x14ac:dyDescent="0.3">
      <c r="A505" t="s">
        <v>547</v>
      </c>
      <c r="B505" s="1">
        <v>45369</v>
      </c>
      <c r="C505">
        <v>2024</v>
      </c>
      <c r="D505" t="s">
        <v>21</v>
      </c>
      <c r="E505" t="s">
        <v>437</v>
      </c>
      <c r="F505" t="s">
        <v>30</v>
      </c>
      <c r="G505" t="s">
        <v>39</v>
      </c>
      <c r="H505" t="s">
        <v>43</v>
      </c>
      <c r="I505" t="s">
        <v>31</v>
      </c>
      <c r="J505" t="s">
        <v>27</v>
      </c>
      <c r="K505" t="s">
        <v>28</v>
      </c>
      <c r="L505" s="2">
        <v>6</v>
      </c>
      <c r="M505" s="3">
        <v>1058</v>
      </c>
      <c r="N505">
        <v>7</v>
      </c>
      <c r="O505">
        <v>7</v>
      </c>
      <c r="P505">
        <v>1</v>
      </c>
      <c r="Q505">
        <v>0</v>
      </c>
      <c r="R505" s="4">
        <v>16.829999999999998</v>
      </c>
      <c r="S505">
        <v>0</v>
      </c>
      <c r="T505">
        <v>1</v>
      </c>
    </row>
    <row r="506" spans="1:20" ht="16.5" x14ac:dyDescent="0.3">
      <c r="A506" t="s">
        <v>548</v>
      </c>
      <c r="B506" s="1">
        <v>45369</v>
      </c>
      <c r="C506">
        <v>2024</v>
      </c>
      <c r="D506" t="s">
        <v>21</v>
      </c>
      <c r="E506" t="s">
        <v>437</v>
      </c>
      <c r="F506" t="s">
        <v>57</v>
      </c>
      <c r="G506" t="s">
        <v>35</v>
      </c>
      <c r="H506" t="s">
        <v>36</v>
      </c>
      <c r="I506" t="s">
        <v>26</v>
      </c>
      <c r="J506" t="s">
        <v>27</v>
      </c>
      <c r="K506" t="s">
        <v>28</v>
      </c>
      <c r="L506" s="2">
        <v>74.8</v>
      </c>
      <c r="M506" s="3">
        <v>286</v>
      </c>
      <c r="N506">
        <v>3</v>
      </c>
      <c r="O506">
        <v>2</v>
      </c>
      <c r="P506">
        <v>1</v>
      </c>
      <c r="Q506">
        <v>0</v>
      </c>
      <c r="R506" s="4">
        <v>43.13</v>
      </c>
      <c r="S506">
        <v>0</v>
      </c>
      <c r="T506">
        <v>1</v>
      </c>
    </row>
    <row r="507" spans="1:20" ht="16.5" x14ac:dyDescent="0.3">
      <c r="A507" t="s">
        <v>549</v>
      </c>
      <c r="B507" s="1">
        <v>45370</v>
      </c>
      <c r="C507">
        <v>2024</v>
      </c>
      <c r="D507" t="s">
        <v>21</v>
      </c>
      <c r="E507" t="s">
        <v>437</v>
      </c>
      <c r="F507" t="s">
        <v>23</v>
      </c>
      <c r="G507" t="s">
        <v>24</v>
      </c>
      <c r="H507" t="s">
        <v>51</v>
      </c>
      <c r="I507" t="s">
        <v>26</v>
      </c>
      <c r="J507" t="s">
        <v>27</v>
      </c>
      <c r="K507" t="s">
        <v>28</v>
      </c>
      <c r="L507" s="2">
        <v>194.2</v>
      </c>
      <c r="M507" s="3">
        <v>1046</v>
      </c>
      <c r="N507">
        <v>5</v>
      </c>
      <c r="O507">
        <v>5</v>
      </c>
      <c r="P507">
        <v>1</v>
      </c>
      <c r="Q507">
        <v>0</v>
      </c>
      <c r="R507" s="4">
        <v>92.22</v>
      </c>
      <c r="S507">
        <v>0</v>
      </c>
      <c r="T507">
        <v>1</v>
      </c>
    </row>
    <row r="508" spans="1:20" ht="16.5" x14ac:dyDescent="0.3">
      <c r="A508" t="s">
        <v>550</v>
      </c>
      <c r="B508" s="1">
        <v>45370</v>
      </c>
      <c r="C508">
        <v>2024</v>
      </c>
      <c r="D508" t="s">
        <v>21</v>
      </c>
      <c r="E508" t="s">
        <v>437</v>
      </c>
      <c r="F508" t="s">
        <v>57</v>
      </c>
      <c r="G508" t="s">
        <v>35</v>
      </c>
      <c r="H508" t="s">
        <v>25</v>
      </c>
      <c r="I508" t="s">
        <v>31</v>
      </c>
      <c r="J508" t="s">
        <v>27</v>
      </c>
      <c r="K508" t="s">
        <v>28</v>
      </c>
      <c r="L508" s="2">
        <v>124.9</v>
      </c>
      <c r="M508" s="3">
        <v>1042</v>
      </c>
      <c r="N508">
        <v>6</v>
      </c>
      <c r="O508">
        <v>6</v>
      </c>
      <c r="P508">
        <v>1</v>
      </c>
      <c r="Q508">
        <v>0</v>
      </c>
      <c r="R508" s="4">
        <v>53.99</v>
      </c>
      <c r="S508">
        <v>0</v>
      </c>
      <c r="T508">
        <v>1</v>
      </c>
    </row>
    <row r="509" spans="1:20" ht="16.5" x14ac:dyDescent="0.3">
      <c r="A509" t="s">
        <v>551</v>
      </c>
      <c r="B509" s="1">
        <v>45370</v>
      </c>
      <c r="C509">
        <v>2024</v>
      </c>
      <c r="D509" t="s">
        <v>21</v>
      </c>
      <c r="E509" t="s">
        <v>437</v>
      </c>
      <c r="F509" t="s">
        <v>57</v>
      </c>
      <c r="G509" t="s">
        <v>35</v>
      </c>
      <c r="H509" t="s">
        <v>48</v>
      </c>
      <c r="I509" t="s">
        <v>40</v>
      </c>
      <c r="J509" t="s">
        <v>27</v>
      </c>
      <c r="K509" t="s">
        <v>32</v>
      </c>
      <c r="L509" s="2">
        <v>1.1000000000000001</v>
      </c>
      <c r="M509" s="3">
        <v>542</v>
      </c>
      <c r="N509">
        <v>2</v>
      </c>
      <c r="O509">
        <v>2</v>
      </c>
      <c r="P509">
        <v>1</v>
      </c>
      <c r="Q509">
        <v>0</v>
      </c>
      <c r="R509" s="4">
        <v>25.15</v>
      </c>
      <c r="S509">
        <v>0</v>
      </c>
      <c r="T509">
        <v>1</v>
      </c>
    </row>
    <row r="510" spans="1:20" ht="16.5" x14ac:dyDescent="0.3">
      <c r="A510" t="s">
        <v>552</v>
      </c>
      <c r="B510" s="1">
        <v>45370</v>
      </c>
      <c r="C510">
        <v>2024</v>
      </c>
      <c r="D510" t="s">
        <v>21</v>
      </c>
      <c r="E510" t="s">
        <v>437</v>
      </c>
      <c r="F510" t="s">
        <v>38</v>
      </c>
      <c r="G510" t="s">
        <v>39</v>
      </c>
      <c r="H510" t="s">
        <v>51</v>
      </c>
      <c r="I510" t="s">
        <v>26</v>
      </c>
      <c r="J510" t="s">
        <v>27</v>
      </c>
      <c r="K510" t="s">
        <v>32</v>
      </c>
      <c r="L510" s="2">
        <v>4.3</v>
      </c>
      <c r="M510" s="3">
        <v>1145</v>
      </c>
      <c r="N510">
        <v>5</v>
      </c>
      <c r="O510">
        <v>4</v>
      </c>
      <c r="P510">
        <v>1</v>
      </c>
      <c r="Q510">
        <v>0</v>
      </c>
      <c r="R510" s="4">
        <v>28.18</v>
      </c>
      <c r="S510">
        <v>0</v>
      </c>
      <c r="T510">
        <v>1</v>
      </c>
    </row>
    <row r="511" spans="1:20" ht="16.5" x14ac:dyDescent="0.3">
      <c r="A511" t="s">
        <v>553</v>
      </c>
      <c r="B511" s="1">
        <v>45370</v>
      </c>
      <c r="C511">
        <v>2024</v>
      </c>
      <c r="D511" t="s">
        <v>21</v>
      </c>
      <c r="E511" t="s">
        <v>437</v>
      </c>
      <c r="F511" t="s">
        <v>57</v>
      </c>
      <c r="G511" t="s">
        <v>24</v>
      </c>
      <c r="H511" t="s">
        <v>36</v>
      </c>
      <c r="I511" t="s">
        <v>26</v>
      </c>
      <c r="J511" t="s">
        <v>27</v>
      </c>
      <c r="K511" t="s">
        <v>32</v>
      </c>
      <c r="L511" s="2">
        <v>14.1</v>
      </c>
      <c r="M511" s="3">
        <v>155</v>
      </c>
      <c r="N511">
        <v>3</v>
      </c>
      <c r="O511">
        <v>2</v>
      </c>
      <c r="P511">
        <v>1</v>
      </c>
      <c r="Q511">
        <v>0</v>
      </c>
      <c r="R511" s="4">
        <v>16.22</v>
      </c>
      <c r="S511">
        <v>0</v>
      </c>
      <c r="T511">
        <v>1</v>
      </c>
    </row>
    <row r="512" spans="1:20" ht="16.5" x14ac:dyDescent="0.3">
      <c r="A512" t="s">
        <v>554</v>
      </c>
      <c r="B512" s="1">
        <v>45370</v>
      </c>
      <c r="C512">
        <v>2024</v>
      </c>
      <c r="D512" t="s">
        <v>21</v>
      </c>
      <c r="E512" t="s">
        <v>437</v>
      </c>
      <c r="F512" t="s">
        <v>34</v>
      </c>
      <c r="G512" t="s">
        <v>39</v>
      </c>
      <c r="H512" t="s">
        <v>36</v>
      </c>
      <c r="I512" t="s">
        <v>26</v>
      </c>
      <c r="J512" t="s">
        <v>27</v>
      </c>
      <c r="K512" t="s">
        <v>32</v>
      </c>
      <c r="L512" s="2">
        <v>5.2</v>
      </c>
      <c r="M512" s="3">
        <v>326</v>
      </c>
      <c r="N512">
        <v>3</v>
      </c>
      <c r="O512">
        <v>3</v>
      </c>
      <c r="P512">
        <v>1</v>
      </c>
      <c r="Q512">
        <v>0</v>
      </c>
      <c r="R512" s="4">
        <v>11.93</v>
      </c>
      <c r="S512">
        <v>0</v>
      </c>
      <c r="T512">
        <v>1</v>
      </c>
    </row>
    <row r="513" spans="1:20" ht="16.5" x14ac:dyDescent="0.3">
      <c r="A513" t="s">
        <v>555</v>
      </c>
      <c r="B513" s="1">
        <v>45370</v>
      </c>
      <c r="C513">
        <v>2024</v>
      </c>
      <c r="D513" t="s">
        <v>21</v>
      </c>
      <c r="E513" t="s">
        <v>437</v>
      </c>
      <c r="F513" t="s">
        <v>38</v>
      </c>
      <c r="G513" t="s">
        <v>39</v>
      </c>
      <c r="H513" t="s">
        <v>25</v>
      </c>
      <c r="I513" t="s">
        <v>31</v>
      </c>
      <c r="J513" t="s">
        <v>27</v>
      </c>
      <c r="K513" t="s">
        <v>32</v>
      </c>
      <c r="L513" s="2">
        <v>10.8</v>
      </c>
      <c r="M513" s="3">
        <v>722</v>
      </c>
      <c r="N513">
        <v>6</v>
      </c>
      <c r="O513">
        <v>6</v>
      </c>
      <c r="P513">
        <v>1</v>
      </c>
      <c r="Q513">
        <v>0</v>
      </c>
      <c r="R513" s="4">
        <v>17.14</v>
      </c>
      <c r="S513">
        <v>0</v>
      </c>
      <c r="T513">
        <v>1</v>
      </c>
    </row>
    <row r="514" spans="1:20" ht="16.5" x14ac:dyDescent="0.3">
      <c r="A514" t="s">
        <v>556</v>
      </c>
      <c r="B514" s="1">
        <v>45370</v>
      </c>
      <c r="C514">
        <v>2024</v>
      </c>
      <c r="D514" t="s">
        <v>21</v>
      </c>
      <c r="E514" t="s">
        <v>437</v>
      </c>
      <c r="F514" t="s">
        <v>57</v>
      </c>
      <c r="G514" t="s">
        <v>35</v>
      </c>
      <c r="H514" t="s">
        <v>48</v>
      </c>
      <c r="I514" t="s">
        <v>26</v>
      </c>
      <c r="J514" t="s">
        <v>27</v>
      </c>
      <c r="K514" t="s">
        <v>32</v>
      </c>
      <c r="L514" s="2">
        <v>4.9000000000000004</v>
      </c>
      <c r="M514" s="3">
        <v>420</v>
      </c>
      <c r="N514">
        <v>4</v>
      </c>
      <c r="O514">
        <v>3</v>
      </c>
      <c r="P514">
        <v>1</v>
      </c>
      <c r="Q514">
        <v>0</v>
      </c>
      <c r="R514" s="4">
        <v>13.12</v>
      </c>
      <c r="S514">
        <v>0</v>
      </c>
      <c r="T514">
        <v>1</v>
      </c>
    </row>
    <row r="515" spans="1:20" ht="16.5" x14ac:dyDescent="0.3">
      <c r="A515" t="s">
        <v>557</v>
      </c>
      <c r="B515" s="1">
        <v>45370</v>
      </c>
      <c r="C515">
        <v>2024</v>
      </c>
      <c r="D515" t="s">
        <v>21</v>
      </c>
      <c r="E515" t="s">
        <v>437</v>
      </c>
      <c r="F515" t="s">
        <v>30</v>
      </c>
      <c r="G515" t="s">
        <v>24</v>
      </c>
      <c r="H515" t="s">
        <v>25</v>
      </c>
      <c r="I515" t="s">
        <v>40</v>
      </c>
      <c r="J515" t="s">
        <v>41</v>
      </c>
      <c r="K515" t="s">
        <v>28</v>
      </c>
      <c r="L515" s="2">
        <v>42.7</v>
      </c>
      <c r="M515" s="3">
        <v>860</v>
      </c>
      <c r="N515">
        <v>2</v>
      </c>
      <c r="O515">
        <v>2</v>
      </c>
      <c r="P515">
        <v>1</v>
      </c>
      <c r="Q515">
        <v>0</v>
      </c>
      <c r="R515" s="4">
        <v>117.76</v>
      </c>
      <c r="S515">
        <v>1</v>
      </c>
      <c r="T515">
        <v>1</v>
      </c>
    </row>
    <row r="516" spans="1:20" ht="16.5" x14ac:dyDescent="0.3">
      <c r="A516" t="s">
        <v>558</v>
      </c>
      <c r="B516" s="1">
        <v>45370</v>
      </c>
      <c r="C516">
        <v>2024</v>
      </c>
      <c r="D516" t="s">
        <v>21</v>
      </c>
      <c r="E516" t="s">
        <v>437</v>
      </c>
      <c r="F516" t="s">
        <v>34</v>
      </c>
      <c r="G516" t="s">
        <v>39</v>
      </c>
      <c r="H516" t="s">
        <v>48</v>
      </c>
      <c r="I516" t="s">
        <v>26</v>
      </c>
      <c r="J516" t="s">
        <v>27</v>
      </c>
      <c r="K516" t="s">
        <v>28</v>
      </c>
      <c r="L516" s="2">
        <v>204.1</v>
      </c>
      <c r="M516" s="3">
        <v>527</v>
      </c>
      <c r="N516">
        <v>4</v>
      </c>
      <c r="O516">
        <v>4</v>
      </c>
      <c r="P516">
        <v>1</v>
      </c>
      <c r="Q516">
        <v>0</v>
      </c>
      <c r="R516" s="4">
        <v>84.17</v>
      </c>
      <c r="S516">
        <v>0</v>
      </c>
      <c r="T516">
        <v>1</v>
      </c>
    </row>
    <row r="517" spans="1:20" ht="16.5" x14ac:dyDescent="0.3">
      <c r="A517" t="s">
        <v>559</v>
      </c>
      <c r="B517" s="1">
        <v>45371</v>
      </c>
      <c r="C517">
        <v>2024</v>
      </c>
      <c r="D517" t="s">
        <v>21</v>
      </c>
      <c r="E517" t="s">
        <v>437</v>
      </c>
      <c r="F517" t="s">
        <v>57</v>
      </c>
      <c r="G517" t="s">
        <v>39</v>
      </c>
      <c r="H517" t="s">
        <v>48</v>
      </c>
      <c r="I517" t="s">
        <v>40</v>
      </c>
      <c r="J517" t="s">
        <v>27</v>
      </c>
      <c r="K517" t="s">
        <v>28</v>
      </c>
      <c r="L517" s="2">
        <v>124.3</v>
      </c>
      <c r="M517" s="3">
        <v>376</v>
      </c>
      <c r="N517">
        <v>2</v>
      </c>
      <c r="O517">
        <v>1</v>
      </c>
      <c r="P517">
        <v>1</v>
      </c>
      <c r="Q517">
        <v>0</v>
      </c>
      <c r="R517" s="4">
        <v>114.26</v>
      </c>
      <c r="S517">
        <v>0</v>
      </c>
      <c r="T517">
        <v>1</v>
      </c>
    </row>
    <row r="518" spans="1:20" ht="16.5" x14ac:dyDescent="0.3">
      <c r="A518" t="s">
        <v>560</v>
      </c>
      <c r="B518" s="1">
        <v>45371</v>
      </c>
      <c r="C518">
        <v>2024</v>
      </c>
      <c r="D518" t="s">
        <v>21</v>
      </c>
      <c r="E518" t="s">
        <v>437</v>
      </c>
      <c r="F518" t="s">
        <v>38</v>
      </c>
      <c r="G518" t="s">
        <v>35</v>
      </c>
      <c r="H518" t="s">
        <v>25</v>
      </c>
      <c r="I518" t="s">
        <v>26</v>
      </c>
      <c r="J518" t="s">
        <v>27</v>
      </c>
      <c r="K518" t="s">
        <v>28</v>
      </c>
      <c r="L518" s="2">
        <v>44</v>
      </c>
      <c r="M518" s="3">
        <v>1032</v>
      </c>
      <c r="N518">
        <v>4</v>
      </c>
      <c r="O518">
        <v>4</v>
      </c>
      <c r="P518">
        <v>1</v>
      </c>
      <c r="Q518">
        <v>0</v>
      </c>
      <c r="R518" s="4">
        <v>47.23</v>
      </c>
      <c r="S518">
        <v>0</v>
      </c>
      <c r="T518">
        <v>1</v>
      </c>
    </row>
    <row r="519" spans="1:20" ht="16.5" x14ac:dyDescent="0.3">
      <c r="A519" t="s">
        <v>561</v>
      </c>
      <c r="B519" s="1">
        <v>45372</v>
      </c>
      <c r="C519">
        <v>2024</v>
      </c>
      <c r="D519" t="s">
        <v>21</v>
      </c>
      <c r="E519" t="s">
        <v>437</v>
      </c>
      <c r="F519" t="s">
        <v>38</v>
      </c>
      <c r="G519" t="s">
        <v>24</v>
      </c>
      <c r="H519" t="s">
        <v>43</v>
      </c>
      <c r="I519" t="s">
        <v>26</v>
      </c>
      <c r="J519" t="s">
        <v>27</v>
      </c>
      <c r="K519" t="s">
        <v>32</v>
      </c>
      <c r="L519" s="2">
        <v>4.3</v>
      </c>
      <c r="M519" s="3">
        <v>926</v>
      </c>
      <c r="N519">
        <v>5</v>
      </c>
      <c r="O519">
        <v>4</v>
      </c>
      <c r="P519">
        <v>1</v>
      </c>
      <c r="Q519">
        <v>0</v>
      </c>
      <c r="R519" s="4">
        <v>23.48</v>
      </c>
      <c r="S519">
        <v>0</v>
      </c>
      <c r="T519">
        <v>1</v>
      </c>
    </row>
    <row r="520" spans="1:20" ht="16.5" x14ac:dyDescent="0.3">
      <c r="A520" t="s">
        <v>562</v>
      </c>
      <c r="B520" s="1">
        <v>45372</v>
      </c>
      <c r="C520">
        <v>2024</v>
      </c>
      <c r="D520" t="s">
        <v>21</v>
      </c>
      <c r="E520" t="s">
        <v>437</v>
      </c>
      <c r="F520" t="s">
        <v>57</v>
      </c>
      <c r="G520" t="s">
        <v>24</v>
      </c>
      <c r="H520" t="s">
        <v>36</v>
      </c>
      <c r="I520" t="s">
        <v>26</v>
      </c>
      <c r="J520" t="s">
        <v>27</v>
      </c>
      <c r="K520" t="s">
        <v>32</v>
      </c>
      <c r="L520" s="2">
        <v>2.2000000000000002</v>
      </c>
      <c r="M520" s="3">
        <v>337</v>
      </c>
      <c r="N520">
        <v>3</v>
      </c>
      <c r="O520">
        <v>2</v>
      </c>
      <c r="P520">
        <v>1</v>
      </c>
      <c r="Q520">
        <v>0</v>
      </c>
      <c r="R520" s="4">
        <v>10.58</v>
      </c>
      <c r="S520">
        <v>0</v>
      </c>
      <c r="T520">
        <v>1</v>
      </c>
    </row>
    <row r="521" spans="1:20" ht="16.5" x14ac:dyDescent="0.3">
      <c r="A521" t="s">
        <v>563</v>
      </c>
      <c r="B521" s="1">
        <v>45372</v>
      </c>
      <c r="C521">
        <v>2024</v>
      </c>
      <c r="D521" t="s">
        <v>21</v>
      </c>
      <c r="E521" t="s">
        <v>437</v>
      </c>
      <c r="F521" t="s">
        <v>38</v>
      </c>
      <c r="G521" t="s">
        <v>39</v>
      </c>
      <c r="H521" t="s">
        <v>48</v>
      </c>
      <c r="I521" t="s">
        <v>31</v>
      </c>
      <c r="J521" t="s">
        <v>27</v>
      </c>
      <c r="K521" t="s">
        <v>32</v>
      </c>
      <c r="L521" s="2">
        <v>2.2999999999999998</v>
      </c>
      <c r="M521" s="3">
        <v>468</v>
      </c>
      <c r="N521">
        <v>6</v>
      </c>
      <c r="O521">
        <v>6</v>
      </c>
      <c r="P521">
        <v>1</v>
      </c>
      <c r="Q521">
        <v>0</v>
      </c>
      <c r="R521" s="4">
        <v>10.52</v>
      </c>
      <c r="S521">
        <v>0</v>
      </c>
      <c r="T521">
        <v>1</v>
      </c>
    </row>
    <row r="522" spans="1:20" ht="16.5" x14ac:dyDescent="0.3">
      <c r="A522" t="s">
        <v>564</v>
      </c>
      <c r="B522" s="1">
        <v>45372</v>
      </c>
      <c r="C522">
        <v>2024</v>
      </c>
      <c r="D522" t="s">
        <v>21</v>
      </c>
      <c r="E522" t="s">
        <v>437</v>
      </c>
      <c r="F522" t="s">
        <v>57</v>
      </c>
      <c r="G522" t="s">
        <v>35</v>
      </c>
      <c r="H522" t="s">
        <v>25</v>
      </c>
      <c r="I522" t="s">
        <v>31</v>
      </c>
      <c r="J522" t="s">
        <v>27</v>
      </c>
      <c r="K522" t="s">
        <v>32</v>
      </c>
      <c r="L522" s="2">
        <v>9.1</v>
      </c>
      <c r="M522" s="3">
        <v>715</v>
      </c>
      <c r="N522">
        <v>6</v>
      </c>
      <c r="O522">
        <v>7</v>
      </c>
      <c r="P522">
        <v>0</v>
      </c>
      <c r="Q522">
        <v>1</v>
      </c>
      <c r="R522" s="4">
        <v>14.63</v>
      </c>
      <c r="S522">
        <v>0</v>
      </c>
      <c r="T522">
        <v>1</v>
      </c>
    </row>
    <row r="523" spans="1:20" ht="16.5" x14ac:dyDescent="0.3">
      <c r="A523" t="s">
        <v>565</v>
      </c>
      <c r="B523" s="1">
        <v>45372</v>
      </c>
      <c r="C523">
        <v>2024</v>
      </c>
      <c r="D523" t="s">
        <v>21</v>
      </c>
      <c r="E523" t="s">
        <v>437</v>
      </c>
      <c r="F523" t="s">
        <v>57</v>
      </c>
      <c r="G523" t="s">
        <v>35</v>
      </c>
      <c r="H523" t="s">
        <v>25</v>
      </c>
      <c r="I523" t="s">
        <v>40</v>
      </c>
      <c r="J523" t="s">
        <v>41</v>
      </c>
      <c r="K523" t="s">
        <v>28</v>
      </c>
      <c r="L523" s="2">
        <v>57.6</v>
      </c>
      <c r="M523" s="3">
        <v>623</v>
      </c>
      <c r="N523">
        <v>2</v>
      </c>
      <c r="O523">
        <v>2</v>
      </c>
      <c r="P523">
        <v>1</v>
      </c>
      <c r="Q523">
        <v>0</v>
      </c>
      <c r="R523" s="4">
        <v>135.65</v>
      </c>
      <c r="S523">
        <v>0</v>
      </c>
      <c r="T523">
        <v>1</v>
      </c>
    </row>
    <row r="524" spans="1:20" ht="16.5" x14ac:dyDescent="0.3">
      <c r="A524" t="s">
        <v>566</v>
      </c>
      <c r="B524" s="1">
        <v>45373</v>
      </c>
      <c r="C524">
        <v>2024</v>
      </c>
      <c r="D524" t="s">
        <v>21</v>
      </c>
      <c r="E524" t="s">
        <v>437</v>
      </c>
      <c r="F524" t="s">
        <v>38</v>
      </c>
      <c r="G524" t="s">
        <v>24</v>
      </c>
      <c r="H524" t="s">
        <v>36</v>
      </c>
      <c r="I524" t="s">
        <v>26</v>
      </c>
      <c r="J524" t="s">
        <v>27</v>
      </c>
      <c r="K524" t="s">
        <v>32</v>
      </c>
      <c r="L524" s="2">
        <v>3.3</v>
      </c>
      <c r="M524" s="3">
        <v>208</v>
      </c>
      <c r="N524">
        <v>3</v>
      </c>
      <c r="O524">
        <v>5</v>
      </c>
      <c r="P524">
        <v>0</v>
      </c>
      <c r="Q524">
        <v>2</v>
      </c>
      <c r="R524" s="4">
        <v>12.63</v>
      </c>
      <c r="S524">
        <v>0</v>
      </c>
      <c r="T524">
        <v>1</v>
      </c>
    </row>
    <row r="525" spans="1:20" ht="16.5" x14ac:dyDescent="0.3">
      <c r="A525" t="s">
        <v>567</v>
      </c>
      <c r="B525" s="1">
        <v>45373</v>
      </c>
      <c r="C525">
        <v>2024</v>
      </c>
      <c r="D525" t="s">
        <v>21</v>
      </c>
      <c r="E525" t="s">
        <v>437</v>
      </c>
      <c r="F525" t="s">
        <v>34</v>
      </c>
      <c r="G525" t="s">
        <v>39</v>
      </c>
      <c r="H525" t="s">
        <v>25</v>
      </c>
      <c r="I525" t="s">
        <v>26</v>
      </c>
      <c r="J525" t="s">
        <v>27</v>
      </c>
      <c r="K525" t="s">
        <v>28</v>
      </c>
      <c r="L525" s="2">
        <v>123.3</v>
      </c>
      <c r="M525" s="3">
        <v>765</v>
      </c>
      <c r="N525">
        <v>4</v>
      </c>
      <c r="O525">
        <v>4</v>
      </c>
      <c r="P525">
        <v>1</v>
      </c>
      <c r="Q525">
        <v>0</v>
      </c>
      <c r="R525" s="4">
        <v>62.42</v>
      </c>
      <c r="S525">
        <v>0</v>
      </c>
      <c r="T525">
        <v>1</v>
      </c>
    </row>
    <row r="526" spans="1:20" ht="16.5" x14ac:dyDescent="0.3">
      <c r="A526" t="s">
        <v>568</v>
      </c>
      <c r="B526" s="1">
        <v>45373</v>
      </c>
      <c r="C526">
        <v>2024</v>
      </c>
      <c r="D526" t="s">
        <v>21</v>
      </c>
      <c r="E526" t="s">
        <v>437</v>
      </c>
      <c r="F526" t="s">
        <v>38</v>
      </c>
      <c r="G526" t="s">
        <v>24</v>
      </c>
      <c r="H526" t="s">
        <v>36</v>
      </c>
      <c r="I526" t="s">
        <v>26</v>
      </c>
      <c r="J526" t="s">
        <v>27</v>
      </c>
      <c r="K526" t="s">
        <v>28</v>
      </c>
      <c r="L526" s="2">
        <v>133.30000000000001</v>
      </c>
      <c r="M526" s="3">
        <v>220</v>
      </c>
      <c r="N526">
        <v>3</v>
      </c>
      <c r="O526">
        <v>3</v>
      </c>
      <c r="P526">
        <v>1</v>
      </c>
      <c r="Q526">
        <v>0</v>
      </c>
      <c r="R526" s="4">
        <v>67.64</v>
      </c>
      <c r="S526">
        <v>0</v>
      </c>
      <c r="T526">
        <v>1</v>
      </c>
    </row>
    <row r="527" spans="1:20" ht="16.5" x14ac:dyDescent="0.3">
      <c r="A527" t="s">
        <v>569</v>
      </c>
      <c r="B527" s="1">
        <v>45373</v>
      </c>
      <c r="C527">
        <v>2024</v>
      </c>
      <c r="D527" t="s">
        <v>21</v>
      </c>
      <c r="E527" t="s">
        <v>437</v>
      </c>
      <c r="F527" t="s">
        <v>38</v>
      </c>
      <c r="G527" t="s">
        <v>24</v>
      </c>
      <c r="H527" t="s">
        <v>51</v>
      </c>
      <c r="I527" t="s">
        <v>26</v>
      </c>
      <c r="J527" t="s">
        <v>27</v>
      </c>
      <c r="K527" t="s">
        <v>32</v>
      </c>
      <c r="L527" s="2">
        <v>3.6</v>
      </c>
      <c r="M527" s="3">
        <v>1164</v>
      </c>
      <c r="N527">
        <v>5</v>
      </c>
      <c r="O527">
        <v>4</v>
      </c>
      <c r="P527">
        <v>1</v>
      </c>
      <c r="Q527">
        <v>0</v>
      </c>
      <c r="R527" s="4">
        <v>24.8</v>
      </c>
      <c r="S527">
        <v>0</v>
      </c>
      <c r="T527">
        <v>1</v>
      </c>
    </row>
    <row r="528" spans="1:20" ht="16.5" x14ac:dyDescent="0.3">
      <c r="A528" t="s">
        <v>570</v>
      </c>
      <c r="B528" s="1">
        <v>45373</v>
      </c>
      <c r="C528">
        <v>2024</v>
      </c>
      <c r="D528" t="s">
        <v>21</v>
      </c>
      <c r="E528" t="s">
        <v>437</v>
      </c>
      <c r="F528" t="s">
        <v>23</v>
      </c>
      <c r="G528" t="s">
        <v>39</v>
      </c>
      <c r="H528" t="s">
        <v>51</v>
      </c>
      <c r="I528" t="s">
        <v>26</v>
      </c>
      <c r="J528" t="s">
        <v>27</v>
      </c>
      <c r="K528" t="s">
        <v>32</v>
      </c>
      <c r="L528" s="2">
        <v>2.5</v>
      </c>
      <c r="M528" s="3">
        <v>814</v>
      </c>
      <c r="N528">
        <v>5</v>
      </c>
      <c r="O528">
        <v>9</v>
      </c>
      <c r="P528">
        <v>0</v>
      </c>
      <c r="Q528">
        <v>4</v>
      </c>
      <c r="R528" s="4">
        <v>17.62</v>
      </c>
      <c r="S528">
        <v>0</v>
      </c>
      <c r="T528">
        <v>1</v>
      </c>
    </row>
    <row r="529" spans="1:20" ht="16.5" x14ac:dyDescent="0.3">
      <c r="A529" t="s">
        <v>571</v>
      </c>
      <c r="B529" s="1">
        <v>45373</v>
      </c>
      <c r="C529">
        <v>2024</v>
      </c>
      <c r="D529" t="s">
        <v>21</v>
      </c>
      <c r="E529" t="s">
        <v>437</v>
      </c>
      <c r="F529" t="s">
        <v>30</v>
      </c>
      <c r="G529" t="s">
        <v>39</v>
      </c>
      <c r="H529" t="s">
        <v>36</v>
      </c>
      <c r="I529" t="s">
        <v>40</v>
      </c>
      <c r="J529" t="s">
        <v>27</v>
      </c>
      <c r="K529" t="s">
        <v>28</v>
      </c>
      <c r="L529" s="2">
        <v>53.9</v>
      </c>
      <c r="M529" s="3">
        <v>266</v>
      </c>
      <c r="N529">
        <v>1</v>
      </c>
      <c r="O529">
        <v>1</v>
      </c>
      <c r="P529">
        <v>1</v>
      </c>
      <c r="Q529">
        <v>0</v>
      </c>
      <c r="R529" s="4">
        <v>69.989999999999995</v>
      </c>
      <c r="S529">
        <v>0</v>
      </c>
      <c r="T529">
        <v>1</v>
      </c>
    </row>
    <row r="530" spans="1:20" ht="16.5" x14ac:dyDescent="0.3">
      <c r="A530" t="s">
        <v>572</v>
      </c>
      <c r="B530" s="1">
        <v>45373</v>
      </c>
      <c r="C530">
        <v>2024</v>
      </c>
      <c r="D530" t="s">
        <v>21</v>
      </c>
      <c r="E530" t="s">
        <v>437</v>
      </c>
      <c r="F530" t="s">
        <v>38</v>
      </c>
      <c r="G530" t="s">
        <v>24</v>
      </c>
      <c r="H530" t="s">
        <v>36</v>
      </c>
      <c r="I530" t="s">
        <v>26</v>
      </c>
      <c r="J530" t="s">
        <v>27</v>
      </c>
      <c r="K530" t="s">
        <v>28</v>
      </c>
      <c r="L530" s="2">
        <v>169.8</v>
      </c>
      <c r="M530" s="3">
        <v>190</v>
      </c>
      <c r="N530">
        <v>3</v>
      </c>
      <c r="O530">
        <v>3</v>
      </c>
      <c r="P530">
        <v>1</v>
      </c>
      <c r="Q530">
        <v>0</v>
      </c>
      <c r="R530" s="4">
        <v>93.1</v>
      </c>
      <c r="S530">
        <v>0</v>
      </c>
      <c r="T530">
        <v>1</v>
      </c>
    </row>
    <row r="531" spans="1:20" ht="16.5" x14ac:dyDescent="0.3">
      <c r="A531" t="s">
        <v>573</v>
      </c>
      <c r="B531" s="1">
        <v>45373</v>
      </c>
      <c r="C531">
        <v>2024</v>
      </c>
      <c r="D531" t="s">
        <v>21</v>
      </c>
      <c r="E531" t="s">
        <v>437</v>
      </c>
      <c r="F531" t="s">
        <v>34</v>
      </c>
      <c r="G531" t="s">
        <v>35</v>
      </c>
      <c r="H531" t="s">
        <v>36</v>
      </c>
      <c r="I531" t="s">
        <v>31</v>
      </c>
      <c r="J531" t="s">
        <v>27</v>
      </c>
      <c r="K531" t="s">
        <v>32</v>
      </c>
      <c r="L531" s="2">
        <v>3.9</v>
      </c>
      <c r="M531" s="3">
        <v>290</v>
      </c>
      <c r="N531">
        <v>5</v>
      </c>
      <c r="O531">
        <v>8</v>
      </c>
      <c r="P531">
        <v>0</v>
      </c>
      <c r="Q531">
        <v>3</v>
      </c>
      <c r="R531" s="4">
        <v>7.33</v>
      </c>
      <c r="S531">
        <v>0</v>
      </c>
      <c r="T531">
        <v>1</v>
      </c>
    </row>
    <row r="532" spans="1:20" ht="16.5" x14ac:dyDescent="0.3">
      <c r="A532" t="s">
        <v>574</v>
      </c>
      <c r="B532" s="1">
        <v>45374</v>
      </c>
      <c r="C532">
        <v>2024</v>
      </c>
      <c r="D532" t="s">
        <v>21</v>
      </c>
      <c r="E532" t="s">
        <v>437</v>
      </c>
      <c r="F532" t="s">
        <v>23</v>
      </c>
      <c r="G532" t="s">
        <v>24</v>
      </c>
      <c r="H532" t="s">
        <v>36</v>
      </c>
      <c r="I532" t="s">
        <v>31</v>
      </c>
      <c r="J532" t="s">
        <v>27</v>
      </c>
      <c r="K532" t="s">
        <v>32</v>
      </c>
      <c r="L532" s="2">
        <v>6.6</v>
      </c>
      <c r="M532" s="3">
        <v>257</v>
      </c>
      <c r="N532">
        <v>5</v>
      </c>
      <c r="O532">
        <v>5</v>
      </c>
      <c r="P532">
        <v>1</v>
      </c>
      <c r="Q532">
        <v>0</v>
      </c>
      <c r="R532" s="4">
        <v>10.19</v>
      </c>
      <c r="S532">
        <v>0</v>
      </c>
      <c r="T532">
        <v>1</v>
      </c>
    </row>
    <row r="533" spans="1:20" ht="16.5" x14ac:dyDescent="0.3">
      <c r="A533" t="s">
        <v>575</v>
      </c>
      <c r="B533" s="1">
        <v>45374</v>
      </c>
      <c r="C533">
        <v>2024</v>
      </c>
      <c r="D533" t="s">
        <v>21</v>
      </c>
      <c r="E533" t="s">
        <v>437</v>
      </c>
      <c r="F533" t="s">
        <v>57</v>
      </c>
      <c r="G533" t="s">
        <v>24</v>
      </c>
      <c r="H533" t="s">
        <v>25</v>
      </c>
      <c r="I533" t="s">
        <v>40</v>
      </c>
      <c r="J533" t="s">
        <v>41</v>
      </c>
      <c r="K533" t="s">
        <v>28</v>
      </c>
      <c r="L533" s="2">
        <v>56.4</v>
      </c>
      <c r="M533" s="3">
        <v>916</v>
      </c>
      <c r="N533">
        <v>2</v>
      </c>
      <c r="O533">
        <v>2</v>
      </c>
      <c r="P533">
        <v>1</v>
      </c>
      <c r="Q533">
        <v>0</v>
      </c>
      <c r="R533" s="4">
        <v>141.03</v>
      </c>
      <c r="S533">
        <v>1</v>
      </c>
      <c r="T533">
        <v>1</v>
      </c>
    </row>
    <row r="534" spans="1:20" ht="16.5" x14ac:dyDescent="0.3">
      <c r="A534" t="s">
        <v>576</v>
      </c>
      <c r="B534" s="1">
        <v>45374</v>
      </c>
      <c r="C534">
        <v>2024</v>
      </c>
      <c r="D534" t="s">
        <v>21</v>
      </c>
      <c r="E534" t="s">
        <v>437</v>
      </c>
      <c r="F534" t="s">
        <v>38</v>
      </c>
      <c r="G534" t="s">
        <v>24</v>
      </c>
      <c r="H534" t="s">
        <v>36</v>
      </c>
      <c r="I534" t="s">
        <v>26</v>
      </c>
      <c r="J534" t="s">
        <v>27</v>
      </c>
      <c r="K534" t="s">
        <v>28</v>
      </c>
      <c r="L534" s="2">
        <v>70.099999999999994</v>
      </c>
      <c r="M534" s="3">
        <v>225</v>
      </c>
      <c r="N534">
        <v>3</v>
      </c>
      <c r="O534">
        <v>3</v>
      </c>
      <c r="P534">
        <v>1</v>
      </c>
      <c r="Q534">
        <v>0</v>
      </c>
      <c r="R534" s="4">
        <v>42.56</v>
      </c>
      <c r="S534">
        <v>0</v>
      </c>
      <c r="T534">
        <v>1</v>
      </c>
    </row>
    <row r="535" spans="1:20" ht="16.5" x14ac:dyDescent="0.3">
      <c r="A535" t="s">
        <v>577</v>
      </c>
      <c r="B535" s="1">
        <v>45374</v>
      </c>
      <c r="C535">
        <v>2024</v>
      </c>
      <c r="D535" t="s">
        <v>21</v>
      </c>
      <c r="E535" t="s">
        <v>437</v>
      </c>
      <c r="F535" t="s">
        <v>57</v>
      </c>
      <c r="G535" t="s">
        <v>39</v>
      </c>
      <c r="H535" t="s">
        <v>25</v>
      </c>
      <c r="I535" t="s">
        <v>40</v>
      </c>
      <c r="J535" t="s">
        <v>41</v>
      </c>
      <c r="K535" t="s">
        <v>28</v>
      </c>
      <c r="L535" s="2">
        <v>95.1</v>
      </c>
      <c r="M535" s="3">
        <v>776</v>
      </c>
      <c r="N535">
        <v>2</v>
      </c>
      <c r="O535">
        <v>2</v>
      </c>
      <c r="P535">
        <v>1</v>
      </c>
      <c r="Q535">
        <v>0</v>
      </c>
      <c r="R535" s="4">
        <v>176.02</v>
      </c>
      <c r="S535">
        <v>0</v>
      </c>
      <c r="T535">
        <v>1</v>
      </c>
    </row>
    <row r="536" spans="1:20" ht="16.5" x14ac:dyDescent="0.3">
      <c r="A536" t="s">
        <v>578</v>
      </c>
      <c r="B536" s="1">
        <v>45374</v>
      </c>
      <c r="C536">
        <v>2024</v>
      </c>
      <c r="D536" t="s">
        <v>21</v>
      </c>
      <c r="E536" t="s">
        <v>437</v>
      </c>
      <c r="F536" t="s">
        <v>57</v>
      </c>
      <c r="G536" t="s">
        <v>39</v>
      </c>
      <c r="H536" t="s">
        <v>48</v>
      </c>
      <c r="I536" t="s">
        <v>40</v>
      </c>
      <c r="J536" t="s">
        <v>27</v>
      </c>
      <c r="K536" t="s">
        <v>32</v>
      </c>
      <c r="L536" s="2">
        <v>7.5</v>
      </c>
      <c r="M536" s="3">
        <v>476</v>
      </c>
      <c r="N536">
        <v>2</v>
      </c>
      <c r="O536">
        <v>2</v>
      </c>
      <c r="P536">
        <v>1</v>
      </c>
      <c r="Q536">
        <v>0</v>
      </c>
      <c r="R536" s="4">
        <v>33.21</v>
      </c>
      <c r="S536">
        <v>0</v>
      </c>
      <c r="T536">
        <v>1</v>
      </c>
    </row>
    <row r="537" spans="1:20" ht="16.5" x14ac:dyDescent="0.3">
      <c r="A537" t="s">
        <v>579</v>
      </c>
      <c r="B537" s="1">
        <v>45375</v>
      </c>
      <c r="C537">
        <v>2024</v>
      </c>
      <c r="D537" t="s">
        <v>21</v>
      </c>
      <c r="E537" t="s">
        <v>437</v>
      </c>
      <c r="F537" t="s">
        <v>34</v>
      </c>
      <c r="G537" t="s">
        <v>35</v>
      </c>
      <c r="H537" t="s">
        <v>43</v>
      </c>
      <c r="I537" t="s">
        <v>31</v>
      </c>
      <c r="J537" t="s">
        <v>27</v>
      </c>
      <c r="K537" t="s">
        <v>32</v>
      </c>
      <c r="L537" s="2">
        <v>4.7</v>
      </c>
      <c r="M537" s="3">
        <v>967</v>
      </c>
      <c r="N537">
        <v>7</v>
      </c>
      <c r="O537">
        <v>7</v>
      </c>
      <c r="P537">
        <v>1</v>
      </c>
      <c r="Q537">
        <v>0</v>
      </c>
      <c r="R537" s="4">
        <v>12.84</v>
      </c>
      <c r="S537">
        <v>0</v>
      </c>
      <c r="T537">
        <v>1</v>
      </c>
    </row>
    <row r="538" spans="1:20" ht="16.5" x14ac:dyDescent="0.3">
      <c r="A538" t="s">
        <v>580</v>
      </c>
      <c r="B538" s="1">
        <v>45375</v>
      </c>
      <c r="C538">
        <v>2024</v>
      </c>
      <c r="D538" t="s">
        <v>21</v>
      </c>
      <c r="E538" t="s">
        <v>437</v>
      </c>
      <c r="F538" t="s">
        <v>23</v>
      </c>
      <c r="G538" t="s">
        <v>39</v>
      </c>
      <c r="H538" t="s">
        <v>36</v>
      </c>
      <c r="I538" t="s">
        <v>26</v>
      </c>
      <c r="J538" t="s">
        <v>27</v>
      </c>
      <c r="K538" t="s">
        <v>32</v>
      </c>
      <c r="L538" s="2">
        <v>1.7</v>
      </c>
      <c r="M538" s="3">
        <v>237</v>
      </c>
      <c r="N538">
        <v>3</v>
      </c>
      <c r="O538">
        <v>3</v>
      </c>
      <c r="P538">
        <v>1</v>
      </c>
      <c r="Q538">
        <v>0</v>
      </c>
      <c r="R538" s="4">
        <v>9.52</v>
      </c>
      <c r="S538">
        <v>0</v>
      </c>
      <c r="T538">
        <v>1</v>
      </c>
    </row>
    <row r="539" spans="1:20" ht="16.5" x14ac:dyDescent="0.3">
      <c r="A539" t="s">
        <v>581</v>
      </c>
      <c r="B539" s="1">
        <v>45376</v>
      </c>
      <c r="C539">
        <v>2024</v>
      </c>
      <c r="D539" t="s">
        <v>21</v>
      </c>
      <c r="E539" t="s">
        <v>437</v>
      </c>
      <c r="F539" t="s">
        <v>34</v>
      </c>
      <c r="G539" t="s">
        <v>39</v>
      </c>
      <c r="H539" t="s">
        <v>51</v>
      </c>
      <c r="I539" t="s">
        <v>31</v>
      </c>
      <c r="J539" t="s">
        <v>27</v>
      </c>
      <c r="K539" t="s">
        <v>32</v>
      </c>
      <c r="L539" s="2">
        <v>1.3</v>
      </c>
      <c r="M539" s="3">
        <v>1010</v>
      </c>
      <c r="N539">
        <v>7</v>
      </c>
      <c r="O539">
        <v>7</v>
      </c>
      <c r="P539">
        <v>1</v>
      </c>
      <c r="Q539">
        <v>0</v>
      </c>
      <c r="R539" s="4">
        <v>12.52</v>
      </c>
      <c r="S539">
        <v>0</v>
      </c>
      <c r="T539">
        <v>1</v>
      </c>
    </row>
    <row r="540" spans="1:20" ht="16.5" x14ac:dyDescent="0.3">
      <c r="A540" t="s">
        <v>582</v>
      </c>
      <c r="B540" s="1">
        <v>45376</v>
      </c>
      <c r="C540">
        <v>2024</v>
      </c>
      <c r="D540" t="s">
        <v>21</v>
      </c>
      <c r="E540" t="s">
        <v>437</v>
      </c>
      <c r="F540" t="s">
        <v>38</v>
      </c>
      <c r="G540" t="s">
        <v>35</v>
      </c>
      <c r="H540" t="s">
        <v>25</v>
      </c>
      <c r="I540" t="s">
        <v>40</v>
      </c>
      <c r="J540" t="s">
        <v>41</v>
      </c>
      <c r="K540" t="s">
        <v>32</v>
      </c>
      <c r="L540" s="2">
        <v>17.2</v>
      </c>
      <c r="M540" s="3">
        <v>905</v>
      </c>
      <c r="N540">
        <v>2</v>
      </c>
      <c r="O540">
        <v>2</v>
      </c>
      <c r="P540">
        <v>1</v>
      </c>
      <c r="Q540">
        <v>0</v>
      </c>
      <c r="R540" s="4">
        <v>95.95</v>
      </c>
      <c r="S540">
        <v>0</v>
      </c>
      <c r="T540">
        <v>1</v>
      </c>
    </row>
    <row r="541" spans="1:20" ht="16.5" x14ac:dyDescent="0.3">
      <c r="A541" t="s">
        <v>583</v>
      </c>
      <c r="B541" s="1">
        <v>45376</v>
      </c>
      <c r="C541">
        <v>2024</v>
      </c>
      <c r="D541" t="s">
        <v>21</v>
      </c>
      <c r="E541" t="s">
        <v>437</v>
      </c>
      <c r="F541" t="s">
        <v>38</v>
      </c>
      <c r="G541" t="s">
        <v>35</v>
      </c>
      <c r="H541" t="s">
        <v>43</v>
      </c>
      <c r="I541" t="s">
        <v>31</v>
      </c>
      <c r="J541" t="s">
        <v>27</v>
      </c>
      <c r="K541" t="s">
        <v>32</v>
      </c>
      <c r="L541" s="2">
        <v>8.3000000000000007</v>
      </c>
      <c r="M541" s="3">
        <v>1451</v>
      </c>
      <c r="N541">
        <v>7</v>
      </c>
      <c r="O541">
        <v>7</v>
      </c>
      <c r="P541">
        <v>1</v>
      </c>
      <c r="Q541">
        <v>0</v>
      </c>
      <c r="R541" s="4">
        <v>21.23</v>
      </c>
      <c r="S541">
        <v>0</v>
      </c>
      <c r="T541">
        <v>1</v>
      </c>
    </row>
    <row r="542" spans="1:20" ht="16.5" x14ac:dyDescent="0.3">
      <c r="A542" t="s">
        <v>584</v>
      </c>
      <c r="B542" s="1">
        <v>45376</v>
      </c>
      <c r="C542">
        <v>2024</v>
      </c>
      <c r="D542" t="s">
        <v>21</v>
      </c>
      <c r="E542" t="s">
        <v>437</v>
      </c>
      <c r="F542" t="s">
        <v>57</v>
      </c>
      <c r="G542" t="s">
        <v>39</v>
      </c>
      <c r="H542" t="s">
        <v>36</v>
      </c>
      <c r="I542" t="s">
        <v>26</v>
      </c>
      <c r="J542" t="s">
        <v>27</v>
      </c>
      <c r="K542" t="s">
        <v>32</v>
      </c>
      <c r="L542" s="2">
        <v>3.1</v>
      </c>
      <c r="M542" s="3">
        <v>278</v>
      </c>
      <c r="N542">
        <v>3</v>
      </c>
      <c r="O542">
        <v>2</v>
      </c>
      <c r="P542">
        <v>1</v>
      </c>
      <c r="Q542">
        <v>0</v>
      </c>
      <c r="R542" s="4">
        <v>12.22</v>
      </c>
      <c r="S542">
        <v>0</v>
      </c>
      <c r="T542">
        <v>1</v>
      </c>
    </row>
    <row r="543" spans="1:20" ht="16.5" x14ac:dyDescent="0.3">
      <c r="A543" t="s">
        <v>585</v>
      </c>
      <c r="B543" s="1">
        <v>45376</v>
      </c>
      <c r="C543">
        <v>2024</v>
      </c>
      <c r="D543" t="s">
        <v>21</v>
      </c>
      <c r="E543" t="s">
        <v>437</v>
      </c>
      <c r="F543" t="s">
        <v>57</v>
      </c>
      <c r="G543" t="s">
        <v>35</v>
      </c>
      <c r="H543" t="s">
        <v>48</v>
      </c>
      <c r="I543" t="s">
        <v>26</v>
      </c>
      <c r="J543" t="s">
        <v>27</v>
      </c>
      <c r="K543" t="s">
        <v>32</v>
      </c>
      <c r="L543" s="2">
        <v>15.2</v>
      </c>
      <c r="M543" s="3">
        <v>483</v>
      </c>
      <c r="N543">
        <v>4</v>
      </c>
      <c r="O543">
        <v>4</v>
      </c>
      <c r="P543">
        <v>1</v>
      </c>
      <c r="Q543">
        <v>0</v>
      </c>
      <c r="R543" s="4">
        <v>19.54</v>
      </c>
      <c r="S543">
        <v>0</v>
      </c>
      <c r="T543">
        <v>1</v>
      </c>
    </row>
    <row r="544" spans="1:20" ht="16.5" x14ac:dyDescent="0.3">
      <c r="A544" t="s">
        <v>586</v>
      </c>
      <c r="B544" s="1">
        <v>45376</v>
      </c>
      <c r="C544">
        <v>2024</v>
      </c>
      <c r="D544" t="s">
        <v>21</v>
      </c>
      <c r="E544" t="s">
        <v>437</v>
      </c>
      <c r="F544" t="s">
        <v>30</v>
      </c>
      <c r="G544" t="s">
        <v>39</v>
      </c>
      <c r="H544" t="s">
        <v>36</v>
      </c>
      <c r="I544" t="s">
        <v>31</v>
      </c>
      <c r="J544" t="s">
        <v>27</v>
      </c>
      <c r="K544" t="s">
        <v>28</v>
      </c>
      <c r="L544" s="2">
        <v>161.1</v>
      </c>
      <c r="M544" s="3">
        <v>233</v>
      </c>
      <c r="N544">
        <v>5</v>
      </c>
      <c r="O544">
        <v>4</v>
      </c>
      <c r="P544">
        <v>1</v>
      </c>
      <c r="Q544">
        <v>0</v>
      </c>
      <c r="R544" s="4">
        <v>56.41</v>
      </c>
      <c r="S544">
        <v>0</v>
      </c>
      <c r="T544">
        <v>1</v>
      </c>
    </row>
    <row r="545" spans="1:20" ht="16.5" x14ac:dyDescent="0.3">
      <c r="A545" t="s">
        <v>587</v>
      </c>
      <c r="B545" s="1">
        <v>45376</v>
      </c>
      <c r="C545">
        <v>2024</v>
      </c>
      <c r="D545" t="s">
        <v>21</v>
      </c>
      <c r="E545" t="s">
        <v>437</v>
      </c>
      <c r="F545" t="s">
        <v>57</v>
      </c>
      <c r="G545" t="s">
        <v>35</v>
      </c>
      <c r="H545" t="s">
        <v>36</v>
      </c>
      <c r="I545" t="s">
        <v>31</v>
      </c>
      <c r="J545" t="s">
        <v>27</v>
      </c>
      <c r="K545" t="s">
        <v>32</v>
      </c>
      <c r="L545" s="2">
        <v>7.1</v>
      </c>
      <c r="M545" s="3">
        <v>225</v>
      </c>
      <c r="N545">
        <v>5</v>
      </c>
      <c r="O545">
        <v>5</v>
      </c>
      <c r="P545">
        <v>1</v>
      </c>
      <c r="Q545">
        <v>0</v>
      </c>
      <c r="R545" s="4">
        <v>10.050000000000001</v>
      </c>
      <c r="S545">
        <v>1</v>
      </c>
      <c r="T545">
        <v>1</v>
      </c>
    </row>
    <row r="546" spans="1:20" ht="16.5" x14ac:dyDescent="0.3">
      <c r="A546" t="s">
        <v>588</v>
      </c>
      <c r="B546" s="1">
        <v>45376</v>
      </c>
      <c r="C546">
        <v>2024</v>
      </c>
      <c r="D546" t="s">
        <v>21</v>
      </c>
      <c r="E546" t="s">
        <v>437</v>
      </c>
      <c r="F546" t="s">
        <v>23</v>
      </c>
      <c r="G546" t="s">
        <v>35</v>
      </c>
      <c r="H546" t="s">
        <v>43</v>
      </c>
      <c r="I546" t="s">
        <v>31</v>
      </c>
      <c r="J546" t="s">
        <v>27</v>
      </c>
      <c r="K546" t="s">
        <v>32</v>
      </c>
      <c r="L546" s="2">
        <v>8.9</v>
      </c>
      <c r="M546" s="3">
        <v>1093</v>
      </c>
      <c r="N546">
        <v>7</v>
      </c>
      <c r="O546">
        <v>6</v>
      </c>
      <c r="P546">
        <v>1</v>
      </c>
      <c r="Q546">
        <v>0</v>
      </c>
      <c r="R546" s="4">
        <v>16.649999999999999</v>
      </c>
      <c r="S546">
        <v>0</v>
      </c>
      <c r="T546">
        <v>1</v>
      </c>
    </row>
    <row r="547" spans="1:20" ht="16.5" x14ac:dyDescent="0.3">
      <c r="A547" t="s">
        <v>589</v>
      </c>
      <c r="B547" s="1">
        <v>45376</v>
      </c>
      <c r="C547">
        <v>2024</v>
      </c>
      <c r="D547" t="s">
        <v>21</v>
      </c>
      <c r="E547" t="s">
        <v>437</v>
      </c>
      <c r="F547" t="s">
        <v>30</v>
      </c>
      <c r="G547" t="s">
        <v>24</v>
      </c>
      <c r="H547" t="s">
        <v>25</v>
      </c>
      <c r="I547" t="s">
        <v>40</v>
      </c>
      <c r="J547" t="s">
        <v>41</v>
      </c>
      <c r="K547" t="s">
        <v>28</v>
      </c>
      <c r="L547" s="2">
        <v>66.599999999999994</v>
      </c>
      <c r="M547" s="3">
        <v>837</v>
      </c>
      <c r="N547">
        <v>2</v>
      </c>
      <c r="O547">
        <v>1</v>
      </c>
      <c r="P547">
        <v>1</v>
      </c>
      <c r="Q547">
        <v>0</v>
      </c>
      <c r="R547" s="4">
        <v>155.26</v>
      </c>
      <c r="S547">
        <v>0</v>
      </c>
      <c r="T547">
        <v>1</v>
      </c>
    </row>
    <row r="548" spans="1:20" ht="16.5" x14ac:dyDescent="0.3">
      <c r="A548" t="s">
        <v>590</v>
      </c>
      <c r="B548" s="1">
        <v>45376</v>
      </c>
      <c r="C548">
        <v>2024</v>
      </c>
      <c r="D548" t="s">
        <v>21</v>
      </c>
      <c r="E548" t="s">
        <v>437</v>
      </c>
      <c r="F548" t="s">
        <v>57</v>
      </c>
      <c r="G548" t="s">
        <v>24</v>
      </c>
      <c r="H548" t="s">
        <v>51</v>
      </c>
      <c r="I548" t="s">
        <v>26</v>
      </c>
      <c r="J548" t="s">
        <v>27</v>
      </c>
      <c r="K548" t="s">
        <v>28</v>
      </c>
      <c r="L548" s="2">
        <v>127.3</v>
      </c>
      <c r="M548" s="3">
        <v>1013</v>
      </c>
      <c r="N548">
        <v>5</v>
      </c>
      <c r="O548">
        <v>5</v>
      </c>
      <c r="P548">
        <v>1</v>
      </c>
      <c r="Q548">
        <v>0</v>
      </c>
      <c r="R548" s="4">
        <v>77.42</v>
      </c>
      <c r="S548">
        <v>0</v>
      </c>
      <c r="T548">
        <v>1</v>
      </c>
    </row>
    <row r="549" spans="1:20" ht="16.5" x14ac:dyDescent="0.3">
      <c r="A549" t="s">
        <v>591</v>
      </c>
      <c r="B549" s="1">
        <v>45376</v>
      </c>
      <c r="C549">
        <v>2024</v>
      </c>
      <c r="D549" t="s">
        <v>21</v>
      </c>
      <c r="E549" t="s">
        <v>437</v>
      </c>
      <c r="F549" t="s">
        <v>57</v>
      </c>
      <c r="G549" t="s">
        <v>39</v>
      </c>
      <c r="H549" t="s">
        <v>25</v>
      </c>
      <c r="I549" t="s">
        <v>26</v>
      </c>
      <c r="J549" t="s">
        <v>27</v>
      </c>
      <c r="K549" t="s">
        <v>32</v>
      </c>
      <c r="L549" s="2">
        <v>2.9</v>
      </c>
      <c r="M549" s="3">
        <v>923</v>
      </c>
      <c r="N549">
        <v>4</v>
      </c>
      <c r="O549">
        <v>4</v>
      </c>
      <c r="P549">
        <v>1</v>
      </c>
      <c r="Q549">
        <v>0</v>
      </c>
      <c r="R549" s="4">
        <v>20.7</v>
      </c>
      <c r="S549">
        <v>0</v>
      </c>
      <c r="T549">
        <v>1</v>
      </c>
    </row>
    <row r="550" spans="1:20" ht="16.5" x14ac:dyDescent="0.3">
      <c r="A550" t="s">
        <v>592</v>
      </c>
      <c r="B550" s="1">
        <v>45377</v>
      </c>
      <c r="C550">
        <v>2024</v>
      </c>
      <c r="D550" t="s">
        <v>21</v>
      </c>
      <c r="E550" t="s">
        <v>437</v>
      </c>
      <c r="F550" t="s">
        <v>57</v>
      </c>
      <c r="G550" t="s">
        <v>35</v>
      </c>
      <c r="H550" t="s">
        <v>25</v>
      </c>
      <c r="I550" t="s">
        <v>26</v>
      </c>
      <c r="J550" t="s">
        <v>27</v>
      </c>
      <c r="K550" t="s">
        <v>32</v>
      </c>
      <c r="L550" s="2">
        <v>11.8</v>
      </c>
      <c r="M550" s="3">
        <v>794</v>
      </c>
      <c r="N550">
        <v>4</v>
      </c>
      <c r="O550">
        <v>4</v>
      </c>
      <c r="P550">
        <v>1</v>
      </c>
      <c r="Q550">
        <v>0</v>
      </c>
      <c r="R550" s="4">
        <v>20.89</v>
      </c>
      <c r="S550">
        <v>0</v>
      </c>
      <c r="T550">
        <v>1</v>
      </c>
    </row>
    <row r="551" spans="1:20" ht="16.5" x14ac:dyDescent="0.3">
      <c r="A551" t="s">
        <v>593</v>
      </c>
      <c r="B551" s="1">
        <v>45377</v>
      </c>
      <c r="C551">
        <v>2024</v>
      </c>
      <c r="D551" t="s">
        <v>21</v>
      </c>
      <c r="E551" t="s">
        <v>437</v>
      </c>
      <c r="F551" t="s">
        <v>34</v>
      </c>
      <c r="G551" t="s">
        <v>35</v>
      </c>
      <c r="H551" t="s">
        <v>36</v>
      </c>
      <c r="I551" t="s">
        <v>40</v>
      </c>
      <c r="J551" t="s">
        <v>27</v>
      </c>
      <c r="K551" t="s">
        <v>32</v>
      </c>
      <c r="L551" s="2">
        <v>6.3</v>
      </c>
      <c r="M551" s="3">
        <v>269</v>
      </c>
      <c r="N551">
        <v>1</v>
      </c>
      <c r="O551">
        <v>1</v>
      </c>
      <c r="P551">
        <v>1</v>
      </c>
      <c r="Q551">
        <v>0</v>
      </c>
      <c r="R551" s="4">
        <v>20.29</v>
      </c>
      <c r="S551">
        <v>0</v>
      </c>
      <c r="T551">
        <v>1</v>
      </c>
    </row>
    <row r="552" spans="1:20" ht="16.5" x14ac:dyDescent="0.3">
      <c r="A552" t="s">
        <v>594</v>
      </c>
      <c r="B552" s="1">
        <v>45377</v>
      </c>
      <c r="C552">
        <v>2024</v>
      </c>
      <c r="D552" t="s">
        <v>21</v>
      </c>
      <c r="E552" t="s">
        <v>437</v>
      </c>
      <c r="F552" t="s">
        <v>38</v>
      </c>
      <c r="G552" t="s">
        <v>24</v>
      </c>
      <c r="H552" t="s">
        <v>48</v>
      </c>
      <c r="I552" t="s">
        <v>31</v>
      </c>
      <c r="J552" t="s">
        <v>27</v>
      </c>
      <c r="K552" t="s">
        <v>28</v>
      </c>
      <c r="L552" s="2">
        <v>44.3</v>
      </c>
      <c r="M552" s="3">
        <v>589</v>
      </c>
      <c r="N552">
        <v>6</v>
      </c>
      <c r="O552">
        <v>6</v>
      </c>
      <c r="P552">
        <v>1</v>
      </c>
      <c r="Q552">
        <v>0</v>
      </c>
      <c r="R552" s="4">
        <v>29.78</v>
      </c>
      <c r="S552">
        <v>0</v>
      </c>
      <c r="T552">
        <v>1</v>
      </c>
    </row>
    <row r="553" spans="1:20" ht="16.5" x14ac:dyDescent="0.3">
      <c r="A553" t="s">
        <v>595</v>
      </c>
      <c r="B553" s="1">
        <v>45377</v>
      </c>
      <c r="C553">
        <v>2024</v>
      </c>
      <c r="D553" t="s">
        <v>21</v>
      </c>
      <c r="E553" t="s">
        <v>437</v>
      </c>
      <c r="F553" t="s">
        <v>38</v>
      </c>
      <c r="G553" t="s">
        <v>35</v>
      </c>
      <c r="H553" t="s">
        <v>25</v>
      </c>
      <c r="I553" t="s">
        <v>40</v>
      </c>
      <c r="J553" t="s">
        <v>41</v>
      </c>
      <c r="K553" t="s">
        <v>32</v>
      </c>
      <c r="L553" s="2">
        <v>8.4</v>
      </c>
      <c r="M553" s="3">
        <v>875</v>
      </c>
      <c r="N553">
        <v>2</v>
      </c>
      <c r="O553">
        <v>2</v>
      </c>
      <c r="P553">
        <v>1</v>
      </c>
      <c r="Q553">
        <v>0</v>
      </c>
      <c r="R553" s="4">
        <v>74.11</v>
      </c>
      <c r="S553">
        <v>0</v>
      </c>
      <c r="T553">
        <v>1</v>
      </c>
    </row>
    <row r="554" spans="1:20" ht="16.5" x14ac:dyDescent="0.3">
      <c r="A554" t="s">
        <v>596</v>
      </c>
      <c r="B554" s="1">
        <v>45377</v>
      </c>
      <c r="C554">
        <v>2024</v>
      </c>
      <c r="D554" t="s">
        <v>21</v>
      </c>
      <c r="E554" t="s">
        <v>437</v>
      </c>
      <c r="F554" t="s">
        <v>38</v>
      </c>
      <c r="G554" t="s">
        <v>35</v>
      </c>
      <c r="H554" t="s">
        <v>36</v>
      </c>
      <c r="I554" t="s">
        <v>31</v>
      </c>
      <c r="J554" t="s">
        <v>27</v>
      </c>
      <c r="K554" t="s">
        <v>32</v>
      </c>
      <c r="L554" s="2">
        <v>7.6</v>
      </c>
      <c r="M554" s="3">
        <v>219</v>
      </c>
      <c r="N554">
        <v>5</v>
      </c>
      <c r="O554">
        <v>5</v>
      </c>
      <c r="P554">
        <v>1</v>
      </c>
      <c r="Q554">
        <v>0</v>
      </c>
      <c r="R554" s="4">
        <v>10.81</v>
      </c>
      <c r="S554">
        <v>0</v>
      </c>
      <c r="T554">
        <v>1</v>
      </c>
    </row>
    <row r="555" spans="1:20" ht="16.5" x14ac:dyDescent="0.3">
      <c r="A555" t="s">
        <v>597</v>
      </c>
      <c r="B555" s="1">
        <v>45377</v>
      </c>
      <c r="C555">
        <v>2024</v>
      </c>
      <c r="D555" t="s">
        <v>21</v>
      </c>
      <c r="E555" t="s">
        <v>437</v>
      </c>
      <c r="F555" t="s">
        <v>38</v>
      </c>
      <c r="G555" t="s">
        <v>39</v>
      </c>
      <c r="H555" t="s">
        <v>48</v>
      </c>
      <c r="I555" t="s">
        <v>40</v>
      </c>
      <c r="J555" t="s">
        <v>27</v>
      </c>
      <c r="K555" t="s">
        <v>32</v>
      </c>
      <c r="L555" s="2">
        <v>5</v>
      </c>
      <c r="M555" s="3">
        <v>616</v>
      </c>
      <c r="N555">
        <v>2</v>
      </c>
      <c r="O555">
        <v>2</v>
      </c>
      <c r="P555">
        <v>1</v>
      </c>
      <c r="Q555">
        <v>0</v>
      </c>
      <c r="R555" s="4">
        <v>37.18</v>
      </c>
      <c r="S555">
        <v>0</v>
      </c>
      <c r="T555">
        <v>1</v>
      </c>
    </row>
    <row r="556" spans="1:20" ht="16.5" x14ac:dyDescent="0.3">
      <c r="A556" t="s">
        <v>598</v>
      </c>
      <c r="B556" s="1">
        <v>45377</v>
      </c>
      <c r="C556">
        <v>2024</v>
      </c>
      <c r="D556" t="s">
        <v>21</v>
      </c>
      <c r="E556" t="s">
        <v>437</v>
      </c>
      <c r="F556" t="s">
        <v>23</v>
      </c>
      <c r="G556" t="s">
        <v>39</v>
      </c>
      <c r="H556" t="s">
        <v>48</v>
      </c>
      <c r="I556" t="s">
        <v>31</v>
      </c>
      <c r="J556" t="s">
        <v>27</v>
      </c>
      <c r="K556" t="s">
        <v>28</v>
      </c>
      <c r="L556" s="2">
        <v>52.8</v>
      </c>
      <c r="M556" s="3">
        <v>561</v>
      </c>
      <c r="N556">
        <v>6</v>
      </c>
      <c r="O556">
        <v>6</v>
      </c>
      <c r="P556">
        <v>1</v>
      </c>
      <c r="Q556">
        <v>0</v>
      </c>
      <c r="R556" s="4">
        <v>26.19</v>
      </c>
      <c r="S556">
        <v>0</v>
      </c>
      <c r="T556">
        <v>1</v>
      </c>
    </row>
    <row r="557" spans="1:20" ht="16.5" x14ac:dyDescent="0.3">
      <c r="A557" t="s">
        <v>599</v>
      </c>
      <c r="B557" s="1">
        <v>45377</v>
      </c>
      <c r="C557">
        <v>2024</v>
      </c>
      <c r="D557" t="s">
        <v>21</v>
      </c>
      <c r="E557" t="s">
        <v>437</v>
      </c>
      <c r="F557" t="s">
        <v>23</v>
      </c>
      <c r="G557" t="s">
        <v>35</v>
      </c>
      <c r="H557" t="s">
        <v>25</v>
      </c>
      <c r="I557" t="s">
        <v>40</v>
      </c>
      <c r="J557" t="s">
        <v>41</v>
      </c>
      <c r="K557" t="s">
        <v>32</v>
      </c>
      <c r="L557" s="2">
        <v>15.6</v>
      </c>
      <c r="M557" s="3">
        <v>708</v>
      </c>
      <c r="N557">
        <v>2</v>
      </c>
      <c r="O557">
        <v>2</v>
      </c>
      <c r="P557">
        <v>1</v>
      </c>
      <c r="Q557">
        <v>0</v>
      </c>
      <c r="R557" s="4">
        <v>65.680000000000007</v>
      </c>
      <c r="S557">
        <v>0</v>
      </c>
      <c r="T557">
        <v>1</v>
      </c>
    </row>
    <row r="558" spans="1:20" ht="16.5" x14ac:dyDescent="0.3">
      <c r="A558" t="s">
        <v>600</v>
      </c>
      <c r="B558" s="1">
        <v>45377</v>
      </c>
      <c r="C558">
        <v>2024</v>
      </c>
      <c r="D558" t="s">
        <v>21</v>
      </c>
      <c r="E558" t="s">
        <v>437</v>
      </c>
      <c r="F558" t="s">
        <v>38</v>
      </c>
      <c r="G558" t="s">
        <v>39</v>
      </c>
      <c r="H558" t="s">
        <v>36</v>
      </c>
      <c r="I558" t="s">
        <v>31</v>
      </c>
      <c r="J558" t="s">
        <v>27</v>
      </c>
      <c r="K558" t="s">
        <v>32</v>
      </c>
      <c r="L558" s="2">
        <v>2.1</v>
      </c>
      <c r="M558" s="3">
        <v>235</v>
      </c>
      <c r="N558">
        <v>5</v>
      </c>
      <c r="O558">
        <v>5</v>
      </c>
      <c r="P558">
        <v>1</v>
      </c>
      <c r="Q558">
        <v>0</v>
      </c>
      <c r="R558" s="4">
        <v>8.24</v>
      </c>
      <c r="S558">
        <v>0</v>
      </c>
      <c r="T558">
        <v>1</v>
      </c>
    </row>
    <row r="559" spans="1:20" ht="16.5" x14ac:dyDescent="0.3">
      <c r="A559" t="s">
        <v>601</v>
      </c>
      <c r="B559" s="1">
        <v>45377</v>
      </c>
      <c r="C559">
        <v>2024</v>
      </c>
      <c r="D559" t="s">
        <v>21</v>
      </c>
      <c r="E559" t="s">
        <v>437</v>
      </c>
      <c r="F559" t="s">
        <v>23</v>
      </c>
      <c r="G559" t="s">
        <v>24</v>
      </c>
      <c r="H559" t="s">
        <v>48</v>
      </c>
      <c r="I559" t="s">
        <v>40</v>
      </c>
      <c r="J559" t="s">
        <v>27</v>
      </c>
      <c r="K559" t="s">
        <v>28</v>
      </c>
      <c r="L559" s="2">
        <v>101.9</v>
      </c>
      <c r="M559" s="3">
        <v>445</v>
      </c>
      <c r="N559">
        <v>2</v>
      </c>
      <c r="O559">
        <v>5</v>
      </c>
      <c r="P559">
        <v>0</v>
      </c>
      <c r="Q559">
        <v>3</v>
      </c>
      <c r="R559" s="4">
        <v>106.18</v>
      </c>
      <c r="S559">
        <v>0</v>
      </c>
      <c r="T559">
        <v>1</v>
      </c>
    </row>
    <row r="560" spans="1:20" ht="16.5" x14ac:dyDescent="0.3">
      <c r="A560" t="s">
        <v>602</v>
      </c>
      <c r="B560" s="1">
        <v>45378</v>
      </c>
      <c r="C560">
        <v>2024</v>
      </c>
      <c r="D560" t="s">
        <v>21</v>
      </c>
      <c r="E560" t="s">
        <v>437</v>
      </c>
      <c r="F560" t="s">
        <v>57</v>
      </c>
      <c r="G560" t="s">
        <v>39</v>
      </c>
      <c r="H560" t="s">
        <v>51</v>
      </c>
      <c r="I560" t="s">
        <v>26</v>
      </c>
      <c r="J560" t="s">
        <v>27</v>
      </c>
      <c r="K560" t="s">
        <v>28</v>
      </c>
      <c r="L560" s="2">
        <v>8.5</v>
      </c>
      <c r="M560" s="3">
        <v>1257</v>
      </c>
      <c r="N560">
        <v>5</v>
      </c>
      <c r="O560">
        <v>5</v>
      </c>
      <c r="P560">
        <v>1</v>
      </c>
      <c r="Q560">
        <v>0</v>
      </c>
      <c r="R560" s="4">
        <v>25.9</v>
      </c>
      <c r="S560">
        <v>0</v>
      </c>
      <c r="T560">
        <v>1</v>
      </c>
    </row>
    <row r="561" spans="1:20" ht="16.5" x14ac:dyDescent="0.3">
      <c r="A561" t="s">
        <v>603</v>
      </c>
      <c r="B561" s="1">
        <v>45378</v>
      </c>
      <c r="C561">
        <v>2024</v>
      </c>
      <c r="D561" t="s">
        <v>21</v>
      </c>
      <c r="E561" t="s">
        <v>437</v>
      </c>
      <c r="F561" t="s">
        <v>30</v>
      </c>
      <c r="G561" t="s">
        <v>24</v>
      </c>
      <c r="H561" t="s">
        <v>36</v>
      </c>
      <c r="I561" t="s">
        <v>26</v>
      </c>
      <c r="J561" t="s">
        <v>27</v>
      </c>
      <c r="K561" t="s">
        <v>32</v>
      </c>
      <c r="L561" s="2">
        <v>13</v>
      </c>
      <c r="M561" s="3">
        <v>311</v>
      </c>
      <c r="N561">
        <v>3</v>
      </c>
      <c r="O561">
        <v>2</v>
      </c>
      <c r="P561">
        <v>1</v>
      </c>
      <c r="Q561">
        <v>0</v>
      </c>
      <c r="R561" s="4">
        <v>19.329999999999998</v>
      </c>
      <c r="S561">
        <v>0</v>
      </c>
      <c r="T561">
        <v>1</v>
      </c>
    </row>
    <row r="562" spans="1:20" ht="16.5" x14ac:dyDescent="0.3">
      <c r="A562" t="s">
        <v>604</v>
      </c>
      <c r="B562" s="1">
        <v>45378</v>
      </c>
      <c r="C562">
        <v>2024</v>
      </c>
      <c r="D562" t="s">
        <v>21</v>
      </c>
      <c r="E562" t="s">
        <v>437</v>
      </c>
      <c r="F562" t="s">
        <v>23</v>
      </c>
      <c r="G562" t="s">
        <v>35</v>
      </c>
      <c r="H562" t="s">
        <v>48</v>
      </c>
      <c r="I562" t="s">
        <v>40</v>
      </c>
      <c r="J562" t="s">
        <v>27</v>
      </c>
      <c r="K562" t="s">
        <v>28</v>
      </c>
      <c r="L562" s="2">
        <v>102.8</v>
      </c>
      <c r="M562" s="3">
        <v>490</v>
      </c>
      <c r="N562">
        <v>2</v>
      </c>
      <c r="O562">
        <v>2</v>
      </c>
      <c r="P562">
        <v>1</v>
      </c>
      <c r="Q562">
        <v>0</v>
      </c>
      <c r="R562" s="4">
        <v>112</v>
      </c>
      <c r="S562">
        <v>0</v>
      </c>
      <c r="T562">
        <v>1</v>
      </c>
    </row>
    <row r="563" spans="1:20" ht="16.5" x14ac:dyDescent="0.3">
      <c r="A563" t="s">
        <v>605</v>
      </c>
      <c r="B563" s="1">
        <v>45378</v>
      </c>
      <c r="C563">
        <v>2024</v>
      </c>
      <c r="D563" t="s">
        <v>21</v>
      </c>
      <c r="E563" t="s">
        <v>437</v>
      </c>
      <c r="F563" t="s">
        <v>23</v>
      </c>
      <c r="G563" t="s">
        <v>39</v>
      </c>
      <c r="H563" t="s">
        <v>48</v>
      </c>
      <c r="I563" t="s">
        <v>26</v>
      </c>
      <c r="J563" t="s">
        <v>27</v>
      </c>
      <c r="K563" t="s">
        <v>28</v>
      </c>
      <c r="L563" s="2">
        <v>292.3</v>
      </c>
      <c r="M563" s="3">
        <v>404</v>
      </c>
      <c r="N563">
        <v>4</v>
      </c>
      <c r="O563">
        <v>4</v>
      </c>
      <c r="P563">
        <v>1</v>
      </c>
      <c r="Q563">
        <v>0</v>
      </c>
      <c r="R563" s="4">
        <v>125.96</v>
      </c>
      <c r="S563">
        <v>0</v>
      </c>
      <c r="T563">
        <v>1</v>
      </c>
    </row>
    <row r="564" spans="1:20" ht="16.5" x14ac:dyDescent="0.3">
      <c r="A564" t="s">
        <v>606</v>
      </c>
      <c r="B564" s="1">
        <v>45378</v>
      </c>
      <c r="C564">
        <v>2024</v>
      </c>
      <c r="D564" t="s">
        <v>21</v>
      </c>
      <c r="E564" t="s">
        <v>437</v>
      </c>
      <c r="F564" t="s">
        <v>38</v>
      </c>
      <c r="G564" t="s">
        <v>35</v>
      </c>
      <c r="H564" t="s">
        <v>25</v>
      </c>
      <c r="I564" t="s">
        <v>26</v>
      </c>
      <c r="J564" t="s">
        <v>27</v>
      </c>
      <c r="K564" t="s">
        <v>28</v>
      </c>
      <c r="L564" s="2">
        <v>33.4</v>
      </c>
      <c r="M564" s="3">
        <v>1079</v>
      </c>
      <c r="N564">
        <v>4</v>
      </c>
      <c r="O564">
        <v>4</v>
      </c>
      <c r="P564">
        <v>1</v>
      </c>
      <c r="Q564">
        <v>0</v>
      </c>
      <c r="R564" s="4">
        <v>39.11</v>
      </c>
      <c r="S564">
        <v>0</v>
      </c>
      <c r="T564">
        <v>1</v>
      </c>
    </row>
    <row r="565" spans="1:20" ht="16.5" x14ac:dyDescent="0.3">
      <c r="A565" t="s">
        <v>607</v>
      </c>
      <c r="B565" s="1">
        <v>45378</v>
      </c>
      <c r="C565">
        <v>2024</v>
      </c>
      <c r="D565" t="s">
        <v>21</v>
      </c>
      <c r="E565" t="s">
        <v>437</v>
      </c>
      <c r="F565" t="s">
        <v>57</v>
      </c>
      <c r="G565" t="s">
        <v>39</v>
      </c>
      <c r="H565" t="s">
        <v>36</v>
      </c>
      <c r="I565" t="s">
        <v>31</v>
      </c>
      <c r="J565" t="s">
        <v>27</v>
      </c>
      <c r="K565" t="s">
        <v>32</v>
      </c>
      <c r="L565" s="2">
        <v>8.1999999999999993</v>
      </c>
      <c r="M565" s="3">
        <v>246</v>
      </c>
      <c r="N565">
        <v>5</v>
      </c>
      <c r="O565">
        <v>5</v>
      </c>
      <c r="P565">
        <v>1</v>
      </c>
      <c r="Q565">
        <v>0</v>
      </c>
      <c r="R565" s="4">
        <v>10.33</v>
      </c>
      <c r="S565">
        <v>0</v>
      </c>
      <c r="T565">
        <v>1</v>
      </c>
    </row>
    <row r="566" spans="1:20" ht="16.5" x14ac:dyDescent="0.3">
      <c r="A566" t="s">
        <v>608</v>
      </c>
      <c r="B566" s="1">
        <v>45378</v>
      </c>
      <c r="C566">
        <v>2024</v>
      </c>
      <c r="D566" t="s">
        <v>21</v>
      </c>
      <c r="E566" t="s">
        <v>437</v>
      </c>
      <c r="F566" t="s">
        <v>30</v>
      </c>
      <c r="G566" t="s">
        <v>24</v>
      </c>
      <c r="H566" t="s">
        <v>36</v>
      </c>
      <c r="I566" t="s">
        <v>26</v>
      </c>
      <c r="J566" t="s">
        <v>27</v>
      </c>
      <c r="K566" t="s">
        <v>32</v>
      </c>
      <c r="L566" s="2">
        <v>8.6999999999999993</v>
      </c>
      <c r="M566" s="3">
        <v>220</v>
      </c>
      <c r="N566">
        <v>3</v>
      </c>
      <c r="O566">
        <v>3</v>
      </c>
      <c r="P566">
        <v>1</v>
      </c>
      <c r="Q566">
        <v>0</v>
      </c>
      <c r="R566" s="4">
        <v>16.32</v>
      </c>
      <c r="S566">
        <v>0</v>
      </c>
      <c r="T566">
        <v>1</v>
      </c>
    </row>
    <row r="567" spans="1:20" ht="16.5" x14ac:dyDescent="0.3">
      <c r="A567" t="s">
        <v>609</v>
      </c>
      <c r="B567" s="1">
        <v>45378</v>
      </c>
      <c r="C567">
        <v>2024</v>
      </c>
      <c r="D567" t="s">
        <v>21</v>
      </c>
      <c r="E567" t="s">
        <v>437</v>
      </c>
      <c r="F567" t="s">
        <v>30</v>
      </c>
      <c r="G567" t="s">
        <v>39</v>
      </c>
      <c r="H567" t="s">
        <v>36</v>
      </c>
      <c r="I567" t="s">
        <v>40</v>
      </c>
      <c r="J567" t="s">
        <v>27</v>
      </c>
      <c r="K567" t="s">
        <v>32</v>
      </c>
      <c r="L567" s="2">
        <v>6.5</v>
      </c>
      <c r="M567" s="3">
        <v>255</v>
      </c>
      <c r="N567">
        <v>1</v>
      </c>
      <c r="O567">
        <v>1</v>
      </c>
      <c r="P567">
        <v>1</v>
      </c>
      <c r="Q567">
        <v>0</v>
      </c>
      <c r="R567" s="4">
        <v>26.39</v>
      </c>
      <c r="S567">
        <v>0</v>
      </c>
      <c r="T567">
        <v>1</v>
      </c>
    </row>
    <row r="568" spans="1:20" ht="16.5" x14ac:dyDescent="0.3">
      <c r="A568" t="s">
        <v>610</v>
      </c>
      <c r="B568" s="1">
        <v>45378</v>
      </c>
      <c r="C568">
        <v>2024</v>
      </c>
      <c r="D568" t="s">
        <v>21</v>
      </c>
      <c r="E568" t="s">
        <v>437</v>
      </c>
      <c r="F568" t="s">
        <v>57</v>
      </c>
      <c r="G568" t="s">
        <v>39</v>
      </c>
      <c r="H568" t="s">
        <v>25</v>
      </c>
      <c r="I568" t="s">
        <v>31</v>
      </c>
      <c r="J568" t="s">
        <v>27</v>
      </c>
      <c r="K568" t="s">
        <v>28</v>
      </c>
      <c r="L568" s="2">
        <v>183.2</v>
      </c>
      <c r="M568" s="3">
        <v>892</v>
      </c>
      <c r="N568">
        <v>6</v>
      </c>
      <c r="O568">
        <v>5</v>
      </c>
      <c r="P568">
        <v>1</v>
      </c>
      <c r="Q568">
        <v>0</v>
      </c>
      <c r="R568" s="4">
        <v>65.010000000000005</v>
      </c>
      <c r="S568">
        <v>0</v>
      </c>
      <c r="T568">
        <v>1</v>
      </c>
    </row>
    <row r="569" spans="1:20" ht="16.5" x14ac:dyDescent="0.3">
      <c r="A569" t="s">
        <v>611</v>
      </c>
      <c r="B569" s="1">
        <v>45378</v>
      </c>
      <c r="C569">
        <v>2024</v>
      </c>
      <c r="D569" t="s">
        <v>21</v>
      </c>
      <c r="E569" t="s">
        <v>437</v>
      </c>
      <c r="F569" t="s">
        <v>38</v>
      </c>
      <c r="G569" t="s">
        <v>35</v>
      </c>
      <c r="H569" t="s">
        <v>48</v>
      </c>
      <c r="I569" t="s">
        <v>26</v>
      </c>
      <c r="J569" t="s">
        <v>27</v>
      </c>
      <c r="K569" t="s">
        <v>28</v>
      </c>
      <c r="L569" s="2">
        <v>94</v>
      </c>
      <c r="M569" s="3">
        <v>440</v>
      </c>
      <c r="N569">
        <v>4</v>
      </c>
      <c r="O569">
        <v>4</v>
      </c>
      <c r="P569">
        <v>1</v>
      </c>
      <c r="Q569">
        <v>0</v>
      </c>
      <c r="R569" s="4">
        <v>60.88</v>
      </c>
      <c r="S569">
        <v>0</v>
      </c>
      <c r="T569">
        <v>1</v>
      </c>
    </row>
    <row r="570" spans="1:20" ht="16.5" x14ac:dyDescent="0.3">
      <c r="A570" t="s">
        <v>612</v>
      </c>
      <c r="B570" s="1">
        <v>45378</v>
      </c>
      <c r="C570">
        <v>2024</v>
      </c>
      <c r="D570" t="s">
        <v>21</v>
      </c>
      <c r="E570" t="s">
        <v>437</v>
      </c>
      <c r="F570" t="s">
        <v>38</v>
      </c>
      <c r="G570" t="s">
        <v>24</v>
      </c>
      <c r="H570" t="s">
        <v>51</v>
      </c>
      <c r="I570" t="s">
        <v>31</v>
      </c>
      <c r="J570" t="s">
        <v>27</v>
      </c>
      <c r="K570" t="s">
        <v>28</v>
      </c>
      <c r="L570" s="2">
        <v>68.900000000000006</v>
      </c>
      <c r="M570" s="3">
        <v>863</v>
      </c>
      <c r="N570">
        <v>7</v>
      </c>
      <c r="O570">
        <v>7</v>
      </c>
      <c r="P570">
        <v>1</v>
      </c>
      <c r="Q570">
        <v>0</v>
      </c>
      <c r="R570" s="4">
        <v>39.07</v>
      </c>
      <c r="S570">
        <v>0</v>
      </c>
      <c r="T570">
        <v>1</v>
      </c>
    </row>
    <row r="571" spans="1:20" ht="16.5" x14ac:dyDescent="0.3">
      <c r="A571" t="s">
        <v>613</v>
      </c>
      <c r="B571" s="1">
        <v>45378</v>
      </c>
      <c r="C571">
        <v>2024</v>
      </c>
      <c r="D571" t="s">
        <v>21</v>
      </c>
      <c r="E571" t="s">
        <v>437</v>
      </c>
      <c r="F571" t="s">
        <v>30</v>
      </c>
      <c r="G571" t="s">
        <v>35</v>
      </c>
      <c r="H571" t="s">
        <v>25</v>
      </c>
      <c r="I571" t="s">
        <v>26</v>
      </c>
      <c r="J571" t="s">
        <v>27</v>
      </c>
      <c r="K571" t="s">
        <v>32</v>
      </c>
      <c r="L571" s="2">
        <v>5.2</v>
      </c>
      <c r="M571" s="3">
        <v>912</v>
      </c>
      <c r="N571">
        <v>4</v>
      </c>
      <c r="O571">
        <v>4</v>
      </c>
      <c r="P571">
        <v>1</v>
      </c>
      <c r="Q571">
        <v>0</v>
      </c>
      <c r="R571" s="4">
        <v>22.87</v>
      </c>
      <c r="S571">
        <v>0</v>
      </c>
      <c r="T571">
        <v>1</v>
      </c>
    </row>
    <row r="572" spans="1:20" ht="16.5" x14ac:dyDescent="0.3">
      <c r="A572" t="s">
        <v>614</v>
      </c>
      <c r="B572" s="1">
        <v>45378</v>
      </c>
      <c r="C572">
        <v>2024</v>
      </c>
      <c r="D572" t="s">
        <v>21</v>
      </c>
      <c r="E572" t="s">
        <v>437</v>
      </c>
      <c r="F572" t="s">
        <v>57</v>
      </c>
      <c r="G572" t="s">
        <v>39</v>
      </c>
      <c r="H572" t="s">
        <v>25</v>
      </c>
      <c r="I572" t="s">
        <v>26</v>
      </c>
      <c r="J572" t="s">
        <v>27</v>
      </c>
      <c r="K572" t="s">
        <v>28</v>
      </c>
      <c r="L572" s="2">
        <v>93.9</v>
      </c>
      <c r="M572" s="3">
        <v>923</v>
      </c>
      <c r="N572">
        <v>4</v>
      </c>
      <c r="O572">
        <v>4</v>
      </c>
      <c r="P572">
        <v>1</v>
      </c>
      <c r="Q572">
        <v>0</v>
      </c>
      <c r="R572" s="4">
        <v>60.12</v>
      </c>
      <c r="S572">
        <v>0</v>
      </c>
      <c r="T572">
        <v>1</v>
      </c>
    </row>
    <row r="573" spans="1:20" ht="16.5" x14ac:dyDescent="0.3">
      <c r="A573" t="s">
        <v>615</v>
      </c>
      <c r="B573" s="1">
        <v>45378</v>
      </c>
      <c r="C573">
        <v>2024</v>
      </c>
      <c r="D573" t="s">
        <v>21</v>
      </c>
      <c r="E573" t="s">
        <v>437</v>
      </c>
      <c r="F573" t="s">
        <v>57</v>
      </c>
      <c r="G573" t="s">
        <v>39</v>
      </c>
      <c r="H573" t="s">
        <v>36</v>
      </c>
      <c r="I573" t="s">
        <v>26</v>
      </c>
      <c r="J573" t="s">
        <v>27</v>
      </c>
      <c r="K573" t="s">
        <v>32</v>
      </c>
      <c r="L573" s="2">
        <v>21.7</v>
      </c>
      <c r="M573" s="3">
        <v>189</v>
      </c>
      <c r="N573">
        <v>3</v>
      </c>
      <c r="O573">
        <v>2</v>
      </c>
      <c r="P573">
        <v>1</v>
      </c>
      <c r="Q573">
        <v>0</v>
      </c>
      <c r="R573" s="4">
        <v>24.12</v>
      </c>
      <c r="S573">
        <v>0</v>
      </c>
      <c r="T573">
        <v>1</v>
      </c>
    </row>
    <row r="574" spans="1:20" ht="16.5" x14ac:dyDescent="0.3">
      <c r="A574" t="s">
        <v>616</v>
      </c>
      <c r="B574" s="1">
        <v>45379</v>
      </c>
      <c r="C574">
        <v>2024</v>
      </c>
      <c r="D574" t="s">
        <v>21</v>
      </c>
      <c r="E574" t="s">
        <v>437</v>
      </c>
      <c r="F574" t="s">
        <v>38</v>
      </c>
      <c r="G574" t="s">
        <v>35</v>
      </c>
      <c r="H574" t="s">
        <v>36</v>
      </c>
      <c r="I574" t="s">
        <v>26</v>
      </c>
      <c r="J574" t="s">
        <v>27</v>
      </c>
      <c r="K574" t="s">
        <v>28</v>
      </c>
      <c r="L574" s="2">
        <v>29.4</v>
      </c>
      <c r="M574" s="3">
        <v>318</v>
      </c>
      <c r="N574">
        <v>3</v>
      </c>
      <c r="O574">
        <v>2</v>
      </c>
      <c r="P574">
        <v>1</v>
      </c>
      <c r="Q574">
        <v>0</v>
      </c>
      <c r="R574" s="4">
        <v>28.65</v>
      </c>
      <c r="S574">
        <v>0</v>
      </c>
      <c r="T574">
        <v>1</v>
      </c>
    </row>
    <row r="575" spans="1:20" ht="16.5" x14ac:dyDescent="0.3">
      <c r="A575" t="s">
        <v>617</v>
      </c>
      <c r="B575" s="1">
        <v>45379</v>
      </c>
      <c r="C575">
        <v>2024</v>
      </c>
      <c r="D575" t="s">
        <v>21</v>
      </c>
      <c r="E575" t="s">
        <v>437</v>
      </c>
      <c r="F575" t="s">
        <v>23</v>
      </c>
      <c r="G575" t="s">
        <v>39</v>
      </c>
      <c r="H575" t="s">
        <v>25</v>
      </c>
      <c r="I575" t="s">
        <v>26</v>
      </c>
      <c r="J575" t="s">
        <v>27</v>
      </c>
      <c r="K575" t="s">
        <v>32</v>
      </c>
      <c r="L575" s="2">
        <v>3.1</v>
      </c>
      <c r="M575" s="3">
        <v>1030</v>
      </c>
      <c r="N575">
        <v>4</v>
      </c>
      <c r="O575">
        <v>3</v>
      </c>
      <c r="P575">
        <v>1</v>
      </c>
      <c r="Q575">
        <v>0</v>
      </c>
      <c r="R575" s="4">
        <v>21.08</v>
      </c>
      <c r="S575">
        <v>0</v>
      </c>
      <c r="T575">
        <v>1</v>
      </c>
    </row>
    <row r="576" spans="1:20" ht="16.5" x14ac:dyDescent="0.3">
      <c r="A576" t="s">
        <v>618</v>
      </c>
      <c r="B576" s="1">
        <v>45379</v>
      </c>
      <c r="C576">
        <v>2024</v>
      </c>
      <c r="D576" t="s">
        <v>21</v>
      </c>
      <c r="E576" t="s">
        <v>437</v>
      </c>
      <c r="F576" t="s">
        <v>34</v>
      </c>
      <c r="G576" t="s">
        <v>24</v>
      </c>
      <c r="H576" t="s">
        <v>48</v>
      </c>
      <c r="I576" t="s">
        <v>31</v>
      </c>
      <c r="J576" t="s">
        <v>27</v>
      </c>
      <c r="K576" t="s">
        <v>28</v>
      </c>
      <c r="L576" s="2">
        <v>122.2</v>
      </c>
      <c r="M576" s="3">
        <v>474</v>
      </c>
      <c r="N576">
        <v>6</v>
      </c>
      <c r="O576">
        <v>6</v>
      </c>
      <c r="P576">
        <v>1</v>
      </c>
      <c r="Q576">
        <v>0</v>
      </c>
      <c r="R576" s="4">
        <v>42.35</v>
      </c>
      <c r="S576">
        <v>0</v>
      </c>
      <c r="T576">
        <v>1</v>
      </c>
    </row>
    <row r="577" spans="1:20" ht="16.5" x14ac:dyDescent="0.3">
      <c r="A577" t="s">
        <v>619</v>
      </c>
      <c r="B577" s="1">
        <v>45379</v>
      </c>
      <c r="C577">
        <v>2024</v>
      </c>
      <c r="D577" t="s">
        <v>21</v>
      </c>
      <c r="E577" t="s">
        <v>437</v>
      </c>
      <c r="F577" t="s">
        <v>34</v>
      </c>
      <c r="G577" t="s">
        <v>39</v>
      </c>
      <c r="H577" t="s">
        <v>25</v>
      </c>
      <c r="I577" t="s">
        <v>31</v>
      </c>
      <c r="J577" t="s">
        <v>27</v>
      </c>
      <c r="K577" t="s">
        <v>32</v>
      </c>
      <c r="L577" s="2">
        <v>11.4</v>
      </c>
      <c r="M577" s="3">
        <v>905</v>
      </c>
      <c r="N577">
        <v>6</v>
      </c>
      <c r="O577">
        <v>7</v>
      </c>
      <c r="P577">
        <v>0</v>
      </c>
      <c r="Q577">
        <v>1</v>
      </c>
      <c r="R577" s="4">
        <v>15.19</v>
      </c>
      <c r="S577">
        <v>0</v>
      </c>
      <c r="T577">
        <v>1</v>
      </c>
    </row>
    <row r="578" spans="1:20" ht="16.5" x14ac:dyDescent="0.3">
      <c r="A578" t="s">
        <v>620</v>
      </c>
      <c r="B578" s="1">
        <v>45379</v>
      </c>
      <c r="C578">
        <v>2024</v>
      </c>
      <c r="D578" t="s">
        <v>21</v>
      </c>
      <c r="E578" t="s">
        <v>437</v>
      </c>
      <c r="F578" t="s">
        <v>38</v>
      </c>
      <c r="G578" t="s">
        <v>35</v>
      </c>
      <c r="H578" t="s">
        <v>51</v>
      </c>
      <c r="I578" t="s">
        <v>40</v>
      </c>
      <c r="J578" t="s">
        <v>41</v>
      </c>
      <c r="K578" t="s">
        <v>32</v>
      </c>
      <c r="L578" s="2">
        <v>5.9</v>
      </c>
      <c r="M578" s="3">
        <v>1114</v>
      </c>
      <c r="N578">
        <v>3</v>
      </c>
      <c r="O578">
        <v>3</v>
      </c>
      <c r="P578">
        <v>1</v>
      </c>
      <c r="Q578">
        <v>0</v>
      </c>
      <c r="R578" s="4">
        <v>75.66</v>
      </c>
      <c r="S578">
        <v>0</v>
      </c>
      <c r="T578">
        <v>1</v>
      </c>
    </row>
    <row r="579" spans="1:20" ht="16.5" x14ac:dyDescent="0.3">
      <c r="A579" t="s">
        <v>621</v>
      </c>
      <c r="B579" s="1">
        <v>45379</v>
      </c>
      <c r="C579">
        <v>2024</v>
      </c>
      <c r="D579" t="s">
        <v>21</v>
      </c>
      <c r="E579" t="s">
        <v>437</v>
      </c>
      <c r="F579" t="s">
        <v>30</v>
      </c>
      <c r="G579" t="s">
        <v>39</v>
      </c>
      <c r="H579" t="s">
        <v>43</v>
      </c>
      <c r="I579" t="s">
        <v>31</v>
      </c>
      <c r="J579" t="s">
        <v>27</v>
      </c>
      <c r="K579" t="s">
        <v>28</v>
      </c>
      <c r="L579" s="2">
        <v>12.7</v>
      </c>
      <c r="M579" s="3">
        <v>1015</v>
      </c>
      <c r="N579">
        <v>7</v>
      </c>
      <c r="O579">
        <v>7</v>
      </c>
      <c r="P579">
        <v>1</v>
      </c>
      <c r="Q579">
        <v>0</v>
      </c>
      <c r="R579" s="4">
        <v>19.46</v>
      </c>
      <c r="S579">
        <v>0</v>
      </c>
      <c r="T579">
        <v>1</v>
      </c>
    </row>
    <row r="580" spans="1:20" ht="16.5" x14ac:dyDescent="0.3">
      <c r="A580" t="s">
        <v>622</v>
      </c>
      <c r="B580" s="1">
        <v>45379</v>
      </c>
      <c r="C580">
        <v>2024</v>
      </c>
      <c r="D580" t="s">
        <v>21</v>
      </c>
      <c r="E580" t="s">
        <v>437</v>
      </c>
      <c r="F580" t="s">
        <v>34</v>
      </c>
      <c r="G580" t="s">
        <v>35</v>
      </c>
      <c r="H580" t="s">
        <v>36</v>
      </c>
      <c r="I580" t="s">
        <v>40</v>
      </c>
      <c r="J580" t="s">
        <v>27</v>
      </c>
      <c r="K580" t="s">
        <v>28</v>
      </c>
      <c r="L580" s="2">
        <v>116.2</v>
      </c>
      <c r="M580" s="3">
        <v>239</v>
      </c>
      <c r="N580">
        <v>1</v>
      </c>
      <c r="O580">
        <v>1</v>
      </c>
      <c r="P580">
        <v>1</v>
      </c>
      <c r="Q580">
        <v>0</v>
      </c>
      <c r="R580" s="4">
        <v>91.35</v>
      </c>
      <c r="S580">
        <v>0</v>
      </c>
      <c r="T580">
        <v>1</v>
      </c>
    </row>
    <row r="581" spans="1:20" ht="16.5" x14ac:dyDescent="0.3">
      <c r="A581" t="s">
        <v>623</v>
      </c>
      <c r="B581" s="1">
        <v>45379</v>
      </c>
      <c r="C581">
        <v>2024</v>
      </c>
      <c r="D581" t="s">
        <v>21</v>
      </c>
      <c r="E581" t="s">
        <v>437</v>
      </c>
      <c r="F581" t="s">
        <v>30</v>
      </c>
      <c r="G581" t="s">
        <v>35</v>
      </c>
      <c r="H581" t="s">
        <v>36</v>
      </c>
      <c r="I581" t="s">
        <v>40</v>
      </c>
      <c r="J581" t="s">
        <v>27</v>
      </c>
      <c r="K581" t="s">
        <v>28</v>
      </c>
      <c r="L581" s="2">
        <v>183.1</v>
      </c>
      <c r="M581" s="3">
        <v>252</v>
      </c>
      <c r="N581">
        <v>1</v>
      </c>
      <c r="O581">
        <v>1</v>
      </c>
      <c r="P581">
        <v>1</v>
      </c>
      <c r="Q581">
        <v>0</v>
      </c>
      <c r="R581" s="4">
        <v>184.72</v>
      </c>
      <c r="S581">
        <v>0</v>
      </c>
      <c r="T581">
        <v>1</v>
      </c>
    </row>
    <row r="582" spans="1:20" ht="16.5" x14ac:dyDescent="0.3">
      <c r="A582" t="s">
        <v>624</v>
      </c>
      <c r="B582" s="1">
        <v>45379</v>
      </c>
      <c r="C582">
        <v>2024</v>
      </c>
      <c r="D582" t="s">
        <v>21</v>
      </c>
      <c r="E582" t="s">
        <v>437</v>
      </c>
      <c r="F582" t="s">
        <v>34</v>
      </c>
      <c r="G582" t="s">
        <v>24</v>
      </c>
      <c r="H582" t="s">
        <v>36</v>
      </c>
      <c r="I582" t="s">
        <v>26</v>
      </c>
      <c r="J582" t="s">
        <v>27</v>
      </c>
      <c r="K582" t="s">
        <v>32</v>
      </c>
      <c r="L582" s="2">
        <v>1.3</v>
      </c>
      <c r="M582" s="3">
        <v>185</v>
      </c>
      <c r="N582">
        <v>3</v>
      </c>
      <c r="O582">
        <v>4</v>
      </c>
      <c r="P582">
        <v>0</v>
      </c>
      <c r="Q582">
        <v>1</v>
      </c>
      <c r="R582" s="4">
        <v>7.93</v>
      </c>
      <c r="S582">
        <v>0</v>
      </c>
      <c r="T582">
        <v>1</v>
      </c>
    </row>
    <row r="583" spans="1:20" ht="16.5" x14ac:dyDescent="0.3">
      <c r="A583" t="s">
        <v>625</v>
      </c>
      <c r="B583" s="1">
        <v>45379</v>
      </c>
      <c r="C583">
        <v>2024</v>
      </c>
      <c r="D583" t="s">
        <v>21</v>
      </c>
      <c r="E583" t="s">
        <v>437</v>
      </c>
      <c r="F583" t="s">
        <v>30</v>
      </c>
      <c r="G583" t="s">
        <v>39</v>
      </c>
      <c r="H583" t="s">
        <v>43</v>
      </c>
      <c r="I583" t="s">
        <v>31</v>
      </c>
      <c r="J583" t="s">
        <v>27</v>
      </c>
      <c r="K583" t="s">
        <v>32</v>
      </c>
      <c r="L583" s="2">
        <v>4.2</v>
      </c>
      <c r="M583" s="3">
        <v>1020</v>
      </c>
      <c r="N583">
        <v>7</v>
      </c>
      <c r="O583">
        <v>8</v>
      </c>
      <c r="P583">
        <v>0</v>
      </c>
      <c r="Q583">
        <v>1</v>
      </c>
      <c r="R583" s="4">
        <v>17.760000000000002</v>
      </c>
      <c r="S583">
        <v>0</v>
      </c>
      <c r="T583">
        <v>1</v>
      </c>
    </row>
    <row r="584" spans="1:20" ht="16.5" x14ac:dyDescent="0.3">
      <c r="A584" t="s">
        <v>626</v>
      </c>
      <c r="B584" s="1">
        <v>45379</v>
      </c>
      <c r="C584">
        <v>2024</v>
      </c>
      <c r="D584" t="s">
        <v>21</v>
      </c>
      <c r="E584" t="s">
        <v>437</v>
      </c>
      <c r="F584" t="s">
        <v>34</v>
      </c>
      <c r="G584" t="s">
        <v>24</v>
      </c>
      <c r="H584" t="s">
        <v>51</v>
      </c>
      <c r="I584" t="s">
        <v>26</v>
      </c>
      <c r="J584" t="s">
        <v>27</v>
      </c>
      <c r="K584" t="s">
        <v>32</v>
      </c>
      <c r="L584" s="2">
        <v>5.4</v>
      </c>
      <c r="M584" s="3">
        <v>1077</v>
      </c>
      <c r="N584">
        <v>5</v>
      </c>
      <c r="O584">
        <v>6</v>
      </c>
      <c r="P584">
        <v>0</v>
      </c>
      <c r="Q584">
        <v>1</v>
      </c>
      <c r="R584" s="4">
        <v>17.07</v>
      </c>
      <c r="S584">
        <v>0</v>
      </c>
      <c r="T584">
        <v>1</v>
      </c>
    </row>
    <row r="585" spans="1:20" ht="16.5" x14ac:dyDescent="0.3">
      <c r="A585" t="s">
        <v>627</v>
      </c>
      <c r="B585" s="1">
        <v>45379</v>
      </c>
      <c r="C585">
        <v>2024</v>
      </c>
      <c r="D585" t="s">
        <v>21</v>
      </c>
      <c r="E585" t="s">
        <v>437</v>
      </c>
      <c r="F585" t="s">
        <v>38</v>
      </c>
      <c r="G585" t="s">
        <v>35</v>
      </c>
      <c r="H585" t="s">
        <v>51</v>
      </c>
      <c r="I585" t="s">
        <v>40</v>
      </c>
      <c r="J585" t="s">
        <v>41</v>
      </c>
      <c r="K585" t="s">
        <v>28</v>
      </c>
      <c r="L585" s="2">
        <v>136.9</v>
      </c>
      <c r="M585" s="3">
        <v>1324</v>
      </c>
      <c r="N585">
        <v>3</v>
      </c>
      <c r="O585">
        <v>3</v>
      </c>
      <c r="P585">
        <v>1</v>
      </c>
      <c r="Q585">
        <v>0</v>
      </c>
      <c r="R585" s="4">
        <v>246.21</v>
      </c>
      <c r="S585">
        <v>0</v>
      </c>
      <c r="T585">
        <v>1</v>
      </c>
    </row>
    <row r="586" spans="1:20" ht="16.5" x14ac:dyDescent="0.3">
      <c r="A586" t="s">
        <v>628</v>
      </c>
      <c r="B586" s="1">
        <v>45380</v>
      </c>
      <c r="C586">
        <v>2024</v>
      </c>
      <c r="D586" t="s">
        <v>21</v>
      </c>
      <c r="E586" t="s">
        <v>437</v>
      </c>
      <c r="F586" t="s">
        <v>38</v>
      </c>
      <c r="G586" t="s">
        <v>35</v>
      </c>
      <c r="H586" t="s">
        <v>48</v>
      </c>
      <c r="I586" t="s">
        <v>26</v>
      </c>
      <c r="J586" t="s">
        <v>27</v>
      </c>
      <c r="K586" t="s">
        <v>32</v>
      </c>
      <c r="L586" s="2">
        <v>17.399999999999999</v>
      </c>
      <c r="M586" s="3">
        <v>502</v>
      </c>
      <c r="N586">
        <v>4</v>
      </c>
      <c r="O586">
        <v>4</v>
      </c>
      <c r="P586">
        <v>1</v>
      </c>
      <c r="Q586">
        <v>0</v>
      </c>
      <c r="R586" s="4">
        <v>24.81</v>
      </c>
      <c r="S586">
        <v>0</v>
      </c>
      <c r="T586">
        <v>1</v>
      </c>
    </row>
    <row r="587" spans="1:20" ht="16.5" x14ac:dyDescent="0.3">
      <c r="A587" t="s">
        <v>629</v>
      </c>
      <c r="B587" s="1">
        <v>45380</v>
      </c>
      <c r="C587">
        <v>2024</v>
      </c>
      <c r="D587" t="s">
        <v>21</v>
      </c>
      <c r="E587" t="s">
        <v>437</v>
      </c>
      <c r="F587" t="s">
        <v>23</v>
      </c>
      <c r="G587" t="s">
        <v>35</v>
      </c>
      <c r="H587" t="s">
        <v>36</v>
      </c>
      <c r="I587" t="s">
        <v>26</v>
      </c>
      <c r="J587" t="s">
        <v>27</v>
      </c>
      <c r="K587" t="s">
        <v>28</v>
      </c>
      <c r="L587" s="2">
        <v>83.2</v>
      </c>
      <c r="M587" s="3">
        <v>312</v>
      </c>
      <c r="N587">
        <v>3</v>
      </c>
      <c r="O587">
        <v>2</v>
      </c>
      <c r="P587">
        <v>1</v>
      </c>
      <c r="Q587">
        <v>0</v>
      </c>
      <c r="R587" s="4">
        <v>45.74</v>
      </c>
      <c r="S587">
        <v>0</v>
      </c>
      <c r="T587">
        <v>1</v>
      </c>
    </row>
    <row r="588" spans="1:20" ht="16.5" x14ac:dyDescent="0.3">
      <c r="A588" t="s">
        <v>630</v>
      </c>
      <c r="B588" s="1">
        <v>45380</v>
      </c>
      <c r="C588">
        <v>2024</v>
      </c>
      <c r="D588" t="s">
        <v>21</v>
      </c>
      <c r="E588" t="s">
        <v>437</v>
      </c>
      <c r="F588" t="s">
        <v>23</v>
      </c>
      <c r="G588" t="s">
        <v>35</v>
      </c>
      <c r="H588" t="s">
        <v>36</v>
      </c>
      <c r="I588" t="s">
        <v>31</v>
      </c>
      <c r="J588" t="s">
        <v>27</v>
      </c>
      <c r="K588" t="s">
        <v>32</v>
      </c>
      <c r="L588" s="2">
        <v>2.1</v>
      </c>
      <c r="M588" s="3">
        <v>282</v>
      </c>
      <c r="N588">
        <v>5</v>
      </c>
      <c r="O588">
        <v>5</v>
      </c>
      <c r="P588">
        <v>1</v>
      </c>
      <c r="Q588">
        <v>0</v>
      </c>
      <c r="R588" s="4">
        <v>8.02</v>
      </c>
      <c r="S588">
        <v>0</v>
      </c>
      <c r="T588">
        <v>1</v>
      </c>
    </row>
    <row r="589" spans="1:20" ht="16.5" x14ac:dyDescent="0.3">
      <c r="A589" t="s">
        <v>631</v>
      </c>
      <c r="B589" s="1">
        <v>45380</v>
      </c>
      <c r="C589">
        <v>2024</v>
      </c>
      <c r="D589" t="s">
        <v>21</v>
      </c>
      <c r="E589" t="s">
        <v>437</v>
      </c>
      <c r="F589" t="s">
        <v>38</v>
      </c>
      <c r="G589" t="s">
        <v>24</v>
      </c>
      <c r="H589" t="s">
        <v>51</v>
      </c>
      <c r="I589" t="s">
        <v>26</v>
      </c>
      <c r="J589" t="s">
        <v>27</v>
      </c>
      <c r="K589" t="s">
        <v>32</v>
      </c>
      <c r="L589" s="2">
        <v>1</v>
      </c>
      <c r="M589" s="3">
        <v>1173</v>
      </c>
      <c r="N589">
        <v>5</v>
      </c>
      <c r="O589">
        <v>4</v>
      </c>
      <c r="P589">
        <v>1</v>
      </c>
      <c r="Q589">
        <v>0</v>
      </c>
      <c r="R589" s="4">
        <v>23.76</v>
      </c>
      <c r="S589">
        <v>0</v>
      </c>
      <c r="T589">
        <v>1</v>
      </c>
    </row>
    <row r="590" spans="1:20" ht="16.5" x14ac:dyDescent="0.3">
      <c r="A590" t="s">
        <v>632</v>
      </c>
      <c r="B590" s="1">
        <v>45380</v>
      </c>
      <c r="C590">
        <v>2024</v>
      </c>
      <c r="D590" t="s">
        <v>21</v>
      </c>
      <c r="E590" t="s">
        <v>437</v>
      </c>
      <c r="F590" t="s">
        <v>38</v>
      </c>
      <c r="G590" t="s">
        <v>39</v>
      </c>
      <c r="H590" t="s">
        <v>25</v>
      </c>
      <c r="I590" t="s">
        <v>31</v>
      </c>
      <c r="J590" t="s">
        <v>27</v>
      </c>
      <c r="K590" t="s">
        <v>28</v>
      </c>
      <c r="L590" s="2">
        <v>119.8</v>
      </c>
      <c r="M590" s="3">
        <v>864</v>
      </c>
      <c r="N590">
        <v>6</v>
      </c>
      <c r="O590">
        <v>5</v>
      </c>
      <c r="P590">
        <v>1</v>
      </c>
      <c r="Q590">
        <v>0</v>
      </c>
      <c r="R590" s="4">
        <v>57.31</v>
      </c>
      <c r="S590">
        <v>0</v>
      </c>
      <c r="T590">
        <v>1</v>
      </c>
    </row>
    <row r="591" spans="1:20" ht="16.5" x14ac:dyDescent="0.3">
      <c r="A591" t="s">
        <v>633</v>
      </c>
      <c r="B591" s="1">
        <v>45380</v>
      </c>
      <c r="C591">
        <v>2024</v>
      </c>
      <c r="D591" t="s">
        <v>21</v>
      </c>
      <c r="E591" t="s">
        <v>437</v>
      </c>
      <c r="F591" t="s">
        <v>34</v>
      </c>
      <c r="G591" t="s">
        <v>24</v>
      </c>
      <c r="H591" t="s">
        <v>36</v>
      </c>
      <c r="I591" t="s">
        <v>26</v>
      </c>
      <c r="J591" t="s">
        <v>27</v>
      </c>
      <c r="K591" t="s">
        <v>32</v>
      </c>
      <c r="L591" s="2">
        <v>8.6</v>
      </c>
      <c r="M591" s="3">
        <v>306</v>
      </c>
      <c r="N591">
        <v>3</v>
      </c>
      <c r="O591">
        <v>2</v>
      </c>
      <c r="P591">
        <v>1</v>
      </c>
      <c r="Q591">
        <v>0</v>
      </c>
      <c r="R591" s="4">
        <v>13.24</v>
      </c>
      <c r="S591">
        <v>0</v>
      </c>
      <c r="T591">
        <v>1</v>
      </c>
    </row>
    <row r="592" spans="1:20" ht="16.5" x14ac:dyDescent="0.3">
      <c r="A592" t="s">
        <v>634</v>
      </c>
      <c r="B592" s="1">
        <v>45380</v>
      </c>
      <c r="C592">
        <v>2024</v>
      </c>
      <c r="D592" t="s">
        <v>21</v>
      </c>
      <c r="E592" t="s">
        <v>437</v>
      </c>
      <c r="F592" t="s">
        <v>34</v>
      </c>
      <c r="G592" t="s">
        <v>24</v>
      </c>
      <c r="H592" t="s">
        <v>51</v>
      </c>
      <c r="I592" t="s">
        <v>31</v>
      </c>
      <c r="J592" t="s">
        <v>27</v>
      </c>
      <c r="K592" t="s">
        <v>28</v>
      </c>
      <c r="L592" s="2">
        <v>56.4</v>
      </c>
      <c r="M592" s="3">
        <v>1011</v>
      </c>
      <c r="N592">
        <v>7</v>
      </c>
      <c r="O592">
        <v>7</v>
      </c>
      <c r="P592">
        <v>1</v>
      </c>
      <c r="Q592">
        <v>0</v>
      </c>
      <c r="R592" s="4">
        <v>27.2</v>
      </c>
      <c r="S592">
        <v>0</v>
      </c>
      <c r="T592">
        <v>1</v>
      </c>
    </row>
    <row r="593" spans="1:20" ht="16.5" x14ac:dyDescent="0.3">
      <c r="A593" t="s">
        <v>635</v>
      </c>
      <c r="B593" s="1">
        <v>45380</v>
      </c>
      <c r="C593">
        <v>2024</v>
      </c>
      <c r="D593" t="s">
        <v>21</v>
      </c>
      <c r="E593" t="s">
        <v>437</v>
      </c>
      <c r="F593" t="s">
        <v>34</v>
      </c>
      <c r="G593" t="s">
        <v>39</v>
      </c>
      <c r="H593" t="s">
        <v>36</v>
      </c>
      <c r="I593" t="s">
        <v>26</v>
      </c>
      <c r="J593" t="s">
        <v>27</v>
      </c>
      <c r="K593" t="s">
        <v>32</v>
      </c>
      <c r="L593" s="2">
        <v>5.5</v>
      </c>
      <c r="M593" s="3">
        <v>200</v>
      </c>
      <c r="N593">
        <v>3</v>
      </c>
      <c r="O593">
        <v>3</v>
      </c>
      <c r="P593">
        <v>1</v>
      </c>
      <c r="Q593">
        <v>0</v>
      </c>
      <c r="R593" s="4">
        <v>10.8</v>
      </c>
      <c r="S593">
        <v>0</v>
      </c>
      <c r="T593">
        <v>1</v>
      </c>
    </row>
    <row r="594" spans="1:20" ht="16.5" x14ac:dyDescent="0.3">
      <c r="A594" t="s">
        <v>636</v>
      </c>
      <c r="B594" s="1">
        <v>45380</v>
      </c>
      <c r="C594">
        <v>2024</v>
      </c>
      <c r="D594" t="s">
        <v>21</v>
      </c>
      <c r="E594" t="s">
        <v>437</v>
      </c>
      <c r="F594" t="s">
        <v>30</v>
      </c>
      <c r="G594" t="s">
        <v>35</v>
      </c>
      <c r="H594" t="s">
        <v>36</v>
      </c>
      <c r="I594" t="s">
        <v>26</v>
      </c>
      <c r="J594" t="s">
        <v>27</v>
      </c>
      <c r="K594" t="s">
        <v>32</v>
      </c>
      <c r="L594" s="2">
        <v>4.5999999999999996</v>
      </c>
      <c r="M594" s="3">
        <v>296</v>
      </c>
      <c r="N594">
        <v>3</v>
      </c>
      <c r="O594">
        <v>3</v>
      </c>
      <c r="P594">
        <v>1</v>
      </c>
      <c r="Q594">
        <v>0</v>
      </c>
      <c r="R594" s="4">
        <v>13.09</v>
      </c>
      <c r="S594">
        <v>0</v>
      </c>
      <c r="T594">
        <v>1</v>
      </c>
    </row>
    <row r="595" spans="1:20" ht="16.5" x14ac:dyDescent="0.3">
      <c r="A595" t="s">
        <v>637</v>
      </c>
      <c r="B595" s="1">
        <v>45380</v>
      </c>
      <c r="C595">
        <v>2024</v>
      </c>
      <c r="D595" t="s">
        <v>21</v>
      </c>
      <c r="E595" t="s">
        <v>437</v>
      </c>
      <c r="F595" t="s">
        <v>30</v>
      </c>
      <c r="G595" t="s">
        <v>39</v>
      </c>
      <c r="H595" t="s">
        <v>36</v>
      </c>
      <c r="I595" t="s">
        <v>31</v>
      </c>
      <c r="J595" t="s">
        <v>27</v>
      </c>
      <c r="K595" t="s">
        <v>32</v>
      </c>
      <c r="L595" s="2">
        <v>9.9</v>
      </c>
      <c r="M595" s="3">
        <v>258</v>
      </c>
      <c r="N595">
        <v>5</v>
      </c>
      <c r="O595">
        <v>5</v>
      </c>
      <c r="P595">
        <v>1</v>
      </c>
      <c r="Q595">
        <v>0</v>
      </c>
      <c r="R595" s="4">
        <v>11.22</v>
      </c>
      <c r="S595">
        <v>0</v>
      </c>
      <c r="T595">
        <v>1</v>
      </c>
    </row>
    <row r="596" spans="1:20" ht="16.5" x14ac:dyDescent="0.3">
      <c r="A596" t="s">
        <v>638</v>
      </c>
      <c r="B596" s="1">
        <v>45380</v>
      </c>
      <c r="C596">
        <v>2024</v>
      </c>
      <c r="D596" t="s">
        <v>21</v>
      </c>
      <c r="E596" t="s">
        <v>437</v>
      </c>
      <c r="F596" t="s">
        <v>38</v>
      </c>
      <c r="G596" t="s">
        <v>35</v>
      </c>
      <c r="H596" t="s">
        <v>36</v>
      </c>
      <c r="I596" t="s">
        <v>26</v>
      </c>
      <c r="J596" t="s">
        <v>27</v>
      </c>
      <c r="K596" t="s">
        <v>32</v>
      </c>
      <c r="L596" s="2">
        <v>6.7</v>
      </c>
      <c r="M596" s="3">
        <v>366</v>
      </c>
      <c r="N596">
        <v>3</v>
      </c>
      <c r="O596">
        <v>3</v>
      </c>
      <c r="P596">
        <v>1</v>
      </c>
      <c r="Q596">
        <v>0</v>
      </c>
      <c r="R596" s="4">
        <v>16.47</v>
      </c>
      <c r="S596">
        <v>0</v>
      </c>
      <c r="T596">
        <v>1</v>
      </c>
    </row>
    <row r="597" spans="1:20" ht="16.5" x14ac:dyDescent="0.3">
      <c r="A597" t="s">
        <v>639</v>
      </c>
      <c r="B597" s="1">
        <v>45381</v>
      </c>
      <c r="C597">
        <v>2024</v>
      </c>
      <c r="D597" t="s">
        <v>21</v>
      </c>
      <c r="E597" t="s">
        <v>437</v>
      </c>
      <c r="F597" t="s">
        <v>57</v>
      </c>
      <c r="G597" t="s">
        <v>39</v>
      </c>
      <c r="H597" t="s">
        <v>48</v>
      </c>
      <c r="I597" t="s">
        <v>26</v>
      </c>
      <c r="J597" t="s">
        <v>27</v>
      </c>
      <c r="K597" t="s">
        <v>32</v>
      </c>
      <c r="L597" s="2">
        <v>12.5</v>
      </c>
      <c r="M597" s="3">
        <v>410</v>
      </c>
      <c r="N597">
        <v>4</v>
      </c>
      <c r="O597">
        <v>4</v>
      </c>
      <c r="P597">
        <v>1</v>
      </c>
      <c r="Q597">
        <v>0</v>
      </c>
      <c r="R597" s="4">
        <v>18.59</v>
      </c>
      <c r="S597">
        <v>0</v>
      </c>
      <c r="T597">
        <v>1</v>
      </c>
    </row>
    <row r="598" spans="1:20" ht="16.5" x14ac:dyDescent="0.3">
      <c r="A598" t="s">
        <v>640</v>
      </c>
      <c r="B598" s="1">
        <v>45381</v>
      </c>
      <c r="C598">
        <v>2024</v>
      </c>
      <c r="D598" t="s">
        <v>21</v>
      </c>
      <c r="E598" t="s">
        <v>437</v>
      </c>
      <c r="F598" t="s">
        <v>34</v>
      </c>
      <c r="G598" t="s">
        <v>35</v>
      </c>
      <c r="H598" t="s">
        <v>36</v>
      </c>
      <c r="I598" t="s">
        <v>26</v>
      </c>
      <c r="J598" t="s">
        <v>27</v>
      </c>
      <c r="K598" t="s">
        <v>28</v>
      </c>
      <c r="L598" s="2">
        <v>231.3</v>
      </c>
      <c r="M598" s="3">
        <v>294</v>
      </c>
      <c r="N598">
        <v>3</v>
      </c>
      <c r="O598">
        <v>6</v>
      </c>
      <c r="P598">
        <v>0</v>
      </c>
      <c r="Q598">
        <v>3</v>
      </c>
      <c r="R598" s="4">
        <v>83.38</v>
      </c>
      <c r="S598">
        <v>0</v>
      </c>
      <c r="T598">
        <v>1</v>
      </c>
    </row>
    <row r="599" spans="1:20" ht="16.5" x14ac:dyDescent="0.3">
      <c r="A599" t="s">
        <v>641</v>
      </c>
      <c r="B599" s="1">
        <v>45381</v>
      </c>
      <c r="C599">
        <v>2024</v>
      </c>
      <c r="D599" t="s">
        <v>21</v>
      </c>
      <c r="E599" t="s">
        <v>437</v>
      </c>
      <c r="F599" t="s">
        <v>30</v>
      </c>
      <c r="G599" t="s">
        <v>24</v>
      </c>
      <c r="H599" t="s">
        <v>48</v>
      </c>
      <c r="I599" t="s">
        <v>31</v>
      </c>
      <c r="J599" t="s">
        <v>27</v>
      </c>
      <c r="K599" t="s">
        <v>28</v>
      </c>
      <c r="L599" s="2">
        <v>263.8</v>
      </c>
      <c r="M599" s="3">
        <v>523</v>
      </c>
      <c r="N599">
        <v>6</v>
      </c>
      <c r="O599">
        <v>6</v>
      </c>
      <c r="P599">
        <v>1</v>
      </c>
      <c r="Q599">
        <v>0</v>
      </c>
      <c r="R599" s="4">
        <v>92.68</v>
      </c>
      <c r="S599">
        <v>0</v>
      </c>
      <c r="T599">
        <v>1</v>
      </c>
    </row>
    <row r="600" spans="1:20" ht="16.5" x14ac:dyDescent="0.3">
      <c r="A600" t="s">
        <v>642</v>
      </c>
      <c r="B600" s="1">
        <v>45381</v>
      </c>
      <c r="C600">
        <v>2024</v>
      </c>
      <c r="D600" t="s">
        <v>21</v>
      </c>
      <c r="E600" t="s">
        <v>437</v>
      </c>
      <c r="F600" t="s">
        <v>34</v>
      </c>
      <c r="G600" t="s">
        <v>35</v>
      </c>
      <c r="H600" t="s">
        <v>25</v>
      </c>
      <c r="I600" t="s">
        <v>26</v>
      </c>
      <c r="J600" t="s">
        <v>27</v>
      </c>
      <c r="K600" t="s">
        <v>32</v>
      </c>
      <c r="L600" s="2">
        <v>8</v>
      </c>
      <c r="M600" s="3">
        <v>1095</v>
      </c>
      <c r="N600">
        <v>4</v>
      </c>
      <c r="O600">
        <v>5</v>
      </c>
      <c r="P600">
        <v>0</v>
      </c>
      <c r="Q600">
        <v>1</v>
      </c>
      <c r="R600" s="4">
        <v>19.57</v>
      </c>
      <c r="S600">
        <v>0</v>
      </c>
      <c r="T600">
        <v>1</v>
      </c>
    </row>
    <row r="601" spans="1:20" ht="16.5" x14ac:dyDescent="0.3">
      <c r="A601" t="s">
        <v>643</v>
      </c>
      <c r="B601" s="1">
        <v>45382</v>
      </c>
      <c r="C601">
        <v>2024</v>
      </c>
      <c r="D601" t="s">
        <v>21</v>
      </c>
      <c r="E601" t="s">
        <v>437</v>
      </c>
      <c r="F601" t="s">
        <v>34</v>
      </c>
      <c r="G601" t="s">
        <v>24</v>
      </c>
      <c r="H601" t="s">
        <v>51</v>
      </c>
      <c r="I601" t="s">
        <v>40</v>
      </c>
      <c r="J601" t="s">
        <v>41</v>
      </c>
      <c r="K601" t="s">
        <v>28</v>
      </c>
      <c r="L601" s="2">
        <v>43.4</v>
      </c>
      <c r="M601" s="3">
        <v>1353</v>
      </c>
      <c r="N601">
        <v>3</v>
      </c>
      <c r="O601">
        <v>3</v>
      </c>
      <c r="P601">
        <v>1</v>
      </c>
      <c r="Q601">
        <v>0</v>
      </c>
      <c r="R601" s="4">
        <v>122.74</v>
      </c>
      <c r="S601">
        <v>0</v>
      </c>
      <c r="T601">
        <v>1</v>
      </c>
    </row>
    <row r="602" spans="1:20" ht="16.5" x14ac:dyDescent="0.3">
      <c r="A602" t="s">
        <v>644</v>
      </c>
      <c r="B602" s="1">
        <v>45382</v>
      </c>
      <c r="C602">
        <v>2024</v>
      </c>
      <c r="D602" t="s">
        <v>21</v>
      </c>
      <c r="E602" t="s">
        <v>437</v>
      </c>
      <c r="F602" t="s">
        <v>23</v>
      </c>
      <c r="G602" t="s">
        <v>39</v>
      </c>
      <c r="H602" t="s">
        <v>48</v>
      </c>
      <c r="I602" t="s">
        <v>26</v>
      </c>
      <c r="J602" t="s">
        <v>27</v>
      </c>
      <c r="K602" t="s">
        <v>32</v>
      </c>
      <c r="L602" s="2">
        <v>5.9</v>
      </c>
      <c r="M602" s="3">
        <v>419</v>
      </c>
      <c r="N602">
        <v>4</v>
      </c>
      <c r="O602">
        <v>4</v>
      </c>
      <c r="P602">
        <v>1</v>
      </c>
      <c r="Q602">
        <v>0</v>
      </c>
      <c r="R602" s="4">
        <v>15.24</v>
      </c>
      <c r="S602">
        <v>0</v>
      </c>
      <c r="T602">
        <v>1</v>
      </c>
    </row>
    <row r="603" spans="1:20" ht="16.5" x14ac:dyDescent="0.3">
      <c r="A603" t="s">
        <v>645</v>
      </c>
      <c r="B603" s="1">
        <v>45382</v>
      </c>
      <c r="C603">
        <v>2024</v>
      </c>
      <c r="D603" t="s">
        <v>21</v>
      </c>
      <c r="E603" t="s">
        <v>437</v>
      </c>
      <c r="F603" t="s">
        <v>38</v>
      </c>
      <c r="G603" t="s">
        <v>24</v>
      </c>
      <c r="H603" t="s">
        <v>51</v>
      </c>
      <c r="I603" t="s">
        <v>31</v>
      </c>
      <c r="J603" t="s">
        <v>27</v>
      </c>
      <c r="K603" t="s">
        <v>28</v>
      </c>
      <c r="L603" s="2">
        <v>22</v>
      </c>
      <c r="M603" s="3">
        <v>841</v>
      </c>
      <c r="N603">
        <v>7</v>
      </c>
      <c r="O603">
        <v>8</v>
      </c>
      <c r="P603">
        <v>0</v>
      </c>
      <c r="Q603">
        <v>1</v>
      </c>
      <c r="R603" s="4">
        <v>21.01</v>
      </c>
      <c r="S603">
        <v>0</v>
      </c>
      <c r="T603">
        <v>1</v>
      </c>
    </row>
    <row r="604" spans="1:20" ht="16.5" x14ac:dyDescent="0.3">
      <c r="A604" t="s">
        <v>646</v>
      </c>
      <c r="B604" s="1">
        <v>45382</v>
      </c>
      <c r="C604">
        <v>2024</v>
      </c>
      <c r="D604" t="s">
        <v>21</v>
      </c>
      <c r="E604" t="s">
        <v>437</v>
      </c>
      <c r="F604" t="s">
        <v>57</v>
      </c>
      <c r="G604" t="s">
        <v>35</v>
      </c>
      <c r="H604" t="s">
        <v>36</v>
      </c>
      <c r="I604" t="s">
        <v>26</v>
      </c>
      <c r="J604" t="s">
        <v>27</v>
      </c>
      <c r="K604" t="s">
        <v>32</v>
      </c>
      <c r="L604" s="2">
        <v>6.1</v>
      </c>
      <c r="M604" s="3">
        <v>189</v>
      </c>
      <c r="N604">
        <v>3</v>
      </c>
      <c r="O604">
        <v>3</v>
      </c>
      <c r="P604">
        <v>1</v>
      </c>
      <c r="Q604">
        <v>0</v>
      </c>
      <c r="R604" s="4">
        <v>13.01</v>
      </c>
      <c r="S604">
        <v>0</v>
      </c>
      <c r="T604">
        <v>1</v>
      </c>
    </row>
    <row r="605" spans="1:20" ht="16.5" x14ac:dyDescent="0.3">
      <c r="A605" t="s">
        <v>647</v>
      </c>
      <c r="B605" s="1">
        <v>45382</v>
      </c>
      <c r="C605">
        <v>2024</v>
      </c>
      <c r="D605" t="s">
        <v>21</v>
      </c>
      <c r="E605" t="s">
        <v>437</v>
      </c>
      <c r="F605" t="s">
        <v>30</v>
      </c>
      <c r="G605" t="s">
        <v>39</v>
      </c>
      <c r="H605" t="s">
        <v>51</v>
      </c>
      <c r="I605" t="s">
        <v>26</v>
      </c>
      <c r="J605" t="s">
        <v>27</v>
      </c>
      <c r="K605" t="s">
        <v>28</v>
      </c>
      <c r="L605" s="2">
        <v>86.8</v>
      </c>
      <c r="M605" s="3">
        <v>1155</v>
      </c>
      <c r="N605">
        <v>5</v>
      </c>
      <c r="O605">
        <v>4</v>
      </c>
      <c r="P605">
        <v>1</v>
      </c>
      <c r="Q605">
        <v>0</v>
      </c>
      <c r="R605" s="4">
        <v>73.150000000000006</v>
      </c>
      <c r="S605">
        <v>0</v>
      </c>
      <c r="T605">
        <v>1</v>
      </c>
    </row>
    <row r="606" spans="1:20" ht="16.5" x14ac:dyDescent="0.3">
      <c r="A606" t="s">
        <v>648</v>
      </c>
      <c r="B606" s="1">
        <v>45383</v>
      </c>
      <c r="C606">
        <v>2024</v>
      </c>
      <c r="D606" t="s">
        <v>649</v>
      </c>
      <c r="E606" t="s">
        <v>650</v>
      </c>
      <c r="F606" t="s">
        <v>34</v>
      </c>
      <c r="G606" t="s">
        <v>39</v>
      </c>
      <c r="H606" t="s">
        <v>51</v>
      </c>
      <c r="I606" t="s">
        <v>40</v>
      </c>
      <c r="J606" t="s">
        <v>41</v>
      </c>
      <c r="K606" t="s">
        <v>28</v>
      </c>
      <c r="L606" s="2">
        <v>77.2</v>
      </c>
      <c r="M606" s="3">
        <v>954</v>
      </c>
      <c r="N606">
        <v>3</v>
      </c>
      <c r="O606">
        <v>2</v>
      </c>
      <c r="P606">
        <v>1</v>
      </c>
      <c r="Q606">
        <v>0</v>
      </c>
      <c r="R606" s="4">
        <v>145.34</v>
      </c>
      <c r="S606">
        <v>0</v>
      </c>
      <c r="T606">
        <v>1</v>
      </c>
    </row>
    <row r="607" spans="1:20" ht="16.5" x14ac:dyDescent="0.3">
      <c r="A607" t="s">
        <v>651</v>
      </c>
      <c r="B607" s="1">
        <v>45383</v>
      </c>
      <c r="C607">
        <v>2024</v>
      </c>
      <c r="D607" t="s">
        <v>649</v>
      </c>
      <c r="E607" t="s">
        <v>650</v>
      </c>
      <c r="F607" t="s">
        <v>23</v>
      </c>
      <c r="G607" t="s">
        <v>39</v>
      </c>
      <c r="H607" t="s">
        <v>25</v>
      </c>
      <c r="I607" t="s">
        <v>26</v>
      </c>
      <c r="J607" t="s">
        <v>27</v>
      </c>
      <c r="K607" t="s">
        <v>32</v>
      </c>
      <c r="L607" s="2">
        <v>3.7</v>
      </c>
      <c r="M607" s="3">
        <v>1043</v>
      </c>
      <c r="N607">
        <v>4</v>
      </c>
      <c r="O607">
        <v>4</v>
      </c>
      <c r="P607">
        <v>1</v>
      </c>
      <c r="Q607">
        <v>0</v>
      </c>
      <c r="R607" s="4">
        <v>19.32</v>
      </c>
      <c r="S607">
        <v>0</v>
      </c>
      <c r="T607">
        <v>1</v>
      </c>
    </row>
    <row r="608" spans="1:20" ht="16.5" x14ac:dyDescent="0.3">
      <c r="A608" t="s">
        <v>652</v>
      </c>
      <c r="B608" s="1">
        <v>45383</v>
      </c>
      <c r="C608">
        <v>2024</v>
      </c>
      <c r="D608" t="s">
        <v>649</v>
      </c>
      <c r="E608" t="s">
        <v>650</v>
      </c>
      <c r="F608" t="s">
        <v>34</v>
      </c>
      <c r="G608" t="s">
        <v>39</v>
      </c>
      <c r="H608" t="s">
        <v>36</v>
      </c>
      <c r="I608" t="s">
        <v>31</v>
      </c>
      <c r="J608" t="s">
        <v>27</v>
      </c>
      <c r="K608" t="s">
        <v>32</v>
      </c>
      <c r="L608" s="2">
        <v>4.8</v>
      </c>
      <c r="M608" s="3">
        <v>290</v>
      </c>
      <c r="N608">
        <v>5</v>
      </c>
      <c r="O608">
        <v>5</v>
      </c>
      <c r="P608">
        <v>1</v>
      </c>
      <c r="Q608">
        <v>0</v>
      </c>
      <c r="R608" s="4">
        <v>7.62</v>
      </c>
      <c r="S608">
        <v>0</v>
      </c>
      <c r="T608">
        <v>1</v>
      </c>
    </row>
    <row r="609" spans="1:20" ht="16.5" x14ac:dyDescent="0.3">
      <c r="A609" t="s">
        <v>653</v>
      </c>
      <c r="B609" s="1">
        <v>45383</v>
      </c>
      <c r="C609">
        <v>2024</v>
      </c>
      <c r="D609" t="s">
        <v>649</v>
      </c>
      <c r="E609" t="s">
        <v>650</v>
      </c>
      <c r="F609" t="s">
        <v>23</v>
      </c>
      <c r="G609" t="s">
        <v>39</v>
      </c>
      <c r="H609" t="s">
        <v>36</v>
      </c>
      <c r="I609" t="s">
        <v>26</v>
      </c>
      <c r="J609" t="s">
        <v>27</v>
      </c>
      <c r="K609" t="s">
        <v>28</v>
      </c>
      <c r="L609" s="2">
        <v>18.100000000000001</v>
      </c>
      <c r="M609" s="3">
        <v>259</v>
      </c>
      <c r="N609">
        <v>3</v>
      </c>
      <c r="O609">
        <v>3</v>
      </c>
      <c r="P609">
        <v>1</v>
      </c>
      <c r="Q609">
        <v>0</v>
      </c>
      <c r="R609" s="4">
        <v>18.63</v>
      </c>
      <c r="S609">
        <v>0</v>
      </c>
      <c r="T609">
        <v>1</v>
      </c>
    </row>
    <row r="610" spans="1:20" ht="16.5" x14ac:dyDescent="0.3">
      <c r="A610" t="s">
        <v>654</v>
      </c>
      <c r="B610" s="1">
        <v>45384</v>
      </c>
      <c r="C610">
        <v>2024</v>
      </c>
      <c r="D610" t="s">
        <v>649</v>
      </c>
      <c r="E610" t="s">
        <v>650</v>
      </c>
      <c r="F610" t="s">
        <v>30</v>
      </c>
      <c r="G610" t="s">
        <v>39</v>
      </c>
      <c r="H610" t="s">
        <v>48</v>
      </c>
      <c r="I610" t="s">
        <v>26</v>
      </c>
      <c r="J610" t="s">
        <v>27</v>
      </c>
      <c r="K610" t="s">
        <v>32</v>
      </c>
      <c r="L610" s="2">
        <v>1.9</v>
      </c>
      <c r="M610" s="3">
        <v>617</v>
      </c>
      <c r="N610">
        <v>4</v>
      </c>
      <c r="O610">
        <v>4</v>
      </c>
      <c r="P610">
        <v>1</v>
      </c>
      <c r="Q610">
        <v>0</v>
      </c>
      <c r="R610" s="4">
        <v>13.58</v>
      </c>
      <c r="S610">
        <v>0</v>
      </c>
      <c r="T610">
        <v>1</v>
      </c>
    </row>
    <row r="611" spans="1:20" ht="16.5" x14ac:dyDescent="0.3">
      <c r="A611" t="s">
        <v>655</v>
      </c>
      <c r="B611" s="1">
        <v>45384</v>
      </c>
      <c r="C611">
        <v>2024</v>
      </c>
      <c r="D611" t="s">
        <v>649</v>
      </c>
      <c r="E611" t="s">
        <v>650</v>
      </c>
      <c r="F611" t="s">
        <v>57</v>
      </c>
      <c r="G611" t="s">
        <v>35</v>
      </c>
      <c r="H611" t="s">
        <v>25</v>
      </c>
      <c r="I611" t="s">
        <v>40</v>
      </c>
      <c r="J611" t="s">
        <v>41</v>
      </c>
      <c r="K611" t="s">
        <v>28</v>
      </c>
      <c r="L611" s="2">
        <v>467.9</v>
      </c>
      <c r="M611" s="3">
        <v>1092</v>
      </c>
      <c r="N611">
        <v>2</v>
      </c>
      <c r="O611">
        <v>1</v>
      </c>
      <c r="P611">
        <v>1</v>
      </c>
      <c r="Q611">
        <v>0</v>
      </c>
      <c r="R611" s="4">
        <v>619.15</v>
      </c>
      <c r="S611">
        <v>0</v>
      </c>
      <c r="T611">
        <v>1</v>
      </c>
    </row>
    <row r="612" spans="1:20" ht="16.5" x14ac:dyDescent="0.3">
      <c r="A612" t="s">
        <v>656</v>
      </c>
      <c r="B612" s="1">
        <v>45384</v>
      </c>
      <c r="C612">
        <v>2024</v>
      </c>
      <c r="D612" t="s">
        <v>649</v>
      </c>
      <c r="E612" t="s">
        <v>650</v>
      </c>
      <c r="F612" t="s">
        <v>57</v>
      </c>
      <c r="G612" t="s">
        <v>35</v>
      </c>
      <c r="H612" t="s">
        <v>36</v>
      </c>
      <c r="I612" t="s">
        <v>31</v>
      </c>
      <c r="J612" t="s">
        <v>27</v>
      </c>
      <c r="K612" t="s">
        <v>32</v>
      </c>
      <c r="L612" s="2">
        <v>12.5</v>
      </c>
      <c r="M612" s="3">
        <v>284</v>
      </c>
      <c r="N612">
        <v>5</v>
      </c>
      <c r="O612">
        <v>5</v>
      </c>
      <c r="P612">
        <v>1</v>
      </c>
      <c r="Q612">
        <v>0</v>
      </c>
      <c r="R612" s="4">
        <v>12.67</v>
      </c>
      <c r="S612">
        <v>0</v>
      </c>
      <c r="T612">
        <v>1</v>
      </c>
    </row>
    <row r="613" spans="1:20" ht="16.5" x14ac:dyDescent="0.3">
      <c r="A613" t="s">
        <v>657</v>
      </c>
      <c r="B613" s="1">
        <v>45384</v>
      </c>
      <c r="C613">
        <v>2024</v>
      </c>
      <c r="D613" t="s">
        <v>649</v>
      </c>
      <c r="E613" t="s">
        <v>650</v>
      </c>
      <c r="F613" t="s">
        <v>38</v>
      </c>
      <c r="G613" t="s">
        <v>39</v>
      </c>
      <c r="H613" t="s">
        <v>48</v>
      </c>
      <c r="I613" t="s">
        <v>26</v>
      </c>
      <c r="J613" t="s">
        <v>27</v>
      </c>
      <c r="K613" t="s">
        <v>28</v>
      </c>
      <c r="L613" s="2">
        <v>225.7</v>
      </c>
      <c r="M613" s="3">
        <v>535</v>
      </c>
      <c r="N613">
        <v>4</v>
      </c>
      <c r="O613">
        <v>4</v>
      </c>
      <c r="P613">
        <v>1</v>
      </c>
      <c r="Q613">
        <v>0</v>
      </c>
      <c r="R613" s="4">
        <v>123.1</v>
      </c>
      <c r="S613">
        <v>0</v>
      </c>
      <c r="T613">
        <v>1</v>
      </c>
    </row>
    <row r="614" spans="1:20" ht="16.5" x14ac:dyDescent="0.3">
      <c r="A614" t="s">
        <v>658</v>
      </c>
      <c r="B614" s="1">
        <v>45384</v>
      </c>
      <c r="C614">
        <v>2024</v>
      </c>
      <c r="D614" t="s">
        <v>649</v>
      </c>
      <c r="E614" t="s">
        <v>650</v>
      </c>
      <c r="F614" t="s">
        <v>30</v>
      </c>
      <c r="G614" t="s">
        <v>35</v>
      </c>
      <c r="H614" t="s">
        <v>43</v>
      </c>
      <c r="I614" t="s">
        <v>40</v>
      </c>
      <c r="J614" t="s">
        <v>41</v>
      </c>
      <c r="K614" t="s">
        <v>28</v>
      </c>
      <c r="L614" s="2">
        <v>48.9</v>
      </c>
      <c r="M614" s="3">
        <v>996</v>
      </c>
      <c r="N614">
        <v>3</v>
      </c>
      <c r="O614">
        <v>3</v>
      </c>
      <c r="P614">
        <v>1</v>
      </c>
      <c r="Q614">
        <v>0</v>
      </c>
      <c r="R614" s="4">
        <v>130.57</v>
      </c>
      <c r="S614">
        <v>0</v>
      </c>
      <c r="T614">
        <v>1</v>
      </c>
    </row>
    <row r="615" spans="1:20" ht="16.5" x14ac:dyDescent="0.3">
      <c r="A615" t="s">
        <v>659</v>
      </c>
      <c r="B615" s="1">
        <v>45384</v>
      </c>
      <c r="C615">
        <v>2024</v>
      </c>
      <c r="D615" t="s">
        <v>649</v>
      </c>
      <c r="E615" t="s">
        <v>650</v>
      </c>
      <c r="F615" t="s">
        <v>23</v>
      </c>
      <c r="G615" t="s">
        <v>39</v>
      </c>
      <c r="H615" t="s">
        <v>25</v>
      </c>
      <c r="I615" t="s">
        <v>31</v>
      </c>
      <c r="J615" t="s">
        <v>27</v>
      </c>
      <c r="K615" t="s">
        <v>32</v>
      </c>
      <c r="L615" s="2">
        <v>7.6</v>
      </c>
      <c r="M615" s="3">
        <v>798</v>
      </c>
      <c r="N615">
        <v>6</v>
      </c>
      <c r="O615">
        <v>6</v>
      </c>
      <c r="P615">
        <v>1</v>
      </c>
      <c r="Q615">
        <v>0</v>
      </c>
      <c r="R615" s="4">
        <v>13.39</v>
      </c>
      <c r="S615">
        <v>0</v>
      </c>
      <c r="T615">
        <v>1</v>
      </c>
    </row>
    <row r="616" spans="1:20" ht="16.5" x14ac:dyDescent="0.3">
      <c r="A616" t="s">
        <v>660</v>
      </c>
      <c r="B616" s="1">
        <v>45384</v>
      </c>
      <c r="C616">
        <v>2024</v>
      </c>
      <c r="D616" t="s">
        <v>649</v>
      </c>
      <c r="E616" t="s">
        <v>650</v>
      </c>
      <c r="F616" t="s">
        <v>23</v>
      </c>
      <c r="G616" t="s">
        <v>39</v>
      </c>
      <c r="H616" t="s">
        <v>36</v>
      </c>
      <c r="I616" t="s">
        <v>40</v>
      </c>
      <c r="J616" t="s">
        <v>27</v>
      </c>
      <c r="K616" t="s">
        <v>28</v>
      </c>
      <c r="L616" s="2">
        <v>111.8</v>
      </c>
      <c r="M616" s="3">
        <v>266</v>
      </c>
      <c r="N616">
        <v>1</v>
      </c>
      <c r="O616">
        <v>1</v>
      </c>
      <c r="P616">
        <v>1</v>
      </c>
      <c r="Q616">
        <v>0</v>
      </c>
      <c r="R616" s="4">
        <v>104.79</v>
      </c>
      <c r="S616">
        <v>0</v>
      </c>
      <c r="T616">
        <v>1</v>
      </c>
    </row>
    <row r="617" spans="1:20" ht="16.5" x14ac:dyDescent="0.3">
      <c r="A617" t="s">
        <v>661</v>
      </c>
      <c r="B617" s="1">
        <v>45384</v>
      </c>
      <c r="C617">
        <v>2024</v>
      </c>
      <c r="D617" t="s">
        <v>649</v>
      </c>
      <c r="E617" t="s">
        <v>650</v>
      </c>
      <c r="F617" t="s">
        <v>34</v>
      </c>
      <c r="G617" t="s">
        <v>39</v>
      </c>
      <c r="H617" t="s">
        <v>43</v>
      </c>
      <c r="I617" t="s">
        <v>31</v>
      </c>
      <c r="J617" t="s">
        <v>27</v>
      </c>
      <c r="K617" t="s">
        <v>32</v>
      </c>
      <c r="L617" s="2">
        <v>1.9</v>
      </c>
      <c r="M617" s="3">
        <v>1231</v>
      </c>
      <c r="N617">
        <v>7</v>
      </c>
      <c r="O617">
        <v>7</v>
      </c>
      <c r="P617">
        <v>1</v>
      </c>
      <c r="Q617">
        <v>0</v>
      </c>
      <c r="R617" s="4">
        <v>13.4</v>
      </c>
      <c r="S617">
        <v>0</v>
      </c>
      <c r="T617">
        <v>1</v>
      </c>
    </row>
    <row r="618" spans="1:20" ht="16.5" x14ac:dyDescent="0.3">
      <c r="A618" t="s">
        <v>662</v>
      </c>
      <c r="B618" s="1">
        <v>45384</v>
      </c>
      <c r="C618">
        <v>2024</v>
      </c>
      <c r="D618" t="s">
        <v>649</v>
      </c>
      <c r="E618" t="s">
        <v>650</v>
      </c>
      <c r="F618" t="s">
        <v>38</v>
      </c>
      <c r="G618" t="s">
        <v>39</v>
      </c>
      <c r="H618" t="s">
        <v>36</v>
      </c>
      <c r="I618" t="s">
        <v>26</v>
      </c>
      <c r="J618" t="s">
        <v>27</v>
      </c>
      <c r="K618" t="s">
        <v>32</v>
      </c>
      <c r="L618" s="2">
        <v>18.7</v>
      </c>
      <c r="M618" s="3">
        <v>191</v>
      </c>
      <c r="N618">
        <v>3</v>
      </c>
      <c r="O618">
        <v>3</v>
      </c>
      <c r="P618">
        <v>1</v>
      </c>
      <c r="Q618">
        <v>0</v>
      </c>
      <c r="R618" s="4">
        <v>20.91</v>
      </c>
      <c r="S618">
        <v>0</v>
      </c>
      <c r="T618">
        <v>1</v>
      </c>
    </row>
    <row r="619" spans="1:20" ht="16.5" x14ac:dyDescent="0.3">
      <c r="A619" t="s">
        <v>663</v>
      </c>
      <c r="B619" s="1">
        <v>45385</v>
      </c>
      <c r="C619">
        <v>2024</v>
      </c>
      <c r="D619" t="s">
        <v>649</v>
      </c>
      <c r="E619" t="s">
        <v>650</v>
      </c>
      <c r="F619" t="s">
        <v>38</v>
      </c>
      <c r="G619" t="s">
        <v>35</v>
      </c>
      <c r="H619" t="s">
        <v>25</v>
      </c>
      <c r="I619" t="s">
        <v>26</v>
      </c>
      <c r="J619" t="s">
        <v>27</v>
      </c>
      <c r="K619" t="s">
        <v>28</v>
      </c>
      <c r="L619" s="2">
        <v>182.9</v>
      </c>
      <c r="M619" s="3">
        <v>1028</v>
      </c>
      <c r="N619">
        <v>4</v>
      </c>
      <c r="O619">
        <v>3</v>
      </c>
      <c r="P619">
        <v>1</v>
      </c>
      <c r="Q619">
        <v>0</v>
      </c>
      <c r="R619" s="4">
        <v>100.61</v>
      </c>
      <c r="S619">
        <v>0</v>
      </c>
      <c r="T619">
        <v>1</v>
      </c>
    </row>
    <row r="620" spans="1:20" ht="16.5" x14ac:dyDescent="0.3">
      <c r="A620" t="s">
        <v>664</v>
      </c>
      <c r="B620" s="1">
        <v>45385</v>
      </c>
      <c r="C620">
        <v>2024</v>
      </c>
      <c r="D620" t="s">
        <v>649</v>
      </c>
      <c r="E620" t="s">
        <v>650</v>
      </c>
      <c r="F620" t="s">
        <v>57</v>
      </c>
      <c r="G620" t="s">
        <v>39</v>
      </c>
      <c r="H620" t="s">
        <v>48</v>
      </c>
      <c r="I620" t="s">
        <v>26</v>
      </c>
      <c r="J620" t="s">
        <v>27</v>
      </c>
      <c r="K620" t="s">
        <v>28</v>
      </c>
      <c r="L620" s="2">
        <v>161.9</v>
      </c>
      <c r="M620" s="3">
        <v>379</v>
      </c>
      <c r="N620">
        <v>4</v>
      </c>
      <c r="O620">
        <v>4</v>
      </c>
      <c r="P620">
        <v>1</v>
      </c>
      <c r="Q620">
        <v>0</v>
      </c>
      <c r="R620" s="4">
        <v>84.59</v>
      </c>
      <c r="S620">
        <v>0</v>
      </c>
      <c r="T620">
        <v>1</v>
      </c>
    </row>
    <row r="621" spans="1:20" ht="16.5" x14ac:dyDescent="0.3">
      <c r="A621" t="s">
        <v>665</v>
      </c>
      <c r="B621" s="1">
        <v>45385</v>
      </c>
      <c r="C621">
        <v>2024</v>
      </c>
      <c r="D621" t="s">
        <v>649</v>
      </c>
      <c r="E621" t="s">
        <v>650</v>
      </c>
      <c r="F621" t="s">
        <v>38</v>
      </c>
      <c r="G621" t="s">
        <v>39</v>
      </c>
      <c r="H621" t="s">
        <v>36</v>
      </c>
      <c r="I621" t="s">
        <v>31</v>
      </c>
      <c r="J621" t="s">
        <v>27</v>
      </c>
      <c r="K621" t="s">
        <v>28</v>
      </c>
      <c r="L621" s="2">
        <v>59.1</v>
      </c>
      <c r="M621" s="3">
        <v>292</v>
      </c>
      <c r="N621">
        <v>5</v>
      </c>
      <c r="O621">
        <v>5</v>
      </c>
      <c r="P621">
        <v>1</v>
      </c>
      <c r="Q621">
        <v>0</v>
      </c>
      <c r="R621" s="4">
        <v>30.75</v>
      </c>
      <c r="S621">
        <v>0</v>
      </c>
      <c r="T621">
        <v>1</v>
      </c>
    </row>
    <row r="622" spans="1:20" ht="16.5" x14ac:dyDescent="0.3">
      <c r="A622" t="s">
        <v>666</v>
      </c>
      <c r="B622" s="1">
        <v>45385</v>
      </c>
      <c r="C622">
        <v>2024</v>
      </c>
      <c r="D622" t="s">
        <v>649</v>
      </c>
      <c r="E622" t="s">
        <v>650</v>
      </c>
      <c r="F622" t="s">
        <v>57</v>
      </c>
      <c r="G622" t="s">
        <v>35</v>
      </c>
      <c r="H622" t="s">
        <v>25</v>
      </c>
      <c r="I622" t="s">
        <v>31</v>
      </c>
      <c r="J622" t="s">
        <v>27</v>
      </c>
      <c r="K622" t="s">
        <v>28</v>
      </c>
      <c r="L622" s="2">
        <v>78.7</v>
      </c>
      <c r="M622" s="3">
        <v>1060</v>
      </c>
      <c r="N622">
        <v>6</v>
      </c>
      <c r="O622">
        <v>6</v>
      </c>
      <c r="P622">
        <v>1</v>
      </c>
      <c r="Q622">
        <v>0</v>
      </c>
      <c r="R622" s="4">
        <v>40.99</v>
      </c>
      <c r="S622">
        <v>0</v>
      </c>
      <c r="T622">
        <v>1</v>
      </c>
    </row>
    <row r="623" spans="1:20" ht="16.5" x14ac:dyDescent="0.3">
      <c r="A623" t="s">
        <v>667</v>
      </c>
      <c r="B623" s="1">
        <v>45385</v>
      </c>
      <c r="C623">
        <v>2024</v>
      </c>
      <c r="D623" t="s">
        <v>649</v>
      </c>
      <c r="E623" t="s">
        <v>650</v>
      </c>
      <c r="F623" t="s">
        <v>38</v>
      </c>
      <c r="G623" t="s">
        <v>39</v>
      </c>
      <c r="H623" t="s">
        <v>36</v>
      </c>
      <c r="I623" t="s">
        <v>40</v>
      </c>
      <c r="J623" t="s">
        <v>27</v>
      </c>
      <c r="K623" t="s">
        <v>32</v>
      </c>
      <c r="L623" s="2">
        <v>6.1</v>
      </c>
      <c r="M623" s="3">
        <v>180</v>
      </c>
      <c r="N623">
        <v>1</v>
      </c>
      <c r="O623">
        <v>1</v>
      </c>
      <c r="P623">
        <v>1</v>
      </c>
      <c r="Q623">
        <v>0</v>
      </c>
      <c r="R623" s="4">
        <v>26.29</v>
      </c>
      <c r="S623">
        <v>0</v>
      </c>
      <c r="T623">
        <v>1</v>
      </c>
    </row>
    <row r="624" spans="1:20" ht="16.5" x14ac:dyDescent="0.3">
      <c r="A624" t="s">
        <v>668</v>
      </c>
      <c r="B624" s="1">
        <v>45385</v>
      </c>
      <c r="C624">
        <v>2024</v>
      </c>
      <c r="D624" t="s">
        <v>649</v>
      </c>
      <c r="E624" t="s">
        <v>650</v>
      </c>
      <c r="F624" t="s">
        <v>30</v>
      </c>
      <c r="G624" t="s">
        <v>39</v>
      </c>
      <c r="H624" t="s">
        <v>25</v>
      </c>
      <c r="I624" t="s">
        <v>26</v>
      </c>
      <c r="J624" t="s">
        <v>27</v>
      </c>
      <c r="K624" t="s">
        <v>32</v>
      </c>
      <c r="L624" s="2">
        <v>3.4</v>
      </c>
      <c r="M624" s="3">
        <v>1029</v>
      </c>
      <c r="N624">
        <v>4</v>
      </c>
      <c r="O624">
        <v>3</v>
      </c>
      <c r="P624">
        <v>1</v>
      </c>
      <c r="Q624">
        <v>0</v>
      </c>
      <c r="R624" s="4">
        <v>23.39</v>
      </c>
      <c r="S624">
        <v>0</v>
      </c>
      <c r="T624">
        <v>1</v>
      </c>
    </row>
    <row r="625" spans="1:20" ht="16.5" x14ac:dyDescent="0.3">
      <c r="A625" t="s">
        <v>669</v>
      </c>
      <c r="B625" s="1">
        <v>45385</v>
      </c>
      <c r="C625">
        <v>2024</v>
      </c>
      <c r="D625" t="s">
        <v>649</v>
      </c>
      <c r="E625" t="s">
        <v>650</v>
      </c>
      <c r="F625" t="s">
        <v>30</v>
      </c>
      <c r="G625" t="s">
        <v>24</v>
      </c>
      <c r="H625" t="s">
        <v>36</v>
      </c>
      <c r="I625" t="s">
        <v>26</v>
      </c>
      <c r="J625" t="s">
        <v>27</v>
      </c>
      <c r="K625" t="s">
        <v>28</v>
      </c>
      <c r="L625" s="2">
        <v>28.3</v>
      </c>
      <c r="M625" s="3">
        <v>247</v>
      </c>
      <c r="N625">
        <v>3</v>
      </c>
      <c r="O625">
        <v>2</v>
      </c>
      <c r="P625">
        <v>1</v>
      </c>
      <c r="Q625">
        <v>0</v>
      </c>
      <c r="R625" s="4">
        <v>26.39</v>
      </c>
      <c r="S625">
        <v>0</v>
      </c>
      <c r="T625">
        <v>1</v>
      </c>
    </row>
    <row r="626" spans="1:20" ht="16.5" x14ac:dyDescent="0.3">
      <c r="A626" t="s">
        <v>670</v>
      </c>
      <c r="B626" s="1">
        <v>45385</v>
      </c>
      <c r="C626">
        <v>2024</v>
      </c>
      <c r="D626" t="s">
        <v>649</v>
      </c>
      <c r="E626" t="s">
        <v>650</v>
      </c>
      <c r="F626" t="s">
        <v>38</v>
      </c>
      <c r="G626" t="s">
        <v>39</v>
      </c>
      <c r="H626" t="s">
        <v>36</v>
      </c>
      <c r="I626" t="s">
        <v>40</v>
      </c>
      <c r="J626" t="s">
        <v>27</v>
      </c>
      <c r="K626" t="s">
        <v>28</v>
      </c>
      <c r="L626" s="2">
        <v>77.2</v>
      </c>
      <c r="M626" s="3">
        <v>272</v>
      </c>
      <c r="N626">
        <v>1</v>
      </c>
      <c r="O626">
        <v>1</v>
      </c>
      <c r="P626">
        <v>1</v>
      </c>
      <c r="Q626">
        <v>0</v>
      </c>
      <c r="R626" s="4">
        <v>100.19</v>
      </c>
      <c r="S626">
        <v>0</v>
      </c>
      <c r="T626">
        <v>1</v>
      </c>
    </row>
    <row r="627" spans="1:20" ht="16.5" x14ac:dyDescent="0.3">
      <c r="A627" t="s">
        <v>671</v>
      </c>
      <c r="B627" s="1">
        <v>45386</v>
      </c>
      <c r="C627">
        <v>2024</v>
      </c>
      <c r="D627" t="s">
        <v>649</v>
      </c>
      <c r="E627" t="s">
        <v>650</v>
      </c>
      <c r="F627" t="s">
        <v>57</v>
      </c>
      <c r="G627" t="s">
        <v>39</v>
      </c>
      <c r="H627" t="s">
        <v>36</v>
      </c>
      <c r="I627" t="s">
        <v>26</v>
      </c>
      <c r="J627" t="s">
        <v>27</v>
      </c>
      <c r="K627" t="s">
        <v>32</v>
      </c>
      <c r="L627" s="2">
        <v>3.6</v>
      </c>
      <c r="M627" s="3">
        <v>270</v>
      </c>
      <c r="N627">
        <v>3</v>
      </c>
      <c r="O627">
        <v>3</v>
      </c>
      <c r="P627">
        <v>1</v>
      </c>
      <c r="Q627">
        <v>0</v>
      </c>
      <c r="R627" s="4">
        <v>11.28</v>
      </c>
      <c r="S627">
        <v>0</v>
      </c>
      <c r="T627">
        <v>1</v>
      </c>
    </row>
    <row r="628" spans="1:20" ht="16.5" x14ac:dyDescent="0.3">
      <c r="A628" t="s">
        <v>672</v>
      </c>
      <c r="B628" s="1">
        <v>45386</v>
      </c>
      <c r="C628">
        <v>2024</v>
      </c>
      <c r="D628" t="s">
        <v>649</v>
      </c>
      <c r="E628" t="s">
        <v>650</v>
      </c>
      <c r="F628" t="s">
        <v>38</v>
      </c>
      <c r="G628" t="s">
        <v>39</v>
      </c>
      <c r="H628" t="s">
        <v>48</v>
      </c>
      <c r="I628" t="s">
        <v>31</v>
      </c>
      <c r="J628" t="s">
        <v>27</v>
      </c>
      <c r="K628" t="s">
        <v>32</v>
      </c>
      <c r="L628" s="2">
        <v>5.5</v>
      </c>
      <c r="M628" s="3">
        <v>504</v>
      </c>
      <c r="N628">
        <v>6</v>
      </c>
      <c r="O628">
        <v>6</v>
      </c>
      <c r="P628">
        <v>1</v>
      </c>
      <c r="Q628">
        <v>0</v>
      </c>
      <c r="R628" s="4">
        <v>12.58</v>
      </c>
      <c r="S628">
        <v>0</v>
      </c>
      <c r="T628">
        <v>1</v>
      </c>
    </row>
    <row r="629" spans="1:20" ht="16.5" x14ac:dyDescent="0.3">
      <c r="A629" t="s">
        <v>673</v>
      </c>
      <c r="B629" s="1">
        <v>45386</v>
      </c>
      <c r="C629">
        <v>2024</v>
      </c>
      <c r="D629" t="s">
        <v>649</v>
      </c>
      <c r="E629" t="s">
        <v>650</v>
      </c>
      <c r="F629" t="s">
        <v>23</v>
      </c>
      <c r="G629" t="s">
        <v>39</v>
      </c>
      <c r="H629" t="s">
        <v>51</v>
      </c>
      <c r="I629" t="s">
        <v>26</v>
      </c>
      <c r="J629" t="s">
        <v>27</v>
      </c>
      <c r="K629" t="s">
        <v>32</v>
      </c>
      <c r="L629" s="2">
        <v>18.2</v>
      </c>
      <c r="M629" s="3">
        <v>907</v>
      </c>
      <c r="N629">
        <v>5</v>
      </c>
      <c r="O629">
        <v>8</v>
      </c>
      <c r="P629">
        <v>0</v>
      </c>
      <c r="Q629">
        <v>3</v>
      </c>
      <c r="R629" s="4">
        <v>26.34</v>
      </c>
      <c r="S629">
        <v>0</v>
      </c>
      <c r="T629">
        <v>1</v>
      </c>
    </row>
    <row r="630" spans="1:20" ht="16.5" x14ac:dyDescent="0.3">
      <c r="A630" t="s">
        <v>674</v>
      </c>
      <c r="B630" s="1">
        <v>45386</v>
      </c>
      <c r="C630">
        <v>2024</v>
      </c>
      <c r="D630" t="s">
        <v>649</v>
      </c>
      <c r="E630" t="s">
        <v>650</v>
      </c>
      <c r="F630" t="s">
        <v>30</v>
      </c>
      <c r="G630" t="s">
        <v>35</v>
      </c>
      <c r="H630" t="s">
        <v>25</v>
      </c>
      <c r="I630" t="s">
        <v>31</v>
      </c>
      <c r="J630" t="s">
        <v>27</v>
      </c>
      <c r="K630" t="s">
        <v>32</v>
      </c>
      <c r="L630" s="2">
        <v>2.8</v>
      </c>
      <c r="M630" s="3">
        <v>734</v>
      </c>
      <c r="N630">
        <v>6</v>
      </c>
      <c r="O630">
        <v>5</v>
      </c>
      <c r="P630">
        <v>1</v>
      </c>
      <c r="Q630">
        <v>0</v>
      </c>
      <c r="R630" s="4">
        <v>13.16</v>
      </c>
      <c r="S630">
        <v>0</v>
      </c>
      <c r="T630">
        <v>1</v>
      </c>
    </row>
    <row r="631" spans="1:20" ht="16.5" x14ac:dyDescent="0.3">
      <c r="A631" t="s">
        <v>675</v>
      </c>
      <c r="B631" s="1">
        <v>45386</v>
      </c>
      <c r="C631">
        <v>2024</v>
      </c>
      <c r="D631" t="s">
        <v>649</v>
      </c>
      <c r="E631" t="s">
        <v>650</v>
      </c>
      <c r="F631" t="s">
        <v>34</v>
      </c>
      <c r="G631" t="s">
        <v>39</v>
      </c>
      <c r="H631" t="s">
        <v>48</v>
      </c>
      <c r="I631" t="s">
        <v>26</v>
      </c>
      <c r="J631" t="s">
        <v>27</v>
      </c>
      <c r="K631" t="s">
        <v>32</v>
      </c>
      <c r="L631" s="2">
        <v>4.4000000000000004</v>
      </c>
      <c r="M631" s="3">
        <v>455</v>
      </c>
      <c r="N631">
        <v>4</v>
      </c>
      <c r="O631">
        <v>4</v>
      </c>
      <c r="P631">
        <v>1</v>
      </c>
      <c r="Q631">
        <v>0</v>
      </c>
      <c r="R631" s="4">
        <v>13.86</v>
      </c>
      <c r="S631">
        <v>0</v>
      </c>
      <c r="T631">
        <v>1</v>
      </c>
    </row>
    <row r="632" spans="1:20" ht="16.5" x14ac:dyDescent="0.3">
      <c r="A632" t="s">
        <v>676</v>
      </c>
      <c r="B632" s="1">
        <v>45386</v>
      </c>
      <c r="C632">
        <v>2024</v>
      </c>
      <c r="D632" t="s">
        <v>649</v>
      </c>
      <c r="E632" t="s">
        <v>650</v>
      </c>
      <c r="F632" t="s">
        <v>34</v>
      </c>
      <c r="G632" t="s">
        <v>39</v>
      </c>
      <c r="H632" t="s">
        <v>25</v>
      </c>
      <c r="I632" t="s">
        <v>31</v>
      </c>
      <c r="J632" t="s">
        <v>27</v>
      </c>
      <c r="K632" t="s">
        <v>32</v>
      </c>
      <c r="L632" s="2">
        <v>9.5</v>
      </c>
      <c r="M632" s="3">
        <v>865</v>
      </c>
      <c r="N632">
        <v>6</v>
      </c>
      <c r="O632">
        <v>6</v>
      </c>
      <c r="P632">
        <v>1</v>
      </c>
      <c r="Q632">
        <v>0</v>
      </c>
      <c r="R632" s="4">
        <v>13.98</v>
      </c>
      <c r="S632">
        <v>0</v>
      </c>
      <c r="T632">
        <v>1</v>
      </c>
    </row>
    <row r="633" spans="1:20" ht="16.5" x14ac:dyDescent="0.3">
      <c r="A633" t="s">
        <v>677</v>
      </c>
      <c r="B633" s="1">
        <v>45386</v>
      </c>
      <c r="C633">
        <v>2024</v>
      </c>
      <c r="D633" t="s">
        <v>649</v>
      </c>
      <c r="E633" t="s">
        <v>650</v>
      </c>
      <c r="F633" t="s">
        <v>30</v>
      </c>
      <c r="G633" t="s">
        <v>35</v>
      </c>
      <c r="H633" t="s">
        <v>43</v>
      </c>
      <c r="I633" t="s">
        <v>40</v>
      </c>
      <c r="J633" t="s">
        <v>41</v>
      </c>
      <c r="K633" t="s">
        <v>28</v>
      </c>
      <c r="L633" s="2">
        <v>87.2</v>
      </c>
      <c r="M633" s="3">
        <v>1038</v>
      </c>
      <c r="N633">
        <v>3</v>
      </c>
      <c r="O633">
        <v>3</v>
      </c>
      <c r="P633">
        <v>1</v>
      </c>
      <c r="Q633">
        <v>0</v>
      </c>
      <c r="R633" s="4">
        <v>199.67</v>
      </c>
      <c r="S633">
        <v>0</v>
      </c>
      <c r="T633">
        <v>1</v>
      </c>
    </row>
    <row r="634" spans="1:20" ht="16.5" x14ac:dyDescent="0.3">
      <c r="A634" t="s">
        <v>678</v>
      </c>
      <c r="B634" s="1">
        <v>45387</v>
      </c>
      <c r="C634">
        <v>2024</v>
      </c>
      <c r="D634" t="s">
        <v>649</v>
      </c>
      <c r="E634" t="s">
        <v>650</v>
      </c>
      <c r="F634" t="s">
        <v>34</v>
      </c>
      <c r="G634" t="s">
        <v>39</v>
      </c>
      <c r="H634" t="s">
        <v>48</v>
      </c>
      <c r="I634" t="s">
        <v>31</v>
      </c>
      <c r="J634" t="s">
        <v>27</v>
      </c>
      <c r="K634" t="s">
        <v>28</v>
      </c>
      <c r="L634" s="2">
        <v>126.5</v>
      </c>
      <c r="M634" s="3">
        <v>475</v>
      </c>
      <c r="N634">
        <v>6</v>
      </c>
      <c r="O634">
        <v>6</v>
      </c>
      <c r="P634">
        <v>1</v>
      </c>
      <c r="Q634">
        <v>0</v>
      </c>
      <c r="R634" s="4">
        <v>41.42</v>
      </c>
      <c r="S634">
        <v>0</v>
      </c>
      <c r="T634">
        <v>1</v>
      </c>
    </row>
    <row r="635" spans="1:20" ht="16.5" x14ac:dyDescent="0.3">
      <c r="A635" t="s">
        <v>679</v>
      </c>
      <c r="B635" s="1">
        <v>45387</v>
      </c>
      <c r="C635">
        <v>2024</v>
      </c>
      <c r="D635" t="s">
        <v>649</v>
      </c>
      <c r="E635" t="s">
        <v>650</v>
      </c>
      <c r="F635" t="s">
        <v>57</v>
      </c>
      <c r="G635" t="s">
        <v>24</v>
      </c>
      <c r="H635" t="s">
        <v>48</v>
      </c>
      <c r="I635" t="s">
        <v>26</v>
      </c>
      <c r="J635" t="s">
        <v>27</v>
      </c>
      <c r="K635" t="s">
        <v>28</v>
      </c>
      <c r="L635" s="2">
        <v>35.200000000000003</v>
      </c>
      <c r="M635" s="3">
        <v>408</v>
      </c>
      <c r="N635">
        <v>4</v>
      </c>
      <c r="O635">
        <v>4</v>
      </c>
      <c r="P635">
        <v>1</v>
      </c>
      <c r="Q635">
        <v>0</v>
      </c>
      <c r="R635" s="4">
        <v>29.3</v>
      </c>
      <c r="S635">
        <v>0</v>
      </c>
      <c r="T635">
        <v>1</v>
      </c>
    </row>
    <row r="636" spans="1:20" ht="16.5" x14ac:dyDescent="0.3">
      <c r="A636" t="s">
        <v>680</v>
      </c>
      <c r="B636" s="1">
        <v>45387</v>
      </c>
      <c r="C636">
        <v>2024</v>
      </c>
      <c r="D636" t="s">
        <v>649</v>
      </c>
      <c r="E636" t="s">
        <v>650</v>
      </c>
      <c r="F636" t="s">
        <v>23</v>
      </c>
      <c r="G636" t="s">
        <v>35</v>
      </c>
      <c r="H636" t="s">
        <v>36</v>
      </c>
      <c r="I636" t="s">
        <v>40</v>
      </c>
      <c r="J636" t="s">
        <v>27</v>
      </c>
      <c r="K636" t="s">
        <v>32</v>
      </c>
      <c r="L636" s="2">
        <v>4.7</v>
      </c>
      <c r="M636" s="3">
        <v>281</v>
      </c>
      <c r="N636">
        <v>1</v>
      </c>
      <c r="O636">
        <v>1</v>
      </c>
      <c r="P636">
        <v>1</v>
      </c>
      <c r="Q636">
        <v>0</v>
      </c>
      <c r="R636" s="4">
        <v>25.21</v>
      </c>
      <c r="S636">
        <v>0</v>
      </c>
      <c r="T636">
        <v>1</v>
      </c>
    </row>
    <row r="637" spans="1:20" ht="16.5" x14ac:dyDescent="0.3">
      <c r="A637" t="s">
        <v>681</v>
      </c>
      <c r="B637" s="1">
        <v>45387</v>
      </c>
      <c r="C637">
        <v>2024</v>
      </c>
      <c r="D637" t="s">
        <v>649</v>
      </c>
      <c r="E637" t="s">
        <v>650</v>
      </c>
      <c r="F637" t="s">
        <v>23</v>
      </c>
      <c r="G637" t="s">
        <v>35</v>
      </c>
      <c r="H637" t="s">
        <v>43</v>
      </c>
      <c r="I637" t="s">
        <v>40</v>
      </c>
      <c r="J637" t="s">
        <v>41</v>
      </c>
      <c r="K637" t="s">
        <v>28</v>
      </c>
      <c r="L637" s="2">
        <v>223.9</v>
      </c>
      <c r="M637" s="3">
        <v>1132</v>
      </c>
      <c r="N637">
        <v>3</v>
      </c>
      <c r="O637">
        <v>3</v>
      </c>
      <c r="P637">
        <v>1</v>
      </c>
      <c r="Q637">
        <v>0</v>
      </c>
      <c r="R637" s="4">
        <v>319.08999999999997</v>
      </c>
      <c r="S637">
        <v>0</v>
      </c>
      <c r="T637">
        <v>1</v>
      </c>
    </row>
    <row r="638" spans="1:20" ht="16.5" x14ac:dyDescent="0.3">
      <c r="A638" t="s">
        <v>682</v>
      </c>
      <c r="B638" s="1">
        <v>45387</v>
      </c>
      <c r="C638">
        <v>2024</v>
      </c>
      <c r="D638" t="s">
        <v>649</v>
      </c>
      <c r="E638" t="s">
        <v>650</v>
      </c>
      <c r="F638" t="s">
        <v>34</v>
      </c>
      <c r="G638" t="s">
        <v>24</v>
      </c>
      <c r="H638" t="s">
        <v>36</v>
      </c>
      <c r="I638" t="s">
        <v>26</v>
      </c>
      <c r="J638" t="s">
        <v>27</v>
      </c>
      <c r="K638" t="s">
        <v>32</v>
      </c>
      <c r="L638" s="2">
        <v>1.5</v>
      </c>
      <c r="M638" s="3">
        <v>305</v>
      </c>
      <c r="N638">
        <v>3</v>
      </c>
      <c r="O638">
        <v>2</v>
      </c>
      <c r="P638">
        <v>1</v>
      </c>
      <c r="Q638">
        <v>0</v>
      </c>
      <c r="R638" s="4">
        <v>9.0299999999999994</v>
      </c>
      <c r="S638">
        <v>0</v>
      </c>
      <c r="T638">
        <v>1</v>
      </c>
    </row>
    <row r="639" spans="1:20" ht="16.5" x14ac:dyDescent="0.3">
      <c r="A639" t="s">
        <v>683</v>
      </c>
      <c r="B639" s="1">
        <v>45387</v>
      </c>
      <c r="C639">
        <v>2024</v>
      </c>
      <c r="D639" t="s">
        <v>649</v>
      </c>
      <c r="E639" t="s">
        <v>650</v>
      </c>
      <c r="F639" t="s">
        <v>23</v>
      </c>
      <c r="G639" t="s">
        <v>39</v>
      </c>
      <c r="H639" t="s">
        <v>48</v>
      </c>
      <c r="I639" t="s">
        <v>26</v>
      </c>
      <c r="J639" t="s">
        <v>27</v>
      </c>
      <c r="K639" t="s">
        <v>32</v>
      </c>
      <c r="L639" s="2">
        <v>10</v>
      </c>
      <c r="M639" s="3">
        <v>549</v>
      </c>
      <c r="N639">
        <v>4</v>
      </c>
      <c r="O639">
        <v>4</v>
      </c>
      <c r="P639">
        <v>1</v>
      </c>
      <c r="Q639">
        <v>0</v>
      </c>
      <c r="R639" s="4">
        <v>16.88</v>
      </c>
      <c r="S639">
        <v>0</v>
      </c>
      <c r="T639">
        <v>1</v>
      </c>
    </row>
    <row r="640" spans="1:20" ht="16.5" x14ac:dyDescent="0.3">
      <c r="A640" t="s">
        <v>684</v>
      </c>
      <c r="B640" s="1">
        <v>45387</v>
      </c>
      <c r="C640">
        <v>2024</v>
      </c>
      <c r="D640" t="s">
        <v>649</v>
      </c>
      <c r="E640" t="s">
        <v>650</v>
      </c>
      <c r="F640" t="s">
        <v>23</v>
      </c>
      <c r="G640" t="s">
        <v>39</v>
      </c>
      <c r="H640" t="s">
        <v>25</v>
      </c>
      <c r="I640" t="s">
        <v>40</v>
      </c>
      <c r="J640" t="s">
        <v>41</v>
      </c>
      <c r="K640" t="s">
        <v>32</v>
      </c>
      <c r="L640" s="2">
        <v>11.7</v>
      </c>
      <c r="M640" s="3">
        <v>1093</v>
      </c>
      <c r="N640">
        <v>2</v>
      </c>
      <c r="O640">
        <v>2</v>
      </c>
      <c r="P640">
        <v>1</v>
      </c>
      <c r="Q640">
        <v>0</v>
      </c>
      <c r="R640" s="4">
        <v>78.98</v>
      </c>
      <c r="S640">
        <v>0</v>
      </c>
      <c r="T640">
        <v>1</v>
      </c>
    </row>
    <row r="641" spans="1:20" ht="16.5" x14ac:dyDescent="0.3">
      <c r="A641" t="s">
        <v>685</v>
      </c>
      <c r="B641" s="1">
        <v>45388</v>
      </c>
      <c r="C641">
        <v>2024</v>
      </c>
      <c r="D641" t="s">
        <v>649</v>
      </c>
      <c r="E641" t="s">
        <v>650</v>
      </c>
      <c r="F641" t="s">
        <v>57</v>
      </c>
      <c r="G641" t="s">
        <v>24</v>
      </c>
      <c r="H641" t="s">
        <v>43</v>
      </c>
      <c r="I641" t="s">
        <v>26</v>
      </c>
      <c r="J641" t="s">
        <v>27</v>
      </c>
      <c r="K641" t="s">
        <v>28</v>
      </c>
      <c r="L641" s="2">
        <v>57.6</v>
      </c>
      <c r="M641" s="3">
        <v>1364</v>
      </c>
      <c r="N641">
        <v>5</v>
      </c>
      <c r="O641">
        <v>6</v>
      </c>
      <c r="P641">
        <v>0</v>
      </c>
      <c r="Q641">
        <v>1</v>
      </c>
      <c r="R641" s="4">
        <v>48.95</v>
      </c>
      <c r="S641">
        <v>0</v>
      </c>
      <c r="T641">
        <v>1</v>
      </c>
    </row>
    <row r="642" spans="1:20" ht="16.5" x14ac:dyDescent="0.3">
      <c r="A642" t="s">
        <v>686</v>
      </c>
      <c r="B642" s="1">
        <v>45389</v>
      </c>
      <c r="C642">
        <v>2024</v>
      </c>
      <c r="D642" t="s">
        <v>649</v>
      </c>
      <c r="E642" t="s">
        <v>650</v>
      </c>
      <c r="F642" t="s">
        <v>38</v>
      </c>
      <c r="G642" t="s">
        <v>24</v>
      </c>
      <c r="H642" t="s">
        <v>51</v>
      </c>
      <c r="I642" t="s">
        <v>40</v>
      </c>
      <c r="J642" t="s">
        <v>41</v>
      </c>
      <c r="K642" t="s">
        <v>28</v>
      </c>
      <c r="L642" s="2">
        <v>234.9</v>
      </c>
      <c r="M642" s="3">
        <v>941</v>
      </c>
      <c r="N642">
        <v>3</v>
      </c>
      <c r="O642">
        <v>2</v>
      </c>
      <c r="P642">
        <v>1</v>
      </c>
      <c r="Q642">
        <v>0</v>
      </c>
      <c r="R642" s="4">
        <v>342.28</v>
      </c>
      <c r="S642">
        <v>0</v>
      </c>
      <c r="T642">
        <v>1</v>
      </c>
    </row>
    <row r="643" spans="1:20" ht="16.5" x14ac:dyDescent="0.3">
      <c r="A643" t="s">
        <v>687</v>
      </c>
      <c r="B643" s="1">
        <v>45389</v>
      </c>
      <c r="C643">
        <v>2024</v>
      </c>
      <c r="D643" t="s">
        <v>649</v>
      </c>
      <c r="E643" t="s">
        <v>650</v>
      </c>
      <c r="F643" t="s">
        <v>57</v>
      </c>
      <c r="G643" t="s">
        <v>39</v>
      </c>
      <c r="H643" t="s">
        <v>48</v>
      </c>
      <c r="I643" t="s">
        <v>26</v>
      </c>
      <c r="J643" t="s">
        <v>27</v>
      </c>
      <c r="K643" t="s">
        <v>28</v>
      </c>
      <c r="L643" s="2">
        <v>65.7</v>
      </c>
      <c r="M643" s="3">
        <v>376</v>
      </c>
      <c r="N643">
        <v>4</v>
      </c>
      <c r="O643">
        <v>6</v>
      </c>
      <c r="P643">
        <v>0</v>
      </c>
      <c r="Q643">
        <v>2</v>
      </c>
      <c r="R643" s="4">
        <v>41.37</v>
      </c>
      <c r="S643">
        <v>0</v>
      </c>
      <c r="T643">
        <v>1</v>
      </c>
    </row>
    <row r="644" spans="1:20" ht="16.5" x14ac:dyDescent="0.3">
      <c r="A644" t="s">
        <v>688</v>
      </c>
      <c r="B644" s="1">
        <v>45389</v>
      </c>
      <c r="C644">
        <v>2024</v>
      </c>
      <c r="D644" t="s">
        <v>649</v>
      </c>
      <c r="E644" t="s">
        <v>650</v>
      </c>
      <c r="F644" t="s">
        <v>34</v>
      </c>
      <c r="G644" t="s">
        <v>39</v>
      </c>
      <c r="H644" t="s">
        <v>36</v>
      </c>
      <c r="I644" t="s">
        <v>40</v>
      </c>
      <c r="J644" t="s">
        <v>27</v>
      </c>
      <c r="K644" t="s">
        <v>28</v>
      </c>
      <c r="L644" s="2">
        <v>26.1</v>
      </c>
      <c r="M644" s="3">
        <v>284</v>
      </c>
      <c r="N644">
        <v>1</v>
      </c>
      <c r="O644">
        <v>1</v>
      </c>
      <c r="P644">
        <v>1</v>
      </c>
      <c r="Q644">
        <v>0</v>
      </c>
      <c r="R644" s="4">
        <v>38.090000000000003</v>
      </c>
      <c r="S644">
        <v>0</v>
      </c>
      <c r="T644">
        <v>1</v>
      </c>
    </row>
    <row r="645" spans="1:20" ht="16.5" x14ac:dyDescent="0.3">
      <c r="A645" t="s">
        <v>689</v>
      </c>
      <c r="B645" s="1">
        <v>45389</v>
      </c>
      <c r="C645">
        <v>2024</v>
      </c>
      <c r="D645" t="s">
        <v>649</v>
      </c>
      <c r="E645" t="s">
        <v>650</v>
      </c>
      <c r="F645" t="s">
        <v>57</v>
      </c>
      <c r="G645" t="s">
        <v>24</v>
      </c>
      <c r="H645" t="s">
        <v>25</v>
      </c>
      <c r="I645" t="s">
        <v>26</v>
      </c>
      <c r="J645" t="s">
        <v>27</v>
      </c>
      <c r="K645" t="s">
        <v>28</v>
      </c>
      <c r="L645" s="2">
        <v>96.6</v>
      </c>
      <c r="M645" s="3">
        <v>987</v>
      </c>
      <c r="N645">
        <v>4</v>
      </c>
      <c r="O645">
        <v>4</v>
      </c>
      <c r="P645">
        <v>1</v>
      </c>
      <c r="Q645">
        <v>0</v>
      </c>
      <c r="R645" s="4">
        <v>66.430000000000007</v>
      </c>
      <c r="S645">
        <v>0</v>
      </c>
      <c r="T645">
        <v>1</v>
      </c>
    </row>
    <row r="646" spans="1:20" ht="16.5" x14ac:dyDescent="0.3">
      <c r="A646" t="s">
        <v>690</v>
      </c>
      <c r="B646" s="1">
        <v>45389</v>
      </c>
      <c r="C646">
        <v>2024</v>
      </c>
      <c r="D646" t="s">
        <v>649</v>
      </c>
      <c r="E646" t="s">
        <v>650</v>
      </c>
      <c r="F646" t="s">
        <v>30</v>
      </c>
      <c r="G646" t="s">
        <v>39</v>
      </c>
      <c r="H646" t="s">
        <v>48</v>
      </c>
      <c r="I646" t="s">
        <v>26</v>
      </c>
      <c r="J646" t="s">
        <v>27</v>
      </c>
      <c r="K646" t="s">
        <v>28</v>
      </c>
      <c r="L646" s="2">
        <v>130.9</v>
      </c>
      <c r="M646" s="3">
        <v>291</v>
      </c>
      <c r="N646">
        <v>4</v>
      </c>
      <c r="O646">
        <v>4</v>
      </c>
      <c r="P646">
        <v>1</v>
      </c>
      <c r="Q646">
        <v>0</v>
      </c>
      <c r="R646" s="4">
        <v>70.459999999999994</v>
      </c>
      <c r="S646">
        <v>0</v>
      </c>
      <c r="T646">
        <v>1</v>
      </c>
    </row>
    <row r="647" spans="1:20" ht="16.5" x14ac:dyDescent="0.3">
      <c r="A647" t="s">
        <v>691</v>
      </c>
      <c r="B647" s="1">
        <v>45389</v>
      </c>
      <c r="C647">
        <v>2024</v>
      </c>
      <c r="D647" t="s">
        <v>649</v>
      </c>
      <c r="E647" t="s">
        <v>650</v>
      </c>
      <c r="F647" t="s">
        <v>34</v>
      </c>
      <c r="G647" t="s">
        <v>39</v>
      </c>
      <c r="H647" t="s">
        <v>36</v>
      </c>
      <c r="I647" t="s">
        <v>26</v>
      </c>
      <c r="J647" t="s">
        <v>27</v>
      </c>
      <c r="K647" t="s">
        <v>32</v>
      </c>
      <c r="L647" s="2">
        <v>4.0999999999999996</v>
      </c>
      <c r="M647" s="3">
        <v>209</v>
      </c>
      <c r="N647">
        <v>3</v>
      </c>
      <c r="O647">
        <v>3</v>
      </c>
      <c r="P647">
        <v>1</v>
      </c>
      <c r="Q647">
        <v>0</v>
      </c>
      <c r="R647" s="4">
        <v>10.31</v>
      </c>
      <c r="S647">
        <v>0</v>
      </c>
      <c r="T647">
        <v>1</v>
      </c>
    </row>
    <row r="648" spans="1:20" ht="16.5" x14ac:dyDescent="0.3">
      <c r="A648" t="s">
        <v>692</v>
      </c>
      <c r="B648" s="1">
        <v>45390</v>
      </c>
      <c r="C648">
        <v>2024</v>
      </c>
      <c r="D648" t="s">
        <v>649</v>
      </c>
      <c r="E648" t="s">
        <v>650</v>
      </c>
      <c r="F648" t="s">
        <v>23</v>
      </c>
      <c r="G648" t="s">
        <v>35</v>
      </c>
      <c r="H648" t="s">
        <v>48</v>
      </c>
      <c r="I648" t="s">
        <v>26</v>
      </c>
      <c r="J648" t="s">
        <v>27</v>
      </c>
      <c r="K648" t="s">
        <v>32</v>
      </c>
      <c r="L648" s="2">
        <v>1.9</v>
      </c>
      <c r="M648" s="3">
        <v>445</v>
      </c>
      <c r="N648">
        <v>4</v>
      </c>
      <c r="O648">
        <v>4</v>
      </c>
      <c r="P648">
        <v>1</v>
      </c>
      <c r="Q648">
        <v>0</v>
      </c>
      <c r="R648" s="4">
        <v>11.64</v>
      </c>
      <c r="S648">
        <v>0</v>
      </c>
      <c r="T648">
        <v>1</v>
      </c>
    </row>
    <row r="649" spans="1:20" ht="16.5" x14ac:dyDescent="0.3">
      <c r="A649" t="s">
        <v>693</v>
      </c>
      <c r="B649" s="1">
        <v>45390</v>
      </c>
      <c r="C649">
        <v>2024</v>
      </c>
      <c r="D649" t="s">
        <v>649</v>
      </c>
      <c r="E649" t="s">
        <v>650</v>
      </c>
      <c r="F649" t="s">
        <v>23</v>
      </c>
      <c r="G649" t="s">
        <v>39</v>
      </c>
      <c r="H649" t="s">
        <v>36</v>
      </c>
      <c r="I649" t="s">
        <v>26</v>
      </c>
      <c r="J649" t="s">
        <v>27</v>
      </c>
      <c r="K649" t="s">
        <v>32</v>
      </c>
      <c r="L649" s="2">
        <v>4.9000000000000004</v>
      </c>
      <c r="M649" s="3">
        <v>256</v>
      </c>
      <c r="N649">
        <v>3</v>
      </c>
      <c r="O649">
        <v>2</v>
      </c>
      <c r="P649">
        <v>1</v>
      </c>
      <c r="Q649">
        <v>0</v>
      </c>
      <c r="R649" s="4">
        <v>12.38</v>
      </c>
      <c r="S649">
        <v>0</v>
      </c>
      <c r="T649">
        <v>1</v>
      </c>
    </row>
    <row r="650" spans="1:20" ht="16.5" x14ac:dyDescent="0.3">
      <c r="A650" t="s">
        <v>694</v>
      </c>
      <c r="B650" s="1">
        <v>45390</v>
      </c>
      <c r="C650">
        <v>2024</v>
      </c>
      <c r="D650" t="s">
        <v>649</v>
      </c>
      <c r="E650" t="s">
        <v>650</v>
      </c>
      <c r="F650" t="s">
        <v>38</v>
      </c>
      <c r="G650" t="s">
        <v>39</v>
      </c>
      <c r="H650" t="s">
        <v>25</v>
      </c>
      <c r="I650" t="s">
        <v>31</v>
      </c>
      <c r="J650" t="s">
        <v>27</v>
      </c>
      <c r="K650" t="s">
        <v>32</v>
      </c>
      <c r="L650" s="2">
        <v>5.9</v>
      </c>
      <c r="M650" s="3">
        <v>761</v>
      </c>
      <c r="N650">
        <v>6</v>
      </c>
      <c r="O650">
        <v>9</v>
      </c>
      <c r="P650">
        <v>0</v>
      </c>
      <c r="Q650">
        <v>3</v>
      </c>
      <c r="R650" s="4">
        <v>16</v>
      </c>
      <c r="S650">
        <v>0</v>
      </c>
      <c r="T650">
        <v>1</v>
      </c>
    </row>
    <row r="651" spans="1:20" ht="16.5" x14ac:dyDescent="0.3">
      <c r="A651" t="s">
        <v>695</v>
      </c>
      <c r="B651" s="1">
        <v>45390</v>
      </c>
      <c r="C651">
        <v>2024</v>
      </c>
      <c r="D651" t="s">
        <v>649</v>
      </c>
      <c r="E651" t="s">
        <v>650</v>
      </c>
      <c r="F651" t="s">
        <v>38</v>
      </c>
      <c r="G651" t="s">
        <v>35</v>
      </c>
      <c r="H651" t="s">
        <v>48</v>
      </c>
      <c r="I651" t="s">
        <v>40</v>
      </c>
      <c r="J651" t="s">
        <v>27</v>
      </c>
      <c r="K651" t="s">
        <v>32</v>
      </c>
      <c r="L651" s="2">
        <v>8.1</v>
      </c>
      <c r="M651" s="3">
        <v>509</v>
      </c>
      <c r="N651">
        <v>2</v>
      </c>
      <c r="O651">
        <v>1</v>
      </c>
      <c r="P651">
        <v>1</v>
      </c>
      <c r="Q651">
        <v>0</v>
      </c>
      <c r="R651" s="4">
        <v>38.42</v>
      </c>
      <c r="S651">
        <v>0</v>
      </c>
      <c r="T651">
        <v>1</v>
      </c>
    </row>
    <row r="652" spans="1:20" ht="16.5" x14ac:dyDescent="0.3">
      <c r="A652" t="s">
        <v>696</v>
      </c>
      <c r="B652" s="1">
        <v>45390</v>
      </c>
      <c r="C652">
        <v>2024</v>
      </c>
      <c r="D652" t="s">
        <v>649</v>
      </c>
      <c r="E652" t="s">
        <v>650</v>
      </c>
      <c r="F652" t="s">
        <v>34</v>
      </c>
      <c r="G652" t="s">
        <v>39</v>
      </c>
      <c r="H652" t="s">
        <v>25</v>
      </c>
      <c r="I652" t="s">
        <v>26</v>
      </c>
      <c r="J652" t="s">
        <v>27</v>
      </c>
      <c r="K652" t="s">
        <v>28</v>
      </c>
      <c r="L652" s="2">
        <v>62.9</v>
      </c>
      <c r="M652" s="3">
        <v>1076</v>
      </c>
      <c r="N652">
        <v>4</v>
      </c>
      <c r="O652">
        <v>4</v>
      </c>
      <c r="P652">
        <v>1</v>
      </c>
      <c r="Q652">
        <v>0</v>
      </c>
      <c r="R652" s="4">
        <v>46.33</v>
      </c>
      <c r="S652">
        <v>0</v>
      </c>
      <c r="T652">
        <v>1</v>
      </c>
    </row>
    <row r="653" spans="1:20" ht="16.5" x14ac:dyDescent="0.3">
      <c r="A653" t="s">
        <v>697</v>
      </c>
      <c r="B653" s="1">
        <v>45390</v>
      </c>
      <c r="C653">
        <v>2024</v>
      </c>
      <c r="D653" t="s">
        <v>649</v>
      </c>
      <c r="E653" t="s">
        <v>650</v>
      </c>
      <c r="F653" t="s">
        <v>23</v>
      </c>
      <c r="G653" t="s">
        <v>35</v>
      </c>
      <c r="H653" t="s">
        <v>36</v>
      </c>
      <c r="I653" t="s">
        <v>31</v>
      </c>
      <c r="J653" t="s">
        <v>27</v>
      </c>
      <c r="K653" t="s">
        <v>32</v>
      </c>
      <c r="L653" s="2">
        <v>20.5</v>
      </c>
      <c r="M653" s="3">
        <v>299</v>
      </c>
      <c r="N653">
        <v>5</v>
      </c>
      <c r="O653">
        <v>5</v>
      </c>
      <c r="P653">
        <v>1</v>
      </c>
      <c r="Q653">
        <v>0</v>
      </c>
      <c r="R653" s="4">
        <v>15.47</v>
      </c>
      <c r="S653">
        <v>0</v>
      </c>
      <c r="T653">
        <v>1</v>
      </c>
    </row>
    <row r="654" spans="1:20" ht="16.5" x14ac:dyDescent="0.3">
      <c r="A654" t="s">
        <v>698</v>
      </c>
      <c r="B654" s="1">
        <v>45390</v>
      </c>
      <c r="C654">
        <v>2024</v>
      </c>
      <c r="D654" t="s">
        <v>649</v>
      </c>
      <c r="E654" t="s">
        <v>650</v>
      </c>
      <c r="F654" t="s">
        <v>38</v>
      </c>
      <c r="G654" t="s">
        <v>24</v>
      </c>
      <c r="H654" t="s">
        <v>36</v>
      </c>
      <c r="I654" t="s">
        <v>26</v>
      </c>
      <c r="J654" t="s">
        <v>27</v>
      </c>
      <c r="K654" t="s">
        <v>28</v>
      </c>
      <c r="L654" s="2">
        <v>96.8</v>
      </c>
      <c r="M654" s="3">
        <v>222</v>
      </c>
      <c r="N654">
        <v>3</v>
      </c>
      <c r="O654">
        <v>3</v>
      </c>
      <c r="P654">
        <v>1</v>
      </c>
      <c r="Q654">
        <v>0</v>
      </c>
      <c r="R654" s="4">
        <v>62.09</v>
      </c>
      <c r="S654">
        <v>0</v>
      </c>
      <c r="T654">
        <v>1</v>
      </c>
    </row>
    <row r="655" spans="1:20" ht="16.5" x14ac:dyDescent="0.3">
      <c r="A655" t="s">
        <v>699</v>
      </c>
      <c r="B655" s="1">
        <v>45390</v>
      </c>
      <c r="C655">
        <v>2024</v>
      </c>
      <c r="D655" t="s">
        <v>649</v>
      </c>
      <c r="E655" t="s">
        <v>650</v>
      </c>
      <c r="F655" t="s">
        <v>34</v>
      </c>
      <c r="G655" t="s">
        <v>35</v>
      </c>
      <c r="H655" t="s">
        <v>36</v>
      </c>
      <c r="I655" t="s">
        <v>31</v>
      </c>
      <c r="J655" t="s">
        <v>27</v>
      </c>
      <c r="K655" t="s">
        <v>32</v>
      </c>
      <c r="L655" s="2">
        <v>1.9</v>
      </c>
      <c r="M655" s="3">
        <v>318</v>
      </c>
      <c r="N655">
        <v>5</v>
      </c>
      <c r="O655">
        <v>5</v>
      </c>
      <c r="P655">
        <v>1</v>
      </c>
      <c r="Q655">
        <v>0</v>
      </c>
      <c r="R655" s="4">
        <v>6.47</v>
      </c>
      <c r="S655">
        <v>0</v>
      </c>
      <c r="T655">
        <v>1</v>
      </c>
    </row>
    <row r="656" spans="1:20" ht="16.5" x14ac:dyDescent="0.3">
      <c r="A656" t="s">
        <v>700</v>
      </c>
      <c r="B656" s="1">
        <v>45390</v>
      </c>
      <c r="C656">
        <v>2024</v>
      </c>
      <c r="D656" t="s">
        <v>649</v>
      </c>
      <c r="E656" t="s">
        <v>650</v>
      </c>
      <c r="F656" t="s">
        <v>57</v>
      </c>
      <c r="G656" t="s">
        <v>39</v>
      </c>
      <c r="H656" t="s">
        <v>36</v>
      </c>
      <c r="I656" t="s">
        <v>26</v>
      </c>
      <c r="J656" t="s">
        <v>27</v>
      </c>
      <c r="K656" t="s">
        <v>32</v>
      </c>
      <c r="L656" s="2">
        <v>10.4</v>
      </c>
      <c r="M656" s="3">
        <v>231</v>
      </c>
      <c r="N656">
        <v>3</v>
      </c>
      <c r="O656">
        <v>7</v>
      </c>
      <c r="P656">
        <v>0</v>
      </c>
      <c r="Q656">
        <v>4</v>
      </c>
      <c r="R656" s="4">
        <v>13.97</v>
      </c>
      <c r="S656">
        <v>0</v>
      </c>
      <c r="T656">
        <v>1</v>
      </c>
    </row>
    <row r="657" spans="1:20" ht="16.5" x14ac:dyDescent="0.3">
      <c r="A657" t="s">
        <v>701</v>
      </c>
      <c r="B657" s="1">
        <v>45390</v>
      </c>
      <c r="C657">
        <v>2024</v>
      </c>
      <c r="D657" t="s">
        <v>649</v>
      </c>
      <c r="E657" t="s">
        <v>650</v>
      </c>
      <c r="F657" t="s">
        <v>34</v>
      </c>
      <c r="G657" t="s">
        <v>39</v>
      </c>
      <c r="H657" t="s">
        <v>25</v>
      </c>
      <c r="I657" t="s">
        <v>26</v>
      </c>
      <c r="J657" t="s">
        <v>27</v>
      </c>
      <c r="K657" t="s">
        <v>32</v>
      </c>
      <c r="L657" s="2">
        <v>5.2</v>
      </c>
      <c r="M657" s="3">
        <v>792</v>
      </c>
      <c r="N657">
        <v>4</v>
      </c>
      <c r="O657">
        <v>4</v>
      </c>
      <c r="P657">
        <v>1</v>
      </c>
      <c r="Q657">
        <v>0</v>
      </c>
      <c r="R657" s="4">
        <v>17.12</v>
      </c>
      <c r="S657">
        <v>0</v>
      </c>
      <c r="T657">
        <v>1</v>
      </c>
    </row>
    <row r="658" spans="1:20" ht="16.5" x14ac:dyDescent="0.3">
      <c r="A658" t="s">
        <v>702</v>
      </c>
      <c r="B658" s="1">
        <v>45390</v>
      </c>
      <c r="C658">
        <v>2024</v>
      </c>
      <c r="D658" t="s">
        <v>649</v>
      </c>
      <c r="E658" t="s">
        <v>650</v>
      </c>
      <c r="F658" t="s">
        <v>23</v>
      </c>
      <c r="G658" t="s">
        <v>39</v>
      </c>
      <c r="H658" t="s">
        <v>25</v>
      </c>
      <c r="I658" t="s">
        <v>26</v>
      </c>
      <c r="J658" t="s">
        <v>27</v>
      </c>
      <c r="K658" t="s">
        <v>28</v>
      </c>
      <c r="L658" s="2">
        <v>240.8</v>
      </c>
      <c r="M658" s="3">
        <v>712</v>
      </c>
      <c r="N658">
        <v>4</v>
      </c>
      <c r="O658">
        <v>3</v>
      </c>
      <c r="P658">
        <v>1</v>
      </c>
      <c r="Q658">
        <v>0</v>
      </c>
      <c r="R658" s="4">
        <v>117.34</v>
      </c>
      <c r="S658">
        <v>0</v>
      </c>
      <c r="T658">
        <v>1</v>
      </c>
    </row>
    <row r="659" spans="1:20" ht="16.5" x14ac:dyDescent="0.3">
      <c r="A659" t="s">
        <v>703</v>
      </c>
      <c r="B659" s="1">
        <v>45390</v>
      </c>
      <c r="C659">
        <v>2024</v>
      </c>
      <c r="D659" t="s">
        <v>649</v>
      </c>
      <c r="E659" t="s">
        <v>650</v>
      </c>
      <c r="F659" t="s">
        <v>38</v>
      </c>
      <c r="G659" t="s">
        <v>35</v>
      </c>
      <c r="H659" t="s">
        <v>48</v>
      </c>
      <c r="I659" t="s">
        <v>26</v>
      </c>
      <c r="J659" t="s">
        <v>27</v>
      </c>
      <c r="K659" t="s">
        <v>32</v>
      </c>
      <c r="L659" s="2">
        <v>2.4</v>
      </c>
      <c r="M659" s="3">
        <v>373</v>
      </c>
      <c r="N659">
        <v>4</v>
      </c>
      <c r="O659">
        <v>4</v>
      </c>
      <c r="P659">
        <v>1</v>
      </c>
      <c r="Q659">
        <v>0</v>
      </c>
      <c r="R659" s="4">
        <v>12.83</v>
      </c>
      <c r="S659">
        <v>0</v>
      </c>
      <c r="T659">
        <v>1</v>
      </c>
    </row>
    <row r="660" spans="1:20" ht="16.5" x14ac:dyDescent="0.3">
      <c r="A660" t="s">
        <v>704</v>
      </c>
      <c r="B660" s="1">
        <v>45390</v>
      </c>
      <c r="C660">
        <v>2024</v>
      </c>
      <c r="D660" t="s">
        <v>649</v>
      </c>
      <c r="E660" t="s">
        <v>650</v>
      </c>
      <c r="F660" t="s">
        <v>30</v>
      </c>
      <c r="G660" t="s">
        <v>39</v>
      </c>
      <c r="H660" t="s">
        <v>48</v>
      </c>
      <c r="I660" t="s">
        <v>26</v>
      </c>
      <c r="J660" t="s">
        <v>27</v>
      </c>
      <c r="K660" t="s">
        <v>28</v>
      </c>
      <c r="L660" s="2">
        <v>23.6</v>
      </c>
      <c r="M660" s="3">
        <v>433</v>
      </c>
      <c r="N660">
        <v>4</v>
      </c>
      <c r="O660">
        <v>6</v>
      </c>
      <c r="P660">
        <v>0</v>
      </c>
      <c r="Q660">
        <v>2</v>
      </c>
      <c r="R660" s="4">
        <v>24.58</v>
      </c>
      <c r="S660">
        <v>0</v>
      </c>
      <c r="T660">
        <v>1</v>
      </c>
    </row>
    <row r="661" spans="1:20" ht="16.5" x14ac:dyDescent="0.3">
      <c r="A661" t="s">
        <v>705</v>
      </c>
      <c r="B661" s="1">
        <v>45391</v>
      </c>
      <c r="C661">
        <v>2024</v>
      </c>
      <c r="D661" t="s">
        <v>649</v>
      </c>
      <c r="E661" t="s">
        <v>650</v>
      </c>
      <c r="F661" t="s">
        <v>57</v>
      </c>
      <c r="G661" t="s">
        <v>35</v>
      </c>
      <c r="H661" t="s">
        <v>43</v>
      </c>
      <c r="I661" t="s">
        <v>26</v>
      </c>
      <c r="J661" t="s">
        <v>27</v>
      </c>
      <c r="K661" t="s">
        <v>28</v>
      </c>
      <c r="L661" s="2">
        <v>150.1</v>
      </c>
      <c r="M661" s="3">
        <v>1087</v>
      </c>
      <c r="N661">
        <v>5</v>
      </c>
      <c r="O661">
        <v>5</v>
      </c>
      <c r="P661">
        <v>1</v>
      </c>
      <c r="Q661">
        <v>0</v>
      </c>
      <c r="R661" s="4">
        <v>79.599999999999994</v>
      </c>
      <c r="S661">
        <v>0</v>
      </c>
      <c r="T661">
        <v>1</v>
      </c>
    </row>
    <row r="662" spans="1:20" ht="16.5" x14ac:dyDescent="0.3">
      <c r="A662" t="s">
        <v>706</v>
      </c>
      <c r="B662" s="1">
        <v>45391</v>
      </c>
      <c r="C662">
        <v>2024</v>
      </c>
      <c r="D662" t="s">
        <v>649</v>
      </c>
      <c r="E662" t="s">
        <v>650</v>
      </c>
      <c r="F662" t="s">
        <v>30</v>
      </c>
      <c r="G662" t="s">
        <v>35</v>
      </c>
      <c r="H662" t="s">
        <v>48</v>
      </c>
      <c r="I662" t="s">
        <v>31</v>
      </c>
      <c r="J662" t="s">
        <v>27</v>
      </c>
      <c r="K662" t="s">
        <v>32</v>
      </c>
      <c r="L662" s="2">
        <v>3.2</v>
      </c>
      <c r="M662" s="3">
        <v>520</v>
      </c>
      <c r="N662">
        <v>6</v>
      </c>
      <c r="O662">
        <v>6</v>
      </c>
      <c r="P662">
        <v>1</v>
      </c>
      <c r="Q662">
        <v>0</v>
      </c>
      <c r="R662" s="4">
        <v>10.66</v>
      </c>
      <c r="S662">
        <v>0</v>
      </c>
      <c r="T662">
        <v>1</v>
      </c>
    </row>
    <row r="663" spans="1:20" ht="16.5" x14ac:dyDescent="0.3">
      <c r="A663" t="s">
        <v>707</v>
      </c>
      <c r="B663" s="1">
        <v>45391</v>
      </c>
      <c r="C663">
        <v>2024</v>
      </c>
      <c r="D663" t="s">
        <v>649</v>
      </c>
      <c r="E663" t="s">
        <v>650</v>
      </c>
      <c r="F663" t="s">
        <v>38</v>
      </c>
      <c r="G663" t="s">
        <v>24</v>
      </c>
      <c r="H663" t="s">
        <v>48</v>
      </c>
      <c r="I663" t="s">
        <v>31</v>
      </c>
      <c r="J663" t="s">
        <v>27</v>
      </c>
      <c r="K663" t="s">
        <v>32</v>
      </c>
      <c r="L663" s="2">
        <v>3.3</v>
      </c>
      <c r="M663" s="3">
        <v>519</v>
      </c>
      <c r="N663">
        <v>6</v>
      </c>
      <c r="O663">
        <v>6</v>
      </c>
      <c r="P663">
        <v>1</v>
      </c>
      <c r="Q663">
        <v>0</v>
      </c>
      <c r="R663" s="4">
        <v>11.02</v>
      </c>
      <c r="S663">
        <v>0</v>
      </c>
      <c r="T663">
        <v>1</v>
      </c>
    </row>
    <row r="664" spans="1:20" ht="16.5" x14ac:dyDescent="0.3">
      <c r="A664" t="s">
        <v>708</v>
      </c>
      <c r="B664" s="1">
        <v>45391</v>
      </c>
      <c r="C664">
        <v>2024</v>
      </c>
      <c r="D664" t="s">
        <v>649</v>
      </c>
      <c r="E664" t="s">
        <v>650</v>
      </c>
      <c r="F664" t="s">
        <v>38</v>
      </c>
      <c r="G664" t="s">
        <v>24</v>
      </c>
      <c r="H664" t="s">
        <v>25</v>
      </c>
      <c r="I664" t="s">
        <v>26</v>
      </c>
      <c r="J664" t="s">
        <v>27</v>
      </c>
      <c r="K664" t="s">
        <v>32</v>
      </c>
      <c r="L664" s="2">
        <v>7.9</v>
      </c>
      <c r="M664" s="3">
        <v>943</v>
      </c>
      <c r="N664">
        <v>4</v>
      </c>
      <c r="O664">
        <v>3</v>
      </c>
      <c r="P664">
        <v>1</v>
      </c>
      <c r="Q664">
        <v>0</v>
      </c>
      <c r="R664" s="4">
        <v>25.42</v>
      </c>
      <c r="S664">
        <v>0</v>
      </c>
      <c r="T664">
        <v>1</v>
      </c>
    </row>
    <row r="665" spans="1:20" ht="16.5" x14ac:dyDescent="0.3">
      <c r="A665" t="s">
        <v>709</v>
      </c>
      <c r="B665" s="1">
        <v>45391</v>
      </c>
      <c r="C665">
        <v>2024</v>
      </c>
      <c r="D665" t="s">
        <v>649</v>
      </c>
      <c r="E665" t="s">
        <v>650</v>
      </c>
      <c r="F665" t="s">
        <v>38</v>
      </c>
      <c r="G665" t="s">
        <v>35</v>
      </c>
      <c r="H665" t="s">
        <v>25</v>
      </c>
      <c r="I665" t="s">
        <v>31</v>
      </c>
      <c r="J665" t="s">
        <v>27</v>
      </c>
      <c r="K665" t="s">
        <v>32</v>
      </c>
      <c r="L665" s="2">
        <v>6.8</v>
      </c>
      <c r="M665" s="3">
        <v>997</v>
      </c>
      <c r="N665">
        <v>6</v>
      </c>
      <c r="O665">
        <v>6</v>
      </c>
      <c r="P665">
        <v>1</v>
      </c>
      <c r="Q665">
        <v>0</v>
      </c>
      <c r="R665" s="4">
        <v>19.84</v>
      </c>
      <c r="S665">
        <v>0</v>
      </c>
      <c r="T665">
        <v>1</v>
      </c>
    </row>
    <row r="666" spans="1:20" ht="16.5" x14ac:dyDescent="0.3">
      <c r="A666" t="s">
        <v>710</v>
      </c>
      <c r="B666" s="1">
        <v>45391</v>
      </c>
      <c r="C666">
        <v>2024</v>
      </c>
      <c r="D666" t="s">
        <v>649</v>
      </c>
      <c r="E666" t="s">
        <v>650</v>
      </c>
      <c r="F666" t="s">
        <v>23</v>
      </c>
      <c r="G666" t="s">
        <v>35</v>
      </c>
      <c r="H666" t="s">
        <v>51</v>
      </c>
      <c r="I666" t="s">
        <v>40</v>
      </c>
      <c r="J666" t="s">
        <v>41</v>
      </c>
      <c r="K666" t="s">
        <v>32</v>
      </c>
      <c r="L666" s="2">
        <v>2.2999999999999998</v>
      </c>
      <c r="M666" s="3">
        <v>1094</v>
      </c>
      <c r="N666">
        <v>3</v>
      </c>
      <c r="O666">
        <v>3</v>
      </c>
      <c r="P666">
        <v>1</v>
      </c>
      <c r="Q666">
        <v>0</v>
      </c>
      <c r="R666" s="4">
        <v>67.53</v>
      </c>
      <c r="S666">
        <v>0</v>
      </c>
      <c r="T666">
        <v>1</v>
      </c>
    </row>
    <row r="667" spans="1:20" ht="16.5" x14ac:dyDescent="0.3">
      <c r="A667" t="s">
        <v>711</v>
      </c>
      <c r="B667" s="1">
        <v>45391</v>
      </c>
      <c r="C667">
        <v>2024</v>
      </c>
      <c r="D667" t="s">
        <v>649</v>
      </c>
      <c r="E667" t="s">
        <v>650</v>
      </c>
      <c r="F667" t="s">
        <v>34</v>
      </c>
      <c r="G667" t="s">
        <v>39</v>
      </c>
      <c r="H667" t="s">
        <v>36</v>
      </c>
      <c r="I667" t="s">
        <v>26</v>
      </c>
      <c r="J667" t="s">
        <v>27</v>
      </c>
      <c r="K667" t="s">
        <v>28</v>
      </c>
      <c r="L667" s="2">
        <v>80.3</v>
      </c>
      <c r="M667" s="3">
        <v>192</v>
      </c>
      <c r="N667">
        <v>3</v>
      </c>
      <c r="O667">
        <v>3</v>
      </c>
      <c r="P667">
        <v>1</v>
      </c>
      <c r="Q667">
        <v>0</v>
      </c>
      <c r="R667" s="4">
        <v>39.409999999999997</v>
      </c>
      <c r="S667">
        <v>0</v>
      </c>
      <c r="T667">
        <v>1</v>
      </c>
    </row>
    <row r="668" spans="1:20" ht="16.5" x14ac:dyDescent="0.3">
      <c r="A668" t="s">
        <v>712</v>
      </c>
      <c r="B668" s="1">
        <v>45392</v>
      </c>
      <c r="C668">
        <v>2024</v>
      </c>
      <c r="D668" t="s">
        <v>649</v>
      </c>
      <c r="E668" t="s">
        <v>650</v>
      </c>
      <c r="F668" t="s">
        <v>30</v>
      </c>
      <c r="G668" t="s">
        <v>39</v>
      </c>
      <c r="H668" t="s">
        <v>36</v>
      </c>
      <c r="I668" t="s">
        <v>40</v>
      </c>
      <c r="J668" t="s">
        <v>27</v>
      </c>
      <c r="K668" t="s">
        <v>32</v>
      </c>
      <c r="L668" s="2">
        <v>20.6</v>
      </c>
      <c r="M668" s="3">
        <v>239</v>
      </c>
      <c r="N668">
        <v>1</v>
      </c>
      <c r="O668">
        <v>1</v>
      </c>
      <c r="P668">
        <v>1</v>
      </c>
      <c r="Q668">
        <v>0</v>
      </c>
      <c r="R668" s="4">
        <v>44.3</v>
      </c>
      <c r="S668">
        <v>0</v>
      </c>
      <c r="T668">
        <v>1</v>
      </c>
    </row>
    <row r="669" spans="1:20" ht="16.5" x14ac:dyDescent="0.3">
      <c r="A669" t="s">
        <v>713</v>
      </c>
      <c r="B669" s="1">
        <v>45392</v>
      </c>
      <c r="C669">
        <v>2024</v>
      </c>
      <c r="D669" t="s">
        <v>649</v>
      </c>
      <c r="E669" t="s">
        <v>650</v>
      </c>
      <c r="F669" t="s">
        <v>34</v>
      </c>
      <c r="G669" t="s">
        <v>35</v>
      </c>
      <c r="H669" t="s">
        <v>25</v>
      </c>
      <c r="I669" t="s">
        <v>31</v>
      </c>
      <c r="J669" t="s">
        <v>27</v>
      </c>
      <c r="K669" t="s">
        <v>28</v>
      </c>
      <c r="L669" s="2">
        <v>55.8</v>
      </c>
      <c r="M669" s="3">
        <v>738</v>
      </c>
      <c r="N669">
        <v>6</v>
      </c>
      <c r="O669">
        <v>6</v>
      </c>
      <c r="P669">
        <v>1</v>
      </c>
      <c r="Q669">
        <v>0</v>
      </c>
      <c r="R669" s="4">
        <v>24.79</v>
      </c>
      <c r="S669">
        <v>0</v>
      </c>
      <c r="T669">
        <v>1</v>
      </c>
    </row>
    <row r="670" spans="1:20" ht="16.5" x14ac:dyDescent="0.3">
      <c r="A670" t="s">
        <v>714</v>
      </c>
      <c r="B670" s="1">
        <v>45392</v>
      </c>
      <c r="C670">
        <v>2024</v>
      </c>
      <c r="D670" t="s">
        <v>649</v>
      </c>
      <c r="E670" t="s">
        <v>650</v>
      </c>
      <c r="F670" t="s">
        <v>23</v>
      </c>
      <c r="G670" t="s">
        <v>39</v>
      </c>
      <c r="H670" t="s">
        <v>36</v>
      </c>
      <c r="I670" t="s">
        <v>40</v>
      </c>
      <c r="J670" t="s">
        <v>27</v>
      </c>
      <c r="K670" t="s">
        <v>32</v>
      </c>
      <c r="L670" s="2">
        <v>1</v>
      </c>
      <c r="M670" s="3">
        <v>229</v>
      </c>
      <c r="N670">
        <v>1</v>
      </c>
      <c r="O670">
        <v>1</v>
      </c>
      <c r="P670">
        <v>1</v>
      </c>
      <c r="Q670">
        <v>0</v>
      </c>
      <c r="R670" s="4">
        <v>18.309999999999999</v>
      </c>
      <c r="S670">
        <v>0</v>
      </c>
      <c r="T670">
        <v>1</v>
      </c>
    </row>
    <row r="671" spans="1:20" ht="16.5" x14ac:dyDescent="0.3">
      <c r="A671" t="s">
        <v>715</v>
      </c>
      <c r="B671" s="1">
        <v>45392</v>
      </c>
      <c r="C671">
        <v>2024</v>
      </c>
      <c r="D671" t="s">
        <v>649</v>
      </c>
      <c r="E671" t="s">
        <v>650</v>
      </c>
      <c r="F671" t="s">
        <v>30</v>
      </c>
      <c r="G671" t="s">
        <v>35</v>
      </c>
      <c r="H671" t="s">
        <v>36</v>
      </c>
      <c r="I671" t="s">
        <v>26</v>
      </c>
      <c r="J671" t="s">
        <v>27</v>
      </c>
      <c r="K671" t="s">
        <v>32</v>
      </c>
      <c r="L671" s="2">
        <v>5.0999999999999996</v>
      </c>
      <c r="M671" s="3">
        <v>306</v>
      </c>
      <c r="N671">
        <v>3</v>
      </c>
      <c r="O671">
        <v>3</v>
      </c>
      <c r="P671">
        <v>1</v>
      </c>
      <c r="Q671">
        <v>0</v>
      </c>
      <c r="R671" s="4">
        <v>13.38</v>
      </c>
      <c r="S671">
        <v>0</v>
      </c>
      <c r="T671">
        <v>1</v>
      </c>
    </row>
    <row r="672" spans="1:20" ht="16.5" x14ac:dyDescent="0.3">
      <c r="A672" t="s">
        <v>716</v>
      </c>
      <c r="B672" s="1">
        <v>45392</v>
      </c>
      <c r="C672">
        <v>2024</v>
      </c>
      <c r="D672" t="s">
        <v>649</v>
      </c>
      <c r="E672" t="s">
        <v>650</v>
      </c>
      <c r="F672" t="s">
        <v>30</v>
      </c>
      <c r="G672" t="s">
        <v>39</v>
      </c>
      <c r="H672" t="s">
        <v>48</v>
      </c>
      <c r="I672" t="s">
        <v>26</v>
      </c>
      <c r="J672" t="s">
        <v>27</v>
      </c>
      <c r="K672" t="s">
        <v>32</v>
      </c>
      <c r="L672" s="2">
        <v>9.1</v>
      </c>
      <c r="M672" s="3">
        <v>589</v>
      </c>
      <c r="N672">
        <v>4</v>
      </c>
      <c r="O672">
        <v>4</v>
      </c>
      <c r="P672">
        <v>1</v>
      </c>
      <c r="Q672">
        <v>0</v>
      </c>
      <c r="R672" s="4">
        <v>18.91</v>
      </c>
      <c r="S672">
        <v>0</v>
      </c>
      <c r="T672">
        <v>1</v>
      </c>
    </row>
    <row r="673" spans="1:20" ht="16.5" x14ac:dyDescent="0.3">
      <c r="A673" t="s">
        <v>717</v>
      </c>
      <c r="B673" s="1">
        <v>45392</v>
      </c>
      <c r="C673">
        <v>2024</v>
      </c>
      <c r="D673" t="s">
        <v>649</v>
      </c>
      <c r="E673" t="s">
        <v>650</v>
      </c>
      <c r="F673" t="s">
        <v>34</v>
      </c>
      <c r="G673" t="s">
        <v>39</v>
      </c>
      <c r="H673" t="s">
        <v>36</v>
      </c>
      <c r="I673" t="s">
        <v>26</v>
      </c>
      <c r="J673" t="s">
        <v>27</v>
      </c>
      <c r="K673" t="s">
        <v>32</v>
      </c>
      <c r="L673" s="2">
        <v>1.7</v>
      </c>
      <c r="M673" s="3">
        <v>276</v>
      </c>
      <c r="N673">
        <v>3</v>
      </c>
      <c r="O673">
        <v>4</v>
      </c>
      <c r="P673">
        <v>0</v>
      </c>
      <c r="Q673">
        <v>1</v>
      </c>
      <c r="R673" s="4">
        <v>9.61</v>
      </c>
      <c r="S673">
        <v>0</v>
      </c>
      <c r="T673">
        <v>1</v>
      </c>
    </row>
    <row r="674" spans="1:20" ht="16.5" x14ac:dyDescent="0.3">
      <c r="A674" t="s">
        <v>718</v>
      </c>
      <c r="B674" s="1">
        <v>45392</v>
      </c>
      <c r="C674">
        <v>2024</v>
      </c>
      <c r="D674" t="s">
        <v>649</v>
      </c>
      <c r="E674" t="s">
        <v>650</v>
      </c>
      <c r="F674" t="s">
        <v>23</v>
      </c>
      <c r="G674" t="s">
        <v>39</v>
      </c>
      <c r="H674" t="s">
        <v>51</v>
      </c>
      <c r="I674" t="s">
        <v>31</v>
      </c>
      <c r="J674" t="s">
        <v>27</v>
      </c>
      <c r="K674" t="s">
        <v>28</v>
      </c>
      <c r="L674" s="2">
        <v>127.2</v>
      </c>
      <c r="M674" s="3">
        <v>1041</v>
      </c>
      <c r="N674">
        <v>7</v>
      </c>
      <c r="O674">
        <v>7</v>
      </c>
      <c r="P674">
        <v>1</v>
      </c>
      <c r="Q674">
        <v>0</v>
      </c>
      <c r="R674" s="4">
        <v>54.13</v>
      </c>
      <c r="S674">
        <v>0</v>
      </c>
      <c r="T674">
        <v>1</v>
      </c>
    </row>
    <row r="675" spans="1:20" ht="16.5" x14ac:dyDescent="0.3">
      <c r="A675" t="s">
        <v>719</v>
      </c>
      <c r="B675" s="1">
        <v>45392</v>
      </c>
      <c r="C675">
        <v>2024</v>
      </c>
      <c r="D675" t="s">
        <v>649</v>
      </c>
      <c r="E675" t="s">
        <v>650</v>
      </c>
      <c r="F675" t="s">
        <v>57</v>
      </c>
      <c r="G675" t="s">
        <v>35</v>
      </c>
      <c r="H675" t="s">
        <v>36</v>
      </c>
      <c r="I675" t="s">
        <v>26</v>
      </c>
      <c r="J675" t="s">
        <v>27</v>
      </c>
      <c r="K675" t="s">
        <v>28</v>
      </c>
      <c r="L675" s="2">
        <v>60.5</v>
      </c>
      <c r="M675" s="3">
        <v>277</v>
      </c>
      <c r="N675">
        <v>3</v>
      </c>
      <c r="O675">
        <v>3</v>
      </c>
      <c r="P675">
        <v>1</v>
      </c>
      <c r="Q675">
        <v>0</v>
      </c>
      <c r="R675" s="4">
        <v>37.51</v>
      </c>
      <c r="S675">
        <v>0</v>
      </c>
      <c r="T675">
        <v>1</v>
      </c>
    </row>
    <row r="676" spans="1:20" ht="16.5" x14ac:dyDescent="0.3">
      <c r="A676" t="s">
        <v>720</v>
      </c>
      <c r="B676" s="1">
        <v>45392</v>
      </c>
      <c r="C676">
        <v>2024</v>
      </c>
      <c r="D676" t="s">
        <v>649</v>
      </c>
      <c r="E676" t="s">
        <v>650</v>
      </c>
      <c r="F676" t="s">
        <v>38</v>
      </c>
      <c r="G676" t="s">
        <v>24</v>
      </c>
      <c r="H676" t="s">
        <v>51</v>
      </c>
      <c r="I676" t="s">
        <v>26</v>
      </c>
      <c r="J676" t="s">
        <v>27</v>
      </c>
      <c r="K676" t="s">
        <v>32</v>
      </c>
      <c r="L676" s="2">
        <v>4.9000000000000004</v>
      </c>
      <c r="M676" s="3">
        <v>955</v>
      </c>
      <c r="N676">
        <v>5</v>
      </c>
      <c r="O676">
        <v>5</v>
      </c>
      <c r="P676">
        <v>1</v>
      </c>
      <c r="Q676">
        <v>0</v>
      </c>
      <c r="R676" s="4">
        <v>22.83</v>
      </c>
      <c r="S676">
        <v>0</v>
      </c>
      <c r="T676">
        <v>1</v>
      </c>
    </row>
    <row r="677" spans="1:20" ht="16.5" x14ac:dyDescent="0.3">
      <c r="A677" t="s">
        <v>721</v>
      </c>
      <c r="B677" s="1">
        <v>45393</v>
      </c>
      <c r="C677">
        <v>2024</v>
      </c>
      <c r="D677" t="s">
        <v>649</v>
      </c>
      <c r="E677" t="s">
        <v>650</v>
      </c>
      <c r="F677" t="s">
        <v>38</v>
      </c>
      <c r="G677" t="s">
        <v>39</v>
      </c>
      <c r="H677" t="s">
        <v>36</v>
      </c>
      <c r="I677" t="s">
        <v>26</v>
      </c>
      <c r="J677" t="s">
        <v>27</v>
      </c>
      <c r="K677" t="s">
        <v>28</v>
      </c>
      <c r="L677" s="2">
        <v>324.7</v>
      </c>
      <c r="M677" s="3">
        <v>254</v>
      </c>
      <c r="N677">
        <v>3</v>
      </c>
      <c r="O677">
        <v>2</v>
      </c>
      <c r="P677">
        <v>1</v>
      </c>
      <c r="Q677">
        <v>0</v>
      </c>
      <c r="R677" s="4">
        <v>128.72</v>
      </c>
      <c r="S677">
        <v>0</v>
      </c>
      <c r="T677">
        <v>1</v>
      </c>
    </row>
    <row r="678" spans="1:20" ht="16.5" x14ac:dyDescent="0.3">
      <c r="A678" t="s">
        <v>722</v>
      </c>
      <c r="B678" s="1">
        <v>45393</v>
      </c>
      <c r="C678">
        <v>2024</v>
      </c>
      <c r="D678" t="s">
        <v>649</v>
      </c>
      <c r="E678" t="s">
        <v>650</v>
      </c>
      <c r="F678" t="s">
        <v>30</v>
      </c>
      <c r="G678" t="s">
        <v>39</v>
      </c>
      <c r="H678" t="s">
        <v>48</v>
      </c>
      <c r="I678" t="s">
        <v>26</v>
      </c>
      <c r="J678" t="s">
        <v>27</v>
      </c>
      <c r="K678" t="s">
        <v>32</v>
      </c>
      <c r="L678" s="2">
        <v>10.8</v>
      </c>
      <c r="M678" s="3">
        <v>552</v>
      </c>
      <c r="N678">
        <v>4</v>
      </c>
      <c r="O678">
        <v>4</v>
      </c>
      <c r="P678">
        <v>1</v>
      </c>
      <c r="Q678">
        <v>0</v>
      </c>
      <c r="R678" s="4">
        <v>19.559999999999999</v>
      </c>
      <c r="S678">
        <v>0</v>
      </c>
      <c r="T678">
        <v>1</v>
      </c>
    </row>
    <row r="679" spans="1:20" ht="16.5" x14ac:dyDescent="0.3">
      <c r="A679" t="s">
        <v>723</v>
      </c>
      <c r="B679" s="1">
        <v>45393</v>
      </c>
      <c r="C679">
        <v>2024</v>
      </c>
      <c r="D679" t="s">
        <v>649</v>
      </c>
      <c r="E679" t="s">
        <v>650</v>
      </c>
      <c r="F679" t="s">
        <v>30</v>
      </c>
      <c r="G679" t="s">
        <v>35</v>
      </c>
      <c r="H679" t="s">
        <v>36</v>
      </c>
      <c r="I679" t="s">
        <v>31</v>
      </c>
      <c r="J679" t="s">
        <v>27</v>
      </c>
      <c r="K679" t="s">
        <v>32</v>
      </c>
      <c r="L679" s="2">
        <v>3.3</v>
      </c>
      <c r="M679" s="3">
        <v>226</v>
      </c>
      <c r="N679">
        <v>5</v>
      </c>
      <c r="O679">
        <v>5</v>
      </c>
      <c r="P679">
        <v>1</v>
      </c>
      <c r="Q679">
        <v>0</v>
      </c>
      <c r="R679" s="4">
        <v>7.86</v>
      </c>
      <c r="S679">
        <v>0</v>
      </c>
      <c r="T679">
        <v>1</v>
      </c>
    </row>
    <row r="680" spans="1:20" ht="16.5" x14ac:dyDescent="0.3">
      <c r="A680" t="s">
        <v>724</v>
      </c>
      <c r="B680" s="1">
        <v>45393</v>
      </c>
      <c r="C680">
        <v>2024</v>
      </c>
      <c r="D680" t="s">
        <v>649</v>
      </c>
      <c r="E680" t="s">
        <v>650</v>
      </c>
      <c r="F680" t="s">
        <v>38</v>
      </c>
      <c r="G680" t="s">
        <v>24</v>
      </c>
      <c r="H680" t="s">
        <v>48</v>
      </c>
      <c r="I680" t="s">
        <v>31</v>
      </c>
      <c r="J680" t="s">
        <v>27</v>
      </c>
      <c r="K680" t="s">
        <v>28</v>
      </c>
      <c r="L680" s="2">
        <v>49.2</v>
      </c>
      <c r="M680" s="3">
        <v>433</v>
      </c>
      <c r="N680">
        <v>6</v>
      </c>
      <c r="O680">
        <v>5</v>
      </c>
      <c r="P680">
        <v>1</v>
      </c>
      <c r="Q680">
        <v>0</v>
      </c>
      <c r="R680" s="4">
        <v>29.84</v>
      </c>
      <c r="S680">
        <v>0</v>
      </c>
      <c r="T680">
        <v>1</v>
      </c>
    </row>
    <row r="681" spans="1:20" ht="16.5" x14ac:dyDescent="0.3">
      <c r="A681" t="s">
        <v>725</v>
      </c>
      <c r="B681" s="1">
        <v>45393</v>
      </c>
      <c r="C681">
        <v>2024</v>
      </c>
      <c r="D681" t="s">
        <v>649</v>
      </c>
      <c r="E681" t="s">
        <v>650</v>
      </c>
      <c r="F681" t="s">
        <v>57</v>
      </c>
      <c r="G681" t="s">
        <v>39</v>
      </c>
      <c r="H681" t="s">
        <v>48</v>
      </c>
      <c r="I681" t="s">
        <v>26</v>
      </c>
      <c r="J681" t="s">
        <v>27</v>
      </c>
      <c r="K681" t="s">
        <v>32</v>
      </c>
      <c r="L681" s="2">
        <v>16.100000000000001</v>
      </c>
      <c r="M681" s="3">
        <v>466</v>
      </c>
      <c r="N681">
        <v>4</v>
      </c>
      <c r="O681">
        <v>6</v>
      </c>
      <c r="P681">
        <v>0</v>
      </c>
      <c r="Q681">
        <v>2</v>
      </c>
      <c r="R681" s="4">
        <v>21.24</v>
      </c>
      <c r="S681">
        <v>0</v>
      </c>
      <c r="T681">
        <v>1</v>
      </c>
    </row>
    <row r="682" spans="1:20" ht="16.5" x14ac:dyDescent="0.3">
      <c r="A682" t="s">
        <v>726</v>
      </c>
      <c r="B682" s="1">
        <v>45393</v>
      </c>
      <c r="C682">
        <v>2024</v>
      </c>
      <c r="D682" t="s">
        <v>649</v>
      </c>
      <c r="E682" t="s">
        <v>650</v>
      </c>
      <c r="F682" t="s">
        <v>30</v>
      </c>
      <c r="G682" t="s">
        <v>24</v>
      </c>
      <c r="H682" t="s">
        <v>36</v>
      </c>
      <c r="I682" t="s">
        <v>31</v>
      </c>
      <c r="J682" t="s">
        <v>27</v>
      </c>
      <c r="K682" t="s">
        <v>32</v>
      </c>
      <c r="L682" s="2">
        <v>3.6</v>
      </c>
      <c r="M682" s="3">
        <v>267</v>
      </c>
      <c r="N682">
        <v>5</v>
      </c>
      <c r="O682">
        <v>5</v>
      </c>
      <c r="P682">
        <v>1</v>
      </c>
      <c r="Q682">
        <v>0</v>
      </c>
      <c r="R682" s="4">
        <v>9.5</v>
      </c>
      <c r="S682">
        <v>0</v>
      </c>
      <c r="T682">
        <v>1</v>
      </c>
    </row>
    <row r="683" spans="1:20" ht="16.5" x14ac:dyDescent="0.3">
      <c r="A683" t="s">
        <v>727</v>
      </c>
      <c r="B683" s="1">
        <v>45394</v>
      </c>
      <c r="C683">
        <v>2024</v>
      </c>
      <c r="D683" t="s">
        <v>649</v>
      </c>
      <c r="E683" t="s">
        <v>650</v>
      </c>
      <c r="F683" t="s">
        <v>38</v>
      </c>
      <c r="G683" t="s">
        <v>39</v>
      </c>
      <c r="H683" t="s">
        <v>48</v>
      </c>
      <c r="I683" t="s">
        <v>26</v>
      </c>
      <c r="J683" t="s">
        <v>27</v>
      </c>
      <c r="K683" t="s">
        <v>28</v>
      </c>
      <c r="L683" s="2">
        <v>122.9</v>
      </c>
      <c r="M683" s="3">
        <v>512</v>
      </c>
      <c r="N683">
        <v>4</v>
      </c>
      <c r="O683">
        <v>4</v>
      </c>
      <c r="P683">
        <v>1</v>
      </c>
      <c r="Q683">
        <v>0</v>
      </c>
      <c r="R683" s="4">
        <v>73.510000000000005</v>
      </c>
      <c r="S683">
        <v>0</v>
      </c>
      <c r="T683">
        <v>1</v>
      </c>
    </row>
    <row r="684" spans="1:20" ht="16.5" x14ac:dyDescent="0.3">
      <c r="A684" t="s">
        <v>728</v>
      </c>
      <c r="B684" s="1">
        <v>45394</v>
      </c>
      <c r="C684">
        <v>2024</v>
      </c>
      <c r="D684" t="s">
        <v>649</v>
      </c>
      <c r="E684" t="s">
        <v>650</v>
      </c>
      <c r="F684" t="s">
        <v>57</v>
      </c>
      <c r="G684" t="s">
        <v>24</v>
      </c>
      <c r="H684" t="s">
        <v>36</v>
      </c>
      <c r="I684" t="s">
        <v>26</v>
      </c>
      <c r="J684" t="s">
        <v>27</v>
      </c>
      <c r="K684" t="s">
        <v>32</v>
      </c>
      <c r="L684" s="2">
        <v>8.4</v>
      </c>
      <c r="M684" s="3">
        <v>221</v>
      </c>
      <c r="N684">
        <v>3</v>
      </c>
      <c r="O684">
        <v>3</v>
      </c>
      <c r="P684">
        <v>1</v>
      </c>
      <c r="Q684">
        <v>0</v>
      </c>
      <c r="R684" s="4">
        <v>15.05</v>
      </c>
      <c r="S684">
        <v>0</v>
      </c>
      <c r="T684">
        <v>1</v>
      </c>
    </row>
    <row r="685" spans="1:20" ht="16.5" x14ac:dyDescent="0.3">
      <c r="A685" t="s">
        <v>729</v>
      </c>
      <c r="B685" s="1">
        <v>45394</v>
      </c>
      <c r="C685">
        <v>2024</v>
      </c>
      <c r="D685" t="s">
        <v>649</v>
      </c>
      <c r="E685" t="s">
        <v>650</v>
      </c>
      <c r="F685" t="s">
        <v>38</v>
      </c>
      <c r="G685" t="s">
        <v>35</v>
      </c>
      <c r="H685" t="s">
        <v>36</v>
      </c>
      <c r="I685" t="s">
        <v>31</v>
      </c>
      <c r="J685" t="s">
        <v>27</v>
      </c>
      <c r="K685" t="s">
        <v>32</v>
      </c>
      <c r="L685" s="2">
        <v>12.8</v>
      </c>
      <c r="M685" s="3">
        <v>227</v>
      </c>
      <c r="N685">
        <v>5</v>
      </c>
      <c r="O685">
        <v>4</v>
      </c>
      <c r="P685">
        <v>1</v>
      </c>
      <c r="Q685">
        <v>0</v>
      </c>
      <c r="R685" s="4">
        <v>12.13</v>
      </c>
      <c r="S685">
        <v>0</v>
      </c>
      <c r="T685">
        <v>1</v>
      </c>
    </row>
    <row r="686" spans="1:20" ht="16.5" x14ac:dyDescent="0.3">
      <c r="A686" t="s">
        <v>730</v>
      </c>
      <c r="B686" s="1">
        <v>45394</v>
      </c>
      <c r="C686">
        <v>2024</v>
      </c>
      <c r="D686" t="s">
        <v>649</v>
      </c>
      <c r="E686" t="s">
        <v>650</v>
      </c>
      <c r="F686" t="s">
        <v>30</v>
      </c>
      <c r="G686" t="s">
        <v>35</v>
      </c>
      <c r="H686" t="s">
        <v>25</v>
      </c>
      <c r="I686" t="s">
        <v>40</v>
      </c>
      <c r="J686" t="s">
        <v>41</v>
      </c>
      <c r="K686" t="s">
        <v>28</v>
      </c>
      <c r="L686" s="2">
        <v>19.600000000000001</v>
      </c>
      <c r="M686" s="3">
        <v>757</v>
      </c>
      <c r="N686">
        <v>2</v>
      </c>
      <c r="O686">
        <v>1</v>
      </c>
      <c r="P686">
        <v>1</v>
      </c>
      <c r="Q686">
        <v>0</v>
      </c>
      <c r="R686" s="4">
        <v>89.41</v>
      </c>
      <c r="S686">
        <v>0</v>
      </c>
      <c r="T686">
        <v>1</v>
      </c>
    </row>
    <row r="687" spans="1:20" ht="16.5" x14ac:dyDescent="0.3">
      <c r="A687" t="s">
        <v>731</v>
      </c>
      <c r="B687" s="1">
        <v>45394</v>
      </c>
      <c r="C687">
        <v>2024</v>
      </c>
      <c r="D687" t="s">
        <v>649</v>
      </c>
      <c r="E687" t="s">
        <v>650</v>
      </c>
      <c r="F687" t="s">
        <v>57</v>
      </c>
      <c r="G687" t="s">
        <v>39</v>
      </c>
      <c r="H687" t="s">
        <v>36</v>
      </c>
      <c r="I687" t="s">
        <v>26</v>
      </c>
      <c r="J687" t="s">
        <v>27</v>
      </c>
      <c r="K687" t="s">
        <v>28</v>
      </c>
      <c r="L687" s="2">
        <v>399.5</v>
      </c>
      <c r="M687" s="3">
        <v>199</v>
      </c>
      <c r="N687">
        <v>3</v>
      </c>
      <c r="O687">
        <v>3</v>
      </c>
      <c r="P687">
        <v>1</v>
      </c>
      <c r="Q687">
        <v>0</v>
      </c>
      <c r="R687" s="4">
        <v>161.96</v>
      </c>
      <c r="S687">
        <v>0</v>
      </c>
      <c r="T687">
        <v>1</v>
      </c>
    </row>
    <row r="688" spans="1:20" ht="16.5" x14ac:dyDescent="0.3">
      <c r="A688" t="s">
        <v>732</v>
      </c>
      <c r="B688" s="1">
        <v>45394</v>
      </c>
      <c r="C688">
        <v>2024</v>
      </c>
      <c r="D688" t="s">
        <v>649</v>
      </c>
      <c r="E688" t="s">
        <v>650</v>
      </c>
      <c r="F688" t="s">
        <v>57</v>
      </c>
      <c r="G688" t="s">
        <v>39</v>
      </c>
      <c r="H688" t="s">
        <v>25</v>
      </c>
      <c r="I688" t="s">
        <v>26</v>
      </c>
      <c r="J688" t="s">
        <v>27</v>
      </c>
      <c r="K688" t="s">
        <v>32</v>
      </c>
      <c r="L688" s="2">
        <v>14.8</v>
      </c>
      <c r="M688" s="3">
        <v>922</v>
      </c>
      <c r="N688">
        <v>4</v>
      </c>
      <c r="O688">
        <v>3</v>
      </c>
      <c r="P688">
        <v>1</v>
      </c>
      <c r="Q688">
        <v>0</v>
      </c>
      <c r="R688" s="4">
        <v>27.73</v>
      </c>
      <c r="S688">
        <v>0</v>
      </c>
      <c r="T688">
        <v>1</v>
      </c>
    </row>
    <row r="689" spans="1:20" ht="16.5" x14ac:dyDescent="0.3">
      <c r="A689" t="s">
        <v>733</v>
      </c>
      <c r="B689" s="1">
        <v>45394</v>
      </c>
      <c r="C689">
        <v>2024</v>
      </c>
      <c r="D689" t="s">
        <v>649</v>
      </c>
      <c r="E689" t="s">
        <v>650</v>
      </c>
      <c r="F689" t="s">
        <v>34</v>
      </c>
      <c r="G689" t="s">
        <v>39</v>
      </c>
      <c r="H689" t="s">
        <v>48</v>
      </c>
      <c r="I689" t="s">
        <v>26</v>
      </c>
      <c r="J689" t="s">
        <v>27</v>
      </c>
      <c r="K689" t="s">
        <v>28</v>
      </c>
      <c r="L689" s="2">
        <v>62.7</v>
      </c>
      <c r="M689" s="3">
        <v>404</v>
      </c>
      <c r="N689">
        <v>4</v>
      </c>
      <c r="O689">
        <v>4</v>
      </c>
      <c r="P689">
        <v>1</v>
      </c>
      <c r="Q689">
        <v>0</v>
      </c>
      <c r="R689" s="4">
        <v>34.71</v>
      </c>
      <c r="S689">
        <v>0</v>
      </c>
      <c r="T689">
        <v>1</v>
      </c>
    </row>
    <row r="690" spans="1:20" ht="16.5" x14ac:dyDescent="0.3">
      <c r="A690" t="s">
        <v>734</v>
      </c>
      <c r="B690" s="1">
        <v>45395</v>
      </c>
      <c r="C690">
        <v>2024</v>
      </c>
      <c r="D690" t="s">
        <v>649</v>
      </c>
      <c r="E690" t="s">
        <v>650</v>
      </c>
      <c r="F690" t="s">
        <v>34</v>
      </c>
      <c r="G690" t="s">
        <v>39</v>
      </c>
      <c r="H690" t="s">
        <v>51</v>
      </c>
      <c r="I690" t="s">
        <v>31</v>
      </c>
      <c r="J690" t="s">
        <v>27</v>
      </c>
      <c r="K690" t="s">
        <v>28</v>
      </c>
      <c r="L690" s="2">
        <v>119.7</v>
      </c>
      <c r="M690" s="3">
        <v>1045</v>
      </c>
      <c r="N690">
        <v>7</v>
      </c>
      <c r="O690">
        <v>7</v>
      </c>
      <c r="P690">
        <v>1</v>
      </c>
      <c r="Q690">
        <v>0</v>
      </c>
      <c r="R690" s="4">
        <v>46.48</v>
      </c>
      <c r="S690">
        <v>0</v>
      </c>
      <c r="T690">
        <v>1</v>
      </c>
    </row>
    <row r="691" spans="1:20" ht="16.5" x14ac:dyDescent="0.3">
      <c r="A691" t="s">
        <v>735</v>
      </c>
      <c r="B691" s="1">
        <v>45395</v>
      </c>
      <c r="C691">
        <v>2024</v>
      </c>
      <c r="D691" t="s">
        <v>649</v>
      </c>
      <c r="E691" t="s">
        <v>650</v>
      </c>
      <c r="F691" t="s">
        <v>38</v>
      </c>
      <c r="G691" t="s">
        <v>35</v>
      </c>
      <c r="H691" t="s">
        <v>48</v>
      </c>
      <c r="I691" t="s">
        <v>26</v>
      </c>
      <c r="J691" t="s">
        <v>27</v>
      </c>
      <c r="K691" t="s">
        <v>28</v>
      </c>
      <c r="L691" s="2">
        <v>66.3</v>
      </c>
      <c r="M691" s="3">
        <v>422</v>
      </c>
      <c r="N691">
        <v>4</v>
      </c>
      <c r="O691">
        <v>4</v>
      </c>
      <c r="P691">
        <v>1</v>
      </c>
      <c r="Q691">
        <v>0</v>
      </c>
      <c r="R691" s="4">
        <v>46.07</v>
      </c>
      <c r="S691">
        <v>0</v>
      </c>
      <c r="T691">
        <v>1</v>
      </c>
    </row>
    <row r="692" spans="1:20" ht="16.5" x14ac:dyDescent="0.3">
      <c r="A692" t="s">
        <v>736</v>
      </c>
      <c r="B692" s="1">
        <v>45395</v>
      </c>
      <c r="C692">
        <v>2024</v>
      </c>
      <c r="D692" t="s">
        <v>649</v>
      </c>
      <c r="E692" t="s">
        <v>650</v>
      </c>
      <c r="F692" t="s">
        <v>38</v>
      </c>
      <c r="G692" t="s">
        <v>35</v>
      </c>
      <c r="H692" t="s">
        <v>36</v>
      </c>
      <c r="I692" t="s">
        <v>26</v>
      </c>
      <c r="J692" t="s">
        <v>27</v>
      </c>
      <c r="K692" t="s">
        <v>32</v>
      </c>
      <c r="L692" s="2">
        <v>7.3</v>
      </c>
      <c r="M692" s="3">
        <v>250</v>
      </c>
      <c r="N692">
        <v>3</v>
      </c>
      <c r="O692">
        <v>3</v>
      </c>
      <c r="P692">
        <v>1</v>
      </c>
      <c r="Q692">
        <v>0</v>
      </c>
      <c r="R692" s="4">
        <v>15.36</v>
      </c>
      <c r="S692">
        <v>0</v>
      </c>
      <c r="T692">
        <v>1</v>
      </c>
    </row>
    <row r="693" spans="1:20" ht="16.5" x14ac:dyDescent="0.3">
      <c r="A693" t="s">
        <v>737</v>
      </c>
      <c r="B693" s="1">
        <v>45396</v>
      </c>
      <c r="C693">
        <v>2024</v>
      </c>
      <c r="D693" t="s">
        <v>649</v>
      </c>
      <c r="E693" t="s">
        <v>650</v>
      </c>
      <c r="F693" t="s">
        <v>38</v>
      </c>
      <c r="G693" t="s">
        <v>39</v>
      </c>
      <c r="H693" t="s">
        <v>36</v>
      </c>
      <c r="I693" t="s">
        <v>31</v>
      </c>
      <c r="J693" t="s">
        <v>27</v>
      </c>
      <c r="K693" t="s">
        <v>32</v>
      </c>
      <c r="L693" s="2">
        <v>6.5</v>
      </c>
      <c r="M693" s="3">
        <v>249</v>
      </c>
      <c r="N693">
        <v>5</v>
      </c>
      <c r="O693">
        <v>4</v>
      </c>
      <c r="P693">
        <v>1</v>
      </c>
      <c r="Q693">
        <v>0</v>
      </c>
      <c r="R693" s="4">
        <v>10.62</v>
      </c>
      <c r="S693">
        <v>0</v>
      </c>
      <c r="T693">
        <v>1</v>
      </c>
    </row>
    <row r="694" spans="1:20" ht="16.5" x14ac:dyDescent="0.3">
      <c r="A694" t="s">
        <v>738</v>
      </c>
      <c r="B694" s="1">
        <v>45396</v>
      </c>
      <c r="C694">
        <v>2024</v>
      </c>
      <c r="D694" t="s">
        <v>649</v>
      </c>
      <c r="E694" t="s">
        <v>650</v>
      </c>
      <c r="F694" t="s">
        <v>38</v>
      </c>
      <c r="G694" t="s">
        <v>39</v>
      </c>
      <c r="H694" t="s">
        <v>25</v>
      </c>
      <c r="I694" t="s">
        <v>26</v>
      </c>
      <c r="J694" t="s">
        <v>27</v>
      </c>
      <c r="K694" t="s">
        <v>28</v>
      </c>
      <c r="L694" s="2">
        <v>131.4</v>
      </c>
      <c r="M694" s="3">
        <v>962</v>
      </c>
      <c r="N694">
        <v>4</v>
      </c>
      <c r="O694">
        <v>4</v>
      </c>
      <c r="P694">
        <v>1</v>
      </c>
      <c r="Q694">
        <v>0</v>
      </c>
      <c r="R694" s="4">
        <v>75.349999999999994</v>
      </c>
      <c r="S694">
        <v>0</v>
      </c>
      <c r="T694">
        <v>1</v>
      </c>
    </row>
    <row r="695" spans="1:20" ht="16.5" x14ac:dyDescent="0.3">
      <c r="A695" t="s">
        <v>739</v>
      </c>
      <c r="B695" s="1">
        <v>45396</v>
      </c>
      <c r="C695">
        <v>2024</v>
      </c>
      <c r="D695" t="s">
        <v>649</v>
      </c>
      <c r="E695" t="s">
        <v>650</v>
      </c>
      <c r="F695" t="s">
        <v>34</v>
      </c>
      <c r="G695" t="s">
        <v>39</v>
      </c>
      <c r="H695" t="s">
        <v>48</v>
      </c>
      <c r="I695" t="s">
        <v>31</v>
      </c>
      <c r="J695" t="s">
        <v>27</v>
      </c>
      <c r="K695" t="s">
        <v>28</v>
      </c>
      <c r="L695" s="2">
        <v>203.4</v>
      </c>
      <c r="M695" s="3">
        <v>451</v>
      </c>
      <c r="N695">
        <v>6</v>
      </c>
      <c r="O695">
        <v>6</v>
      </c>
      <c r="P695">
        <v>1</v>
      </c>
      <c r="Q695">
        <v>0</v>
      </c>
      <c r="R695" s="4">
        <v>56.87</v>
      </c>
      <c r="S695">
        <v>0</v>
      </c>
      <c r="T695">
        <v>1</v>
      </c>
    </row>
    <row r="696" spans="1:20" ht="16.5" x14ac:dyDescent="0.3">
      <c r="A696" t="s">
        <v>740</v>
      </c>
      <c r="B696" s="1">
        <v>45397</v>
      </c>
      <c r="C696">
        <v>2024</v>
      </c>
      <c r="D696" t="s">
        <v>649</v>
      </c>
      <c r="E696" t="s">
        <v>650</v>
      </c>
      <c r="F696" t="s">
        <v>34</v>
      </c>
      <c r="G696" t="s">
        <v>24</v>
      </c>
      <c r="H696" t="s">
        <v>25</v>
      </c>
      <c r="I696" t="s">
        <v>31</v>
      </c>
      <c r="J696" t="s">
        <v>27</v>
      </c>
      <c r="K696" t="s">
        <v>32</v>
      </c>
      <c r="L696" s="2">
        <v>3.8</v>
      </c>
      <c r="M696" s="3">
        <v>903</v>
      </c>
      <c r="N696">
        <v>6</v>
      </c>
      <c r="O696">
        <v>6</v>
      </c>
      <c r="P696">
        <v>1</v>
      </c>
      <c r="Q696">
        <v>0</v>
      </c>
      <c r="R696" s="4">
        <v>11.23</v>
      </c>
      <c r="S696">
        <v>0</v>
      </c>
      <c r="T696">
        <v>1</v>
      </c>
    </row>
    <row r="697" spans="1:20" ht="16.5" x14ac:dyDescent="0.3">
      <c r="A697" t="s">
        <v>741</v>
      </c>
      <c r="B697" s="1">
        <v>45397</v>
      </c>
      <c r="C697">
        <v>2024</v>
      </c>
      <c r="D697" t="s">
        <v>649</v>
      </c>
      <c r="E697" t="s">
        <v>650</v>
      </c>
      <c r="F697" t="s">
        <v>57</v>
      </c>
      <c r="G697" t="s">
        <v>39</v>
      </c>
      <c r="H697" t="s">
        <v>48</v>
      </c>
      <c r="I697" t="s">
        <v>26</v>
      </c>
      <c r="J697" t="s">
        <v>27</v>
      </c>
      <c r="K697" t="s">
        <v>28</v>
      </c>
      <c r="L697" s="2">
        <v>66.400000000000006</v>
      </c>
      <c r="M697" s="3">
        <v>598</v>
      </c>
      <c r="N697">
        <v>4</v>
      </c>
      <c r="O697">
        <v>4</v>
      </c>
      <c r="P697">
        <v>1</v>
      </c>
      <c r="Q697">
        <v>0</v>
      </c>
      <c r="R697" s="4">
        <v>44.39</v>
      </c>
      <c r="S697">
        <v>0</v>
      </c>
      <c r="T697">
        <v>1</v>
      </c>
    </row>
    <row r="698" spans="1:20" ht="16.5" x14ac:dyDescent="0.3">
      <c r="A698" t="s">
        <v>742</v>
      </c>
      <c r="B698" s="1">
        <v>45397</v>
      </c>
      <c r="C698">
        <v>2024</v>
      </c>
      <c r="D698" t="s">
        <v>649</v>
      </c>
      <c r="E698" t="s">
        <v>650</v>
      </c>
      <c r="F698" t="s">
        <v>34</v>
      </c>
      <c r="G698" t="s">
        <v>24</v>
      </c>
      <c r="H698" t="s">
        <v>48</v>
      </c>
      <c r="I698" t="s">
        <v>26</v>
      </c>
      <c r="J698" t="s">
        <v>27</v>
      </c>
      <c r="K698" t="s">
        <v>28</v>
      </c>
      <c r="L698" s="2">
        <v>119.5</v>
      </c>
      <c r="M698" s="3">
        <v>382</v>
      </c>
      <c r="N698">
        <v>4</v>
      </c>
      <c r="O698">
        <v>4</v>
      </c>
      <c r="P698">
        <v>1</v>
      </c>
      <c r="Q698">
        <v>0</v>
      </c>
      <c r="R698" s="4">
        <v>50.75</v>
      </c>
      <c r="S698">
        <v>0</v>
      </c>
      <c r="T698">
        <v>1</v>
      </c>
    </row>
    <row r="699" spans="1:20" ht="16.5" x14ac:dyDescent="0.3">
      <c r="A699" t="s">
        <v>743</v>
      </c>
      <c r="B699" s="1">
        <v>45397</v>
      </c>
      <c r="C699">
        <v>2024</v>
      </c>
      <c r="D699" t="s">
        <v>649</v>
      </c>
      <c r="E699" t="s">
        <v>650</v>
      </c>
      <c r="F699" t="s">
        <v>38</v>
      </c>
      <c r="G699" t="s">
        <v>39</v>
      </c>
      <c r="H699" t="s">
        <v>36</v>
      </c>
      <c r="I699" t="s">
        <v>26</v>
      </c>
      <c r="J699" t="s">
        <v>27</v>
      </c>
      <c r="K699" t="s">
        <v>28</v>
      </c>
      <c r="L699" s="2">
        <v>91.8</v>
      </c>
      <c r="M699" s="3">
        <v>245</v>
      </c>
      <c r="N699">
        <v>3</v>
      </c>
      <c r="O699">
        <v>3</v>
      </c>
      <c r="P699">
        <v>1</v>
      </c>
      <c r="Q699">
        <v>0</v>
      </c>
      <c r="R699" s="4">
        <v>60.57</v>
      </c>
      <c r="S699">
        <v>0</v>
      </c>
      <c r="T699">
        <v>1</v>
      </c>
    </row>
    <row r="700" spans="1:20" ht="16.5" x14ac:dyDescent="0.3">
      <c r="A700" t="s">
        <v>744</v>
      </c>
      <c r="B700" s="1">
        <v>45397</v>
      </c>
      <c r="C700">
        <v>2024</v>
      </c>
      <c r="D700" t="s">
        <v>649</v>
      </c>
      <c r="E700" t="s">
        <v>650</v>
      </c>
      <c r="F700" t="s">
        <v>57</v>
      </c>
      <c r="G700" t="s">
        <v>24</v>
      </c>
      <c r="H700" t="s">
        <v>25</v>
      </c>
      <c r="I700" t="s">
        <v>26</v>
      </c>
      <c r="J700" t="s">
        <v>27</v>
      </c>
      <c r="K700" t="s">
        <v>28</v>
      </c>
      <c r="L700" s="2">
        <v>103.1</v>
      </c>
      <c r="M700" s="3">
        <v>870</v>
      </c>
      <c r="N700">
        <v>4</v>
      </c>
      <c r="O700">
        <v>4</v>
      </c>
      <c r="P700">
        <v>1</v>
      </c>
      <c r="Q700">
        <v>0</v>
      </c>
      <c r="R700" s="4">
        <v>67.81</v>
      </c>
      <c r="S700">
        <v>0</v>
      </c>
      <c r="T700">
        <v>1</v>
      </c>
    </row>
    <row r="701" spans="1:20" ht="16.5" x14ac:dyDescent="0.3">
      <c r="A701" t="s">
        <v>745</v>
      </c>
      <c r="B701" s="1">
        <v>45397</v>
      </c>
      <c r="C701">
        <v>2024</v>
      </c>
      <c r="D701" t="s">
        <v>649</v>
      </c>
      <c r="E701" t="s">
        <v>650</v>
      </c>
      <c r="F701" t="s">
        <v>30</v>
      </c>
      <c r="G701" t="s">
        <v>39</v>
      </c>
      <c r="H701" t="s">
        <v>25</v>
      </c>
      <c r="I701" t="s">
        <v>31</v>
      </c>
      <c r="J701" t="s">
        <v>27</v>
      </c>
      <c r="K701" t="s">
        <v>28</v>
      </c>
      <c r="L701" s="2">
        <v>285.10000000000002</v>
      </c>
      <c r="M701" s="3">
        <v>1113</v>
      </c>
      <c r="N701">
        <v>6</v>
      </c>
      <c r="O701">
        <v>7</v>
      </c>
      <c r="P701">
        <v>0</v>
      </c>
      <c r="Q701">
        <v>1</v>
      </c>
      <c r="R701" s="4">
        <v>98.7</v>
      </c>
      <c r="S701">
        <v>0</v>
      </c>
      <c r="T701">
        <v>1</v>
      </c>
    </row>
    <row r="702" spans="1:20" ht="16.5" x14ac:dyDescent="0.3">
      <c r="A702" t="s">
        <v>746</v>
      </c>
      <c r="B702" s="1">
        <v>45397</v>
      </c>
      <c r="C702">
        <v>2024</v>
      </c>
      <c r="D702" t="s">
        <v>649</v>
      </c>
      <c r="E702" t="s">
        <v>650</v>
      </c>
      <c r="F702" t="s">
        <v>23</v>
      </c>
      <c r="G702" t="s">
        <v>35</v>
      </c>
      <c r="H702" t="s">
        <v>43</v>
      </c>
      <c r="I702" t="s">
        <v>40</v>
      </c>
      <c r="J702" t="s">
        <v>41</v>
      </c>
      <c r="K702" t="s">
        <v>32</v>
      </c>
      <c r="L702" s="2">
        <v>7.5</v>
      </c>
      <c r="M702" s="3">
        <v>1168</v>
      </c>
      <c r="N702">
        <v>3</v>
      </c>
      <c r="O702">
        <v>3</v>
      </c>
      <c r="P702">
        <v>1</v>
      </c>
      <c r="Q702">
        <v>0</v>
      </c>
      <c r="R702" s="4">
        <v>68.39</v>
      </c>
      <c r="S702">
        <v>0</v>
      </c>
      <c r="T702">
        <v>1</v>
      </c>
    </row>
    <row r="703" spans="1:20" ht="16.5" x14ac:dyDescent="0.3">
      <c r="A703" t="s">
        <v>747</v>
      </c>
      <c r="B703" s="1">
        <v>45398</v>
      </c>
      <c r="C703">
        <v>2024</v>
      </c>
      <c r="D703" t="s">
        <v>649</v>
      </c>
      <c r="E703" t="s">
        <v>650</v>
      </c>
      <c r="F703" t="s">
        <v>38</v>
      </c>
      <c r="G703" t="s">
        <v>35</v>
      </c>
      <c r="H703" t="s">
        <v>36</v>
      </c>
      <c r="I703" t="s">
        <v>26</v>
      </c>
      <c r="J703" t="s">
        <v>27</v>
      </c>
      <c r="K703" t="s">
        <v>28</v>
      </c>
      <c r="L703" s="2">
        <v>215</v>
      </c>
      <c r="M703" s="3">
        <v>261</v>
      </c>
      <c r="N703">
        <v>3</v>
      </c>
      <c r="O703">
        <v>3</v>
      </c>
      <c r="P703">
        <v>1</v>
      </c>
      <c r="Q703">
        <v>0</v>
      </c>
      <c r="R703" s="4">
        <v>110.29</v>
      </c>
      <c r="S703">
        <v>0</v>
      </c>
      <c r="T703">
        <v>1</v>
      </c>
    </row>
    <row r="704" spans="1:20" ht="16.5" x14ac:dyDescent="0.3">
      <c r="A704" t="s">
        <v>748</v>
      </c>
      <c r="B704" s="1">
        <v>45398</v>
      </c>
      <c r="C704">
        <v>2024</v>
      </c>
      <c r="D704" t="s">
        <v>649</v>
      </c>
      <c r="E704" t="s">
        <v>650</v>
      </c>
      <c r="F704" t="s">
        <v>38</v>
      </c>
      <c r="G704" t="s">
        <v>35</v>
      </c>
      <c r="H704" t="s">
        <v>36</v>
      </c>
      <c r="I704" t="s">
        <v>26</v>
      </c>
      <c r="J704" t="s">
        <v>27</v>
      </c>
      <c r="K704" t="s">
        <v>32</v>
      </c>
      <c r="L704" s="2">
        <v>5.8</v>
      </c>
      <c r="M704" s="3">
        <v>246</v>
      </c>
      <c r="N704">
        <v>3</v>
      </c>
      <c r="O704">
        <v>3</v>
      </c>
      <c r="P704">
        <v>1</v>
      </c>
      <c r="Q704">
        <v>0</v>
      </c>
      <c r="R704" s="4">
        <v>15.09</v>
      </c>
      <c r="S704">
        <v>0</v>
      </c>
      <c r="T704">
        <v>1</v>
      </c>
    </row>
    <row r="705" spans="1:20" ht="16.5" x14ac:dyDescent="0.3">
      <c r="A705" t="s">
        <v>749</v>
      </c>
      <c r="B705" s="1">
        <v>45398</v>
      </c>
      <c r="C705">
        <v>2024</v>
      </c>
      <c r="D705" t="s">
        <v>649</v>
      </c>
      <c r="E705" t="s">
        <v>650</v>
      </c>
      <c r="F705" t="s">
        <v>34</v>
      </c>
      <c r="G705" t="s">
        <v>39</v>
      </c>
      <c r="H705" t="s">
        <v>43</v>
      </c>
      <c r="I705" t="s">
        <v>31</v>
      </c>
      <c r="J705" t="s">
        <v>27</v>
      </c>
      <c r="K705" t="s">
        <v>32</v>
      </c>
      <c r="L705" s="2">
        <v>1.2</v>
      </c>
      <c r="M705" s="3">
        <v>1015</v>
      </c>
      <c r="N705">
        <v>7</v>
      </c>
      <c r="O705">
        <v>10</v>
      </c>
      <c r="P705">
        <v>0</v>
      </c>
      <c r="Q705">
        <v>3</v>
      </c>
      <c r="R705" s="4">
        <v>10.73</v>
      </c>
      <c r="S705">
        <v>0</v>
      </c>
      <c r="T705">
        <v>1</v>
      </c>
    </row>
    <row r="706" spans="1:20" ht="16.5" x14ac:dyDescent="0.3">
      <c r="A706" t="s">
        <v>750</v>
      </c>
      <c r="B706" s="1">
        <v>45398</v>
      </c>
      <c r="C706">
        <v>2024</v>
      </c>
      <c r="D706" t="s">
        <v>649</v>
      </c>
      <c r="E706" t="s">
        <v>650</v>
      </c>
      <c r="F706" t="s">
        <v>23</v>
      </c>
      <c r="G706" t="s">
        <v>39</v>
      </c>
      <c r="H706" t="s">
        <v>48</v>
      </c>
      <c r="I706" t="s">
        <v>40</v>
      </c>
      <c r="J706" t="s">
        <v>27</v>
      </c>
      <c r="K706" t="s">
        <v>32</v>
      </c>
      <c r="L706" s="2">
        <v>10.5</v>
      </c>
      <c r="M706" s="3">
        <v>524</v>
      </c>
      <c r="N706">
        <v>2</v>
      </c>
      <c r="O706">
        <v>2</v>
      </c>
      <c r="P706">
        <v>1</v>
      </c>
      <c r="Q706">
        <v>0</v>
      </c>
      <c r="R706" s="4">
        <v>40</v>
      </c>
      <c r="S706">
        <v>0</v>
      </c>
      <c r="T706">
        <v>1</v>
      </c>
    </row>
    <row r="707" spans="1:20" ht="16.5" x14ac:dyDescent="0.3">
      <c r="A707" t="s">
        <v>751</v>
      </c>
      <c r="B707" s="1">
        <v>45398</v>
      </c>
      <c r="C707">
        <v>2024</v>
      </c>
      <c r="D707" t="s">
        <v>649</v>
      </c>
      <c r="E707" t="s">
        <v>650</v>
      </c>
      <c r="F707" t="s">
        <v>57</v>
      </c>
      <c r="G707" t="s">
        <v>39</v>
      </c>
      <c r="H707" t="s">
        <v>48</v>
      </c>
      <c r="I707" t="s">
        <v>40</v>
      </c>
      <c r="J707" t="s">
        <v>27</v>
      </c>
      <c r="K707" t="s">
        <v>32</v>
      </c>
      <c r="L707" s="2">
        <v>12</v>
      </c>
      <c r="M707" s="3">
        <v>468</v>
      </c>
      <c r="N707">
        <v>2</v>
      </c>
      <c r="O707">
        <v>1</v>
      </c>
      <c r="P707">
        <v>1</v>
      </c>
      <c r="Q707">
        <v>0</v>
      </c>
      <c r="R707" s="4">
        <v>38.869999999999997</v>
      </c>
      <c r="S707">
        <v>0</v>
      </c>
      <c r="T707">
        <v>1</v>
      </c>
    </row>
    <row r="708" spans="1:20" ht="16.5" x14ac:dyDescent="0.3">
      <c r="A708" t="s">
        <v>752</v>
      </c>
      <c r="B708" s="1">
        <v>45398</v>
      </c>
      <c r="C708">
        <v>2024</v>
      </c>
      <c r="D708" t="s">
        <v>649</v>
      </c>
      <c r="E708" t="s">
        <v>650</v>
      </c>
      <c r="F708" t="s">
        <v>34</v>
      </c>
      <c r="G708" t="s">
        <v>39</v>
      </c>
      <c r="H708" t="s">
        <v>36</v>
      </c>
      <c r="I708" t="s">
        <v>40</v>
      </c>
      <c r="J708" t="s">
        <v>27</v>
      </c>
      <c r="K708" t="s">
        <v>32</v>
      </c>
      <c r="L708" s="2">
        <v>2</v>
      </c>
      <c r="M708" s="3">
        <v>179</v>
      </c>
      <c r="N708">
        <v>1</v>
      </c>
      <c r="O708">
        <v>5</v>
      </c>
      <c r="P708">
        <v>0</v>
      </c>
      <c r="Q708">
        <v>4</v>
      </c>
      <c r="R708" s="4">
        <v>15.77</v>
      </c>
      <c r="S708">
        <v>0</v>
      </c>
      <c r="T708">
        <v>1</v>
      </c>
    </row>
    <row r="709" spans="1:20" ht="16.5" x14ac:dyDescent="0.3">
      <c r="A709" t="s">
        <v>753</v>
      </c>
      <c r="B709" s="1">
        <v>45398</v>
      </c>
      <c r="C709">
        <v>2024</v>
      </c>
      <c r="D709" t="s">
        <v>649</v>
      </c>
      <c r="E709" t="s">
        <v>650</v>
      </c>
      <c r="F709" t="s">
        <v>57</v>
      </c>
      <c r="G709" t="s">
        <v>35</v>
      </c>
      <c r="H709" t="s">
        <v>36</v>
      </c>
      <c r="I709" t="s">
        <v>40</v>
      </c>
      <c r="J709" t="s">
        <v>27</v>
      </c>
      <c r="K709" t="s">
        <v>32</v>
      </c>
      <c r="L709" s="2">
        <v>3.2</v>
      </c>
      <c r="M709" s="3">
        <v>265</v>
      </c>
      <c r="N709">
        <v>1</v>
      </c>
      <c r="O709">
        <v>1</v>
      </c>
      <c r="P709">
        <v>1</v>
      </c>
      <c r="Q709">
        <v>0</v>
      </c>
      <c r="R709" s="4">
        <v>24.21</v>
      </c>
      <c r="S709">
        <v>0</v>
      </c>
      <c r="T709">
        <v>1</v>
      </c>
    </row>
    <row r="710" spans="1:20" ht="16.5" x14ac:dyDescent="0.3">
      <c r="A710" t="s">
        <v>754</v>
      </c>
      <c r="B710" s="1">
        <v>45398</v>
      </c>
      <c r="C710">
        <v>2024</v>
      </c>
      <c r="D710" t="s">
        <v>649</v>
      </c>
      <c r="E710" t="s">
        <v>650</v>
      </c>
      <c r="F710" t="s">
        <v>57</v>
      </c>
      <c r="G710" t="s">
        <v>24</v>
      </c>
      <c r="H710" t="s">
        <v>36</v>
      </c>
      <c r="I710" t="s">
        <v>26</v>
      </c>
      <c r="J710" t="s">
        <v>27</v>
      </c>
      <c r="K710" t="s">
        <v>32</v>
      </c>
      <c r="L710" s="2">
        <v>6.3</v>
      </c>
      <c r="M710" s="3">
        <v>265</v>
      </c>
      <c r="N710">
        <v>3</v>
      </c>
      <c r="O710">
        <v>3</v>
      </c>
      <c r="P710">
        <v>1</v>
      </c>
      <c r="Q710">
        <v>0</v>
      </c>
      <c r="R710" s="4">
        <v>13.46</v>
      </c>
      <c r="S710">
        <v>0</v>
      </c>
      <c r="T710">
        <v>1</v>
      </c>
    </row>
    <row r="711" spans="1:20" ht="16.5" x14ac:dyDescent="0.3">
      <c r="A711" t="s">
        <v>755</v>
      </c>
      <c r="B711" s="1">
        <v>45398</v>
      </c>
      <c r="C711">
        <v>2024</v>
      </c>
      <c r="D711" t="s">
        <v>649</v>
      </c>
      <c r="E711" t="s">
        <v>650</v>
      </c>
      <c r="F711" t="s">
        <v>23</v>
      </c>
      <c r="G711" t="s">
        <v>39</v>
      </c>
      <c r="H711" t="s">
        <v>25</v>
      </c>
      <c r="I711" t="s">
        <v>26</v>
      </c>
      <c r="J711" t="s">
        <v>27</v>
      </c>
      <c r="K711" t="s">
        <v>28</v>
      </c>
      <c r="L711" s="2">
        <v>150</v>
      </c>
      <c r="M711" s="3">
        <v>1077</v>
      </c>
      <c r="N711">
        <v>4</v>
      </c>
      <c r="O711">
        <v>4</v>
      </c>
      <c r="P711">
        <v>1</v>
      </c>
      <c r="Q711">
        <v>0</v>
      </c>
      <c r="R711" s="4">
        <v>72.930000000000007</v>
      </c>
      <c r="S711">
        <v>0</v>
      </c>
      <c r="T711">
        <v>1</v>
      </c>
    </row>
    <row r="712" spans="1:20" ht="16.5" x14ac:dyDescent="0.3">
      <c r="A712" t="s">
        <v>756</v>
      </c>
      <c r="B712" s="1">
        <v>45398</v>
      </c>
      <c r="C712">
        <v>2024</v>
      </c>
      <c r="D712" t="s">
        <v>649</v>
      </c>
      <c r="E712" t="s">
        <v>650</v>
      </c>
      <c r="F712" t="s">
        <v>34</v>
      </c>
      <c r="G712" t="s">
        <v>39</v>
      </c>
      <c r="H712" t="s">
        <v>48</v>
      </c>
      <c r="I712" t="s">
        <v>40</v>
      </c>
      <c r="J712" t="s">
        <v>27</v>
      </c>
      <c r="K712" t="s">
        <v>28</v>
      </c>
      <c r="L712" s="2">
        <v>35.9</v>
      </c>
      <c r="M712" s="3">
        <v>484</v>
      </c>
      <c r="N712">
        <v>2</v>
      </c>
      <c r="O712">
        <v>2</v>
      </c>
      <c r="P712">
        <v>1</v>
      </c>
      <c r="Q712">
        <v>0</v>
      </c>
      <c r="R712" s="4">
        <v>50.89</v>
      </c>
      <c r="S712">
        <v>0</v>
      </c>
      <c r="T712">
        <v>1</v>
      </c>
    </row>
    <row r="713" spans="1:20" ht="16.5" x14ac:dyDescent="0.3">
      <c r="A713" t="s">
        <v>757</v>
      </c>
      <c r="B713" s="1">
        <v>45398</v>
      </c>
      <c r="C713">
        <v>2024</v>
      </c>
      <c r="D713" t="s">
        <v>649</v>
      </c>
      <c r="E713" t="s">
        <v>650</v>
      </c>
      <c r="F713" t="s">
        <v>34</v>
      </c>
      <c r="G713" t="s">
        <v>39</v>
      </c>
      <c r="H713" t="s">
        <v>36</v>
      </c>
      <c r="I713" t="s">
        <v>26</v>
      </c>
      <c r="J713" t="s">
        <v>27</v>
      </c>
      <c r="K713" t="s">
        <v>32</v>
      </c>
      <c r="L713" s="2">
        <v>3</v>
      </c>
      <c r="M713" s="3">
        <v>276</v>
      </c>
      <c r="N713">
        <v>3</v>
      </c>
      <c r="O713">
        <v>3</v>
      </c>
      <c r="P713">
        <v>1</v>
      </c>
      <c r="Q713">
        <v>0</v>
      </c>
      <c r="R713" s="4">
        <v>10.43</v>
      </c>
      <c r="S713">
        <v>0</v>
      </c>
      <c r="T713">
        <v>1</v>
      </c>
    </row>
    <row r="714" spans="1:20" ht="16.5" x14ac:dyDescent="0.3">
      <c r="A714" t="s">
        <v>758</v>
      </c>
      <c r="B714" s="1">
        <v>45398</v>
      </c>
      <c r="C714">
        <v>2024</v>
      </c>
      <c r="D714" t="s">
        <v>649</v>
      </c>
      <c r="E714" t="s">
        <v>650</v>
      </c>
      <c r="F714" t="s">
        <v>57</v>
      </c>
      <c r="G714" t="s">
        <v>35</v>
      </c>
      <c r="H714" t="s">
        <v>51</v>
      </c>
      <c r="I714" t="s">
        <v>31</v>
      </c>
      <c r="J714" t="s">
        <v>27</v>
      </c>
      <c r="K714" t="s">
        <v>28</v>
      </c>
      <c r="L714" s="2">
        <v>59.4</v>
      </c>
      <c r="M714" s="3">
        <v>1233</v>
      </c>
      <c r="N714">
        <v>7</v>
      </c>
      <c r="O714">
        <v>7</v>
      </c>
      <c r="P714">
        <v>1</v>
      </c>
      <c r="Q714">
        <v>0</v>
      </c>
      <c r="R714" s="4">
        <v>38.549999999999997</v>
      </c>
      <c r="S714">
        <v>0</v>
      </c>
      <c r="T714">
        <v>1</v>
      </c>
    </row>
    <row r="715" spans="1:20" ht="16.5" x14ac:dyDescent="0.3">
      <c r="A715" t="s">
        <v>759</v>
      </c>
      <c r="B715" s="1">
        <v>45399</v>
      </c>
      <c r="C715">
        <v>2024</v>
      </c>
      <c r="D715" t="s">
        <v>649</v>
      </c>
      <c r="E715" t="s">
        <v>650</v>
      </c>
      <c r="F715" t="s">
        <v>30</v>
      </c>
      <c r="G715" t="s">
        <v>35</v>
      </c>
      <c r="H715" t="s">
        <v>48</v>
      </c>
      <c r="I715" t="s">
        <v>31</v>
      </c>
      <c r="J715" t="s">
        <v>27</v>
      </c>
      <c r="K715" t="s">
        <v>28</v>
      </c>
      <c r="L715" s="2">
        <v>212.2</v>
      </c>
      <c r="M715" s="3">
        <v>505</v>
      </c>
      <c r="N715">
        <v>6</v>
      </c>
      <c r="O715">
        <v>6</v>
      </c>
      <c r="P715">
        <v>1</v>
      </c>
      <c r="Q715">
        <v>0</v>
      </c>
      <c r="R715" s="4">
        <v>76.36</v>
      </c>
      <c r="S715">
        <v>0</v>
      </c>
      <c r="T715">
        <v>1</v>
      </c>
    </row>
    <row r="716" spans="1:20" ht="16.5" x14ac:dyDescent="0.3">
      <c r="A716" t="s">
        <v>760</v>
      </c>
      <c r="B716" s="1">
        <v>45399</v>
      </c>
      <c r="C716">
        <v>2024</v>
      </c>
      <c r="D716" t="s">
        <v>649</v>
      </c>
      <c r="E716" t="s">
        <v>650</v>
      </c>
      <c r="F716" t="s">
        <v>23</v>
      </c>
      <c r="G716" t="s">
        <v>39</v>
      </c>
      <c r="H716" t="s">
        <v>25</v>
      </c>
      <c r="I716" t="s">
        <v>31</v>
      </c>
      <c r="J716" t="s">
        <v>27</v>
      </c>
      <c r="K716" t="s">
        <v>32</v>
      </c>
      <c r="L716" s="2">
        <v>3.6</v>
      </c>
      <c r="M716" s="3">
        <v>846</v>
      </c>
      <c r="N716">
        <v>6</v>
      </c>
      <c r="O716">
        <v>6</v>
      </c>
      <c r="P716">
        <v>1</v>
      </c>
      <c r="Q716">
        <v>0</v>
      </c>
      <c r="R716" s="4">
        <v>13.57</v>
      </c>
      <c r="S716">
        <v>0</v>
      </c>
      <c r="T716">
        <v>1</v>
      </c>
    </row>
    <row r="717" spans="1:20" ht="16.5" x14ac:dyDescent="0.3">
      <c r="A717" t="s">
        <v>761</v>
      </c>
      <c r="B717" s="1">
        <v>45399</v>
      </c>
      <c r="C717">
        <v>2024</v>
      </c>
      <c r="D717" t="s">
        <v>649</v>
      </c>
      <c r="E717" t="s">
        <v>650</v>
      </c>
      <c r="F717" t="s">
        <v>34</v>
      </c>
      <c r="G717" t="s">
        <v>39</v>
      </c>
      <c r="H717" t="s">
        <v>36</v>
      </c>
      <c r="I717" t="s">
        <v>40</v>
      </c>
      <c r="J717" t="s">
        <v>27</v>
      </c>
      <c r="K717" t="s">
        <v>32</v>
      </c>
      <c r="L717" s="2">
        <v>12.8</v>
      </c>
      <c r="M717" s="3">
        <v>257</v>
      </c>
      <c r="N717">
        <v>1</v>
      </c>
      <c r="O717">
        <v>4</v>
      </c>
      <c r="P717">
        <v>0</v>
      </c>
      <c r="Q717">
        <v>3</v>
      </c>
      <c r="R717" s="4">
        <v>24.96</v>
      </c>
      <c r="S717">
        <v>0</v>
      </c>
      <c r="T717">
        <v>1</v>
      </c>
    </row>
    <row r="718" spans="1:20" ht="16.5" x14ac:dyDescent="0.3">
      <c r="A718" t="s">
        <v>762</v>
      </c>
      <c r="B718" s="1">
        <v>45399</v>
      </c>
      <c r="C718">
        <v>2024</v>
      </c>
      <c r="D718" t="s">
        <v>649</v>
      </c>
      <c r="E718" t="s">
        <v>650</v>
      </c>
      <c r="F718" t="s">
        <v>34</v>
      </c>
      <c r="G718" t="s">
        <v>24</v>
      </c>
      <c r="H718" t="s">
        <v>25</v>
      </c>
      <c r="I718" t="s">
        <v>26</v>
      </c>
      <c r="J718" t="s">
        <v>27</v>
      </c>
      <c r="K718" t="s">
        <v>32</v>
      </c>
      <c r="L718" s="2">
        <v>35.1</v>
      </c>
      <c r="M718" s="3">
        <v>903</v>
      </c>
      <c r="N718">
        <v>4</v>
      </c>
      <c r="O718">
        <v>4</v>
      </c>
      <c r="P718">
        <v>1</v>
      </c>
      <c r="Q718">
        <v>0</v>
      </c>
      <c r="R718" s="4">
        <v>27.92</v>
      </c>
      <c r="S718">
        <v>0</v>
      </c>
      <c r="T718">
        <v>1</v>
      </c>
    </row>
    <row r="719" spans="1:20" ht="16.5" x14ac:dyDescent="0.3">
      <c r="A719" t="s">
        <v>763</v>
      </c>
      <c r="B719" s="1">
        <v>45399</v>
      </c>
      <c r="C719">
        <v>2024</v>
      </c>
      <c r="D719" t="s">
        <v>649</v>
      </c>
      <c r="E719" t="s">
        <v>650</v>
      </c>
      <c r="F719" t="s">
        <v>23</v>
      </c>
      <c r="G719" t="s">
        <v>35</v>
      </c>
      <c r="H719" t="s">
        <v>25</v>
      </c>
      <c r="I719" t="s">
        <v>26</v>
      </c>
      <c r="J719" t="s">
        <v>27</v>
      </c>
      <c r="K719" t="s">
        <v>28</v>
      </c>
      <c r="L719" s="2">
        <v>90.8</v>
      </c>
      <c r="M719" s="3">
        <v>754</v>
      </c>
      <c r="N719">
        <v>4</v>
      </c>
      <c r="O719">
        <v>3</v>
      </c>
      <c r="P719">
        <v>1</v>
      </c>
      <c r="Q719">
        <v>0</v>
      </c>
      <c r="R719" s="4">
        <v>52.23</v>
      </c>
      <c r="S719">
        <v>0</v>
      </c>
      <c r="T719">
        <v>1</v>
      </c>
    </row>
    <row r="720" spans="1:20" ht="16.5" x14ac:dyDescent="0.3">
      <c r="A720" t="s">
        <v>764</v>
      </c>
      <c r="B720" s="1">
        <v>45399</v>
      </c>
      <c r="C720">
        <v>2024</v>
      </c>
      <c r="D720" t="s">
        <v>649</v>
      </c>
      <c r="E720" t="s">
        <v>650</v>
      </c>
      <c r="F720" t="s">
        <v>38</v>
      </c>
      <c r="G720" t="s">
        <v>39</v>
      </c>
      <c r="H720" t="s">
        <v>36</v>
      </c>
      <c r="I720" t="s">
        <v>26</v>
      </c>
      <c r="J720" t="s">
        <v>27</v>
      </c>
      <c r="K720" t="s">
        <v>32</v>
      </c>
      <c r="L720" s="2">
        <v>4.9000000000000004</v>
      </c>
      <c r="M720" s="3">
        <v>274</v>
      </c>
      <c r="N720">
        <v>3</v>
      </c>
      <c r="O720">
        <v>3</v>
      </c>
      <c r="P720">
        <v>1</v>
      </c>
      <c r="Q720">
        <v>0</v>
      </c>
      <c r="R720" s="4">
        <v>13.91</v>
      </c>
      <c r="S720">
        <v>0</v>
      </c>
      <c r="T720">
        <v>1</v>
      </c>
    </row>
    <row r="721" spans="1:20" ht="16.5" x14ac:dyDescent="0.3">
      <c r="A721" t="s">
        <v>765</v>
      </c>
      <c r="B721" s="1">
        <v>45399</v>
      </c>
      <c r="C721">
        <v>2024</v>
      </c>
      <c r="D721" t="s">
        <v>649</v>
      </c>
      <c r="E721" t="s">
        <v>650</v>
      </c>
      <c r="F721" t="s">
        <v>57</v>
      </c>
      <c r="G721" t="s">
        <v>24</v>
      </c>
      <c r="H721" t="s">
        <v>25</v>
      </c>
      <c r="I721" t="s">
        <v>26</v>
      </c>
      <c r="J721" t="s">
        <v>27</v>
      </c>
      <c r="K721" t="s">
        <v>32</v>
      </c>
      <c r="L721" s="2">
        <v>2</v>
      </c>
      <c r="M721" s="3">
        <v>939</v>
      </c>
      <c r="N721">
        <v>4</v>
      </c>
      <c r="O721">
        <v>6</v>
      </c>
      <c r="P721">
        <v>0</v>
      </c>
      <c r="Q721">
        <v>2</v>
      </c>
      <c r="R721" s="4">
        <v>19.8</v>
      </c>
      <c r="S721">
        <v>0</v>
      </c>
      <c r="T721">
        <v>1</v>
      </c>
    </row>
    <row r="722" spans="1:20" ht="16.5" x14ac:dyDescent="0.3">
      <c r="A722" t="s">
        <v>766</v>
      </c>
      <c r="B722" s="1">
        <v>45400</v>
      </c>
      <c r="C722">
        <v>2024</v>
      </c>
      <c r="D722" t="s">
        <v>649</v>
      </c>
      <c r="E722" t="s">
        <v>650</v>
      </c>
      <c r="F722" t="s">
        <v>23</v>
      </c>
      <c r="G722" t="s">
        <v>39</v>
      </c>
      <c r="H722" t="s">
        <v>43</v>
      </c>
      <c r="I722" t="s">
        <v>40</v>
      </c>
      <c r="J722" t="s">
        <v>41</v>
      </c>
      <c r="K722" t="s">
        <v>32</v>
      </c>
      <c r="L722" s="2">
        <v>6.8</v>
      </c>
      <c r="M722" s="3">
        <v>995</v>
      </c>
      <c r="N722">
        <v>3</v>
      </c>
      <c r="O722">
        <v>3</v>
      </c>
      <c r="P722">
        <v>1</v>
      </c>
      <c r="Q722">
        <v>0</v>
      </c>
      <c r="R722" s="4">
        <v>64.099999999999994</v>
      </c>
      <c r="S722">
        <v>0</v>
      </c>
      <c r="T722">
        <v>1</v>
      </c>
    </row>
    <row r="723" spans="1:20" ht="16.5" x14ac:dyDescent="0.3">
      <c r="A723" t="s">
        <v>767</v>
      </c>
      <c r="B723" s="1">
        <v>45400</v>
      </c>
      <c r="C723">
        <v>2024</v>
      </c>
      <c r="D723" t="s">
        <v>649</v>
      </c>
      <c r="E723" t="s">
        <v>650</v>
      </c>
      <c r="F723" t="s">
        <v>38</v>
      </c>
      <c r="G723" t="s">
        <v>35</v>
      </c>
      <c r="H723" t="s">
        <v>36</v>
      </c>
      <c r="I723" t="s">
        <v>40</v>
      </c>
      <c r="J723" t="s">
        <v>27</v>
      </c>
      <c r="K723" t="s">
        <v>32</v>
      </c>
      <c r="L723" s="2">
        <v>1.9</v>
      </c>
      <c r="M723" s="3">
        <v>277</v>
      </c>
      <c r="N723">
        <v>1</v>
      </c>
      <c r="O723">
        <v>1</v>
      </c>
      <c r="P723">
        <v>1</v>
      </c>
      <c r="Q723">
        <v>0</v>
      </c>
      <c r="R723" s="4">
        <v>24.46</v>
      </c>
      <c r="S723">
        <v>0</v>
      </c>
      <c r="T723">
        <v>1</v>
      </c>
    </row>
    <row r="724" spans="1:20" ht="16.5" x14ac:dyDescent="0.3">
      <c r="A724" t="s">
        <v>768</v>
      </c>
      <c r="B724" s="1">
        <v>45400</v>
      </c>
      <c r="C724">
        <v>2024</v>
      </c>
      <c r="D724" t="s">
        <v>649</v>
      </c>
      <c r="E724" t="s">
        <v>650</v>
      </c>
      <c r="F724" t="s">
        <v>23</v>
      </c>
      <c r="G724" t="s">
        <v>39</v>
      </c>
      <c r="H724" t="s">
        <v>25</v>
      </c>
      <c r="I724" t="s">
        <v>40</v>
      </c>
      <c r="J724" t="s">
        <v>41</v>
      </c>
      <c r="K724" t="s">
        <v>32</v>
      </c>
      <c r="L724" s="2">
        <v>9.6999999999999993</v>
      </c>
      <c r="M724" s="3">
        <v>1082</v>
      </c>
      <c r="N724">
        <v>2</v>
      </c>
      <c r="O724">
        <v>1</v>
      </c>
      <c r="P724">
        <v>1</v>
      </c>
      <c r="Q724">
        <v>0</v>
      </c>
      <c r="R724" s="4">
        <v>73.87</v>
      </c>
      <c r="S724">
        <v>0</v>
      </c>
      <c r="T724">
        <v>1</v>
      </c>
    </row>
    <row r="725" spans="1:20" ht="16.5" x14ac:dyDescent="0.3">
      <c r="A725" t="s">
        <v>769</v>
      </c>
      <c r="B725" s="1">
        <v>45400</v>
      </c>
      <c r="C725">
        <v>2024</v>
      </c>
      <c r="D725" t="s">
        <v>649</v>
      </c>
      <c r="E725" t="s">
        <v>650</v>
      </c>
      <c r="F725" t="s">
        <v>38</v>
      </c>
      <c r="G725" t="s">
        <v>35</v>
      </c>
      <c r="H725" t="s">
        <v>36</v>
      </c>
      <c r="I725" t="s">
        <v>26</v>
      </c>
      <c r="J725" t="s">
        <v>27</v>
      </c>
      <c r="K725" t="s">
        <v>32</v>
      </c>
      <c r="L725" s="2">
        <v>13</v>
      </c>
      <c r="M725" s="3">
        <v>301</v>
      </c>
      <c r="N725">
        <v>3</v>
      </c>
      <c r="O725">
        <v>3</v>
      </c>
      <c r="P725">
        <v>1</v>
      </c>
      <c r="Q725">
        <v>0</v>
      </c>
      <c r="R725" s="4">
        <v>18.07</v>
      </c>
      <c r="S725">
        <v>0</v>
      </c>
      <c r="T725">
        <v>1</v>
      </c>
    </row>
    <row r="726" spans="1:20" ht="16.5" x14ac:dyDescent="0.3">
      <c r="A726" t="s">
        <v>770</v>
      </c>
      <c r="B726" s="1">
        <v>45400</v>
      </c>
      <c r="C726">
        <v>2024</v>
      </c>
      <c r="D726" t="s">
        <v>649</v>
      </c>
      <c r="E726" t="s">
        <v>650</v>
      </c>
      <c r="F726" t="s">
        <v>57</v>
      </c>
      <c r="G726" t="s">
        <v>35</v>
      </c>
      <c r="H726" t="s">
        <v>43</v>
      </c>
      <c r="I726" t="s">
        <v>26</v>
      </c>
      <c r="J726" t="s">
        <v>27</v>
      </c>
      <c r="K726" t="s">
        <v>32</v>
      </c>
      <c r="L726" s="2">
        <v>8.1</v>
      </c>
      <c r="M726" s="3">
        <v>1301</v>
      </c>
      <c r="N726">
        <v>5</v>
      </c>
      <c r="O726">
        <v>5</v>
      </c>
      <c r="P726">
        <v>1</v>
      </c>
      <c r="Q726">
        <v>0</v>
      </c>
      <c r="R726" s="4">
        <v>28.68</v>
      </c>
      <c r="S726">
        <v>0</v>
      </c>
      <c r="T726">
        <v>1</v>
      </c>
    </row>
    <row r="727" spans="1:20" ht="16.5" x14ac:dyDescent="0.3">
      <c r="A727" t="s">
        <v>771</v>
      </c>
      <c r="B727" s="1">
        <v>45400</v>
      </c>
      <c r="C727">
        <v>2024</v>
      </c>
      <c r="D727" t="s">
        <v>649</v>
      </c>
      <c r="E727" t="s">
        <v>650</v>
      </c>
      <c r="F727" t="s">
        <v>57</v>
      </c>
      <c r="G727" t="s">
        <v>35</v>
      </c>
      <c r="H727" t="s">
        <v>25</v>
      </c>
      <c r="I727" t="s">
        <v>40</v>
      </c>
      <c r="J727" t="s">
        <v>41</v>
      </c>
      <c r="K727" t="s">
        <v>32</v>
      </c>
      <c r="L727" s="2">
        <v>13.6</v>
      </c>
      <c r="M727" s="3">
        <v>925</v>
      </c>
      <c r="N727">
        <v>2</v>
      </c>
      <c r="O727">
        <v>2</v>
      </c>
      <c r="P727">
        <v>1</v>
      </c>
      <c r="Q727">
        <v>0</v>
      </c>
      <c r="R727" s="4">
        <v>72.12</v>
      </c>
      <c r="S727">
        <v>0</v>
      </c>
      <c r="T727">
        <v>1</v>
      </c>
    </row>
    <row r="728" spans="1:20" ht="16.5" x14ac:dyDescent="0.3">
      <c r="A728" t="s">
        <v>772</v>
      </c>
      <c r="B728" s="1">
        <v>45400</v>
      </c>
      <c r="C728">
        <v>2024</v>
      </c>
      <c r="D728" t="s">
        <v>649</v>
      </c>
      <c r="E728" t="s">
        <v>650</v>
      </c>
      <c r="F728" t="s">
        <v>57</v>
      </c>
      <c r="G728" t="s">
        <v>39</v>
      </c>
      <c r="H728" t="s">
        <v>36</v>
      </c>
      <c r="I728" t="s">
        <v>31</v>
      </c>
      <c r="J728" t="s">
        <v>27</v>
      </c>
      <c r="K728" t="s">
        <v>32</v>
      </c>
      <c r="L728" s="2">
        <v>9.6</v>
      </c>
      <c r="M728" s="3">
        <v>211</v>
      </c>
      <c r="N728">
        <v>5</v>
      </c>
      <c r="O728">
        <v>9</v>
      </c>
      <c r="P728">
        <v>0</v>
      </c>
      <c r="Q728">
        <v>4</v>
      </c>
      <c r="R728" s="4">
        <v>11.82</v>
      </c>
      <c r="S728">
        <v>0</v>
      </c>
      <c r="T728">
        <v>1</v>
      </c>
    </row>
    <row r="729" spans="1:20" ht="16.5" x14ac:dyDescent="0.3">
      <c r="A729" t="s">
        <v>773</v>
      </c>
      <c r="B729" s="1">
        <v>45400</v>
      </c>
      <c r="C729">
        <v>2024</v>
      </c>
      <c r="D729" t="s">
        <v>649</v>
      </c>
      <c r="E729" t="s">
        <v>650</v>
      </c>
      <c r="F729" t="s">
        <v>23</v>
      </c>
      <c r="G729" t="s">
        <v>35</v>
      </c>
      <c r="H729" t="s">
        <v>36</v>
      </c>
      <c r="I729" t="s">
        <v>26</v>
      </c>
      <c r="J729" t="s">
        <v>27</v>
      </c>
      <c r="K729" t="s">
        <v>32</v>
      </c>
      <c r="L729" s="2">
        <v>4.8</v>
      </c>
      <c r="M729" s="3">
        <v>212</v>
      </c>
      <c r="N729">
        <v>3</v>
      </c>
      <c r="O729">
        <v>2</v>
      </c>
      <c r="P729">
        <v>1</v>
      </c>
      <c r="Q729">
        <v>0</v>
      </c>
      <c r="R729" s="4">
        <v>10.43</v>
      </c>
      <c r="S729">
        <v>0</v>
      </c>
      <c r="T729">
        <v>1</v>
      </c>
    </row>
    <row r="730" spans="1:20" ht="16.5" x14ac:dyDescent="0.3">
      <c r="A730" t="s">
        <v>774</v>
      </c>
      <c r="B730" s="1">
        <v>45401</v>
      </c>
      <c r="C730">
        <v>2024</v>
      </c>
      <c r="D730" t="s">
        <v>649</v>
      </c>
      <c r="E730" t="s">
        <v>650</v>
      </c>
      <c r="F730" t="s">
        <v>57</v>
      </c>
      <c r="G730" t="s">
        <v>24</v>
      </c>
      <c r="H730" t="s">
        <v>51</v>
      </c>
      <c r="I730" t="s">
        <v>40</v>
      </c>
      <c r="J730" t="s">
        <v>41</v>
      </c>
      <c r="K730" t="s">
        <v>32</v>
      </c>
      <c r="L730" s="2">
        <v>1.1000000000000001</v>
      </c>
      <c r="M730" s="3">
        <v>976</v>
      </c>
      <c r="N730">
        <v>3</v>
      </c>
      <c r="O730">
        <v>3</v>
      </c>
      <c r="P730">
        <v>1</v>
      </c>
      <c r="Q730">
        <v>0</v>
      </c>
      <c r="R730" s="4">
        <v>59.08</v>
      </c>
      <c r="S730">
        <v>0</v>
      </c>
      <c r="T730">
        <v>1</v>
      </c>
    </row>
    <row r="731" spans="1:20" ht="16.5" x14ac:dyDescent="0.3">
      <c r="A731" t="s">
        <v>775</v>
      </c>
      <c r="B731" s="1">
        <v>45401</v>
      </c>
      <c r="C731">
        <v>2024</v>
      </c>
      <c r="D731" t="s">
        <v>649</v>
      </c>
      <c r="E731" t="s">
        <v>650</v>
      </c>
      <c r="F731" t="s">
        <v>34</v>
      </c>
      <c r="G731" t="s">
        <v>39</v>
      </c>
      <c r="H731" t="s">
        <v>36</v>
      </c>
      <c r="I731" t="s">
        <v>26</v>
      </c>
      <c r="J731" t="s">
        <v>27</v>
      </c>
      <c r="K731" t="s">
        <v>28</v>
      </c>
      <c r="L731" s="2">
        <v>158.1</v>
      </c>
      <c r="M731" s="3">
        <v>219</v>
      </c>
      <c r="N731">
        <v>3</v>
      </c>
      <c r="O731">
        <v>3</v>
      </c>
      <c r="P731">
        <v>1</v>
      </c>
      <c r="Q731">
        <v>0</v>
      </c>
      <c r="R731" s="4">
        <v>57.83</v>
      </c>
      <c r="S731">
        <v>0</v>
      </c>
      <c r="T731">
        <v>1</v>
      </c>
    </row>
    <row r="732" spans="1:20" ht="16.5" x14ac:dyDescent="0.3">
      <c r="A732" t="s">
        <v>776</v>
      </c>
      <c r="B732" s="1">
        <v>45401</v>
      </c>
      <c r="C732">
        <v>2024</v>
      </c>
      <c r="D732" t="s">
        <v>649</v>
      </c>
      <c r="E732" t="s">
        <v>650</v>
      </c>
      <c r="F732" t="s">
        <v>57</v>
      </c>
      <c r="G732" t="s">
        <v>24</v>
      </c>
      <c r="H732" t="s">
        <v>36</v>
      </c>
      <c r="I732" t="s">
        <v>26</v>
      </c>
      <c r="J732" t="s">
        <v>27</v>
      </c>
      <c r="K732" t="s">
        <v>28</v>
      </c>
      <c r="L732" s="2">
        <v>249.8</v>
      </c>
      <c r="M732" s="3">
        <v>259</v>
      </c>
      <c r="N732">
        <v>3</v>
      </c>
      <c r="O732">
        <v>5</v>
      </c>
      <c r="P732">
        <v>0</v>
      </c>
      <c r="Q732">
        <v>2</v>
      </c>
      <c r="R732" s="4">
        <v>122.47</v>
      </c>
      <c r="S732">
        <v>0</v>
      </c>
      <c r="T732">
        <v>1</v>
      </c>
    </row>
    <row r="733" spans="1:20" ht="16.5" x14ac:dyDescent="0.3">
      <c r="A733" t="s">
        <v>777</v>
      </c>
      <c r="B733" s="1">
        <v>45401</v>
      </c>
      <c r="C733">
        <v>2024</v>
      </c>
      <c r="D733" t="s">
        <v>649</v>
      </c>
      <c r="E733" t="s">
        <v>650</v>
      </c>
      <c r="F733" t="s">
        <v>30</v>
      </c>
      <c r="G733" t="s">
        <v>24</v>
      </c>
      <c r="H733" t="s">
        <v>36</v>
      </c>
      <c r="I733" t="s">
        <v>26</v>
      </c>
      <c r="J733" t="s">
        <v>27</v>
      </c>
      <c r="K733" t="s">
        <v>32</v>
      </c>
      <c r="L733" s="2">
        <v>12.5</v>
      </c>
      <c r="M733" s="3">
        <v>274</v>
      </c>
      <c r="N733">
        <v>3</v>
      </c>
      <c r="O733">
        <v>3</v>
      </c>
      <c r="P733">
        <v>1</v>
      </c>
      <c r="Q733">
        <v>0</v>
      </c>
      <c r="R733" s="4">
        <v>18.760000000000002</v>
      </c>
      <c r="S733">
        <v>0</v>
      </c>
      <c r="T733">
        <v>1</v>
      </c>
    </row>
    <row r="734" spans="1:20" ht="16.5" x14ac:dyDescent="0.3">
      <c r="A734" t="s">
        <v>778</v>
      </c>
      <c r="B734" s="1">
        <v>45401</v>
      </c>
      <c r="C734">
        <v>2024</v>
      </c>
      <c r="D734" t="s">
        <v>649</v>
      </c>
      <c r="E734" t="s">
        <v>650</v>
      </c>
      <c r="F734" t="s">
        <v>23</v>
      </c>
      <c r="G734" t="s">
        <v>39</v>
      </c>
      <c r="H734" t="s">
        <v>25</v>
      </c>
      <c r="I734" t="s">
        <v>26</v>
      </c>
      <c r="J734" t="s">
        <v>27</v>
      </c>
      <c r="K734" t="s">
        <v>28</v>
      </c>
      <c r="L734" s="2">
        <v>102</v>
      </c>
      <c r="M734" s="3">
        <v>814</v>
      </c>
      <c r="N734">
        <v>4</v>
      </c>
      <c r="O734">
        <v>4</v>
      </c>
      <c r="P734">
        <v>1</v>
      </c>
      <c r="Q734">
        <v>0</v>
      </c>
      <c r="R734" s="4">
        <v>62.1</v>
      </c>
      <c r="S734">
        <v>0</v>
      </c>
      <c r="T734">
        <v>1</v>
      </c>
    </row>
    <row r="735" spans="1:20" ht="16.5" x14ac:dyDescent="0.3">
      <c r="A735" t="s">
        <v>779</v>
      </c>
      <c r="B735" s="1">
        <v>45401</v>
      </c>
      <c r="C735">
        <v>2024</v>
      </c>
      <c r="D735" t="s">
        <v>649</v>
      </c>
      <c r="E735" t="s">
        <v>650</v>
      </c>
      <c r="F735" t="s">
        <v>57</v>
      </c>
      <c r="G735" t="s">
        <v>39</v>
      </c>
      <c r="H735" t="s">
        <v>43</v>
      </c>
      <c r="I735" t="s">
        <v>40</v>
      </c>
      <c r="J735" t="s">
        <v>41</v>
      </c>
      <c r="K735" t="s">
        <v>28</v>
      </c>
      <c r="L735" s="2">
        <v>130.9</v>
      </c>
      <c r="M735" s="3">
        <v>1083</v>
      </c>
      <c r="N735">
        <v>3</v>
      </c>
      <c r="O735">
        <v>2</v>
      </c>
      <c r="P735">
        <v>1</v>
      </c>
      <c r="Q735">
        <v>0</v>
      </c>
      <c r="R735" s="4">
        <v>219.17</v>
      </c>
      <c r="S735">
        <v>0</v>
      </c>
      <c r="T735">
        <v>1</v>
      </c>
    </row>
    <row r="736" spans="1:20" ht="16.5" x14ac:dyDescent="0.3">
      <c r="A736" t="s">
        <v>780</v>
      </c>
      <c r="B736" s="1">
        <v>45402</v>
      </c>
      <c r="C736">
        <v>2024</v>
      </c>
      <c r="D736" t="s">
        <v>649</v>
      </c>
      <c r="E736" t="s">
        <v>650</v>
      </c>
      <c r="F736" t="s">
        <v>30</v>
      </c>
      <c r="G736" t="s">
        <v>35</v>
      </c>
      <c r="H736" t="s">
        <v>36</v>
      </c>
      <c r="I736" t="s">
        <v>40</v>
      </c>
      <c r="J736" t="s">
        <v>27</v>
      </c>
      <c r="K736" t="s">
        <v>28</v>
      </c>
      <c r="L736" s="2">
        <v>150.80000000000001</v>
      </c>
      <c r="M736" s="3">
        <v>236</v>
      </c>
      <c r="N736">
        <v>1</v>
      </c>
      <c r="O736">
        <v>1</v>
      </c>
      <c r="P736">
        <v>1</v>
      </c>
      <c r="Q736">
        <v>0</v>
      </c>
      <c r="R736" s="4">
        <v>148.41</v>
      </c>
      <c r="S736">
        <v>0</v>
      </c>
      <c r="T736">
        <v>1</v>
      </c>
    </row>
    <row r="737" spans="1:20" ht="16.5" x14ac:dyDescent="0.3">
      <c r="A737" t="s">
        <v>781</v>
      </c>
      <c r="B737" s="1">
        <v>45402</v>
      </c>
      <c r="C737">
        <v>2024</v>
      </c>
      <c r="D737" t="s">
        <v>649</v>
      </c>
      <c r="E737" t="s">
        <v>650</v>
      </c>
      <c r="F737" t="s">
        <v>30</v>
      </c>
      <c r="G737" t="s">
        <v>39</v>
      </c>
      <c r="H737" t="s">
        <v>36</v>
      </c>
      <c r="I737" t="s">
        <v>26</v>
      </c>
      <c r="J737" t="s">
        <v>27</v>
      </c>
      <c r="K737" t="s">
        <v>28</v>
      </c>
      <c r="L737" s="2">
        <v>34.799999999999997</v>
      </c>
      <c r="M737" s="3">
        <v>284</v>
      </c>
      <c r="N737">
        <v>3</v>
      </c>
      <c r="O737">
        <v>3</v>
      </c>
      <c r="P737">
        <v>1</v>
      </c>
      <c r="Q737">
        <v>0</v>
      </c>
      <c r="R737" s="4">
        <v>33.26</v>
      </c>
      <c r="S737">
        <v>0</v>
      </c>
      <c r="T737">
        <v>1</v>
      </c>
    </row>
    <row r="738" spans="1:20" ht="16.5" x14ac:dyDescent="0.3">
      <c r="A738" t="s">
        <v>782</v>
      </c>
      <c r="B738" s="1">
        <v>45402</v>
      </c>
      <c r="C738">
        <v>2024</v>
      </c>
      <c r="D738" t="s">
        <v>649</v>
      </c>
      <c r="E738" t="s">
        <v>650</v>
      </c>
      <c r="F738" t="s">
        <v>38</v>
      </c>
      <c r="G738" t="s">
        <v>24</v>
      </c>
      <c r="H738" t="s">
        <v>51</v>
      </c>
      <c r="I738" t="s">
        <v>40</v>
      </c>
      <c r="J738" t="s">
        <v>41</v>
      </c>
      <c r="K738" t="s">
        <v>32</v>
      </c>
      <c r="L738" s="2">
        <v>6.1</v>
      </c>
      <c r="M738" s="3">
        <v>892</v>
      </c>
      <c r="N738">
        <v>3</v>
      </c>
      <c r="O738">
        <v>3</v>
      </c>
      <c r="P738">
        <v>1</v>
      </c>
      <c r="Q738">
        <v>0</v>
      </c>
      <c r="R738" s="4">
        <v>68.59</v>
      </c>
      <c r="S738">
        <v>0</v>
      </c>
      <c r="T738">
        <v>1</v>
      </c>
    </row>
    <row r="739" spans="1:20" ht="16.5" x14ac:dyDescent="0.3">
      <c r="A739" t="s">
        <v>783</v>
      </c>
      <c r="B739" s="1">
        <v>45402</v>
      </c>
      <c r="C739">
        <v>2024</v>
      </c>
      <c r="D739" t="s">
        <v>649</v>
      </c>
      <c r="E739" t="s">
        <v>650</v>
      </c>
      <c r="F739" t="s">
        <v>38</v>
      </c>
      <c r="G739" t="s">
        <v>39</v>
      </c>
      <c r="H739" t="s">
        <v>25</v>
      </c>
      <c r="I739" t="s">
        <v>26</v>
      </c>
      <c r="J739" t="s">
        <v>27</v>
      </c>
      <c r="K739" t="s">
        <v>32</v>
      </c>
      <c r="L739" s="2">
        <v>1.7</v>
      </c>
      <c r="M739" s="3">
        <v>866</v>
      </c>
      <c r="N739">
        <v>4</v>
      </c>
      <c r="O739">
        <v>4</v>
      </c>
      <c r="P739">
        <v>1</v>
      </c>
      <c r="Q739">
        <v>0</v>
      </c>
      <c r="R739" s="4">
        <v>19.46</v>
      </c>
      <c r="S739">
        <v>0</v>
      </c>
      <c r="T739">
        <v>1</v>
      </c>
    </row>
    <row r="740" spans="1:20" ht="16.5" x14ac:dyDescent="0.3">
      <c r="A740" t="s">
        <v>784</v>
      </c>
      <c r="B740" s="1">
        <v>45402</v>
      </c>
      <c r="C740">
        <v>2024</v>
      </c>
      <c r="D740" t="s">
        <v>649</v>
      </c>
      <c r="E740" t="s">
        <v>650</v>
      </c>
      <c r="F740" t="s">
        <v>30</v>
      </c>
      <c r="G740" t="s">
        <v>39</v>
      </c>
      <c r="H740" t="s">
        <v>36</v>
      </c>
      <c r="I740" t="s">
        <v>40</v>
      </c>
      <c r="J740" t="s">
        <v>27</v>
      </c>
      <c r="K740" t="s">
        <v>28</v>
      </c>
      <c r="L740" s="2">
        <v>102.8</v>
      </c>
      <c r="M740" s="3">
        <v>292</v>
      </c>
      <c r="N740">
        <v>1</v>
      </c>
      <c r="O740">
        <v>1</v>
      </c>
      <c r="P740">
        <v>1</v>
      </c>
      <c r="Q740">
        <v>0</v>
      </c>
      <c r="R740" s="4">
        <v>115.3</v>
      </c>
      <c r="S740">
        <v>0</v>
      </c>
      <c r="T740">
        <v>1</v>
      </c>
    </row>
    <row r="741" spans="1:20" ht="16.5" x14ac:dyDescent="0.3">
      <c r="A741" t="s">
        <v>785</v>
      </c>
      <c r="B741" s="1">
        <v>45403</v>
      </c>
      <c r="C741">
        <v>2024</v>
      </c>
      <c r="D741" t="s">
        <v>649</v>
      </c>
      <c r="E741" t="s">
        <v>650</v>
      </c>
      <c r="F741" t="s">
        <v>57</v>
      </c>
      <c r="G741" t="s">
        <v>35</v>
      </c>
      <c r="H741" t="s">
        <v>36</v>
      </c>
      <c r="I741" t="s">
        <v>40</v>
      </c>
      <c r="J741" t="s">
        <v>27</v>
      </c>
      <c r="K741" t="s">
        <v>32</v>
      </c>
      <c r="L741" s="2">
        <v>9.6999999999999993</v>
      </c>
      <c r="M741" s="3">
        <v>224</v>
      </c>
      <c r="N741">
        <v>1</v>
      </c>
      <c r="O741">
        <v>3</v>
      </c>
      <c r="P741">
        <v>0</v>
      </c>
      <c r="Q741">
        <v>2</v>
      </c>
      <c r="R741" s="4">
        <v>26.95</v>
      </c>
      <c r="S741">
        <v>0</v>
      </c>
      <c r="T741">
        <v>1</v>
      </c>
    </row>
    <row r="742" spans="1:20" ht="16.5" x14ac:dyDescent="0.3">
      <c r="A742" t="s">
        <v>786</v>
      </c>
      <c r="B742" s="1">
        <v>45403</v>
      </c>
      <c r="C742">
        <v>2024</v>
      </c>
      <c r="D742" t="s">
        <v>649</v>
      </c>
      <c r="E742" t="s">
        <v>650</v>
      </c>
      <c r="F742" t="s">
        <v>38</v>
      </c>
      <c r="G742" t="s">
        <v>24</v>
      </c>
      <c r="H742" t="s">
        <v>25</v>
      </c>
      <c r="I742" t="s">
        <v>31</v>
      </c>
      <c r="J742" t="s">
        <v>27</v>
      </c>
      <c r="K742" t="s">
        <v>32</v>
      </c>
      <c r="L742" s="2">
        <v>6.6</v>
      </c>
      <c r="M742" s="3">
        <v>1197</v>
      </c>
      <c r="N742">
        <v>6</v>
      </c>
      <c r="O742">
        <v>6</v>
      </c>
      <c r="P742">
        <v>1</v>
      </c>
      <c r="Q742">
        <v>0</v>
      </c>
      <c r="R742" s="4">
        <v>18</v>
      </c>
      <c r="S742">
        <v>0</v>
      </c>
      <c r="T742">
        <v>1</v>
      </c>
    </row>
    <row r="743" spans="1:20" ht="16.5" x14ac:dyDescent="0.3">
      <c r="A743" t="s">
        <v>787</v>
      </c>
      <c r="B743" s="1">
        <v>45403</v>
      </c>
      <c r="C743">
        <v>2024</v>
      </c>
      <c r="D743" t="s">
        <v>649</v>
      </c>
      <c r="E743" t="s">
        <v>650</v>
      </c>
      <c r="F743" t="s">
        <v>23</v>
      </c>
      <c r="G743" t="s">
        <v>35</v>
      </c>
      <c r="H743" t="s">
        <v>25</v>
      </c>
      <c r="I743" t="s">
        <v>40</v>
      </c>
      <c r="J743" t="s">
        <v>41</v>
      </c>
      <c r="K743" t="s">
        <v>32</v>
      </c>
      <c r="L743" s="2">
        <v>15.7</v>
      </c>
      <c r="M743" s="3">
        <v>828</v>
      </c>
      <c r="N743">
        <v>2</v>
      </c>
      <c r="O743">
        <v>1</v>
      </c>
      <c r="P743">
        <v>1</v>
      </c>
      <c r="Q743">
        <v>0</v>
      </c>
      <c r="R743" s="4">
        <v>75.98</v>
      </c>
      <c r="S743">
        <v>0</v>
      </c>
      <c r="T743">
        <v>1</v>
      </c>
    </row>
    <row r="744" spans="1:20" ht="16.5" x14ac:dyDescent="0.3">
      <c r="A744" t="s">
        <v>788</v>
      </c>
      <c r="B744" s="1">
        <v>45403</v>
      </c>
      <c r="C744">
        <v>2024</v>
      </c>
      <c r="D744" t="s">
        <v>649</v>
      </c>
      <c r="E744" t="s">
        <v>650</v>
      </c>
      <c r="F744" t="s">
        <v>34</v>
      </c>
      <c r="G744" t="s">
        <v>39</v>
      </c>
      <c r="H744" t="s">
        <v>43</v>
      </c>
      <c r="I744" t="s">
        <v>40</v>
      </c>
      <c r="J744" t="s">
        <v>41</v>
      </c>
      <c r="K744" t="s">
        <v>28</v>
      </c>
      <c r="L744" s="2">
        <v>307.3</v>
      </c>
      <c r="M744" s="3">
        <v>1310</v>
      </c>
      <c r="N744">
        <v>3</v>
      </c>
      <c r="O744">
        <v>2</v>
      </c>
      <c r="P744">
        <v>1</v>
      </c>
      <c r="Q744">
        <v>0</v>
      </c>
      <c r="R744" s="4">
        <v>352.55</v>
      </c>
      <c r="S744">
        <v>0</v>
      </c>
      <c r="T744">
        <v>1</v>
      </c>
    </row>
    <row r="745" spans="1:20" ht="16.5" x14ac:dyDescent="0.3">
      <c r="A745" t="s">
        <v>789</v>
      </c>
      <c r="B745" s="1">
        <v>45403</v>
      </c>
      <c r="C745">
        <v>2024</v>
      </c>
      <c r="D745" t="s">
        <v>649</v>
      </c>
      <c r="E745" t="s">
        <v>650</v>
      </c>
      <c r="F745" t="s">
        <v>34</v>
      </c>
      <c r="G745" t="s">
        <v>24</v>
      </c>
      <c r="H745" t="s">
        <v>51</v>
      </c>
      <c r="I745" t="s">
        <v>26</v>
      </c>
      <c r="J745" t="s">
        <v>27</v>
      </c>
      <c r="K745" t="s">
        <v>32</v>
      </c>
      <c r="L745" s="2">
        <v>13.1</v>
      </c>
      <c r="M745" s="3">
        <v>1117</v>
      </c>
      <c r="N745">
        <v>5</v>
      </c>
      <c r="O745">
        <v>5</v>
      </c>
      <c r="P745">
        <v>1</v>
      </c>
      <c r="Q745">
        <v>0</v>
      </c>
      <c r="R745" s="4">
        <v>24.67</v>
      </c>
      <c r="S745">
        <v>0</v>
      </c>
      <c r="T745">
        <v>1</v>
      </c>
    </row>
    <row r="746" spans="1:20" ht="16.5" x14ac:dyDescent="0.3">
      <c r="A746" t="s">
        <v>790</v>
      </c>
      <c r="B746" s="1">
        <v>45403</v>
      </c>
      <c r="C746">
        <v>2024</v>
      </c>
      <c r="D746" t="s">
        <v>649</v>
      </c>
      <c r="E746" t="s">
        <v>650</v>
      </c>
      <c r="F746" t="s">
        <v>57</v>
      </c>
      <c r="G746" t="s">
        <v>39</v>
      </c>
      <c r="H746" t="s">
        <v>25</v>
      </c>
      <c r="I746" t="s">
        <v>26</v>
      </c>
      <c r="J746" t="s">
        <v>27</v>
      </c>
      <c r="K746" t="s">
        <v>32</v>
      </c>
      <c r="L746" s="2">
        <v>2.9</v>
      </c>
      <c r="M746" s="3">
        <v>849</v>
      </c>
      <c r="N746">
        <v>4</v>
      </c>
      <c r="O746">
        <v>4</v>
      </c>
      <c r="P746">
        <v>1</v>
      </c>
      <c r="Q746">
        <v>0</v>
      </c>
      <c r="R746" s="4">
        <v>16.829999999999998</v>
      </c>
      <c r="S746">
        <v>0</v>
      </c>
      <c r="T746">
        <v>1</v>
      </c>
    </row>
    <row r="747" spans="1:20" ht="16.5" x14ac:dyDescent="0.3">
      <c r="A747" t="s">
        <v>791</v>
      </c>
      <c r="B747" s="1">
        <v>45403</v>
      </c>
      <c r="C747">
        <v>2024</v>
      </c>
      <c r="D747" t="s">
        <v>649</v>
      </c>
      <c r="E747" t="s">
        <v>650</v>
      </c>
      <c r="F747" t="s">
        <v>57</v>
      </c>
      <c r="G747" t="s">
        <v>35</v>
      </c>
      <c r="H747" t="s">
        <v>25</v>
      </c>
      <c r="I747" t="s">
        <v>26</v>
      </c>
      <c r="J747" t="s">
        <v>27</v>
      </c>
      <c r="K747" t="s">
        <v>32</v>
      </c>
      <c r="L747" s="2">
        <v>8.6999999999999993</v>
      </c>
      <c r="M747" s="3">
        <v>802</v>
      </c>
      <c r="N747">
        <v>4</v>
      </c>
      <c r="O747">
        <v>4</v>
      </c>
      <c r="P747">
        <v>1</v>
      </c>
      <c r="Q747">
        <v>0</v>
      </c>
      <c r="R747" s="4">
        <v>22.32</v>
      </c>
      <c r="S747">
        <v>0</v>
      </c>
      <c r="T747">
        <v>1</v>
      </c>
    </row>
    <row r="748" spans="1:20" ht="16.5" x14ac:dyDescent="0.3">
      <c r="A748" t="s">
        <v>792</v>
      </c>
      <c r="B748" s="1">
        <v>45403</v>
      </c>
      <c r="C748">
        <v>2024</v>
      </c>
      <c r="D748" t="s">
        <v>649</v>
      </c>
      <c r="E748" t="s">
        <v>650</v>
      </c>
      <c r="F748" t="s">
        <v>38</v>
      </c>
      <c r="G748" t="s">
        <v>39</v>
      </c>
      <c r="H748" t="s">
        <v>36</v>
      </c>
      <c r="I748" t="s">
        <v>26</v>
      </c>
      <c r="J748" t="s">
        <v>27</v>
      </c>
      <c r="K748" t="s">
        <v>32</v>
      </c>
      <c r="L748" s="2">
        <v>9.6999999999999993</v>
      </c>
      <c r="M748" s="3">
        <v>181</v>
      </c>
      <c r="N748">
        <v>3</v>
      </c>
      <c r="O748">
        <v>3</v>
      </c>
      <c r="P748">
        <v>1</v>
      </c>
      <c r="Q748">
        <v>0</v>
      </c>
      <c r="R748" s="4">
        <v>14.75</v>
      </c>
      <c r="S748">
        <v>0</v>
      </c>
      <c r="T748">
        <v>1</v>
      </c>
    </row>
    <row r="749" spans="1:20" ht="16.5" x14ac:dyDescent="0.3">
      <c r="A749" t="s">
        <v>793</v>
      </c>
      <c r="B749" s="1">
        <v>45403</v>
      </c>
      <c r="C749">
        <v>2024</v>
      </c>
      <c r="D749" t="s">
        <v>649</v>
      </c>
      <c r="E749" t="s">
        <v>650</v>
      </c>
      <c r="F749" t="s">
        <v>38</v>
      </c>
      <c r="G749" t="s">
        <v>35</v>
      </c>
      <c r="H749" t="s">
        <v>36</v>
      </c>
      <c r="I749" t="s">
        <v>31</v>
      </c>
      <c r="J749" t="s">
        <v>27</v>
      </c>
      <c r="K749" t="s">
        <v>28</v>
      </c>
      <c r="L749" s="2">
        <v>256.7</v>
      </c>
      <c r="M749" s="3">
        <v>196</v>
      </c>
      <c r="N749">
        <v>5</v>
      </c>
      <c r="O749">
        <v>5</v>
      </c>
      <c r="P749">
        <v>1</v>
      </c>
      <c r="Q749">
        <v>0</v>
      </c>
      <c r="R749" s="4">
        <v>91.54</v>
      </c>
      <c r="S749">
        <v>0</v>
      </c>
      <c r="T749">
        <v>1</v>
      </c>
    </row>
    <row r="750" spans="1:20" ht="16.5" x14ac:dyDescent="0.3">
      <c r="A750" t="s">
        <v>794</v>
      </c>
      <c r="B750" s="1">
        <v>45404</v>
      </c>
      <c r="C750">
        <v>2024</v>
      </c>
      <c r="D750" t="s">
        <v>649</v>
      </c>
      <c r="E750" t="s">
        <v>650</v>
      </c>
      <c r="F750" t="s">
        <v>30</v>
      </c>
      <c r="G750" t="s">
        <v>39</v>
      </c>
      <c r="H750" t="s">
        <v>43</v>
      </c>
      <c r="I750" t="s">
        <v>26</v>
      </c>
      <c r="J750" t="s">
        <v>27</v>
      </c>
      <c r="K750" t="s">
        <v>32</v>
      </c>
      <c r="L750" s="2">
        <v>13.4</v>
      </c>
      <c r="M750" s="3">
        <v>1093</v>
      </c>
      <c r="N750">
        <v>5</v>
      </c>
      <c r="O750">
        <v>5</v>
      </c>
      <c r="P750">
        <v>1</v>
      </c>
      <c r="Q750">
        <v>0</v>
      </c>
      <c r="R750" s="4">
        <v>29.1</v>
      </c>
      <c r="S750">
        <v>0</v>
      </c>
      <c r="T750">
        <v>1</v>
      </c>
    </row>
    <row r="751" spans="1:20" ht="16.5" x14ac:dyDescent="0.3">
      <c r="A751" t="s">
        <v>795</v>
      </c>
      <c r="B751" s="1">
        <v>45404</v>
      </c>
      <c r="C751">
        <v>2024</v>
      </c>
      <c r="D751" t="s">
        <v>649</v>
      </c>
      <c r="E751" t="s">
        <v>650</v>
      </c>
      <c r="F751" t="s">
        <v>38</v>
      </c>
      <c r="G751" t="s">
        <v>35</v>
      </c>
      <c r="H751" t="s">
        <v>36</v>
      </c>
      <c r="I751" t="s">
        <v>26</v>
      </c>
      <c r="J751" t="s">
        <v>27</v>
      </c>
      <c r="K751" t="s">
        <v>28</v>
      </c>
      <c r="L751" s="2">
        <v>674</v>
      </c>
      <c r="M751" s="3">
        <v>251</v>
      </c>
      <c r="N751">
        <v>3</v>
      </c>
      <c r="O751">
        <v>3</v>
      </c>
      <c r="P751">
        <v>1</v>
      </c>
      <c r="Q751">
        <v>0</v>
      </c>
      <c r="R751" s="4">
        <v>287.08</v>
      </c>
      <c r="S751">
        <v>0</v>
      </c>
      <c r="T751">
        <v>1</v>
      </c>
    </row>
    <row r="752" spans="1:20" ht="16.5" x14ac:dyDescent="0.3">
      <c r="A752" t="s">
        <v>796</v>
      </c>
      <c r="B752" s="1">
        <v>45404</v>
      </c>
      <c r="C752">
        <v>2024</v>
      </c>
      <c r="D752" t="s">
        <v>649</v>
      </c>
      <c r="E752" t="s">
        <v>650</v>
      </c>
      <c r="F752" t="s">
        <v>34</v>
      </c>
      <c r="G752" t="s">
        <v>35</v>
      </c>
      <c r="H752" t="s">
        <v>36</v>
      </c>
      <c r="I752" t="s">
        <v>26</v>
      </c>
      <c r="J752" t="s">
        <v>27</v>
      </c>
      <c r="K752" t="s">
        <v>32</v>
      </c>
      <c r="L752" s="2">
        <v>3.1</v>
      </c>
      <c r="M752" s="3">
        <v>239</v>
      </c>
      <c r="N752">
        <v>3</v>
      </c>
      <c r="O752">
        <v>5</v>
      </c>
      <c r="P752">
        <v>0</v>
      </c>
      <c r="Q752">
        <v>2</v>
      </c>
      <c r="R752" s="4">
        <v>9.5</v>
      </c>
      <c r="S752">
        <v>0</v>
      </c>
      <c r="T752">
        <v>1</v>
      </c>
    </row>
    <row r="753" spans="1:20" ht="16.5" x14ac:dyDescent="0.3">
      <c r="A753" t="s">
        <v>797</v>
      </c>
      <c r="B753" s="1">
        <v>45405</v>
      </c>
      <c r="C753">
        <v>2024</v>
      </c>
      <c r="D753" t="s">
        <v>649</v>
      </c>
      <c r="E753" t="s">
        <v>650</v>
      </c>
      <c r="F753" t="s">
        <v>34</v>
      </c>
      <c r="G753" t="s">
        <v>39</v>
      </c>
      <c r="H753" t="s">
        <v>36</v>
      </c>
      <c r="I753" t="s">
        <v>26</v>
      </c>
      <c r="J753" t="s">
        <v>27</v>
      </c>
      <c r="K753" t="s">
        <v>32</v>
      </c>
      <c r="L753" s="2">
        <v>2.8</v>
      </c>
      <c r="M753" s="3">
        <v>302</v>
      </c>
      <c r="N753">
        <v>3</v>
      </c>
      <c r="O753">
        <v>3</v>
      </c>
      <c r="P753">
        <v>1</v>
      </c>
      <c r="Q753">
        <v>0</v>
      </c>
      <c r="R753" s="4">
        <v>10.42</v>
      </c>
      <c r="S753">
        <v>0</v>
      </c>
      <c r="T753">
        <v>1</v>
      </c>
    </row>
    <row r="754" spans="1:20" ht="16.5" x14ac:dyDescent="0.3">
      <c r="A754" t="s">
        <v>798</v>
      </c>
      <c r="B754" s="1">
        <v>45405</v>
      </c>
      <c r="C754">
        <v>2024</v>
      </c>
      <c r="D754" t="s">
        <v>649</v>
      </c>
      <c r="E754" t="s">
        <v>650</v>
      </c>
      <c r="F754" t="s">
        <v>34</v>
      </c>
      <c r="G754" t="s">
        <v>39</v>
      </c>
      <c r="H754" t="s">
        <v>36</v>
      </c>
      <c r="I754" t="s">
        <v>40</v>
      </c>
      <c r="J754" t="s">
        <v>27</v>
      </c>
      <c r="K754" t="s">
        <v>32</v>
      </c>
      <c r="L754" s="2">
        <v>21.2</v>
      </c>
      <c r="M754" s="3">
        <v>257</v>
      </c>
      <c r="N754">
        <v>1</v>
      </c>
      <c r="O754">
        <v>1</v>
      </c>
      <c r="P754">
        <v>1</v>
      </c>
      <c r="Q754">
        <v>0</v>
      </c>
      <c r="R754" s="4">
        <v>35.049999999999997</v>
      </c>
      <c r="S754">
        <v>0</v>
      </c>
      <c r="T754">
        <v>1</v>
      </c>
    </row>
    <row r="755" spans="1:20" ht="16.5" x14ac:dyDescent="0.3">
      <c r="A755" t="s">
        <v>799</v>
      </c>
      <c r="B755" s="1">
        <v>45405</v>
      </c>
      <c r="C755">
        <v>2024</v>
      </c>
      <c r="D755" t="s">
        <v>649</v>
      </c>
      <c r="E755" t="s">
        <v>650</v>
      </c>
      <c r="F755" t="s">
        <v>30</v>
      </c>
      <c r="G755" t="s">
        <v>24</v>
      </c>
      <c r="H755" t="s">
        <v>36</v>
      </c>
      <c r="I755" t="s">
        <v>26</v>
      </c>
      <c r="J755" t="s">
        <v>27</v>
      </c>
      <c r="K755" t="s">
        <v>32</v>
      </c>
      <c r="L755" s="2">
        <v>1.9</v>
      </c>
      <c r="M755" s="3">
        <v>287</v>
      </c>
      <c r="N755">
        <v>3</v>
      </c>
      <c r="O755">
        <v>3</v>
      </c>
      <c r="P755">
        <v>1</v>
      </c>
      <c r="Q755">
        <v>0</v>
      </c>
      <c r="R755" s="4">
        <v>11.37</v>
      </c>
      <c r="S755">
        <v>0</v>
      </c>
      <c r="T755">
        <v>1</v>
      </c>
    </row>
    <row r="756" spans="1:20" ht="16.5" x14ac:dyDescent="0.3">
      <c r="A756" t="s">
        <v>800</v>
      </c>
      <c r="B756" s="1">
        <v>45405</v>
      </c>
      <c r="C756">
        <v>2024</v>
      </c>
      <c r="D756" t="s">
        <v>649</v>
      </c>
      <c r="E756" t="s">
        <v>650</v>
      </c>
      <c r="F756" t="s">
        <v>34</v>
      </c>
      <c r="G756" t="s">
        <v>39</v>
      </c>
      <c r="H756" t="s">
        <v>25</v>
      </c>
      <c r="I756" t="s">
        <v>26</v>
      </c>
      <c r="J756" t="s">
        <v>27</v>
      </c>
      <c r="K756" t="s">
        <v>32</v>
      </c>
      <c r="L756" s="2">
        <v>3.9</v>
      </c>
      <c r="M756" s="3">
        <v>884</v>
      </c>
      <c r="N756">
        <v>4</v>
      </c>
      <c r="O756">
        <v>6</v>
      </c>
      <c r="P756">
        <v>0</v>
      </c>
      <c r="Q756">
        <v>2</v>
      </c>
      <c r="R756" s="4">
        <v>16.32</v>
      </c>
      <c r="S756">
        <v>0</v>
      </c>
      <c r="T756">
        <v>1</v>
      </c>
    </row>
    <row r="757" spans="1:20" ht="16.5" x14ac:dyDescent="0.3">
      <c r="A757" t="s">
        <v>801</v>
      </c>
      <c r="B757" s="1">
        <v>45405</v>
      </c>
      <c r="C757">
        <v>2024</v>
      </c>
      <c r="D757" t="s">
        <v>649</v>
      </c>
      <c r="E757" t="s">
        <v>650</v>
      </c>
      <c r="F757" t="s">
        <v>34</v>
      </c>
      <c r="G757" t="s">
        <v>35</v>
      </c>
      <c r="H757" t="s">
        <v>25</v>
      </c>
      <c r="I757" t="s">
        <v>40</v>
      </c>
      <c r="J757" t="s">
        <v>41</v>
      </c>
      <c r="K757" t="s">
        <v>32</v>
      </c>
      <c r="L757" s="2">
        <v>4</v>
      </c>
      <c r="M757" s="3">
        <v>683</v>
      </c>
      <c r="N757">
        <v>2</v>
      </c>
      <c r="O757">
        <v>2</v>
      </c>
      <c r="P757">
        <v>1</v>
      </c>
      <c r="Q757">
        <v>0</v>
      </c>
      <c r="R757" s="4">
        <v>46.38</v>
      </c>
      <c r="S757">
        <v>0</v>
      </c>
      <c r="T757">
        <v>1</v>
      </c>
    </row>
    <row r="758" spans="1:20" ht="16.5" x14ac:dyDescent="0.3">
      <c r="A758" t="s">
        <v>802</v>
      </c>
      <c r="B758" s="1">
        <v>45405</v>
      </c>
      <c r="C758">
        <v>2024</v>
      </c>
      <c r="D758" t="s">
        <v>649</v>
      </c>
      <c r="E758" t="s">
        <v>650</v>
      </c>
      <c r="F758" t="s">
        <v>30</v>
      </c>
      <c r="G758" t="s">
        <v>35</v>
      </c>
      <c r="H758" t="s">
        <v>43</v>
      </c>
      <c r="I758" t="s">
        <v>40</v>
      </c>
      <c r="J758" t="s">
        <v>41</v>
      </c>
      <c r="K758" t="s">
        <v>28</v>
      </c>
      <c r="L758" s="2">
        <v>88.7</v>
      </c>
      <c r="M758" s="3">
        <v>970</v>
      </c>
      <c r="N758">
        <v>3</v>
      </c>
      <c r="O758">
        <v>3</v>
      </c>
      <c r="P758">
        <v>1</v>
      </c>
      <c r="Q758">
        <v>0</v>
      </c>
      <c r="R758" s="4">
        <v>191.01</v>
      </c>
      <c r="S758">
        <v>1</v>
      </c>
      <c r="T758">
        <v>1</v>
      </c>
    </row>
    <row r="759" spans="1:20" ht="16.5" x14ac:dyDescent="0.3">
      <c r="A759" t="s">
        <v>803</v>
      </c>
      <c r="B759" s="1">
        <v>45405</v>
      </c>
      <c r="C759">
        <v>2024</v>
      </c>
      <c r="D759" t="s">
        <v>649</v>
      </c>
      <c r="E759" t="s">
        <v>650</v>
      </c>
      <c r="F759" t="s">
        <v>38</v>
      </c>
      <c r="G759" t="s">
        <v>39</v>
      </c>
      <c r="H759" t="s">
        <v>25</v>
      </c>
      <c r="I759" t="s">
        <v>26</v>
      </c>
      <c r="J759" t="s">
        <v>27</v>
      </c>
      <c r="K759" t="s">
        <v>32</v>
      </c>
      <c r="L759" s="2">
        <v>6.1</v>
      </c>
      <c r="M759" s="3">
        <v>893</v>
      </c>
      <c r="N759">
        <v>4</v>
      </c>
      <c r="O759">
        <v>4</v>
      </c>
      <c r="P759">
        <v>1</v>
      </c>
      <c r="Q759">
        <v>0</v>
      </c>
      <c r="R759" s="4">
        <v>22.46</v>
      </c>
      <c r="S759">
        <v>0</v>
      </c>
      <c r="T759">
        <v>1</v>
      </c>
    </row>
    <row r="760" spans="1:20" ht="16.5" x14ac:dyDescent="0.3">
      <c r="A760" t="s">
        <v>804</v>
      </c>
      <c r="B760" s="1">
        <v>45406</v>
      </c>
      <c r="C760">
        <v>2024</v>
      </c>
      <c r="D760" t="s">
        <v>649</v>
      </c>
      <c r="E760" t="s">
        <v>650</v>
      </c>
      <c r="F760" t="s">
        <v>34</v>
      </c>
      <c r="G760" t="s">
        <v>35</v>
      </c>
      <c r="H760" t="s">
        <v>25</v>
      </c>
      <c r="I760" t="s">
        <v>26</v>
      </c>
      <c r="J760" t="s">
        <v>27</v>
      </c>
      <c r="K760" t="s">
        <v>28</v>
      </c>
      <c r="L760" s="2">
        <v>38.299999999999997</v>
      </c>
      <c r="M760" s="3">
        <v>892</v>
      </c>
      <c r="N760">
        <v>4</v>
      </c>
      <c r="O760">
        <v>4</v>
      </c>
      <c r="P760">
        <v>1</v>
      </c>
      <c r="Q760">
        <v>0</v>
      </c>
      <c r="R760" s="4">
        <v>34.61</v>
      </c>
      <c r="S760">
        <v>0</v>
      </c>
      <c r="T760">
        <v>1</v>
      </c>
    </row>
    <row r="761" spans="1:20" ht="16.5" x14ac:dyDescent="0.3">
      <c r="A761" t="s">
        <v>805</v>
      </c>
      <c r="B761" s="1">
        <v>45406</v>
      </c>
      <c r="C761">
        <v>2024</v>
      </c>
      <c r="D761" t="s">
        <v>649</v>
      </c>
      <c r="E761" t="s">
        <v>650</v>
      </c>
      <c r="F761" t="s">
        <v>23</v>
      </c>
      <c r="G761" t="s">
        <v>35</v>
      </c>
      <c r="H761" t="s">
        <v>43</v>
      </c>
      <c r="I761" t="s">
        <v>40</v>
      </c>
      <c r="J761" t="s">
        <v>41</v>
      </c>
      <c r="K761" t="s">
        <v>32</v>
      </c>
      <c r="L761" s="2">
        <v>2</v>
      </c>
      <c r="M761" s="3">
        <v>1068</v>
      </c>
      <c r="N761">
        <v>3</v>
      </c>
      <c r="O761">
        <v>3</v>
      </c>
      <c r="P761">
        <v>1</v>
      </c>
      <c r="Q761">
        <v>0</v>
      </c>
      <c r="R761" s="4">
        <v>65.989999999999995</v>
      </c>
      <c r="S761">
        <v>0</v>
      </c>
      <c r="T761">
        <v>1</v>
      </c>
    </row>
    <row r="762" spans="1:20" ht="16.5" x14ac:dyDescent="0.3">
      <c r="A762" t="s">
        <v>806</v>
      </c>
      <c r="B762" s="1">
        <v>45406</v>
      </c>
      <c r="C762">
        <v>2024</v>
      </c>
      <c r="D762" t="s">
        <v>649</v>
      </c>
      <c r="E762" t="s">
        <v>650</v>
      </c>
      <c r="F762" t="s">
        <v>38</v>
      </c>
      <c r="G762" t="s">
        <v>39</v>
      </c>
      <c r="H762" t="s">
        <v>48</v>
      </c>
      <c r="I762" t="s">
        <v>26</v>
      </c>
      <c r="J762" t="s">
        <v>27</v>
      </c>
      <c r="K762" t="s">
        <v>28</v>
      </c>
      <c r="L762" s="2">
        <v>129.5</v>
      </c>
      <c r="M762" s="3">
        <v>518</v>
      </c>
      <c r="N762">
        <v>4</v>
      </c>
      <c r="O762">
        <v>4</v>
      </c>
      <c r="P762">
        <v>1</v>
      </c>
      <c r="Q762">
        <v>0</v>
      </c>
      <c r="R762" s="4">
        <v>73.25</v>
      </c>
      <c r="S762">
        <v>0</v>
      </c>
      <c r="T762">
        <v>1</v>
      </c>
    </row>
    <row r="763" spans="1:20" ht="16.5" x14ac:dyDescent="0.3">
      <c r="A763" t="s">
        <v>807</v>
      </c>
      <c r="B763" s="1">
        <v>45406</v>
      </c>
      <c r="C763">
        <v>2024</v>
      </c>
      <c r="D763" t="s">
        <v>649</v>
      </c>
      <c r="E763" t="s">
        <v>650</v>
      </c>
      <c r="F763" t="s">
        <v>34</v>
      </c>
      <c r="G763" t="s">
        <v>24</v>
      </c>
      <c r="H763" t="s">
        <v>25</v>
      </c>
      <c r="I763" t="s">
        <v>26</v>
      </c>
      <c r="J763" t="s">
        <v>27</v>
      </c>
      <c r="K763" t="s">
        <v>32</v>
      </c>
      <c r="L763" s="2">
        <v>2.4</v>
      </c>
      <c r="M763" s="3">
        <v>704</v>
      </c>
      <c r="N763">
        <v>4</v>
      </c>
      <c r="O763">
        <v>3</v>
      </c>
      <c r="P763">
        <v>1</v>
      </c>
      <c r="Q763">
        <v>0</v>
      </c>
      <c r="R763" s="4">
        <v>12.41</v>
      </c>
      <c r="S763">
        <v>0</v>
      </c>
      <c r="T763">
        <v>1</v>
      </c>
    </row>
    <row r="764" spans="1:20" ht="16.5" x14ac:dyDescent="0.3">
      <c r="A764" t="s">
        <v>808</v>
      </c>
      <c r="B764" s="1">
        <v>45406</v>
      </c>
      <c r="C764">
        <v>2024</v>
      </c>
      <c r="D764" t="s">
        <v>649</v>
      </c>
      <c r="E764" t="s">
        <v>650</v>
      </c>
      <c r="F764" t="s">
        <v>30</v>
      </c>
      <c r="G764" t="s">
        <v>24</v>
      </c>
      <c r="H764" t="s">
        <v>51</v>
      </c>
      <c r="I764" t="s">
        <v>26</v>
      </c>
      <c r="J764" t="s">
        <v>27</v>
      </c>
      <c r="K764" t="s">
        <v>32</v>
      </c>
      <c r="L764" s="2">
        <v>15.5</v>
      </c>
      <c r="M764" s="3">
        <v>1109</v>
      </c>
      <c r="N764">
        <v>5</v>
      </c>
      <c r="O764">
        <v>5</v>
      </c>
      <c r="P764">
        <v>1</v>
      </c>
      <c r="Q764">
        <v>0</v>
      </c>
      <c r="R764" s="4">
        <v>27.49</v>
      </c>
      <c r="S764">
        <v>0</v>
      </c>
      <c r="T764">
        <v>1</v>
      </c>
    </row>
    <row r="765" spans="1:20" ht="16.5" x14ac:dyDescent="0.3">
      <c r="A765" t="s">
        <v>809</v>
      </c>
      <c r="B765" s="1">
        <v>45406</v>
      </c>
      <c r="C765">
        <v>2024</v>
      </c>
      <c r="D765" t="s">
        <v>649</v>
      </c>
      <c r="E765" t="s">
        <v>650</v>
      </c>
      <c r="F765" t="s">
        <v>57</v>
      </c>
      <c r="G765" t="s">
        <v>24</v>
      </c>
      <c r="H765" t="s">
        <v>36</v>
      </c>
      <c r="I765" t="s">
        <v>26</v>
      </c>
      <c r="J765" t="s">
        <v>27</v>
      </c>
      <c r="K765" t="s">
        <v>32</v>
      </c>
      <c r="L765" s="2">
        <v>3.6</v>
      </c>
      <c r="M765" s="3">
        <v>271</v>
      </c>
      <c r="N765">
        <v>3</v>
      </c>
      <c r="O765">
        <v>2</v>
      </c>
      <c r="P765">
        <v>1</v>
      </c>
      <c r="Q765">
        <v>0</v>
      </c>
      <c r="R765" s="4">
        <v>11.39</v>
      </c>
      <c r="S765">
        <v>0</v>
      </c>
      <c r="T765">
        <v>1</v>
      </c>
    </row>
    <row r="766" spans="1:20" ht="16.5" x14ac:dyDescent="0.3">
      <c r="A766" t="s">
        <v>810</v>
      </c>
      <c r="B766" s="1">
        <v>45406</v>
      </c>
      <c r="C766">
        <v>2024</v>
      </c>
      <c r="D766" t="s">
        <v>649</v>
      </c>
      <c r="E766" t="s">
        <v>650</v>
      </c>
      <c r="F766" t="s">
        <v>34</v>
      </c>
      <c r="G766" t="s">
        <v>39</v>
      </c>
      <c r="H766" t="s">
        <v>48</v>
      </c>
      <c r="I766" t="s">
        <v>26</v>
      </c>
      <c r="J766" t="s">
        <v>27</v>
      </c>
      <c r="K766" t="s">
        <v>28</v>
      </c>
      <c r="L766" s="2">
        <v>188.7</v>
      </c>
      <c r="M766" s="3">
        <v>476</v>
      </c>
      <c r="N766">
        <v>4</v>
      </c>
      <c r="O766">
        <v>4</v>
      </c>
      <c r="P766">
        <v>1</v>
      </c>
      <c r="Q766">
        <v>0</v>
      </c>
      <c r="R766" s="4">
        <v>83.26</v>
      </c>
      <c r="S766">
        <v>0</v>
      </c>
      <c r="T766">
        <v>1</v>
      </c>
    </row>
    <row r="767" spans="1:20" ht="16.5" x14ac:dyDescent="0.3">
      <c r="A767" t="s">
        <v>811</v>
      </c>
      <c r="B767" s="1">
        <v>45406</v>
      </c>
      <c r="C767">
        <v>2024</v>
      </c>
      <c r="D767" t="s">
        <v>649</v>
      </c>
      <c r="E767" t="s">
        <v>650</v>
      </c>
      <c r="F767" t="s">
        <v>57</v>
      </c>
      <c r="G767" t="s">
        <v>24</v>
      </c>
      <c r="H767" t="s">
        <v>36</v>
      </c>
      <c r="I767" t="s">
        <v>26</v>
      </c>
      <c r="J767" t="s">
        <v>27</v>
      </c>
      <c r="K767" t="s">
        <v>32</v>
      </c>
      <c r="L767" s="2">
        <v>1.9</v>
      </c>
      <c r="M767" s="3">
        <v>231</v>
      </c>
      <c r="N767">
        <v>3</v>
      </c>
      <c r="O767">
        <v>3</v>
      </c>
      <c r="P767">
        <v>1</v>
      </c>
      <c r="Q767">
        <v>0</v>
      </c>
      <c r="R767" s="4">
        <v>10.49</v>
      </c>
      <c r="S767">
        <v>0</v>
      </c>
      <c r="T767">
        <v>1</v>
      </c>
    </row>
    <row r="768" spans="1:20" ht="16.5" x14ac:dyDescent="0.3">
      <c r="A768" t="s">
        <v>812</v>
      </c>
      <c r="B768" s="1">
        <v>45407</v>
      </c>
      <c r="C768">
        <v>2024</v>
      </c>
      <c r="D768" t="s">
        <v>649</v>
      </c>
      <c r="E768" t="s">
        <v>650</v>
      </c>
      <c r="F768" t="s">
        <v>57</v>
      </c>
      <c r="G768" t="s">
        <v>35</v>
      </c>
      <c r="H768" t="s">
        <v>36</v>
      </c>
      <c r="I768" t="s">
        <v>40</v>
      </c>
      <c r="J768" t="s">
        <v>27</v>
      </c>
      <c r="K768" t="s">
        <v>28</v>
      </c>
      <c r="L768" s="2">
        <v>17.8</v>
      </c>
      <c r="M768" s="3">
        <v>240</v>
      </c>
      <c r="N768">
        <v>1</v>
      </c>
      <c r="O768">
        <v>1</v>
      </c>
      <c r="P768">
        <v>1</v>
      </c>
      <c r="Q768">
        <v>0</v>
      </c>
      <c r="R768" s="4">
        <v>36.07</v>
      </c>
      <c r="S768">
        <v>0</v>
      </c>
      <c r="T768">
        <v>1</v>
      </c>
    </row>
    <row r="769" spans="1:20" ht="16.5" x14ac:dyDescent="0.3">
      <c r="A769" t="s">
        <v>813</v>
      </c>
      <c r="B769" s="1">
        <v>45407</v>
      </c>
      <c r="C769">
        <v>2024</v>
      </c>
      <c r="D769" t="s">
        <v>649</v>
      </c>
      <c r="E769" t="s">
        <v>650</v>
      </c>
      <c r="F769" t="s">
        <v>57</v>
      </c>
      <c r="G769" t="s">
        <v>39</v>
      </c>
      <c r="H769" t="s">
        <v>51</v>
      </c>
      <c r="I769" t="s">
        <v>31</v>
      </c>
      <c r="J769" t="s">
        <v>27</v>
      </c>
      <c r="K769" t="s">
        <v>32</v>
      </c>
      <c r="L769" s="2">
        <v>7.9</v>
      </c>
      <c r="M769" s="3">
        <v>1282</v>
      </c>
      <c r="N769">
        <v>7</v>
      </c>
      <c r="O769">
        <v>9</v>
      </c>
      <c r="P769">
        <v>0</v>
      </c>
      <c r="Q769">
        <v>2</v>
      </c>
      <c r="R769" s="4">
        <v>18.29</v>
      </c>
      <c r="S769">
        <v>0</v>
      </c>
      <c r="T769">
        <v>1</v>
      </c>
    </row>
    <row r="770" spans="1:20" ht="16.5" x14ac:dyDescent="0.3">
      <c r="A770" t="s">
        <v>814</v>
      </c>
      <c r="B770" s="1">
        <v>45407</v>
      </c>
      <c r="C770">
        <v>2024</v>
      </c>
      <c r="D770" t="s">
        <v>649</v>
      </c>
      <c r="E770" t="s">
        <v>650</v>
      </c>
      <c r="F770" t="s">
        <v>34</v>
      </c>
      <c r="G770" t="s">
        <v>35</v>
      </c>
      <c r="H770" t="s">
        <v>25</v>
      </c>
      <c r="I770" t="s">
        <v>26</v>
      </c>
      <c r="J770" t="s">
        <v>27</v>
      </c>
      <c r="K770" t="s">
        <v>32</v>
      </c>
      <c r="L770" s="2">
        <v>1.3</v>
      </c>
      <c r="M770" s="3">
        <v>856</v>
      </c>
      <c r="N770">
        <v>4</v>
      </c>
      <c r="O770">
        <v>6</v>
      </c>
      <c r="P770">
        <v>0</v>
      </c>
      <c r="Q770">
        <v>2</v>
      </c>
      <c r="R770" s="4">
        <v>14.49</v>
      </c>
      <c r="S770">
        <v>0</v>
      </c>
      <c r="T770">
        <v>1</v>
      </c>
    </row>
    <row r="771" spans="1:20" ht="16.5" x14ac:dyDescent="0.3">
      <c r="A771" t="s">
        <v>815</v>
      </c>
      <c r="B771" s="1">
        <v>45407</v>
      </c>
      <c r="C771">
        <v>2024</v>
      </c>
      <c r="D771" t="s">
        <v>649</v>
      </c>
      <c r="E771" t="s">
        <v>650</v>
      </c>
      <c r="F771" t="s">
        <v>57</v>
      </c>
      <c r="G771" t="s">
        <v>39</v>
      </c>
      <c r="H771" t="s">
        <v>48</v>
      </c>
      <c r="I771" t="s">
        <v>26</v>
      </c>
      <c r="J771" t="s">
        <v>27</v>
      </c>
      <c r="K771" t="s">
        <v>28</v>
      </c>
      <c r="L771" s="2">
        <v>299</v>
      </c>
      <c r="M771" s="3">
        <v>431</v>
      </c>
      <c r="N771">
        <v>4</v>
      </c>
      <c r="O771">
        <v>4</v>
      </c>
      <c r="P771">
        <v>1</v>
      </c>
      <c r="Q771">
        <v>0</v>
      </c>
      <c r="R771" s="4">
        <v>130.76</v>
      </c>
      <c r="S771">
        <v>0</v>
      </c>
      <c r="T771">
        <v>1</v>
      </c>
    </row>
    <row r="772" spans="1:20" ht="16.5" x14ac:dyDescent="0.3">
      <c r="A772" t="s">
        <v>816</v>
      </c>
      <c r="B772" s="1">
        <v>45407</v>
      </c>
      <c r="C772">
        <v>2024</v>
      </c>
      <c r="D772" t="s">
        <v>649</v>
      </c>
      <c r="E772" t="s">
        <v>650</v>
      </c>
      <c r="F772" t="s">
        <v>34</v>
      </c>
      <c r="G772" t="s">
        <v>35</v>
      </c>
      <c r="H772" t="s">
        <v>25</v>
      </c>
      <c r="I772" t="s">
        <v>26</v>
      </c>
      <c r="J772" t="s">
        <v>27</v>
      </c>
      <c r="K772" t="s">
        <v>28</v>
      </c>
      <c r="L772" s="2">
        <v>89.3</v>
      </c>
      <c r="M772" s="3">
        <v>920</v>
      </c>
      <c r="N772">
        <v>4</v>
      </c>
      <c r="O772">
        <v>4</v>
      </c>
      <c r="P772">
        <v>1</v>
      </c>
      <c r="Q772">
        <v>0</v>
      </c>
      <c r="R772" s="4">
        <v>49.46</v>
      </c>
      <c r="S772">
        <v>0</v>
      </c>
      <c r="T772">
        <v>1</v>
      </c>
    </row>
    <row r="773" spans="1:20" ht="16.5" x14ac:dyDescent="0.3">
      <c r="A773" t="s">
        <v>817</v>
      </c>
      <c r="B773" s="1">
        <v>45407</v>
      </c>
      <c r="C773">
        <v>2024</v>
      </c>
      <c r="D773" t="s">
        <v>649</v>
      </c>
      <c r="E773" t="s">
        <v>650</v>
      </c>
      <c r="F773" t="s">
        <v>30</v>
      </c>
      <c r="G773" t="s">
        <v>39</v>
      </c>
      <c r="H773" t="s">
        <v>25</v>
      </c>
      <c r="I773" t="s">
        <v>31</v>
      </c>
      <c r="J773" t="s">
        <v>27</v>
      </c>
      <c r="K773" t="s">
        <v>32</v>
      </c>
      <c r="L773" s="2">
        <v>6.2</v>
      </c>
      <c r="M773" s="3">
        <v>907</v>
      </c>
      <c r="N773">
        <v>6</v>
      </c>
      <c r="O773">
        <v>6</v>
      </c>
      <c r="P773">
        <v>1</v>
      </c>
      <c r="Q773">
        <v>0</v>
      </c>
      <c r="R773" s="4">
        <v>16.829999999999998</v>
      </c>
      <c r="S773">
        <v>0</v>
      </c>
      <c r="T773">
        <v>1</v>
      </c>
    </row>
    <row r="774" spans="1:20" ht="16.5" x14ac:dyDescent="0.3">
      <c r="A774" t="s">
        <v>818</v>
      </c>
      <c r="B774" s="1">
        <v>45407</v>
      </c>
      <c r="C774">
        <v>2024</v>
      </c>
      <c r="D774" t="s">
        <v>649</v>
      </c>
      <c r="E774" t="s">
        <v>650</v>
      </c>
      <c r="F774" t="s">
        <v>34</v>
      </c>
      <c r="G774" t="s">
        <v>39</v>
      </c>
      <c r="H774" t="s">
        <v>43</v>
      </c>
      <c r="I774" t="s">
        <v>26</v>
      </c>
      <c r="J774" t="s">
        <v>27</v>
      </c>
      <c r="K774" t="s">
        <v>32</v>
      </c>
      <c r="L774" s="2">
        <v>27.4</v>
      </c>
      <c r="M774" s="3">
        <v>1228</v>
      </c>
      <c r="N774">
        <v>5</v>
      </c>
      <c r="O774">
        <v>5</v>
      </c>
      <c r="P774">
        <v>1</v>
      </c>
      <c r="Q774">
        <v>0</v>
      </c>
      <c r="R774" s="4">
        <v>30.25</v>
      </c>
      <c r="S774">
        <v>0</v>
      </c>
      <c r="T774">
        <v>1</v>
      </c>
    </row>
    <row r="775" spans="1:20" ht="16.5" x14ac:dyDescent="0.3">
      <c r="A775" t="s">
        <v>819</v>
      </c>
      <c r="B775" s="1">
        <v>45407</v>
      </c>
      <c r="C775">
        <v>2024</v>
      </c>
      <c r="D775" t="s">
        <v>649</v>
      </c>
      <c r="E775" t="s">
        <v>650</v>
      </c>
      <c r="F775" t="s">
        <v>34</v>
      </c>
      <c r="G775" t="s">
        <v>39</v>
      </c>
      <c r="H775" t="s">
        <v>48</v>
      </c>
      <c r="I775" t="s">
        <v>31</v>
      </c>
      <c r="J775" t="s">
        <v>27</v>
      </c>
      <c r="K775" t="s">
        <v>28</v>
      </c>
      <c r="L775" s="2">
        <v>72.599999999999994</v>
      </c>
      <c r="M775" s="3">
        <v>441</v>
      </c>
      <c r="N775">
        <v>6</v>
      </c>
      <c r="O775">
        <v>9</v>
      </c>
      <c r="P775">
        <v>0</v>
      </c>
      <c r="Q775">
        <v>3</v>
      </c>
      <c r="R775" s="4">
        <v>28.11</v>
      </c>
      <c r="S775">
        <v>0</v>
      </c>
      <c r="T775">
        <v>1</v>
      </c>
    </row>
    <row r="776" spans="1:20" ht="16.5" x14ac:dyDescent="0.3">
      <c r="A776" t="s">
        <v>820</v>
      </c>
      <c r="B776" s="1">
        <v>45407</v>
      </c>
      <c r="C776">
        <v>2024</v>
      </c>
      <c r="D776" t="s">
        <v>649</v>
      </c>
      <c r="E776" t="s">
        <v>650</v>
      </c>
      <c r="F776" t="s">
        <v>57</v>
      </c>
      <c r="G776" t="s">
        <v>35</v>
      </c>
      <c r="H776" t="s">
        <v>36</v>
      </c>
      <c r="I776" t="s">
        <v>26</v>
      </c>
      <c r="J776" t="s">
        <v>27</v>
      </c>
      <c r="K776" t="s">
        <v>28</v>
      </c>
      <c r="L776" s="2">
        <v>144.9</v>
      </c>
      <c r="M776" s="3">
        <v>299</v>
      </c>
      <c r="N776">
        <v>3</v>
      </c>
      <c r="O776">
        <v>3</v>
      </c>
      <c r="P776">
        <v>1</v>
      </c>
      <c r="Q776">
        <v>0</v>
      </c>
      <c r="R776" s="4">
        <v>68.86</v>
      </c>
      <c r="S776">
        <v>0</v>
      </c>
      <c r="T776">
        <v>1</v>
      </c>
    </row>
    <row r="777" spans="1:20" ht="16.5" x14ac:dyDescent="0.3">
      <c r="A777" t="s">
        <v>821</v>
      </c>
      <c r="B777" s="1">
        <v>45407</v>
      </c>
      <c r="C777">
        <v>2024</v>
      </c>
      <c r="D777" t="s">
        <v>649</v>
      </c>
      <c r="E777" t="s">
        <v>650</v>
      </c>
      <c r="F777" t="s">
        <v>34</v>
      </c>
      <c r="G777" t="s">
        <v>39</v>
      </c>
      <c r="H777" t="s">
        <v>36</v>
      </c>
      <c r="I777" t="s">
        <v>26</v>
      </c>
      <c r="J777" t="s">
        <v>27</v>
      </c>
      <c r="K777" t="s">
        <v>28</v>
      </c>
      <c r="L777" s="2">
        <v>121.6</v>
      </c>
      <c r="M777" s="3">
        <v>208</v>
      </c>
      <c r="N777">
        <v>3</v>
      </c>
      <c r="O777">
        <v>3</v>
      </c>
      <c r="P777">
        <v>1</v>
      </c>
      <c r="Q777">
        <v>0</v>
      </c>
      <c r="R777" s="4">
        <v>56.28</v>
      </c>
      <c r="S777">
        <v>0</v>
      </c>
      <c r="T777">
        <v>1</v>
      </c>
    </row>
    <row r="778" spans="1:20" ht="16.5" x14ac:dyDescent="0.3">
      <c r="A778" t="s">
        <v>822</v>
      </c>
      <c r="B778" s="1">
        <v>45408</v>
      </c>
      <c r="C778">
        <v>2024</v>
      </c>
      <c r="D778" t="s">
        <v>649</v>
      </c>
      <c r="E778" t="s">
        <v>650</v>
      </c>
      <c r="F778" t="s">
        <v>30</v>
      </c>
      <c r="G778" t="s">
        <v>39</v>
      </c>
      <c r="H778" t="s">
        <v>48</v>
      </c>
      <c r="I778" t="s">
        <v>26</v>
      </c>
      <c r="J778" t="s">
        <v>27</v>
      </c>
      <c r="K778" t="s">
        <v>32</v>
      </c>
      <c r="L778" s="2">
        <v>5.3</v>
      </c>
      <c r="M778" s="3">
        <v>590</v>
      </c>
      <c r="N778">
        <v>4</v>
      </c>
      <c r="O778">
        <v>4</v>
      </c>
      <c r="P778">
        <v>1</v>
      </c>
      <c r="Q778">
        <v>0</v>
      </c>
      <c r="R778" s="4">
        <v>16.38</v>
      </c>
      <c r="S778">
        <v>0</v>
      </c>
      <c r="T778">
        <v>1</v>
      </c>
    </row>
    <row r="779" spans="1:20" ht="16.5" x14ac:dyDescent="0.3">
      <c r="A779" t="s">
        <v>823</v>
      </c>
      <c r="B779" s="1">
        <v>45408</v>
      </c>
      <c r="C779">
        <v>2024</v>
      </c>
      <c r="D779" t="s">
        <v>649</v>
      </c>
      <c r="E779" t="s">
        <v>650</v>
      </c>
      <c r="F779" t="s">
        <v>34</v>
      </c>
      <c r="G779" t="s">
        <v>24</v>
      </c>
      <c r="H779" t="s">
        <v>48</v>
      </c>
      <c r="I779" t="s">
        <v>26</v>
      </c>
      <c r="J779" t="s">
        <v>27</v>
      </c>
      <c r="K779" t="s">
        <v>28</v>
      </c>
      <c r="L779" s="2">
        <v>253</v>
      </c>
      <c r="M779" s="3">
        <v>572</v>
      </c>
      <c r="N779">
        <v>4</v>
      </c>
      <c r="O779">
        <v>4</v>
      </c>
      <c r="P779">
        <v>1</v>
      </c>
      <c r="Q779">
        <v>0</v>
      </c>
      <c r="R779" s="4">
        <v>91.87</v>
      </c>
      <c r="S779">
        <v>0</v>
      </c>
      <c r="T779">
        <v>1</v>
      </c>
    </row>
    <row r="780" spans="1:20" ht="16.5" x14ac:dyDescent="0.3">
      <c r="A780" t="s">
        <v>824</v>
      </c>
      <c r="B780" s="1">
        <v>45408</v>
      </c>
      <c r="C780">
        <v>2024</v>
      </c>
      <c r="D780" t="s">
        <v>649</v>
      </c>
      <c r="E780" t="s">
        <v>650</v>
      </c>
      <c r="F780" t="s">
        <v>38</v>
      </c>
      <c r="G780" t="s">
        <v>39</v>
      </c>
      <c r="H780" t="s">
        <v>36</v>
      </c>
      <c r="I780" t="s">
        <v>31</v>
      </c>
      <c r="J780" t="s">
        <v>27</v>
      </c>
      <c r="K780" t="s">
        <v>28</v>
      </c>
      <c r="L780" s="2">
        <v>106</v>
      </c>
      <c r="M780" s="3">
        <v>228</v>
      </c>
      <c r="N780">
        <v>5</v>
      </c>
      <c r="O780">
        <v>5</v>
      </c>
      <c r="P780">
        <v>1</v>
      </c>
      <c r="Q780">
        <v>0</v>
      </c>
      <c r="R780" s="4">
        <v>45.97</v>
      </c>
      <c r="S780">
        <v>0</v>
      </c>
      <c r="T780">
        <v>1</v>
      </c>
    </row>
    <row r="781" spans="1:20" ht="16.5" x14ac:dyDescent="0.3">
      <c r="A781" t="s">
        <v>825</v>
      </c>
      <c r="B781" s="1">
        <v>45409</v>
      </c>
      <c r="C781">
        <v>2024</v>
      </c>
      <c r="D781" t="s">
        <v>649</v>
      </c>
      <c r="E781" t="s">
        <v>650</v>
      </c>
      <c r="F781" t="s">
        <v>23</v>
      </c>
      <c r="G781" t="s">
        <v>35</v>
      </c>
      <c r="H781" t="s">
        <v>36</v>
      </c>
      <c r="I781" t="s">
        <v>40</v>
      </c>
      <c r="J781" t="s">
        <v>27</v>
      </c>
      <c r="K781" t="s">
        <v>28</v>
      </c>
      <c r="L781" s="2">
        <v>276</v>
      </c>
      <c r="M781" s="3">
        <v>237</v>
      </c>
      <c r="N781">
        <v>1</v>
      </c>
      <c r="O781">
        <v>3</v>
      </c>
      <c r="P781">
        <v>0</v>
      </c>
      <c r="Q781">
        <v>2</v>
      </c>
      <c r="R781" s="4">
        <v>213.42</v>
      </c>
      <c r="S781">
        <v>0</v>
      </c>
      <c r="T781">
        <v>1</v>
      </c>
    </row>
    <row r="782" spans="1:20" ht="16.5" x14ac:dyDescent="0.3">
      <c r="A782" t="s">
        <v>826</v>
      </c>
      <c r="B782" s="1">
        <v>45409</v>
      </c>
      <c r="C782">
        <v>2024</v>
      </c>
      <c r="D782" t="s">
        <v>649</v>
      </c>
      <c r="E782" t="s">
        <v>650</v>
      </c>
      <c r="F782" t="s">
        <v>34</v>
      </c>
      <c r="G782" t="s">
        <v>39</v>
      </c>
      <c r="H782" t="s">
        <v>48</v>
      </c>
      <c r="I782" t="s">
        <v>26</v>
      </c>
      <c r="J782" t="s">
        <v>27</v>
      </c>
      <c r="K782" t="s">
        <v>28</v>
      </c>
      <c r="L782" s="2">
        <v>61.4</v>
      </c>
      <c r="M782" s="3">
        <v>483</v>
      </c>
      <c r="N782">
        <v>4</v>
      </c>
      <c r="O782">
        <v>6</v>
      </c>
      <c r="P782">
        <v>0</v>
      </c>
      <c r="Q782">
        <v>2</v>
      </c>
      <c r="R782" s="4">
        <v>31.53</v>
      </c>
      <c r="S782">
        <v>0</v>
      </c>
      <c r="T782">
        <v>1</v>
      </c>
    </row>
    <row r="783" spans="1:20" ht="16.5" x14ac:dyDescent="0.3">
      <c r="A783" t="s">
        <v>827</v>
      </c>
      <c r="B783" s="1">
        <v>45409</v>
      </c>
      <c r="C783">
        <v>2024</v>
      </c>
      <c r="D783" t="s">
        <v>649</v>
      </c>
      <c r="E783" t="s">
        <v>650</v>
      </c>
      <c r="F783" t="s">
        <v>23</v>
      </c>
      <c r="G783" t="s">
        <v>39</v>
      </c>
      <c r="H783" t="s">
        <v>25</v>
      </c>
      <c r="I783" t="s">
        <v>26</v>
      </c>
      <c r="J783" t="s">
        <v>27</v>
      </c>
      <c r="K783" t="s">
        <v>32</v>
      </c>
      <c r="L783" s="2">
        <v>3</v>
      </c>
      <c r="M783" s="3">
        <v>1093</v>
      </c>
      <c r="N783">
        <v>4</v>
      </c>
      <c r="O783">
        <v>4</v>
      </c>
      <c r="P783">
        <v>1</v>
      </c>
      <c r="Q783">
        <v>0</v>
      </c>
      <c r="R783" s="4">
        <v>21.15</v>
      </c>
      <c r="S783">
        <v>0</v>
      </c>
      <c r="T783">
        <v>1</v>
      </c>
    </row>
    <row r="784" spans="1:20" ht="16.5" x14ac:dyDescent="0.3">
      <c r="A784" t="s">
        <v>828</v>
      </c>
      <c r="B784" s="1">
        <v>45409</v>
      </c>
      <c r="C784">
        <v>2024</v>
      </c>
      <c r="D784" t="s">
        <v>649</v>
      </c>
      <c r="E784" t="s">
        <v>650</v>
      </c>
      <c r="F784" t="s">
        <v>23</v>
      </c>
      <c r="G784" t="s">
        <v>35</v>
      </c>
      <c r="H784" t="s">
        <v>48</v>
      </c>
      <c r="I784" t="s">
        <v>31</v>
      </c>
      <c r="J784" t="s">
        <v>27</v>
      </c>
      <c r="K784" t="s">
        <v>32</v>
      </c>
      <c r="L784" s="2">
        <v>7.6</v>
      </c>
      <c r="M784" s="3">
        <v>458</v>
      </c>
      <c r="N784">
        <v>6</v>
      </c>
      <c r="O784">
        <v>5</v>
      </c>
      <c r="P784">
        <v>1</v>
      </c>
      <c r="Q784">
        <v>0</v>
      </c>
      <c r="R784" s="4">
        <v>12.51</v>
      </c>
      <c r="S784">
        <v>0</v>
      </c>
      <c r="T784">
        <v>1</v>
      </c>
    </row>
    <row r="785" spans="1:20" ht="16.5" x14ac:dyDescent="0.3">
      <c r="A785" t="s">
        <v>829</v>
      </c>
      <c r="B785" s="1">
        <v>45409</v>
      </c>
      <c r="C785">
        <v>2024</v>
      </c>
      <c r="D785" t="s">
        <v>649</v>
      </c>
      <c r="E785" t="s">
        <v>650</v>
      </c>
      <c r="F785" t="s">
        <v>30</v>
      </c>
      <c r="G785" t="s">
        <v>39</v>
      </c>
      <c r="H785" t="s">
        <v>25</v>
      </c>
      <c r="I785" t="s">
        <v>26</v>
      </c>
      <c r="J785" t="s">
        <v>27</v>
      </c>
      <c r="K785" t="s">
        <v>32</v>
      </c>
      <c r="L785" s="2">
        <v>14.8</v>
      </c>
      <c r="M785" s="3">
        <v>1030</v>
      </c>
      <c r="N785">
        <v>4</v>
      </c>
      <c r="O785">
        <v>4</v>
      </c>
      <c r="P785">
        <v>1</v>
      </c>
      <c r="Q785">
        <v>0</v>
      </c>
      <c r="R785" s="4">
        <v>26.09</v>
      </c>
      <c r="S785">
        <v>0</v>
      </c>
      <c r="T785">
        <v>1</v>
      </c>
    </row>
    <row r="786" spans="1:20" ht="16.5" x14ac:dyDescent="0.3">
      <c r="A786" t="s">
        <v>830</v>
      </c>
      <c r="B786" s="1">
        <v>45409</v>
      </c>
      <c r="C786">
        <v>2024</v>
      </c>
      <c r="D786" t="s">
        <v>649</v>
      </c>
      <c r="E786" t="s">
        <v>650</v>
      </c>
      <c r="F786" t="s">
        <v>30</v>
      </c>
      <c r="G786" t="s">
        <v>39</v>
      </c>
      <c r="H786" t="s">
        <v>43</v>
      </c>
      <c r="I786" t="s">
        <v>40</v>
      </c>
      <c r="J786" t="s">
        <v>41</v>
      </c>
      <c r="K786" t="s">
        <v>32</v>
      </c>
      <c r="L786" s="2">
        <v>6.5</v>
      </c>
      <c r="M786" s="3">
        <v>1196</v>
      </c>
      <c r="N786">
        <v>3</v>
      </c>
      <c r="O786">
        <v>3</v>
      </c>
      <c r="P786">
        <v>1</v>
      </c>
      <c r="Q786">
        <v>0</v>
      </c>
      <c r="R786" s="4">
        <v>76.510000000000005</v>
      </c>
      <c r="S786">
        <v>0</v>
      </c>
      <c r="T786">
        <v>1</v>
      </c>
    </row>
    <row r="787" spans="1:20" ht="16.5" x14ac:dyDescent="0.3">
      <c r="A787" t="s">
        <v>831</v>
      </c>
      <c r="B787" s="1">
        <v>45410</v>
      </c>
      <c r="C787">
        <v>2024</v>
      </c>
      <c r="D787" t="s">
        <v>649</v>
      </c>
      <c r="E787" t="s">
        <v>650</v>
      </c>
      <c r="F787" t="s">
        <v>23</v>
      </c>
      <c r="G787" t="s">
        <v>35</v>
      </c>
      <c r="H787" t="s">
        <v>48</v>
      </c>
      <c r="I787" t="s">
        <v>31</v>
      </c>
      <c r="J787" t="s">
        <v>27</v>
      </c>
      <c r="K787" t="s">
        <v>28</v>
      </c>
      <c r="L787" s="2">
        <v>197</v>
      </c>
      <c r="M787" s="3">
        <v>449</v>
      </c>
      <c r="N787">
        <v>6</v>
      </c>
      <c r="O787">
        <v>6</v>
      </c>
      <c r="P787">
        <v>1</v>
      </c>
      <c r="Q787">
        <v>0</v>
      </c>
      <c r="R787" s="4">
        <v>72.03</v>
      </c>
      <c r="S787">
        <v>0</v>
      </c>
      <c r="T787">
        <v>1</v>
      </c>
    </row>
    <row r="788" spans="1:20" ht="16.5" x14ac:dyDescent="0.3">
      <c r="A788" t="s">
        <v>832</v>
      </c>
      <c r="B788" s="1">
        <v>45410</v>
      </c>
      <c r="C788">
        <v>2024</v>
      </c>
      <c r="D788" t="s">
        <v>649</v>
      </c>
      <c r="E788" t="s">
        <v>650</v>
      </c>
      <c r="F788" t="s">
        <v>57</v>
      </c>
      <c r="G788" t="s">
        <v>39</v>
      </c>
      <c r="H788" t="s">
        <v>25</v>
      </c>
      <c r="I788" t="s">
        <v>31</v>
      </c>
      <c r="J788" t="s">
        <v>27</v>
      </c>
      <c r="K788" t="s">
        <v>32</v>
      </c>
      <c r="L788" s="2">
        <v>8.4</v>
      </c>
      <c r="M788" s="3">
        <v>839</v>
      </c>
      <c r="N788">
        <v>6</v>
      </c>
      <c r="O788">
        <v>6</v>
      </c>
      <c r="P788">
        <v>1</v>
      </c>
      <c r="Q788">
        <v>0</v>
      </c>
      <c r="R788" s="4">
        <v>15.49</v>
      </c>
      <c r="S788">
        <v>0</v>
      </c>
      <c r="T788">
        <v>1</v>
      </c>
    </row>
    <row r="789" spans="1:20" ht="16.5" x14ac:dyDescent="0.3">
      <c r="A789" t="s">
        <v>833</v>
      </c>
      <c r="B789" s="1">
        <v>45410</v>
      </c>
      <c r="C789">
        <v>2024</v>
      </c>
      <c r="D789" t="s">
        <v>649</v>
      </c>
      <c r="E789" t="s">
        <v>650</v>
      </c>
      <c r="F789" t="s">
        <v>30</v>
      </c>
      <c r="G789" t="s">
        <v>35</v>
      </c>
      <c r="H789" t="s">
        <v>36</v>
      </c>
      <c r="I789" t="s">
        <v>26</v>
      </c>
      <c r="J789" t="s">
        <v>27</v>
      </c>
      <c r="K789" t="s">
        <v>28</v>
      </c>
      <c r="L789" s="2">
        <v>91</v>
      </c>
      <c r="M789" s="3">
        <v>283</v>
      </c>
      <c r="N789">
        <v>3</v>
      </c>
      <c r="O789">
        <v>3</v>
      </c>
      <c r="P789">
        <v>1</v>
      </c>
      <c r="Q789">
        <v>0</v>
      </c>
      <c r="R789" s="4">
        <v>46.91</v>
      </c>
      <c r="S789">
        <v>0</v>
      </c>
      <c r="T789">
        <v>1</v>
      </c>
    </row>
    <row r="790" spans="1:20" ht="16.5" x14ac:dyDescent="0.3">
      <c r="A790" t="s">
        <v>834</v>
      </c>
      <c r="B790" s="1">
        <v>45410</v>
      </c>
      <c r="C790">
        <v>2024</v>
      </c>
      <c r="D790" t="s">
        <v>649</v>
      </c>
      <c r="E790" t="s">
        <v>650</v>
      </c>
      <c r="F790" t="s">
        <v>38</v>
      </c>
      <c r="G790" t="s">
        <v>35</v>
      </c>
      <c r="H790" t="s">
        <v>48</v>
      </c>
      <c r="I790" t="s">
        <v>26</v>
      </c>
      <c r="J790" t="s">
        <v>27</v>
      </c>
      <c r="K790" t="s">
        <v>32</v>
      </c>
      <c r="L790" s="2">
        <v>3.8</v>
      </c>
      <c r="M790" s="3">
        <v>467</v>
      </c>
      <c r="N790">
        <v>4</v>
      </c>
      <c r="O790">
        <v>3</v>
      </c>
      <c r="P790">
        <v>1</v>
      </c>
      <c r="Q790">
        <v>0</v>
      </c>
      <c r="R790" s="4">
        <v>14.7</v>
      </c>
      <c r="S790">
        <v>0</v>
      </c>
      <c r="T790">
        <v>1</v>
      </c>
    </row>
    <row r="791" spans="1:20" ht="16.5" x14ac:dyDescent="0.3">
      <c r="A791" t="s">
        <v>835</v>
      </c>
      <c r="B791" s="1">
        <v>45410</v>
      </c>
      <c r="C791">
        <v>2024</v>
      </c>
      <c r="D791" t="s">
        <v>649</v>
      </c>
      <c r="E791" t="s">
        <v>650</v>
      </c>
      <c r="F791" t="s">
        <v>23</v>
      </c>
      <c r="G791" t="s">
        <v>39</v>
      </c>
      <c r="H791" t="s">
        <v>48</v>
      </c>
      <c r="I791" t="s">
        <v>26</v>
      </c>
      <c r="J791" t="s">
        <v>27</v>
      </c>
      <c r="K791" t="s">
        <v>32</v>
      </c>
      <c r="L791" s="2">
        <v>8.1</v>
      </c>
      <c r="M791" s="3">
        <v>564</v>
      </c>
      <c r="N791">
        <v>4</v>
      </c>
      <c r="O791">
        <v>4</v>
      </c>
      <c r="P791">
        <v>1</v>
      </c>
      <c r="Q791">
        <v>0</v>
      </c>
      <c r="R791" s="4">
        <v>17.510000000000002</v>
      </c>
      <c r="S791">
        <v>1</v>
      </c>
      <c r="T791">
        <v>1</v>
      </c>
    </row>
    <row r="792" spans="1:20" ht="16.5" x14ac:dyDescent="0.3">
      <c r="A792" t="s">
        <v>836</v>
      </c>
      <c r="B792" s="1">
        <v>45410</v>
      </c>
      <c r="C792">
        <v>2024</v>
      </c>
      <c r="D792" t="s">
        <v>649</v>
      </c>
      <c r="E792" t="s">
        <v>650</v>
      </c>
      <c r="F792" t="s">
        <v>38</v>
      </c>
      <c r="G792" t="s">
        <v>39</v>
      </c>
      <c r="H792" t="s">
        <v>36</v>
      </c>
      <c r="I792" t="s">
        <v>40</v>
      </c>
      <c r="J792" t="s">
        <v>27</v>
      </c>
      <c r="K792" t="s">
        <v>28</v>
      </c>
      <c r="L792" s="2">
        <v>126.4</v>
      </c>
      <c r="M792" s="3">
        <v>281</v>
      </c>
      <c r="N792">
        <v>1</v>
      </c>
      <c r="O792">
        <v>1</v>
      </c>
      <c r="P792">
        <v>1</v>
      </c>
      <c r="Q792">
        <v>0</v>
      </c>
      <c r="R792" s="4">
        <v>134.05000000000001</v>
      </c>
      <c r="S792">
        <v>0</v>
      </c>
      <c r="T792">
        <v>1</v>
      </c>
    </row>
    <row r="793" spans="1:20" ht="16.5" x14ac:dyDescent="0.3">
      <c r="A793" t="s">
        <v>837</v>
      </c>
      <c r="B793" s="1">
        <v>45410</v>
      </c>
      <c r="C793">
        <v>2024</v>
      </c>
      <c r="D793" t="s">
        <v>649</v>
      </c>
      <c r="E793" t="s">
        <v>650</v>
      </c>
      <c r="F793" t="s">
        <v>38</v>
      </c>
      <c r="G793" t="s">
        <v>39</v>
      </c>
      <c r="H793" t="s">
        <v>25</v>
      </c>
      <c r="I793" t="s">
        <v>40</v>
      </c>
      <c r="J793" t="s">
        <v>41</v>
      </c>
      <c r="K793" t="s">
        <v>32</v>
      </c>
      <c r="L793" s="2">
        <v>13.3</v>
      </c>
      <c r="M793" s="3">
        <v>931</v>
      </c>
      <c r="N793">
        <v>2</v>
      </c>
      <c r="O793">
        <v>2</v>
      </c>
      <c r="P793">
        <v>1</v>
      </c>
      <c r="Q793">
        <v>0</v>
      </c>
      <c r="R793" s="4">
        <v>86.01</v>
      </c>
      <c r="S793">
        <v>0</v>
      </c>
      <c r="T793">
        <v>1</v>
      </c>
    </row>
    <row r="794" spans="1:20" ht="16.5" x14ac:dyDescent="0.3">
      <c r="A794" t="s">
        <v>838</v>
      </c>
      <c r="B794" s="1">
        <v>45411</v>
      </c>
      <c r="C794">
        <v>2024</v>
      </c>
      <c r="D794" t="s">
        <v>649</v>
      </c>
      <c r="E794" t="s">
        <v>650</v>
      </c>
      <c r="F794" t="s">
        <v>38</v>
      </c>
      <c r="G794" t="s">
        <v>39</v>
      </c>
      <c r="H794" t="s">
        <v>43</v>
      </c>
      <c r="I794" t="s">
        <v>31</v>
      </c>
      <c r="J794" t="s">
        <v>27</v>
      </c>
      <c r="K794" t="s">
        <v>32</v>
      </c>
      <c r="L794" s="2">
        <v>10.199999999999999</v>
      </c>
      <c r="M794" s="3">
        <v>1243</v>
      </c>
      <c r="N794">
        <v>7</v>
      </c>
      <c r="O794">
        <v>6</v>
      </c>
      <c r="P794">
        <v>1</v>
      </c>
      <c r="Q794">
        <v>0</v>
      </c>
      <c r="R794" s="4">
        <v>24.03</v>
      </c>
      <c r="S794">
        <v>0</v>
      </c>
      <c r="T794">
        <v>1</v>
      </c>
    </row>
    <row r="795" spans="1:20" ht="16.5" x14ac:dyDescent="0.3">
      <c r="A795" t="s">
        <v>839</v>
      </c>
      <c r="B795" s="1">
        <v>45411</v>
      </c>
      <c r="C795">
        <v>2024</v>
      </c>
      <c r="D795" t="s">
        <v>649</v>
      </c>
      <c r="E795" t="s">
        <v>650</v>
      </c>
      <c r="F795" t="s">
        <v>38</v>
      </c>
      <c r="G795" t="s">
        <v>24</v>
      </c>
      <c r="H795" t="s">
        <v>51</v>
      </c>
      <c r="I795" t="s">
        <v>26</v>
      </c>
      <c r="J795" t="s">
        <v>27</v>
      </c>
      <c r="K795" t="s">
        <v>32</v>
      </c>
      <c r="L795" s="2">
        <v>6.1</v>
      </c>
      <c r="M795" s="3">
        <v>960</v>
      </c>
      <c r="N795">
        <v>5</v>
      </c>
      <c r="O795">
        <v>6</v>
      </c>
      <c r="P795">
        <v>0</v>
      </c>
      <c r="Q795">
        <v>1</v>
      </c>
      <c r="R795" s="4">
        <v>25.01</v>
      </c>
      <c r="S795">
        <v>0</v>
      </c>
      <c r="T795">
        <v>1</v>
      </c>
    </row>
    <row r="796" spans="1:20" ht="16.5" x14ac:dyDescent="0.3">
      <c r="A796" t="s">
        <v>840</v>
      </c>
      <c r="B796" s="1">
        <v>45411</v>
      </c>
      <c r="C796">
        <v>2024</v>
      </c>
      <c r="D796" t="s">
        <v>649</v>
      </c>
      <c r="E796" t="s">
        <v>650</v>
      </c>
      <c r="F796" t="s">
        <v>38</v>
      </c>
      <c r="G796" t="s">
        <v>39</v>
      </c>
      <c r="H796" t="s">
        <v>25</v>
      </c>
      <c r="I796" t="s">
        <v>26</v>
      </c>
      <c r="J796" t="s">
        <v>27</v>
      </c>
      <c r="K796" t="s">
        <v>28</v>
      </c>
      <c r="L796" s="2">
        <v>110</v>
      </c>
      <c r="M796" s="3">
        <v>734</v>
      </c>
      <c r="N796">
        <v>4</v>
      </c>
      <c r="O796">
        <v>4</v>
      </c>
      <c r="P796">
        <v>1</v>
      </c>
      <c r="Q796">
        <v>0</v>
      </c>
      <c r="R796" s="4">
        <v>71.8</v>
      </c>
      <c r="S796">
        <v>0</v>
      </c>
      <c r="T796">
        <v>1</v>
      </c>
    </row>
    <row r="797" spans="1:20" ht="16.5" x14ac:dyDescent="0.3">
      <c r="A797" t="s">
        <v>841</v>
      </c>
      <c r="B797" s="1">
        <v>45411</v>
      </c>
      <c r="C797">
        <v>2024</v>
      </c>
      <c r="D797" t="s">
        <v>649</v>
      </c>
      <c r="E797" t="s">
        <v>650</v>
      </c>
      <c r="F797" t="s">
        <v>30</v>
      </c>
      <c r="G797" t="s">
        <v>35</v>
      </c>
      <c r="H797" t="s">
        <v>48</v>
      </c>
      <c r="I797" t="s">
        <v>26</v>
      </c>
      <c r="J797" t="s">
        <v>27</v>
      </c>
      <c r="K797" t="s">
        <v>32</v>
      </c>
      <c r="L797" s="2">
        <v>5.4</v>
      </c>
      <c r="M797" s="3">
        <v>327</v>
      </c>
      <c r="N797">
        <v>4</v>
      </c>
      <c r="O797">
        <v>4</v>
      </c>
      <c r="P797">
        <v>1</v>
      </c>
      <c r="Q797">
        <v>0</v>
      </c>
      <c r="R797" s="4">
        <v>14.8</v>
      </c>
      <c r="S797">
        <v>0</v>
      </c>
      <c r="T797">
        <v>1</v>
      </c>
    </row>
    <row r="798" spans="1:20" ht="16.5" x14ac:dyDescent="0.3">
      <c r="A798" t="s">
        <v>842</v>
      </c>
      <c r="B798" s="1">
        <v>45411</v>
      </c>
      <c r="C798">
        <v>2024</v>
      </c>
      <c r="D798" t="s">
        <v>649</v>
      </c>
      <c r="E798" t="s">
        <v>650</v>
      </c>
      <c r="F798" t="s">
        <v>38</v>
      </c>
      <c r="G798" t="s">
        <v>39</v>
      </c>
      <c r="H798" t="s">
        <v>43</v>
      </c>
      <c r="I798" t="s">
        <v>31</v>
      </c>
      <c r="J798" t="s">
        <v>27</v>
      </c>
      <c r="K798" t="s">
        <v>32</v>
      </c>
      <c r="L798" s="2">
        <v>8</v>
      </c>
      <c r="M798" s="3">
        <v>1009</v>
      </c>
      <c r="N798">
        <v>7</v>
      </c>
      <c r="O798">
        <v>7</v>
      </c>
      <c r="P798">
        <v>1</v>
      </c>
      <c r="Q798">
        <v>0</v>
      </c>
      <c r="R798" s="4">
        <v>18.43</v>
      </c>
      <c r="S798">
        <v>0</v>
      </c>
      <c r="T798">
        <v>1</v>
      </c>
    </row>
    <row r="799" spans="1:20" ht="16.5" x14ac:dyDescent="0.3">
      <c r="A799" t="s">
        <v>843</v>
      </c>
      <c r="B799" s="1">
        <v>45411</v>
      </c>
      <c r="C799">
        <v>2024</v>
      </c>
      <c r="D799" t="s">
        <v>649</v>
      </c>
      <c r="E799" t="s">
        <v>650</v>
      </c>
      <c r="F799" t="s">
        <v>57</v>
      </c>
      <c r="G799" t="s">
        <v>39</v>
      </c>
      <c r="H799" t="s">
        <v>25</v>
      </c>
      <c r="I799" t="s">
        <v>40</v>
      </c>
      <c r="J799" t="s">
        <v>41</v>
      </c>
      <c r="K799" t="s">
        <v>28</v>
      </c>
      <c r="L799" s="2">
        <v>164.9</v>
      </c>
      <c r="M799" s="3">
        <v>1038</v>
      </c>
      <c r="N799">
        <v>2</v>
      </c>
      <c r="O799">
        <v>2</v>
      </c>
      <c r="P799">
        <v>1</v>
      </c>
      <c r="Q799">
        <v>0</v>
      </c>
      <c r="R799" s="4">
        <v>255.72</v>
      </c>
      <c r="S799">
        <v>0</v>
      </c>
      <c r="T799">
        <v>1</v>
      </c>
    </row>
    <row r="800" spans="1:20" ht="16.5" x14ac:dyDescent="0.3">
      <c r="A800" t="s">
        <v>844</v>
      </c>
      <c r="B800" s="1">
        <v>45411</v>
      </c>
      <c r="C800">
        <v>2024</v>
      </c>
      <c r="D800" t="s">
        <v>649</v>
      </c>
      <c r="E800" t="s">
        <v>650</v>
      </c>
      <c r="F800" t="s">
        <v>23</v>
      </c>
      <c r="G800" t="s">
        <v>35</v>
      </c>
      <c r="H800" t="s">
        <v>25</v>
      </c>
      <c r="I800" t="s">
        <v>31</v>
      </c>
      <c r="J800" t="s">
        <v>27</v>
      </c>
      <c r="K800" t="s">
        <v>32</v>
      </c>
      <c r="L800" s="2">
        <v>6.3</v>
      </c>
      <c r="M800" s="3">
        <v>802</v>
      </c>
      <c r="N800">
        <v>6</v>
      </c>
      <c r="O800">
        <v>5</v>
      </c>
      <c r="P800">
        <v>1</v>
      </c>
      <c r="Q800">
        <v>0</v>
      </c>
      <c r="R800" s="4">
        <v>14.72</v>
      </c>
      <c r="S800">
        <v>0</v>
      </c>
      <c r="T800">
        <v>1</v>
      </c>
    </row>
    <row r="801" spans="1:20" ht="16.5" x14ac:dyDescent="0.3">
      <c r="A801" t="s">
        <v>845</v>
      </c>
      <c r="B801" s="1">
        <v>45412</v>
      </c>
      <c r="C801">
        <v>2024</v>
      </c>
      <c r="D801" t="s">
        <v>649</v>
      </c>
      <c r="E801" t="s">
        <v>650</v>
      </c>
      <c r="F801" t="s">
        <v>57</v>
      </c>
      <c r="G801" t="s">
        <v>39</v>
      </c>
      <c r="H801" t="s">
        <v>36</v>
      </c>
      <c r="I801" t="s">
        <v>26</v>
      </c>
      <c r="J801" t="s">
        <v>27</v>
      </c>
      <c r="K801" t="s">
        <v>28</v>
      </c>
      <c r="L801" s="2">
        <v>130.5</v>
      </c>
      <c r="M801" s="3">
        <v>173</v>
      </c>
      <c r="N801">
        <v>3</v>
      </c>
      <c r="O801">
        <v>2</v>
      </c>
      <c r="P801">
        <v>1</v>
      </c>
      <c r="Q801">
        <v>0</v>
      </c>
      <c r="R801" s="4">
        <v>69.12</v>
      </c>
      <c r="S801">
        <v>0</v>
      </c>
      <c r="T801">
        <v>1</v>
      </c>
    </row>
    <row r="802" spans="1:20" ht="16.5" x14ac:dyDescent="0.3">
      <c r="A802" t="s">
        <v>846</v>
      </c>
      <c r="B802" s="1">
        <v>45412</v>
      </c>
      <c r="C802">
        <v>2024</v>
      </c>
      <c r="D802" t="s">
        <v>649</v>
      </c>
      <c r="E802" t="s">
        <v>650</v>
      </c>
      <c r="F802" t="s">
        <v>38</v>
      </c>
      <c r="G802" t="s">
        <v>24</v>
      </c>
      <c r="H802" t="s">
        <v>25</v>
      </c>
      <c r="I802" t="s">
        <v>40</v>
      </c>
      <c r="J802" t="s">
        <v>41</v>
      </c>
      <c r="K802" t="s">
        <v>32</v>
      </c>
      <c r="L802" s="2">
        <v>3.5</v>
      </c>
      <c r="M802" s="3">
        <v>679</v>
      </c>
      <c r="N802">
        <v>2</v>
      </c>
      <c r="O802">
        <v>1</v>
      </c>
      <c r="P802">
        <v>1</v>
      </c>
      <c r="Q802">
        <v>0</v>
      </c>
      <c r="R802" s="4">
        <v>57.21</v>
      </c>
      <c r="S802">
        <v>0</v>
      </c>
      <c r="T802">
        <v>1</v>
      </c>
    </row>
    <row r="803" spans="1:20" ht="16.5" x14ac:dyDescent="0.3">
      <c r="A803" t="s">
        <v>847</v>
      </c>
      <c r="B803" s="1">
        <v>45412</v>
      </c>
      <c r="C803">
        <v>2024</v>
      </c>
      <c r="D803" t="s">
        <v>649</v>
      </c>
      <c r="E803" t="s">
        <v>650</v>
      </c>
      <c r="F803" t="s">
        <v>38</v>
      </c>
      <c r="G803" t="s">
        <v>35</v>
      </c>
      <c r="H803" t="s">
        <v>48</v>
      </c>
      <c r="I803" t="s">
        <v>40</v>
      </c>
      <c r="J803" t="s">
        <v>27</v>
      </c>
      <c r="K803" t="s">
        <v>28</v>
      </c>
      <c r="L803" s="2">
        <v>16.100000000000001</v>
      </c>
      <c r="M803" s="3">
        <v>429</v>
      </c>
      <c r="N803">
        <v>2</v>
      </c>
      <c r="O803">
        <v>2</v>
      </c>
      <c r="P803">
        <v>1</v>
      </c>
      <c r="Q803">
        <v>0</v>
      </c>
      <c r="R803" s="4">
        <v>47.95</v>
      </c>
      <c r="S803">
        <v>0</v>
      </c>
      <c r="T803">
        <v>1</v>
      </c>
    </row>
    <row r="804" spans="1:20" ht="16.5" x14ac:dyDescent="0.3">
      <c r="A804" t="s">
        <v>848</v>
      </c>
      <c r="B804" s="1">
        <v>45412</v>
      </c>
      <c r="C804">
        <v>2024</v>
      </c>
      <c r="D804" t="s">
        <v>649</v>
      </c>
      <c r="E804" t="s">
        <v>650</v>
      </c>
      <c r="F804" t="s">
        <v>34</v>
      </c>
      <c r="G804" t="s">
        <v>24</v>
      </c>
      <c r="H804" t="s">
        <v>51</v>
      </c>
      <c r="I804" t="s">
        <v>40</v>
      </c>
      <c r="J804" t="s">
        <v>41</v>
      </c>
      <c r="K804" t="s">
        <v>32</v>
      </c>
      <c r="L804" s="2">
        <v>1.9</v>
      </c>
      <c r="M804" s="3">
        <v>1078</v>
      </c>
      <c r="N804">
        <v>3</v>
      </c>
      <c r="O804">
        <v>3</v>
      </c>
      <c r="P804">
        <v>1</v>
      </c>
      <c r="Q804">
        <v>0</v>
      </c>
      <c r="R804" s="4">
        <v>52.97</v>
      </c>
      <c r="S804">
        <v>0</v>
      </c>
      <c r="T804">
        <v>1</v>
      </c>
    </row>
    <row r="805" spans="1:20" ht="16.5" x14ac:dyDescent="0.3">
      <c r="A805" t="s">
        <v>849</v>
      </c>
      <c r="B805" s="1">
        <v>45412</v>
      </c>
      <c r="C805">
        <v>2024</v>
      </c>
      <c r="D805" t="s">
        <v>649</v>
      </c>
      <c r="E805" t="s">
        <v>650</v>
      </c>
      <c r="F805" t="s">
        <v>38</v>
      </c>
      <c r="G805" t="s">
        <v>35</v>
      </c>
      <c r="H805" t="s">
        <v>51</v>
      </c>
      <c r="I805" t="s">
        <v>31</v>
      </c>
      <c r="J805" t="s">
        <v>27</v>
      </c>
      <c r="K805" t="s">
        <v>28</v>
      </c>
      <c r="L805" s="2">
        <v>138.9</v>
      </c>
      <c r="M805" s="3">
        <v>970</v>
      </c>
      <c r="N805">
        <v>7</v>
      </c>
      <c r="O805">
        <v>7</v>
      </c>
      <c r="P805">
        <v>1</v>
      </c>
      <c r="Q805">
        <v>0</v>
      </c>
      <c r="R805" s="4">
        <v>61.1</v>
      </c>
      <c r="S805">
        <v>0</v>
      </c>
      <c r="T805">
        <v>1</v>
      </c>
    </row>
    <row r="806" spans="1:20" ht="16.5" x14ac:dyDescent="0.3">
      <c r="A806" t="s">
        <v>850</v>
      </c>
      <c r="B806" s="1">
        <v>45412</v>
      </c>
      <c r="C806">
        <v>2024</v>
      </c>
      <c r="D806" t="s">
        <v>649</v>
      </c>
      <c r="E806" t="s">
        <v>650</v>
      </c>
      <c r="F806" t="s">
        <v>30</v>
      </c>
      <c r="G806" t="s">
        <v>39</v>
      </c>
      <c r="H806" t="s">
        <v>43</v>
      </c>
      <c r="I806" t="s">
        <v>40</v>
      </c>
      <c r="J806" t="s">
        <v>41</v>
      </c>
      <c r="K806" t="s">
        <v>32</v>
      </c>
      <c r="L806" s="2">
        <v>3.2</v>
      </c>
      <c r="M806" s="3">
        <v>1436</v>
      </c>
      <c r="N806">
        <v>3</v>
      </c>
      <c r="O806">
        <v>3</v>
      </c>
      <c r="P806">
        <v>1</v>
      </c>
      <c r="Q806">
        <v>0</v>
      </c>
      <c r="R806" s="4">
        <v>85.27</v>
      </c>
      <c r="S806">
        <v>0</v>
      </c>
      <c r="T806">
        <v>1</v>
      </c>
    </row>
    <row r="807" spans="1:20" ht="16.5" x14ac:dyDescent="0.3">
      <c r="A807" t="s">
        <v>851</v>
      </c>
      <c r="B807" s="1">
        <v>45412</v>
      </c>
      <c r="C807">
        <v>2024</v>
      </c>
      <c r="D807" t="s">
        <v>649</v>
      </c>
      <c r="E807" t="s">
        <v>650</v>
      </c>
      <c r="F807" t="s">
        <v>23</v>
      </c>
      <c r="G807" t="s">
        <v>39</v>
      </c>
      <c r="H807" t="s">
        <v>25</v>
      </c>
      <c r="I807" t="s">
        <v>31</v>
      </c>
      <c r="J807" t="s">
        <v>27</v>
      </c>
      <c r="K807" t="s">
        <v>32</v>
      </c>
      <c r="L807" s="2">
        <v>17.899999999999999</v>
      </c>
      <c r="M807" s="3">
        <v>848</v>
      </c>
      <c r="N807">
        <v>6</v>
      </c>
      <c r="O807">
        <v>6</v>
      </c>
      <c r="P807">
        <v>1</v>
      </c>
      <c r="Q807">
        <v>0</v>
      </c>
      <c r="R807" s="4">
        <v>16.079999999999998</v>
      </c>
      <c r="S807">
        <v>0</v>
      </c>
      <c r="T807">
        <v>1</v>
      </c>
    </row>
    <row r="808" spans="1:20" ht="16.5" x14ac:dyDescent="0.3">
      <c r="A808" t="s">
        <v>852</v>
      </c>
      <c r="B808" s="1">
        <v>45412</v>
      </c>
      <c r="C808">
        <v>2024</v>
      </c>
      <c r="D808" t="s">
        <v>649</v>
      </c>
      <c r="E808" t="s">
        <v>650</v>
      </c>
      <c r="F808" t="s">
        <v>38</v>
      </c>
      <c r="G808" t="s">
        <v>35</v>
      </c>
      <c r="H808" t="s">
        <v>48</v>
      </c>
      <c r="I808" t="s">
        <v>31</v>
      </c>
      <c r="J808" t="s">
        <v>27</v>
      </c>
      <c r="K808" t="s">
        <v>32</v>
      </c>
      <c r="L808" s="2">
        <v>1.1000000000000001</v>
      </c>
      <c r="M808" s="3">
        <v>605</v>
      </c>
      <c r="N808">
        <v>6</v>
      </c>
      <c r="O808">
        <v>6</v>
      </c>
      <c r="P808">
        <v>1</v>
      </c>
      <c r="Q808">
        <v>0</v>
      </c>
      <c r="R808" s="4">
        <v>11.5</v>
      </c>
      <c r="S808">
        <v>0</v>
      </c>
      <c r="T808">
        <v>1</v>
      </c>
    </row>
    <row r="809" spans="1:20" ht="16.5" x14ac:dyDescent="0.3">
      <c r="A809" t="s">
        <v>853</v>
      </c>
      <c r="B809" s="1">
        <v>45412</v>
      </c>
      <c r="C809">
        <v>2024</v>
      </c>
      <c r="D809" t="s">
        <v>649</v>
      </c>
      <c r="E809" t="s">
        <v>650</v>
      </c>
      <c r="F809" t="s">
        <v>38</v>
      </c>
      <c r="G809" t="s">
        <v>35</v>
      </c>
      <c r="H809" t="s">
        <v>51</v>
      </c>
      <c r="I809" t="s">
        <v>40</v>
      </c>
      <c r="J809" t="s">
        <v>41</v>
      </c>
      <c r="K809" t="s">
        <v>32</v>
      </c>
      <c r="L809" s="2">
        <v>4.8</v>
      </c>
      <c r="M809" s="3">
        <v>919</v>
      </c>
      <c r="N809">
        <v>3</v>
      </c>
      <c r="O809">
        <v>3</v>
      </c>
      <c r="P809">
        <v>1</v>
      </c>
      <c r="Q809">
        <v>0</v>
      </c>
      <c r="R809" s="4">
        <v>75.069999999999993</v>
      </c>
      <c r="S809">
        <v>0</v>
      </c>
      <c r="T809">
        <v>1</v>
      </c>
    </row>
    <row r="810" spans="1:20" ht="16.5" x14ac:dyDescent="0.3">
      <c r="A810" t="s">
        <v>854</v>
      </c>
      <c r="B810" s="1">
        <v>45412</v>
      </c>
      <c r="C810">
        <v>2024</v>
      </c>
      <c r="D810" t="s">
        <v>649</v>
      </c>
      <c r="E810" t="s">
        <v>650</v>
      </c>
      <c r="F810" t="s">
        <v>30</v>
      </c>
      <c r="G810" t="s">
        <v>24</v>
      </c>
      <c r="H810" t="s">
        <v>36</v>
      </c>
      <c r="I810" t="s">
        <v>31</v>
      </c>
      <c r="J810" t="s">
        <v>27</v>
      </c>
      <c r="K810" t="s">
        <v>32</v>
      </c>
      <c r="L810" s="2">
        <v>4</v>
      </c>
      <c r="M810" s="3">
        <v>247</v>
      </c>
      <c r="N810">
        <v>5</v>
      </c>
      <c r="O810">
        <v>4</v>
      </c>
      <c r="P810">
        <v>1</v>
      </c>
      <c r="Q810">
        <v>0</v>
      </c>
      <c r="R810" s="4">
        <v>8.66</v>
      </c>
      <c r="S810">
        <v>0</v>
      </c>
      <c r="T810">
        <v>1</v>
      </c>
    </row>
    <row r="811" spans="1:20" ht="16.5" x14ac:dyDescent="0.3">
      <c r="A811" t="s">
        <v>855</v>
      </c>
      <c r="B811" s="1">
        <v>45412</v>
      </c>
      <c r="C811">
        <v>2024</v>
      </c>
      <c r="D811" t="s">
        <v>649</v>
      </c>
      <c r="E811" t="s">
        <v>650</v>
      </c>
      <c r="F811" t="s">
        <v>38</v>
      </c>
      <c r="G811" t="s">
        <v>24</v>
      </c>
      <c r="H811" t="s">
        <v>43</v>
      </c>
      <c r="I811" t="s">
        <v>31</v>
      </c>
      <c r="J811" t="s">
        <v>27</v>
      </c>
      <c r="K811" t="s">
        <v>32</v>
      </c>
      <c r="L811" s="2">
        <v>0.7</v>
      </c>
      <c r="M811" s="3">
        <v>1142</v>
      </c>
      <c r="N811">
        <v>7</v>
      </c>
      <c r="O811">
        <v>7</v>
      </c>
      <c r="P811">
        <v>1</v>
      </c>
      <c r="Q811">
        <v>0</v>
      </c>
      <c r="R811" s="4">
        <v>16.64</v>
      </c>
      <c r="S811">
        <v>0</v>
      </c>
      <c r="T811">
        <v>1</v>
      </c>
    </row>
    <row r="812" spans="1:20" ht="16.5" x14ac:dyDescent="0.3">
      <c r="A812" t="s">
        <v>856</v>
      </c>
      <c r="B812" s="1">
        <v>45412</v>
      </c>
      <c r="C812">
        <v>2024</v>
      </c>
      <c r="D812" t="s">
        <v>649</v>
      </c>
      <c r="E812" t="s">
        <v>650</v>
      </c>
      <c r="F812" t="s">
        <v>57</v>
      </c>
      <c r="G812" t="s">
        <v>39</v>
      </c>
      <c r="H812" t="s">
        <v>51</v>
      </c>
      <c r="I812" t="s">
        <v>31</v>
      </c>
      <c r="J812" t="s">
        <v>27</v>
      </c>
      <c r="K812" t="s">
        <v>32</v>
      </c>
      <c r="L812" s="2">
        <v>4.9000000000000004</v>
      </c>
      <c r="M812" s="3">
        <v>1056</v>
      </c>
      <c r="N812">
        <v>7</v>
      </c>
      <c r="O812">
        <v>7</v>
      </c>
      <c r="P812">
        <v>1</v>
      </c>
      <c r="Q812">
        <v>0</v>
      </c>
      <c r="R812" s="4">
        <v>17.04</v>
      </c>
      <c r="S812">
        <v>0</v>
      </c>
      <c r="T812">
        <v>1</v>
      </c>
    </row>
    <row r="813" spans="1:20" ht="16.5" x14ac:dyDescent="0.3">
      <c r="A813" t="s">
        <v>857</v>
      </c>
      <c r="B813" s="1">
        <v>45412</v>
      </c>
      <c r="C813">
        <v>2024</v>
      </c>
      <c r="D813" t="s">
        <v>649</v>
      </c>
      <c r="E813" t="s">
        <v>650</v>
      </c>
      <c r="F813" t="s">
        <v>57</v>
      </c>
      <c r="G813" t="s">
        <v>35</v>
      </c>
      <c r="H813" t="s">
        <v>48</v>
      </c>
      <c r="I813" t="s">
        <v>40</v>
      </c>
      <c r="J813" t="s">
        <v>27</v>
      </c>
      <c r="K813" t="s">
        <v>32</v>
      </c>
      <c r="L813" s="2">
        <v>1.6</v>
      </c>
      <c r="M813" s="3">
        <v>515</v>
      </c>
      <c r="N813">
        <v>2</v>
      </c>
      <c r="O813">
        <v>1</v>
      </c>
      <c r="P813">
        <v>1</v>
      </c>
      <c r="Q813">
        <v>0</v>
      </c>
      <c r="R813" s="4">
        <v>26.97</v>
      </c>
      <c r="S813">
        <v>0</v>
      </c>
      <c r="T813">
        <v>1</v>
      </c>
    </row>
    <row r="814" spans="1:20" ht="16.5" x14ac:dyDescent="0.3">
      <c r="A814" t="s">
        <v>858</v>
      </c>
      <c r="B814" s="1">
        <v>45413</v>
      </c>
      <c r="C814">
        <v>2024</v>
      </c>
      <c r="D814" t="s">
        <v>649</v>
      </c>
      <c r="E814" t="s">
        <v>859</v>
      </c>
      <c r="F814" t="s">
        <v>34</v>
      </c>
      <c r="G814" t="s">
        <v>35</v>
      </c>
      <c r="H814" t="s">
        <v>36</v>
      </c>
      <c r="I814" t="s">
        <v>40</v>
      </c>
      <c r="J814" t="s">
        <v>27</v>
      </c>
      <c r="K814" t="s">
        <v>32</v>
      </c>
      <c r="L814" s="2">
        <v>1.2</v>
      </c>
      <c r="M814" s="3">
        <v>218</v>
      </c>
      <c r="N814">
        <v>1</v>
      </c>
      <c r="O814">
        <v>1</v>
      </c>
      <c r="P814">
        <v>1</v>
      </c>
      <c r="Q814">
        <v>0</v>
      </c>
      <c r="R814" s="4">
        <v>17.239999999999998</v>
      </c>
      <c r="S814">
        <v>0</v>
      </c>
      <c r="T814">
        <v>1</v>
      </c>
    </row>
    <row r="815" spans="1:20" ht="16.5" x14ac:dyDescent="0.3">
      <c r="A815" t="s">
        <v>860</v>
      </c>
      <c r="B815" s="1">
        <v>45413</v>
      </c>
      <c r="C815">
        <v>2024</v>
      </c>
      <c r="D815" t="s">
        <v>649</v>
      </c>
      <c r="E815" t="s">
        <v>859</v>
      </c>
      <c r="F815" t="s">
        <v>57</v>
      </c>
      <c r="G815" t="s">
        <v>24</v>
      </c>
      <c r="H815" t="s">
        <v>25</v>
      </c>
      <c r="I815" t="s">
        <v>26</v>
      </c>
      <c r="J815" t="s">
        <v>27</v>
      </c>
      <c r="K815" t="s">
        <v>32</v>
      </c>
      <c r="L815" s="2">
        <v>23.2</v>
      </c>
      <c r="M815" s="3">
        <v>853</v>
      </c>
      <c r="N815">
        <v>4</v>
      </c>
      <c r="O815">
        <v>4</v>
      </c>
      <c r="P815">
        <v>1</v>
      </c>
      <c r="Q815">
        <v>0</v>
      </c>
      <c r="R815" s="4">
        <v>26.29</v>
      </c>
      <c r="S815">
        <v>0</v>
      </c>
      <c r="T815">
        <v>1</v>
      </c>
    </row>
    <row r="816" spans="1:20" ht="16.5" x14ac:dyDescent="0.3">
      <c r="A816" t="s">
        <v>861</v>
      </c>
      <c r="B816" s="1">
        <v>45413</v>
      </c>
      <c r="C816">
        <v>2024</v>
      </c>
      <c r="D816" t="s">
        <v>649</v>
      </c>
      <c r="E816" t="s">
        <v>859</v>
      </c>
      <c r="F816" t="s">
        <v>34</v>
      </c>
      <c r="G816" t="s">
        <v>35</v>
      </c>
      <c r="H816" t="s">
        <v>25</v>
      </c>
      <c r="I816" t="s">
        <v>40</v>
      </c>
      <c r="J816" t="s">
        <v>41</v>
      </c>
      <c r="K816" t="s">
        <v>28</v>
      </c>
      <c r="L816" s="2">
        <v>98.5</v>
      </c>
      <c r="M816" s="3">
        <v>810</v>
      </c>
      <c r="N816">
        <v>2</v>
      </c>
      <c r="O816">
        <v>4</v>
      </c>
      <c r="P816">
        <v>0</v>
      </c>
      <c r="Q816">
        <v>2</v>
      </c>
      <c r="R816" s="4">
        <v>165.96</v>
      </c>
      <c r="S816">
        <v>0</v>
      </c>
      <c r="T816">
        <v>1</v>
      </c>
    </row>
    <row r="817" spans="1:20" ht="16.5" x14ac:dyDescent="0.3">
      <c r="A817" t="s">
        <v>862</v>
      </c>
      <c r="B817" s="1">
        <v>45413</v>
      </c>
      <c r="C817">
        <v>2024</v>
      </c>
      <c r="D817" t="s">
        <v>649</v>
      </c>
      <c r="E817" t="s">
        <v>859</v>
      </c>
      <c r="F817" t="s">
        <v>30</v>
      </c>
      <c r="G817" t="s">
        <v>39</v>
      </c>
      <c r="H817" t="s">
        <v>36</v>
      </c>
      <c r="I817" t="s">
        <v>40</v>
      </c>
      <c r="J817" t="s">
        <v>27</v>
      </c>
      <c r="K817" t="s">
        <v>32</v>
      </c>
      <c r="L817" s="2">
        <v>0.9</v>
      </c>
      <c r="M817" s="3">
        <v>208</v>
      </c>
      <c r="N817">
        <v>1</v>
      </c>
      <c r="O817">
        <v>1</v>
      </c>
      <c r="P817">
        <v>1</v>
      </c>
      <c r="Q817">
        <v>0</v>
      </c>
      <c r="R817" s="4">
        <v>20.399999999999999</v>
      </c>
      <c r="S817">
        <v>0</v>
      </c>
      <c r="T817">
        <v>1</v>
      </c>
    </row>
    <row r="818" spans="1:20" ht="16.5" x14ac:dyDescent="0.3">
      <c r="A818" t="s">
        <v>863</v>
      </c>
      <c r="B818" s="1">
        <v>45413</v>
      </c>
      <c r="C818">
        <v>2024</v>
      </c>
      <c r="D818" t="s">
        <v>649</v>
      </c>
      <c r="E818" t="s">
        <v>859</v>
      </c>
      <c r="F818" t="s">
        <v>57</v>
      </c>
      <c r="G818" t="s">
        <v>39</v>
      </c>
      <c r="H818" t="s">
        <v>51</v>
      </c>
      <c r="I818" t="s">
        <v>31</v>
      </c>
      <c r="J818" t="s">
        <v>27</v>
      </c>
      <c r="K818" t="s">
        <v>28</v>
      </c>
      <c r="L818" s="2">
        <v>121.6</v>
      </c>
      <c r="M818" s="3">
        <v>1104</v>
      </c>
      <c r="N818">
        <v>7</v>
      </c>
      <c r="O818">
        <v>8</v>
      </c>
      <c r="P818">
        <v>0</v>
      </c>
      <c r="Q818">
        <v>1</v>
      </c>
      <c r="R818" s="4">
        <v>51.11</v>
      </c>
      <c r="S818">
        <v>0</v>
      </c>
      <c r="T818">
        <v>1</v>
      </c>
    </row>
    <row r="819" spans="1:20" ht="16.5" x14ac:dyDescent="0.3">
      <c r="A819" t="s">
        <v>864</v>
      </c>
      <c r="B819" s="1">
        <v>45414</v>
      </c>
      <c r="C819">
        <v>2024</v>
      </c>
      <c r="D819" t="s">
        <v>649</v>
      </c>
      <c r="E819" t="s">
        <v>859</v>
      </c>
      <c r="F819" t="s">
        <v>57</v>
      </c>
      <c r="G819" t="s">
        <v>39</v>
      </c>
      <c r="H819" t="s">
        <v>48</v>
      </c>
      <c r="I819" t="s">
        <v>40</v>
      </c>
      <c r="J819" t="s">
        <v>27</v>
      </c>
      <c r="K819" t="s">
        <v>28</v>
      </c>
      <c r="L819" s="2">
        <v>249</v>
      </c>
      <c r="M819" s="3">
        <v>378</v>
      </c>
      <c r="N819">
        <v>2</v>
      </c>
      <c r="O819">
        <v>2</v>
      </c>
      <c r="P819">
        <v>1</v>
      </c>
      <c r="Q819">
        <v>0</v>
      </c>
      <c r="R819" s="4">
        <v>225.09</v>
      </c>
      <c r="S819">
        <v>0</v>
      </c>
      <c r="T819">
        <v>1</v>
      </c>
    </row>
    <row r="820" spans="1:20" ht="16.5" x14ac:dyDescent="0.3">
      <c r="A820" t="s">
        <v>865</v>
      </c>
      <c r="B820" s="1">
        <v>45414</v>
      </c>
      <c r="C820">
        <v>2024</v>
      </c>
      <c r="D820" t="s">
        <v>649</v>
      </c>
      <c r="E820" t="s">
        <v>859</v>
      </c>
      <c r="F820" t="s">
        <v>38</v>
      </c>
      <c r="G820" t="s">
        <v>39</v>
      </c>
      <c r="H820" t="s">
        <v>43</v>
      </c>
      <c r="I820" t="s">
        <v>26</v>
      </c>
      <c r="J820" t="s">
        <v>27</v>
      </c>
      <c r="K820" t="s">
        <v>28</v>
      </c>
      <c r="L820" s="2">
        <v>85.9</v>
      </c>
      <c r="M820" s="3">
        <v>1210</v>
      </c>
      <c r="N820">
        <v>5</v>
      </c>
      <c r="O820">
        <v>5</v>
      </c>
      <c r="P820">
        <v>1</v>
      </c>
      <c r="Q820">
        <v>0</v>
      </c>
      <c r="R820" s="4">
        <v>59.03</v>
      </c>
      <c r="S820">
        <v>0</v>
      </c>
      <c r="T820">
        <v>1</v>
      </c>
    </row>
    <row r="821" spans="1:20" ht="16.5" x14ac:dyDescent="0.3">
      <c r="A821" t="s">
        <v>866</v>
      </c>
      <c r="B821" s="1">
        <v>45414</v>
      </c>
      <c r="C821">
        <v>2024</v>
      </c>
      <c r="D821" t="s">
        <v>649</v>
      </c>
      <c r="E821" t="s">
        <v>859</v>
      </c>
      <c r="F821" t="s">
        <v>30</v>
      </c>
      <c r="G821" t="s">
        <v>24</v>
      </c>
      <c r="H821" t="s">
        <v>25</v>
      </c>
      <c r="I821" t="s">
        <v>26</v>
      </c>
      <c r="J821" t="s">
        <v>27</v>
      </c>
      <c r="K821" t="s">
        <v>28</v>
      </c>
      <c r="L821" s="2">
        <v>139.69999999999999</v>
      </c>
      <c r="M821" s="3">
        <v>1011</v>
      </c>
      <c r="N821">
        <v>4</v>
      </c>
      <c r="O821">
        <v>4</v>
      </c>
      <c r="P821">
        <v>1</v>
      </c>
      <c r="Q821">
        <v>0</v>
      </c>
      <c r="R821" s="4">
        <v>76.61</v>
      </c>
      <c r="S821">
        <v>0</v>
      </c>
      <c r="T821">
        <v>1</v>
      </c>
    </row>
    <row r="822" spans="1:20" ht="16.5" x14ac:dyDescent="0.3">
      <c r="A822" t="s">
        <v>867</v>
      </c>
      <c r="B822" s="1">
        <v>45414</v>
      </c>
      <c r="C822">
        <v>2024</v>
      </c>
      <c r="D822" t="s">
        <v>649</v>
      </c>
      <c r="E822" t="s">
        <v>859</v>
      </c>
      <c r="F822" t="s">
        <v>30</v>
      </c>
      <c r="G822" t="s">
        <v>39</v>
      </c>
      <c r="H822" t="s">
        <v>48</v>
      </c>
      <c r="I822" t="s">
        <v>26</v>
      </c>
      <c r="J822" t="s">
        <v>27</v>
      </c>
      <c r="K822" t="s">
        <v>32</v>
      </c>
      <c r="L822" s="2">
        <v>4.4000000000000004</v>
      </c>
      <c r="M822" s="3">
        <v>479</v>
      </c>
      <c r="N822">
        <v>4</v>
      </c>
      <c r="O822">
        <v>4</v>
      </c>
      <c r="P822">
        <v>1</v>
      </c>
      <c r="Q822">
        <v>0</v>
      </c>
      <c r="R822" s="4">
        <v>15.59</v>
      </c>
      <c r="S822">
        <v>0</v>
      </c>
      <c r="T822">
        <v>1</v>
      </c>
    </row>
    <row r="823" spans="1:20" ht="16.5" x14ac:dyDescent="0.3">
      <c r="A823" t="s">
        <v>868</v>
      </c>
      <c r="B823" s="1">
        <v>45414</v>
      </c>
      <c r="C823">
        <v>2024</v>
      </c>
      <c r="D823" t="s">
        <v>649</v>
      </c>
      <c r="E823" t="s">
        <v>859</v>
      </c>
      <c r="F823" t="s">
        <v>23</v>
      </c>
      <c r="G823" t="s">
        <v>35</v>
      </c>
      <c r="H823" t="s">
        <v>43</v>
      </c>
      <c r="I823" t="s">
        <v>31</v>
      </c>
      <c r="J823" t="s">
        <v>27</v>
      </c>
      <c r="K823" t="s">
        <v>28</v>
      </c>
      <c r="L823" s="2">
        <v>14.4</v>
      </c>
      <c r="M823" s="3">
        <v>1091</v>
      </c>
      <c r="N823">
        <v>7</v>
      </c>
      <c r="O823">
        <v>7</v>
      </c>
      <c r="P823">
        <v>1</v>
      </c>
      <c r="Q823">
        <v>0</v>
      </c>
      <c r="R823" s="4">
        <v>19.329999999999998</v>
      </c>
      <c r="S823">
        <v>0</v>
      </c>
      <c r="T823">
        <v>1</v>
      </c>
    </row>
    <row r="824" spans="1:20" ht="16.5" x14ac:dyDescent="0.3">
      <c r="A824" t="s">
        <v>869</v>
      </c>
      <c r="B824" s="1">
        <v>45414</v>
      </c>
      <c r="C824">
        <v>2024</v>
      </c>
      <c r="D824" t="s">
        <v>649</v>
      </c>
      <c r="E824" t="s">
        <v>859</v>
      </c>
      <c r="F824" t="s">
        <v>57</v>
      </c>
      <c r="G824" t="s">
        <v>35</v>
      </c>
      <c r="H824" t="s">
        <v>36</v>
      </c>
      <c r="I824" t="s">
        <v>26</v>
      </c>
      <c r="J824" t="s">
        <v>27</v>
      </c>
      <c r="K824" t="s">
        <v>28</v>
      </c>
      <c r="L824" s="2">
        <v>61.1</v>
      </c>
      <c r="M824" s="3">
        <v>210</v>
      </c>
      <c r="N824">
        <v>3</v>
      </c>
      <c r="O824">
        <v>3</v>
      </c>
      <c r="P824">
        <v>1</v>
      </c>
      <c r="Q824">
        <v>0</v>
      </c>
      <c r="R824" s="4">
        <v>38.32</v>
      </c>
      <c r="S824">
        <v>0</v>
      </c>
      <c r="T824">
        <v>1</v>
      </c>
    </row>
    <row r="825" spans="1:20" ht="16.5" x14ac:dyDescent="0.3">
      <c r="A825" t="s">
        <v>870</v>
      </c>
      <c r="B825" s="1">
        <v>45414</v>
      </c>
      <c r="C825">
        <v>2024</v>
      </c>
      <c r="D825" t="s">
        <v>649</v>
      </c>
      <c r="E825" t="s">
        <v>859</v>
      </c>
      <c r="F825" t="s">
        <v>23</v>
      </c>
      <c r="G825" t="s">
        <v>35</v>
      </c>
      <c r="H825" t="s">
        <v>25</v>
      </c>
      <c r="I825" t="s">
        <v>26</v>
      </c>
      <c r="J825" t="s">
        <v>27</v>
      </c>
      <c r="K825" t="s">
        <v>32</v>
      </c>
      <c r="L825" s="2">
        <v>11.1</v>
      </c>
      <c r="M825" s="3">
        <v>629</v>
      </c>
      <c r="N825">
        <v>4</v>
      </c>
      <c r="O825">
        <v>3</v>
      </c>
      <c r="P825">
        <v>1</v>
      </c>
      <c r="Q825">
        <v>0</v>
      </c>
      <c r="R825" s="4">
        <v>17.88</v>
      </c>
      <c r="S825">
        <v>0</v>
      </c>
      <c r="T825">
        <v>1</v>
      </c>
    </row>
    <row r="826" spans="1:20" ht="16.5" x14ac:dyDescent="0.3">
      <c r="A826" t="s">
        <v>871</v>
      </c>
      <c r="B826" s="1">
        <v>45414</v>
      </c>
      <c r="C826">
        <v>2024</v>
      </c>
      <c r="D826" t="s">
        <v>649</v>
      </c>
      <c r="E826" t="s">
        <v>859</v>
      </c>
      <c r="F826" t="s">
        <v>34</v>
      </c>
      <c r="G826" t="s">
        <v>39</v>
      </c>
      <c r="H826" t="s">
        <v>43</v>
      </c>
      <c r="I826" t="s">
        <v>26</v>
      </c>
      <c r="J826" t="s">
        <v>27</v>
      </c>
      <c r="K826" t="s">
        <v>32</v>
      </c>
      <c r="L826" s="2">
        <v>4.9000000000000004</v>
      </c>
      <c r="M826" s="3">
        <v>1155</v>
      </c>
      <c r="N826">
        <v>5</v>
      </c>
      <c r="O826">
        <v>5</v>
      </c>
      <c r="P826">
        <v>1</v>
      </c>
      <c r="Q826">
        <v>0</v>
      </c>
      <c r="R826" s="4">
        <v>19.809999999999999</v>
      </c>
      <c r="S826">
        <v>0</v>
      </c>
      <c r="T826">
        <v>1</v>
      </c>
    </row>
    <row r="827" spans="1:20" ht="16.5" x14ac:dyDescent="0.3">
      <c r="A827" t="s">
        <v>872</v>
      </c>
      <c r="B827" s="1">
        <v>45414</v>
      </c>
      <c r="C827">
        <v>2024</v>
      </c>
      <c r="D827" t="s">
        <v>649</v>
      </c>
      <c r="E827" t="s">
        <v>859</v>
      </c>
      <c r="F827" t="s">
        <v>23</v>
      </c>
      <c r="G827" t="s">
        <v>35</v>
      </c>
      <c r="H827" t="s">
        <v>36</v>
      </c>
      <c r="I827" t="s">
        <v>26</v>
      </c>
      <c r="J827" t="s">
        <v>27</v>
      </c>
      <c r="K827" t="s">
        <v>28</v>
      </c>
      <c r="L827" s="2">
        <v>72</v>
      </c>
      <c r="M827" s="3">
        <v>263</v>
      </c>
      <c r="N827">
        <v>3</v>
      </c>
      <c r="O827">
        <v>5</v>
      </c>
      <c r="P827">
        <v>0</v>
      </c>
      <c r="Q827">
        <v>2</v>
      </c>
      <c r="R827" s="4">
        <v>39.07</v>
      </c>
      <c r="S827">
        <v>0</v>
      </c>
      <c r="T827">
        <v>1</v>
      </c>
    </row>
    <row r="828" spans="1:20" ht="16.5" x14ac:dyDescent="0.3">
      <c r="A828" t="s">
        <v>873</v>
      </c>
      <c r="B828" s="1">
        <v>45414</v>
      </c>
      <c r="C828">
        <v>2024</v>
      </c>
      <c r="D828" t="s">
        <v>649</v>
      </c>
      <c r="E828" t="s">
        <v>859</v>
      </c>
      <c r="F828" t="s">
        <v>34</v>
      </c>
      <c r="G828" t="s">
        <v>39</v>
      </c>
      <c r="H828" t="s">
        <v>25</v>
      </c>
      <c r="I828" t="s">
        <v>31</v>
      </c>
      <c r="J828" t="s">
        <v>27</v>
      </c>
      <c r="K828" t="s">
        <v>32</v>
      </c>
      <c r="L828" s="2">
        <v>14.5</v>
      </c>
      <c r="M828" s="3">
        <v>900</v>
      </c>
      <c r="N828">
        <v>6</v>
      </c>
      <c r="O828">
        <v>6</v>
      </c>
      <c r="P828">
        <v>1</v>
      </c>
      <c r="Q828">
        <v>0</v>
      </c>
      <c r="R828" s="4">
        <v>16.8</v>
      </c>
      <c r="S828">
        <v>0</v>
      </c>
      <c r="T828">
        <v>1</v>
      </c>
    </row>
    <row r="829" spans="1:20" ht="16.5" x14ac:dyDescent="0.3">
      <c r="A829" t="s">
        <v>874</v>
      </c>
      <c r="B829" s="1">
        <v>45414</v>
      </c>
      <c r="C829">
        <v>2024</v>
      </c>
      <c r="D829" t="s">
        <v>649</v>
      </c>
      <c r="E829" t="s">
        <v>859</v>
      </c>
      <c r="F829" t="s">
        <v>38</v>
      </c>
      <c r="G829" t="s">
        <v>24</v>
      </c>
      <c r="H829" t="s">
        <v>36</v>
      </c>
      <c r="I829" t="s">
        <v>31</v>
      </c>
      <c r="J829" t="s">
        <v>27</v>
      </c>
      <c r="K829" t="s">
        <v>28</v>
      </c>
      <c r="L829" s="2">
        <v>223.8</v>
      </c>
      <c r="M829" s="3">
        <v>194</v>
      </c>
      <c r="N829">
        <v>5</v>
      </c>
      <c r="O829">
        <v>5</v>
      </c>
      <c r="P829">
        <v>1</v>
      </c>
      <c r="Q829">
        <v>0</v>
      </c>
      <c r="R829" s="4">
        <v>77.83</v>
      </c>
      <c r="S829">
        <v>0</v>
      </c>
      <c r="T829">
        <v>1</v>
      </c>
    </row>
    <row r="830" spans="1:20" ht="16.5" x14ac:dyDescent="0.3">
      <c r="A830" t="s">
        <v>875</v>
      </c>
      <c r="B830" s="1">
        <v>45414</v>
      </c>
      <c r="C830">
        <v>2024</v>
      </c>
      <c r="D830" t="s">
        <v>649</v>
      </c>
      <c r="E830" t="s">
        <v>859</v>
      </c>
      <c r="F830" t="s">
        <v>23</v>
      </c>
      <c r="G830" t="s">
        <v>35</v>
      </c>
      <c r="H830" t="s">
        <v>25</v>
      </c>
      <c r="I830" t="s">
        <v>31</v>
      </c>
      <c r="J830" t="s">
        <v>27</v>
      </c>
      <c r="K830" t="s">
        <v>28</v>
      </c>
      <c r="L830" s="2">
        <v>117.7</v>
      </c>
      <c r="M830" s="3">
        <v>768</v>
      </c>
      <c r="N830">
        <v>6</v>
      </c>
      <c r="O830">
        <v>6</v>
      </c>
      <c r="P830">
        <v>1</v>
      </c>
      <c r="Q830">
        <v>0</v>
      </c>
      <c r="R830" s="4">
        <v>45.52</v>
      </c>
      <c r="S830">
        <v>0</v>
      </c>
      <c r="T830">
        <v>1</v>
      </c>
    </row>
    <row r="831" spans="1:20" ht="16.5" x14ac:dyDescent="0.3">
      <c r="A831" t="s">
        <v>876</v>
      </c>
      <c r="B831" s="1">
        <v>45415</v>
      </c>
      <c r="C831">
        <v>2024</v>
      </c>
      <c r="D831" t="s">
        <v>649</v>
      </c>
      <c r="E831" t="s">
        <v>859</v>
      </c>
      <c r="F831" t="s">
        <v>38</v>
      </c>
      <c r="G831" t="s">
        <v>35</v>
      </c>
      <c r="H831" t="s">
        <v>48</v>
      </c>
      <c r="I831" t="s">
        <v>26</v>
      </c>
      <c r="J831" t="s">
        <v>27</v>
      </c>
      <c r="K831" t="s">
        <v>32</v>
      </c>
      <c r="L831" s="2">
        <v>1.5</v>
      </c>
      <c r="M831" s="3">
        <v>479</v>
      </c>
      <c r="N831">
        <v>4</v>
      </c>
      <c r="O831">
        <v>3</v>
      </c>
      <c r="P831">
        <v>1</v>
      </c>
      <c r="Q831">
        <v>0</v>
      </c>
      <c r="R831" s="4">
        <v>14.59</v>
      </c>
      <c r="S831">
        <v>0</v>
      </c>
      <c r="T831">
        <v>1</v>
      </c>
    </row>
    <row r="832" spans="1:20" ht="16.5" x14ac:dyDescent="0.3">
      <c r="A832" t="s">
        <v>877</v>
      </c>
      <c r="B832" s="1">
        <v>45415</v>
      </c>
      <c r="C832">
        <v>2024</v>
      </c>
      <c r="D832" t="s">
        <v>649</v>
      </c>
      <c r="E832" t="s">
        <v>859</v>
      </c>
      <c r="F832" t="s">
        <v>30</v>
      </c>
      <c r="G832" t="s">
        <v>39</v>
      </c>
      <c r="H832" t="s">
        <v>25</v>
      </c>
      <c r="I832" t="s">
        <v>40</v>
      </c>
      <c r="J832" t="s">
        <v>41</v>
      </c>
      <c r="K832" t="s">
        <v>32</v>
      </c>
      <c r="L832" s="2">
        <v>8.1</v>
      </c>
      <c r="M832" s="3">
        <v>1024</v>
      </c>
      <c r="N832">
        <v>2</v>
      </c>
      <c r="O832">
        <v>1</v>
      </c>
      <c r="P832">
        <v>1</v>
      </c>
      <c r="Q832">
        <v>0</v>
      </c>
      <c r="R832" s="4">
        <v>79.599999999999994</v>
      </c>
      <c r="S832">
        <v>0</v>
      </c>
      <c r="T832">
        <v>1</v>
      </c>
    </row>
    <row r="833" spans="1:20" ht="16.5" x14ac:dyDescent="0.3">
      <c r="A833" t="s">
        <v>878</v>
      </c>
      <c r="B833" s="1">
        <v>45415</v>
      </c>
      <c r="C833">
        <v>2024</v>
      </c>
      <c r="D833" t="s">
        <v>649</v>
      </c>
      <c r="E833" t="s">
        <v>859</v>
      </c>
      <c r="F833" t="s">
        <v>34</v>
      </c>
      <c r="G833" t="s">
        <v>39</v>
      </c>
      <c r="H833" t="s">
        <v>36</v>
      </c>
      <c r="I833" t="s">
        <v>31</v>
      </c>
      <c r="J833" t="s">
        <v>27</v>
      </c>
      <c r="K833" t="s">
        <v>32</v>
      </c>
      <c r="L833" s="2">
        <v>9.1999999999999993</v>
      </c>
      <c r="M833" s="3">
        <v>209</v>
      </c>
      <c r="N833">
        <v>5</v>
      </c>
      <c r="O833">
        <v>5</v>
      </c>
      <c r="P833">
        <v>1</v>
      </c>
      <c r="Q833">
        <v>0</v>
      </c>
      <c r="R833" s="4">
        <v>9.18</v>
      </c>
      <c r="S833">
        <v>0</v>
      </c>
      <c r="T833">
        <v>1</v>
      </c>
    </row>
    <row r="834" spans="1:20" ht="16.5" x14ac:dyDescent="0.3">
      <c r="A834" t="s">
        <v>879</v>
      </c>
      <c r="B834" s="1">
        <v>45415</v>
      </c>
      <c r="C834">
        <v>2024</v>
      </c>
      <c r="D834" t="s">
        <v>649</v>
      </c>
      <c r="E834" t="s">
        <v>859</v>
      </c>
      <c r="F834" t="s">
        <v>23</v>
      </c>
      <c r="G834" t="s">
        <v>39</v>
      </c>
      <c r="H834" t="s">
        <v>25</v>
      </c>
      <c r="I834" t="s">
        <v>26</v>
      </c>
      <c r="J834" t="s">
        <v>27</v>
      </c>
      <c r="K834" t="s">
        <v>28</v>
      </c>
      <c r="L834" s="2">
        <v>194</v>
      </c>
      <c r="M834" s="3">
        <v>1016</v>
      </c>
      <c r="N834">
        <v>4</v>
      </c>
      <c r="O834">
        <v>4</v>
      </c>
      <c r="P834">
        <v>1</v>
      </c>
      <c r="Q834">
        <v>0</v>
      </c>
      <c r="R834" s="4">
        <v>97.85</v>
      </c>
      <c r="S834">
        <v>0</v>
      </c>
      <c r="T834">
        <v>1</v>
      </c>
    </row>
    <row r="835" spans="1:20" ht="16.5" x14ac:dyDescent="0.3">
      <c r="A835" t="s">
        <v>880</v>
      </c>
      <c r="B835" s="1">
        <v>45415</v>
      </c>
      <c r="C835">
        <v>2024</v>
      </c>
      <c r="D835" t="s">
        <v>649</v>
      </c>
      <c r="E835" t="s">
        <v>859</v>
      </c>
      <c r="F835" t="s">
        <v>38</v>
      </c>
      <c r="G835" t="s">
        <v>39</v>
      </c>
      <c r="H835" t="s">
        <v>25</v>
      </c>
      <c r="I835" t="s">
        <v>26</v>
      </c>
      <c r="J835" t="s">
        <v>27</v>
      </c>
      <c r="K835" t="s">
        <v>32</v>
      </c>
      <c r="L835" s="2">
        <v>4.4000000000000004</v>
      </c>
      <c r="M835" s="3">
        <v>724</v>
      </c>
      <c r="N835">
        <v>4</v>
      </c>
      <c r="O835">
        <v>4</v>
      </c>
      <c r="P835">
        <v>1</v>
      </c>
      <c r="Q835">
        <v>0</v>
      </c>
      <c r="R835" s="4">
        <v>20.49</v>
      </c>
      <c r="S835">
        <v>0</v>
      </c>
      <c r="T835">
        <v>1</v>
      </c>
    </row>
    <row r="836" spans="1:20" ht="16.5" x14ac:dyDescent="0.3">
      <c r="A836" t="s">
        <v>881</v>
      </c>
      <c r="B836" s="1">
        <v>45415</v>
      </c>
      <c r="C836">
        <v>2024</v>
      </c>
      <c r="D836" t="s">
        <v>649</v>
      </c>
      <c r="E836" t="s">
        <v>859</v>
      </c>
      <c r="F836" t="s">
        <v>57</v>
      </c>
      <c r="G836" t="s">
        <v>39</v>
      </c>
      <c r="H836" t="s">
        <v>36</v>
      </c>
      <c r="I836" t="s">
        <v>26</v>
      </c>
      <c r="J836" t="s">
        <v>27</v>
      </c>
      <c r="K836" t="s">
        <v>28</v>
      </c>
      <c r="L836" s="2">
        <v>144.80000000000001</v>
      </c>
      <c r="M836" s="3">
        <v>279</v>
      </c>
      <c r="N836">
        <v>3</v>
      </c>
      <c r="O836">
        <v>2</v>
      </c>
      <c r="P836">
        <v>1</v>
      </c>
      <c r="Q836">
        <v>0</v>
      </c>
      <c r="R836" s="4">
        <v>73.88</v>
      </c>
      <c r="S836">
        <v>0</v>
      </c>
      <c r="T836">
        <v>1</v>
      </c>
    </row>
    <row r="837" spans="1:20" ht="16.5" x14ac:dyDescent="0.3">
      <c r="A837" t="s">
        <v>882</v>
      </c>
      <c r="B837" s="1">
        <v>45415</v>
      </c>
      <c r="C837">
        <v>2024</v>
      </c>
      <c r="D837" t="s">
        <v>649</v>
      </c>
      <c r="E837" t="s">
        <v>859</v>
      </c>
      <c r="F837" t="s">
        <v>57</v>
      </c>
      <c r="G837" t="s">
        <v>35</v>
      </c>
      <c r="H837" t="s">
        <v>25</v>
      </c>
      <c r="I837" t="s">
        <v>26</v>
      </c>
      <c r="J837" t="s">
        <v>27</v>
      </c>
      <c r="K837" t="s">
        <v>32</v>
      </c>
      <c r="L837" s="2">
        <v>4.0999999999999996</v>
      </c>
      <c r="M837" s="3">
        <v>773</v>
      </c>
      <c r="N837">
        <v>4</v>
      </c>
      <c r="O837">
        <v>4</v>
      </c>
      <c r="P837">
        <v>1</v>
      </c>
      <c r="Q837">
        <v>0</v>
      </c>
      <c r="R837" s="4">
        <v>17.86</v>
      </c>
      <c r="S837">
        <v>0</v>
      </c>
      <c r="T837">
        <v>1</v>
      </c>
    </row>
    <row r="838" spans="1:20" ht="16.5" x14ac:dyDescent="0.3">
      <c r="A838" t="s">
        <v>883</v>
      </c>
      <c r="B838" s="1">
        <v>45415</v>
      </c>
      <c r="C838">
        <v>2024</v>
      </c>
      <c r="D838" t="s">
        <v>649</v>
      </c>
      <c r="E838" t="s">
        <v>859</v>
      </c>
      <c r="F838" t="s">
        <v>23</v>
      </c>
      <c r="G838" t="s">
        <v>35</v>
      </c>
      <c r="H838" t="s">
        <v>48</v>
      </c>
      <c r="I838" t="s">
        <v>26</v>
      </c>
      <c r="J838" t="s">
        <v>27</v>
      </c>
      <c r="K838" t="s">
        <v>32</v>
      </c>
      <c r="L838" s="2">
        <v>3.6</v>
      </c>
      <c r="M838" s="3">
        <v>389</v>
      </c>
      <c r="N838">
        <v>4</v>
      </c>
      <c r="O838">
        <v>3</v>
      </c>
      <c r="P838">
        <v>1</v>
      </c>
      <c r="Q838">
        <v>0</v>
      </c>
      <c r="R838" s="4">
        <v>13.49</v>
      </c>
      <c r="S838">
        <v>0</v>
      </c>
      <c r="T838">
        <v>1</v>
      </c>
    </row>
    <row r="839" spans="1:20" ht="16.5" x14ac:dyDescent="0.3">
      <c r="A839" t="s">
        <v>884</v>
      </c>
      <c r="B839" s="1">
        <v>45415</v>
      </c>
      <c r="C839">
        <v>2024</v>
      </c>
      <c r="D839" t="s">
        <v>649</v>
      </c>
      <c r="E839" t="s">
        <v>859</v>
      </c>
      <c r="F839" t="s">
        <v>38</v>
      </c>
      <c r="G839" t="s">
        <v>24</v>
      </c>
      <c r="H839" t="s">
        <v>48</v>
      </c>
      <c r="I839" t="s">
        <v>26</v>
      </c>
      <c r="J839" t="s">
        <v>27</v>
      </c>
      <c r="K839" t="s">
        <v>28</v>
      </c>
      <c r="L839" s="2">
        <v>59.8</v>
      </c>
      <c r="M839" s="3">
        <v>436</v>
      </c>
      <c r="N839">
        <v>4</v>
      </c>
      <c r="O839">
        <v>4</v>
      </c>
      <c r="P839">
        <v>1</v>
      </c>
      <c r="Q839">
        <v>0</v>
      </c>
      <c r="R839" s="4">
        <v>42.19</v>
      </c>
      <c r="S839">
        <v>0</v>
      </c>
      <c r="T839">
        <v>1</v>
      </c>
    </row>
    <row r="840" spans="1:20" ht="16.5" x14ac:dyDescent="0.3">
      <c r="A840" t="s">
        <v>885</v>
      </c>
      <c r="B840" s="1">
        <v>45415</v>
      </c>
      <c r="C840">
        <v>2024</v>
      </c>
      <c r="D840" t="s">
        <v>649</v>
      </c>
      <c r="E840" t="s">
        <v>859</v>
      </c>
      <c r="F840" t="s">
        <v>38</v>
      </c>
      <c r="G840" t="s">
        <v>35</v>
      </c>
      <c r="H840" t="s">
        <v>36</v>
      </c>
      <c r="I840" t="s">
        <v>26</v>
      </c>
      <c r="J840" t="s">
        <v>27</v>
      </c>
      <c r="K840" t="s">
        <v>32</v>
      </c>
      <c r="L840" s="2">
        <v>14.5</v>
      </c>
      <c r="M840" s="3">
        <v>305</v>
      </c>
      <c r="N840">
        <v>3</v>
      </c>
      <c r="O840">
        <v>2</v>
      </c>
      <c r="P840">
        <v>1</v>
      </c>
      <c r="Q840">
        <v>0</v>
      </c>
      <c r="R840" s="4">
        <v>20.75</v>
      </c>
      <c r="S840">
        <v>0</v>
      </c>
      <c r="T840">
        <v>1</v>
      </c>
    </row>
    <row r="841" spans="1:20" ht="16.5" x14ac:dyDescent="0.3">
      <c r="A841" t="s">
        <v>886</v>
      </c>
      <c r="B841" s="1">
        <v>45416</v>
      </c>
      <c r="C841">
        <v>2024</v>
      </c>
      <c r="D841" t="s">
        <v>649</v>
      </c>
      <c r="E841" t="s">
        <v>859</v>
      </c>
      <c r="F841" t="s">
        <v>57</v>
      </c>
      <c r="G841" t="s">
        <v>39</v>
      </c>
      <c r="H841" t="s">
        <v>43</v>
      </c>
      <c r="I841" t="s">
        <v>31</v>
      </c>
      <c r="J841" t="s">
        <v>27</v>
      </c>
      <c r="K841" t="s">
        <v>32</v>
      </c>
      <c r="L841" s="2">
        <v>1.1000000000000001</v>
      </c>
      <c r="M841" s="3">
        <v>1175</v>
      </c>
      <c r="N841">
        <v>7</v>
      </c>
      <c r="O841">
        <v>7</v>
      </c>
      <c r="P841">
        <v>1</v>
      </c>
      <c r="Q841">
        <v>0</v>
      </c>
      <c r="R841" s="4">
        <v>14.03</v>
      </c>
      <c r="S841">
        <v>0</v>
      </c>
      <c r="T841">
        <v>1</v>
      </c>
    </row>
    <row r="842" spans="1:20" ht="16.5" x14ac:dyDescent="0.3">
      <c r="A842" t="s">
        <v>887</v>
      </c>
      <c r="B842" s="1">
        <v>45416</v>
      </c>
      <c r="C842">
        <v>2024</v>
      </c>
      <c r="D842" t="s">
        <v>649</v>
      </c>
      <c r="E842" t="s">
        <v>859</v>
      </c>
      <c r="F842" t="s">
        <v>38</v>
      </c>
      <c r="G842" t="s">
        <v>24</v>
      </c>
      <c r="H842" t="s">
        <v>25</v>
      </c>
      <c r="I842" t="s">
        <v>26</v>
      </c>
      <c r="J842" t="s">
        <v>27</v>
      </c>
      <c r="K842" t="s">
        <v>32</v>
      </c>
      <c r="L842" s="2">
        <v>2.1</v>
      </c>
      <c r="M842" s="3">
        <v>1026</v>
      </c>
      <c r="N842">
        <v>4</v>
      </c>
      <c r="O842">
        <v>4</v>
      </c>
      <c r="P842">
        <v>1</v>
      </c>
      <c r="Q842">
        <v>0</v>
      </c>
      <c r="R842" s="4">
        <v>21.65</v>
      </c>
      <c r="S842">
        <v>0</v>
      </c>
      <c r="T842">
        <v>1</v>
      </c>
    </row>
    <row r="843" spans="1:20" ht="16.5" x14ac:dyDescent="0.3">
      <c r="A843" t="s">
        <v>888</v>
      </c>
      <c r="B843" s="1">
        <v>45416</v>
      </c>
      <c r="C843">
        <v>2024</v>
      </c>
      <c r="D843" t="s">
        <v>649</v>
      </c>
      <c r="E843" t="s">
        <v>859</v>
      </c>
      <c r="F843" t="s">
        <v>38</v>
      </c>
      <c r="G843" t="s">
        <v>39</v>
      </c>
      <c r="H843" t="s">
        <v>36</v>
      </c>
      <c r="I843" t="s">
        <v>26</v>
      </c>
      <c r="J843" t="s">
        <v>27</v>
      </c>
      <c r="K843" t="s">
        <v>32</v>
      </c>
      <c r="L843" s="2">
        <v>4.3</v>
      </c>
      <c r="M843" s="3">
        <v>198</v>
      </c>
      <c r="N843">
        <v>3</v>
      </c>
      <c r="O843">
        <v>3</v>
      </c>
      <c r="P843">
        <v>1</v>
      </c>
      <c r="Q843">
        <v>0</v>
      </c>
      <c r="R843" s="4">
        <v>13.03</v>
      </c>
      <c r="S843">
        <v>0</v>
      </c>
      <c r="T843">
        <v>1</v>
      </c>
    </row>
    <row r="844" spans="1:20" ht="16.5" x14ac:dyDescent="0.3">
      <c r="A844" t="s">
        <v>889</v>
      </c>
      <c r="B844" s="1">
        <v>45416</v>
      </c>
      <c r="C844">
        <v>2024</v>
      </c>
      <c r="D844" t="s">
        <v>649</v>
      </c>
      <c r="E844" t="s">
        <v>859</v>
      </c>
      <c r="F844" t="s">
        <v>23</v>
      </c>
      <c r="G844" t="s">
        <v>39</v>
      </c>
      <c r="H844" t="s">
        <v>25</v>
      </c>
      <c r="I844" t="s">
        <v>40</v>
      </c>
      <c r="J844" t="s">
        <v>41</v>
      </c>
      <c r="K844" t="s">
        <v>28</v>
      </c>
      <c r="L844" s="2">
        <v>74.599999999999994</v>
      </c>
      <c r="M844" s="3">
        <v>1197</v>
      </c>
      <c r="N844">
        <v>2</v>
      </c>
      <c r="O844">
        <v>2</v>
      </c>
      <c r="P844">
        <v>1</v>
      </c>
      <c r="Q844">
        <v>0</v>
      </c>
      <c r="R844" s="4">
        <v>163.66999999999999</v>
      </c>
      <c r="S844">
        <v>0</v>
      </c>
      <c r="T844">
        <v>1</v>
      </c>
    </row>
    <row r="845" spans="1:20" ht="16.5" x14ac:dyDescent="0.3">
      <c r="A845" t="s">
        <v>890</v>
      </c>
      <c r="B845" s="1">
        <v>45416</v>
      </c>
      <c r="C845">
        <v>2024</v>
      </c>
      <c r="D845" t="s">
        <v>649</v>
      </c>
      <c r="E845" t="s">
        <v>859</v>
      </c>
      <c r="F845" t="s">
        <v>23</v>
      </c>
      <c r="G845" t="s">
        <v>24</v>
      </c>
      <c r="H845" t="s">
        <v>36</v>
      </c>
      <c r="I845" t="s">
        <v>26</v>
      </c>
      <c r="J845" t="s">
        <v>27</v>
      </c>
      <c r="K845" t="s">
        <v>28</v>
      </c>
      <c r="L845" s="2">
        <v>178.4</v>
      </c>
      <c r="M845" s="3">
        <v>246</v>
      </c>
      <c r="N845">
        <v>3</v>
      </c>
      <c r="O845">
        <v>3</v>
      </c>
      <c r="P845">
        <v>1</v>
      </c>
      <c r="Q845">
        <v>0</v>
      </c>
      <c r="R845" s="4">
        <v>88.83</v>
      </c>
      <c r="S845">
        <v>0</v>
      </c>
      <c r="T845">
        <v>1</v>
      </c>
    </row>
    <row r="846" spans="1:20" ht="16.5" x14ac:dyDescent="0.3">
      <c r="A846" t="s">
        <v>891</v>
      </c>
      <c r="B846" s="1">
        <v>45416</v>
      </c>
      <c r="C846">
        <v>2024</v>
      </c>
      <c r="D846" t="s">
        <v>649</v>
      </c>
      <c r="E846" t="s">
        <v>859</v>
      </c>
      <c r="F846" t="s">
        <v>23</v>
      </c>
      <c r="G846" t="s">
        <v>35</v>
      </c>
      <c r="H846" t="s">
        <v>51</v>
      </c>
      <c r="I846" t="s">
        <v>26</v>
      </c>
      <c r="J846" t="s">
        <v>27</v>
      </c>
      <c r="K846" t="s">
        <v>32</v>
      </c>
      <c r="L846" s="2">
        <v>14.7</v>
      </c>
      <c r="M846" s="3">
        <v>1085</v>
      </c>
      <c r="N846">
        <v>5</v>
      </c>
      <c r="O846">
        <v>5</v>
      </c>
      <c r="P846">
        <v>1</v>
      </c>
      <c r="Q846">
        <v>0</v>
      </c>
      <c r="R846" s="4">
        <v>26.56</v>
      </c>
      <c r="S846">
        <v>0</v>
      </c>
      <c r="T846">
        <v>1</v>
      </c>
    </row>
    <row r="847" spans="1:20" ht="16.5" x14ac:dyDescent="0.3">
      <c r="A847" t="s">
        <v>892</v>
      </c>
      <c r="B847" s="1">
        <v>45416</v>
      </c>
      <c r="C847">
        <v>2024</v>
      </c>
      <c r="D847" t="s">
        <v>649</v>
      </c>
      <c r="E847" t="s">
        <v>859</v>
      </c>
      <c r="F847" t="s">
        <v>34</v>
      </c>
      <c r="G847" t="s">
        <v>35</v>
      </c>
      <c r="H847" t="s">
        <v>36</v>
      </c>
      <c r="I847" t="s">
        <v>31</v>
      </c>
      <c r="J847" t="s">
        <v>27</v>
      </c>
      <c r="K847" t="s">
        <v>32</v>
      </c>
      <c r="L847" s="2">
        <v>3.8</v>
      </c>
      <c r="M847" s="3">
        <v>201</v>
      </c>
      <c r="N847">
        <v>5</v>
      </c>
      <c r="O847">
        <v>4</v>
      </c>
      <c r="P847">
        <v>1</v>
      </c>
      <c r="Q847">
        <v>0</v>
      </c>
      <c r="R847" s="4">
        <v>6.11</v>
      </c>
      <c r="S847">
        <v>0</v>
      </c>
      <c r="T847">
        <v>1</v>
      </c>
    </row>
    <row r="848" spans="1:20" ht="16.5" x14ac:dyDescent="0.3">
      <c r="A848" t="s">
        <v>893</v>
      </c>
      <c r="B848" s="1">
        <v>45417</v>
      </c>
      <c r="C848">
        <v>2024</v>
      </c>
      <c r="D848" t="s">
        <v>649</v>
      </c>
      <c r="E848" t="s">
        <v>859</v>
      </c>
      <c r="F848" t="s">
        <v>38</v>
      </c>
      <c r="G848" t="s">
        <v>39</v>
      </c>
      <c r="H848" t="s">
        <v>48</v>
      </c>
      <c r="I848" t="s">
        <v>40</v>
      </c>
      <c r="J848" t="s">
        <v>27</v>
      </c>
      <c r="K848" t="s">
        <v>32</v>
      </c>
      <c r="L848" s="2">
        <v>1.5</v>
      </c>
      <c r="M848" s="3">
        <v>419</v>
      </c>
      <c r="N848">
        <v>2</v>
      </c>
      <c r="O848">
        <v>2</v>
      </c>
      <c r="P848">
        <v>1</v>
      </c>
      <c r="Q848">
        <v>0</v>
      </c>
      <c r="R848" s="4">
        <v>28.04</v>
      </c>
      <c r="S848">
        <v>0</v>
      </c>
      <c r="T848">
        <v>1</v>
      </c>
    </row>
    <row r="849" spans="1:20" ht="16.5" x14ac:dyDescent="0.3">
      <c r="A849" t="s">
        <v>894</v>
      </c>
      <c r="B849" s="1">
        <v>45417</v>
      </c>
      <c r="C849">
        <v>2024</v>
      </c>
      <c r="D849" t="s">
        <v>649</v>
      </c>
      <c r="E849" t="s">
        <v>859</v>
      </c>
      <c r="F849" t="s">
        <v>34</v>
      </c>
      <c r="G849" t="s">
        <v>39</v>
      </c>
      <c r="H849" t="s">
        <v>25</v>
      </c>
      <c r="I849" t="s">
        <v>26</v>
      </c>
      <c r="J849" t="s">
        <v>27</v>
      </c>
      <c r="K849" t="s">
        <v>32</v>
      </c>
      <c r="L849" s="2">
        <v>1.3</v>
      </c>
      <c r="M849" s="3">
        <v>988</v>
      </c>
      <c r="N849">
        <v>4</v>
      </c>
      <c r="O849">
        <v>3</v>
      </c>
      <c r="P849">
        <v>1</v>
      </c>
      <c r="Q849">
        <v>0</v>
      </c>
      <c r="R849" s="4">
        <v>15.83</v>
      </c>
      <c r="S849">
        <v>0</v>
      </c>
      <c r="T849">
        <v>1</v>
      </c>
    </row>
    <row r="850" spans="1:20" ht="16.5" x14ac:dyDescent="0.3">
      <c r="A850" t="s">
        <v>895</v>
      </c>
      <c r="B850" s="1">
        <v>45418</v>
      </c>
      <c r="C850">
        <v>2024</v>
      </c>
      <c r="D850" t="s">
        <v>649</v>
      </c>
      <c r="E850" t="s">
        <v>859</v>
      </c>
      <c r="F850" t="s">
        <v>38</v>
      </c>
      <c r="G850" t="s">
        <v>24</v>
      </c>
      <c r="H850" t="s">
        <v>25</v>
      </c>
      <c r="I850" t="s">
        <v>26</v>
      </c>
      <c r="J850" t="s">
        <v>27</v>
      </c>
      <c r="K850" t="s">
        <v>32</v>
      </c>
      <c r="L850" s="2">
        <v>8.1999999999999993</v>
      </c>
      <c r="M850" s="3">
        <v>831</v>
      </c>
      <c r="N850">
        <v>4</v>
      </c>
      <c r="O850">
        <v>4</v>
      </c>
      <c r="P850">
        <v>1</v>
      </c>
      <c r="Q850">
        <v>0</v>
      </c>
      <c r="R850" s="4">
        <v>24.08</v>
      </c>
      <c r="S850">
        <v>0</v>
      </c>
      <c r="T850">
        <v>1</v>
      </c>
    </row>
    <row r="851" spans="1:20" ht="16.5" x14ac:dyDescent="0.3">
      <c r="A851" t="s">
        <v>896</v>
      </c>
      <c r="B851" s="1">
        <v>45418</v>
      </c>
      <c r="C851">
        <v>2024</v>
      </c>
      <c r="D851" t="s">
        <v>649</v>
      </c>
      <c r="E851" t="s">
        <v>859</v>
      </c>
      <c r="F851" t="s">
        <v>30</v>
      </c>
      <c r="G851" t="s">
        <v>39</v>
      </c>
      <c r="H851" t="s">
        <v>51</v>
      </c>
      <c r="I851" t="s">
        <v>40</v>
      </c>
      <c r="J851" t="s">
        <v>41</v>
      </c>
      <c r="K851" t="s">
        <v>32</v>
      </c>
      <c r="L851" s="2">
        <v>2</v>
      </c>
      <c r="M851" s="3">
        <v>1197</v>
      </c>
      <c r="N851">
        <v>3</v>
      </c>
      <c r="O851">
        <v>6</v>
      </c>
      <c r="P851">
        <v>0</v>
      </c>
      <c r="Q851">
        <v>3</v>
      </c>
      <c r="R851" s="4">
        <v>64.31</v>
      </c>
      <c r="S851">
        <v>0</v>
      </c>
      <c r="T851">
        <v>1</v>
      </c>
    </row>
    <row r="852" spans="1:20" ht="16.5" x14ac:dyDescent="0.3">
      <c r="A852" t="s">
        <v>897</v>
      </c>
      <c r="B852" s="1">
        <v>45418</v>
      </c>
      <c r="C852">
        <v>2024</v>
      </c>
      <c r="D852" t="s">
        <v>649</v>
      </c>
      <c r="E852" t="s">
        <v>859</v>
      </c>
      <c r="F852" t="s">
        <v>23</v>
      </c>
      <c r="G852" t="s">
        <v>39</v>
      </c>
      <c r="H852" t="s">
        <v>48</v>
      </c>
      <c r="I852" t="s">
        <v>40</v>
      </c>
      <c r="J852" t="s">
        <v>27</v>
      </c>
      <c r="K852" t="s">
        <v>28</v>
      </c>
      <c r="L852" s="2">
        <v>29.8</v>
      </c>
      <c r="M852" s="3">
        <v>458</v>
      </c>
      <c r="N852">
        <v>2</v>
      </c>
      <c r="O852">
        <v>2</v>
      </c>
      <c r="P852">
        <v>1</v>
      </c>
      <c r="Q852">
        <v>0</v>
      </c>
      <c r="R852" s="4">
        <v>55.92</v>
      </c>
      <c r="S852">
        <v>0</v>
      </c>
      <c r="T852">
        <v>1</v>
      </c>
    </row>
    <row r="853" spans="1:20" ht="16.5" x14ac:dyDescent="0.3">
      <c r="A853" t="s">
        <v>898</v>
      </c>
      <c r="B853" s="1">
        <v>45418</v>
      </c>
      <c r="C853">
        <v>2024</v>
      </c>
      <c r="D853" t="s">
        <v>649</v>
      </c>
      <c r="E853" t="s">
        <v>859</v>
      </c>
      <c r="F853" t="s">
        <v>23</v>
      </c>
      <c r="G853" t="s">
        <v>35</v>
      </c>
      <c r="H853" t="s">
        <v>48</v>
      </c>
      <c r="I853" t="s">
        <v>40</v>
      </c>
      <c r="J853" t="s">
        <v>27</v>
      </c>
      <c r="K853" t="s">
        <v>28</v>
      </c>
      <c r="L853" s="2">
        <v>20.8</v>
      </c>
      <c r="M853" s="3">
        <v>369</v>
      </c>
      <c r="N853">
        <v>2</v>
      </c>
      <c r="O853">
        <v>2</v>
      </c>
      <c r="P853">
        <v>1</v>
      </c>
      <c r="Q853">
        <v>0</v>
      </c>
      <c r="R853" s="4">
        <v>39.700000000000003</v>
      </c>
      <c r="S853">
        <v>0</v>
      </c>
      <c r="T853">
        <v>1</v>
      </c>
    </row>
    <row r="854" spans="1:20" ht="16.5" x14ac:dyDescent="0.3">
      <c r="A854" t="s">
        <v>899</v>
      </c>
      <c r="B854" s="1">
        <v>45418</v>
      </c>
      <c r="C854">
        <v>2024</v>
      </c>
      <c r="D854" t="s">
        <v>649</v>
      </c>
      <c r="E854" t="s">
        <v>859</v>
      </c>
      <c r="F854" t="s">
        <v>34</v>
      </c>
      <c r="G854" t="s">
        <v>39</v>
      </c>
      <c r="H854" t="s">
        <v>25</v>
      </c>
      <c r="I854" t="s">
        <v>26</v>
      </c>
      <c r="J854" t="s">
        <v>27</v>
      </c>
      <c r="K854" t="s">
        <v>32</v>
      </c>
      <c r="L854" s="2">
        <v>15.2</v>
      </c>
      <c r="M854" s="3">
        <v>1104</v>
      </c>
      <c r="N854">
        <v>4</v>
      </c>
      <c r="O854">
        <v>4</v>
      </c>
      <c r="P854">
        <v>1</v>
      </c>
      <c r="Q854">
        <v>0</v>
      </c>
      <c r="R854" s="4">
        <v>22.81</v>
      </c>
      <c r="S854">
        <v>0</v>
      </c>
      <c r="T854">
        <v>1</v>
      </c>
    </row>
    <row r="855" spans="1:20" ht="16.5" x14ac:dyDescent="0.3">
      <c r="A855" t="s">
        <v>900</v>
      </c>
      <c r="B855" s="1">
        <v>45418</v>
      </c>
      <c r="C855">
        <v>2024</v>
      </c>
      <c r="D855" t="s">
        <v>649</v>
      </c>
      <c r="E855" t="s">
        <v>859</v>
      </c>
      <c r="F855" t="s">
        <v>38</v>
      </c>
      <c r="G855" t="s">
        <v>24</v>
      </c>
      <c r="H855" t="s">
        <v>36</v>
      </c>
      <c r="I855" t="s">
        <v>26</v>
      </c>
      <c r="J855" t="s">
        <v>27</v>
      </c>
      <c r="K855" t="s">
        <v>28</v>
      </c>
      <c r="L855" s="2">
        <v>96.2</v>
      </c>
      <c r="M855" s="3">
        <v>258</v>
      </c>
      <c r="N855">
        <v>3</v>
      </c>
      <c r="O855">
        <v>3</v>
      </c>
      <c r="P855">
        <v>1</v>
      </c>
      <c r="Q855">
        <v>0</v>
      </c>
      <c r="R855" s="4">
        <v>62.23</v>
      </c>
      <c r="S855">
        <v>0</v>
      </c>
      <c r="T855">
        <v>1</v>
      </c>
    </row>
    <row r="856" spans="1:20" ht="16.5" x14ac:dyDescent="0.3">
      <c r="A856" t="s">
        <v>901</v>
      </c>
      <c r="B856" s="1">
        <v>45418</v>
      </c>
      <c r="C856">
        <v>2024</v>
      </c>
      <c r="D856" t="s">
        <v>649</v>
      </c>
      <c r="E856" t="s">
        <v>859</v>
      </c>
      <c r="F856" t="s">
        <v>57</v>
      </c>
      <c r="G856" t="s">
        <v>39</v>
      </c>
      <c r="H856" t="s">
        <v>25</v>
      </c>
      <c r="I856" t="s">
        <v>26</v>
      </c>
      <c r="J856" t="s">
        <v>27</v>
      </c>
      <c r="K856" t="s">
        <v>32</v>
      </c>
      <c r="L856" s="2">
        <v>9.1</v>
      </c>
      <c r="M856" s="3">
        <v>1258</v>
      </c>
      <c r="N856">
        <v>4</v>
      </c>
      <c r="O856">
        <v>4</v>
      </c>
      <c r="P856">
        <v>1</v>
      </c>
      <c r="Q856">
        <v>0</v>
      </c>
      <c r="R856" s="4">
        <v>25.88</v>
      </c>
      <c r="S856">
        <v>0</v>
      </c>
      <c r="T856">
        <v>1</v>
      </c>
    </row>
    <row r="857" spans="1:20" ht="16.5" x14ac:dyDescent="0.3">
      <c r="A857" t="s">
        <v>902</v>
      </c>
      <c r="B857" s="1">
        <v>45419</v>
      </c>
      <c r="C857">
        <v>2024</v>
      </c>
      <c r="D857" t="s">
        <v>649</v>
      </c>
      <c r="E857" t="s">
        <v>859</v>
      </c>
      <c r="F857" t="s">
        <v>38</v>
      </c>
      <c r="G857" t="s">
        <v>24</v>
      </c>
      <c r="H857" t="s">
        <v>36</v>
      </c>
      <c r="I857" t="s">
        <v>26</v>
      </c>
      <c r="J857" t="s">
        <v>27</v>
      </c>
      <c r="K857" t="s">
        <v>32</v>
      </c>
      <c r="L857" s="2">
        <v>3.2</v>
      </c>
      <c r="M857" s="3">
        <v>269</v>
      </c>
      <c r="N857">
        <v>3</v>
      </c>
      <c r="O857">
        <v>2</v>
      </c>
      <c r="P857">
        <v>1</v>
      </c>
      <c r="Q857">
        <v>0</v>
      </c>
      <c r="R857" s="4">
        <v>13.87</v>
      </c>
      <c r="S857">
        <v>0</v>
      </c>
      <c r="T857">
        <v>1</v>
      </c>
    </row>
    <row r="858" spans="1:20" ht="16.5" x14ac:dyDescent="0.3">
      <c r="A858" t="s">
        <v>903</v>
      </c>
      <c r="B858" s="1">
        <v>45419</v>
      </c>
      <c r="C858">
        <v>2024</v>
      </c>
      <c r="D858" t="s">
        <v>649</v>
      </c>
      <c r="E858" t="s">
        <v>859</v>
      </c>
      <c r="F858" t="s">
        <v>38</v>
      </c>
      <c r="G858" t="s">
        <v>39</v>
      </c>
      <c r="H858" t="s">
        <v>36</v>
      </c>
      <c r="I858" t="s">
        <v>26</v>
      </c>
      <c r="J858" t="s">
        <v>27</v>
      </c>
      <c r="K858" t="s">
        <v>32</v>
      </c>
      <c r="L858" s="2">
        <v>2.6</v>
      </c>
      <c r="M858" s="3">
        <v>311</v>
      </c>
      <c r="N858">
        <v>3</v>
      </c>
      <c r="O858">
        <v>2</v>
      </c>
      <c r="P858">
        <v>1</v>
      </c>
      <c r="Q858">
        <v>0</v>
      </c>
      <c r="R858" s="4">
        <v>13.97</v>
      </c>
      <c r="S858">
        <v>0</v>
      </c>
      <c r="T858">
        <v>1</v>
      </c>
    </row>
    <row r="859" spans="1:20" ht="16.5" x14ac:dyDescent="0.3">
      <c r="A859" t="s">
        <v>904</v>
      </c>
      <c r="B859" s="1">
        <v>45419</v>
      </c>
      <c r="C859">
        <v>2024</v>
      </c>
      <c r="D859" t="s">
        <v>649</v>
      </c>
      <c r="E859" t="s">
        <v>859</v>
      </c>
      <c r="F859" t="s">
        <v>23</v>
      </c>
      <c r="G859" t="s">
        <v>39</v>
      </c>
      <c r="H859" t="s">
        <v>25</v>
      </c>
      <c r="I859" t="s">
        <v>26</v>
      </c>
      <c r="J859" t="s">
        <v>27</v>
      </c>
      <c r="K859" t="s">
        <v>32</v>
      </c>
      <c r="L859" s="2">
        <v>1.7</v>
      </c>
      <c r="M859" s="3">
        <v>811</v>
      </c>
      <c r="N859">
        <v>4</v>
      </c>
      <c r="O859">
        <v>4</v>
      </c>
      <c r="P859">
        <v>1</v>
      </c>
      <c r="Q859">
        <v>0</v>
      </c>
      <c r="R859" s="4">
        <v>16.88</v>
      </c>
      <c r="S859">
        <v>0</v>
      </c>
      <c r="T859">
        <v>1</v>
      </c>
    </row>
    <row r="860" spans="1:20" ht="16.5" x14ac:dyDescent="0.3">
      <c r="A860" t="s">
        <v>905</v>
      </c>
      <c r="B860" s="1">
        <v>45419</v>
      </c>
      <c r="C860">
        <v>2024</v>
      </c>
      <c r="D860" t="s">
        <v>649</v>
      </c>
      <c r="E860" t="s">
        <v>859</v>
      </c>
      <c r="F860" t="s">
        <v>30</v>
      </c>
      <c r="G860" t="s">
        <v>39</v>
      </c>
      <c r="H860" t="s">
        <v>36</v>
      </c>
      <c r="I860" t="s">
        <v>31</v>
      </c>
      <c r="J860" t="s">
        <v>27</v>
      </c>
      <c r="K860" t="s">
        <v>28</v>
      </c>
      <c r="L860" s="2">
        <v>115.6</v>
      </c>
      <c r="M860" s="3">
        <v>214</v>
      </c>
      <c r="N860">
        <v>5</v>
      </c>
      <c r="O860">
        <v>4</v>
      </c>
      <c r="P860">
        <v>1</v>
      </c>
      <c r="Q860">
        <v>0</v>
      </c>
      <c r="R860" s="4">
        <v>47.99</v>
      </c>
      <c r="S860">
        <v>0</v>
      </c>
      <c r="T860">
        <v>1</v>
      </c>
    </row>
    <row r="861" spans="1:20" ht="16.5" x14ac:dyDescent="0.3">
      <c r="A861" t="s">
        <v>906</v>
      </c>
      <c r="B861" s="1">
        <v>45419</v>
      </c>
      <c r="C861">
        <v>2024</v>
      </c>
      <c r="D861" t="s">
        <v>649</v>
      </c>
      <c r="E861" t="s">
        <v>859</v>
      </c>
      <c r="F861" t="s">
        <v>34</v>
      </c>
      <c r="G861" t="s">
        <v>35</v>
      </c>
      <c r="H861" t="s">
        <v>43</v>
      </c>
      <c r="I861" t="s">
        <v>31</v>
      </c>
      <c r="J861" t="s">
        <v>27</v>
      </c>
      <c r="K861" t="s">
        <v>32</v>
      </c>
      <c r="L861" s="2">
        <v>2.5</v>
      </c>
      <c r="M861" s="3">
        <v>1276</v>
      </c>
      <c r="N861">
        <v>7</v>
      </c>
      <c r="O861">
        <v>7</v>
      </c>
      <c r="P861">
        <v>1</v>
      </c>
      <c r="Q861">
        <v>0</v>
      </c>
      <c r="R861" s="4">
        <v>13.35</v>
      </c>
      <c r="S861">
        <v>0</v>
      </c>
      <c r="T861">
        <v>1</v>
      </c>
    </row>
    <row r="862" spans="1:20" ht="16.5" x14ac:dyDescent="0.3">
      <c r="A862" t="s">
        <v>907</v>
      </c>
      <c r="B862" s="1">
        <v>45419</v>
      </c>
      <c r="C862">
        <v>2024</v>
      </c>
      <c r="D862" t="s">
        <v>649</v>
      </c>
      <c r="E862" t="s">
        <v>859</v>
      </c>
      <c r="F862" t="s">
        <v>34</v>
      </c>
      <c r="G862" t="s">
        <v>39</v>
      </c>
      <c r="H862" t="s">
        <v>25</v>
      </c>
      <c r="I862" t="s">
        <v>40</v>
      </c>
      <c r="J862" t="s">
        <v>41</v>
      </c>
      <c r="K862" t="s">
        <v>32</v>
      </c>
      <c r="L862" s="2">
        <v>16.3</v>
      </c>
      <c r="M862" s="3">
        <v>991</v>
      </c>
      <c r="N862">
        <v>2</v>
      </c>
      <c r="O862">
        <v>4</v>
      </c>
      <c r="P862">
        <v>0</v>
      </c>
      <c r="Q862">
        <v>2</v>
      </c>
      <c r="R862" s="4">
        <v>72.77</v>
      </c>
      <c r="S862">
        <v>0</v>
      </c>
      <c r="T862">
        <v>1</v>
      </c>
    </row>
    <row r="863" spans="1:20" ht="16.5" x14ac:dyDescent="0.3">
      <c r="A863" t="s">
        <v>908</v>
      </c>
      <c r="B863" s="1">
        <v>45419</v>
      </c>
      <c r="C863">
        <v>2024</v>
      </c>
      <c r="D863" t="s">
        <v>649</v>
      </c>
      <c r="E863" t="s">
        <v>859</v>
      </c>
      <c r="F863" t="s">
        <v>57</v>
      </c>
      <c r="G863" t="s">
        <v>39</v>
      </c>
      <c r="H863" t="s">
        <v>25</v>
      </c>
      <c r="I863" t="s">
        <v>31</v>
      </c>
      <c r="J863" t="s">
        <v>27</v>
      </c>
      <c r="K863" t="s">
        <v>28</v>
      </c>
      <c r="L863" s="2">
        <v>13.4</v>
      </c>
      <c r="M863" s="3">
        <v>847</v>
      </c>
      <c r="N863">
        <v>6</v>
      </c>
      <c r="O863">
        <v>6</v>
      </c>
      <c r="P863">
        <v>1</v>
      </c>
      <c r="Q863">
        <v>0</v>
      </c>
      <c r="R863" s="4">
        <v>15.62</v>
      </c>
      <c r="S863">
        <v>0</v>
      </c>
      <c r="T863">
        <v>1</v>
      </c>
    </row>
    <row r="864" spans="1:20" ht="16.5" x14ac:dyDescent="0.3">
      <c r="A864" t="s">
        <v>909</v>
      </c>
      <c r="B864" s="1">
        <v>45420</v>
      </c>
      <c r="C864">
        <v>2024</v>
      </c>
      <c r="D864" t="s">
        <v>649</v>
      </c>
      <c r="E864" t="s">
        <v>859</v>
      </c>
      <c r="F864" t="s">
        <v>34</v>
      </c>
      <c r="G864" t="s">
        <v>35</v>
      </c>
      <c r="H864" t="s">
        <v>25</v>
      </c>
      <c r="I864" t="s">
        <v>26</v>
      </c>
      <c r="J864" t="s">
        <v>27</v>
      </c>
      <c r="K864" t="s">
        <v>32</v>
      </c>
      <c r="L864" s="2">
        <v>11.8</v>
      </c>
      <c r="M864" s="3">
        <v>937</v>
      </c>
      <c r="N864">
        <v>4</v>
      </c>
      <c r="O864">
        <v>4</v>
      </c>
      <c r="P864">
        <v>1</v>
      </c>
      <c r="Q864">
        <v>0</v>
      </c>
      <c r="R864" s="4">
        <v>20.05</v>
      </c>
      <c r="S864">
        <v>0</v>
      </c>
      <c r="T864">
        <v>1</v>
      </c>
    </row>
    <row r="865" spans="1:20" ht="16.5" x14ac:dyDescent="0.3">
      <c r="A865" t="s">
        <v>910</v>
      </c>
      <c r="B865" s="1">
        <v>45420</v>
      </c>
      <c r="C865">
        <v>2024</v>
      </c>
      <c r="D865" t="s">
        <v>649</v>
      </c>
      <c r="E865" t="s">
        <v>859</v>
      </c>
      <c r="F865" t="s">
        <v>30</v>
      </c>
      <c r="G865" t="s">
        <v>24</v>
      </c>
      <c r="H865" t="s">
        <v>36</v>
      </c>
      <c r="I865" t="s">
        <v>40</v>
      </c>
      <c r="J865" t="s">
        <v>27</v>
      </c>
      <c r="K865" t="s">
        <v>28</v>
      </c>
      <c r="L865" s="2">
        <v>233.6</v>
      </c>
      <c r="M865" s="3">
        <v>165</v>
      </c>
      <c r="N865">
        <v>1</v>
      </c>
      <c r="O865">
        <v>1</v>
      </c>
      <c r="P865">
        <v>1</v>
      </c>
      <c r="Q865">
        <v>0</v>
      </c>
      <c r="R865" s="4">
        <v>204.93</v>
      </c>
      <c r="S865">
        <v>1</v>
      </c>
      <c r="T865">
        <v>1</v>
      </c>
    </row>
    <row r="866" spans="1:20" ht="16.5" x14ac:dyDescent="0.3">
      <c r="A866" t="s">
        <v>911</v>
      </c>
      <c r="B866" s="1">
        <v>45420</v>
      </c>
      <c r="C866">
        <v>2024</v>
      </c>
      <c r="D866" t="s">
        <v>649</v>
      </c>
      <c r="E866" t="s">
        <v>859</v>
      </c>
      <c r="F866" t="s">
        <v>38</v>
      </c>
      <c r="G866" t="s">
        <v>35</v>
      </c>
      <c r="H866" t="s">
        <v>43</v>
      </c>
      <c r="I866" t="s">
        <v>40</v>
      </c>
      <c r="J866" t="s">
        <v>41</v>
      </c>
      <c r="K866" t="s">
        <v>32</v>
      </c>
      <c r="L866" s="2">
        <v>2.5</v>
      </c>
      <c r="M866" s="3">
        <v>1230</v>
      </c>
      <c r="N866">
        <v>3</v>
      </c>
      <c r="O866">
        <v>6</v>
      </c>
      <c r="P866">
        <v>0</v>
      </c>
      <c r="Q866">
        <v>3</v>
      </c>
      <c r="R866" s="4">
        <v>87.28</v>
      </c>
      <c r="S866">
        <v>0</v>
      </c>
      <c r="T866">
        <v>1</v>
      </c>
    </row>
    <row r="867" spans="1:20" ht="16.5" x14ac:dyDescent="0.3">
      <c r="A867" t="s">
        <v>912</v>
      </c>
      <c r="B867" s="1">
        <v>45420</v>
      </c>
      <c r="C867">
        <v>2024</v>
      </c>
      <c r="D867" t="s">
        <v>649</v>
      </c>
      <c r="E867" t="s">
        <v>859</v>
      </c>
      <c r="F867" t="s">
        <v>57</v>
      </c>
      <c r="G867" t="s">
        <v>39</v>
      </c>
      <c r="H867" t="s">
        <v>51</v>
      </c>
      <c r="I867" t="s">
        <v>26</v>
      </c>
      <c r="J867" t="s">
        <v>27</v>
      </c>
      <c r="K867" t="s">
        <v>32</v>
      </c>
      <c r="L867" s="2">
        <v>7.6</v>
      </c>
      <c r="M867" s="3">
        <v>1275</v>
      </c>
      <c r="N867">
        <v>5</v>
      </c>
      <c r="O867">
        <v>6</v>
      </c>
      <c r="P867">
        <v>0</v>
      </c>
      <c r="Q867">
        <v>1</v>
      </c>
      <c r="R867" s="4">
        <v>27.81</v>
      </c>
      <c r="S867">
        <v>0</v>
      </c>
      <c r="T867">
        <v>1</v>
      </c>
    </row>
    <row r="868" spans="1:20" ht="16.5" x14ac:dyDescent="0.3">
      <c r="A868" t="s">
        <v>913</v>
      </c>
      <c r="B868" s="1">
        <v>45420</v>
      </c>
      <c r="C868">
        <v>2024</v>
      </c>
      <c r="D868" t="s">
        <v>649</v>
      </c>
      <c r="E868" t="s">
        <v>859</v>
      </c>
      <c r="F868" t="s">
        <v>23</v>
      </c>
      <c r="G868" t="s">
        <v>35</v>
      </c>
      <c r="H868" t="s">
        <v>51</v>
      </c>
      <c r="I868" t="s">
        <v>26</v>
      </c>
      <c r="J868" t="s">
        <v>27</v>
      </c>
      <c r="K868" t="s">
        <v>32</v>
      </c>
      <c r="L868" s="2">
        <v>7.5</v>
      </c>
      <c r="M868" s="3">
        <v>917</v>
      </c>
      <c r="N868">
        <v>5</v>
      </c>
      <c r="O868">
        <v>7</v>
      </c>
      <c r="P868">
        <v>0</v>
      </c>
      <c r="Q868">
        <v>2</v>
      </c>
      <c r="R868" s="4">
        <v>20.54</v>
      </c>
      <c r="S868">
        <v>0</v>
      </c>
      <c r="T868">
        <v>1</v>
      </c>
    </row>
    <row r="869" spans="1:20" ht="16.5" x14ac:dyDescent="0.3">
      <c r="A869" t="s">
        <v>914</v>
      </c>
      <c r="B869" s="1">
        <v>45421</v>
      </c>
      <c r="C869">
        <v>2024</v>
      </c>
      <c r="D869" t="s">
        <v>649</v>
      </c>
      <c r="E869" t="s">
        <v>859</v>
      </c>
      <c r="F869" t="s">
        <v>34</v>
      </c>
      <c r="G869" t="s">
        <v>35</v>
      </c>
      <c r="H869" t="s">
        <v>43</v>
      </c>
      <c r="I869" t="s">
        <v>40</v>
      </c>
      <c r="J869" t="s">
        <v>41</v>
      </c>
      <c r="K869" t="s">
        <v>32</v>
      </c>
      <c r="L869" s="2">
        <v>1.5</v>
      </c>
      <c r="M869" s="3">
        <v>1102</v>
      </c>
      <c r="N869">
        <v>3</v>
      </c>
      <c r="O869">
        <v>3</v>
      </c>
      <c r="P869">
        <v>1</v>
      </c>
      <c r="Q869">
        <v>0</v>
      </c>
      <c r="R869" s="4">
        <v>50.74</v>
      </c>
      <c r="S869">
        <v>0</v>
      </c>
      <c r="T869">
        <v>1</v>
      </c>
    </row>
    <row r="870" spans="1:20" ht="16.5" x14ac:dyDescent="0.3">
      <c r="A870" t="s">
        <v>915</v>
      </c>
      <c r="B870" s="1">
        <v>45421</v>
      </c>
      <c r="C870">
        <v>2024</v>
      </c>
      <c r="D870" t="s">
        <v>649</v>
      </c>
      <c r="E870" t="s">
        <v>859</v>
      </c>
      <c r="F870" t="s">
        <v>57</v>
      </c>
      <c r="G870" t="s">
        <v>39</v>
      </c>
      <c r="H870" t="s">
        <v>48</v>
      </c>
      <c r="I870" t="s">
        <v>26</v>
      </c>
      <c r="J870" t="s">
        <v>27</v>
      </c>
      <c r="K870" t="s">
        <v>28</v>
      </c>
      <c r="L870" s="2">
        <v>153</v>
      </c>
      <c r="M870" s="3">
        <v>460</v>
      </c>
      <c r="N870">
        <v>4</v>
      </c>
      <c r="O870">
        <v>7</v>
      </c>
      <c r="P870">
        <v>0</v>
      </c>
      <c r="Q870">
        <v>3</v>
      </c>
      <c r="R870" s="4">
        <v>81.63</v>
      </c>
      <c r="S870">
        <v>0</v>
      </c>
      <c r="T870">
        <v>1</v>
      </c>
    </row>
    <row r="871" spans="1:20" ht="16.5" x14ac:dyDescent="0.3">
      <c r="A871" t="s">
        <v>916</v>
      </c>
      <c r="B871" s="1">
        <v>45421</v>
      </c>
      <c r="C871">
        <v>2024</v>
      </c>
      <c r="D871" t="s">
        <v>649</v>
      </c>
      <c r="E871" t="s">
        <v>859</v>
      </c>
      <c r="F871" t="s">
        <v>34</v>
      </c>
      <c r="G871" t="s">
        <v>35</v>
      </c>
      <c r="H871" t="s">
        <v>51</v>
      </c>
      <c r="I871" t="s">
        <v>26</v>
      </c>
      <c r="J871" t="s">
        <v>27</v>
      </c>
      <c r="K871" t="s">
        <v>28</v>
      </c>
      <c r="L871" s="2">
        <v>171.6</v>
      </c>
      <c r="M871" s="3">
        <v>1159</v>
      </c>
      <c r="N871">
        <v>5</v>
      </c>
      <c r="O871">
        <v>4</v>
      </c>
      <c r="P871">
        <v>1</v>
      </c>
      <c r="Q871">
        <v>0</v>
      </c>
      <c r="R871" s="4">
        <v>80.83</v>
      </c>
      <c r="S871">
        <v>0</v>
      </c>
      <c r="T871">
        <v>1</v>
      </c>
    </row>
    <row r="872" spans="1:20" ht="16.5" x14ac:dyDescent="0.3">
      <c r="A872" t="s">
        <v>917</v>
      </c>
      <c r="B872" s="1">
        <v>45421</v>
      </c>
      <c r="C872">
        <v>2024</v>
      </c>
      <c r="D872" t="s">
        <v>649</v>
      </c>
      <c r="E872" t="s">
        <v>859</v>
      </c>
      <c r="F872" t="s">
        <v>57</v>
      </c>
      <c r="G872" t="s">
        <v>35</v>
      </c>
      <c r="H872" t="s">
        <v>43</v>
      </c>
      <c r="I872" t="s">
        <v>26</v>
      </c>
      <c r="J872" t="s">
        <v>27</v>
      </c>
      <c r="K872" t="s">
        <v>32</v>
      </c>
      <c r="L872" s="2">
        <v>4.5999999999999996</v>
      </c>
      <c r="M872" s="3">
        <v>1321</v>
      </c>
      <c r="N872">
        <v>5</v>
      </c>
      <c r="O872">
        <v>5</v>
      </c>
      <c r="P872">
        <v>1</v>
      </c>
      <c r="Q872">
        <v>0</v>
      </c>
      <c r="R872" s="4">
        <v>26.55</v>
      </c>
      <c r="S872">
        <v>0</v>
      </c>
      <c r="T872">
        <v>1</v>
      </c>
    </row>
    <row r="873" spans="1:20" ht="16.5" x14ac:dyDescent="0.3">
      <c r="A873" t="s">
        <v>918</v>
      </c>
      <c r="B873" s="1">
        <v>45421</v>
      </c>
      <c r="C873">
        <v>2024</v>
      </c>
      <c r="D873" t="s">
        <v>649</v>
      </c>
      <c r="E873" t="s">
        <v>859</v>
      </c>
      <c r="F873" t="s">
        <v>23</v>
      </c>
      <c r="G873" t="s">
        <v>24</v>
      </c>
      <c r="H873" t="s">
        <v>48</v>
      </c>
      <c r="I873" t="s">
        <v>40</v>
      </c>
      <c r="J873" t="s">
        <v>27</v>
      </c>
      <c r="K873" t="s">
        <v>28</v>
      </c>
      <c r="L873" s="2">
        <v>121.2</v>
      </c>
      <c r="M873" s="3">
        <v>358</v>
      </c>
      <c r="N873">
        <v>2</v>
      </c>
      <c r="O873">
        <v>2</v>
      </c>
      <c r="P873">
        <v>1</v>
      </c>
      <c r="Q873">
        <v>0</v>
      </c>
      <c r="R873" s="4">
        <v>124.1</v>
      </c>
      <c r="S873">
        <v>0</v>
      </c>
      <c r="T873">
        <v>1</v>
      </c>
    </row>
    <row r="874" spans="1:20" ht="16.5" x14ac:dyDescent="0.3">
      <c r="A874" t="s">
        <v>919</v>
      </c>
      <c r="B874" s="1">
        <v>45421</v>
      </c>
      <c r="C874">
        <v>2024</v>
      </c>
      <c r="D874" t="s">
        <v>649</v>
      </c>
      <c r="E874" t="s">
        <v>859</v>
      </c>
      <c r="F874" t="s">
        <v>38</v>
      </c>
      <c r="G874" t="s">
        <v>39</v>
      </c>
      <c r="H874" t="s">
        <v>48</v>
      </c>
      <c r="I874" t="s">
        <v>31</v>
      </c>
      <c r="J874" t="s">
        <v>27</v>
      </c>
      <c r="K874" t="s">
        <v>32</v>
      </c>
      <c r="L874" s="2">
        <v>2.4</v>
      </c>
      <c r="M874" s="3">
        <v>627</v>
      </c>
      <c r="N874">
        <v>6</v>
      </c>
      <c r="O874">
        <v>6</v>
      </c>
      <c r="P874">
        <v>1</v>
      </c>
      <c r="Q874">
        <v>0</v>
      </c>
      <c r="R874" s="4">
        <v>12.95</v>
      </c>
      <c r="S874">
        <v>0</v>
      </c>
      <c r="T874">
        <v>1</v>
      </c>
    </row>
    <row r="875" spans="1:20" ht="16.5" x14ac:dyDescent="0.3">
      <c r="A875" t="s">
        <v>920</v>
      </c>
      <c r="B875" s="1">
        <v>45421</v>
      </c>
      <c r="C875">
        <v>2024</v>
      </c>
      <c r="D875" t="s">
        <v>649</v>
      </c>
      <c r="E875" t="s">
        <v>859</v>
      </c>
      <c r="F875" t="s">
        <v>57</v>
      </c>
      <c r="G875" t="s">
        <v>35</v>
      </c>
      <c r="H875" t="s">
        <v>48</v>
      </c>
      <c r="I875" t="s">
        <v>26</v>
      </c>
      <c r="J875" t="s">
        <v>27</v>
      </c>
      <c r="K875" t="s">
        <v>32</v>
      </c>
      <c r="L875" s="2">
        <v>6.2</v>
      </c>
      <c r="M875" s="3">
        <v>401</v>
      </c>
      <c r="N875">
        <v>4</v>
      </c>
      <c r="O875">
        <v>4</v>
      </c>
      <c r="P875">
        <v>1</v>
      </c>
      <c r="Q875">
        <v>0</v>
      </c>
      <c r="R875" s="4">
        <v>14.94</v>
      </c>
      <c r="S875">
        <v>0</v>
      </c>
      <c r="T875">
        <v>1</v>
      </c>
    </row>
    <row r="876" spans="1:20" ht="16.5" x14ac:dyDescent="0.3">
      <c r="A876" t="s">
        <v>921</v>
      </c>
      <c r="B876" s="1">
        <v>45421</v>
      </c>
      <c r="C876">
        <v>2024</v>
      </c>
      <c r="D876" t="s">
        <v>649</v>
      </c>
      <c r="E876" t="s">
        <v>859</v>
      </c>
      <c r="F876" t="s">
        <v>38</v>
      </c>
      <c r="G876" t="s">
        <v>39</v>
      </c>
      <c r="H876" t="s">
        <v>36</v>
      </c>
      <c r="I876" t="s">
        <v>31</v>
      </c>
      <c r="J876" t="s">
        <v>27</v>
      </c>
      <c r="K876" t="s">
        <v>32</v>
      </c>
      <c r="L876" s="2">
        <v>7</v>
      </c>
      <c r="M876" s="3">
        <v>338</v>
      </c>
      <c r="N876">
        <v>5</v>
      </c>
      <c r="O876">
        <v>5</v>
      </c>
      <c r="P876">
        <v>1</v>
      </c>
      <c r="Q876">
        <v>0</v>
      </c>
      <c r="R876" s="4">
        <v>11.82</v>
      </c>
      <c r="S876">
        <v>0</v>
      </c>
      <c r="T876">
        <v>1</v>
      </c>
    </row>
    <row r="877" spans="1:20" ht="16.5" x14ac:dyDescent="0.3">
      <c r="A877" t="s">
        <v>922</v>
      </c>
      <c r="B877" s="1">
        <v>45421</v>
      </c>
      <c r="C877">
        <v>2024</v>
      </c>
      <c r="D877" t="s">
        <v>649</v>
      </c>
      <c r="E877" t="s">
        <v>859</v>
      </c>
      <c r="F877" t="s">
        <v>38</v>
      </c>
      <c r="G877" t="s">
        <v>39</v>
      </c>
      <c r="H877" t="s">
        <v>36</v>
      </c>
      <c r="I877" t="s">
        <v>26</v>
      </c>
      <c r="J877" t="s">
        <v>27</v>
      </c>
      <c r="K877" t="s">
        <v>32</v>
      </c>
      <c r="L877" s="2">
        <v>3.3</v>
      </c>
      <c r="M877" s="3">
        <v>278</v>
      </c>
      <c r="N877">
        <v>3</v>
      </c>
      <c r="O877">
        <v>3</v>
      </c>
      <c r="P877">
        <v>1</v>
      </c>
      <c r="Q877">
        <v>0</v>
      </c>
      <c r="R877" s="4">
        <v>13.78</v>
      </c>
      <c r="S877">
        <v>0</v>
      </c>
      <c r="T877">
        <v>1</v>
      </c>
    </row>
    <row r="878" spans="1:20" ht="16.5" x14ac:dyDescent="0.3">
      <c r="A878" t="s">
        <v>923</v>
      </c>
      <c r="B878" s="1">
        <v>45421</v>
      </c>
      <c r="C878">
        <v>2024</v>
      </c>
      <c r="D878" t="s">
        <v>649</v>
      </c>
      <c r="E878" t="s">
        <v>859</v>
      </c>
      <c r="F878" t="s">
        <v>38</v>
      </c>
      <c r="G878" t="s">
        <v>39</v>
      </c>
      <c r="H878" t="s">
        <v>25</v>
      </c>
      <c r="I878" t="s">
        <v>26</v>
      </c>
      <c r="J878" t="s">
        <v>27</v>
      </c>
      <c r="K878" t="s">
        <v>32</v>
      </c>
      <c r="L878" s="2">
        <v>5</v>
      </c>
      <c r="M878" s="3">
        <v>915</v>
      </c>
      <c r="N878">
        <v>4</v>
      </c>
      <c r="O878">
        <v>4</v>
      </c>
      <c r="P878">
        <v>1</v>
      </c>
      <c r="Q878">
        <v>0</v>
      </c>
      <c r="R878" s="4">
        <v>23.14</v>
      </c>
      <c r="S878">
        <v>0</v>
      </c>
      <c r="T878">
        <v>1</v>
      </c>
    </row>
    <row r="879" spans="1:20" ht="16.5" x14ac:dyDescent="0.3">
      <c r="A879" t="s">
        <v>924</v>
      </c>
      <c r="B879" s="1">
        <v>45421</v>
      </c>
      <c r="C879">
        <v>2024</v>
      </c>
      <c r="D879" t="s">
        <v>649</v>
      </c>
      <c r="E879" t="s">
        <v>859</v>
      </c>
      <c r="F879" t="s">
        <v>38</v>
      </c>
      <c r="G879" t="s">
        <v>39</v>
      </c>
      <c r="H879" t="s">
        <v>48</v>
      </c>
      <c r="I879" t="s">
        <v>26</v>
      </c>
      <c r="J879" t="s">
        <v>27</v>
      </c>
      <c r="K879" t="s">
        <v>32</v>
      </c>
      <c r="L879" s="2">
        <v>11.6</v>
      </c>
      <c r="M879" s="3">
        <v>401</v>
      </c>
      <c r="N879">
        <v>4</v>
      </c>
      <c r="O879">
        <v>3</v>
      </c>
      <c r="P879">
        <v>1</v>
      </c>
      <c r="Q879">
        <v>0</v>
      </c>
      <c r="R879" s="4">
        <v>19.55</v>
      </c>
      <c r="S879">
        <v>0</v>
      </c>
      <c r="T879">
        <v>1</v>
      </c>
    </row>
    <row r="880" spans="1:20" ht="16.5" x14ac:dyDescent="0.3">
      <c r="A880" t="s">
        <v>925</v>
      </c>
      <c r="B880" s="1">
        <v>45422</v>
      </c>
      <c r="C880">
        <v>2024</v>
      </c>
      <c r="D880" t="s">
        <v>649</v>
      </c>
      <c r="E880" t="s">
        <v>859</v>
      </c>
      <c r="F880" t="s">
        <v>30</v>
      </c>
      <c r="G880" t="s">
        <v>35</v>
      </c>
      <c r="H880" t="s">
        <v>25</v>
      </c>
      <c r="I880" t="s">
        <v>40</v>
      </c>
      <c r="J880" t="s">
        <v>41</v>
      </c>
      <c r="K880" t="s">
        <v>32</v>
      </c>
      <c r="L880" s="2">
        <v>3.6</v>
      </c>
      <c r="M880" s="3">
        <v>791</v>
      </c>
      <c r="N880">
        <v>2</v>
      </c>
      <c r="O880">
        <v>1</v>
      </c>
      <c r="P880">
        <v>1</v>
      </c>
      <c r="Q880">
        <v>0</v>
      </c>
      <c r="R880" s="4">
        <v>61.46</v>
      </c>
      <c r="S880">
        <v>0</v>
      </c>
      <c r="T880">
        <v>1</v>
      </c>
    </row>
    <row r="881" spans="1:20" ht="16.5" x14ac:dyDescent="0.3">
      <c r="A881" t="s">
        <v>926</v>
      </c>
      <c r="B881" s="1">
        <v>45422</v>
      </c>
      <c r="C881">
        <v>2024</v>
      </c>
      <c r="D881" t="s">
        <v>649</v>
      </c>
      <c r="E881" t="s">
        <v>859</v>
      </c>
      <c r="F881" t="s">
        <v>57</v>
      </c>
      <c r="G881" t="s">
        <v>24</v>
      </c>
      <c r="H881" t="s">
        <v>43</v>
      </c>
      <c r="I881" t="s">
        <v>26</v>
      </c>
      <c r="J881" t="s">
        <v>27</v>
      </c>
      <c r="K881" t="s">
        <v>28</v>
      </c>
      <c r="L881" s="2">
        <v>97.8</v>
      </c>
      <c r="M881" s="3">
        <v>1180</v>
      </c>
      <c r="N881">
        <v>5</v>
      </c>
      <c r="O881">
        <v>4</v>
      </c>
      <c r="P881">
        <v>1</v>
      </c>
      <c r="Q881">
        <v>0</v>
      </c>
      <c r="R881" s="4">
        <v>62.52</v>
      </c>
      <c r="S881">
        <v>0</v>
      </c>
      <c r="T881">
        <v>1</v>
      </c>
    </row>
    <row r="882" spans="1:20" ht="16.5" x14ac:dyDescent="0.3">
      <c r="A882" t="s">
        <v>927</v>
      </c>
      <c r="B882" s="1">
        <v>45422</v>
      </c>
      <c r="C882">
        <v>2024</v>
      </c>
      <c r="D882" t="s">
        <v>649</v>
      </c>
      <c r="E882" t="s">
        <v>859</v>
      </c>
      <c r="F882" t="s">
        <v>34</v>
      </c>
      <c r="G882" t="s">
        <v>24</v>
      </c>
      <c r="H882" t="s">
        <v>43</v>
      </c>
      <c r="I882" t="s">
        <v>40</v>
      </c>
      <c r="J882" t="s">
        <v>41</v>
      </c>
      <c r="K882" t="s">
        <v>28</v>
      </c>
      <c r="L882" s="2">
        <v>248.7</v>
      </c>
      <c r="M882" s="3">
        <v>1088</v>
      </c>
      <c r="N882">
        <v>3</v>
      </c>
      <c r="O882">
        <v>3</v>
      </c>
      <c r="P882">
        <v>1</v>
      </c>
      <c r="Q882">
        <v>0</v>
      </c>
      <c r="R882" s="4">
        <v>323.17</v>
      </c>
      <c r="S882">
        <v>0</v>
      </c>
      <c r="T882">
        <v>1</v>
      </c>
    </row>
    <row r="883" spans="1:20" ht="16.5" x14ac:dyDescent="0.3">
      <c r="A883" t="s">
        <v>928</v>
      </c>
      <c r="B883" s="1">
        <v>45422</v>
      </c>
      <c r="C883">
        <v>2024</v>
      </c>
      <c r="D883" t="s">
        <v>649</v>
      </c>
      <c r="E883" t="s">
        <v>859</v>
      </c>
      <c r="F883" t="s">
        <v>34</v>
      </c>
      <c r="G883" t="s">
        <v>35</v>
      </c>
      <c r="H883" t="s">
        <v>48</v>
      </c>
      <c r="I883" t="s">
        <v>40</v>
      </c>
      <c r="J883" t="s">
        <v>27</v>
      </c>
      <c r="K883" t="s">
        <v>32</v>
      </c>
      <c r="L883" s="2">
        <v>26.5</v>
      </c>
      <c r="M883" s="3">
        <v>523</v>
      </c>
      <c r="N883">
        <v>2</v>
      </c>
      <c r="O883">
        <v>1</v>
      </c>
      <c r="P883">
        <v>1</v>
      </c>
      <c r="Q883">
        <v>0</v>
      </c>
      <c r="R883" s="4">
        <v>44.19</v>
      </c>
      <c r="S883">
        <v>0</v>
      </c>
      <c r="T883">
        <v>1</v>
      </c>
    </row>
    <row r="884" spans="1:20" ht="16.5" x14ac:dyDescent="0.3">
      <c r="A884" t="s">
        <v>929</v>
      </c>
      <c r="B884" s="1">
        <v>45422</v>
      </c>
      <c r="C884">
        <v>2024</v>
      </c>
      <c r="D884" t="s">
        <v>649</v>
      </c>
      <c r="E884" t="s">
        <v>859</v>
      </c>
      <c r="F884" t="s">
        <v>38</v>
      </c>
      <c r="G884" t="s">
        <v>39</v>
      </c>
      <c r="H884" t="s">
        <v>25</v>
      </c>
      <c r="I884" t="s">
        <v>40</v>
      </c>
      <c r="J884" t="s">
        <v>41</v>
      </c>
      <c r="K884" t="s">
        <v>28</v>
      </c>
      <c r="L884" s="2">
        <v>38.9</v>
      </c>
      <c r="M884" s="3">
        <v>769</v>
      </c>
      <c r="N884">
        <v>2</v>
      </c>
      <c r="O884">
        <v>2</v>
      </c>
      <c r="P884">
        <v>1</v>
      </c>
      <c r="Q884">
        <v>0</v>
      </c>
      <c r="R884" s="4">
        <v>110.08</v>
      </c>
      <c r="S884">
        <v>0</v>
      </c>
      <c r="T884">
        <v>1</v>
      </c>
    </row>
    <row r="885" spans="1:20" ht="16.5" x14ac:dyDescent="0.3">
      <c r="A885" t="s">
        <v>930</v>
      </c>
      <c r="B885" s="1">
        <v>45423</v>
      </c>
      <c r="C885">
        <v>2024</v>
      </c>
      <c r="D885" t="s">
        <v>649</v>
      </c>
      <c r="E885" t="s">
        <v>859</v>
      </c>
      <c r="F885" t="s">
        <v>34</v>
      </c>
      <c r="G885" t="s">
        <v>39</v>
      </c>
      <c r="H885" t="s">
        <v>25</v>
      </c>
      <c r="I885" t="s">
        <v>31</v>
      </c>
      <c r="J885" t="s">
        <v>27</v>
      </c>
      <c r="K885" t="s">
        <v>28</v>
      </c>
      <c r="L885" s="2">
        <v>262</v>
      </c>
      <c r="M885" s="3">
        <v>714</v>
      </c>
      <c r="N885">
        <v>6</v>
      </c>
      <c r="O885">
        <v>6</v>
      </c>
      <c r="P885">
        <v>1</v>
      </c>
      <c r="Q885">
        <v>0</v>
      </c>
      <c r="R885" s="4">
        <v>75.09</v>
      </c>
      <c r="S885">
        <v>0</v>
      </c>
      <c r="T885">
        <v>1</v>
      </c>
    </row>
    <row r="886" spans="1:20" ht="16.5" x14ac:dyDescent="0.3">
      <c r="A886" t="s">
        <v>931</v>
      </c>
      <c r="B886" s="1">
        <v>45423</v>
      </c>
      <c r="C886">
        <v>2024</v>
      </c>
      <c r="D886" t="s">
        <v>649</v>
      </c>
      <c r="E886" t="s">
        <v>859</v>
      </c>
      <c r="F886" t="s">
        <v>30</v>
      </c>
      <c r="G886" t="s">
        <v>35</v>
      </c>
      <c r="H886" t="s">
        <v>36</v>
      </c>
      <c r="I886" t="s">
        <v>26</v>
      </c>
      <c r="J886" t="s">
        <v>27</v>
      </c>
      <c r="K886" t="s">
        <v>32</v>
      </c>
      <c r="L886" s="2">
        <v>3.4</v>
      </c>
      <c r="M886" s="3">
        <v>280</v>
      </c>
      <c r="N886">
        <v>3</v>
      </c>
      <c r="O886">
        <v>3</v>
      </c>
      <c r="P886">
        <v>1</v>
      </c>
      <c r="Q886">
        <v>0</v>
      </c>
      <c r="R886" s="4">
        <v>13.01</v>
      </c>
      <c r="S886">
        <v>0</v>
      </c>
      <c r="T886">
        <v>1</v>
      </c>
    </row>
    <row r="887" spans="1:20" ht="16.5" x14ac:dyDescent="0.3">
      <c r="A887" t="s">
        <v>932</v>
      </c>
      <c r="B887" s="1">
        <v>45423</v>
      </c>
      <c r="C887">
        <v>2024</v>
      </c>
      <c r="D887" t="s">
        <v>649</v>
      </c>
      <c r="E887" t="s">
        <v>859</v>
      </c>
      <c r="F887" t="s">
        <v>34</v>
      </c>
      <c r="G887" t="s">
        <v>35</v>
      </c>
      <c r="H887" t="s">
        <v>43</v>
      </c>
      <c r="I887" t="s">
        <v>26</v>
      </c>
      <c r="J887" t="s">
        <v>27</v>
      </c>
      <c r="K887" t="s">
        <v>32</v>
      </c>
      <c r="L887" s="2">
        <v>3.7</v>
      </c>
      <c r="M887" s="3">
        <v>1207</v>
      </c>
      <c r="N887">
        <v>5</v>
      </c>
      <c r="O887">
        <v>7</v>
      </c>
      <c r="P887">
        <v>0</v>
      </c>
      <c r="Q887">
        <v>2</v>
      </c>
      <c r="R887" s="4">
        <v>21.75</v>
      </c>
      <c r="S887">
        <v>0</v>
      </c>
      <c r="T887">
        <v>1</v>
      </c>
    </row>
    <row r="888" spans="1:20" ht="16.5" x14ac:dyDescent="0.3">
      <c r="A888" t="s">
        <v>933</v>
      </c>
      <c r="B888" s="1">
        <v>45423</v>
      </c>
      <c r="C888">
        <v>2024</v>
      </c>
      <c r="D888" t="s">
        <v>649</v>
      </c>
      <c r="E888" t="s">
        <v>859</v>
      </c>
      <c r="F888" t="s">
        <v>38</v>
      </c>
      <c r="G888" t="s">
        <v>24</v>
      </c>
      <c r="H888" t="s">
        <v>36</v>
      </c>
      <c r="I888" t="s">
        <v>31</v>
      </c>
      <c r="J888" t="s">
        <v>27</v>
      </c>
      <c r="K888" t="s">
        <v>28</v>
      </c>
      <c r="L888" s="2">
        <v>71.2</v>
      </c>
      <c r="M888" s="3">
        <v>292</v>
      </c>
      <c r="N888">
        <v>5</v>
      </c>
      <c r="O888">
        <v>5</v>
      </c>
      <c r="P888">
        <v>1</v>
      </c>
      <c r="Q888">
        <v>0</v>
      </c>
      <c r="R888" s="4">
        <v>34.97</v>
      </c>
      <c r="S888">
        <v>0</v>
      </c>
      <c r="T888">
        <v>1</v>
      </c>
    </row>
    <row r="889" spans="1:20" ht="16.5" x14ac:dyDescent="0.3">
      <c r="A889" t="s">
        <v>934</v>
      </c>
      <c r="B889" s="1">
        <v>45424</v>
      </c>
      <c r="C889">
        <v>2024</v>
      </c>
      <c r="D889" t="s">
        <v>649</v>
      </c>
      <c r="E889" t="s">
        <v>859</v>
      </c>
      <c r="F889" t="s">
        <v>34</v>
      </c>
      <c r="G889" t="s">
        <v>39</v>
      </c>
      <c r="H889" t="s">
        <v>36</v>
      </c>
      <c r="I889" t="s">
        <v>40</v>
      </c>
      <c r="J889" t="s">
        <v>27</v>
      </c>
      <c r="K889" t="s">
        <v>28</v>
      </c>
      <c r="L889" s="2">
        <v>73.400000000000006</v>
      </c>
      <c r="M889" s="3">
        <v>316</v>
      </c>
      <c r="N889">
        <v>1</v>
      </c>
      <c r="O889">
        <v>1</v>
      </c>
      <c r="P889">
        <v>1</v>
      </c>
      <c r="Q889">
        <v>0</v>
      </c>
      <c r="R889" s="4">
        <v>65.84</v>
      </c>
      <c r="S889">
        <v>0</v>
      </c>
      <c r="T889">
        <v>1</v>
      </c>
    </row>
    <row r="890" spans="1:20" ht="16.5" x14ac:dyDescent="0.3">
      <c r="A890" t="s">
        <v>935</v>
      </c>
      <c r="B890" s="1">
        <v>45424</v>
      </c>
      <c r="C890">
        <v>2024</v>
      </c>
      <c r="D890" t="s">
        <v>649</v>
      </c>
      <c r="E890" t="s">
        <v>859</v>
      </c>
      <c r="F890" t="s">
        <v>38</v>
      </c>
      <c r="G890" t="s">
        <v>35</v>
      </c>
      <c r="H890" t="s">
        <v>51</v>
      </c>
      <c r="I890" t="s">
        <v>40</v>
      </c>
      <c r="J890" t="s">
        <v>41</v>
      </c>
      <c r="K890" t="s">
        <v>32</v>
      </c>
      <c r="L890" s="2">
        <v>5.8</v>
      </c>
      <c r="M890" s="3">
        <v>1310</v>
      </c>
      <c r="N890">
        <v>3</v>
      </c>
      <c r="O890">
        <v>2</v>
      </c>
      <c r="P890">
        <v>1</v>
      </c>
      <c r="Q890">
        <v>0</v>
      </c>
      <c r="R890" s="4">
        <v>90.13</v>
      </c>
      <c r="S890">
        <v>0</v>
      </c>
      <c r="T890">
        <v>1</v>
      </c>
    </row>
    <row r="891" spans="1:20" ht="16.5" x14ac:dyDescent="0.3">
      <c r="A891" t="s">
        <v>936</v>
      </c>
      <c r="B891" s="1">
        <v>45424</v>
      </c>
      <c r="C891">
        <v>2024</v>
      </c>
      <c r="D891" t="s">
        <v>649</v>
      </c>
      <c r="E891" t="s">
        <v>859</v>
      </c>
      <c r="F891" t="s">
        <v>34</v>
      </c>
      <c r="G891" t="s">
        <v>24</v>
      </c>
      <c r="H891" t="s">
        <v>51</v>
      </c>
      <c r="I891" t="s">
        <v>26</v>
      </c>
      <c r="J891" t="s">
        <v>27</v>
      </c>
      <c r="K891" t="s">
        <v>32</v>
      </c>
      <c r="L891" s="2">
        <v>3.6</v>
      </c>
      <c r="M891" s="3">
        <v>1183</v>
      </c>
      <c r="N891">
        <v>5</v>
      </c>
      <c r="O891">
        <v>5</v>
      </c>
      <c r="P891">
        <v>1</v>
      </c>
      <c r="Q891">
        <v>0</v>
      </c>
      <c r="R891" s="4">
        <v>18.28</v>
      </c>
      <c r="S891">
        <v>0</v>
      </c>
      <c r="T891">
        <v>1</v>
      </c>
    </row>
    <row r="892" spans="1:20" ht="16.5" x14ac:dyDescent="0.3">
      <c r="A892" t="s">
        <v>937</v>
      </c>
      <c r="B892" s="1">
        <v>45424</v>
      </c>
      <c r="C892">
        <v>2024</v>
      </c>
      <c r="D892" t="s">
        <v>649</v>
      </c>
      <c r="E892" t="s">
        <v>859</v>
      </c>
      <c r="F892" t="s">
        <v>57</v>
      </c>
      <c r="G892" t="s">
        <v>35</v>
      </c>
      <c r="H892" t="s">
        <v>36</v>
      </c>
      <c r="I892" t="s">
        <v>26</v>
      </c>
      <c r="J892" t="s">
        <v>27</v>
      </c>
      <c r="K892" t="s">
        <v>28</v>
      </c>
      <c r="L892" s="2">
        <v>74.5</v>
      </c>
      <c r="M892" s="3">
        <v>226</v>
      </c>
      <c r="N892">
        <v>3</v>
      </c>
      <c r="O892">
        <v>3</v>
      </c>
      <c r="P892">
        <v>1</v>
      </c>
      <c r="Q892">
        <v>0</v>
      </c>
      <c r="R892" s="4">
        <v>41.03</v>
      </c>
      <c r="S892">
        <v>0</v>
      </c>
      <c r="T892">
        <v>1</v>
      </c>
    </row>
    <row r="893" spans="1:20" ht="16.5" x14ac:dyDescent="0.3">
      <c r="A893" t="s">
        <v>938</v>
      </c>
      <c r="B893" s="1">
        <v>45424</v>
      </c>
      <c r="C893">
        <v>2024</v>
      </c>
      <c r="D893" t="s">
        <v>649</v>
      </c>
      <c r="E893" t="s">
        <v>859</v>
      </c>
      <c r="F893" t="s">
        <v>30</v>
      </c>
      <c r="G893" t="s">
        <v>39</v>
      </c>
      <c r="H893" t="s">
        <v>43</v>
      </c>
      <c r="I893" t="s">
        <v>26</v>
      </c>
      <c r="J893" t="s">
        <v>27</v>
      </c>
      <c r="K893" t="s">
        <v>32</v>
      </c>
      <c r="L893" s="2">
        <v>12.5</v>
      </c>
      <c r="M893" s="3">
        <v>1058</v>
      </c>
      <c r="N893">
        <v>5</v>
      </c>
      <c r="O893">
        <v>5</v>
      </c>
      <c r="P893">
        <v>1</v>
      </c>
      <c r="Q893">
        <v>0</v>
      </c>
      <c r="R893" s="4">
        <v>27.49</v>
      </c>
      <c r="S893">
        <v>0</v>
      </c>
      <c r="T893">
        <v>1</v>
      </c>
    </row>
    <row r="894" spans="1:20" ht="16.5" x14ac:dyDescent="0.3">
      <c r="A894" t="s">
        <v>939</v>
      </c>
      <c r="B894" s="1">
        <v>45425</v>
      </c>
      <c r="C894">
        <v>2024</v>
      </c>
      <c r="D894" t="s">
        <v>649</v>
      </c>
      <c r="E894" t="s">
        <v>859</v>
      </c>
      <c r="F894" t="s">
        <v>38</v>
      </c>
      <c r="G894" t="s">
        <v>35</v>
      </c>
      <c r="H894" t="s">
        <v>43</v>
      </c>
      <c r="I894" t="s">
        <v>26</v>
      </c>
      <c r="J894" t="s">
        <v>27</v>
      </c>
      <c r="K894" t="s">
        <v>32</v>
      </c>
      <c r="L894" s="2">
        <v>8.8000000000000007</v>
      </c>
      <c r="M894" s="3">
        <v>1158</v>
      </c>
      <c r="N894">
        <v>5</v>
      </c>
      <c r="O894">
        <v>5</v>
      </c>
      <c r="P894">
        <v>1</v>
      </c>
      <c r="Q894">
        <v>0</v>
      </c>
      <c r="R894" s="4">
        <v>27.48</v>
      </c>
      <c r="S894">
        <v>0</v>
      </c>
      <c r="T894">
        <v>1</v>
      </c>
    </row>
    <row r="895" spans="1:20" ht="16.5" x14ac:dyDescent="0.3">
      <c r="A895" t="s">
        <v>940</v>
      </c>
      <c r="B895" s="1">
        <v>45425</v>
      </c>
      <c r="C895">
        <v>2024</v>
      </c>
      <c r="D895" t="s">
        <v>649</v>
      </c>
      <c r="E895" t="s">
        <v>859</v>
      </c>
      <c r="F895" t="s">
        <v>57</v>
      </c>
      <c r="G895" t="s">
        <v>39</v>
      </c>
      <c r="H895" t="s">
        <v>25</v>
      </c>
      <c r="I895" t="s">
        <v>26</v>
      </c>
      <c r="J895" t="s">
        <v>27</v>
      </c>
      <c r="K895" t="s">
        <v>28</v>
      </c>
      <c r="L895" s="2">
        <v>139.9</v>
      </c>
      <c r="M895" s="3">
        <v>620</v>
      </c>
      <c r="N895">
        <v>4</v>
      </c>
      <c r="O895">
        <v>4</v>
      </c>
      <c r="P895">
        <v>1</v>
      </c>
      <c r="Q895">
        <v>0</v>
      </c>
      <c r="R895" s="4">
        <v>79.12</v>
      </c>
      <c r="S895">
        <v>0</v>
      </c>
      <c r="T895">
        <v>1</v>
      </c>
    </row>
    <row r="896" spans="1:20" ht="16.5" x14ac:dyDescent="0.3">
      <c r="A896" t="s">
        <v>941</v>
      </c>
      <c r="B896" s="1">
        <v>45425</v>
      </c>
      <c r="C896">
        <v>2024</v>
      </c>
      <c r="D896" t="s">
        <v>649</v>
      </c>
      <c r="E896" t="s">
        <v>859</v>
      </c>
      <c r="F896" t="s">
        <v>30</v>
      </c>
      <c r="G896" t="s">
        <v>24</v>
      </c>
      <c r="H896" t="s">
        <v>48</v>
      </c>
      <c r="I896" t="s">
        <v>26</v>
      </c>
      <c r="J896" t="s">
        <v>27</v>
      </c>
      <c r="K896" t="s">
        <v>32</v>
      </c>
      <c r="L896" s="2">
        <v>11.3</v>
      </c>
      <c r="M896" s="3">
        <v>566</v>
      </c>
      <c r="N896">
        <v>4</v>
      </c>
      <c r="O896">
        <v>4</v>
      </c>
      <c r="P896">
        <v>1</v>
      </c>
      <c r="Q896">
        <v>0</v>
      </c>
      <c r="R896" s="4">
        <v>21.74</v>
      </c>
      <c r="S896">
        <v>0</v>
      </c>
      <c r="T896">
        <v>1</v>
      </c>
    </row>
    <row r="897" spans="1:20" ht="16.5" x14ac:dyDescent="0.3">
      <c r="A897" t="s">
        <v>942</v>
      </c>
      <c r="B897" s="1">
        <v>45425</v>
      </c>
      <c r="C897">
        <v>2024</v>
      </c>
      <c r="D897" t="s">
        <v>649</v>
      </c>
      <c r="E897" t="s">
        <v>859</v>
      </c>
      <c r="F897" t="s">
        <v>30</v>
      </c>
      <c r="G897" t="s">
        <v>39</v>
      </c>
      <c r="H897" t="s">
        <v>25</v>
      </c>
      <c r="I897" t="s">
        <v>26</v>
      </c>
      <c r="J897" t="s">
        <v>27</v>
      </c>
      <c r="K897" t="s">
        <v>32</v>
      </c>
      <c r="L897" s="2">
        <v>5.4</v>
      </c>
      <c r="M897" s="3">
        <v>947</v>
      </c>
      <c r="N897">
        <v>4</v>
      </c>
      <c r="O897">
        <v>4</v>
      </c>
      <c r="P897">
        <v>1</v>
      </c>
      <c r="Q897">
        <v>0</v>
      </c>
      <c r="R897" s="4">
        <v>20.94</v>
      </c>
      <c r="S897">
        <v>0</v>
      </c>
      <c r="T897">
        <v>1</v>
      </c>
    </row>
    <row r="898" spans="1:20" ht="16.5" x14ac:dyDescent="0.3">
      <c r="A898" t="s">
        <v>943</v>
      </c>
      <c r="B898" s="1">
        <v>45425</v>
      </c>
      <c r="C898">
        <v>2024</v>
      </c>
      <c r="D898" t="s">
        <v>649</v>
      </c>
      <c r="E898" t="s">
        <v>859</v>
      </c>
      <c r="F898" t="s">
        <v>23</v>
      </c>
      <c r="G898" t="s">
        <v>24</v>
      </c>
      <c r="H898" t="s">
        <v>48</v>
      </c>
      <c r="I898" t="s">
        <v>31</v>
      </c>
      <c r="J898" t="s">
        <v>27</v>
      </c>
      <c r="K898" t="s">
        <v>32</v>
      </c>
      <c r="L898" s="2">
        <v>8.9</v>
      </c>
      <c r="M898" s="3">
        <v>434</v>
      </c>
      <c r="N898">
        <v>6</v>
      </c>
      <c r="O898">
        <v>6</v>
      </c>
      <c r="P898">
        <v>1</v>
      </c>
      <c r="Q898">
        <v>0</v>
      </c>
      <c r="R898" s="4">
        <v>12.62</v>
      </c>
      <c r="S898">
        <v>0</v>
      </c>
      <c r="T898">
        <v>1</v>
      </c>
    </row>
    <row r="899" spans="1:20" ht="16.5" x14ac:dyDescent="0.3">
      <c r="A899" t="s">
        <v>944</v>
      </c>
      <c r="B899" s="1">
        <v>45425</v>
      </c>
      <c r="C899">
        <v>2024</v>
      </c>
      <c r="D899" t="s">
        <v>649</v>
      </c>
      <c r="E899" t="s">
        <v>859</v>
      </c>
      <c r="F899" t="s">
        <v>57</v>
      </c>
      <c r="G899" t="s">
        <v>39</v>
      </c>
      <c r="H899" t="s">
        <v>43</v>
      </c>
      <c r="I899" t="s">
        <v>26</v>
      </c>
      <c r="J899" t="s">
        <v>27</v>
      </c>
      <c r="K899" t="s">
        <v>32</v>
      </c>
      <c r="L899" s="2">
        <v>3.4</v>
      </c>
      <c r="M899" s="3">
        <v>746</v>
      </c>
      <c r="N899">
        <v>5</v>
      </c>
      <c r="O899">
        <v>4</v>
      </c>
      <c r="P899">
        <v>1</v>
      </c>
      <c r="Q899">
        <v>0</v>
      </c>
      <c r="R899" s="4">
        <v>18.350000000000001</v>
      </c>
      <c r="S899">
        <v>0</v>
      </c>
      <c r="T899">
        <v>1</v>
      </c>
    </row>
    <row r="900" spans="1:20" ht="16.5" x14ac:dyDescent="0.3">
      <c r="A900" t="s">
        <v>945</v>
      </c>
      <c r="B900" s="1">
        <v>45426</v>
      </c>
      <c r="C900">
        <v>2024</v>
      </c>
      <c r="D900" t="s">
        <v>649</v>
      </c>
      <c r="E900" t="s">
        <v>859</v>
      </c>
      <c r="F900" t="s">
        <v>38</v>
      </c>
      <c r="G900" t="s">
        <v>35</v>
      </c>
      <c r="H900" t="s">
        <v>48</v>
      </c>
      <c r="I900" t="s">
        <v>40</v>
      </c>
      <c r="J900" t="s">
        <v>27</v>
      </c>
      <c r="K900" t="s">
        <v>28</v>
      </c>
      <c r="L900" s="2">
        <v>409.7</v>
      </c>
      <c r="M900" s="3">
        <v>497</v>
      </c>
      <c r="N900">
        <v>2</v>
      </c>
      <c r="O900">
        <v>2</v>
      </c>
      <c r="P900">
        <v>1</v>
      </c>
      <c r="Q900">
        <v>0</v>
      </c>
      <c r="R900" s="4">
        <v>390.1</v>
      </c>
      <c r="S900">
        <v>0</v>
      </c>
      <c r="T900">
        <v>1</v>
      </c>
    </row>
    <row r="901" spans="1:20" ht="16.5" x14ac:dyDescent="0.3">
      <c r="A901" t="s">
        <v>946</v>
      </c>
      <c r="B901" s="1">
        <v>45426</v>
      </c>
      <c r="C901">
        <v>2024</v>
      </c>
      <c r="D901" t="s">
        <v>649</v>
      </c>
      <c r="E901" t="s">
        <v>859</v>
      </c>
      <c r="F901" t="s">
        <v>30</v>
      </c>
      <c r="G901" t="s">
        <v>24</v>
      </c>
      <c r="H901" t="s">
        <v>51</v>
      </c>
      <c r="I901" t="s">
        <v>31</v>
      </c>
      <c r="J901" t="s">
        <v>27</v>
      </c>
      <c r="K901" t="s">
        <v>28</v>
      </c>
      <c r="L901" s="2">
        <v>227.5</v>
      </c>
      <c r="M901" s="3">
        <v>951</v>
      </c>
      <c r="N901">
        <v>7</v>
      </c>
      <c r="O901">
        <v>6</v>
      </c>
      <c r="P901">
        <v>1</v>
      </c>
      <c r="Q901">
        <v>0</v>
      </c>
      <c r="R901" s="4">
        <v>85.35</v>
      </c>
      <c r="S901">
        <v>0</v>
      </c>
      <c r="T901">
        <v>1</v>
      </c>
    </row>
    <row r="902" spans="1:20" ht="16.5" x14ac:dyDescent="0.3">
      <c r="A902" t="s">
        <v>947</v>
      </c>
      <c r="B902" s="1">
        <v>45426</v>
      </c>
      <c r="C902">
        <v>2024</v>
      </c>
      <c r="D902" t="s">
        <v>649</v>
      </c>
      <c r="E902" t="s">
        <v>859</v>
      </c>
      <c r="F902" t="s">
        <v>23</v>
      </c>
      <c r="G902" t="s">
        <v>35</v>
      </c>
      <c r="H902" t="s">
        <v>36</v>
      </c>
      <c r="I902" t="s">
        <v>26</v>
      </c>
      <c r="J902" t="s">
        <v>27</v>
      </c>
      <c r="K902" t="s">
        <v>28</v>
      </c>
      <c r="L902" s="2">
        <v>109.3</v>
      </c>
      <c r="M902" s="3">
        <v>263</v>
      </c>
      <c r="N902">
        <v>3</v>
      </c>
      <c r="O902">
        <v>2</v>
      </c>
      <c r="P902">
        <v>1</v>
      </c>
      <c r="Q902">
        <v>0</v>
      </c>
      <c r="R902" s="4">
        <v>56.25</v>
      </c>
      <c r="S902">
        <v>0</v>
      </c>
      <c r="T902">
        <v>1</v>
      </c>
    </row>
    <row r="903" spans="1:20" ht="16.5" x14ac:dyDescent="0.3">
      <c r="A903" t="s">
        <v>948</v>
      </c>
      <c r="B903" s="1">
        <v>45426</v>
      </c>
      <c r="C903">
        <v>2024</v>
      </c>
      <c r="D903" t="s">
        <v>649</v>
      </c>
      <c r="E903" t="s">
        <v>859</v>
      </c>
      <c r="F903" t="s">
        <v>34</v>
      </c>
      <c r="G903" t="s">
        <v>39</v>
      </c>
      <c r="H903" t="s">
        <v>48</v>
      </c>
      <c r="I903" t="s">
        <v>40</v>
      </c>
      <c r="J903" t="s">
        <v>27</v>
      </c>
      <c r="K903" t="s">
        <v>32</v>
      </c>
      <c r="L903" s="2">
        <v>5.0999999999999996</v>
      </c>
      <c r="M903" s="3">
        <v>481</v>
      </c>
      <c r="N903">
        <v>2</v>
      </c>
      <c r="O903">
        <v>1</v>
      </c>
      <c r="P903">
        <v>1</v>
      </c>
      <c r="Q903">
        <v>0</v>
      </c>
      <c r="R903" s="4">
        <v>23.93</v>
      </c>
      <c r="S903">
        <v>0</v>
      </c>
      <c r="T903">
        <v>1</v>
      </c>
    </row>
    <row r="904" spans="1:20" ht="16.5" x14ac:dyDescent="0.3">
      <c r="A904" t="s">
        <v>949</v>
      </c>
      <c r="B904" s="1">
        <v>45427</v>
      </c>
      <c r="C904">
        <v>2024</v>
      </c>
      <c r="D904" t="s">
        <v>649</v>
      </c>
      <c r="E904" t="s">
        <v>859</v>
      </c>
      <c r="F904" t="s">
        <v>38</v>
      </c>
      <c r="G904" t="s">
        <v>24</v>
      </c>
      <c r="H904" t="s">
        <v>43</v>
      </c>
      <c r="I904" t="s">
        <v>31</v>
      </c>
      <c r="J904" t="s">
        <v>27</v>
      </c>
      <c r="K904" t="s">
        <v>28</v>
      </c>
      <c r="L904" s="2">
        <v>45.8</v>
      </c>
      <c r="M904" s="3">
        <v>1393</v>
      </c>
      <c r="N904">
        <v>7</v>
      </c>
      <c r="O904">
        <v>6</v>
      </c>
      <c r="P904">
        <v>1</v>
      </c>
      <c r="Q904">
        <v>0</v>
      </c>
      <c r="R904" s="4">
        <v>36.11</v>
      </c>
      <c r="S904">
        <v>0</v>
      </c>
      <c r="T904">
        <v>1</v>
      </c>
    </row>
    <row r="905" spans="1:20" ht="16.5" x14ac:dyDescent="0.3">
      <c r="A905" t="s">
        <v>950</v>
      </c>
      <c r="B905" s="1">
        <v>45427</v>
      </c>
      <c r="C905">
        <v>2024</v>
      </c>
      <c r="D905" t="s">
        <v>649</v>
      </c>
      <c r="E905" t="s">
        <v>859</v>
      </c>
      <c r="F905" t="s">
        <v>57</v>
      </c>
      <c r="G905" t="s">
        <v>39</v>
      </c>
      <c r="H905" t="s">
        <v>51</v>
      </c>
      <c r="I905" t="s">
        <v>26</v>
      </c>
      <c r="J905" t="s">
        <v>27</v>
      </c>
      <c r="K905" t="s">
        <v>28</v>
      </c>
      <c r="L905" s="2">
        <v>347.6</v>
      </c>
      <c r="M905" s="3">
        <v>944</v>
      </c>
      <c r="N905">
        <v>5</v>
      </c>
      <c r="O905">
        <v>5</v>
      </c>
      <c r="P905">
        <v>1</v>
      </c>
      <c r="Q905">
        <v>0</v>
      </c>
      <c r="R905" s="4">
        <v>144.04</v>
      </c>
      <c r="S905">
        <v>0</v>
      </c>
      <c r="T905">
        <v>1</v>
      </c>
    </row>
    <row r="906" spans="1:20" ht="16.5" x14ac:dyDescent="0.3">
      <c r="A906" t="s">
        <v>951</v>
      </c>
      <c r="B906" s="1">
        <v>45427</v>
      </c>
      <c r="C906">
        <v>2024</v>
      </c>
      <c r="D906" t="s">
        <v>649</v>
      </c>
      <c r="E906" t="s">
        <v>859</v>
      </c>
      <c r="F906" t="s">
        <v>34</v>
      </c>
      <c r="G906" t="s">
        <v>39</v>
      </c>
      <c r="H906" t="s">
        <v>48</v>
      </c>
      <c r="I906" t="s">
        <v>26</v>
      </c>
      <c r="J906" t="s">
        <v>27</v>
      </c>
      <c r="K906" t="s">
        <v>28</v>
      </c>
      <c r="L906" s="2">
        <v>174.1</v>
      </c>
      <c r="M906" s="3">
        <v>490</v>
      </c>
      <c r="N906">
        <v>4</v>
      </c>
      <c r="O906">
        <v>4</v>
      </c>
      <c r="P906">
        <v>1</v>
      </c>
      <c r="Q906">
        <v>0</v>
      </c>
      <c r="R906" s="4">
        <v>76.790000000000006</v>
      </c>
      <c r="S906">
        <v>0</v>
      </c>
      <c r="T906">
        <v>1</v>
      </c>
    </row>
    <row r="907" spans="1:20" ht="16.5" x14ac:dyDescent="0.3">
      <c r="A907" t="s">
        <v>952</v>
      </c>
      <c r="B907" s="1">
        <v>45427</v>
      </c>
      <c r="C907">
        <v>2024</v>
      </c>
      <c r="D907" t="s">
        <v>649</v>
      </c>
      <c r="E907" t="s">
        <v>859</v>
      </c>
      <c r="F907" t="s">
        <v>30</v>
      </c>
      <c r="G907" t="s">
        <v>39</v>
      </c>
      <c r="H907" t="s">
        <v>51</v>
      </c>
      <c r="I907" t="s">
        <v>31</v>
      </c>
      <c r="J907" t="s">
        <v>27</v>
      </c>
      <c r="K907" t="s">
        <v>28</v>
      </c>
      <c r="L907" s="2">
        <v>53.6</v>
      </c>
      <c r="M907" s="3">
        <v>1073</v>
      </c>
      <c r="N907">
        <v>7</v>
      </c>
      <c r="O907">
        <v>9</v>
      </c>
      <c r="P907">
        <v>0</v>
      </c>
      <c r="Q907">
        <v>2</v>
      </c>
      <c r="R907" s="4">
        <v>35.729999999999997</v>
      </c>
      <c r="S907">
        <v>0</v>
      </c>
      <c r="T907">
        <v>1</v>
      </c>
    </row>
    <row r="908" spans="1:20" ht="16.5" x14ac:dyDescent="0.3">
      <c r="A908" t="s">
        <v>953</v>
      </c>
      <c r="B908" s="1">
        <v>45427</v>
      </c>
      <c r="C908">
        <v>2024</v>
      </c>
      <c r="D908" t="s">
        <v>649</v>
      </c>
      <c r="E908" t="s">
        <v>859</v>
      </c>
      <c r="F908" t="s">
        <v>23</v>
      </c>
      <c r="G908" t="s">
        <v>24</v>
      </c>
      <c r="H908" t="s">
        <v>51</v>
      </c>
      <c r="I908" t="s">
        <v>26</v>
      </c>
      <c r="J908" t="s">
        <v>27</v>
      </c>
      <c r="K908" t="s">
        <v>32</v>
      </c>
      <c r="L908" s="2">
        <v>6.4</v>
      </c>
      <c r="M908" s="3">
        <v>1163</v>
      </c>
      <c r="N908">
        <v>5</v>
      </c>
      <c r="O908">
        <v>5</v>
      </c>
      <c r="P908">
        <v>1</v>
      </c>
      <c r="Q908">
        <v>0</v>
      </c>
      <c r="R908" s="4">
        <v>20.05</v>
      </c>
      <c r="S908">
        <v>0</v>
      </c>
      <c r="T908">
        <v>1</v>
      </c>
    </row>
    <row r="909" spans="1:20" ht="16.5" x14ac:dyDescent="0.3">
      <c r="A909" t="s">
        <v>954</v>
      </c>
      <c r="B909" s="1">
        <v>45427</v>
      </c>
      <c r="C909">
        <v>2024</v>
      </c>
      <c r="D909" t="s">
        <v>649</v>
      </c>
      <c r="E909" t="s">
        <v>859</v>
      </c>
      <c r="F909" t="s">
        <v>57</v>
      </c>
      <c r="G909" t="s">
        <v>35</v>
      </c>
      <c r="H909" t="s">
        <v>36</v>
      </c>
      <c r="I909" t="s">
        <v>26</v>
      </c>
      <c r="J909" t="s">
        <v>27</v>
      </c>
      <c r="K909" t="s">
        <v>32</v>
      </c>
      <c r="L909" s="2">
        <v>9.5</v>
      </c>
      <c r="M909" s="3">
        <v>235</v>
      </c>
      <c r="N909">
        <v>3</v>
      </c>
      <c r="O909">
        <v>3</v>
      </c>
      <c r="P909">
        <v>1</v>
      </c>
      <c r="Q909">
        <v>0</v>
      </c>
      <c r="R909" s="4">
        <v>14.28</v>
      </c>
      <c r="S909">
        <v>0</v>
      </c>
      <c r="T909">
        <v>1</v>
      </c>
    </row>
    <row r="910" spans="1:20" ht="16.5" x14ac:dyDescent="0.3">
      <c r="A910" t="s">
        <v>955</v>
      </c>
      <c r="B910" s="1">
        <v>45427</v>
      </c>
      <c r="C910">
        <v>2024</v>
      </c>
      <c r="D910" t="s">
        <v>649</v>
      </c>
      <c r="E910" t="s">
        <v>859</v>
      </c>
      <c r="F910" t="s">
        <v>38</v>
      </c>
      <c r="G910" t="s">
        <v>24</v>
      </c>
      <c r="H910" t="s">
        <v>36</v>
      </c>
      <c r="I910" t="s">
        <v>26</v>
      </c>
      <c r="J910" t="s">
        <v>27</v>
      </c>
      <c r="K910" t="s">
        <v>28</v>
      </c>
      <c r="L910" s="2">
        <v>28.5</v>
      </c>
      <c r="M910" s="3">
        <v>257</v>
      </c>
      <c r="N910">
        <v>3</v>
      </c>
      <c r="O910">
        <v>3</v>
      </c>
      <c r="P910">
        <v>1</v>
      </c>
      <c r="Q910">
        <v>0</v>
      </c>
      <c r="R910" s="4">
        <v>28.24</v>
      </c>
      <c r="S910">
        <v>0</v>
      </c>
      <c r="T910">
        <v>1</v>
      </c>
    </row>
    <row r="911" spans="1:20" ht="16.5" x14ac:dyDescent="0.3">
      <c r="A911" t="s">
        <v>956</v>
      </c>
      <c r="B911" s="1">
        <v>45427</v>
      </c>
      <c r="C911">
        <v>2024</v>
      </c>
      <c r="D911" t="s">
        <v>649</v>
      </c>
      <c r="E911" t="s">
        <v>859</v>
      </c>
      <c r="F911" t="s">
        <v>38</v>
      </c>
      <c r="G911" t="s">
        <v>39</v>
      </c>
      <c r="H911" t="s">
        <v>36</v>
      </c>
      <c r="I911" t="s">
        <v>31</v>
      </c>
      <c r="J911" t="s">
        <v>27</v>
      </c>
      <c r="K911" t="s">
        <v>28</v>
      </c>
      <c r="L911" s="2">
        <v>51.4</v>
      </c>
      <c r="M911" s="3">
        <v>297</v>
      </c>
      <c r="N911">
        <v>5</v>
      </c>
      <c r="O911">
        <v>5</v>
      </c>
      <c r="P911">
        <v>1</v>
      </c>
      <c r="Q911">
        <v>0</v>
      </c>
      <c r="R911" s="4">
        <v>28.57</v>
      </c>
      <c r="S911">
        <v>0</v>
      </c>
      <c r="T911">
        <v>1</v>
      </c>
    </row>
    <row r="912" spans="1:20" ht="16.5" x14ac:dyDescent="0.3">
      <c r="A912" t="s">
        <v>957</v>
      </c>
      <c r="B912" s="1">
        <v>45427</v>
      </c>
      <c r="C912">
        <v>2024</v>
      </c>
      <c r="D912" t="s">
        <v>649</v>
      </c>
      <c r="E912" t="s">
        <v>859</v>
      </c>
      <c r="F912" t="s">
        <v>57</v>
      </c>
      <c r="G912" t="s">
        <v>39</v>
      </c>
      <c r="H912" t="s">
        <v>48</v>
      </c>
      <c r="I912" t="s">
        <v>40</v>
      </c>
      <c r="J912" t="s">
        <v>27</v>
      </c>
      <c r="K912" t="s">
        <v>32</v>
      </c>
      <c r="L912" s="2">
        <v>5.4</v>
      </c>
      <c r="M912" s="3">
        <v>488</v>
      </c>
      <c r="N912">
        <v>2</v>
      </c>
      <c r="O912">
        <v>2</v>
      </c>
      <c r="P912">
        <v>1</v>
      </c>
      <c r="Q912">
        <v>0</v>
      </c>
      <c r="R912" s="4">
        <v>29.65</v>
      </c>
      <c r="S912">
        <v>0</v>
      </c>
      <c r="T912">
        <v>1</v>
      </c>
    </row>
    <row r="913" spans="1:20" ht="16.5" x14ac:dyDescent="0.3">
      <c r="A913" t="s">
        <v>958</v>
      </c>
      <c r="B913" s="1">
        <v>45428</v>
      </c>
      <c r="C913">
        <v>2024</v>
      </c>
      <c r="D913" t="s">
        <v>649</v>
      </c>
      <c r="E913" t="s">
        <v>859</v>
      </c>
      <c r="F913" t="s">
        <v>30</v>
      </c>
      <c r="G913" t="s">
        <v>35</v>
      </c>
      <c r="H913" t="s">
        <v>51</v>
      </c>
      <c r="I913" t="s">
        <v>26</v>
      </c>
      <c r="J913" t="s">
        <v>27</v>
      </c>
      <c r="K913" t="s">
        <v>28</v>
      </c>
      <c r="L913" s="2">
        <v>64.900000000000006</v>
      </c>
      <c r="M913" s="3">
        <v>864</v>
      </c>
      <c r="N913">
        <v>5</v>
      </c>
      <c r="O913">
        <v>5</v>
      </c>
      <c r="P913">
        <v>1</v>
      </c>
      <c r="Q913">
        <v>0</v>
      </c>
      <c r="R913" s="4">
        <v>50.1</v>
      </c>
      <c r="S913">
        <v>0</v>
      </c>
      <c r="T913">
        <v>1</v>
      </c>
    </row>
    <row r="914" spans="1:20" ht="16.5" x14ac:dyDescent="0.3">
      <c r="A914" t="s">
        <v>959</v>
      </c>
      <c r="B914" s="1">
        <v>45428</v>
      </c>
      <c r="C914">
        <v>2024</v>
      </c>
      <c r="D914" t="s">
        <v>649</v>
      </c>
      <c r="E914" t="s">
        <v>859</v>
      </c>
      <c r="F914" t="s">
        <v>57</v>
      </c>
      <c r="G914" t="s">
        <v>39</v>
      </c>
      <c r="H914" t="s">
        <v>51</v>
      </c>
      <c r="I914" t="s">
        <v>31</v>
      </c>
      <c r="J914" t="s">
        <v>27</v>
      </c>
      <c r="K914" t="s">
        <v>32</v>
      </c>
      <c r="L914" s="2">
        <v>9.5</v>
      </c>
      <c r="M914" s="3">
        <v>898</v>
      </c>
      <c r="N914">
        <v>7</v>
      </c>
      <c r="O914">
        <v>9</v>
      </c>
      <c r="P914">
        <v>0</v>
      </c>
      <c r="Q914">
        <v>2</v>
      </c>
      <c r="R914" s="4">
        <v>15.41</v>
      </c>
      <c r="S914">
        <v>0</v>
      </c>
      <c r="T914">
        <v>1</v>
      </c>
    </row>
    <row r="915" spans="1:20" ht="16.5" x14ac:dyDescent="0.3">
      <c r="A915" t="s">
        <v>960</v>
      </c>
      <c r="B915" s="1">
        <v>45428</v>
      </c>
      <c r="C915">
        <v>2024</v>
      </c>
      <c r="D915" t="s">
        <v>649</v>
      </c>
      <c r="E915" t="s">
        <v>859</v>
      </c>
      <c r="F915" t="s">
        <v>34</v>
      </c>
      <c r="G915" t="s">
        <v>39</v>
      </c>
      <c r="H915" t="s">
        <v>43</v>
      </c>
      <c r="I915" t="s">
        <v>40</v>
      </c>
      <c r="J915" t="s">
        <v>41</v>
      </c>
      <c r="K915" t="s">
        <v>28</v>
      </c>
      <c r="L915" s="2">
        <v>129.9</v>
      </c>
      <c r="M915" s="3">
        <v>951</v>
      </c>
      <c r="N915">
        <v>3</v>
      </c>
      <c r="O915">
        <v>2</v>
      </c>
      <c r="P915">
        <v>1</v>
      </c>
      <c r="Q915">
        <v>0</v>
      </c>
      <c r="R915" s="4">
        <v>191.98</v>
      </c>
      <c r="S915">
        <v>0</v>
      </c>
      <c r="T915">
        <v>1</v>
      </c>
    </row>
    <row r="916" spans="1:20" ht="16.5" x14ac:dyDescent="0.3">
      <c r="A916" t="s">
        <v>961</v>
      </c>
      <c r="B916" s="1">
        <v>45428</v>
      </c>
      <c r="C916">
        <v>2024</v>
      </c>
      <c r="D916" t="s">
        <v>649</v>
      </c>
      <c r="E916" t="s">
        <v>859</v>
      </c>
      <c r="F916" t="s">
        <v>57</v>
      </c>
      <c r="G916" t="s">
        <v>39</v>
      </c>
      <c r="H916" t="s">
        <v>43</v>
      </c>
      <c r="I916" t="s">
        <v>26</v>
      </c>
      <c r="J916" t="s">
        <v>27</v>
      </c>
      <c r="K916" t="s">
        <v>32</v>
      </c>
      <c r="L916" s="2">
        <v>11.7</v>
      </c>
      <c r="M916" s="3">
        <v>1011</v>
      </c>
      <c r="N916">
        <v>5</v>
      </c>
      <c r="O916">
        <v>5</v>
      </c>
      <c r="P916">
        <v>1</v>
      </c>
      <c r="Q916">
        <v>0</v>
      </c>
      <c r="R916" s="4">
        <v>25</v>
      </c>
      <c r="S916">
        <v>0</v>
      </c>
      <c r="T916">
        <v>1</v>
      </c>
    </row>
    <row r="917" spans="1:20" ht="16.5" x14ac:dyDescent="0.3">
      <c r="A917" t="s">
        <v>962</v>
      </c>
      <c r="B917" s="1">
        <v>45428</v>
      </c>
      <c r="C917">
        <v>2024</v>
      </c>
      <c r="D917" t="s">
        <v>649</v>
      </c>
      <c r="E917" t="s">
        <v>859</v>
      </c>
      <c r="F917" t="s">
        <v>38</v>
      </c>
      <c r="G917" t="s">
        <v>24</v>
      </c>
      <c r="H917" t="s">
        <v>48</v>
      </c>
      <c r="I917" t="s">
        <v>31</v>
      </c>
      <c r="J917" t="s">
        <v>27</v>
      </c>
      <c r="K917" t="s">
        <v>28</v>
      </c>
      <c r="L917" s="2">
        <v>127.2</v>
      </c>
      <c r="M917" s="3">
        <v>366</v>
      </c>
      <c r="N917">
        <v>6</v>
      </c>
      <c r="O917">
        <v>6</v>
      </c>
      <c r="P917">
        <v>1</v>
      </c>
      <c r="Q917">
        <v>0</v>
      </c>
      <c r="R917" s="4">
        <v>61.23</v>
      </c>
      <c r="S917">
        <v>0</v>
      </c>
      <c r="T917">
        <v>1</v>
      </c>
    </row>
    <row r="918" spans="1:20" ht="16.5" x14ac:dyDescent="0.3">
      <c r="A918" t="s">
        <v>963</v>
      </c>
      <c r="B918" s="1">
        <v>45428</v>
      </c>
      <c r="C918">
        <v>2024</v>
      </c>
      <c r="D918" t="s">
        <v>649</v>
      </c>
      <c r="E918" t="s">
        <v>859</v>
      </c>
      <c r="F918" t="s">
        <v>57</v>
      </c>
      <c r="G918" t="s">
        <v>39</v>
      </c>
      <c r="H918" t="s">
        <v>25</v>
      </c>
      <c r="I918" t="s">
        <v>26</v>
      </c>
      <c r="J918" t="s">
        <v>27</v>
      </c>
      <c r="K918" t="s">
        <v>32</v>
      </c>
      <c r="L918" s="2">
        <v>5.2</v>
      </c>
      <c r="M918" s="3">
        <v>730</v>
      </c>
      <c r="N918">
        <v>4</v>
      </c>
      <c r="O918">
        <v>4</v>
      </c>
      <c r="P918">
        <v>1</v>
      </c>
      <c r="Q918">
        <v>0</v>
      </c>
      <c r="R918" s="4">
        <v>18.98</v>
      </c>
      <c r="S918">
        <v>0</v>
      </c>
      <c r="T918">
        <v>1</v>
      </c>
    </row>
    <row r="919" spans="1:20" ht="16.5" x14ac:dyDescent="0.3">
      <c r="A919" t="s">
        <v>964</v>
      </c>
      <c r="B919" s="1">
        <v>45428</v>
      </c>
      <c r="C919">
        <v>2024</v>
      </c>
      <c r="D919" t="s">
        <v>649</v>
      </c>
      <c r="E919" t="s">
        <v>859</v>
      </c>
      <c r="F919" t="s">
        <v>57</v>
      </c>
      <c r="G919" t="s">
        <v>35</v>
      </c>
      <c r="H919" t="s">
        <v>36</v>
      </c>
      <c r="I919" t="s">
        <v>26</v>
      </c>
      <c r="J919" t="s">
        <v>27</v>
      </c>
      <c r="K919" t="s">
        <v>28</v>
      </c>
      <c r="L919" s="2">
        <v>280</v>
      </c>
      <c r="M919" s="3">
        <v>201</v>
      </c>
      <c r="N919">
        <v>3</v>
      </c>
      <c r="O919">
        <v>3</v>
      </c>
      <c r="P919">
        <v>1</v>
      </c>
      <c r="Q919">
        <v>0</v>
      </c>
      <c r="R919" s="4">
        <v>117.83</v>
      </c>
      <c r="S919">
        <v>0</v>
      </c>
      <c r="T919">
        <v>1</v>
      </c>
    </row>
    <row r="920" spans="1:20" ht="16.5" x14ac:dyDescent="0.3">
      <c r="A920" t="s">
        <v>965</v>
      </c>
      <c r="B920" s="1">
        <v>45428</v>
      </c>
      <c r="C920">
        <v>2024</v>
      </c>
      <c r="D920" t="s">
        <v>649</v>
      </c>
      <c r="E920" t="s">
        <v>859</v>
      </c>
      <c r="F920" t="s">
        <v>38</v>
      </c>
      <c r="G920" t="s">
        <v>39</v>
      </c>
      <c r="H920" t="s">
        <v>51</v>
      </c>
      <c r="I920" t="s">
        <v>26</v>
      </c>
      <c r="J920" t="s">
        <v>27</v>
      </c>
      <c r="K920" t="s">
        <v>32</v>
      </c>
      <c r="L920" s="2">
        <v>2.4</v>
      </c>
      <c r="M920" s="3">
        <v>1078</v>
      </c>
      <c r="N920">
        <v>5</v>
      </c>
      <c r="O920">
        <v>5</v>
      </c>
      <c r="P920">
        <v>1</v>
      </c>
      <c r="Q920">
        <v>0</v>
      </c>
      <c r="R920" s="4">
        <v>21.45</v>
      </c>
      <c r="S920">
        <v>0</v>
      </c>
      <c r="T920">
        <v>1</v>
      </c>
    </row>
    <row r="921" spans="1:20" ht="16.5" x14ac:dyDescent="0.3">
      <c r="A921" t="s">
        <v>966</v>
      </c>
      <c r="B921" s="1">
        <v>45428</v>
      </c>
      <c r="C921">
        <v>2024</v>
      </c>
      <c r="D921" t="s">
        <v>649</v>
      </c>
      <c r="E921" t="s">
        <v>859</v>
      </c>
      <c r="F921" t="s">
        <v>30</v>
      </c>
      <c r="G921" t="s">
        <v>35</v>
      </c>
      <c r="H921" t="s">
        <v>36</v>
      </c>
      <c r="I921" t="s">
        <v>26</v>
      </c>
      <c r="J921" t="s">
        <v>27</v>
      </c>
      <c r="K921" t="s">
        <v>32</v>
      </c>
      <c r="L921" s="2">
        <v>3.7</v>
      </c>
      <c r="M921" s="3">
        <v>305</v>
      </c>
      <c r="N921">
        <v>3</v>
      </c>
      <c r="O921">
        <v>3</v>
      </c>
      <c r="P921">
        <v>1</v>
      </c>
      <c r="Q921">
        <v>0</v>
      </c>
      <c r="R921" s="4">
        <v>13.3</v>
      </c>
      <c r="S921">
        <v>0</v>
      </c>
      <c r="T921">
        <v>1</v>
      </c>
    </row>
    <row r="922" spans="1:20" ht="16.5" x14ac:dyDescent="0.3">
      <c r="A922" t="s">
        <v>967</v>
      </c>
      <c r="B922" s="1">
        <v>45428</v>
      </c>
      <c r="C922">
        <v>2024</v>
      </c>
      <c r="D922" t="s">
        <v>649</v>
      </c>
      <c r="E922" t="s">
        <v>859</v>
      </c>
      <c r="F922" t="s">
        <v>34</v>
      </c>
      <c r="G922" t="s">
        <v>39</v>
      </c>
      <c r="H922" t="s">
        <v>36</v>
      </c>
      <c r="I922" t="s">
        <v>40</v>
      </c>
      <c r="J922" t="s">
        <v>27</v>
      </c>
      <c r="K922" t="s">
        <v>32</v>
      </c>
      <c r="L922" s="2">
        <v>11.2</v>
      </c>
      <c r="M922" s="3">
        <v>216</v>
      </c>
      <c r="N922">
        <v>1</v>
      </c>
      <c r="O922">
        <v>1</v>
      </c>
      <c r="P922">
        <v>1</v>
      </c>
      <c r="Q922">
        <v>0</v>
      </c>
      <c r="R922" s="4">
        <v>25.26</v>
      </c>
      <c r="S922">
        <v>0</v>
      </c>
      <c r="T922">
        <v>1</v>
      </c>
    </row>
    <row r="923" spans="1:20" ht="16.5" x14ac:dyDescent="0.3">
      <c r="A923" t="s">
        <v>968</v>
      </c>
      <c r="B923" s="1">
        <v>45428</v>
      </c>
      <c r="C923">
        <v>2024</v>
      </c>
      <c r="D923" t="s">
        <v>649</v>
      </c>
      <c r="E923" t="s">
        <v>859</v>
      </c>
      <c r="F923" t="s">
        <v>57</v>
      </c>
      <c r="G923" t="s">
        <v>35</v>
      </c>
      <c r="H923" t="s">
        <v>36</v>
      </c>
      <c r="I923" t="s">
        <v>26</v>
      </c>
      <c r="J923" t="s">
        <v>27</v>
      </c>
      <c r="K923" t="s">
        <v>32</v>
      </c>
      <c r="L923" s="2">
        <v>10.6</v>
      </c>
      <c r="M923" s="3">
        <v>227</v>
      </c>
      <c r="N923">
        <v>3</v>
      </c>
      <c r="O923">
        <v>4</v>
      </c>
      <c r="P923">
        <v>0</v>
      </c>
      <c r="Q923">
        <v>1</v>
      </c>
      <c r="R923" s="4">
        <v>15.11</v>
      </c>
      <c r="S923">
        <v>0</v>
      </c>
      <c r="T923">
        <v>1</v>
      </c>
    </row>
    <row r="924" spans="1:20" ht="16.5" x14ac:dyDescent="0.3">
      <c r="A924" t="s">
        <v>969</v>
      </c>
      <c r="B924" s="1">
        <v>45429</v>
      </c>
      <c r="C924">
        <v>2024</v>
      </c>
      <c r="D924" t="s">
        <v>649</v>
      </c>
      <c r="E924" t="s">
        <v>859</v>
      </c>
      <c r="F924" t="s">
        <v>38</v>
      </c>
      <c r="G924" t="s">
        <v>24</v>
      </c>
      <c r="H924" t="s">
        <v>25</v>
      </c>
      <c r="I924" t="s">
        <v>26</v>
      </c>
      <c r="J924" t="s">
        <v>27</v>
      </c>
      <c r="K924" t="s">
        <v>32</v>
      </c>
      <c r="L924" s="2">
        <v>3.7</v>
      </c>
      <c r="M924" s="3">
        <v>1023</v>
      </c>
      <c r="N924">
        <v>4</v>
      </c>
      <c r="O924">
        <v>3</v>
      </c>
      <c r="P924">
        <v>1</v>
      </c>
      <c r="Q924">
        <v>0</v>
      </c>
      <c r="R924" s="4">
        <v>22.51</v>
      </c>
      <c r="S924">
        <v>0</v>
      </c>
      <c r="T924">
        <v>1</v>
      </c>
    </row>
    <row r="925" spans="1:20" ht="16.5" x14ac:dyDescent="0.3">
      <c r="A925" t="s">
        <v>970</v>
      </c>
      <c r="B925" s="1">
        <v>45429</v>
      </c>
      <c r="C925">
        <v>2024</v>
      </c>
      <c r="D925" t="s">
        <v>649</v>
      </c>
      <c r="E925" t="s">
        <v>859</v>
      </c>
      <c r="F925" t="s">
        <v>34</v>
      </c>
      <c r="G925" t="s">
        <v>39</v>
      </c>
      <c r="H925" t="s">
        <v>48</v>
      </c>
      <c r="I925" t="s">
        <v>31</v>
      </c>
      <c r="J925" t="s">
        <v>27</v>
      </c>
      <c r="K925" t="s">
        <v>28</v>
      </c>
      <c r="L925" s="2">
        <v>99.5</v>
      </c>
      <c r="M925" s="3">
        <v>437</v>
      </c>
      <c r="N925">
        <v>6</v>
      </c>
      <c r="O925">
        <v>6</v>
      </c>
      <c r="P925">
        <v>1</v>
      </c>
      <c r="Q925">
        <v>0</v>
      </c>
      <c r="R925" s="4">
        <v>33.72</v>
      </c>
      <c r="S925">
        <v>0</v>
      </c>
      <c r="T925">
        <v>1</v>
      </c>
    </row>
    <row r="926" spans="1:20" ht="16.5" x14ac:dyDescent="0.3">
      <c r="A926" t="s">
        <v>971</v>
      </c>
      <c r="B926" s="1">
        <v>45429</v>
      </c>
      <c r="C926">
        <v>2024</v>
      </c>
      <c r="D926" t="s">
        <v>649</v>
      </c>
      <c r="E926" t="s">
        <v>859</v>
      </c>
      <c r="F926" t="s">
        <v>38</v>
      </c>
      <c r="G926" t="s">
        <v>35</v>
      </c>
      <c r="H926" t="s">
        <v>25</v>
      </c>
      <c r="I926" t="s">
        <v>26</v>
      </c>
      <c r="J926" t="s">
        <v>27</v>
      </c>
      <c r="K926" t="s">
        <v>28</v>
      </c>
      <c r="L926" s="2">
        <v>86</v>
      </c>
      <c r="M926" s="3">
        <v>876</v>
      </c>
      <c r="N926">
        <v>4</v>
      </c>
      <c r="O926">
        <v>4</v>
      </c>
      <c r="P926">
        <v>1</v>
      </c>
      <c r="Q926">
        <v>0</v>
      </c>
      <c r="R926" s="4">
        <v>60.04</v>
      </c>
      <c r="S926">
        <v>0</v>
      </c>
      <c r="T926">
        <v>1</v>
      </c>
    </row>
    <row r="927" spans="1:20" ht="16.5" x14ac:dyDescent="0.3">
      <c r="A927" t="s">
        <v>972</v>
      </c>
      <c r="B927" s="1">
        <v>45429</v>
      </c>
      <c r="C927">
        <v>2024</v>
      </c>
      <c r="D927" t="s">
        <v>649</v>
      </c>
      <c r="E927" t="s">
        <v>859</v>
      </c>
      <c r="F927" t="s">
        <v>34</v>
      </c>
      <c r="G927" t="s">
        <v>24</v>
      </c>
      <c r="H927" t="s">
        <v>36</v>
      </c>
      <c r="I927" t="s">
        <v>31</v>
      </c>
      <c r="J927" t="s">
        <v>27</v>
      </c>
      <c r="K927" t="s">
        <v>32</v>
      </c>
      <c r="L927" s="2">
        <v>0.8</v>
      </c>
      <c r="M927" s="3">
        <v>257</v>
      </c>
      <c r="N927">
        <v>5</v>
      </c>
      <c r="O927">
        <v>5</v>
      </c>
      <c r="P927">
        <v>1</v>
      </c>
      <c r="Q927">
        <v>0</v>
      </c>
      <c r="R927" s="4">
        <v>5.8</v>
      </c>
      <c r="S927">
        <v>0</v>
      </c>
      <c r="T927">
        <v>1</v>
      </c>
    </row>
    <row r="928" spans="1:20" ht="16.5" x14ac:dyDescent="0.3">
      <c r="A928" t="s">
        <v>973</v>
      </c>
      <c r="B928" s="1">
        <v>45429</v>
      </c>
      <c r="C928">
        <v>2024</v>
      </c>
      <c r="D928" t="s">
        <v>649</v>
      </c>
      <c r="E928" t="s">
        <v>859</v>
      </c>
      <c r="F928" t="s">
        <v>57</v>
      </c>
      <c r="G928" t="s">
        <v>39</v>
      </c>
      <c r="H928" t="s">
        <v>36</v>
      </c>
      <c r="I928" t="s">
        <v>26</v>
      </c>
      <c r="J928" t="s">
        <v>27</v>
      </c>
      <c r="K928" t="s">
        <v>32</v>
      </c>
      <c r="L928" s="2">
        <v>7.9</v>
      </c>
      <c r="M928" s="3">
        <v>229</v>
      </c>
      <c r="N928">
        <v>3</v>
      </c>
      <c r="O928">
        <v>3</v>
      </c>
      <c r="P928">
        <v>1</v>
      </c>
      <c r="Q928">
        <v>0</v>
      </c>
      <c r="R928" s="4">
        <v>13.64</v>
      </c>
      <c r="S928">
        <v>0</v>
      </c>
      <c r="T928">
        <v>1</v>
      </c>
    </row>
    <row r="929" spans="1:20" ht="16.5" x14ac:dyDescent="0.3">
      <c r="A929" t="s">
        <v>974</v>
      </c>
      <c r="B929" s="1">
        <v>45429</v>
      </c>
      <c r="C929">
        <v>2024</v>
      </c>
      <c r="D929" t="s">
        <v>649</v>
      </c>
      <c r="E929" t="s">
        <v>859</v>
      </c>
      <c r="F929" t="s">
        <v>57</v>
      </c>
      <c r="G929" t="s">
        <v>39</v>
      </c>
      <c r="H929" t="s">
        <v>43</v>
      </c>
      <c r="I929" t="s">
        <v>26</v>
      </c>
      <c r="J929" t="s">
        <v>27</v>
      </c>
      <c r="K929" t="s">
        <v>28</v>
      </c>
      <c r="L929" s="2">
        <v>74.5</v>
      </c>
      <c r="M929" s="3">
        <v>1143</v>
      </c>
      <c r="N929">
        <v>5</v>
      </c>
      <c r="O929">
        <v>5</v>
      </c>
      <c r="P929">
        <v>1</v>
      </c>
      <c r="Q929">
        <v>0</v>
      </c>
      <c r="R929" s="4">
        <v>50.37</v>
      </c>
      <c r="S929">
        <v>0</v>
      </c>
      <c r="T929">
        <v>1</v>
      </c>
    </row>
    <row r="930" spans="1:20" ht="16.5" x14ac:dyDescent="0.3">
      <c r="A930" t="s">
        <v>975</v>
      </c>
      <c r="B930" s="1">
        <v>45429</v>
      </c>
      <c r="C930">
        <v>2024</v>
      </c>
      <c r="D930" t="s">
        <v>649</v>
      </c>
      <c r="E930" t="s">
        <v>859</v>
      </c>
      <c r="F930" t="s">
        <v>38</v>
      </c>
      <c r="G930" t="s">
        <v>39</v>
      </c>
      <c r="H930" t="s">
        <v>25</v>
      </c>
      <c r="I930" t="s">
        <v>40</v>
      </c>
      <c r="J930" t="s">
        <v>41</v>
      </c>
      <c r="K930" t="s">
        <v>32</v>
      </c>
      <c r="L930" s="2">
        <v>2.8</v>
      </c>
      <c r="M930" s="3">
        <v>530</v>
      </c>
      <c r="N930">
        <v>2</v>
      </c>
      <c r="O930">
        <v>2</v>
      </c>
      <c r="P930">
        <v>1</v>
      </c>
      <c r="Q930">
        <v>0</v>
      </c>
      <c r="R930" s="4">
        <v>51.1</v>
      </c>
      <c r="S930">
        <v>0</v>
      </c>
      <c r="T930">
        <v>1</v>
      </c>
    </row>
    <row r="931" spans="1:20" ht="16.5" x14ac:dyDescent="0.3">
      <c r="A931" t="s">
        <v>976</v>
      </c>
      <c r="B931" s="1">
        <v>45429</v>
      </c>
      <c r="C931">
        <v>2024</v>
      </c>
      <c r="D931" t="s">
        <v>649</v>
      </c>
      <c r="E931" t="s">
        <v>859</v>
      </c>
      <c r="F931" t="s">
        <v>23</v>
      </c>
      <c r="G931" t="s">
        <v>24</v>
      </c>
      <c r="H931" t="s">
        <v>48</v>
      </c>
      <c r="I931" t="s">
        <v>31</v>
      </c>
      <c r="J931" t="s">
        <v>27</v>
      </c>
      <c r="K931" t="s">
        <v>32</v>
      </c>
      <c r="L931" s="2">
        <v>7.1</v>
      </c>
      <c r="M931" s="3">
        <v>464</v>
      </c>
      <c r="N931">
        <v>6</v>
      </c>
      <c r="O931">
        <v>5</v>
      </c>
      <c r="P931">
        <v>1</v>
      </c>
      <c r="Q931">
        <v>0</v>
      </c>
      <c r="R931" s="4">
        <v>12</v>
      </c>
      <c r="S931">
        <v>0</v>
      </c>
      <c r="T931">
        <v>1</v>
      </c>
    </row>
    <row r="932" spans="1:20" ht="16.5" x14ac:dyDescent="0.3">
      <c r="A932" t="s">
        <v>977</v>
      </c>
      <c r="B932" s="1">
        <v>45429</v>
      </c>
      <c r="C932">
        <v>2024</v>
      </c>
      <c r="D932" t="s">
        <v>649</v>
      </c>
      <c r="E932" t="s">
        <v>859</v>
      </c>
      <c r="F932" t="s">
        <v>34</v>
      </c>
      <c r="G932" t="s">
        <v>35</v>
      </c>
      <c r="H932" t="s">
        <v>36</v>
      </c>
      <c r="I932" t="s">
        <v>26</v>
      </c>
      <c r="J932" t="s">
        <v>27</v>
      </c>
      <c r="K932" t="s">
        <v>32</v>
      </c>
      <c r="L932" s="2">
        <v>4.2</v>
      </c>
      <c r="M932" s="3">
        <v>206</v>
      </c>
      <c r="N932">
        <v>3</v>
      </c>
      <c r="O932">
        <v>3</v>
      </c>
      <c r="P932">
        <v>1</v>
      </c>
      <c r="Q932">
        <v>0</v>
      </c>
      <c r="R932" s="4">
        <v>9.39</v>
      </c>
      <c r="S932">
        <v>0</v>
      </c>
      <c r="T932">
        <v>1</v>
      </c>
    </row>
    <row r="933" spans="1:20" ht="16.5" x14ac:dyDescent="0.3">
      <c r="A933" t="s">
        <v>978</v>
      </c>
      <c r="B933" s="1">
        <v>45429</v>
      </c>
      <c r="C933">
        <v>2024</v>
      </c>
      <c r="D933" t="s">
        <v>649</v>
      </c>
      <c r="E933" t="s">
        <v>859</v>
      </c>
      <c r="F933" t="s">
        <v>34</v>
      </c>
      <c r="G933" t="s">
        <v>24</v>
      </c>
      <c r="H933" t="s">
        <v>51</v>
      </c>
      <c r="I933" t="s">
        <v>26</v>
      </c>
      <c r="J933" t="s">
        <v>27</v>
      </c>
      <c r="K933" t="s">
        <v>32</v>
      </c>
      <c r="L933" s="2">
        <v>2.5</v>
      </c>
      <c r="M933" s="3">
        <v>1054</v>
      </c>
      <c r="N933">
        <v>5</v>
      </c>
      <c r="O933">
        <v>4</v>
      </c>
      <c r="P933">
        <v>1</v>
      </c>
      <c r="Q933">
        <v>0</v>
      </c>
      <c r="R933" s="4">
        <v>18.37</v>
      </c>
      <c r="S933">
        <v>0</v>
      </c>
      <c r="T933">
        <v>1</v>
      </c>
    </row>
    <row r="934" spans="1:20" ht="16.5" x14ac:dyDescent="0.3">
      <c r="A934" t="s">
        <v>979</v>
      </c>
      <c r="B934" s="1">
        <v>45430</v>
      </c>
      <c r="C934">
        <v>2024</v>
      </c>
      <c r="D934" t="s">
        <v>649</v>
      </c>
      <c r="E934" t="s">
        <v>859</v>
      </c>
      <c r="F934" t="s">
        <v>30</v>
      </c>
      <c r="G934" t="s">
        <v>35</v>
      </c>
      <c r="H934" t="s">
        <v>43</v>
      </c>
      <c r="I934" t="s">
        <v>26</v>
      </c>
      <c r="J934" t="s">
        <v>27</v>
      </c>
      <c r="K934" t="s">
        <v>32</v>
      </c>
      <c r="L934" s="2">
        <v>1.5</v>
      </c>
      <c r="M934" s="3">
        <v>1170</v>
      </c>
      <c r="N934">
        <v>5</v>
      </c>
      <c r="O934">
        <v>5</v>
      </c>
      <c r="P934">
        <v>1</v>
      </c>
      <c r="Q934">
        <v>0</v>
      </c>
      <c r="R934" s="4">
        <v>22.3</v>
      </c>
      <c r="S934">
        <v>0</v>
      </c>
      <c r="T934">
        <v>1</v>
      </c>
    </row>
    <row r="935" spans="1:20" ht="16.5" x14ac:dyDescent="0.3">
      <c r="A935" t="s">
        <v>980</v>
      </c>
      <c r="B935" s="1">
        <v>45430</v>
      </c>
      <c r="C935">
        <v>2024</v>
      </c>
      <c r="D935" t="s">
        <v>649</v>
      </c>
      <c r="E935" t="s">
        <v>859</v>
      </c>
      <c r="F935" t="s">
        <v>23</v>
      </c>
      <c r="G935" t="s">
        <v>35</v>
      </c>
      <c r="H935" t="s">
        <v>43</v>
      </c>
      <c r="I935" t="s">
        <v>26</v>
      </c>
      <c r="J935" t="s">
        <v>27</v>
      </c>
      <c r="K935" t="s">
        <v>28</v>
      </c>
      <c r="L935" s="2">
        <v>108.7</v>
      </c>
      <c r="M935" s="3">
        <v>1554</v>
      </c>
      <c r="N935">
        <v>5</v>
      </c>
      <c r="O935">
        <v>5</v>
      </c>
      <c r="P935">
        <v>1</v>
      </c>
      <c r="Q935">
        <v>0</v>
      </c>
      <c r="R935" s="4">
        <v>70.349999999999994</v>
      </c>
      <c r="S935">
        <v>0</v>
      </c>
      <c r="T935">
        <v>1</v>
      </c>
    </row>
    <row r="936" spans="1:20" ht="16.5" x14ac:dyDescent="0.3">
      <c r="A936" t="s">
        <v>981</v>
      </c>
      <c r="B936" s="1">
        <v>45430</v>
      </c>
      <c r="C936">
        <v>2024</v>
      </c>
      <c r="D936" t="s">
        <v>649</v>
      </c>
      <c r="E936" t="s">
        <v>859</v>
      </c>
      <c r="F936" t="s">
        <v>38</v>
      </c>
      <c r="G936" t="s">
        <v>35</v>
      </c>
      <c r="H936" t="s">
        <v>36</v>
      </c>
      <c r="I936" t="s">
        <v>26</v>
      </c>
      <c r="J936" t="s">
        <v>27</v>
      </c>
      <c r="K936" t="s">
        <v>28</v>
      </c>
      <c r="L936" s="2">
        <v>25.1</v>
      </c>
      <c r="M936" s="3">
        <v>180</v>
      </c>
      <c r="N936">
        <v>3</v>
      </c>
      <c r="O936">
        <v>3</v>
      </c>
      <c r="P936">
        <v>1</v>
      </c>
      <c r="Q936">
        <v>0</v>
      </c>
      <c r="R936" s="4">
        <v>26.6</v>
      </c>
      <c r="S936">
        <v>0</v>
      </c>
      <c r="T936">
        <v>1</v>
      </c>
    </row>
    <row r="937" spans="1:20" ht="16.5" x14ac:dyDescent="0.3">
      <c r="A937" t="s">
        <v>982</v>
      </c>
      <c r="B937" s="1">
        <v>45430</v>
      </c>
      <c r="C937">
        <v>2024</v>
      </c>
      <c r="D937" t="s">
        <v>649</v>
      </c>
      <c r="E937" t="s">
        <v>859</v>
      </c>
      <c r="F937" t="s">
        <v>30</v>
      </c>
      <c r="G937" t="s">
        <v>39</v>
      </c>
      <c r="H937" t="s">
        <v>43</v>
      </c>
      <c r="I937" t="s">
        <v>31</v>
      </c>
      <c r="J937" t="s">
        <v>27</v>
      </c>
      <c r="K937" t="s">
        <v>28</v>
      </c>
      <c r="L937" s="2">
        <v>69.099999999999994</v>
      </c>
      <c r="M937" s="3">
        <v>1213</v>
      </c>
      <c r="N937">
        <v>7</v>
      </c>
      <c r="O937">
        <v>8</v>
      </c>
      <c r="P937">
        <v>0</v>
      </c>
      <c r="Q937">
        <v>1</v>
      </c>
      <c r="R937" s="4">
        <v>41.94</v>
      </c>
      <c r="S937">
        <v>0</v>
      </c>
      <c r="T937">
        <v>1</v>
      </c>
    </row>
    <row r="938" spans="1:20" ht="16.5" x14ac:dyDescent="0.3">
      <c r="A938" t="s">
        <v>983</v>
      </c>
      <c r="B938" s="1">
        <v>45431</v>
      </c>
      <c r="C938">
        <v>2024</v>
      </c>
      <c r="D938" t="s">
        <v>649</v>
      </c>
      <c r="E938" t="s">
        <v>859</v>
      </c>
      <c r="F938" t="s">
        <v>57</v>
      </c>
      <c r="G938" t="s">
        <v>35</v>
      </c>
      <c r="H938" t="s">
        <v>43</v>
      </c>
      <c r="I938" t="s">
        <v>26</v>
      </c>
      <c r="J938" t="s">
        <v>27</v>
      </c>
      <c r="K938" t="s">
        <v>32</v>
      </c>
      <c r="L938" s="2">
        <v>11.9</v>
      </c>
      <c r="M938" s="3">
        <v>1146</v>
      </c>
      <c r="N938">
        <v>5</v>
      </c>
      <c r="O938">
        <v>5</v>
      </c>
      <c r="P938">
        <v>1</v>
      </c>
      <c r="Q938">
        <v>0</v>
      </c>
      <c r="R938" s="4">
        <v>25.44</v>
      </c>
      <c r="S938">
        <v>0</v>
      </c>
      <c r="T938">
        <v>1</v>
      </c>
    </row>
    <row r="939" spans="1:20" ht="16.5" x14ac:dyDescent="0.3">
      <c r="A939" t="s">
        <v>984</v>
      </c>
      <c r="B939" s="1">
        <v>45431</v>
      </c>
      <c r="C939">
        <v>2024</v>
      </c>
      <c r="D939" t="s">
        <v>649</v>
      </c>
      <c r="E939" t="s">
        <v>859</v>
      </c>
      <c r="F939" t="s">
        <v>30</v>
      </c>
      <c r="G939" t="s">
        <v>39</v>
      </c>
      <c r="H939" t="s">
        <v>36</v>
      </c>
      <c r="I939" t="s">
        <v>26</v>
      </c>
      <c r="J939" t="s">
        <v>27</v>
      </c>
      <c r="K939" t="s">
        <v>32</v>
      </c>
      <c r="L939" s="2">
        <v>8.1999999999999993</v>
      </c>
      <c r="M939" s="3">
        <v>228</v>
      </c>
      <c r="N939">
        <v>3</v>
      </c>
      <c r="O939">
        <v>3</v>
      </c>
      <c r="P939">
        <v>1</v>
      </c>
      <c r="Q939">
        <v>0</v>
      </c>
      <c r="R939" s="4">
        <v>14.92</v>
      </c>
      <c r="S939">
        <v>0</v>
      </c>
      <c r="T939">
        <v>1</v>
      </c>
    </row>
    <row r="940" spans="1:20" ht="16.5" x14ac:dyDescent="0.3">
      <c r="A940" t="s">
        <v>985</v>
      </c>
      <c r="B940" s="1">
        <v>45431</v>
      </c>
      <c r="C940">
        <v>2024</v>
      </c>
      <c r="D940" t="s">
        <v>649</v>
      </c>
      <c r="E940" t="s">
        <v>859</v>
      </c>
      <c r="F940" t="s">
        <v>38</v>
      </c>
      <c r="G940" t="s">
        <v>24</v>
      </c>
      <c r="H940" t="s">
        <v>43</v>
      </c>
      <c r="I940" t="s">
        <v>26</v>
      </c>
      <c r="J940" t="s">
        <v>27</v>
      </c>
      <c r="K940" t="s">
        <v>32</v>
      </c>
      <c r="L940" s="2">
        <v>3.9</v>
      </c>
      <c r="M940" s="3">
        <v>876</v>
      </c>
      <c r="N940">
        <v>5</v>
      </c>
      <c r="O940">
        <v>5</v>
      </c>
      <c r="P940">
        <v>1</v>
      </c>
      <c r="Q940">
        <v>0</v>
      </c>
      <c r="R940" s="4">
        <v>23.99</v>
      </c>
      <c r="S940">
        <v>0</v>
      </c>
      <c r="T940">
        <v>1</v>
      </c>
    </row>
    <row r="941" spans="1:20" ht="16.5" x14ac:dyDescent="0.3">
      <c r="A941" t="s">
        <v>986</v>
      </c>
      <c r="B941" s="1">
        <v>45432</v>
      </c>
      <c r="C941">
        <v>2024</v>
      </c>
      <c r="D941" t="s">
        <v>649</v>
      </c>
      <c r="E941" t="s">
        <v>859</v>
      </c>
      <c r="F941" t="s">
        <v>30</v>
      </c>
      <c r="G941" t="s">
        <v>35</v>
      </c>
      <c r="H941" t="s">
        <v>48</v>
      </c>
      <c r="I941" t="s">
        <v>26</v>
      </c>
      <c r="J941" t="s">
        <v>27</v>
      </c>
      <c r="K941" t="s">
        <v>28</v>
      </c>
      <c r="L941" s="2">
        <v>224.3</v>
      </c>
      <c r="M941" s="3">
        <v>312</v>
      </c>
      <c r="N941">
        <v>4</v>
      </c>
      <c r="O941">
        <v>4</v>
      </c>
      <c r="P941">
        <v>1</v>
      </c>
      <c r="Q941">
        <v>0</v>
      </c>
      <c r="R941" s="4">
        <v>111.64</v>
      </c>
      <c r="S941">
        <v>0</v>
      </c>
      <c r="T941">
        <v>1</v>
      </c>
    </row>
    <row r="942" spans="1:20" ht="16.5" x14ac:dyDescent="0.3">
      <c r="A942" t="s">
        <v>987</v>
      </c>
      <c r="B942" s="1">
        <v>45432</v>
      </c>
      <c r="C942">
        <v>2024</v>
      </c>
      <c r="D942" t="s">
        <v>649</v>
      </c>
      <c r="E942" t="s">
        <v>859</v>
      </c>
      <c r="F942" t="s">
        <v>23</v>
      </c>
      <c r="G942" t="s">
        <v>39</v>
      </c>
      <c r="H942" t="s">
        <v>51</v>
      </c>
      <c r="I942" t="s">
        <v>31</v>
      </c>
      <c r="J942" t="s">
        <v>27</v>
      </c>
      <c r="K942" t="s">
        <v>28</v>
      </c>
      <c r="L942" s="2">
        <v>34.9</v>
      </c>
      <c r="M942" s="3">
        <v>957</v>
      </c>
      <c r="N942">
        <v>7</v>
      </c>
      <c r="O942">
        <v>7</v>
      </c>
      <c r="P942">
        <v>1</v>
      </c>
      <c r="Q942">
        <v>0</v>
      </c>
      <c r="R942" s="4">
        <v>24.2</v>
      </c>
      <c r="S942">
        <v>0</v>
      </c>
      <c r="T942">
        <v>1</v>
      </c>
    </row>
    <row r="943" spans="1:20" ht="16.5" x14ac:dyDescent="0.3">
      <c r="A943" t="s">
        <v>988</v>
      </c>
      <c r="B943" s="1">
        <v>45432</v>
      </c>
      <c r="C943">
        <v>2024</v>
      </c>
      <c r="D943" t="s">
        <v>649</v>
      </c>
      <c r="E943" t="s">
        <v>859</v>
      </c>
      <c r="F943" t="s">
        <v>34</v>
      </c>
      <c r="G943" t="s">
        <v>35</v>
      </c>
      <c r="H943" t="s">
        <v>36</v>
      </c>
      <c r="I943" t="s">
        <v>26</v>
      </c>
      <c r="J943" t="s">
        <v>27</v>
      </c>
      <c r="K943" t="s">
        <v>32</v>
      </c>
      <c r="L943" s="2">
        <v>2.8</v>
      </c>
      <c r="M943" s="3">
        <v>274</v>
      </c>
      <c r="N943">
        <v>3</v>
      </c>
      <c r="O943">
        <v>3</v>
      </c>
      <c r="P943">
        <v>1</v>
      </c>
      <c r="Q943">
        <v>0</v>
      </c>
      <c r="R943" s="4">
        <v>9.4700000000000006</v>
      </c>
      <c r="S943">
        <v>0</v>
      </c>
      <c r="T943">
        <v>1</v>
      </c>
    </row>
    <row r="944" spans="1:20" ht="16.5" x14ac:dyDescent="0.3">
      <c r="A944" t="s">
        <v>989</v>
      </c>
      <c r="B944" s="1">
        <v>45432</v>
      </c>
      <c r="C944">
        <v>2024</v>
      </c>
      <c r="D944" t="s">
        <v>649</v>
      </c>
      <c r="E944" t="s">
        <v>859</v>
      </c>
      <c r="F944" t="s">
        <v>23</v>
      </c>
      <c r="G944" t="s">
        <v>39</v>
      </c>
      <c r="H944" t="s">
        <v>51</v>
      </c>
      <c r="I944" t="s">
        <v>40</v>
      </c>
      <c r="J944" t="s">
        <v>41</v>
      </c>
      <c r="K944" t="s">
        <v>32</v>
      </c>
      <c r="L944" s="2">
        <v>13.9</v>
      </c>
      <c r="M944" s="3">
        <v>1057</v>
      </c>
      <c r="N944">
        <v>3</v>
      </c>
      <c r="O944">
        <v>3</v>
      </c>
      <c r="P944">
        <v>1</v>
      </c>
      <c r="Q944">
        <v>0</v>
      </c>
      <c r="R944" s="4">
        <v>82.36</v>
      </c>
      <c r="S944">
        <v>0</v>
      </c>
      <c r="T944">
        <v>1</v>
      </c>
    </row>
    <row r="945" spans="1:20" ht="16.5" x14ac:dyDescent="0.3">
      <c r="A945" t="s">
        <v>990</v>
      </c>
      <c r="B945" s="1">
        <v>45432</v>
      </c>
      <c r="C945">
        <v>2024</v>
      </c>
      <c r="D945" t="s">
        <v>649</v>
      </c>
      <c r="E945" t="s">
        <v>859</v>
      </c>
      <c r="F945" t="s">
        <v>34</v>
      </c>
      <c r="G945" t="s">
        <v>39</v>
      </c>
      <c r="H945" t="s">
        <v>51</v>
      </c>
      <c r="I945" t="s">
        <v>26</v>
      </c>
      <c r="J945" t="s">
        <v>27</v>
      </c>
      <c r="K945" t="s">
        <v>32</v>
      </c>
      <c r="L945" s="2">
        <v>25.2</v>
      </c>
      <c r="M945" s="3">
        <v>1186</v>
      </c>
      <c r="N945">
        <v>5</v>
      </c>
      <c r="O945">
        <v>5</v>
      </c>
      <c r="P945">
        <v>1</v>
      </c>
      <c r="Q945">
        <v>0</v>
      </c>
      <c r="R945" s="4">
        <v>31.21</v>
      </c>
      <c r="S945">
        <v>0</v>
      </c>
      <c r="T945">
        <v>1</v>
      </c>
    </row>
    <row r="946" spans="1:20" ht="16.5" x14ac:dyDescent="0.3">
      <c r="A946" t="s">
        <v>991</v>
      </c>
      <c r="B946" s="1">
        <v>45432</v>
      </c>
      <c r="C946">
        <v>2024</v>
      </c>
      <c r="D946" t="s">
        <v>649</v>
      </c>
      <c r="E946" t="s">
        <v>859</v>
      </c>
      <c r="F946" t="s">
        <v>30</v>
      </c>
      <c r="G946" t="s">
        <v>35</v>
      </c>
      <c r="H946" t="s">
        <v>43</v>
      </c>
      <c r="I946" t="s">
        <v>40</v>
      </c>
      <c r="J946" t="s">
        <v>41</v>
      </c>
      <c r="K946" t="s">
        <v>28</v>
      </c>
      <c r="L946" s="2">
        <v>30.7</v>
      </c>
      <c r="M946" s="3">
        <v>1374</v>
      </c>
      <c r="N946">
        <v>3</v>
      </c>
      <c r="O946">
        <v>3</v>
      </c>
      <c r="P946">
        <v>1</v>
      </c>
      <c r="Q946">
        <v>0</v>
      </c>
      <c r="R946" s="4">
        <v>129.04</v>
      </c>
      <c r="S946">
        <v>0</v>
      </c>
      <c r="T946">
        <v>1</v>
      </c>
    </row>
    <row r="947" spans="1:20" ht="16.5" x14ac:dyDescent="0.3">
      <c r="A947" t="s">
        <v>992</v>
      </c>
      <c r="B947" s="1">
        <v>45432</v>
      </c>
      <c r="C947">
        <v>2024</v>
      </c>
      <c r="D947" t="s">
        <v>649</v>
      </c>
      <c r="E947" t="s">
        <v>859</v>
      </c>
      <c r="F947" t="s">
        <v>38</v>
      </c>
      <c r="G947" t="s">
        <v>39</v>
      </c>
      <c r="H947" t="s">
        <v>43</v>
      </c>
      <c r="I947" t="s">
        <v>26</v>
      </c>
      <c r="J947" t="s">
        <v>27</v>
      </c>
      <c r="K947" t="s">
        <v>32</v>
      </c>
      <c r="L947" s="2">
        <v>11.5</v>
      </c>
      <c r="M947" s="3">
        <v>1347</v>
      </c>
      <c r="N947">
        <v>5</v>
      </c>
      <c r="O947">
        <v>5</v>
      </c>
      <c r="P947">
        <v>1</v>
      </c>
      <c r="Q947">
        <v>0</v>
      </c>
      <c r="R947" s="4">
        <v>33.950000000000003</v>
      </c>
      <c r="S947">
        <v>0</v>
      </c>
      <c r="T947">
        <v>1</v>
      </c>
    </row>
    <row r="948" spans="1:20" ht="16.5" x14ac:dyDescent="0.3">
      <c r="A948" t="s">
        <v>993</v>
      </c>
      <c r="B948" s="1">
        <v>45432</v>
      </c>
      <c r="C948">
        <v>2024</v>
      </c>
      <c r="D948" t="s">
        <v>649</v>
      </c>
      <c r="E948" t="s">
        <v>859</v>
      </c>
      <c r="F948" t="s">
        <v>57</v>
      </c>
      <c r="G948" t="s">
        <v>39</v>
      </c>
      <c r="H948" t="s">
        <v>36</v>
      </c>
      <c r="I948" t="s">
        <v>26</v>
      </c>
      <c r="J948" t="s">
        <v>27</v>
      </c>
      <c r="K948" t="s">
        <v>28</v>
      </c>
      <c r="L948" s="2">
        <v>38.9</v>
      </c>
      <c r="M948" s="3">
        <v>224</v>
      </c>
      <c r="N948">
        <v>3</v>
      </c>
      <c r="O948">
        <v>3</v>
      </c>
      <c r="P948">
        <v>1</v>
      </c>
      <c r="Q948">
        <v>0</v>
      </c>
      <c r="R948" s="4">
        <v>30.63</v>
      </c>
      <c r="S948">
        <v>0</v>
      </c>
      <c r="T948">
        <v>1</v>
      </c>
    </row>
    <row r="949" spans="1:20" ht="16.5" x14ac:dyDescent="0.3">
      <c r="A949" t="s">
        <v>994</v>
      </c>
      <c r="B949" s="1">
        <v>45433</v>
      </c>
      <c r="C949">
        <v>2024</v>
      </c>
      <c r="D949" t="s">
        <v>649</v>
      </c>
      <c r="E949" t="s">
        <v>859</v>
      </c>
      <c r="F949" t="s">
        <v>57</v>
      </c>
      <c r="G949" t="s">
        <v>39</v>
      </c>
      <c r="H949" t="s">
        <v>48</v>
      </c>
      <c r="I949" t="s">
        <v>40</v>
      </c>
      <c r="J949" t="s">
        <v>27</v>
      </c>
      <c r="K949" t="s">
        <v>32</v>
      </c>
      <c r="L949" s="2">
        <v>17.7</v>
      </c>
      <c r="M949" s="3">
        <v>594</v>
      </c>
      <c r="N949">
        <v>2</v>
      </c>
      <c r="O949">
        <v>1</v>
      </c>
      <c r="P949">
        <v>1</v>
      </c>
      <c r="Q949">
        <v>0</v>
      </c>
      <c r="R949" s="4">
        <v>47.49</v>
      </c>
      <c r="S949">
        <v>0</v>
      </c>
      <c r="T949">
        <v>1</v>
      </c>
    </row>
    <row r="950" spans="1:20" ht="16.5" x14ac:dyDescent="0.3">
      <c r="A950" t="s">
        <v>995</v>
      </c>
      <c r="B950" s="1">
        <v>45433</v>
      </c>
      <c r="C950">
        <v>2024</v>
      </c>
      <c r="D950" t="s">
        <v>649</v>
      </c>
      <c r="E950" t="s">
        <v>859</v>
      </c>
      <c r="F950" t="s">
        <v>23</v>
      </c>
      <c r="G950" t="s">
        <v>39</v>
      </c>
      <c r="H950" t="s">
        <v>43</v>
      </c>
      <c r="I950" t="s">
        <v>31</v>
      </c>
      <c r="J950" t="s">
        <v>27</v>
      </c>
      <c r="K950" t="s">
        <v>32</v>
      </c>
      <c r="L950" s="2">
        <v>7.9</v>
      </c>
      <c r="M950" s="3">
        <v>1298</v>
      </c>
      <c r="N950">
        <v>7</v>
      </c>
      <c r="O950">
        <v>7</v>
      </c>
      <c r="P950">
        <v>1</v>
      </c>
      <c r="Q950">
        <v>0</v>
      </c>
      <c r="R950" s="4">
        <v>19.18</v>
      </c>
      <c r="S950">
        <v>0</v>
      </c>
      <c r="T950">
        <v>1</v>
      </c>
    </row>
    <row r="951" spans="1:20" ht="16.5" x14ac:dyDescent="0.3">
      <c r="A951" t="s">
        <v>996</v>
      </c>
      <c r="B951" s="1">
        <v>45433</v>
      </c>
      <c r="C951">
        <v>2024</v>
      </c>
      <c r="D951" t="s">
        <v>649</v>
      </c>
      <c r="E951" t="s">
        <v>859</v>
      </c>
      <c r="F951" t="s">
        <v>23</v>
      </c>
      <c r="G951" t="s">
        <v>39</v>
      </c>
      <c r="H951" t="s">
        <v>25</v>
      </c>
      <c r="I951" t="s">
        <v>40</v>
      </c>
      <c r="J951" t="s">
        <v>41</v>
      </c>
      <c r="K951" t="s">
        <v>32</v>
      </c>
      <c r="L951" s="2">
        <v>6.3</v>
      </c>
      <c r="M951" s="3">
        <v>783</v>
      </c>
      <c r="N951">
        <v>2</v>
      </c>
      <c r="O951">
        <v>1</v>
      </c>
      <c r="P951">
        <v>1</v>
      </c>
      <c r="Q951">
        <v>0</v>
      </c>
      <c r="R951" s="4">
        <v>51.92</v>
      </c>
      <c r="S951">
        <v>0</v>
      </c>
      <c r="T951">
        <v>1</v>
      </c>
    </row>
    <row r="952" spans="1:20" ht="16.5" x14ac:dyDescent="0.3">
      <c r="A952" t="s">
        <v>997</v>
      </c>
      <c r="B952" s="1">
        <v>45433</v>
      </c>
      <c r="C952">
        <v>2024</v>
      </c>
      <c r="D952" t="s">
        <v>649</v>
      </c>
      <c r="E952" t="s">
        <v>859</v>
      </c>
      <c r="F952" t="s">
        <v>38</v>
      </c>
      <c r="G952" t="s">
        <v>24</v>
      </c>
      <c r="H952" t="s">
        <v>25</v>
      </c>
      <c r="I952" t="s">
        <v>31</v>
      </c>
      <c r="J952" t="s">
        <v>27</v>
      </c>
      <c r="K952" t="s">
        <v>28</v>
      </c>
      <c r="L952" s="2">
        <v>9</v>
      </c>
      <c r="M952" s="3">
        <v>660</v>
      </c>
      <c r="N952">
        <v>6</v>
      </c>
      <c r="O952">
        <v>5</v>
      </c>
      <c r="P952">
        <v>1</v>
      </c>
      <c r="Q952">
        <v>0</v>
      </c>
      <c r="R952" s="4">
        <v>17.739999999999998</v>
      </c>
      <c r="S952">
        <v>0</v>
      </c>
      <c r="T952">
        <v>1</v>
      </c>
    </row>
    <row r="953" spans="1:20" ht="16.5" x14ac:dyDescent="0.3">
      <c r="A953" t="s">
        <v>998</v>
      </c>
      <c r="B953" s="1">
        <v>45433</v>
      </c>
      <c r="C953">
        <v>2024</v>
      </c>
      <c r="D953" t="s">
        <v>649</v>
      </c>
      <c r="E953" t="s">
        <v>859</v>
      </c>
      <c r="F953" t="s">
        <v>34</v>
      </c>
      <c r="G953" t="s">
        <v>39</v>
      </c>
      <c r="H953" t="s">
        <v>43</v>
      </c>
      <c r="I953" t="s">
        <v>40</v>
      </c>
      <c r="J953" t="s">
        <v>41</v>
      </c>
      <c r="K953" t="s">
        <v>32</v>
      </c>
      <c r="L953" s="2">
        <v>2.7</v>
      </c>
      <c r="M953" s="3">
        <v>1104</v>
      </c>
      <c r="N953">
        <v>3</v>
      </c>
      <c r="O953">
        <v>7</v>
      </c>
      <c r="P953">
        <v>0</v>
      </c>
      <c r="Q953">
        <v>4</v>
      </c>
      <c r="R953" s="4">
        <v>54.57</v>
      </c>
      <c r="S953">
        <v>0</v>
      </c>
      <c r="T953">
        <v>1</v>
      </c>
    </row>
    <row r="954" spans="1:20" ht="16.5" x14ac:dyDescent="0.3">
      <c r="A954" t="s">
        <v>999</v>
      </c>
      <c r="B954" s="1">
        <v>45433</v>
      </c>
      <c r="C954">
        <v>2024</v>
      </c>
      <c r="D954" t="s">
        <v>649</v>
      </c>
      <c r="E954" t="s">
        <v>859</v>
      </c>
      <c r="F954" t="s">
        <v>30</v>
      </c>
      <c r="G954" t="s">
        <v>35</v>
      </c>
      <c r="H954" t="s">
        <v>36</v>
      </c>
      <c r="I954" t="s">
        <v>26</v>
      </c>
      <c r="J954" t="s">
        <v>27</v>
      </c>
      <c r="K954" t="s">
        <v>32</v>
      </c>
      <c r="L954" s="2">
        <v>3.3</v>
      </c>
      <c r="M954" s="3">
        <v>315</v>
      </c>
      <c r="N954">
        <v>3</v>
      </c>
      <c r="O954">
        <v>2</v>
      </c>
      <c r="P954">
        <v>1</v>
      </c>
      <c r="Q954">
        <v>0</v>
      </c>
      <c r="R954" s="4">
        <v>12.8</v>
      </c>
      <c r="S954">
        <v>0</v>
      </c>
      <c r="T954">
        <v>1</v>
      </c>
    </row>
    <row r="955" spans="1:20" ht="16.5" x14ac:dyDescent="0.3">
      <c r="A955" t="s">
        <v>1000</v>
      </c>
      <c r="B955" s="1">
        <v>45433</v>
      </c>
      <c r="C955">
        <v>2024</v>
      </c>
      <c r="D955" t="s">
        <v>649</v>
      </c>
      <c r="E955" t="s">
        <v>859</v>
      </c>
      <c r="F955" t="s">
        <v>57</v>
      </c>
      <c r="G955" t="s">
        <v>39</v>
      </c>
      <c r="H955" t="s">
        <v>43</v>
      </c>
      <c r="I955" t="s">
        <v>31</v>
      </c>
      <c r="J955" t="s">
        <v>27</v>
      </c>
      <c r="K955" t="s">
        <v>32</v>
      </c>
      <c r="L955" s="2">
        <v>1</v>
      </c>
      <c r="M955" s="3">
        <v>1253</v>
      </c>
      <c r="N955">
        <v>7</v>
      </c>
      <c r="O955">
        <v>7</v>
      </c>
      <c r="P955">
        <v>1</v>
      </c>
      <c r="Q955">
        <v>0</v>
      </c>
      <c r="R955" s="4">
        <v>16.079999999999998</v>
      </c>
      <c r="S955">
        <v>0</v>
      </c>
      <c r="T955">
        <v>1</v>
      </c>
    </row>
    <row r="956" spans="1:20" ht="16.5" x14ac:dyDescent="0.3">
      <c r="A956" t="s">
        <v>1001</v>
      </c>
      <c r="B956" s="1">
        <v>45433</v>
      </c>
      <c r="C956">
        <v>2024</v>
      </c>
      <c r="D956" t="s">
        <v>649</v>
      </c>
      <c r="E956" t="s">
        <v>859</v>
      </c>
      <c r="F956" t="s">
        <v>23</v>
      </c>
      <c r="G956" t="s">
        <v>39</v>
      </c>
      <c r="H956" t="s">
        <v>48</v>
      </c>
      <c r="I956" t="s">
        <v>40</v>
      </c>
      <c r="J956" t="s">
        <v>27</v>
      </c>
      <c r="K956" t="s">
        <v>32</v>
      </c>
      <c r="L956" s="2">
        <v>1.4</v>
      </c>
      <c r="M956" s="3">
        <v>442</v>
      </c>
      <c r="N956">
        <v>2</v>
      </c>
      <c r="O956">
        <v>3</v>
      </c>
      <c r="P956">
        <v>0</v>
      </c>
      <c r="Q956">
        <v>1</v>
      </c>
      <c r="R956" s="4">
        <v>23.73</v>
      </c>
      <c r="S956">
        <v>0</v>
      </c>
      <c r="T956">
        <v>1</v>
      </c>
    </row>
    <row r="957" spans="1:20" ht="16.5" x14ac:dyDescent="0.3">
      <c r="A957" t="s">
        <v>1002</v>
      </c>
      <c r="B957" s="1">
        <v>45434</v>
      </c>
      <c r="C957">
        <v>2024</v>
      </c>
      <c r="D957" t="s">
        <v>649</v>
      </c>
      <c r="E957" t="s">
        <v>859</v>
      </c>
      <c r="F957" t="s">
        <v>30</v>
      </c>
      <c r="G957" t="s">
        <v>39</v>
      </c>
      <c r="H957" t="s">
        <v>48</v>
      </c>
      <c r="I957" t="s">
        <v>26</v>
      </c>
      <c r="J957" t="s">
        <v>27</v>
      </c>
      <c r="K957" t="s">
        <v>32</v>
      </c>
      <c r="L957" s="2">
        <v>6.5</v>
      </c>
      <c r="M957" s="3">
        <v>468</v>
      </c>
      <c r="N957">
        <v>4</v>
      </c>
      <c r="O957">
        <v>3</v>
      </c>
      <c r="P957">
        <v>1</v>
      </c>
      <c r="Q957">
        <v>0</v>
      </c>
      <c r="R957" s="4">
        <v>17.149999999999999</v>
      </c>
      <c r="S957">
        <v>0</v>
      </c>
      <c r="T957">
        <v>1</v>
      </c>
    </row>
    <row r="958" spans="1:20" ht="16.5" x14ac:dyDescent="0.3">
      <c r="A958" t="s">
        <v>1003</v>
      </c>
      <c r="B958" s="1">
        <v>45434</v>
      </c>
      <c r="C958">
        <v>2024</v>
      </c>
      <c r="D958" t="s">
        <v>649</v>
      </c>
      <c r="E958" t="s">
        <v>859</v>
      </c>
      <c r="F958" t="s">
        <v>30</v>
      </c>
      <c r="G958" t="s">
        <v>24</v>
      </c>
      <c r="H958" t="s">
        <v>36</v>
      </c>
      <c r="I958" t="s">
        <v>26</v>
      </c>
      <c r="J958" t="s">
        <v>27</v>
      </c>
      <c r="K958" t="s">
        <v>28</v>
      </c>
      <c r="L958" s="2">
        <v>227.6</v>
      </c>
      <c r="M958" s="3">
        <v>277</v>
      </c>
      <c r="N958">
        <v>3</v>
      </c>
      <c r="O958">
        <v>3</v>
      </c>
      <c r="P958">
        <v>1</v>
      </c>
      <c r="Q958">
        <v>0</v>
      </c>
      <c r="R958" s="4">
        <v>97.84</v>
      </c>
      <c r="S958">
        <v>0</v>
      </c>
      <c r="T958">
        <v>1</v>
      </c>
    </row>
    <row r="959" spans="1:20" ht="16.5" x14ac:dyDescent="0.3">
      <c r="A959" t="s">
        <v>1004</v>
      </c>
      <c r="B959" s="1">
        <v>45434</v>
      </c>
      <c r="C959">
        <v>2024</v>
      </c>
      <c r="D959" t="s">
        <v>649</v>
      </c>
      <c r="E959" t="s">
        <v>859</v>
      </c>
      <c r="F959" t="s">
        <v>38</v>
      </c>
      <c r="G959" t="s">
        <v>35</v>
      </c>
      <c r="H959" t="s">
        <v>51</v>
      </c>
      <c r="I959" t="s">
        <v>26</v>
      </c>
      <c r="J959" t="s">
        <v>27</v>
      </c>
      <c r="K959" t="s">
        <v>32</v>
      </c>
      <c r="L959" s="2">
        <v>8.5</v>
      </c>
      <c r="M959" s="3">
        <v>778</v>
      </c>
      <c r="N959">
        <v>5</v>
      </c>
      <c r="O959">
        <v>5</v>
      </c>
      <c r="P959">
        <v>1</v>
      </c>
      <c r="Q959">
        <v>0</v>
      </c>
      <c r="R959" s="4">
        <v>22.72</v>
      </c>
      <c r="S959">
        <v>0</v>
      </c>
      <c r="T959">
        <v>1</v>
      </c>
    </row>
    <row r="960" spans="1:20" ht="16.5" x14ac:dyDescent="0.3">
      <c r="A960" t="s">
        <v>1005</v>
      </c>
      <c r="B960" s="1">
        <v>45435</v>
      </c>
      <c r="C960">
        <v>2024</v>
      </c>
      <c r="D960" t="s">
        <v>649</v>
      </c>
      <c r="E960" t="s">
        <v>859</v>
      </c>
      <c r="F960" t="s">
        <v>57</v>
      </c>
      <c r="G960" t="s">
        <v>39</v>
      </c>
      <c r="H960" t="s">
        <v>48</v>
      </c>
      <c r="I960" t="s">
        <v>40</v>
      </c>
      <c r="J960" t="s">
        <v>27</v>
      </c>
      <c r="K960" t="s">
        <v>28</v>
      </c>
      <c r="L960" s="2">
        <v>48.7</v>
      </c>
      <c r="M960" s="3">
        <v>512</v>
      </c>
      <c r="N960">
        <v>2</v>
      </c>
      <c r="O960">
        <v>2</v>
      </c>
      <c r="P960">
        <v>1</v>
      </c>
      <c r="Q960">
        <v>0</v>
      </c>
      <c r="R960" s="4">
        <v>70.349999999999994</v>
      </c>
      <c r="S960">
        <v>0</v>
      </c>
      <c r="T960">
        <v>1</v>
      </c>
    </row>
    <row r="961" spans="1:20" ht="16.5" x14ac:dyDescent="0.3">
      <c r="A961" t="s">
        <v>1006</v>
      </c>
      <c r="B961" s="1">
        <v>45435</v>
      </c>
      <c r="C961">
        <v>2024</v>
      </c>
      <c r="D961" t="s">
        <v>649</v>
      </c>
      <c r="E961" t="s">
        <v>859</v>
      </c>
      <c r="F961" t="s">
        <v>30</v>
      </c>
      <c r="G961" t="s">
        <v>35</v>
      </c>
      <c r="H961" t="s">
        <v>25</v>
      </c>
      <c r="I961" t="s">
        <v>26</v>
      </c>
      <c r="J961" t="s">
        <v>27</v>
      </c>
      <c r="K961" t="s">
        <v>28</v>
      </c>
      <c r="L961" s="2">
        <v>12.7</v>
      </c>
      <c r="M961" s="3">
        <v>795</v>
      </c>
      <c r="N961">
        <v>4</v>
      </c>
      <c r="O961">
        <v>3</v>
      </c>
      <c r="P961">
        <v>1</v>
      </c>
      <c r="Q961">
        <v>0</v>
      </c>
      <c r="R961" s="4">
        <v>24.62</v>
      </c>
      <c r="S961">
        <v>0</v>
      </c>
      <c r="T961">
        <v>1</v>
      </c>
    </row>
    <row r="962" spans="1:20" ht="16.5" x14ac:dyDescent="0.3">
      <c r="A962" t="s">
        <v>1007</v>
      </c>
      <c r="B962" s="1">
        <v>45435</v>
      </c>
      <c r="C962">
        <v>2024</v>
      </c>
      <c r="D962" t="s">
        <v>649</v>
      </c>
      <c r="E962" t="s">
        <v>859</v>
      </c>
      <c r="F962" t="s">
        <v>23</v>
      </c>
      <c r="G962" t="s">
        <v>39</v>
      </c>
      <c r="H962" t="s">
        <v>25</v>
      </c>
      <c r="I962" t="s">
        <v>26</v>
      </c>
      <c r="J962" t="s">
        <v>27</v>
      </c>
      <c r="K962" t="s">
        <v>28</v>
      </c>
      <c r="L962" s="2">
        <v>56.1</v>
      </c>
      <c r="M962" s="3">
        <v>601</v>
      </c>
      <c r="N962">
        <v>4</v>
      </c>
      <c r="O962">
        <v>4</v>
      </c>
      <c r="P962">
        <v>1</v>
      </c>
      <c r="Q962">
        <v>0</v>
      </c>
      <c r="R962" s="4">
        <v>38.53</v>
      </c>
      <c r="S962">
        <v>0</v>
      </c>
      <c r="T962">
        <v>1</v>
      </c>
    </row>
    <row r="963" spans="1:20" ht="16.5" x14ac:dyDescent="0.3">
      <c r="A963" t="s">
        <v>1008</v>
      </c>
      <c r="B963" s="1">
        <v>45435</v>
      </c>
      <c r="C963">
        <v>2024</v>
      </c>
      <c r="D963" t="s">
        <v>649</v>
      </c>
      <c r="E963" t="s">
        <v>859</v>
      </c>
      <c r="F963" t="s">
        <v>38</v>
      </c>
      <c r="G963" t="s">
        <v>39</v>
      </c>
      <c r="H963" t="s">
        <v>36</v>
      </c>
      <c r="I963" t="s">
        <v>26</v>
      </c>
      <c r="J963" t="s">
        <v>27</v>
      </c>
      <c r="K963" t="s">
        <v>28</v>
      </c>
      <c r="L963" s="2">
        <v>145.30000000000001</v>
      </c>
      <c r="M963" s="3">
        <v>324</v>
      </c>
      <c r="N963">
        <v>3</v>
      </c>
      <c r="O963">
        <v>2</v>
      </c>
      <c r="P963">
        <v>1</v>
      </c>
      <c r="Q963">
        <v>0</v>
      </c>
      <c r="R963" s="4">
        <v>72.91</v>
      </c>
      <c r="S963">
        <v>0</v>
      </c>
      <c r="T963">
        <v>1</v>
      </c>
    </row>
    <row r="964" spans="1:20" ht="16.5" x14ac:dyDescent="0.3">
      <c r="A964" t="s">
        <v>1009</v>
      </c>
      <c r="B964" s="1">
        <v>45435</v>
      </c>
      <c r="C964">
        <v>2024</v>
      </c>
      <c r="D964" t="s">
        <v>649</v>
      </c>
      <c r="E964" t="s">
        <v>859</v>
      </c>
      <c r="F964" t="s">
        <v>30</v>
      </c>
      <c r="G964" t="s">
        <v>35</v>
      </c>
      <c r="H964" t="s">
        <v>36</v>
      </c>
      <c r="I964" t="s">
        <v>26</v>
      </c>
      <c r="J964" t="s">
        <v>27</v>
      </c>
      <c r="K964" t="s">
        <v>28</v>
      </c>
      <c r="L964" s="2">
        <v>105.8</v>
      </c>
      <c r="M964" s="3">
        <v>223</v>
      </c>
      <c r="N964">
        <v>3</v>
      </c>
      <c r="O964">
        <v>3</v>
      </c>
      <c r="P964">
        <v>1</v>
      </c>
      <c r="Q964">
        <v>0</v>
      </c>
      <c r="R964" s="4">
        <v>58.19</v>
      </c>
      <c r="S964">
        <v>0</v>
      </c>
      <c r="T964">
        <v>1</v>
      </c>
    </row>
    <row r="965" spans="1:20" ht="16.5" x14ac:dyDescent="0.3">
      <c r="A965" t="s">
        <v>1010</v>
      </c>
      <c r="B965" s="1">
        <v>45435</v>
      </c>
      <c r="C965">
        <v>2024</v>
      </c>
      <c r="D965" t="s">
        <v>649</v>
      </c>
      <c r="E965" t="s">
        <v>859</v>
      </c>
      <c r="F965" t="s">
        <v>38</v>
      </c>
      <c r="G965" t="s">
        <v>39</v>
      </c>
      <c r="H965" t="s">
        <v>43</v>
      </c>
      <c r="I965" t="s">
        <v>31</v>
      </c>
      <c r="J965" t="s">
        <v>27</v>
      </c>
      <c r="K965" t="s">
        <v>32</v>
      </c>
      <c r="L965" s="2">
        <v>2</v>
      </c>
      <c r="M965" s="3">
        <v>969</v>
      </c>
      <c r="N965">
        <v>7</v>
      </c>
      <c r="O965">
        <v>7</v>
      </c>
      <c r="P965">
        <v>1</v>
      </c>
      <c r="Q965">
        <v>0</v>
      </c>
      <c r="R965" s="4">
        <v>14.92</v>
      </c>
      <c r="S965">
        <v>0</v>
      </c>
      <c r="T965">
        <v>1</v>
      </c>
    </row>
    <row r="966" spans="1:20" ht="16.5" x14ac:dyDescent="0.3">
      <c r="A966" t="s">
        <v>1011</v>
      </c>
      <c r="B966" s="1">
        <v>45435</v>
      </c>
      <c r="C966">
        <v>2024</v>
      </c>
      <c r="D966" t="s">
        <v>649</v>
      </c>
      <c r="E966" t="s">
        <v>859</v>
      </c>
      <c r="F966" t="s">
        <v>38</v>
      </c>
      <c r="G966" t="s">
        <v>35</v>
      </c>
      <c r="H966" t="s">
        <v>25</v>
      </c>
      <c r="I966" t="s">
        <v>40</v>
      </c>
      <c r="J966" t="s">
        <v>41</v>
      </c>
      <c r="K966" t="s">
        <v>32</v>
      </c>
      <c r="L966" s="2">
        <v>14.6</v>
      </c>
      <c r="M966" s="3">
        <v>790</v>
      </c>
      <c r="N966">
        <v>2</v>
      </c>
      <c r="O966">
        <v>2</v>
      </c>
      <c r="P966">
        <v>1</v>
      </c>
      <c r="Q966">
        <v>0</v>
      </c>
      <c r="R966" s="4">
        <v>84.81</v>
      </c>
      <c r="S966">
        <v>0</v>
      </c>
      <c r="T966">
        <v>1</v>
      </c>
    </row>
    <row r="967" spans="1:20" ht="16.5" x14ac:dyDescent="0.3">
      <c r="A967" t="s">
        <v>1012</v>
      </c>
      <c r="B967" s="1">
        <v>45435</v>
      </c>
      <c r="C967">
        <v>2024</v>
      </c>
      <c r="D967" t="s">
        <v>649</v>
      </c>
      <c r="E967" t="s">
        <v>859</v>
      </c>
      <c r="F967" t="s">
        <v>57</v>
      </c>
      <c r="G967" t="s">
        <v>24</v>
      </c>
      <c r="H967" t="s">
        <v>43</v>
      </c>
      <c r="I967" t="s">
        <v>26</v>
      </c>
      <c r="J967" t="s">
        <v>27</v>
      </c>
      <c r="K967" t="s">
        <v>32</v>
      </c>
      <c r="L967" s="2">
        <v>3.7</v>
      </c>
      <c r="M967" s="3">
        <v>1061</v>
      </c>
      <c r="N967">
        <v>5</v>
      </c>
      <c r="O967">
        <v>5</v>
      </c>
      <c r="P967">
        <v>1</v>
      </c>
      <c r="Q967">
        <v>0</v>
      </c>
      <c r="R967" s="4">
        <v>24.18</v>
      </c>
      <c r="S967">
        <v>0</v>
      </c>
      <c r="T967">
        <v>1</v>
      </c>
    </row>
    <row r="968" spans="1:20" ht="16.5" x14ac:dyDescent="0.3">
      <c r="A968" t="s">
        <v>1013</v>
      </c>
      <c r="B968" s="1">
        <v>45436</v>
      </c>
      <c r="C968">
        <v>2024</v>
      </c>
      <c r="D968" t="s">
        <v>649</v>
      </c>
      <c r="E968" t="s">
        <v>859</v>
      </c>
      <c r="F968" t="s">
        <v>23</v>
      </c>
      <c r="G968" t="s">
        <v>39</v>
      </c>
      <c r="H968" t="s">
        <v>48</v>
      </c>
      <c r="I968" t="s">
        <v>26</v>
      </c>
      <c r="J968" t="s">
        <v>27</v>
      </c>
      <c r="K968" t="s">
        <v>32</v>
      </c>
      <c r="L968" s="2">
        <v>3.4</v>
      </c>
      <c r="M968" s="3">
        <v>515</v>
      </c>
      <c r="N968">
        <v>4</v>
      </c>
      <c r="O968">
        <v>4</v>
      </c>
      <c r="P968">
        <v>1</v>
      </c>
      <c r="Q968">
        <v>0</v>
      </c>
      <c r="R968" s="4">
        <v>14.93</v>
      </c>
      <c r="S968">
        <v>0</v>
      </c>
      <c r="T968">
        <v>1</v>
      </c>
    </row>
    <row r="969" spans="1:20" ht="16.5" x14ac:dyDescent="0.3">
      <c r="A969" t="s">
        <v>1014</v>
      </c>
      <c r="B969" s="1">
        <v>45436</v>
      </c>
      <c r="C969">
        <v>2024</v>
      </c>
      <c r="D969" t="s">
        <v>649</v>
      </c>
      <c r="E969" t="s">
        <v>859</v>
      </c>
      <c r="F969" t="s">
        <v>23</v>
      </c>
      <c r="G969" t="s">
        <v>35</v>
      </c>
      <c r="H969" t="s">
        <v>48</v>
      </c>
      <c r="I969" t="s">
        <v>31</v>
      </c>
      <c r="J969" t="s">
        <v>27</v>
      </c>
      <c r="K969" t="s">
        <v>32</v>
      </c>
      <c r="L969" s="2">
        <v>12.1</v>
      </c>
      <c r="M969" s="3">
        <v>515</v>
      </c>
      <c r="N969">
        <v>6</v>
      </c>
      <c r="O969">
        <v>11</v>
      </c>
      <c r="P969">
        <v>0</v>
      </c>
      <c r="Q969">
        <v>5</v>
      </c>
      <c r="R969" s="4">
        <v>11.93</v>
      </c>
      <c r="S969">
        <v>0</v>
      </c>
      <c r="T969">
        <v>1</v>
      </c>
    </row>
    <row r="970" spans="1:20" ht="16.5" x14ac:dyDescent="0.3">
      <c r="A970" t="s">
        <v>1015</v>
      </c>
      <c r="B970" s="1">
        <v>45436</v>
      </c>
      <c r="C970">
        <v>2024</v>
      </c>
      <c r="D970" t="s">
        <v>649</v>
      </c>
      <c r="E970" t="s">
        <v>859</v>
      </c>
      <c r="F970" t="s">
        <v>57</v>
      </c>
      <c r="G970" t="s">
        <v>39</v>
      </c>
      <c r="H970" t="s">
        <v>25</v>
      </c>
      <c r="I970" t="s">
        <v>40</v>
      </c>
      <c r="J970" t="s">
        <v>41</v>
      </c>
      <c r="K970" t="s">
        <v>32</v>
      </c>
      <c r="L970" s="2">
        <v>5.0999999999999996</v>
      </c>
      <c r="M970" s="3">
        <v>1038</v>
      </c>
      <c r="N970">
        <v>2</v>
      </c>
      <c r="O970">
        <v>2</v>
      </c>
      <c r="P970">
        <v>1</v>
      </c>
      <c r="Q970">
        <v>0</v>
      </c>
      <c r="R970" s="4">
        <v>73.64</v>
      </c>
      <c r="S970">
        <v>0</v>
      </c>
      <c r="T970">
        <v>1</v>
      </c>
    </row>
    <row r="971" spans="1:20" ht="16.5" x14ac:dyDescent="0.3">
      <c r="A971" t="s">
        <v>1016</v>
      </c>
      <c r="B971" s="1">
        <v>45436</v>
      </c>
      <c r="C971">
        <v>2024</v>
      </c>
      <c r="D971" t="s">
        <v>649</v>
      </c>
      <c r="E971" t="s">
        <v>859</v>
      </c>
      <c r="F971" t="s">
        <v>30</v>
      </c>
      <c r="G971" t="s">
        <v>39</v>
      </c>
      <c r="H971" t="s">
        <v>48</v>
      </c>
      <c r="I971" t="s">
        <v>26</v>
      </c>
      <c r="J971" t="s">
        <v>27</v>
      </c>
      <c r="K971" t="s">
        <v>32</v>
      </c>
      <c r="L971" s="2">
        <v>6.2</v>
      </c>
      <c r="M971" s="3">
        <v>488</v>
      </c>
      <c r="N971">
        <v>4</v>
      </c>
      <c r="O971">
        <v>4</v>
      </c>
      <c r="P971">
        <v>1</v>
      </c>
      <c r="Q971">
        <v>0</v>
      </c>
      <c r="R971" s="4">
        <v>15.97</v>
      </c>
      <c r="S971">
        <v>0</v>
      </c>
      <c r="T971">
        <v>1</v>
      </c>
    </row>
    <row r="972" spans="1:20" ht="16.5" x14ac:dyDescent="0.3">
      <c r="A972" t="s">
        <v>1017</v>
      </c>
      <c r="B972" s="1">
        <v>45436</v>
      </c>
      <c r="C972">
        <v>2024</v>
      </c>
      <c r="D972" t="s">
        <v>649</v>
      </c>
      <c r="E972" t="s">
        <v>859</v>
      </c>
      <c r="F972" t="s">
        <v>30</v>
      </c>
      <c r="G972" t="s">
        <v>35</v>
      </c>
      <c r="H972" t="s">
        <v>48</v>
      </c>
      <c r="I972" t="s">
        <v>31</v>
      </c>
      <c r="J972" t="s">
        <v>27</v>
      </c>
      <c r="K972" t="s">
        <v>32</v>
      </c>
      <c r="L972" s="2">
        <v>1.5</v>
      </c>
      <c r="M972" s="3">
        <v>664</v>
      </c>
      <c r="N972">
        <v>6</v>
      </c>
      <c r="O972">
        <v>5</v>
      </c>
      <c r="P972">
        <v>1</v>
      </c>
      <c r="Q972">
        <v>0</v>
      </c>
      <c r="R972" s="4">
        <v>10.76</v>
      </c>
      <c r="S972">
        <v>0</v>
      </c>
      <c r="T972">
        <v>1</v>
      </c>
    </row>
    <row r="973" spans="1:20" ht="16.5" x14ac:dyDescent="0.3">
      <c r="A973" t="s">
        <v>1018</v>
      </c>
      <c r="B973" s="1">
        <v>45436</v>
      </c>
      <c r="C973">
        <v>2024</v>
      </c>
      <c r="D973" t="s">
        <v>649</v>
      </c>
      <c r="E973" t="s">
        <v>859</v>
      </c>
      <c r="F973" t="s">
        <v>23</v>
      </c>
      <c r="G973" t="s">
        <v>35</v>
      </c>
      <c r="H973" t="s">
        <v>48</v>
      </c>
      <c r="I973" t="s">
        <v>26</v>
      </c>
      <c r="J973" t="s">
        <v>27</v>
      </c>
      <c r="K973" t="s">
        <v>32</v>
      </c>
      <c r="L973" s="2">
        <v>2.4</v>
      </c>
      <c r="M973" s="3">
        <v>362</v>
      </c>
      <c r="N973">
        <v>4</v>
      </c>
      <c r="O973">
        <v>4</v>
      </c>
      <c r="P973">
        <v>1</v>
      </c>
      <c r="Q973">
        <v>0</v>
      </c>
      <c r="R973" s="4">
        <v>11.97</v>
      </c>
      <c r="S973">
        <v>0</v>
      </c>
      <c r="T973">
        <v>1</v>
      </c>
    </row>
    <row r="974" spans="1:20" ht="16.5" x14ac:dyDescent="0.3">
      <c r="A974" t="s">
        <v>1019</v>
      </c>
      <c r="B974" s="1">
        <v>45436</v>
      </c>
      <c r="C974">
        <v>2024</v>
      </c>
      <c r="D974" t="s">
        <v>649</v>
      </c>
      <c r="E974" t="s">
        <v>859</v>
      </c>
      <c r="F974" t="s">
        <v>23</v>
      </c>
      <c r="G974" t="s">
        <v>35</v>
      </c>
      <c r="H974" t="s">
        <v>51</v>
      </c>
      <c r="I974" t="s">
        <v>26</v>
      </c>
      <c r="J974" t="s">
        <v>27</v>
      </c>
      <c r="K974" t="s">
        <v>28</v>
      </c>
      <c r="L974" s="2">
        <v>237.7</v>
      </c>
      <c r="M974" s="3">
        <v>1216</v>
      </c>
      <c r="N974">
        <v>5</v>
      </c>
      <c r="O974">
        <v>5</v>
      </c>
      <c r="P974">
        <v>1</v>
      </c>
      <c r="Q974">
        <v>0</v>
      </c>
      <c r="R974" s="4">
        <v>116.27</v>
      </c>
      <c r="S974">
        <v>0</v>
      </c>
      <c r="T974">
        <v>1</v>
      </c>
    </row>
    <row r="975" spans="1:20" ht="16.5" x14ac:dyDescent="0.3">
      <c r="A975" t="s">
        <v>1020</v>
      </c>
      <c r="B975" s="1">
        <v>45436</v>
      </c>
      <c r="C975">
        <v>2024</v>
      </c>
      <c r="D975" t="s">
        <v>649</v>
      </c>
      <c r="E975" t="s">
        <v>859</v>
      </c>
      <c r="F975" t="s">
        <v>30</v>
      </c>
      <c r="G975" t="s">
        <v>39</v>
      </c>
      <c r="H975" t="s">
        <v>43</v>
      </c>
      <c r="I975" t="s">
        <v>26</v>
      </c>
      <c r="J975" t="s">
        <v>27</v>
      </c>
      <c r="K975" t="s">
        <v>32</v>
      </c>
      <c r="L975" s="2">
        <v>14.8</v>
      </c>
      <c r="M975" s="3">
        <v>1333</v>
      </c>
      <c r="N975">
        <v>5</v>
      </c>
      <c r="O975">
        <v>5</v>
      </c>
      <c r="P975">
        <v>1</v>
      </c>
      <c r="Q975">
        <v>0</v>
      </c>
      <c r="R975" s="4">
        <v>31.78</v>
      </c>
      <c r="S975">
        <v>0</v>
      </c>
      <c r="T975">
        <v>1</v>
      </c>
    </row>
    <row r="976" spans="1:20" ht="16.5" x14ac:dyDescent="0.3">
      <c r="A976" t="s">
        <v>1021</v>
      </c>
      <c r="B976" s="1">
        <v>45436</v>
      </c>
      <c r="C976">
        <v>2024</v>
      </c>
      <c r="D976" t="s">
        <v>649</v>
      </c>
      <c r="E976" t="s">
        <v>859</v>
      </c>
      <c r="F976" t="s">
        <v>23</v>
      </c>
      <c r="G976" t="s">
        <v>39</v>
      </c>
      <c r="H976" t="s">
        <v>36</v>
      </c>
      <c r="I976" t="s">
        <v>26</v>
      </c>
      <c r="J976" t="s">
        <v>27</v>
      </c>
      <c r="K976" t="s">
        <v>32</v>
      </c>
      <c r="L976" s="2">
        <v>7.9</v>
      </c>
      <c r="M976" s="3">
        <v>257</v>
      </c>
      <c r="N976">
        <v>3</v>
      </c>
      <c r="O976">
        <v>3</v>
      </c>
      <c r="P976">
        <v>1</v>
      </c>
      <c r="Q976">
        <v>0</v>
      </c>
      <c r="R976" s="4">
        <v>14.74</v>
      </c>
      <c r="S976">
        <v>0</v>
      </c>
      <c r="T976">
        <v>1</v>
      </c>
    </row>
    <row r="977" spans="1:20" ht="16.5" x14ac:dyDescent="0.3">
      <c r="A977" t="s">
        <v>1022</v>
      </c>
      <c r="B977" s="1">
        <v>45437</v>
      </c>
      <c r="C977">
        <v>2024</v>
      </c>
      <c r="D977" t="s">
        <v>649</v>
      </c>
      <c r="E977" t="s">
        <v>859</v>
      </c>
      <c r="F977" t="s">
        <v>23</v>
      </c>
      <c r="G977" t="s">
        <v>39</v>
      </c>
      <c r="H977" t="s">
        <v>25</v>
      </c>
      <c r="I977" t="s">
        <v>40</v>
      </c>
      <c r="J977" t="s">
        <v>41</v>
      </c>
      <c r="K977" t="s">
        <v>28</v>
      </c>
      <c r="L977" s="2">
        <v>147.69999999999999</v>
      </c>
      <c r="M977" s="3">
        <v>921</v>
      </c>
      <c r="N977">
        <v>2</v>
      </c>
      <c r="O977">
        <v>2</v>
      </c>
      <c r="P977">
        <v>1</v>
      </c>
      <c r="Q977">
        <v>0</v>
      </c>
      <c r="R977" s="4">
        <v>245.03</v>
      </c>
      <c r="S977">
        <v>0</v>
      </c>
      <c r="T977">
        <v>1</v>
      </c>
    </row>
    <row r="978" spans="1:20" ht="16.5" x14ac:dyDescent="0.3">
      <c r="A978" t="s">
        <v>1023</v>
      </c>
      <c r="B978" s="1">
        <v>45437</v>
      </c>
      <c r="C978">
        <v>2024</v>
      </c>
      <c r="D978" t="s">
        <v>649</v>
      </c>
      <c r="E978" t="s">
        <v>859</v>
      </c>
      <c r="F978" t="s">
        <v>23</v>
      </c>
      <c r="G978" t="s">
        <v>39</v>
      </c>
      <c r="H978" t="s">
        <v>36</v>
      </c>
      <c r="I978" t="s">
        <v>40</v>
      </c>
      <c r="J978" t="s">
        <v>27</v>
      </c>
      <c r="K978" t="s">
        <v>32</v>
      </c>
      <c r="L978" s="2">
        <v>6.8</v>
      </c>
      <c r="M978" s="3">
        <v>210</v>
      </c>
      <c r="N978">
        <v>1</v>
      </c>
      <c r="O978">
        <v>1</v>
      </c>
      <c r="P978">
        <v>1</v>
      </c>
      <c r="Q978">
        <v>0</v>
      </c>
      <c r="R978" s="4">
        <v>21.47</v>
      </c>
      <c r="S978">
        <v>0</v>
      </c>
      <c r="T978">
        <v>1</v>
      </c>
    </row>
    <row r="979" spans="1:20" ht="16.5" x14ac:dyDescent="0.3">
      <c r="A979" t="s">
        <v>1024</v>
      </c>
      <c r="B979" s="1">
        <v>45437</v>
      </c>
      <c r="C979">
        <v>2024</v>
      </c>
      <c r="D979" t="s">
        <v>649</v>
      </c>
      <c r="E979" t="s">
        <v>859</v>
      </c>
      <c r="F979" t="s">
        <v>34</v>
      </c>
      <c r="G979" t="s">
        <v>35</v>
      </c>
      <c r="H979" t="s">
        <v>48</v>
      </c>
      <c r="I979" t="s">
        <v>26</v>
      </c>
      <c r="J979" t="s">
        <v>27</v>
      </c>
      <c r="K979" t="s">
        <v>32</v>
      </c>
      <c r="L979" s="2">
        <v>11.4</v>
      </c>
      <c r="M979" s="3">
        <v>459</v>
      </c>
      <c r="N979">
        <v>4</v>
      </c>
      <c r="O979">
        <v>4</v>
      </c>
      <c r="P979">
        <v>1</v>
      </c>
      <c r="Q979">
        <v>0</v>
      </c>
      <c r="R979" s="4">
        <v>15.59</v>
      </c>
      <c r="S979">
        <v>0</v>
      </c>
      <c r="T979">
        <v>1</v>
      </c>
    </row>
    <row r="980" spans="1:20" ht="16.5" x14ac:dyDescent="0.3">
      <c r="A980" t="s">
        <v>1025</v>
      </c>
      <c r="B980" s="1">
        <v>45437</v>
      </c>
      <c r="C980">
        <v>2024</v>
      </c>
      <c r="D980" t="s">
        <v>649</v>
      </c>
      <c r="E980" t="s">
        <v>859</v>
      </c>
      <c r="F980" t="s">
        <v>23</v>
      </c>
      <c r="G980" t="s">
        <v>24</v>
      </c>
      <c r="H980" t="s">
        <v>51</v>
      </c>
      <c r="I980" t="s">
        <v>40</v>
      </c>
      <c r="J980" t="s">
        <v>41</v>
      </c>
      <c r="K980" t="s">
        <v>28</v>
      </c>
      <c r="L980" s="2">
        <v>20.7</v>
      </c>
      <c r="M980" s="3">
        <v>878</v>
      </c>
      <c r="N980">
        <v>3</v>
      </c>
      <c r="O980">
        <v>3</v>
      </c>
      <c r="P980">
        <v>1</v>
      </c>
      <c r="Q980">
        <v>0</v>
      </c>
      <c r="R980" s="4">
        <v>87.92</v>
      </c>
      <c r="S980">
        <v>0</v>
      </c>
      <c r="T980">
        <v>1</v>
      </c>
    </row>
    <row r="981" spans="1:20" ht="16.5" x14ac:dyDescent="0.3">
      <c r="A981" t="s">
        <v>1026</v>
      </c>
      <c r="B981" s="1">
        <v>45438</v>
      </c>
      <c r="C981">
        <v>2024</v>
      </c>
      <c r="D981" t="s">
        <v>649</v>
      </c>
      <c r="E981" t="s">
        <v>859</v>
      </c>
      <c r="F981" t="s">
        <v>38</v>
      </c>
      <c r="G981" t="s">
        <v>35</v>
      </c>
      <c r="H981" t="s">
        <v>43</v>
      </c>
      <c r="I981" t="s">
        <v>26</v>
      </c>
      <c r="J981" t="s">
        <v>27</v>
      </c>
      <c r="K981" t="s">
        <v>28</v>
      </c>
      <c r="L981" s="2">
        <v>232.7</v>
      </c>
      <c r="M981" s="3">
        <v>1443</v>
      </c>
      <c r="N981">
        <v>5</v>
      </c>
      <c r="O981">
        <v>5</v>
      </c>
      <c r="P981">
        <v>1</v>
      </c>
      <c r="Q981">
        <v>0</v>
      </c>
      <c r="R981" s="4">
        <v>122.77</v>
      </c>
      <c r="S981">
        <v>0</v>
      </c>
      <c r="T981">
        <v>1</v>
      </c>
    </row>
    <row r="982" spans="1:20" ht="16.5" x14ac:dyDescent="0.3">
      <c r="A982" t="s">
        <v>1027</v>
      </c>
      <c r="B982" s="1">
        <v>45438</v>
      </c>
      <c r="C982">
        <v>2024</v>
      </c>
      <c r="D982" t="s">
        <v>649</v>
      </c>
      <c r="E982" t="s">
        <v>859</v>
      </c>
      <c r="F982" t="s">
        <v>38</v>
      </c>
      <c r="G982" t="s">
        <v>24</v>
      </c>
      <c r="H982" t="s">
        <v>36</v>
      </c>
      <c r="I982" t="s">
        <v>31</v>
      </c>
      <c r="J982" t="s">
        <v>27</v>
      </c>
      <c r="K982" t="s">
        <v>28</v>
      </c>
      <c r="L982" s="2">
        <v>246.8</v>
      </c>
      <c r="M982" s="3">
        <v>262</v>
      </c>
      <c r="N982">
        <v>5</v>
      </c>
      <c r="O982">
        <v>5</v>
      </c>
      <c r="P982">
        <v>1</v>
      </c>
      <c r="Q982">
        <v>0</v>
      </c>
      <c r="R982" s="4">
        <v>90.58</v>
      </c>
      <c r="S982">
        <v>0</v>
      </c>
      <c r="T982">
        <v>1</v>
      </c>
    </row>
    <row r="983" spans="1:20" ht="16.5" x14ac:dyDescent="0.3">
      <c r="A983" t="s">
        <v>1028</v>
      </c>
      <c r="B983" s="1">
        <v>45438</v>
      </c>
      <c r="C983">
        <v>2024</v>
      </c>
      <c r="D983" t="s">
        <v>649</v>
      </c>
      <c r="E983" t="s">
        <v>859</v>
      </c>
      <c r="F983" t="s">
        <v>57</v>
      </c>
      <c r="G983" t="s">
        <v>35</v>
      </c>
      <c r="H983" t="s">
        <v>51</v>
      </c>
      <c r="I983" t="s">
        <v>26</v>
      </c>
      <c r="J983" t="s">
        <v>27</v>
      </c>
      <c r="K983" t="s">
        <v>28</v>
      </c>
      <c r="L983" s="2">
        <v>190.7</v>
      </c>
      <c r="M983" s="3">
        <v>789</v>
      </c>
      <c r="N983">
        <v>5</v>
      </c>
      <c r="O983">
        <v>8</v>
      </c>
      <c r="P983">
        <v>0</v>
      </c>
      <c r="Q983">
        <v>3</v>
      </c>
      <c r="R983" s="4">
        <v>105.58</v>
      </c>
      <c r="S983">
        <v>0</v>
      </c>
      <c r="T983">
        <v>1</v>
      </c>
    </row>
    <row r="984" spans="1:20" ht="16.5" x14ac:dyDescent="0.3">
      <c r="A984" t="s">
        <v>1029</v>
      </c>
      <c r="B984" s="1">
        <v>45438</v>
      </c>
      <c r="C984">
        <v>2024</v>
      </c>
      <c r="D984" t="s">
        <v>649</v>
      </c>
      <c r="E984" t="s">
        <v>859</v>
      </c>
      <c r="F984" t="s">
        <v>38</v>
      </c>
      <c r="G984" t="s">
        <v>39</v>
      </c>
      <c r="H984" t="s">
        <v>36</v>
      </c>
      <c r="I984" t="s">
        <v>26</v>
      </c>
      <c r="J984" t="s">
        <v>27</v>
      </c>
      <c r="K984" t="s">
        <v>28</v>
      </c>
      <c r="L984" s="2">
        <v>178.5</v>
      </c>
      <c r="M984" s="3">
        <v>249</v>
      </c>
      <c r="N984">
        <v>3</v>
      </c>
      <c r="O984">
        <v>3</v>
      </c>
      <c r="P984">
        <v>1</v>
      </c>
      <c r="Q984">
        <v>0</v>
      </c>
      <c r="R984" s="4">
        <v>88.43</v>
      </c>
      <c r="S984">
        <v>0</v>
      </c>
      <c r="T984">
        <v>1</v>
      </c>
    </row>
    <row r="985" spans="1:20" ht="16.5" x14ac:dyDescent="0.3">
      <c r="A985" t="s">
        <v>1030</v>
      </c>
      <c r="B985" s="1">
        <v>45439</v>
      </c>
      <c r="C985">
        <v>2024</v>
      </c>
      <c r="D985" t="s">
        <v>649</v>
      </c>
      <c r="E985" t="s">
        <v>859</v>
      </c>
      <c r="F985" t="s">
        <v>34</v>
      </c>
      <c r="G985" t="s">
        <v>35</v>
      </c>
      <c r="H985" t="s">
        <v>36</v>
      </c>
      <c r="I985" t="s">
        <v>31</v>
      </c>
      <c r="J985" t="s">
        <v>27</v>
      </c>
      <c r="K985" t="s">
        <v>32</v>
      </c>
      <c r="L985" s="2">
        <v>12.5</v>
      </c>
      <c r="M985" s="3">
        <v>263</v>
      </c>
      <c r="N985">
        <v>5</v>
      </c>
      <c r="O985">
        <v>9</v>
      </c>
      <c r="P985">
        <v>0</v>
      </c>
      <c r="Q985">
        <v>4</v>
      </c>
      <c r="R985" s="4">
        <v>10.84</v>
      </c>
      <c r="S985">
        <v>0</v>
      </c>
      <c r="T985">
        <v>1</v>
      </c>
    </row>
    <row r="986" spans="1:20" ht="16.5" x14ac:dyDescent="0.3">
      <c r="A986" t="s">
        <v>1031</v>
      </c>
      <c r="B986" s="1">
        <v>45439</v>
      </c>
      <c r="C986">
        <v>2024</v>
      </c>
      <c r="D986" t="s">
        <v>649</v>
      </c>
      <c r="E986" t="s">
        <v>859</v>
      </c>
      <c r="F986" t="s">
        <v>23</v>
      </c>
      <c r="G986" t="s">
        <v>39</v>
      </c>
      <c r="H986" t="s">
        <v>36</v>
      </c>
      <c r="I986" t="s">
        <v>26</v>
      </c>
      <c r="J986" t="s">
        <v>27</v>
      </c>
      <c r="K986" t="s">
        <v>32</v>
      </c>
      <c r="L986" s="2">
        <v>5.8</v>
      </c>
      <c r="M986" s="3">
        <v>294</v>
      </c>
      <c r="N986">
        <v>3</v>
      </c>
      <c r="O986">
        <v>2</v>
      </c>
      <c r="P986">
        <v>1</v>
      </c>
      <c r="Q986">
        <v>0</v>
      </c>
      <c r="R986" s="4">
        <v>12.81</v>
      </c>
      <c r="S986">
        <v>0</v>
      </c>
      <c r="T986">
        <v>1</v>
      </c>
    </row>
    <row r="987" spans="1:20" ht="16.5" x14ac:dyDescent="0.3">
      <c r="A987" t="s">
        <v>1032</v>
      </c>
      <c r="B987" s="1">
        <v>45439</v>
      </c>
      <c r="C987">
        <v>2024</v>
      </c>
      <c r="D987" t="s">
        <v>649</v>
      </c>
      <c r="E987" t="s">
        <v>859</v>
      </c>
      <c r="F987" t="s">
        <v>38</v>
      </c>
      <c r="G987" t="s">
        <v>35</v>
      </c>
      <c r="H987" t="s">
        <v>36</v>
      </c>
      <c r="I987" t="s">
        <v>40</v>
      </c>
      <c r="J987" t="s">
        <v>27</v>
      </c>
      <c r="K987" t="s">
        <v>32</v>
      </c>
      <c r="L987" s="2">
        <v>8.6999999999999993</v>
      </c>
      <c r="M987" s="3">
        <v>178</v>
      </c>
      <c r="N987">
        <v>1</v>
      </c>
      <c r="O987">
        <v>1</v>
      </c>
      <c r="P987">
        <v>1</v>
      </c>
      <c r="Q987">
        <v>0</v>
      </c>
      <c r="R987" s="4">
        <v>29.5</v>
      </c>
      <c r="S987">
        <v>0</v>
      </c>
      <c r="T987">
        <v>1</v>
      </c>
    </row>
    <row r="988" spans="1:20" ht="16.5" x14ac:dyDescent="0.3">
      <c r="A988" t="s">
        <v>1033</v>
      </c>
      <c r="B988" s="1">
        <v>45439</v>
      </c>
      <c r="C988">
        <v>2024</v>
      </c>
      <c r="D988" t="s">
        <v>649</v>
      </c>
      <c r="E988" t="s">
        <v>859</v>
      </c>
      <c r="F988" t="s">
        <v>57</v>
      </c>
      <c r="G988" t="s">
        <v>39</v>
      </c>
      <c r="H988" t="s">
        <v>25</v>
      </c>
      <c r="I988" t="s">
        <v>31</v>
      </c>
      <c r="J988" t="s">
        <v>27</v>
      </c>
      <c r="K988" t="s">
        <v>32</v>
      </c>
      <c r="L988" s="2">
        <v>2</v>
      </c>
      <c r="M988" s="3">
        <v>961</v>
      </c>
      <c r="N988">
        <v>6</v>
      </c>
      <c r="O988">
        <v>6</v>
      </c>
      <c r="P988">
        <v>1</v>
      </c>
      <c r="Q988">
        <v>0</v>
      </c>
      <c r="R988" s="4">
        <v>14.48</v>
      </c>
      <c r="S988">
        <v>0</v>
      </c>
      <c r="T988">
        <v>1</v>
      </c>
    </row>
    <row r="989" spans="1:20" ht="16.5" x14ac:dyDescent="0.3">
      <c r="A989" t="s">
        <v>1034</v>
      </c>
      <c r="B989" s="1">
        <v>45439</v>
      </c>
      <c r="C989">
        <v>2024</v>
      </c>
      <c r="D989" t="s">
        <v>649</v>
      </c>
      <c r="E989" t="s">
        <v>859</v>
      </c>
      <c r="F989" t="s">
        <v>57</v>
      </c>
      <c r="G989" t="s">
        <v>39</v>
      </c>
      <c r="H989" t="s">
        <v>25</v>
      </c>
      <c r="I989" t="s">
        <v>31</v>
      </c>
      <c r="J989" t="s">
        <v>27</v>
      </c>
      <c r="K989" t="s">
        <v>32</v>
      </c>
      <c r="L989" s="2">
        <v>14.6</v>
      </c>
      <c r="M989" s="3">
        <v>1119</v>
      </c>
      <c r="N989">
        <v>6</v>
      </c>
      <c r="O989">
        <v>6</v>
      </c>
      <c r="P989">
        <v>1</v>
      </c>
      <c r="Q989">
        <v>0</v>
      </c>
      <c r="R989" s="4">
        <v>20.39</v>
      </c>
      <c r="S989">
        <v>0</v>
      </c>
      <c r="T989">
        <v>1</v>
      </c>
    </row>
    <row r="990" spans="1:20" ht="16.5" x14ac:dyDescent="0.3">
      <c r="A990" t="s">
        <v>1035</v>
      </c>
      <c r="B990" s="1">
        <v>45439</v>
      </c>
      <c r="C990">
        <v>2024</v>
      </c>
      <c r="D990" t="s">
        <v>649</v>
      </c>
      <c r="E990" t="s">
        <v>859</v>
      </c>
      <c r="F990" t="s">
        <v>57</v>
      </c>
      <c r="G990" t="s">
        <v>39</v>
      </c>
      <c r="H990" t="s">
        <v>43</v>
      </c>
      <c r="I990" t="s">
        <v>40</v>
      </c>
      <c r="J990" t="s">
        <v>41</v>
      </c>
      <c r="K990" t="s">
        <v>32</v>
      </c>
      <c r="L990" s="2">
        <v>13.5</v>
      </c>
      <c r="M990" s="3">
        <v>903</v>
      </c>
      <c r="N990">
        <v>3</v>
      </c>
      <c r="O990">
        <v>3</v>
      </c>
      <c r="P990">
        <v>1</v>
      </c>
      <c r="Q990">
        <v>0</v>
      </c>
      <c r="R990" s="4">
        <v>74.099999999999994</v>
      </c>
      <c r="S990">
        <v>0</v>
      </c>
      <c r="T990">
        <v>1</v>
      </c>
    </row>
    <row r="991" spans="1:20" ht="16.5" x14ac:dyDescent="0.3">
      <c r="A991" t="s">
        <v>1036</v>
      </c>
      <c r="B991" s="1">
        <v>45439</v>
      </c>
      <c r="C991">
        <v>2024</v>
      </c>
      <c r="D991" t="s">
        <v>649</v>
      </c>
      <c r="E991" t="s">
        <v>859</v>
      </c>
      <c r="F991" t="s">
        <v>30</v>
      </c>
      <c r="G991" t="s">
        <v>35</v>
      </c>
      <c r="H991" t="s">
        <v>25</v>
      </c>
      <c r="I991" t="s">
        <v>31</v>
      </c>
      <c r="J991" t="s">
        <v>27</v>
      </c>
      <c r="K991" t="s">
        <v>32</v>
      </c>
      <c r="L991" s="2">
        <v>0.7</v>
      </c>
      <c r="M991" s="3">
        <v>743</v>
      </c>
      <c r="N991">
        <v>6</v>
      </c>
      <c r="O991">
        <v>6</v>
      </c>
      <c r="P991">
        <v>1</v>
      </c>
      <c r="Q991">
        <v>0</v>
      </c>
      <c r="R991" s="4">
        <v>11.15</v>
      </c>
      <c r="S991">
        <v>0</v>
      </c>
      <c r="T991">
        <v>1</v>
      </c>
    </row>
    <row r="992" spans="1:20" ht="16.5" x14ac:dyDescent="0.3">
      <c r="A992" t="s">
        <v>1037</v>
      </c>
      <c r="B992" s="1">
        <v>45439</v>
      </c>
      <c r="C992">
        <v>2024</v>
      </c>
      <c r="D992" t="s">
        <v>649</v>
      </c>
      <c r="E992" t="s">
        <v>859</v>
      </c>
      <c r="F992" t="s">
        <v>34</v>
      </c>
      <c r="G992" t="s">
        <v>39</v>
      </c>
      <c r="H992" t="s">
        <v>25</v>
      </c>
      <c r="I992" t="s">
        <v>40</v>
      </c>
      <c r="J992" t="s">
        <v>41</v>
      </c>
      <c r="K992" t="s">
        <v>32</v>
      </c>
      <c r="L992" s="2">
        <v>8.1999999999999993</v>
      </c>
      <c r="M992" s="3">
        <v>828</v>
      </c>
      <c r="N992">
        <v>2</v>
      </c>
      <c r="O992">
        <v>1</v>
      </c>
      <c r="P992">
        <v>1</v>
      </c>
      <c r="Q992">
        <v>0</v>
      </c>
      <c r="R992" s="4">
        <v>56.38</v>
      </c>
      <c r="S992">
        <v>0</v>
      </c>
      <c r="T992">
        <v>1</v>
      </c>
    </row>
    <row r="993" spans="1:20" ht="16.5" x14ac:dyDescent="0.3">
      <c r="A993" t="s">
        <v>1038</v>
      </c>
      <c r="B993" s="1">
        <v>45439</v>
      </c>
      <c r="C993">
        <v>2024</v>
      </c>
      <c r="D993" t="s">
        <v>649</v>
      </c>
      <c r="E993" t="s">
        <v>859</v>
      </c>
      <c r="F993" t="s">
        <v>23</v>
      </c>
      <c r="G993" t="s">
        <v>24</v>
      </c>
      <c r="H993" t="s">
        <v>43</v>
      </c>
      <c r="I993" t="s">
        <v>26</v>
      </c>
      <c r="J993" t="s">
        <v>27</v>
      </c>
      <c r="K993" t="s">
        <v>32</v>
      </c>
      <c r="L993" s="2">
        <v>10.3</v>
      </c>
      <c r="M993" s="3">
        <v>1310</v>
      </c>
      <c r="N993">
        <v>5</v>
      </c>
      <c r="O993">
        <v>5</v>
      </c>
      <c r="P993">
        <v>1</v>
      </c>
      <c r="Q993">
        <v>0</v>
      </c>
      <c r="R993" s="4">
        <v>28.07</v>
      </c>
      <c r="S993">
        <v>0</v>
      </c>
      <c r="T993">
        <v>1</v>
      </c>
    </row>
    <row r="994" spans="1:20" ht="16.5" x14ac:dyDescent="0.3">
      <c r="A994" t="s">
        <v>1039</v>
      </c>
      <c r="B994" s="1">
        <v>45439</v>
      </c>
      <c r="C994">
        <v>2024</v>
      </c>
      <c r="D994" t="s">
        <v>649</v>
      </c>
      <c r="E994" t="s">
        <v>859</v>
      </c>
      <c r="F994" t="s">
        <v>23</v>
      </c>
      <c r="G994" t="s">
        <v>39</v>
      </c>
      <c r="H994" t="s">
        <v>36</v>
      </c>
      <c r="I994" t="s">
        <v>31</v>
      </c>
      <c r="J994" t="s">
        <v>27</v>
      </c>
      <c r="K994" t="s">
        <v>32</v>
      </c>
      <c r="L994" s="2">
        <v>4.0999999999999996</v>
      </c>
      <c r="M994" s="3">
        <v>228</v>
      </c>
      <c r="N994">
        <v>5</v>
      </c>
      <c r="O994">
        <v>5</v>
      </c>
      <c r="P994">
        <v>1</v>
      </c>
      <c r="Q994">
        <v>0</v>
      </c>
      <c r="R994" s="4">
        <v>9.7100000000000009</v>
      </c>
      <c r="S994">
        <v>0</v>
      </c>
      <c r="T994">
        <v>1</v>
      </c>
    </row>
    <row r="995" spans="1:20" ht="16.5" x14ac:dyDescent="0.3">
      <c r="A995" t="s">
        <v>1040</v>
      </c>
      <c r="B995" s="1">
        <v>45439</v>
      </c>
      <c r="C995">
        <v>2024</v>
      </c>
      <c r="D995" t="s">
        <v>649</v>
      </c>
      <c r="E995" t="s">
        <v>859</v>
      </c>
      <c r="F995" t="s">
        <v>38</v>
      </c>
      <c r="G995" t="s">
        <v>39</v>
      </c>
      <c r="H995" t="s">
        <v>36</v>
      </c>
      <c r="I995" t="s">
        <v>31</v>
      </c>
      <c r="J995" t="s">
        <v>27</v>
      </c>
      <c r="K995" t="s">
        <v>32</v>
      </c>
      <c r="L995" s="2">
        <v>10.199999999999999</v>
      </c>
      <c r="M995" s="3">
        <v>275</v>
      </c>
      <c r="N995">
        <v>5</v>
      </c>
      <c r="O995">
        <v>5</v>
      </c>
      <c r="P995">
        <v>1</v>
      </c>
      <c r="Q995">
        <v>0</v>
      </c>
      <c r="R995" s="4">
        <v>13.16</v>
      </c>
      <c r="S995">
        <v>0</v>
      </c>
      <c r="T995">
        <v>1</v>
      </c>
    </row>
    <row r="996" spans="1:20" ht="16.5" x14ac:dyDescent="0.3">
      <c r="A996" t="s">
        <v>1041</v>
      </c>
      <c r="B996" s="1">
        <v>45439</v>
      </c>
      <c r="C996">
        <v>2024</v>
      </c>
      <c r="D996" t="s">
        <v>649</v>
      </c>
      <c r="E996" t="s">
        <v>859</v>
      </c>
      <c r="F996" t="s">
        <v>30</v>
      </c>
      <c r="G996" t="s">
        <v>39</v>
      </c>
      <c r="H996" t="s">
        <v>51</v>
      </c>
      <c r="I996" t="s">
        <v>26</v>
      </c>
      <c r="J996" t="s">
        <v>27</v>
      </c>
      <c r="K996" t="s">
        <v>28</v>
      </c>
      <c r="L996" s="2">
        <v>31.7</v>
      </c>
      <c r="M996" s="3">
        <v>806</v>
      </c>
      <c r="N996">
        <v>5</v>
      </c>
      <c r="O996">
        <v>5</v>
      </c>
      <c r="P996">
        <v>1</v>
      </c>
      <c r="Q996">
        <v>0</v>
      </c>
      <c r="R996" s="4">
        <v>31.59</v>
      </c>
      <c r="S996">
        <v>0</v>
      </c>
      <c r="T996">
        <v>1</v>
      </c>
    </row>
    <row r="997" spans="1:20" ht="16.5" x14ac:dyDescent="0.3">
      <c r="A997" t="s">
        <v>1042</v>
      </c>
      <c r="B997" s="1">
        <v>45440</v>
      </c>
      <c r="C997">
        <v>2024</v>
      </c>
      <c r="D997" t="s">
        <v>649</v>
      </c>
      <c r="E997" t="s">
        <v>859</v>
      </c>
      <c r="F997" t="s">
        <v>34</v>
      </c>
      <c r="G997" t="s">
        <v>35</v>
      </c>
      <c r="H997" t="s">
        <v>48</v>
      </c>
      <c r="I997" t="s">
        <v>40</v>
      </c>
      <c r="J997" t="s">
        <v>27</v>
      </c>
      <c r="K997" t="s">
        <v>28</v>
      </c>
      <c r="L997" s="2">
        <v>83.8</v>
      </c>
      <c r="M997" s="3">
        <v>428</v>
      </c>
      <c r="N997">
        <v>2</v>
      </c>
      <c r="O997">
        <v>1</v>
      </c>
      <c r="P997">
        <v>1</v>
      </c>
      <c r="Q997">
        <v>0</v>
      </c>
      <c r="R997" s="4">
        <v>84.6</v>
      </c>
      <c r="S997">
        <v>0</v>
      </c>
      <c r="T997">
        <v>1</v>
      </c>
    </row>
    <row r="998" spans="1:20" ht="16.5" x14ac:dyDescent="0.3">
      <c r="A998" t="s">
        <v>1043</v>
      </c>
      <c r="B998" s="1">
        <v>45440</v>
      </c>
      <c r="C998">
        <v>2024</v>
      </c>
      <c r="D998" t="s">
        <v>649</v>
      </c>
      <c r="E998" t="s">
        <v>859</v>
      </c>
      <c r="F998" t="s">
        <v>38</v>
      </c>
      <c r="G998" t="s">
        <v>39</v>
      </c>
      <c r="H998" t="s">
        <v>51</v>
      </c>
      <c r="I998" t="s">
        <v>40</v>
      </c>
      <c r="J998" t="s">
        <v>41</v>
      </c>
      <c r="K998" t="s">
        <v>28</v>
      </c>
      <c r="L998" s="2">
        <v>18.899999999999999</v>
      </c>
      <c r="M998" s="3">
        <v>971</v>
      </c>
      <c r="N998">
        <v>3</v>
      </c>
      <c r="O998">
        <v>3</v>
      </c>
      <c r="P998">
        <v>1</v>
      </c>
      <c r="Q998">
        <v>0</v>
      </c>
      <c r="R998" s="4">
        <v>96.87</v>
      </c>
      <c r="S998">
        <v>0</v>
      </c>
      <c r="T998">
        <v>1</v>
      </c>
    </row>
    <row r="999" spans="1:20" ht="16.5" x14ac:dyDescent="0.3">
      <c r="A999" t="s">
        <v>1044</v>
      </c>
      <c r="B999" s="1">
        <v>45440</v>
      </c>
      <c r="C999">
        <v>2024</v>
      </c>
      <c r="D999" t="s">
        <v>649</v>
      </c>
      <c r="E999" t="s">
        <v>859</v>
      </c>
      <c r="F999" t="s">
        <v>30</v>
      </c>
      <c r="G999" t="s">
        <v>39</v>
      </c>
      <c r="H999" t="s">
        <v>48</v>
      </c>
      <c r="I999" t="s">
        <v>26</v>
      </c>
      <c r="J999" t="s">
        <v>27</v>
      </c>
      <c r="K999" t="s">
        <v>32</v>
      </c>
      <c r="L999" s="2">
        <v>14.4</v>
      </c>
      <c r="M999" s="3">
        <v>459</v>
      </c>
      <c r="N999">
        <v>4</v>
      </c>
      <c r="O999">
        <v>5</v>
      </c>
      <c r="P999">
        <v>0</v>
      </c>
      <c r="Q999">
        <v>1</v>
      </c>
      <c r="R999" s="4">
        <v>21.75</v>
      </c>
      <c r="S999">
        <v>0</v>
      </c>
      <c r="T999">
        <v>1</v>
      </c>
    </row>
    <row r="1000" spans="1:20" ht="16.5" x14ac:dyDescent="0.3">
      <c r="A1000" t="s">
        <v>1045</v>
      </c>
      <c r="B1000" s="1">
        <v>45440</v>
      </c>
      <c r="C1000">
        <v>2024</v>
      </c>
      <c r="D1000" t="s">
        <v>649</v>
      </c>
      <c r="E1000" t="s">
        <v>859</v>
      </c>
      <c r="F1000" t="s">
        <v>23</v>
      </c>
      <c r="G1000" t="s">
        <v>35</v>
      </c>
      <c r="H1000" t="s">
        <v>48</v>
      </c>
      <c r="I1000" t="s">
        <v>26</v>
      </c>
      <c r="J1000" t="s">
        <v>27</v>
      </c>
      <c r="K1000" t="s">
        <v>32</v>
      </c>
      <c r="L1000" s="2">
        <v>6.8</v>
      </c>
      <c r="M1000" s="3">
        <v>414</v>
      </c>
      <c r="N1000">
        <v>4</v>
      </c>
      <c r="O1000">
        <v>4</v>
      </c>
      <c r="P1000">
        <v>1</v>
      </c>
      <c r="Q1000">
        <v>0</v>
      </c>
      <c r="R1000" s="4">
        <v>14.72</v>
      </c>
      <c r="S1000">
        <v>0</v>
      </c>
      <c r="T1000">
        <v>1</v>
      </c>
    </row>
    <row r="1001" spans="1:20" ht="16.5" x14ac:dyDescent="0.3">
      <c r="A1001" t="s">
        <v>1046</v>
      </c>
      <c r="B1001" s="1">
        <v>45440</v>
      </c>
      <c r="C1001">
        <v>2024</v>
      </c>
      <c r="D1001" t="s">
        <v>649</v>
      </c>
      <c r="E1001" t="s">
        <v>859</v>
      </c>
      <c r="F1001" t="s">
        <v>30</v>
      </c>
      <c r="G1001" t="s">
        <v>24</v>
      </c>
      <c r="H1001" t="s">
        <v>36</v>
      </c>
      <c r="I1001" t="s">
        <v>26</v>
      </c>
      <c r="J1001" t="s">
        <v>27</v>
      </c>
      <c r="K1001" t="s">
        <v>32</v>
      </c>
      <c r="L1001" s="2">
        <v>8.4</v>
      </c>
      <c r="M1001" s="3">
        <v>258</v>
      </c>
      <c r="N1001">
        <v>3</v>
      </c>
      <c r="O1001">
        <v>5</v>
      </c>
      <c r="P1001">
        <v>0</v>
      </c>
      <c r="Q1001">
        <v>2</v>
      </c>
      <c r="R1001" s="4">
        <v>15.74</v>
      </c>
      <c r="S1001">
        <v>0</v>
      </c>
      <c r="T1001">
        <v>1</v>
      </c>
    </row>
    <row r="1002" spans="1:20" ht="16.5" x14ac:dyDescent="0.3">
      <c r="A1002" t="s">
        <v>1047</v>
      </c>
      <c r="B1002" s="1">
        <v>45440</v>
      </c>
      <c r="C1002">
        <v>2024</v>
      </c>
      <c r="D1002" t="s">
        <v>649</v>
      </c>
      <c r="E1002" t="s">
        <v>859</v>
      </c>
      <c r="F1002" t="s">
        <v>30</v>
      </c>
      <c r="G1002" t="s">
        <v>39</v>
      </c>
      <c r="H1002" t="s">
        <v>51</v>
      </c>
      <c r="I1002" t="s">
        <v>26</v>
      </c>
      <c r="J1002" t="s">
        <v>27</v>
      </c>
      <c r="K1002" t="s">
        <v>32</v>
      </c>
      <c r="L1002" s="2">
        <v>1.5</v>
      </c>
      <c r="M1002" s="3">
        <v>1282</v>
      </c>
      <c r="N1002">
        <v>5</v>
      </c>
      <c r="O1002">
        <v>6</v>
      </c>
      <c r="P1002">
        <v>0</v>
      </c>
      <c r="Q1002">
        <v>1</v>
      </c>
      <c r="R1002" s="4">
        <v>21.34</v>
      </c>
      <c r="S1002">
        <v>0</v>
      </c>
      <c r="T1002">
        <v>1</v>
      </c>
    </row>
    <row r="1003" spans="1:20" ht="16.5" x14ac:dyDescent="0.3">
      <c r="A1003" t="s">
        <v>1048</v>
      </c>
      <c r="B1003" s="1">
        <v>45440</v>
      </c>
      <c r="C1003">
        <v>2024</v>
      </c>
      <c r="D1003" t="s">
        <v>649</v>
      </c>
      <c r="E1003" t="s">
        <v>859</v>
      </c>
      <c r="F1003" t="s">
        <v>30</v>
      </c>
      <c r="G1003" t="s">
        <v>35</v>
      </c>
      <c r="H1003" t="s">
        <v>43</v>
      </c>
      <c r="I1003" t="s">
        <v>31</v>
      </c>
      <c r="J1003" t="s">
        <v>27</v>
      </c>
      <c r="K1003" t="s">
        <v>32</v>
      </c>
      <c r="L1003" s="2">
        <v>16.8</v>
      </c>
      <c r="M1003" s="3">
        <v>1451</v>
      </c>
      <c r="N1003">
        <v>7</v>
      </c>
      <c r="O1003">
        <v>7</v>
      </c>
      <c r="P1003">
        <v>1</v>
      </c>
      <c r="Q1003">
        <v>0</v>
      </c>
      <c r="R1003" s="4">
        <v>27.15</v>
      </c>
      <c r="S1003">
        <v>0</v>
      </c>
      <c r="T1003">
        <v>1</v>
      </c>
    </row>
    <row r="1004" spans="1:20" ht="16.5" x14ac:dyDescent="0.3">
      <c r="A1004" t="s">
        <v>1049</v>
      </c>
      <c r="B1004" s="1">
        <v>45440</v>
      </c>
      <c r="C1004">
        <v>2024</v>
      </c>
      <c r="D1004" t="s">
        <v>649</v>
      </c>
      <c r="E1004" t="s">
        <v>859</v>
      </c>
      <c r="F1004" t="s">
        <v>34</v>
      </c>
      <c r="G1004" t="s">
        <v>24</v>
      </c>
      <c r="H1004" t="s">
        <v>43</v>
      </c>
      <c r="I1004" t="s">
        <v>31</v>
      </c>
      <c r="J1004" t="s">
        <v>27</v>
      </c>
      <c r="K1004" t="s">
        <v>28</v>
      </c>
      <c r="L1004" s="2">
        <v>195.3</v>
      </c>
      <c r="M1004" s="3">
        <v>772</v>
      </c>
      <c r="N1004">
        <v>7</v>
      </c>
      <c r="O1004">
        <v>7</v>
      </c>
      <c r="P1004">
        <v>1</v>
      </c>
      <c r="Q1004">
        <v>0</v>
      </c>
      <c r="R1004" s="4">
        <v>60.8</v>
      </c>
      <c r="S1004">
        <v>0</v>
      </c>
      <c r="T1004">
        <v>1</v>
      </c>
    </row>
    <row r="1005" spans="1:20" ht="16.5" x14ac:dyDescent="0.3">
      <c r="A1005" t="s">
        <v>1050</v>
      </c>
      <c r="B1005" s="1">
        <v>45440</v>
      </c>
      <c r="C1005">
        <v>2024</v>
      </c>
      <c r="D1005" t="s">
        <v>649</v>
      </c>
      <c r="E1005" t="s">
        <v>859</v>
      </c>
      <c r="F1005" t="s">
        <v>38</v>
      </c>
      <c r="G1005" t="s">
        <v>39</v>
      </c>
      <c r="H1005" t="s">
        <v>36</v>
      </c>
      <c r="I1005" t="s">
        <v>26</v>
      </c>
      <c r="J1005" t="s">
        <v>27</v>
      </c>
      <c r="K1005" t="s">
        <v>32</v>
      </c>
      <c r="L1005" s="2">
        <v>12</v>
      </c>
      <c r="M1005" s="3">
        <v>235</v>
      </c>
      <c r="N1005">
        <v>3</v>
      </c>
      <c r="O1005">
        <v>2</v>
      </c>
      <c r="P1005">
        <v>1</v>
      </c>
      <c r="Q1005">
        <v>0</v>
      </c>
      <c r="R1005" s="4">
        <v>18.04</v>
      </c>
      <c r="S1005">
        <v>0</v>
      </c>
      <c r="T1005">
        <v>1</v>
      </c>
    </row>
    <row r="1006" spans="1:20" ht="16.5" x14ac:dyDescent="0.3">
      <c r="A1006" t="s">
        <v>1051</v>
      </c>
      <c r="B1006" s="1">
        <v>45440</v>
      </c>
      <c r="C1006">
        <v>2024</v>
      </c>
      <c r="D1006" t="s">
        <v>649</v>
      </c>
      <c r="E1006" t="s">
        <v>859</v>
      </c>
      <c r="F1006" t="s">
        <v>57</v>
      </c>
      <c r="G1006" t="s">
        <v>39</v>
      </c>
      <c r="H1006" t="s">
        <v>25</v>
      </c>
      <c r="I1006" t="s">
        <v>26</v>
      </c>
      <c r="J1006" t="s">
        <v>27</v>
      </c>
      <c r="K1006" t="s">
        <v>32</v>
      </c>
      <c r="L1006" s="2">
        <v>16.399999999999999</v>
      </c>
      <c r="M1006" s="3">
        <v>895</v>
      </c>
      <c r="N1006">
        <v>4</v>
      </c>
      <c r="O1006">
        <v>4</v>
      </c>
      <c r="P1006">
        <v>1</v>
      </c>
      <c r="Q1006">
        <v>0</v>
      </c>
      <c r="R1006" s="4">
        <v>26.12</v>
      </c>
      <c r="S1006">
        <v>0</v>
      </c>
      <c r="T1006">
        <v>1</v>
      </c>
    </row>
    <row r="1007" spans="1:20" ht="16.5" x14ac:dyDescent="0.3">
      <c r="A1007" t="s">
        <v>1052</v>
      </c>
      <c r="B1007" s="1">
        <v>45441</v>
      </c>
      <c r="C1007">
        <v>2024</v>
      </c>
      <c r="D1007" t="s">
        <v>649</v>
      </c>
      <c r="E1007" t="s">
        <v>859</v>
      </c>
      <c r="F1007" t="s">
        <v>38</v>
      </c>
      <c r="G1007" t="s">
        <v>35</v>
      </c>
      <c r="H1007" t="s">
        <v>48</v>
      </c>
      <c r="I1007" t="s">
        <v>26</v>
      </c>
      <c r="J1007" t="s">
        <v>27</v>
      </c>
      <c r="K1007" t="s">
        <v>28</v>
      </c>
      <c r="L1007" s="2">
        <v>205.2</v>
      </c>
      <c r="M1007" s="3">
        <v>471</v>
      </c>
      <c r="N1007">
        <v>4</v>
      </c>
      <c r="O1007">
        <v>4</v>
      </c>
      <c r="P1007">
        <v>1</v>
      </c>
      <c r="Q1007">
        <v>0</v>
      </c>
      <c r="R1007" s="4">
        <v>105.45</v>
      </c>
      <c r="S1007">
        <v>0</v>
      </c>
      <c r="T1007">
        <v>1</v>
      </c>
    </row>
    <row r="1008" spans="1:20" ht="16.5" x14ac:dyDescent="0.3">
      <c r="A1008" t="s">
        <v>1053</v>
      </c>
      <c r="B1008" s="1">
        <v>45441</v>
      </c>
      <c r="C1008">
        <v>2024</v>
      </c>
      <c r="D1008" t="s">
        <v>649</v>
      </c>
      <c r="E1008" t="s">
        <v>859</v>
      </c>
      <c r="F1008" t="s">
        <v>34</v>
      </c>
      <c r="G1008" t="s">
        <v>39</v>
      </c>
      <c r="H1008" t="s">
        <v>48</v>
      </c>
      <c r="I1008" t="s">
        <v>26</v>
      </c>
      <c r="J1008" t="s">
        <v>27</v>
      </c>
      <c r="K1008" t="s">
        <v>32</v>
      </c>
      <c r="L1008" s="2">
        <v>19.8</v>
      </c>
      <c r="M1008" s="3">
        <v>420</v>
      </c>
      <c r="N1008">
        <v>4</v>
      </c>
      <c r="O1008">
        <v>4</v>
      </c>
      <c r="P1008">
        <v>1</v>
      </c>
      <c r="Q1008">
        <v>0</v>
      </c>
      <c r="R1008" s="4">
        <v>18.16</v>
      </c>
      <c r="S1008">
        <v>0</v>
      </c>
      <c r="T1008">
        <v>1</v>
      </c>
    </row>
    <row r="1009" spans="1:20" ht="16.5" x14ac:dyDescent="0.3">
      <c r="A1009" t="s">
        <v>1054</v>
      </c>
      <c r="B1009" s="1">
        <v>45441</v>
      </c>
      <c r="C1009">
        <v>2024</v>
      </c>
      <c r="D1009" t="s">
        <v>649</v>
      </c>
      <c r="E1009" t="s">
        <v>859</v>
      </c>
      <c r="F1009" t="s">
        <v>30</v>
      </c>
      <c r="G1009" t="s">
        <v>39</v>
      </c>
      <c r="H1009" t="s">
        <v>36</v>
      </c>
      <c r="I1009" t="s">
        <v>26</v>
      </c>
      <c r="J1009" t="s">
        <v>27</v>
      </c>
      <c r="K1009" t="s">
        <v>32</v>
      </c>
      <c r="L1009" s="2">
        <v>1.6</v>
      </c>
      <c r="M1009" s="3">
        <v>225</v>
      </c>
      <c r="N1009">
        <v>3</v>
      </c>
      <c r="O1009">
        <v>3</v>
      </c>
      <c r="P1009">
        <v>1</v>
      </c>
      <c r="Q1009">
        <v>0</v>
      </c>
      <c r="R1009" s="4">
        <v>11.38</v>
      </c>
      <c r="S1009">
        <v>0</v>
      </c>
      <c r="T1009">
        <v>1</v>
      </c>
    </row>
    <row r="1010" spans="1:20" ht="16.5" x14ac:dyDescent="0.3">
      <c r="A1010" t="s">
        <v>1055</v>
      </c>
      <c r="B1010" s="1">
        <v>45441</v>
      </c>
      <c r="C1010">
        <v>2024</v>
      </c>
      <c r="D1010" t="s">
        <v>649</v>
      </c>
      <c r="E1010" t="s">
        <v>859</v>
      </c>
      <c r="F1010" t="s">
        <v>38</v>
      </c>
      <c r="G1010" t="s">
        <v>39</v>
      </c>
      <c r="H1010" t="s">
        <v>36</v>
      </c>
      <c r="I1010" t="s">
        <v>40</v>
      </c>
      <c r="J1010" t="s">
        <v>27</v>
      </c>
      <c r="K1010" t="s">
        <v>32</v>
      </c>
      <c r="L1010" s="2">
        <v>10.9</v>
      </c>
      <c r="M1010" s="3">
        <v>269</v>
      </c>
      <c r="N1010">
        <v>1</v>
      </c>
      <c r="O1010">
        <v>1</v>
      </c>
      <c r="P1010">
        <v>1</v>
      </c>
      <c r="Q1010">
        <v>0</v>
      </c>
      <c r="R1010" s="4">
        <v>36.47</v>
      </c>
      <c r="S1010">
        <v>0</v>
      </c>
      <c r="T1010">
        <v>1</v>
      </c>
    </row>
    <row r="1011" spans="1:20" ht="16.5" x14ac:dyDescent="0.3">
      <c r="A1011" t="s">
        <v>1056</v>
      </c>
      <c r="B1011" s="1">
        <v>45441</v>
      </c>
      <c r="C1011">
        <v>2024</v>
      </c>
      <c r="D1011" t="s">
        <v>649</v>
      </c>
      <c r="E1011" t="s">
        <v>859</v>
      </c>
      <c r="F1011" t="s">
        <v>57</v>
      </c>
      <c r="G1011" t="s">
        <v>35</v>
      </c>
      <c r="H1011" t="s">
        <v>25</v>
      </c>
      <c r="I1011" t="s">
        <v>40</v>
      </c>
      <c r="J1011" t="s">
        <v>41</v>
      </c>
      <c r="K1011" t="s">
        <v>28</v>
      </c>
      <c r="L1011" s="2">
        <v>139.69999999999999</v>
      </c>
      <c r="M1011" s="3">
        <v>971</v>
      </c>
      <c r="N1011">
        <v>2</v>
      </c>
      <c r="O1011">
        <v>2</v>
      </c>
      <c r="P1011">
        <v>1</v>
      </c>
      <c r="Q1011">
        <v>0</v>
      </c>
      <c r="R1011" s="4">
        <v>218.86</v>
      </c>
      <c r="S1011">
        <v>0</v>
      </c>
      <c r="T1011">
        <v>1</v>
      </c>
    </row>
    <row r="1012" spans="1:20" ht="16.5" x14ac:dyDescent="0.3">
      <c r="A1012" t="s">
        <v>1057</v>
      </c>
      <c r="B1012" s="1">
        <v>45441</v>
      </c>
      <c r="C1012">
        <v>2024</v>
      </c>
      <c r="D1012" t="s">
        <v>649</v>
      </c>
      <c r="E1012" t="s">
        <v>859</v>
      </c>
      <c r="F1012" t="s">
        <v>30</v>
      </c>
      <c r="G1012" t="s">
        <v>39</v>
      </c>
      <c r="H1012" t="s">
        <v>43</v>
      </c>
      <c r="I1012" t="s">
        <v>26</v>
      </c>
      <c r="J1012" t="s">
        <v>27</v>
      </c>
      <c r="K1012" t="s">
        <v>28</v>
      </c>
      <c r="L1012" s="2">
        <v>62.8</v>
      </c>
      <c r="M1012" s="3">
        <v>1084</v>
      </c>
      <c r="N1012">
        <v>5</v>
      </c>
      <c r="O1012">
        <v>5</v>
      </c>
      <c r="P1012">
        <v>1</v>
      </c>
      <c r="Q1012">
        <v>0</v>
      </c>
      <c r="R1012" s="4">
        <v>50.92</v>
      </c>
      <c r="S1012">
        <v>0</v>
      </c>
      <c r="T1012">
        <v>1</v>
      </c>
    </row>
    <row r="1013" spans="1:20" ht="16.5" x14ac:dyDescent="0.3">
      <c r="A1013" t="s">
        <v>1058</v>
      </c>
      <c r="B1013" s="1">
        <v>45441</v>
      </c>
      <c r="C1013">
        <v>2024</v>
      </c>
      <c r="D1013" t="s">
        <v>649</v>
      </c>
      <c r="E1013" t="s">
        <v>859</v>
      </c>
      <c r="F1013" t="s">
        <v>38</v>
      </c>
      <c r="G1013" t="s">
        <v>39</v>
      </c>
      <c r="H1013" t="s">
        <v>25</v>
      </c>
      <c r="I1013" t="s">
        <v>31</v>
      </c>
      <c r="J1013" t="s">
        <v>27</v>
      </c>
      <c r="K1013" t="s">
        <v>32</v>
      </c>
      <c r="L1013" s="2">
        <v>7.3</v>
      </c>
      <c r="M1013" s="3">
        <v>778</v>
      </c>
      <c r="N1013">
        <v>6</v>
      </c>
      <c r="O1013">
        <v>6</v>
      </c>
      <c r="P1013">
        <v>1</v>
      </c>
      <c r="Q1013">
        <v>0</v>
      </c>
      <c r="R1013" s="4">
        <v>16.25</v>
      </c>
      <c r="S1013">
        <v>0</v>
      </c>
      <c r="T1013">
        <v>1</v>
      </c>
    </row>
    <row r="1014" spans="1:20" ht="16.5" x14ac:dyDescent="0.3">
      <c r="A1014" t="s">
        <v>1059</v>
      </c>
      <c r="B1014" s="1">
        <v>45441</v>
      </c>
      <c r="C1014">
        <v>2024</v>
      </c>
      <c r="D1014" t="s">
        <v>649</v>
      </c>
      <c r="E1014" t="s">
        <v>859</v>
      </c>
      <c r="F1014" t="s">
        <v>38</v>
      </c>
      <c r="G1014" t="s">
        <v>39</v>
      </c>
      <c r="H1014" t="s">
        <v>43</v>
      </c>
      <c r="I1014" t="s">
        <v>31</v>
      </c>
      <c r="J1014" t="s">
        <v>27</v>
      </c>
      <c r="K1014" t="s">
        <v>28</v>
      </c>
      <c r="L1014" s="2">
        <v>44.6</v>
      </c>
      <c r="M1014" s="3">
        <v>1194</v>
      </c>
      <c r="N1014">
        <v>7</v>
      </c>
      <c r="O1014">
        <v>7</v>
      </c>
      <c r="P1014">
        <v>1</v>
      </c>
      <c r="Q1014">
        <v>0</v>
      </c>
      <c r="R1014" s="4">
        <v>31.69</v>
      </c>
      <c r="S1014">
        <v>0</v>
      </c>
      <c r="T1014">
        <v>1</v>
      </c>
    </row>
    <row r="1015" spans="1:20" ht="16.5" x14ac:dyDescent="0.3">
      <c r="A1015" t="s">
        <v>1060</v>
      </c>
      <c r="B1015" s="1">
        <v>45442</v>
      </c>
      <c r="C1015">
        <v>2024</v>
      </c>
      <c r="D1015" t="s">
        <v>649</v>
      </c>
      <c r="E1015" t="s">
        <v>859</v>
      </c>
      <c r="F1015" t="s">
        <v>34</v>
      </c>
      <c r="G1015" t="s">
        <v>35</v>
      </c>
      <c r="H1015" t="s">
        <v>25</v>
      </c>
      <c r="I1015" t="s">
        <v>26</v>
      </c>
      <c r="J1015" t="s">
        <v>27</v>
      </c>
      <c r="K1015" t="s">
        <v>32</v>
      </c>
      <c r="L1015" s="2">
        <v>3</v>
      </c>
      <c r="M1015" s="3">
        <v>872</v>
      </c>
      <c r="N1015">
        <v>4</v>
      </c>
      <c r="O1015">
        <v>6</v>
      </c>
      <c r="P1015">
        <v>0</v>
      </c>
      <c r="Q1015">
        <v>2</v>
      </c>
      <c r="R1015" s="4">
        <v>15.03</v>
      </c>
      <c r="S1015">
        <v>0</v>
      </c>
      <c r="T1015">
        <v>1</v>
      </c>
    </row>
    <row r="1016" spans="1:20" ht="16.5" x14ac:dyDescent="0.3">
      <c r="A1016" t="s">
        <v>1061</v>
      </c>
      <c r="B1016" s="1">
        <v>45442</v>
      </c>
      <c r="C1016">
        <v>2024</v>
      </c>
      <c r="D1016" t="s">
        <v>649</v>
      </c>
      <c r="E1016" t="s">
        <v>859</v>
      </c>
      <c r="F1016" t="s">
        <v>38</v>
      </c>
      <c r="G1016" t="s">
        <v>24</v>
      </c>
      <c r="H1016" t="s">
        <v>36</v>
      </c>
      <c r="I1016" t="s">
        <v>26</v>
      </c>
      <c r="J1016" t="s">
        <v>27</v>
      </c>
      <c r="K1016" t="s">
        <v>32</v>
      </c>
      <c r="L1016" s="2">
        <v>8.6999999999999993</v>
      </c>
      <c r="M1016" s="3">
        <v>218</v>
      </c>
      <c r="N1016">
        <v>3</v>
      </c>
      <c r="O1016">
        <v>3</v>
      </c>
      <c r="P1016">
        <v>1</v>
      </c>
      <c r="Q1016">
        <v>0</v>
      </c>
      <c r="R1016" s="4">
        <v>17.23</v>
      </c>
      <c r="S1016">
        <v>0</v>
      </c>
      <c r="T1016">
        <v>1</v>
      </c>
    </row>
    <row r="1017" spans="1:20" ht="16.5" x14ac:dyDescent="0.3">
      <c r="A1017" t="s">
        <v>1062</v>
      </c>
      <c r="B1017" s="1">
        <v>45442</v>
      </c>
      <c r="C1017">
        <v>2024</v>
      </c>
      <c r="D1017" t="s">
        <v>649</v>
      </c>
      <c r="E1017" t="s">
        <v>859</v>
      </c>
      <c r="F1017" t="s">
        <v>38</v>
      </c>
      <c r="G1017" t="s">
        <v>24</v>
      </c>
      <c r="H1017" t="s">
        <v>36</v>
      </c>
      <c r="I1017" t="s">
        <v>26</v>
      </c>
      <c r="J1017" t="s">
        <v>27</v>
      </c>
      <c r="K1017" t="s">
        <v>32</v>
      </c>
      <c r="L1017" s="2">
        <v>12.6</v>
      </c>
      <c r="M1017" s="3">
        <v>266</v>
      </c>
      <c r="N1017">
        <v>3</v>
      </c>
      <c r="O1017">
        <v>3</v>
      </c>
      <c r="P1017">
        <v>1</v>
      </c>
      <c r="Q1017">
        <v>0</v>
      </c>
      <c r="R1017" s="4">
        <v>19.39</v>
      </c>
      <c r="S1017">
        <v>0</v>
      </c>
      <c r="T1017">
        <v>1</v>
      </c>
    </row>
    <row r="1018" spans="1:20" ht="16.5" x14ac:dyDescent="0.3">
      <c r="A1018" t="s">
        <v>1063</v>
      </c>
      <c r="B1018" s="1">
        <v>45442</v>
      </c>
      <c r="C1018">
        <v>2024</v>
      </c>
      <c r="D1018" t="s">
        <v>649</v>
      </c>
      <c r="E1018" t="s">
        <v>859</v>
      </c>
      <c r="F1018" t="s">
        <v>23</v>
      </c>
      <c r="G1018" t="s">
        <v>39</v>
      </c>
      <c r="H1018" t="s">
        <v>48</v>
      </c>
      <c r="I1018" t="s">
        <v>31</v>
      </c>
      <c r="J1018" t="s">
        <v>27</v>
      </c>
      <c r="K1018" t="s">
        <v>32</v>
      </c>
      <c r="L1018" s="2">
        <v>12.9</v>
      </c>
      <c r="M1018" s="3">
        <v>368</v>
      </c>
      <c r="N1018">
        <v>6</v>
      </c>
      <c r="O1018">
        <v>6</v>
      </c>
      <c r="P1018">
        <v>1</v>
      </c>
      <c r="Q1018">
        <v>0</v>
      </c>
      <c r="R1018" s="4">
        <v>14.79</v>
      </c>
      <c r="S1018">
        <v>0</v>
      </c>
      <c r="T1018">
        <v>1</v>
      </c>
    </row>
    <row r="1019" spans="1:20" ht="16.5" x14ac:dyDescent="0.3">
      <c r="A1019" t="s">
        <v>1064</v>
      </c>
      <c r="B1019" s="1">
        <v>45442</v>
      </c>
      <c r="C1019">
        <v>2024</v>
      </c>
      <c r="D1019" t="s">
        <v>649</v>
      </c>
      <c r="E1019" t="s">
        <v>859</v>
      </c>
      <c r="F1019" t="s">
        <v>38</v>
      </c>
      <c r="G1019" t="s">
        <v>39</v>
      </c>
      <c r="H1019" t="s">
        <v>43</v>
      </c>
      <c r="I1019" t="s">
        <v>26</v>
      </c>
      <c r="J1019" t="s">
        <v>27</v>
      </c>
      <c r="K1019" t="s">
        <v>28</v>
      </c>
      <c r="L1019" s="2">
        <v>162.1</v>
      </c>
      <c r="M1019" s="3">
        <v>1034</v>
      </c>
      <c r="N1019">
        <v>5</v>
      </c>
      <c r="O1019">
        <v>5</v>
      </c>
      <c r="P1019">
        <v>1</v>
      </c>
      <c r="Q1019">
        <v>0</v>
      </c>
      <c r="R1019" s="4">
        <v>90.11</v>
      </c>
      <c r="S1019">
        <v>0</v>
      </c>
      <c r="T1019">
        <v>1</v>
      </c>
    </row>
    <row r="1020" spans="1:20" ht="16.5" x14ac:dyDescent="0.3">
      <c r="A1020" t="s">
        <v>1065</v>
      </c>
      <c r="B1020" s="1">
        <v>45442</v>
      </c>
      <c r="C1020">
        <v>2024</v>
      </c>
      <c r="D1020" t="s">
        <v>649</v>
      </c>
      <c r="E1020" t="s">
        <v>859</v>
      </c>
      <c r="F1020" t="s">
        <v>57</v>
      </c>
      <c r="G1020" t="s">
        <v>35</v>
      </c>
      <c r="H1020" t="s">
        <v>25</v>
      </c>
      <c r="I1020" t="s">
        <v>26</v>
      </c>
      <c r="J1020" t="s">
        <v>27</v>
      </c>
      <c r="K1020" t="s">
        <v>32</v>
      </c>
      <c r="L1020" s="2">
        <v>3.8</v>
      </c>
      <c r="M1020" s="3">
        <v>883</v>
      </c>
      <c r="N1020">
        <v>4</v>
      </c>
      <c r="O1020">
        <v>4</v>
      </c>
      <c r="P1020">
        <v>1</v>
      </c>
      <c r="Q1020">
        <v>0</v>
      </c>
      <c r="R1020" s="4">
        <v>18.16</v>
      </c>
      <c r="S1020">
        <v>0</v>
      </c>
      <c r="T1020">
        <v>1</v>
      </c>
    </row>
    <row r="1021" spans="1:20" ht="16.5" x14ac:dyDescent="0.3">
      <c r="A1021" t="s">
        <v>1066</v>
      </c>
      <c r="B1021" s="1">
        <v>45442</v>
      </c>
      <c r="C1021">
        <v>2024</v>
      </c>
      <c r="D1021" t="s">
        <v>649</v>
      </c>
      <c r="E1021" t="s">
        <v>859</v>
      </c>
      <c r="F1021" t="s">
        <v>23</v>
      </c>
      <c r="G1021" t="s">
        <v>24</v>
      </c>
      <c r="H1021" t="s">
        <v>36</v>
      </c>
      <c r="I1021" t="s">
        <v>26</v>
      </c>
      <c r="J1021" t="s">
        <v>27</v>
      </c>
      <c r="K1021" t="s">
        <v>32</v>
      </c>
      <c r="L1021" s="2">
        <v>1.4</v>
      </c>
      <c r="M1021" s="3">
        <v>269</v>
      </c>
      <c r="N1021">
        <v>3</v>
      </c>
      <c r="O1021">
        <v>3</v>
      </c>
      <c r="P1021">
        <v>1</v>
      </c>
      <c r="Q1021">
        <v>0</v>
      </c>
      <c r="R1021" s="4">
        <v>9.06</v>
      </c>
      <c r="S1021">
        <v>0</v>
      </c>
      <c r="T1021">
        <v>1</v>
      </c>
    </row>
    <row r="1022" spans="1:20" ht="16.5" x14ac:dyDescent="0.3">
      <c r="A1022" t="s">
        <v>1067</v>
      </c>
      <c r="B1022" s="1">
        <v>45442</v>
      </c>
      <c r="C1022">
        <v>2024</v>
      </c>
      <c r="D1022" t="s">
        <v>649</v>
      </c>
      <c r="E1022" t="s">
        <v>859</v>
      </c>
      <c r="F1022" t="s">
        <v>30</v>
      </c>
      <c r="G1022" t="s">
        <v>35</v>
      </c>
      <c r="H1022" t="s">
        <v>36</v>
      </c>
      <c r="I1022" t="s">
        <v>31</v>
      </c>
      <c r="J1022" t="s">
        <v>27</v>
      </c>
      <c r="K1022" t="s">
        <v>28</v>
      </c>
      <c r="L1022" s="2">
        <v>219.7</v>
      </c>
      <c r="M1022" s="3">
        <v>281</v>
      </c>
      <c r="N1022">
        <v>5</v>
      </c>
      <c r="O1022">
        <v>4</v>
      </c>
      <c r="P1022">
        <v>1</v>
      </c>
      <c r="Q1022">
        <v>0</v>
      </c>
      <c r="R1022" s="4">
        <v>75.930000000000007</v>
      </c>
      <c r="S1022">
        <v>0</v>
      </c>
      <c r="T1022">
        <v>1</v>
      </c>
    </row>
    <row r="1023" spans="1:20" ht="16.5" x14ac:dyDescent="0.3">
      <c r="A1023" t="s">
        <v>1068</v>
      </c>
      <c r="B1023" s="1">
        <v>45442</v>
      </c>
      <c r="C1023">
        <v>2024</v>
      </c>
      <c r="D1023" t="s">
        <v>649</v>
      </c>
      <c r="E1023" t="s">
        <v>859</v>
      </c>
      <c r="F1023" t="s">
        <v>57</v>
      </c>
      <c r="G1023" t="s">
        <v>35</v>
      </c>
      <c r="H1023" t="s">
        <v>43</v>
      </c>
      <c r="I1023" t="s">
        <v>26</v>
      </c>
      <c r="J1023" t="s">
        <v>27</v>
      </c>
      <c r="K1023" t="s">
        <v>32</v>
      </c>
      <c r="L1023" s="2">
        <v>1.3</v>
      </c>
      <c r="M1023" s="3">
        <v>1210</v>
      </c>
      <c r="N1023">
        <v>5</v>
      </c>
      <c r="O1023">
        <v>5</v>
      </c>
      <c r="P1023">
        <v>1</v>
      </c>
      <c r="Q1023">
        <v>0</v>
      </c>
      <c r="R1023" s="4">
        <v>21.43</v>
      </c>
      <c r="S1023">
        <v>0</v>
      </c>
      <c r="T1023">
        <v>1</v>
      </c>
    </row>
    <row r="1024" spans="1:20" ht="16.5" x14ac:dyDescent="0.3">
      <c r="A1024" t="s">
        <v>1069</v>
      </c>
      <c r="B1024" s="1">
        <v>45442</v>
      </c>
      <c r="C1024">
        <v>2024</v>
      </c>
      <c r="D1024" t="s">
        <v>649</v>
      </c>
      <c r="E1024" t="s">
        <v>859</v>
      </c>
      <c r="F1024" t="s">
        <v>57</v>
      </c>
      <c r="G1024" t="s">
        <v>39</v>
      </c>
      <c r="H1024" t="s">
        <v>36</v>
      </c>
      <c r="I1024" t="s">
        <v>40</v>
      </c>
      <c r="J1024" t="s">
        <v>27</v>
      </c>
      <c r="K1024" t="s">
        <v>28</v>
      </c>
      <c r="L1024" s="2">
        <v>18.5</v>
      </c>
      <c r="M1024" s="3">
        <v>268</v>
      </c>
      <c r="N1024">
        <v>1</v>
      </c>
      <c r="O1024">
        <v>1</v>
      </c>
      <c r="P1024">
        <v>1</v>
      </c>
      <c r="Q1024">
        <v>0</v>
      </c>
      <c r="R1024" s="4">
        <v>38.64</v>
      </c>
      <c r="S1024">
        <v>0</v>
      </c>
      <c r="T1024">
        <v>1</v>
      </c>
    </row>
    <row r="1025" spans="1:20" ht="16.5" x14ac:dyDescent="0.3">
      <c r="A1025" t="s">
        <v>1070</v>
      </c>
      <c r="B1025" s="1">
        <v>45442</v>
      </c>
      <c r="C1025">
        <v>2024</v>
      </c>
      <c r="D1025" t="s">
        <v>649</v>
      </c>
      <c r="E1025" t="s">
        <v>859</v>
      </c>
      <c r="F1025" t="s">
        <v>30</v>
      </c>
      <c r="G1025" t="s">
        <v>35</v>
      </c>
      <c r="H1025" t="s">
        <v>43</v>
      </c>
      <c r="I1025" t="s">
        <v>26</v>
      </c>
      <c r="J1025" t="s">
        <v>27</v>
      </c>
      <c r="K1025" t="s">
        <v>32</v>
      </c>
      <c r="L1025" s="2">
        <v>2.2999999999999998</v>
      </c>
      <c r="M1025" s="3">
        <v>1028</v>
      </c>
      <c r="N1025">
        <v>5</v>
      </c>
      <c r="O1025">
        <v>5</v>
      </c>
      <c r="P1025">
        <v>1</v>
      </c>
      <c r="Q1025">
        <v>0</v>
      </c>
      <c r="R1025" s="4">
        <v>22.87</v>
      </c>
      <c r="S1025">
        <v>0</v>
      </c>
      <c r="T1025">
        <v>1</v>
      </c>
    </row>
    <row r="1026" spans="1:20" ht="16.5" x14ac:dyDescent="0.3">
      <c r="A1026" t="s">
        <v>1071</v>
      </c>
      <c r="B1026" s="1">
        <v>45443</v>
      </c>
      <c r="C1026">
        <v>2024</v>
      </c>
      <c r="D1026" t="s">
        <v>649</v>
      </c>
      <c r="E1026" t="s">
        <v>859</v>
      </c>
      <c r="F1026" t="s">
        <v>23</v>
      </c>
      <c r="G1026" t="s">
        <v>35</v>
      </c>
      <c r="H1026" t="s">
        <v>25</v>
      </c>
      <c r="I1026" t="s">
        <v>31</v>
      </c>
      <c r="J1026" t="s">
        <v>27</v>
      </c>
      <c r="K1026" t="s">
        <v>28</v>
      </c>
      <c r="L1026" s="2">
        <v>163.9</v>
      </c>
      <c r="M1026" s="3">
        <v>926</v>
      </c>
      <c r="N1026">
        <v>6</v>
      </c>
      <c r="O1026">
        <v>6</v>
      </c>
      <c r="P1026">
        <v>1</v>
      </c>
      <c r="Q1026">
        <v>0</v>
      </c>
      <c r="R1026" s="4">
        <v>57.7</v>
      </c>
      <c r="S1026">
        <v>0</v>
      </c>
      <c r="T1026">
        <v>1</v>
      </c>
    </row>
    <row r="1027" spans="1:20" ht="16.5" x14ac:dyDescent="0.3">
      <c r="A1027" t="s">
        <v>1072</v>
      </c>
      <c r="B1027" s="1">
        <v>45443</v>
      </c>
      <c r="C1027">
        <v>2024</v>
      </c>
      <c r="D1027" t="s">
        <v>649</v>
      </c>
      <c r="E1027" t="s">
        <v>859</v>
      </c>
      <c r="F1027" t="s">
        <v>30</v>
      </c>
      <c r="G1027" t="s">
        <v>39</v>
      </c>
      <c r="H1027" t="s">
        <v>48</v>
      </c>
      <c r="I1027" t="s">
        <v>26</v>
      </c>
      <c r="J1027" t="s">
        <v>27</v>
      </c>
      <c r="K1027" t="s">
        <v>28</v>
      </c>
      <c r="L1027" s="2">
        <v>145.6</v>
      </c>
      <c r="M1027" s="3">
        <v>486</v>
      </c>
      <c r="N1027">
        <v>4</v>
      </c>
      <c r="O1027">
        <v>4</v>
      </c>
      <c r="P1027">
        <v>1</v>
      </c>
      <c r="Q1027">
        <v>0</v>
      </c>
      <c r="R1027" s="4">
        <v>71.94</v>
      </c>
      <c r="S1027">
        <v>0</v>
      </c>
      <c r="T1027">
        <v>1</v>
      </c>
    </row>
    <row r="1028" spans="1:20" ht="16.5" x14ac:dyDescent="0.3">
      <c r="A1028" t="s">
        <v>1073</v>
      </c>
      <c r="B1028" s="1">
        <v>45443</v>
      </c>
      <c r="C1028">
        <v>2024</v>
      </c>
      <c r="D1028" t="s">
        <v>649</v>
      </c>
      <c r="E1028" t="s">
        <v>859</v>
      </c>
      <c r="F1028" t="s">
        <v>30</v>
      </c>
      <c r="G1028" t="s">
        <v>39</v>
      </c>
      <c r="H1028" t="s">
        <v>48</v>
      </c>
      <c r="I1028" t="s">
        <v>26</v>
      </c>
      <c r="J1028" t="s">
        <v>27</v>
      </c>
      <c r="K1028" t="s">
        <v>32</v>
      </c>
      <c r="L1028" s="2">
        <v>11.3</v>
      </c>
      <c r="M1028" s="3">
        <v>521</v>
      </c>
      <c r="N1028">
        <v>4</v>
      </c>
      <c r="O1028">
        <v>4</v>
      </c>
      <c r="P1028">
        <v>1</v>
      </c>
      <c r="Q1028">
        <v>0</v>
      </c>
      <c r="R1028" s="4">
        <v>20.95</v>
      </c>
      <c r="S1028">
        <v>0</v>
      </c>
      <c r="T1028">
        <v>1</v>
      </c>
    </row>
    <row r="1029" spans="1:20" ht="16.5" x14ac:dyDescent="0.3">
      <c r="A1029" t="s">
        <v>1074</v>
      </c>
      <c r="B1029" s="1">
        <v>45443</v>
      </c>
      <c r="C1029">
        <v>2024</v>
      </c>
      <c r="D1029" t="s">
        <v>649</v>
      </c>
      <c r="E1029" t="s">
        <v>859</v>
      </c>
      <c r="F1029" t="s">
        <v>30</v>
      </c>
      <c r="G1029" t="s">
        <v>35</v>
      </c>
      <c r="H1029" t="s">
        <v>25</v>
      </c>
      <c r="I1029" t="s">
        <v>26</v>
      </c>
      <c r="J1029" t="s">
        <v>27</v>
      </c>
      <c r="K1029" t="s">
        <v>28</v>
      </c>
      <c r="L1029" s="2">
        <v>106.3</v>
      </c>
      <c r="M1029" s="3">
        <v>950</v>
      </c>
      <c r="N1029">
        <v>4</v>
      </c>
      <c r="O1029">
        <v>7</v>
      </c>
      <c r="P1029">
        <v>0</v>
      </c>
      <c r="Q1029">
        <v>3</v>
      </c>
      <c r="R1029" s="4">
        <v>66.27</v>
      </c>
      <c r="S1029">
        <v>0</v>
      </c>
      <c r="T1029">
        <v>1</v>
      </c>
    </row>
    <row r="1030" spans="1:20" ht="16.5" x14ac:dyDescent="0.3">
      <c r="A1030" t="s">
        <v>1075</v>
      </c>
      <c r="B1030" s="1">
        <v>45443</v>
      </c>
      <c r="C1030">
        <v>2024</v>
      </c>
      <c r="D1030" t="s">
        <v>649</v>
      </c>
      <c r="E1030" t="s">
        <v>859</v>
      </c>
      <c r="F1030" t="s">
        <v>23</v>
      </c>
      <c r="G1030" t="s">
        <v>35</v>
      </c>
      <c r="H1030" t="s">
        <v>25</v>
      </c>
      <c r="I1030" t="s">
        <v>26</v>
      </c>
      <c r="J1030" t="s">
        <v>27</v>
      </c>
      <c r="K1030" t="s">
        <v>28</v>
      </c>
      <c r="L1030" s="2">
        <v>61.9</v>
      </c>
      <c r="M1030" s="3">
        <v>1169</v>
      </c>
      <c r="N1030">
        <v>4</v>
      </c>
      <c r="O1030">
        <v>3</v>
      </c>
      <c r="P1030">
        <v>1</v>
      </c>
      <c r="Q1030">
        <v>0</v>
      </c>
      <c r="R1030" s="4">
        <v>47.87</v>
      </c>
      <c r="S1030">
        <v>0</v>
      </c>
      <c r="T1030">
        <v>1</v>
      </c>
    </row>
    <row r="1031" spans="1:20" ht="16.5" x14ac:dyDescent="0.3">
      <c r="A1031" t="s">
        <v>1076</v>
      </c>
      <c r="B1031" s="1">
        <v>45443</v>
      </c>
      <c r="C1031">
        <v>2024</v>
      </c>
      <c r="D1031" t="s">
        <v>649</v>
      </c>
      <c r="E1031" t="s">
        <v>859</v>
      </c>
      <c r="F1031" t="s">
        <v>34</v>
      </c>
      <c r="G1031" t="s">
        <v>24</v>
      </c>
      <c r="H1031" t="s">
        <v>43</v>
      </c>
      <c r="I1031" t="s">
        <v>26</v>
      </c>
      <c r="J1031" t="s">
        <v>27</v>
      </c>
      <c r="K1031" t="s">
        <v>28</v>
      </c>
      <c r="L1031" s="2">
        <v>135</v>
      </c>
      <c r="M1031" s="3">
        <v>1206</v>
      </c>
      <c r="N1031">
        <v>5</v>
      </c>
      <c r="O1031">
        <v>4</v>
      </c>
      <c r="P1031">
        <v>1</v>
      </c>
      <c r="Q1031">
        <v>0</v>
      </c>
      <c r="R1031" s="4">
        <v>74.25</v>
      </c>
      <c r="S1031">
        <v>0</v>
      </c>
      <c r="T1031">
        <v>1</v>
      </c>
    </row>
    <row r="1032" spans="1:20" ht="16.5" x14ac:dyDescent="0.3">
      <c r="A1032" t="s">
        <v>1077</v>
      </c>
      <c r="B1032" s="1">
        <v>45443</v>
      </c>
      <c r="C1032">
        <v>2024</v>
      </c>
      <c r="D1032" t="s">
        <v>649</v>
      </c>
      <c r="E1032" t="s">
        <v>859</v>
      </c>
      <c r="F1032" t="s">
        <v>23</v>
      </c>
      <c r="G1032" t="s">
        <v>39</v>
      </c>
      <c r="H1032" t="s">
        <v>48</v>
      </c>
      <c r="I1032" t="s">
        <v>31</v>
      </c>
      <c r="J1032" t="s">
        <v>27</v>
      </c>
      <c r="K1032" t="s">
        <v>32</v>
      </c>
      <c r="L1032" s="2">
        <v>6.5</v>
      </c>
      <c r="M1032" s="3">
        <v>443</v>
      </c>
      <c r="N1032">
        <v>6</v>
      </c>
      <c r="O1032">
        <v>10</v>
      </c>
      <c r="P1032">
        <v>0</v>
      </c>
      <c r="Q1032">
        <v>4</v>
      </c>
      <c r="R1032" s="4">
        <v>10.94</v>
      </c>
      <c r="S1032">
        <v>0</v>
      </c>
      <c r="T1032">
        <v>1</v>
      </c>
    </row>
    <row r="1033" spans="1:20" ht="16.5" x14ac:dyDescent="0.3">
      <c r="A1033" t="s">
        <v>1078</v>
      </c>
      <c r="B1033" s="1">
        <v>45444</v>
      </c>
      <c r="C1033">
        <v>2024</v>
      </c>
      <c r="D1033" t="s">
        <v>649</v>
      </c>
      <c r="E1033" t="s">
        <v>1079</v>
      </c>
      <c r="F1033" t="s">
        <v>34</v>
      </c>
      <c r="G1033" t="s">
        <v>24</v>
      </c>
      <c r="H1033" t="s">
        <v>36</v>
      </c>
      <c r="I1033" t="s">
        <v>26</v>
      </c>
      <c r="J1033" t="s">
        <v>27</v>
      </c>
      <c r="K1033" t="s">
        <v>28</v>
      </c>
      <c r="L1033" s="2">
        <v>248</v>
      </c>
      <c r="M1033" s="3">
        <v>281</v>
      </c>
      <c r="N1033">
        <v>3</v>
      </c>
      <c r="O1033">
        <v>3</v>
      </c>
      <c r="P1033">
        <v>1</v>
      </c>
      <c r="Q1033">
        <v>0</v>
      </c>
      <c r="R1033" s="4">
        <v>90.63</v>
      </c>
      <c r="S1033">
        <v>0</v>
      </c>
      <c r="T1033">
        <v>1</v>
      </c>
    </row>
    <row r="1034" spans="1:20" ht="16.5" x14ac:dyDescent="0.3">
      <c r="A1034" t="s">
        <v>1080</v>
      </c>
      <c r="B1034" s="1">
        <v>45445</v>
      </c>
      <c r="C1034">
        <v>2024</v>
      </c>
      <c r="D1034" t="s">
        <v>649</v>
      </c>
      <c r="E1034" t="s">
        <v>1079</v>
      </c>
      <c r="F1034" t="s">
        <v>57</v>
      </c>
      <c r="G1034" t="s">
        <v>35</v>
      </c>
      <c r="H1034" t="s">
        <v>25</v>
      </c>
      <c r="I1034" t="s">
        <v>40</v>
      </c>
      <c r="J1034" t="s">
        <v>41</v>
      </c>
      <c r="K1034" t="s">
        <v>32</v>
      </c>
      <c r="L1034" s="2">
        <v>10</v>
      </c>
      <c r="M1034" s="3">
        <v>948</v>
      </c>
      <c r="N1034">
        <v>2</v>
      </c>
      <c r="O1034">
        <v>2</v>
      </c>
      <c r="P1034">
        <v>1</v>
      </c>
      <c r="Q1034">
        <v>0</v>
      </c>
      <c r="R1034" s="4">
        <v>71.599999999999994</v>
      </c>
      <c r="S1034">
        <v>0</v>
      </c>
      <c r="T1034">
        <v>1</v>
      </c>
    </row>
    <row r="1035" spans="1:20" ht="16.5" x14ac:dyDescent="0.3">
      <c r="A1035" t="s">
        <v>1081</v>
      </c>
      <c r="B1035" s="1">
        <v>45445</v>
      </c>
      <c r="C1035">
        <v>2024</v>
      </c>
      <c r="D1035" t="s">
        <v>649</v>
      </c>
      <c r="E1035" t="s">
        <v>1079</v>
      </c>
      <c r="F1035" t="s">
        <v>34</v>
      </c>
      <c r="G1035" t="s">
        <v>39</v>
      </c>
      <c r="H1035" t="s">
        <v>25</v>
      </c>
      <c r="I1035" t="s">
        <v>31</v>
      </c>
      <c r="J1035" t="s">
        <v>27</v>
      </c>
      <c r="K1035" t="s">
        <v>28</v>
      </c>
      <c r="L1035" s="2">
        <v>98.6</v>
      </c>
      <c r="M1035" s="3">
        <v>712</v>
      </c>
      <c r="N1035">
        <v>6</v>
      </c>
      <c r="O1035">
        <v>6</v>
      </c>
      <c r="P1035">
        <v>1</v>
      </c>
      <c r="Q1035">
        <v>0</v>
      </c>
      <c r="R1035" s="4">
        <v>37.74</v>
      </c>
      <c r="S1035">
        <v>0</v>
      </c>
      <c r="T1035">
        <v>1</v>
      </c>
    </row>
    <row r="1036" spans="1:20" ht="16.5" x14ac:dyDescent="0.3">
      <c r="A1036" t="s">
        <v>1082</v>
      </c>
      <c r="B1036" s="1">
        <v>45446</v>
      </c>
      <c r="C1036">
        <v>2024</v>
      </c>
      <c r="D1036" t="s">
        <v>649</v>
      </c>
      <c r="E1036" t="s">
        <v>1079</v>
      </c>
      <c r="F1036" t="s">
        <v>30</v>
      </c>
      <c r="G1036" t="s">
        <v>39</v>
      </c>
      <c r="H1036" t="s">
        <v>48</v>
      </c>
      <c r="I1036" t="s">
        <v>31</v>
      </c>
      <c r="J1036" t="s">
        <v>27</v>
      </c>
      <c r="K1036" t="s">
        <v>28</v>
      </c>
      <c r="L1036" s="2">
        <v>37.5</v>
      </c>
      <c r="M1036" s="3">
        <v>538</v>
      </c>
      <c r="N1036">
        <v>6</v>
      </c>
      <c r="O1036">
        <v>6</v>
      </c>
      <c r="P1036">
        <v>1</v>
      </c>
      <c r="Q1036">
        <v>0</v>
      </c>
      <c r="R1036" s="4">
        <v>22.62</v>
      </c>
      <c r="S1036">
        <v>0</v>
      </c>
      <c r="T1036">
        <v>1</v>
      </c>
    </row>
    <row r="1037" spans="1:20" ht="16.5" x14ac:dyDescent="0.3">
      <c r="A1037" t="s">
        <v>1083</v>
      </c>
      <c r="B1037" s="1">
        <v>45446</v>
      </c>
      <c r="C1037">
        <v>2024</v>
      </c>
      <c r="D1037" t="s">
        <v>649</v>
      </c>
      <c r="E1037" t="s">
        <v>1079</v>
      </c>
      <c r="F1037" t="s">
        <v>30</v>
      </c>
      <c r="G1037" t="s">
        <v>35</v>
      </c>
      <c r="H1037" t="s">
        <v>48</v>
      </c>
      <c r="I1037" t="s">
        <v>26</v>
      </c>
      <c r="J1037" t="s">
        <v>27</v>
      </c>
      <c r="K1037" t="s">
        <v>32</v>
      </c>
      <c r="L1037" s="2">
        <v>20.9</v>
      </c>
      <c r="M1037" s="3">
        <v>436</v>
      </c>
      <c r="N1037">
        <v>4</v>
      </c>
      <c r="O1037">
        <v>4</v>
      </c>
      <c r="P1037">
        <v>1</v>
      </c>
      <c r="Q1037">
        <v>0</v>
      </c>
      <c r="R1037" s="4">
        <v>26.98</v>
      </c>
      <c r="S1037">
        <v>0</v>
      </c>
      <c r="T1037">
        <v>1</v>
      </c>
    </row>
    <row r="1038" spans="1:20" ht="16.5" x14ac:dyDescent="0.3">
      <c r="A1038" t="s">
        <v>1084</v>
      </c>
      <c r="B1038" s="1">
        <v>45446</v>
      </c>
      <c r="C1038">
        <v>2024</v>
      </c>
      <c r="D1038" t="s">
        <v>649</v>
      </c>
      <c r="E1038" t="s">
        <v>1079</v>
      </c>
      <c r="F1038" t="s">
        <v>23</v>
      </c>
      <c r="G1038" t="s">
        <v>35</v>
      </c>
      <c r="H1038" t="s">
        <v>48</v>
      </c>
      <c r="I1038" t="s">
        <v>31</v>
      </c>
      <c r="J1038" t="s">
        <v>27</v>
      </c>
      <c r="K1038" t="s">
        <v>32</v>
      </c>
      <c r="L1038" s="2">
        <v>6.1</v>
      </c>
      <c r="M1038" s="3">
        <v>432</v>
      </c>
      <c r="N1038">
        <v>6</v>
      </c>
      <c r="O1038">
        <v>5</v>
      </c>
      <c r="P1038">
        <v>1</v>
      </c>
      <c r="Q1038">
        <v>0</v>
      </c>
      <c r="R1038" s="4">
        <v>11.23</v>
      </c>
      <c r="S1038">
        <v>0</v>
      </c>
      <c r="T1038">
        <v>1</v>
      </c>
    </row>
    <row r="1039" spans="1:20" ht="16.5" x14ac:dyDescent="0.3">
      <c r="A1039" t="s">
        <v>1085</v>
      </c>
      <c r="B1039" s="1">
        <v>45446</v>
      </c>
      <c r="C1039">
        <v>2024</v>
      </c>
      <c r="D1039" t="s">
        <v>649</v>
      </c>
      <c r="E1039" t="s">
        <v>1079</v>
      </c>
      <c r="F1039" t="s">
        <v>38</v>
      </c>
      <c r="G1039" t="s">
        <v>39</v>
      </c>
      <c r="H1039" t="s">
        <v>25</v>
      </c>
      <c r="I1039" t="s">
        <v>40</v>
      </c>
      <c r="J1039" t="s">
        <v>41</v>
      </c>
      <c r="K1039" t="s">
        <v>32</v>
      </c>
      <c r="L1039" s="2">
        <v>3.2</v>
      </c>
      <c r="M1039" s="3">
        <v>844</v>
      </c>
      <c r="N1039">
        <v>2</v>
      </c>
      <c r="O1039">
        <v>2</v>
      </c>
      <c r="P1039">
        <v>1</v>
      </c>
      <c r="Q1039">
        <v>0</v>
      </c>
      <c r="R1039" s="4">
        <v>68.44</v>
      </c>
      <c r="S1039">
        <v>0</v>
      </c>
      <c r="T1039">
        <v>1</v>
      </c>
    </row>
    <row r="1040" spans="1:20" ht="16.5" x14ac:dyDescent="0.3">
      <c r="A1040" t="s">
        <v>1086</v>
      </c>
      <c r="B1040" s="1">
        <v>45446</v>
      </c>
      <c r="C1040">
        <v>2024</v>
      </c>
      <c r="D1040" t="s">
        <v>649</v>
      </c>
      <c r="E1040" t="s">
        <v>1079</v>
      </c>
      <c r="F1040" t="s">
        <v>38</v>
      </c>
      <c r="G1040" t="s">
        <v>24</v>
      </c>
      <c r="H1040" t="s">
        <v>51</v>
      </c>
      <c r="I1040" t="s">
        <v>26</v>
      </c>
      <c r="J1040" t="s">
        <v>27</v>
      </c>
      <c r="K1040" t="s">
        <v>32</v>
      </c>
      <c r="L1040" s="2">
        <v>11.8</v>
      </c>
      <c r="M1040" s="3">
        <v>1139</v>
      </c>
      <c r="N1040">
        <v>5</v>
      </c>
      <c r="O1040">
        <v>5</v>
      </c>
      <c r="P1040">
        <v>1</v>
      </c>
      <c r="Q1040">
        <v>0</v>
      </c>
      <c r="R1040" s="4">
        <v>31.23</v>
      </c>
      <c r="S1040">
        <v>0</v>
      </c>
      <c r="T1040">
        <v>1</v>
      </c>
    </row>
    <row r="1041" spans="1:20" ht="16.5" x14ac:dyDescent="0.3">
      <c r="A1041" t="s">
        <v>1087</v>
      </c>
      <c r="B1041" s="1">
        <v>45446</v>
      </c>
      <c r="C1041">
        <v>2024</v>
      </c>
      <c r="D1041" t="s">
        <v>649</v>
      </c>
      <c r="E1041" t="s">
        <v>1079</v>
      </c>
      <c r="F1041" t="s">
        <v>34</v>
      </c>
      <c r="G1041" t="s">
        <v>39</v>
      </c>
      <c r="H1041" t="s">
        <v>25</v>
      </c>
      <c r="I1041" t="s">
        <v>40</v>
      </c>
      <c r="J1041" t="s">
        <v>41</v>
      </c>
      <c r="K1041" t="s">
        <v>28</v>
      </c>
      <c r="L1041" s="2">
        <v>123.8</v>
      </c>
      <c r="M1041" s="3">
        <v>1108</v>
      </c>
      <c r="N1041">
        <v>2</v>
      </c>
      <c r="O1041">
        <v>1</v>
      </c>
      <c r="P1041">
        <v>1</v>
      </c>
      <c r="Q1041">
        <v>0</v>
      </c>
      <c r="R1041" s="4">
        <v>201.31</v>
      </c>
      <c r="S1041">
        <v>0</v>
      </c>
      <c r="T1041">
        <v>1</v>
      </c>
    </row>
    <row r="1042" spans="1:20" ht="16.5" x14ac:dyDescent="0.3">
      <c r="A1042" t="s">
        <v>1088</v>
      </c>
      <c r="B1042" s="1">
        <v>45446</v>
      </c>
      <c r="C1042">
        <v>2024</v>
      </c>
      <c r="D1042" t="s">
        <v>649</v>
      </c>
      <c r="E1042" t="s">
        <v>1079</v>
      </c>
      <c r="F1042" t="s">
        <v>34</v>
      </c>
      <c r="G1042" t="s">
        <v>35</v>
      </c>
      <c r="H1042" t="s">
        <v>36</v>
      </c>
      <c r="I1042" t="s">
        <v>31</v>
      </c>
      <c r="J1042" t="s">
        <v>27</v>
      </c>
      <c r="K1042" t="s">
        <v>32</v>
      </c>
      <c r="L1042" s="2">
        <v>13.5</v>
      </c>
      <c r="M1042" s="3">
        <v>264</v>
      </c>
      <c r="N1042">
        <v>5</v>
      </c>
      <c r="O1042">
        <v>5</v>
      </c>
      <c r="P1042">
        <v>1</v>
      </c>
      <c r="Q1042">
        <v>0</v>
      </c>
      <c r="R1042" s="4">
        <v>11.62</v>
      </c>
      <c r="S1042">
        <v>0</v>
      </c>
      <c r="T1042">
        <v>1</v>
      </c>
    </row>
    <row r="1043" spans="1:20" ht="16.5" x14ac:dyDescent="0.3">
      <c r="A1043" t="s">
        <v>1089</v>
      </c>
      <c r="B1043" s="1">
        <v>45446</v>
      </c>
      <c r="C1043">
        <v>2024</v>
      </c>
      <c r="D1043" t="s">
        <v>649</v>
      </c>
      <c r="E1043" t="s">
        <v>1079</v>
      </c>
      <c r="F1043" t="s">
        <v>57</v>
      </c>
      <c r="G1043" t="s">
        <v>35</v>
      </c>
      <c r="H1043" t="s">
        <v>36</v>
      </c>
      <c r="I1043" t="s">
        <v>31</v>
      </c>
      <c r="J1043" t="s">
        <v>27</v>
      </c>
      <c r="K1043" t="s">
        <v>32</v>
      </c>
      <c r="L1043" s="2">
        <v>3.2</v>
      </c>
      <c r="M1043" s="3">
        <v>282</v>
      </c>
      <c r="N1043">
        <v>5</v>
      </c>
      <c r="O1043">
        <v>6</v>
      </c>
      <c r="P1043">
        <v>0</v>
      </c>
      <c r="Q1043">
        <v>1</v>
      </c>
      <c r="R1043" s="4">
        <v>8.2799999999999994</v>
      </c>
      <c r="S1043">
        <v>0</v>
      </c>
      <c r="T1043">
        <v>1</v>
      </c>
    </row>
    <row r="1044" spans="1:20" ht="16.5" x14ac:dyDescent="0.3">
      <c r="A1044" t="s">
        <v>1090</v>
      </c>
      <c r="B1044" s="1">
        <v>45446</v>
      </c>
      <c r="C1044">
        <v>2024</v>
      </c>
      <c r="D1044" t="s">
        <v>649</v>
      </c>
      <c r="E1044" t="s">
        <v>1079</v>
      </c>
      <c r="F1044" t="s">
        <v>38</v>
      </c>
      <c r="G1044" t="s">
        <v>35</v>
      </c>
      <c r="H1044" t="s">
        <v>43</v>
      </c>
      <c r="I1044" t="s">
        <v>26</v>
      </c>
      <c r="J1044" t="s">
        <v>27</v>
      </c>
      <c r="K1044" t="s">
        <v>28</v>
      </c>
      <c r="L1044" s="2">
        <v>50.2</v>
      </c>
      <c r="M1044" s="3">
        <v>944</v>
      </c>
      <c r="N1044">
        <v>5</v>
      </c>
      <c r="O1044">
        <v>5</v>
      </c>
      <c r="P1044">
        <v>1</v>
      </c>
      <c r="Q1044">
        <v>0</v>
      </c>
      <c r="R1044" s="4">
        <v>51.19</v>
      </c>
      <c r="S1044">
        <v>0</v>
      </c>
      <c r="T1044">
        <v>1</v>
      </c>
    </row>
    <row r="1045" spans="1:20" ht="16.5" x14ac:dyDescent="0.3">
      <c r="A1045" t="s">
        <v>1091</v>
      </c>
      <c r="B1045" s="1">
        <v>45446</v>
      </c>
      <c r="C1045">
        <v>2024</v>
      </c>
      <c r="D1045" t="s">
        <v>649</v>
      </c>
      <c r="E1045" t="s">
        <v>1079</v>
      </c>
      <c r="F1045" t="s">
        <v>34</v>
      </c>
      <c r="G1045" t="s">
        <v>35</v>
      </c>
      <c r="H1045" t="s">
        <v>43</v>
      </c>
      <c r="I1045" t="s">
        <v>26</v>
      </c>
      <c r="J1045" t="s">
        <v>27</v>
      </c>
      <c r="K1045" t="s">
        <v>32</v>
      </c>
      <c r="L1045" s="2">
        <v>10.1</v>
      </c>
      <c r="M1045" s="3">
        <v>1256</v>
      </c>
      <c r="N1045">
        <v>5</v>
      </c>
      <c r="O1045">
        <v>5</v>
      </c>
      <c r="P1045">
        <v>1</v>
      </c>
      <c r="Q1045">
        <v>0</v>
      </c>
      <c r="R1045" s="4">
        <v>26.45</v>
      </c>
      <c r="S1045">
        <v>0</v>
      </c>
      <c r="T1045">
        <v>1</v>
      </c>
    </row>
    <row r="1046" spans="1:20" ht="16.5" x14ac:dyDescent="0.3">
      <c r="A1046" t="s">
        <v>1092</v>
      </c>
      <c r="B1046" s="1">
        <v>45446</v>
      </c>
      <c r="C1046">
        <v>2024</v>
      </c>
      <c r="D1046" t="s">
        <v>649</v>
      </c>
      <c r="E1046" t="s">
        <v>1079</v>
      </c>
      <c r="F1046" t="s">
        <v>38</v>
      </c>
      <c r="G1046" t="s">
        <v>39</v>
      </c>
      <c r="H1046" t="s">
        <v>48</v>
      </c>
      <c r="I1046" t="s">
        <v>26</v>
      </c>
      <c r="J1046" t="s">
        <v>27</v>
      </c>
      <c r="K1046" t="s">
        <v>28</v>
      </c>
      <c r="L1046" s="2">
        <v>137</v>
      </c>
      <c r="M1046" s="3">
        <v>492</v>
      </c>
      <c r="N1046">
        <v>4</v>
      </c>
      <c r="O1046">
        <v>4</v>
      </c>
      <c r="P1046">
        <v>1</v>
      </c>
      <c r="Q1046">
        <v>0</v>
      </c>
      <c r="R1046" s="4">
        <v>79.31</v>
      </c>
      <c r="S1046">
        <v>0</v>
      </c>
      <c r="T1046">
        <v>1</v>
      </c>
    </row>
    <row r="1047" spans="1:20" ht="16.5" x14ac:dyDescent="0.3">
      <c r="A1047" t="s">
        <v>1093</v>
      </c>
      <c r="B1047" s="1">
        <v>45446</v>
      </c>
      <c r="C1047">
        <v>2024</v>
      </c>
      <c r="D1047" t="s">
        <v>649</v>
      </c>
      <c r="E1047" t="s">
        <v>1079</v>
      </c>
      <c r="F1047" t="s">
        <v>38</v>
      </c>
      <c r="G1047" t="s">
        <v>39</v>
      </c>
      <c r="H1047" t="s">
        <v>48</v>
      </c>
      <c r="I1047" t="s">
        <v>40</v>
      </c>
      <c r="J1047" t="s">
        <v>27</v>
      </c>
      <c r="K1047" t="s">
        <v>32</v>
      </c>
      <c r="L1047" s="2">
        <v>1.4</v>
      </c>
      <c r="M1047" s="3">
        <v>489</v>
      </c>
      <c r="N1047">
        <v>2</v>
      </c>
      <c r="O1047">
        <v>2</v>
      </c>
      <c r="P1047">
        <v>1</v>
      </c>
      <c r="Q1047">
        <v>0</v>
      </c>
      <c r="R1047" s="4">
        <v>25.36</v>
      </c>
      <c r="S1047">
        <v>0</v>
      </c>
      <c r="T1047">
        <v>1</v>
      </c>
    </row>
    <row r="1048" spans="1:20" ht="16.5" x14ac:dyDescent="0.3">
      <c r="A1048" t="s">
        <v>1094</v>
      </c>
      <c r="B1048" s="1">
        <v>45446</v>
      </c>
      <c r="C1048">
        <v>2024</v>
      </c>
      <c r="D1048" t="s">
        <v>649</v>
      </c>
      <c r="E1048" t="s">
        <v>1079</v>
      </c>
      <c r="F1048" t="s">
        <v>57</v>
      </c>
      <c r="G1048" t="s">
        <v>39</v>
      </c>
      <c r="H1048" t="s">
        <v>36</v>
      </c>
      <c r="I1048" t="s">
        <v>31</v>
      </c>
      <c r="J1048" t="s">
        <v>27</v>
      </c>
      <c r="K1048" t="s">
        <v>32</v>
      </c>
      <c r="L1048" s="2">
        <v>12.7</v>
      </c>
      <c r="M1048" s="3">
        <v>265</v>
      </c>
      <c r="N1048">
        <v>5</v>
      </c>
      <c r="O1048">
        <v>5</v>
      </c>
      <c r="P1048">
        <v>1</v>
      </c>
      <c r="Q1048">
        <v>0</v>
      </c>
      <c r="R1048" s="4">
        <v>13.93</v>
      </c>
      <c r="S1048">
        <v>0</v>
      </c>
      <c r="T1048">
        <v>1</v>
      </c>
    </row>
    <row r="1049" spans="1:20" ht="16.5" x14ac:dyDescent="0.3">
      <c r="A1049" t="s">
        <v>1095</v>
      </c>
      <c r="B1049" s="1">
        <v>45446</v>
      </c>
      <c r="C1049">
        <v>2024</v>
      </c>
      <c r="D1049" t="s">
        <v>649</v>
      </c>
      <c r="E1049" t="s">
        <v>1079</v>
      </c>
      <c r="F1049" t="s">
        <v>38</v>
      </c>
      <c r="G1049" t="s">
        <v>35</v>
      </c>
      <c r="H1049" t="s">
        <v>36</v>
      </c>
      <c r="I1049" t="s">
        <v>40</v>
      </c>
      <c r="J1049" t="s">
        <v>27</v>
      </c>
      <c r="K1049" t="s">
        <v>32</v>
      </c>
      <c r="L1049" s="2">
        <v>9.4</v>
      </c>
      <c r="M1049" s="3">
        <v>174</v>
      </c>
      <c r="N1049">
        <v>1</v>
      </c>
      <c r="O1049">
        <v>1</v>
      </c>
      <c r="P1049">
        <v>1</v>
      </c>
      <c r="Q1049">
        <v>0</v>
      </c>
      <c r="R1049" s="4">
        <v>28.08</v>
      </c>
      <c r="S1049">
        <v>0</v>
      </c>
      <c r="T1049">
        <v>1</v>
      </c>
    </row>
    <row r="1050" spans="1:20" ht="16.5" x14ac:dyDescent="0.3">
      <c r="A1050" t="s">
        <v>1096</v>
      </c>
      <c r="B1050" s="1">
        <v>45447</v>
      </c>
      <c r="C1050">
        <v>2024</v>
      </c>
      <c r="D1050" t="s">
        <v>649</v>
      </c>
      <c r="E1050" t="s">
        <v>1079</v>
      </c>
      <c r="F1050" t="s">
        <v>57</v>
      </c>
      <c r="G1050" t="s">
        <v>39</v>
      </c>
      <c r="H1050" t="s">
        <v>48</v>
      </c>
      <c r="I1050" t="s">
        <v>31</v>
      </c>
      <c r="J1050" t="s">
        <v>27</v>
      </c>
      <c r="K1050" t="s">
        <v>32</v>
      </c>
      <c r="L1050" s="2">
        <v>6.9</v>
      </c>
      <c r="M1050" s="3">
        <v>585</v>
      </c>
      <c r="N1050">
        <v>6</v>
      </c>
      <c r="O1050">
        <v>6</v>
      </c>
      <c r="P1050">
        <v>1</v>
      </c>
      <c r="Q1050">
        <v>0</v>
      </c>
      <c r="R1050" s="4">
        <v>13.18</v>
      </c>
      <c r="S1050">
        <v>0</v>
      </c>
      <c r="T1050">
        <v>1</v>
      </c>
    </row>
    <row r="1051" spans="1:20" ht="16.5" x14ac:dyDescent="0.3">
      <c r="A1051" t="s">
        <v>1097</v>
      </c>
      <c r="B1051" s="1">
        <v>45447</v>
      </c>
      <c r="C1051">
        <v>2024</v>
      </c>
      <c r="D1051" t="s">
        <v>649</v>
      </c>
      <c r="E1051" t="s">
        <v>1079</v>
      </c>
      <c r="F1051" t="s">
        <v>23</v>
      </c>
      <c r="G1051" t="s">
        <v>39</v>
      </c>
      <c r="H1051" t="s">
        <v>48</v>
      </c>
      <c r="I1051" t="s">
        <v>26</v>
      </c>
      <c r="J1051" t="s">
        <v>27</v>
      </c>
      <c r="K1051" t="s">
        <v>32</v>
      </c>
      <c r="L1051" s="2">
        <v>4.2</v>
      </c>
      <c r="M1051" s="3">
        <v>430</v>
      </c>
      <c r="N1051">
        <v>4</v>
      </c>
      <c r="O1051">
        <v>4</v>
      </c>
      <c r="P1051">
        <v>1</v>
      </c>
      <c r="Q1051">
        <v>0</v>
      </c>
      <c r="R1051" s="4">
        <v>14.19</v>
      </c>
      <c r="S1051">
        <v>0</v>
      </c>
      <c r="T1051">
        <v>1</v>
      </c>
    </row>
    <row r="1052" spans="1:20" ht="16.5" x14ac:dyDescent="0.3">
      <c r="A1052" t="s">
        <v>1098</v>
      </c>
      <c r="B1052" s="1">
        <v>45447</v>
      </c>
      <c r="C1052">
        <v>2024</v>
      </c>
      <c r="D1052" t="s">
        <v>649</v>
      </c>
      <c r="E1052" t="s">
        <v>1079</v>
      </c>
      <c r="F1052" t="s">
        <v>57</v>
      </c>
      <c r="G1052" t="s">
        <v>35</v>
      </c>
      <c r="H1052" t="s">
        <v>36</v>
      </c>
      <c r="I1052" t="s">
        <v>26</v>
      </c>
      <c r="J1052" t="s">
        <v>27</v>
      </c>
      <c r="K1052" t="s">
        <v>32</v>
      </c>
      <c r="L1052" s="2">
        <v>8.5</v>
      </c>
      <c r="M1052" s="3">
        <v>243</v>
      </c>
      <c r="N1052">
        <v>3</v>
      </c>
      <c r="O1052">
        <v>3</v>
      </c>
      <c r="P1052">
        <v>1</v>
      </c>
      <c r="Q1052">
        <v>0</v>
      </c>
      <c r="R1052" s="4">
        <v>13.45</v>
      </c>
      <c r="S1052">
        <v>0</v>
      </c>
      <c r="T1052">
        <v>1</v>
      </c>
    </row>
    <row r="1053" spans="1:20" ht="16.5" x14ac:dyDescent="0.3">
      <c r="A1053" t="s">
        <v>1099</v>
      </c>
      <c r="B1053" s="1">
        <v>45447</v>
      </c>
      <c r="C1053">
        <v>2024</v>
      </c>
      <c r="D1053" t="s">
        <v>649</v>
      </c>
      <c r="E1053" t="s">
        <v>1079</v>
      </c>
      <c r="F1053" t="s">
        <v>57</v>
      </c>
      <c r="G1053" t="s">
        <v>39</v>
      </c>
      <c r="H1053" t="s">
        <v>48</v>
      </c>
      <c r="I1053" t="s">
        <v>26</v>
      </c>
      <c r="J1053" t="s">
        <v>27</v>
      </c>
      <c r="K1053" t="s">
        <v>28</v>
      </c>
      <c r="L1053" s="2">
        <v>82.5</v>
      </c>
      <c r="M1053" s="3">
        <v>438</v>
      </c>
      <c r="N1053">
        <v>4</v>
      </c>
      <c r="O1053">
        <v>5</v>
      </c>
      <c r="P1053">
        <v>0</v>
      </c>
      <c r="Q1053">
        <v>1</v>
      </c>
      <c r="R1053" s="4">
        <v>47.24</v>
      </c>
      <c r="S1053">
        <v>0</v>
      </c>
      <c r="T1053">
        <v>1</v>
      </c>
    </row>
    <row r="1054" spans="1:20" ht="16.5" x14ac:dyDescent="0.3">
      <c r="A1054" t="s">
        <v>1100</v>
      </c>
      <c r="B1054" s="1">
        <v>45448</v>
      </c>
      <c r="C1054">
        <v>2024</v>
      </c>
      <c r="D1054" t="s">
        <v>649</v>
      </c>
      <c r="E1054" t="s">
        <v>1079</v>
      </c>
      <c r="F1054" t="s">
        <v>34</v>
      </c>
      <c r="G1054" t="s">
        <v>35</v>
      </c>
      <c r="H1054" t="s">
        <v>36</v>
      </c>
      <c r="I1054" t="s">
        <v>26</v>
      </c>
      <c r="J1054" t="s">
        <v>27</v>
      </c>
      <c r="K1054" t="s">
        <v>28</v>
      </c>
      <c r="L1054" s="2">
        <v>36.299999999999997</v>
      </c>
      <c r="M1054" s="3">
        <v>294</v>
      </c>
      <c r="N1054">
        <v>3</v>
      </c>
      <c r="O1054">
        <v>2</v>
      </c>
      <c r="P1054">
        <v>1</v>
      </c>
      <c r="Q1054">
        <v>0</v>
      </c>
      <c r="R1054" s="4">
        <v>25.83</v>
      </c>
      <c r="S1054">
        <v>0</v>
      </c>
      <c r="T1054">
        <v>1</v>
      </c>
    </row>
    <row r="1055" spans="1:20" ht="16.5" x14ac:dyDescent="0.3">
      <c r="A1055" t="s">
        <v>1101</v>
      </c>
      <c r="B1055" s="1">
        <v>45448</v>
      </c>
      <c r="C1055">
        <v>2024</v>
      </c>
      <c r="D1055" t="s">
        <v>649</v>
      </c>
      <c r="E1055" t="s">
        <v>1079</v>
      </c>
      <c r="F1055" t="s">
        <v>23</v>
      </c>
      <c r="G1055" t="s">
        <v>24</v>
      </c>
      <c r="H1055" t="s">
        <v>36</v>
      </c>
      <c r="I1055" t="s">
        <v>26</v>
      </c>
      <c r="J1055" t="s">
        <v>27</v>
      </c>
      <c r="K1055" t="s">
        <v>28</v>
      </c>
      <c r="L1055" s="2">
        <v>132.6</v>
      </c>
      <c r="M1055" s="3">
        <v>268</v>
      </c>
      <c r="N1055">
        <v>3</v>
      </c>
      <c r="O1055">
        <v>2</v>
      </c>
      <c r="P1055">
        <v>1</v>
      </c>
      <c r="Q1055">
        <v>0</v>
      </c>
      <c r="R1055" s="4">
        <v>64.41</v>
      </c>
      <c r="S1055">
        <v>0</v>
      </c>
      <c r="T1055">
        <v>1</v>
      </c>
    </row>
    <row r="1056" spans="1:20" ht="16.5" x14ac:dyDescent="0.3">
      <c r="A1056" t="s">
        <v>1102</v>
      </c>
      <c r="B1056" s="1">
        <v>45448</v>
      </c>
      <c r="C1056">
        <v>2024</v>
      </c>
      <c r="D1056" t="s">
        <v>649</v>
      </c>
      <c r="E1056" t="s">
        <v>1079</v>
      </c>
      <c r="F1056" t="s">
        <v>34</v>
      </c>
      <c r="G1056" t="s">
        <v>35</v>
      </c>
      <c r="H1056" t="s">
        <v>36</v>
      </c>
      <c r="I1056" t="s">
        <v>40</v>
      </c>
      <c r="J1056" t="s">
        <v>27</v>
      </c>
      <c r="K1056" t="s">
        <v>32</v>
      </c>
      <c r="L1056" s="2">
        <v>3.3</v>
      </c>
      <c r="M1056" s="3">
        <v>233</v>
      </c>
      <c r="N1056">
        <v>1</v>
      </c>
      <c r="O1056">
        <v>1</v>
      </c>
      <c r="P1056">
        <v>1</v>
      </c>
      <c r="Q1056">
        <v>0</v>
      </c>
      <c r="R1056" s="4">
        <v>17.260000000000002</v>
      </c>
      <c r="S1056">
        <v>0</v>
      </c>
      <c r="T1056">
        <v>1</v>
      </c>
    </row>
    <row r="1057" spans="1:20" ht="16.5" x14ac:dyDescent="0.3">
      <c r="A1057" t="s">
        <v>1103</v>
      </c>
      <c r="B1057" s="1">
        <v>45448</v>
      </c>
      <c r="C1057">
        <v>2024</v>
      </c>
      <c r="D1057" t="s">
        <v>649</v>
      </c>
      <c r="E1057" t="s">
        <v>1079</v>
      </c>
      <c r="F1057" t="s">
        <v>57</v>
      </c>
      <c r="G1057" t="s">
        <v>39</v>
      </c>
      <c r="H1057" t="s">
        <v>48</v>
      </c>
      <c r="I1057" t="s">
        <v>26</v>
      </c>
      <c r="J1057" t="s">
        <v>27</v>
      </c>
      <c r="K1057" t="s">
        <v>32</v>
      </c>
      <c r="L1057" s="2">
        <v>17.100000000000001</v>
      </c>
      <c r="M1057" s="3">
        <v>465</v>
      </c>
      <c r="N1057">
        <v>4</v>
      </c>
      <c r="O1057">
        <v>4</v>
      </c>
      <c r="P1057">
        <v>1</v>
      </c>
      <c r="Q1057">
        <v>0</v>
      </c>
      <c r="R1057" s="4">
        <v>20.83</v>
      </c>
      <c r="S1057">
        <v>0</v>
      </c>
      <c r="T1057">
        <v>1</v>
      </c>
    </row>
    <row r="1058" spans="1:20" ht="16.5" x14ac:dyDescent="0.3">
      <c r="A1058" t="s">
        <v>1104</v>
      </c>
      <c r="B1058" s="1">
        <v>45448</v>
      </c>
      <c r="C1058">
        <v>2024</v>
      </c>
      <c r="D1058" t="s">
        <v>649</v>
      </c>
      <c r="E1058" t="s">
        <v>1079</v>
      </c>
      <c r="F1058" t="s">
        <v>38</v>
      </c>
      <c r="G1058" t="s">
        <v>39</v>
      </c>
      <c r="H1058" t="s">
        <v>36</v>
      </c>
      <c r="I1058" t="s">
        <v>40</v>
      </c>
      <c r="J1058" t="s">
        <v>27</v>
      </c>
      <c r="K1058" t="s">
        <v>28</v>
      </c>
      <c r="L1058" s="2">
        <v>23.2</v>
      </c>
      <c r="M1058" s="3">
        <v>231</v>
      </c>
      <c r="N1058">
        <v>1</v>
      </c>
      <c r="O1058">
        <v>1</v>
      </c>
      <c r="P1058">
        <v>1</v>
      </c>
      <c r="Q1058">
        <v>0</v>
      </c>
      <c r="R1058" s="4">
        <v>49.3</v>
      </c>
      <c r="S1058">
        <v>0</v>
      </c>
      <c r="T1058">
        <v>1</v>
      </c>
    </row>
    <row r="1059" spans="1:20" ht="16.5" x14ac:dyDescent="0.3">
      <c r="A1059" t="s">
        <v>1105</v>
      </c>
      <c r="B1059" s="1">
        <v>45448</v>
      </c>
      <c r="C1059">
        <v>2024</v>
      </c>
      <c r="D1059" t="s">
        <v>649</v>
      </c>
      <c r="E1059" t="s">
        <v>1079</v>
      </c>
      <c r="F1059" t="s">
        <v>38</v>
      </c>
      <c r="G1059" t="s">
        <v>24</v>
      </c>
      <c r="H1059" t="s">
        <v>51</v>
      </c>
      <c r="I1059" t="s">
        <v>26</v>
      </c>
      <c r="J1059" t="s">
        <v>27</v>
      </c>
      <c r="K1059" t="s">
        <v>28</v>
      </c>
      <c r="L1059" s="2">
        <v>76.2</v>
      </c>
      <c r="M1059" s="3">
        <v>956</v>
      </c>
      <c r="N1059">
        <v>5</v>
      </c>
      <c r="O1059">
        <v>5</v>
      </c>
      <c r="P1059">
        <v>1</v>
      </c>
      <c r="Q1059">
        <v>0</v>
      </c>
      <c r="R1059" s="4">
        <v>58.08</v>
      </c>
      <c r="S1059">
        <v>0</v>
      </c>
      <c r="T1059">
        <v>1</v>
      </c>
    </row>
    <row r="1060" spans="1:20" ht="16.5" x14ac:dyDescent="0.3">
      <c r="A1060" t="s">
        <v>1106</v>
      </c>
      <c r="B1060" s="1">
        <v>45448</v>
      </c>
      <c r="C1060">
        <v>2024</v>
      </c>
      <c r="D1060" t="s">
        <v>649</v>
      </c>
      <c r="E1060" t="s">
        <v>1079</v>
      </c>
      <c r="F1060" t="s">
        <v>57</v>
      </c>
      <c r="G1060" t="s">
        <v>39</v>
      </c>
      <c r="H1060" t="s">
        <v>36</v>
      </c>
      <c r="I1060" t="s">
        <v>26</v>
      </c>
      <c r="J1060" t="s">
        <v>27</v>
      </c>
      <c r="K1060" t="s">
        <v>28</v>
      </c>
      <c r="L1060" s="2">
        <v>106.8</v>
      </c>
      <c r="M1060" s="3">
        <v>289</v>
      </c>
      <c r="N1060">
        <v>3</v>
      </c>
      <c r="O1060">
        <v>3</v>
      </c>
      <c r="P1060">
        <v>1</v>
      </c>
      <c r="Q1060">
        <v>0</v>
      </c>
      <c r="R1060" s="4">
        <v>61.58</v>
      </c>
      <c r="S1060">
        <v>0</v>
      </c>
      <c r="T1060">
        <v>1</v>
      </c>
    </row>
    <row r="1061" spans="1:20" ht="16.5" x14ac:dyDescent="0.3">
      <c r="A1061" t="s">
        <v>1107</v>
      </c>
      <c r="B1061" s="1">
        <v>45448</v>
      </c>
      <c r="C1061">
        <v>2024</v>
      </c>
      <c r="D1061" t="s">
        <v>649</v>
      </c>
      <c r="E1061" t="s">
        <v>1079</v>
      </c>
      <c r="F1061" t="s">
        <v>30</v>
      </c>
      <c r="G1061" t="s">
        <v>39</v>
      </c>
      <c r="H1061" t="s">
        <v>25</v>
      </c>
      <c r="I1061" t="s">
        <v>26</v>
      </c>
      <c r="J1061" t="s">
        <v>27</v>
      </c>
      <c r="K1061" t="s">
        <v>32</v>
      </c>
      <c r="L1061" s="2">
        <v>14.5</v>
      </c>
      <c r="M1061" s="3">
        <v>691</v>
      </c>
      <c r="N1061">
        <v>4</v>
      </c>
      <c r="O1061">
        <v>3</v>
      </c>
      <c r="P1061">
        <v>1</v>
      </c>
      <c r="Q1061">
        <v>0</v>
      </c>
      <c r="R1061" s="4">
        <v>27.24</v>
      </c>
      <c r="S1061">
        <v>0</v>
      </c>
      <c r="T1061">
        <v>1</v>
      </c>
    </row>
    <row r="1062" spans="1:20" ht="16.5" x14ac:dyDescent="0.3">
      <c r="A1062" t="s">
        <v>1108</v>
      </c>
      <c r="B1062" s="1">
        <v>45448</v>
      </c>
      <c r="C1062">
        <v>2024</v>
      </c>
      <c r="D1062" t="s">
        <v>649</v>
      </c>
      <c r="E1062" t="s">
        <v>1079</v>
      </c>
      <c r="F1062" t="s">
        <v>38</v>
      </c>
      <c r="G1062" t="s">
        <v>24</v>
      </c>
      <c r="H1062" t="s">
        <v>48</v>
      </c>
      <c r="I1062" t="s">
        <v>26</v>
      </c>
      <c r="J1062" t="s">
        <v>27</v>
      </c>
      <c r="K1062" t="s">
        <v>32</v>
      </c>
      <c r="L1062" s="2">
        <v>3.8</v>
      </c>
      <c r="M1062" s="3">
        <v>552</v>
      </c>
      <c r="N1062">
        <v>4</v>
      </c>
      <c r="O1062">
        <v>4</v>
      </c>
      <c r="P1062">
        <v>1</v>
      </c>
      <c r="Q1062">
        <v>0</v>
      </c>
      <c r="R1062" s="4">
        <v>19.18</v>
      </c>
      <c r="S1062">
        <v>0</v>
      </c>
      <c r="T1062">
        <v>1</v>
      </c>
    </row>
    <row r="1063" spans="1:20" ht="16.5" x14ac:dyDescent="0.3">
      <c r="A1063" t="s">
        <v>1109</v>
      </c>
      <c r="B1063" s="1">
        <v>45448</v>
      </c>
      <c r="C1063">
        <v>2024</v>
      </c>
      <c r="D1063" t="s">
        <v>649</v>
      </c>
      <c r="E1063" t="s">
        <v>1079</v>
      </c>
      <c r="F1063" t="s">
        <v>23</v>
      </c>
      <c r="G1063" t="s">
        <v>35</v>
      </c>
      <c r="H1063" t="s">
        <v>48</v>
      </c>
      <c r="I1063" t="s">
        <v>26</v>
      </c>
      <c r="J1063" t="s">
        <v>27</v>
      </c>
      <c r="K1063" t="s">
        <v>28</v>
      </c>
      <c r="L1063" s="2">
        <v>8.9</v>
      </c>
      <c r="M1063" s="3">
        <v>442</v>
      </c>
      <c r="N1063">
        <v>4</v>
      </c>
      <c r="O1063">
        <v>4</v>
      </c>
      <c r="P1063">
        <v>1</v>
      </c>
      <c r="Q1063">
        <v>0</v>
      </c>
      <c r="R1063" s="4">
        <v>17.12</v>
      </c>
      <c r="S1063">
        <v>0</v>
      </c>
      <c r="T1063">
        <v>1</v>
      </c>
    </row>
    <row r="1064" spans="1:20" ht="16.5" x14ac:dyDescent="0.3">
      <c r="A1064" t="s">
        <v>1110</v>
      </c>
      <c r="B1064" s="1">
        <v>45448</v>
      </c>
      <c r="C1064">
        <v>2024</v>
      </c>
      <c r="D1064" t="s">
        <v>649</v>
      </c>
      <c r="E1064" t="s">
        <v>1079</v>
      </c>
      <c r="F1064" t="s">
        <v>38</v>
      </c>
      <c r="G1064" t="s">
        <v>24</v>
      </c>
      <c r="H1064" t="s">
        <v>36</v>
      </c>
      <c r="I1064" t="s">
        <v>26</v>
      </c>
      <c r="J1064" t="s">
        <v>27</v>
      </c>
      <c r="K1064" t="s">
        <v>32</v>
      </c>
      <c r="L1064" s="2">
        <v>3.1</v>
      </c>
      <c r="M1064" s="3">
        <v>231</v>
      </c>
      <c r="N1064">
        <v>3</v>
      </c>
      <c r="O1064">
        <v>2</v>
      </c>
      <c r="P1064">
        <v>1</v>
      </c>
      <c r="Q1064">
        <v>0</v>
      </c>
      <c r="R1064" s="4">
        <v>12.35</v>
      </c>
      <c r="S1064">
        <v>0</v>
      </c>
      <c r="T1064">
        <v>1</v>
      </c>
    </row>
    <row r="1065" spans="1:20" ht="16.5" x14ac:dyDescent="0.3">
      <c r="A1065" t="s">
        <v>1111</v>
      </c>
      <c r="B1065" s="1">
        <v>45449</v>
      </c>
      <c r="C1065">
        <v>2024</v>
      </c>
      <c r="D1065" t="s">
        <v>649</v>
      </c>
      <c r="E1065" t="s">
        <v>1079</v>
      </c>
      <c r="F1065" t="s">
        <v>30</v>
      </c>
      <c r="G1065" t="s">
        <v>24</v>
      </c>
      <c r="H1065" t="s">
        <v>51</v>
      </c>
      <c r="I1065" t="s">
        <v>31</v>
      </c>
      <c r="J1065" t="s">
        <v>27</v>
      </c>
      <c r="K1065" t="s">
        <v>32</v>
      </c>
      <c r="L1065" s="2">
        <v>4.3</v>
      </c>
      <c r="M1065" s="3">
        <v>945</v>
      </c>
      <c r="N1065">
        <v>7</v>
      </c>
      <c r="O1065">
        <v>6</v>
      </c>
      <c r="P1065">
        <v>1</v>
      </c>
      <c r="Q1065">
        <v>0</v>
      </c>
      <c r="R1065" s="4">
        <v>15.55</v>
      </c>
      <c r="S1065">
        <v>0</v>
      </c>
      <c r="T1065">
        <v>1</v>
      </c>
    </row>
    <row r="1066" spans="1:20" ht="16.5" x14ac:dyDescent="0.3">
      <c r="A1066" t="s">
        <v>1112</v>
      </c>
      <c r="B1066" s="1">
        <v>45449</v>
      </c>
      <c r="C1066">
        <v>2024</v>
      </c>
      <c r="D1066" t="s">
        <v>649</v>
      </c>
      <c r="E1066" t="s">
        <v>1079</v>
      </c>
      <c r="F1066" t="s">
        <v>30</v>
      </c>
      <c r="G1066" t="s">
        <v>39</v>
      </c>
      <c r="H1066" t="s">
        <v>51</v>
      </c>
      <c r="I1066" t="s">
        <v>26</v>
      </c>
      <c r="J1066" t="s">
        <v>27</v>
      </c>
      <c r="K1066" t="s">
        <v>28</v>
      </c>
      <c r="L1066" s="2">
        <v>243.9</v>
      </c>
      <c r="M1066" s="3">
        <v>1395</v>
      </c>
      <c r="N1066">
        <v>5</v>
      </c>
      <c r="O1066">
        <v>5</v>
      </c>
      <c r="P1066">
        <v>1</v>
      </c>
      <c r="Q1066">
        <v>0</v>
      </c>
      <c r="R1066" s="4">
        <v>123.92</v>
      </c>
      <c r="S1066">
        <v>0</v>
      </c>
      <c r="T1066">
        <v>1</v>
      </c>
    </row>
    <row r="1067" spans="1:20" ht="16.5" x14ac:dyDescent="0.3">
      <c r="A1067" t="s">
        <v>1113</v>
      </c>
      <c r="B1067" s="1">
        <v>45449</v>
      </c>
      <c r="C1067">
        <v>2024</v>
      </c>
      <c r="D1067" t="s">
        <v>649</v>
      </c>
      <c r="E1067" t="s">
        <v>1079</v>
      </c>
      <c r="F1067" t="s">
        <v>57</v>
      </c>
      <c r="G1067" t="s">
        <v>39</v>
      </c>
      <c r="H1067" t="s">
        <v>48</v>
      </c>
      <c r="I1067" t="s">
        <v>40</v>
      </c>
      <c r="J1067" t="s">
        <v>27</v>
      </c>
      <c r="K1067" t="s">
        <v>28</v>
      </c>
      <c r="L1067" s="2">
        <v>92.5</v>
      </c>
      <c r="M1067" s="3">
        <v>452</v>
      </c>
      <c r="N1067">
        <v>2</v>
      </c>
      <c r="O1067">
        <v>2</v>
      </c>
      <c r="P1067">
        <v>1</v>
      </c>
      <c r="Q1067">
        <v>0</v>
      </c>
      <c r="R1067" s="4">
        <v>100.64</v>
      </c>
      <c r="S1067">
        <v>0</v>
      </c>
      <c r="T1067">
        <v>1</v>
      </c>
    </row>
    <row r="1068" spans="1:20" ht="16.5" x14ac:dyDescent="0.3">
      <c r="A1068" t="s">
        <v>1114</v>
      </c>
      <c r="B1068" s="1">
        <v>45449</v>
      </c>
      <c r="C1068">
        <v>2024</v>
      </c>
      <c r="D1068" t="s">
        <v>649</v>
      </c>
      <c r="E1068" t="s">
        <v>1079</v>
      </c>
      <c r="F1068" t="s">
        <v>30</v>
      </c>
      <c r="G1068" t="s">
        <v>39</v>
      </c>
      <c r="H1068" t="s">
        <v>51</v>
      </c>
      <c r="I1068" t="s">
        <v>26</v>
      </c>
      <c r="J1068" t="s">
        <v>27</v>
      </c>
      <c r="K1068" t="s">
        <v>32</v>
      </c>
      <c r="L1068" s="2">
        <v>1.7</v>
      </c>
      <c r="M1068" s="3">
        <v>1028</v>
      </c>
      <c r="N1068">
        <v>5</v>
      </c>
      <c r="O1068">
        <v>5</v>
      </c>
      <c r="P1068">
        <v>1</v>
      </c>
      <c r="Q1068">
        <v>0</v>
      </c>
      <c r="R1068" s="4">
        <v>21.32</v>
      </c>
      <c r="S1068">
        <v>0</v>
      </c>
      <c r="T1068">
        <v>1</v>
      </c>
    </row>
    <row r="1069" spans="1:20" ht="16.5" x14ac:dyDescent="0.3">
      <c r="A1069" t="s">
        <v>1115</v>
      </c>
      <c r="B1069" s="1">
        <v>45449</v>
      </c>
      <c r="C1069">
        <v>2024</v>
      </c>
      <c r="D1069" t="s">
        <v>649</v>
      </c>
      <c r="E1069" t="s">
        <v>1079</v>
      </c>
      <c r="F1069" t="s">
        <v>57</v>
      </c>
      <c r="G1069" t="s">
        <v>39</v>
      </c>
      <c r="H1069" t="s">
        <v>36</v>
      </c>
      <c r="I1069" t="s">
        <v>26</v>
      </c>
      <c r="J1069" t="s">
        <v>27</v>
      </c>
      <c r="K1069" t="s">
        <v>28</v>
      </c>
      <c r="L1069" s="2">
        <v>178.6</v>
      </c>
      <c r="M1069" s="3">
        <v>211</v>
      </c>
      <c r="N1069">
        <v>3</v>
      </c>
      <c r="O1069">
        <v>6</v>
      </c>
      <c r="P1069">
        <v>0</v>
      </c>
      <c r="Q1069">
        <v>3</v>
      </c>
      <c r="R1069" s="4">
        <v>78.41</v>
      </c>
      <c r="S1069">
        <v>0</v>
      </c>
      <c r="T1069">
        <v>1</v>
      </c>
    </row>
    <row r="1070" spans="1:20" ht="16.5" x14ac:dyDescent="0.3">
      <c r="A1070" t="s">
        <v>1116</v>
      </c>
      <c r="B1070" s="1">
        <v>45449</v>
      </c>
      <c r="C1070">
        <v>2024</v>
      </c>
      <c r="D1070" t="s">
        <v>649</v>
      </c>
      <c r="E1070" t="s">
        <v>1079</v>
      </c>
      <c r="F1070" t="s">
        <v>34</v>
      </c>
      <c r="G1070" t="s">
        <v>35</v>
      </c>
      <c r="H1070" t="s">
        <v>48</v>
      </c>
      <c r="I1070" t="s">
        <v>26</v>
      </c>
      <c r="J1070" t="s">
        <v>27</v>
      </c>
      <c r="K1070" t="s">
        <v>32</v>
      </c>
      <c r="L1070" s="2">
        <v>3.1</v>
      </c>
      <c r="M1070" s="3">
        <v>446</v>
      </c>
      <c r="N1070">
        <v>4</v>
      </c>
      <c r="O1070">
        <v>5</v>
      </c>
      <c r="P1070">
        <v>0</v>
      </c>
      <c r="Q1070">
        <v>1</v>
      </c>
      <c r="R1070" s="4">
        <v>11.01</v>
      </c>
      <c r="S1070">
        <v>0</v>
      </c>
      <c r="T1070">
        <v>1</v>
      </c>
    </row>
    <row r="1071" spans="1:20" ht="16.5" x14ac:dyDescent="0.3">
      <c r="A1071" t="s">
        <v>1117</v>
      </c>
      <c r="B1071" s="1">
        <v>45449</v>
      </c>
      <c r="C1071">
        <v>2024</v>
      </c>
      <c r="D1071" t="s">
        <v>649</v>
      </c>
      <c r="E1071" t="s">
        <v>1079</v>
      </c>
      <c r="F1071" t="s">
        <v>57</v>
      </c>
      <c r="G1071" t="s">
        <v>39</v>
      </c>
      <c r="H1071" t="s">
        <v>48</v>
      </c>
      <c r="I1071" t="s">
        <v>26</v>
      </c>
      <c r="J1071" t="s">
        <v>27</v>
      </c>
      <c r="K1071" t="s">
        <v>32</v>
      </c>
      <c r="L1071" s="2">
        <v>10.5</v>
      </c>
      <c r="M1071" s="3">
        <v>406</v>
      </c>
      <c r="N1071">
        <v>4</v>
      </c>
      <c r="O1071">
        <v>3</v>
      </c>
      <c r="P1071">
        <v>1</v>
      </c>
      <c r="Q1071">
        <v>0</v>
      </c>
      <c r="R1071" s="4">
        <v>17.43</v>
      </c>
      <c r="S1071">
        <v>0</v>
      </c>
      <c r="T1071">
        <v>1</v>
      </c>
    </row>
    <row r="1072" spans="1:20" ht="16.5" x14ac:dyDescent="0.3">
      <c r="A1072" t="s">
        <v>1118</v>
      </c>
      <c r="B1072" s="1">
        <v>45450</v>
      </c>
      <c r="C1072">
        <v>2024</v>
      </c>
      <c r="D1072" t="s">
        <v>649</v>
      </c>
      <c r="E1072" t="s">
        <v>1079</v>
      </c>
      <c r="F1072" t="s">
        <v>23</v>
      </c>
      <c r="G1072" t="s">
        <v>39</v>
      </c>
      <c r="H1072" t="s">
        <v>36</v>
      </c>
      <c r="I1072" t="s">
        <v>26</v>
      </c>
      <c r="J1072" t="s">
        <v>27</v>
      </c>
      <c r="K1072" t="s">
        <v>32</v>
      </c>
      <c r="L1072" s="2">
        <v>5.3</v>
      </c>
      <c r="M1072" s="3">
        <v>254</v>
      </c>
      <c r="N1072">
        <v>3</v>
      </c>
      <c r="O1072">
        <v>3</v>
      </c>
      <c r="P1072">
        <v>1</v>
      </c>
      <c r="Q1072">
        <v>0</v>
      </c>
      <c r="R1072" s="4">
        <v>12.35</v>
      </c>
      <c r="S1072">
        <v>0</v>
      </c>
      <c r="T1072">
        <v>1</v>
      </c>
    </row>
    <row r="1073" spans="1:20" ht="16.5" x14ac:dyDescent="0.3">
      <c r="A1073" t="s">
        <v>1119</v>
      </c>
      <c r="B1073" s="1">
        <v>45450</v>
      </c>
      <c r="C1073">
        <v>2024</v>
      </c>
      <c r="D1073" t="s">
        <v>649</v>
      </c>
      <c r="E1073" t="s">
        <v>1079</v>
      </c>
      <c r="F1073" t="s">
        <v>38</v>
      </c>
      <c r="G1073" t="s">
        <v>39</v>
      </c>
      <c r="H1073" t="s">
        <v>25</v>
      </c>
      <c r="I1073" t="s">
        <v>31</v>
      </c>
      <c r="J1073" t="s">
        <v>27</v>
      </c>
      <c r="K1073" t="s">
        <v>28</v>
      </c>
      <c r="L1073" s="2">
        <v>64.8</v>
      </c>
      <c r="M1073" s="3">
        <v>621</v>
      </c>
      <c r="N1073">
        <v>6</v>
      </c>
      <c r="O1073">
        <v>6</v>
      </c>
      <c r="P1073">
        <v>1</v>
      </c>
      <c r="Q1073">
        <v>0</v>
      </c>
      <c r="R1073" s="4">
        <v>34.35</v>
      </c>
      <c r="S1073">
        <v>0</v>
      </c>
      <c r="T1073">
        <v>1</v>
      </c>
    </row>
    <row r="1074" spans="1:20" ht="16.5" x14ac:dyDescent="0.3">
      <c r="A1074" t="s">
        <v>1120</v>
      </c>
      <c r="B1074" s="1">
        <v>45450</v>
      </c>
      <c r="C1074">
        <v>2024</v>
      </c>
      <c r="D1074" t="s">
        <v>649</v>
      </c>
      <c r="E1074" t="s">
        <v>1079</v>
      </c>
      <c r="F1074" t="s">
        <v>38</v>
      </c>
      <c r="G1074" t="s">
        <v>24</v>
      </c>
      <c r="H1074" t="s">
        <v>25</v>
      </c>
      <c r="I1074" t="s">
        <v>40</v>
      </c>
      <c r="J1074" t="s">
        <v>41</v>
      </c>
      <c r="K1074" t="s">
        <v>28</v>
      </c>
      <c r="L1074" s="2">
        <v>53.3</v>
      </c>
      <c r="M1074" s="3">
        <v>720</v>
      </c>
      <c r="N1074">
        <v>2</v>
      </c>
      <c r="O1074">
        <v>2</v>
      </c>
      <c r="P1074">
        <v>1</v>
      </c>
      <c r="Q1074">
        <v>0</v>
      </c>
      <c r="R1074" s="4">
        <v>135.72</v>
      </c>
      <c r="S1074">
        <v>0</v>
      </c>
      <c r="T1074">
        <v>1</v>
      </c>
    </row>
    <row r="1075" spans="1:20" ht="16.5" x14ac:dyDescent="0.3">
      <c r="A1075" t="s">
        <v>1121</v>
      </c>
      <c r="B1075" s="1">
        <v>45451</v>
      </c>
      <c r="C1075">
        <v>2024</v>
      </c>
      <c r="D1075" t="s">
        <v>649</v>
      </c>
      <c r="E1075" t="s">
        <v>1079</v>
      </c>
      <c r="F1075" t="s">
        <v>30</v>
      </c>
      <c r="G1075" t="s">
        <v>35</v>
      </c>
      <c r="H1075" t="s">
        <v>51</v>
      </c>
      <c r="I1075" t="s">
        <v>26</v>
      </c>
      <c r="J1075" t="s">
        <v>27</v>
      </c>
      <c r="K1075" t="s">
        <v>28</v>
      </c>
      <c r="L1075" s="2">
        <v>84</v>
      </c>
      <c r="M1075" s="3">
        <v>1047</v>
      </c>
      <c r="N1075">
        <v>5</v>
      </c>
      <c r="O1075">
        <v>4</v>
      </c>
      <c r="P1075">
        <v>1</v>
      </c>
      <c r="Q1075">
        <v>0</v>
      </c>
      <c r="R1075" s="4">
        <v>58.29</v>
      </c>
      <c r="S1075">
        <v>0</v>
      </c>
      <c r="T1075">
        <v>1</v>
      </c>
    </row>
    <row r="1076" spans="1:20" ht="16.5" x14ac:dyDescent="0.3">
      <c r="A1076" t="s">
        <v>1122</v>
      </c>
      <c r="B1076" s="1">
        <v>45451</v>
      </c>
      <c r="C1076">
        <v>2024</v>
      </c>
      <c r="D1076" t="s">
        <v>649</v>
      </c>
      <c r="E1076" t="s">
        <v>1079</v>
      </c>
      <c r="F1076" t="s">
        <v>57</v>
      </c>
      <c r="G1076" t="s">
        <v>24</v>
      </c>
      <c r="H1076" t="s">
        <v>48</v>
      </c>
      <c r="I1076" t="s">
        <v>31</v>
      </c>
      <c r="J1076" t="s">
        <v>27</v>
      </c>
      <c r="K1076" t="s">
        <v>32</v>
      </c>
      <c r="L1076" s="2">
        <v>13.6</v>
      </c>
      <c r="M1076" s="3">
        <v>527</v>
      </c>
      <c r="N1076">
        <v>6</v>
      </c>
      <c r="O1076">
        <v>11</v>
      </c>
      <c r="P1076">
        <v>0</v>
      </c>
      <c r="Q1076">
        <v>5</v>
      </c>
      <c r="R1076" s="4">
        <v>14.65</v>
      </c>
      <c r="S1076">
        <v>0</v>
      </c>
      <c r="T1076">
        <v>1</v>
      </c>
    </row>
    <row r="1077" spans="1:20" ht="16.5" x14ac:dyDescent="0.3">
      <c r="A1077" t="s">
        <v>1123</v>
      </c>
      <c r="B1077" s="1">
        <v>45451</v>
      </c>
      <c r="C1077">
        <v>2024</v>
      </c>
      <c r="D1077" t="s">
        <v>649</v>
      </c>
      <c r="E1077" t="s">
        <v>1079</v>
      </c>
      <c r="F1077" t="s">
        <v>38</v>
      </c>
      <c r="G1077" t="s">
        <v>35</v>
      </c>
      <c r="H1077" t="s">
        <v>25</v>
      </c>
      <c r="I1077" t="s">
        <v>40</v>
      </c>
      <c r="J1077" t="s">
        <v>41</v>
      </c>
      <c r="K1077" t="s">
        <v>28</v>
      </c>
      <c r="L1077" s="2">
        <v>76.8</v>
      </c>
      <c r="M1077" s="3">
        <v>604</v>
      </c>
      <c r="N1077">
        <v>2</v>
      </c>
      <c r="O1077">
        <v>1</v>
      </c>
      <c r="P1077">
        <v>1</v>
      </c>
      <c r="Q1077">
        <v>0</v>
      </c>
      <c r="R1077" s="4">
        <v>163.82</v>
      </c>
      <c r="S1077">
        <v>0</v>
      </c>
      <c r="T1077">
        <v>1</v>
      </c>
    </row>
    <row r="1078" spans="1:20" ht="16.5" x14ac:dyDescent="0.3">
      <c r="A1078" t="s">
        <v>1124</v>
      </c>
      <c r="B1078" s="1">
        <v>45451</v>
      </c>
      <c r="C1078">
        <v>2024</v>
      </c>
      <c r="D1078" t="s">
        <v>649</v>
      </c>
      <c r="E1078" t="s">
        <v>1079</v>
      </c>
      <c r="F1078" t="s">
        <v>57</v>
      </c>
      <c r="G1078" t="s">
        <v>24</v>
      </c>
      <c r="H1078" t="s">
        <v>36</v>
      </c>
      <c r="I1078" t="s">
        <v>26</v>
      </c>
      <c r="J1078" t="s">
        <v>27</v>
      </c>
      <c r="K1078" t="s">
        <v>32</v>
      </c>
      <c r="L1078" s="2">
        <v>2.5</v>
      </c>
      <c r="M1078" s="3">
        <v>273</v>
      </c>
      <c r="N1078">
        <v>3</v>
      </c>
      <c r="O1078">
        <v>2</v>
      </c>
      <c r="P1078">
        <v>1</v>
      </c>
      <c r="Q1078">
        <v>0</v>
      </c>
      <c r="R1078" s="4">
        <v>11.99</v>
      </c>
      <c r="S1078">
        <v>0</v>
      </c>
      <c r="T1078">
        <v>1</v>
      </c>
    </row>
    <row r="1079" spans="1:20" ht="16.5" x14ac:dyDescent="0.3">
      <c r="A1079" t="s">
        <v>1125</v>
      </c>
      <c r="B1079" s="1">
        <v>45452</v>
      </c>
      <c r="C1079">
        <v>2024</v>
      </c>
      <c r="D1079" t="s">
        <v>649</v>
      </c>
      <c r="E1079" t="s">
        <v>1079</v>
      </c>
      <c r="F1079" t="s">
        <v>57</v>
      </c>
      <c r="G1079" t="s">
        <v>24</v>
      </c>
      <c r="H1079" t="s">
        <v>36</v>
      </c>
      <c r="I1079" t="s">
        <v>31</v>
      </c>
      <c r="J1079" t="s">
        <v>27</v>
      </c>
      <c r="K1079" t="s">
        <v>32</v>
      </c>
      <c r="L1079" s="2">
        <v>11.9</v>
      </c>
      <c r="M1079" s="3">
        <v>202</v>
      </c>
      <c r="N1079">
        <v>5</v>
      </c>
      <c r="O1079">
        <v>5</v>
      </c>
      <c r="P1079">
        <v>1</v>
      </c>
      <c r="Q1079">
        <v>0</v>
      </c>
      <c r="R1079" s="4">
        <v>10.77</v>
      </c>
      <c r="S1079">
        <v>0</v>
      </c>
      <c r="T1079">
        <v>1</v>
      </c>
    </row>
    <row r="1080" spans="1:20" ht="16.5" x14ac:dyDescent="0.3">
      <c r="A1080" t="s">
        <v>1126</v>
      </c>
      <c r="B1080" s="1">
        <v>45452</v>
      </c>
      <c r="C1080">
        <v>2024</v>
      </c>
      <c r="D1080" t="s">
        <v>649</v>
      </c>
      <c r="E1080" t="s">
        <v>1079</v>
      </c>
      <c r="F1080" t="s">
        <v>34</v>
      </c>
      <c r="G1080" t="s">
        <v>39</v>
      </c>
      <c r="H1080" t="s">
        <v>25</v>
      </c>
      <c r="I1080" t="s">
        <v>26</v>
      </c>
      <c r="J1080" t="s">
        <v>27</v>
      </c>
      <c r="K1080" t="s">
        <v>32</v>
      </c>
      <c r="L1080" s="2">
        <v>4.8</v>
      </c>
      <c r="M1080" s="3">
        <v>1013</v>
      </c>
      <c r="N1080">
        <v>4</v>
      </c>
      <c r="O1080">
        <v>4</v>
      </c>
      <c r="P1080">
        <v>1</v>
      </c>
      <c r="Q1080">
        <v>0</v>
      </c>
      <c r="R1080" s="4">
        <v>18.739999999999998</v>
      </c>
      <c r="S1080">
        <v>0</v>
      </c>
      <c r="T1080">
        <v>1</v>
      </c>
    </row>
    <row r="1081" spans="1:20" ht="16.5" x14ac:dyDescent="0.3">
      <c r="A1081" t="s">
        <v>1127</v>
      </c>
      <c r="B1081" s="1">
        <v>45452</v>
      </c>
      <c r="C1081">
        <v>2024</v>
      </c>
      <c r="D1081" t="s">
        <v>649</v>
      </c>
      <c r="E1081" t="s">
        <v>1079</v>
      </c>
      <c r="F1081" t="s">
        <v>57</v>
      </c>
      <c r="G1081" t="s">
        <v>24</v>
      </c>
      <c r="H1081" t="s">
        <v>36</v>
      </c>
      <c r="I1081" t="s">
        <v>26</v>
      </c>
      <c r="J1081" t="s">
        <v>27</v>
      </c>
      <c r="K1081" t="s">
        <v>28</v>
      </c>
      <c r="L1081" s="2">
        <v>163.1</v>
      </c>
      <c r="M1081" s="3">
        <v>200</v>
      </c>
      <c r="N1081">
        <v>3</v>
      </c>
      <c r="O1081">
        <v>2</v>
      </c>
      <c r="P1081">
        <v>1</v>
      </c>
      <c r="Q1081">
        <v>0</v>
      </c>
      <c r="R1081" s="4">
        <v>74.91</v>
      </c>
      <c r="S1081">
        <v>0</v>
      </c>
      <c r="T1081">
        <v>1</v>
      </c>
    </row>
    <row r="1082" spans="1:20" ht="16.5" x14ac:dyDescent="0.3">
      <c r="A1082" t="s">
        <v>1128</v>
      </c>
      <c r="B1082" s="1">
        <v>45453</v>
      </c>
      <c r="C1082">
        <v>2024</v>
      </c>
      <c r="D1082" t="s">
        <v>649</v>
      </c>
      <c r="E1082" t="s">
        <v>1079</v>
      </c>
      <c r="F1082" t="s">
        <v>38</v>
      </c>
      <c r="G1082" t="s">
        <v>39</v>
      </c>
      <c r="H1082" t="s">
        <v>48</v>
      </c>
      <c r="I1082" t="s">
        <v>26</v>
      </c>
      <c r="J1082" t="s">
        <v>27</v>
      </c>
      <c r="K1082" t="s">
        <v>28</v>
      </c>
      <c r="L1082" s="2">
        <v>89</v>
      </c>
      <c r="M1082" s="3">
        <v>488</v>
      </c>
      <c r="N1082">
        <v>4</v>
      </c>
      <c r="O1082">
        <v>3</v>
      </c>
      <c r="P1082">
        <v>1</v>
      </c>
      <c r="Q1082">
        <v>0</v>
      </c>
      <c r="R1082" s="4">
        <v>53.65</v>
      </c>
      <c r="S1082">
        <v>0</v>
      </c>
      <c r="T1082">
        <v>1</v>
      </c>
    </row>
    <row r="1083" spans="1:20" ht="16.5" x14ac:dyDescent="0.3">
      <c r="A1083" t="s">
        <v>1129</v>
      </c>
      <c r="B1083" s="1">
        <v>45453</v>
      </c>
      <c r="C1083">
        <v>2024</v>
      </c>
      <c r="D1083" t="s">
        <v>649</v>
      </c>
      <c r="E1083" t="s">
        <v>1079</v>
      </c>
      <c r="F1083" t="s">
        <v>57</v>
      </c>
      <c r="G1083" t="s">
        <v>35</v>
      </c>
      <c r="H1083" t="s">
        <v>48</v>
      </c>
      <c r="I1083" t="s">
        <v>26</v>
      </c>
      <c r="J1083" t="s">
        <v>27</v>
      </c>
      <c r="K1083" t="s">
        <v>32</v>
      </c>
      <c r="L1083" s="2">
        <v>6.6</v>
      </c>
      <c r="M1083" s="3">
        <v>301</v>
      </c>
      <c r="N1083">
        <v>4</v>
      </c>
      <c r="O1083">
        <v>4</v>
      </c>
      <c r="P1083">
        <v>1</v>
      </c>
      <c r="Q1083">
        <v>0</v>
      </c>
      <c r="R1083" s="4">
        <v>14.23</v>
      </c>
      <c r="S1083">
        <v>0</v>
      </c>
      <c r="T1083">
        <v>1</v>
      </c>
    </row>
    <row r="1084" spans="1:20" ht="16.5" x14ac:dyDescent="0.3">
      <c r="A1084" t="s">
        <v>1130</v>
      </c>
      <c r="B1084" s="1">
        <v>45453</v>
      </c>
      <c r="C1084">
        <v>2024</v>
      </c>
      <c r="D1084" t="s">
        <v>649</v>
      </c>
      <c r="E1084" t="s">
        <v>1079</v>
      </c>
      <c r="F1084" t="s">
        <v>23</v>
      </c>
      <c r="G1084" t="s">
        <v>39</v>
      </c>
      <c r="H1084" t="s">
        <v>51</v>
      </c>
      <c r="I1084" t="s">
        <v>31</v>
      </c>
      <c r="J1084" t="s">
        <v>27</v>
      </c>
      <c r="K1084" t="s">
        <v>32</v>
      </c>
      <c r="L1084" s="2">
        <v>14.3</v>
      </c>
      <c r="M1084" s="3">
        <v>1316</v>
      </c>
      <c r="N1084">
        <v>7</v>
      </c>
      <c r="O1084">
        <v>7</v>
      </c>
      <c r="P1084">
        <v>1</v>
      </c>
      <c r="Q1084">
        <v>0</v>
      </c>
      <c r="R1084" s="4">
        <v>21.39</v>
      </c>
      <c r="S1084">
        <v>0</v>
      </c>
      <c r="T1084">
        <v>1</v>
      </c>
    </row>
    <row r="1085" spans="1:20" ht="16.5" x14ac:dyDescent="0.3">
      <c r="A1085" t="s">
        <v>1131</v>
      </c>
      <c r="B1085" s="1">
        <v>45453</v>
      </c>
      <c r="C1085">
        <v>2024</v>
      </c>
      <c r="D1085" t="s">
        <v>649</v>
      </c>
      <c r="E1085" t="s">
        <v>1079</v>
      </c>
      <c r="F1085" t="s">
        <v>57</v>
      </c>
      <c r="G1085" t="s">
        <v>39</v>
      </c>
      <c r="H1085" t="s">
        <v>51</v>
      </c>
      <c r="I1085" t="s">
        <v>40</v>
      </c>
      <c r="J1085" t="s">
        <v>41</v>
      </c>
      <c r="K1085" t="s">
        <v>28</v>
      </c>
      <c r="L1085" s="2">
        <v>69.900000000000006</v>
      </c>
      <c r="M1085" s="3">
        <v>1139</v>
      </c>
      <c r="N1085">
        <v>3</v>
      </c>
      <c r="O1085">
        <v>3</v>
      </c>
      <c r="P1085">
        <v>1</v>
      </c>
      <c r="Q1085">
        <v>0</v>
      </c>
      <c r="R1085" s="4">
        <v>148.55000000000001</v>
      </c>
      <c r="S1085">
        <v>0</v>
      </c>
      <c r="T1085">
        <v>1</v>
      </c>
    </row>
    <row r="1086" spans="1:20" ht="16.5" x14ac:dyDescent="0.3">
      <c r="A1086" t="s">
        <v>1132</v>
      </c>
      <c r="B1086" s="1">
        <v>45453</v>
      </c>
      <c r="C1086">
        <v>2024</v>
      </c>
      <c r="D1086" t="s">
        <v>649</v>
      </c>
      <c r="E1086" t="s">
        <v>1079</v>
      </c>
      <c r="F1086" t="s">
        <v>30</v>
      </c>
      <c r="G1086" t="s">
        <v>24</v>
      </c>
      <c r="H1086" t="s">
        <v>25</v>
      </c>
      <c r="I1086" t="s">
        <v>31</v>
      </c>
      <c r="J1086" t="s">
        <v>27</v>
      </c>
      <c r="K1086" t="s">
        <v>32</v>
      </c>
      <c r="L1086" s="2">
        <v>21.3</v>
      </c>
      <c r="M1086" s="3">
        <v>1030</v>
      </c>
      <c r="N1086">
        <v>6</v>
      </c>
      <c r="O1086">
        <v>6</v>
      </c>
      <c r="P1086">
        <v>1</v>
      </c>
      <c r="Q1086">
        <v>0</v>
      </c>
      <c r="R1086" s="4">
        <v>23.98</v>
      </c>
      <c r="S1086">
        <v>0</v>
      </c>
      <c r="T1086">
        <v>1</v>
      </c>
    </row>
    <row r="1087" spans="1:20" ht="16.5" x14ac:dyDescent="0.3">
      <c r="A1087" t="s">
        <v>1133</v>
      </c>
      <c r="B1087" s="1">
        <v>45453</v>
      </c>
      <c r="C1087">
        <v>2024</v>
      </c>
      <c r="D1087" t="s">
        <v>649</v>
      </c>
      <c r="E1087" t="s">
        <v>1079</v>
      </c>
      <c r="F1087" t="s">
        <v>30</v>
      </c>
      <c r="G1087" t="s">
        <v>39</v>
      </c>
      <c r="H1087" t="s">
        <v>48</v>
      </c>
      <c r="I1087" t="s">
        <v>26</v>
      </c>
      <c r="J1087" t="s">
        <v>27</v>
      </c>
      <c r="K1087" t="s">
        <v>28</v>
      </c>
      <c r="L1087" s="2">
        <v>174.9</v>
      </c>
      <c r="M1087" s="3">
        <v>497</v>
      </c>
      <c r="N1087">
        <v>4</v>
      </c>
      <c r="O1087">
        <v>3</v>
      </c>
      <c r="P1087">
        <v>1</v>
      </c>
      <c r="Q1087">
        <v>0</v>
      </c>
      <c r="R1087" s="4">
        <v>85.21</v>
      </c>
      <c r="S1087">
        <v>0</v>
      </c>
      <c r="T1087">
        <v>1</v>
      </c>
    </row>
    <row r="1088" spans="1:20" ht="16.5" x14ac:dyDescent="0.3">
      <c r="A1088" t="s">
        <v>1134</v>
      </c>
      <c r="B1088" s="1">
        <v>45453</v>
      </c>
      <c r="C1088">
        <v>2024</v>
      </c>
      <c r="D1088" t="s">
        <v>649</v>
      </c>
      <c r="E1088" t="s">
        <v>1079</v>
      </c>
      <c r="F1088" t="s">
        <v>23</v>
      </c>
      <c r="G1088" t="s">
        <v>24</v>
      </c>
      <c r="H1088" t="s">
        <v>36</v>
      </c>
      <c r="I1088" t="s">
        <v>31</v>
      </c>
      <c r="J1088" t="s">
        <v>27</v>
      </c>
      <c r="K1088" t="s">
        <v>32</v>
      </c>
      <c r="L1088" s="2">
        <v>3.4</v>
      </c>
      <c r="M1088" s="3">
        <v>275</v>
      </c>
      <c r="N1088">
        <v>5</v>
      </c>
      <c r="O1088">
        <v>4</v>
      </c>
      <c r="P1088">
        <v>1</v>
      </c>
      <c r="Q1088">
        <v>0</v>
      </c>
      <c r="R1088" s="4">
        <v>8.08</v>
      </c>
      <c r="S1088">
        <v>0</v>
      </c>
      <c r="T1088">
        <v>1</v>
      </c>
    </row>
    <row r="1089" spans="1:20" ht="16.5" x14ac:dyDescent="0.3">
      <c r="A1089" t="s">
        <v>1135</v>
      </c>
      <c r="B1089" s="1">
        <v>45454</v>
      </c>
      <c r="C1089">
        <v>2024</v>
      </c>
      <c r="D1089" t="s">
        <v>649</v>
      </c>
      <c r="E1089" t="s">
        <v>1079</v>
      </c>
      <c r="F1089" t="s">
        <v>34</v>
      </c>
      <c r="G1089" t="s">
        <v>24</v>
      </c>
      <c r="H1089" t="s">
        <v>36</v>
      </c>
      <c r="I1089" t="s">
        <v>40</v>
      </c>
      <c r="J1089" t="s">
        <v>27</v>
      </c>
      <c r="K1089" t="s">
        <v>28</v>
      </c>
      <c r="L1089" s="2">
        <v>187.4</v>
      </c>
      <c r="M1089" s="3">
        <v>282</v>
      </c>
      <c r="N1089">
        <v>1</v>
      </c>
      <c r="O1089">
        <v>2</v>
      </c>
      <c r="P1089">
        <v>0</v>
      </c>
      <c r="Q1089">
        <v>1</v>
      </c>
      <c r="R1089" s="4">
        <v>143.1</v>
      </c>
      <c r="S1089">
        <v>0</v>
      </c>
      <c r="T1089">
        <v>1</v>
      </c>
    </row>
    <row r="1090" spans="1:20" ht="16.5" x14ac:dyDescent="0.3">
      <c r="A1090" t="s">
        <v>1136</v>
      </c>
      <c r="B1090" s="1">
        <v>45454</v>
      </c>
      <c r="C1090">
        <v>2024</v>
      </c>
      <c r="D1090" t="s">
        <v>649</v>
      </c>
      <c r="E1090" t="s">
        <v>1079</v>
      </c>
      <c r="F1090" t="s">
        <v>30</v>
      </c>
      <c r="G1090" t="s">
        <v>39</v>
      </c>
      <c r="H1090" t="s">
        <v>48</v>
      </c>
      <c r="I1090" t="s">
        <v>26</v>
      </c>
      <c r="J1090" t="s">
        <v>27</v>
      </c>
      <c r="K1090" t="s">
        <v>32</v>
      </c>
      <c r="L1090" s="2">
        <v>15</v>
      </c>
      <c r="M1090" s="3">
        <v>391</v>
      </c>
      <c r="N1090">
        <v>4</v>
      </c>
      <c r="O1090">
        <v>4</v>
      </c>
      <c r="P1090">
        <v>1</v>
      </c>
      <c r="Q1090">
        <v>0</v>
      </c>
      <c r="R1090" s="4">
        <v>19.670000000000002</v>
      </c>
      <c r="S1090">
        <v>0</v>
      </c>
      <c r="T1090">
        <v>1</v>
      </c>
    </row>
    <row r="1091" spans="1:20" ht="16.5" x14ac:dyDescent="0.3">
      <c r="A1091" t="s">
        <v>1137</v>
      </c>
      <c r="B1091" s="1">
        <v>45454</v>
      </c>
      <c r="C1091">
        <v>2024</v>
      </c>
      <c r="D1091" t="s">
        <v>649</v>
      </c>
      <c r="E1091" t="s">
        <v>1079</v>
      </c>
      <c r="F1091" t="s">
        <v>57</v>
      </c>
      <c r="G1091" t="s">
        <v>35</v>
      </c>
      <c r="H1091" t="s">
        <v>25</v>
      </c>
      <c r="I1091" t="s">
        <v>26</v>
      </c>
      <c r="J1091" t="s">
        <v>27</v>
      </c>
      <c r="K1091" t="s">
        <v>28</v>
      </c>
      <c r="L1091" s="2">
        <v>62.5</v>
      </c>
      <c r="M1091" s="3">
        <v>998</v>
      </c>
      <c r="N1091">
        <v>4</v>
      </c>
      <c r="O1091">
        <v>4</v>
      </c>
      <c r="P1091">
        <v>1</v>
      </c>
      <c r="Q1091">
        <v>0</v>
      </c>
      <c r="R1091" s="4">
        <v>44.69</v>
      </c>
      <c r="S1091">
        <v>0</v>
      </c>
      <c r="T1091">
        <v>1</v>
      </c>
    </row>
    <row r="1092" spans="1:20" ht="16.5" x14ac:dyDescent="0.3">
      <c r="A1092" t="s">
        <v>1138</v>
      </c>
      <c r="B1092" s="1">
        <v>45454</v>
      </c>
      <c r="C1092">
        <v>2024</v>
      </c>
      <c r="D1092" t="s">
        <v>649</v>
      </c>
      <c r="E1092" t="s">
        <v>1079</v>
      </c>
      <c r="F1092" t="s">
        <v>30</v>
      </c>
      <c r="G1092" t="s">
        <v>24</v>
      </c>
      <c r="H1092" t="s">
        <v>43</v>
      </c>
      <c r="I1092" t="s">
        <v>31</v>
      </c>
      <c r="J1092" t="s">
        <v>27</v>
      </c>
      <c r="K1092" t="s">
        <v>32</v>
      </c>
      <c r="L1092" s="2">
        <v>7.3</v>
      </c>
      <c r="M1092" s="3">
        <v>1464</v>
      </c>
      <c r="N1092">
        <v>7</v>
      </c>
      <c r="O1092">
        <v>7</v>
      </c>
      <c r="P1092">
        <v>1</v>
      </c>
      <c r="Q1092">
        <v>0</v>
      </c>
      <c r="R1092" s="4">
        <v>21.12</v>
      </c>
      <c r="S1092">
        <v>0</v>
      </c>
      <c r="T1092">
        <v>1</v>
      </c>
    </row>
    <row r="1093" spans="1:20" ht="16.5" x14ac:dyDescent="0.3">
      <c r="A1093" t="s">
        <v>1139</v>
      </c>
      <c r="B1093" s="1">
        <v>45454</v>
      </c>
      <c r="C1093">
        <v>2024</v>
      </c>
      <c r="D1093" t="s">
        <v>649</v>
      </c>
      <c r="E1093" t="s">
        <v>1079</v>
      </c>
      <c r="F1093" t="s">
        <v>57</v>
      </c>
      <c r="G1093" t="s">
        <v>39</v>
      </c>
      <c r="H1093" t="s">
        <v>25</v>
      </c>
      <c r="I1093" t="s">
        <v>26</v>
      </c>
      <c r="J1093" t="s">
        <v>27</v>
      </c>
      <c r="K1093" t="s">
        <v>32</v>
      </c>
      <c r="L1093" s="2">
        <v>18.8</v>
      </c>
      <c r="M1093" s="3">
        <v>741</v>
      </c>
      <c r="N1093">
        <v>4</v>
      </c>
      <c r="O1093">
        <v>4</v>
      </c>
      <c r="P1093">
        <v>1</v>
      </c>
      <c r="Q1093">
        <v>0</v>
      </c>
      <c r="R1093" s="4">
        <v>26.53</v>
      </c>
      <c r="S1093">
        <v>0</v>
      </c>
      <c r="T1093">
        <v>1</v>
      </c>
    </row>
    <row r="1094" spans="1:20" ht="16.5" x14ac:dyDescent="0.3">
      <c r="A1094" t="s">
        <v>1140</v>
      </c>
      <c r="B1094" s="1">
        <v>45454</v>
      </c>
      <c r="C1094">
        <v>2024</v>
      </c>
      <c r="D1094" t="s">
        <v>649</v>
      </c>
      <c r="E1094" t="s">
        <v>1079</v>
      </c>
      <c r="F1094" t="s">
        <v>38</v>
      </c>
      <c r="G1094" t="s">
        <v>39</v>
      </c>
      <c r="H1094" t="s">
        <v>25</v>
      </c>
      <c r="I1094" t="s">
        <v>26</v>
      </c>
      <c r="J1094" t="s">
        <v>27</v>
      </c>
      <c r="K1094" t="s">
        <v>28</v>
      </c>
      <c r="L1094" s="2">
        <v>88.5</v>
      </c>
      <c r="M1094" s="3">
        <v>785</v>
      </c>
      <c r="N1094">
        <v>4</v>
      </c>
      <c r="O1094">
        <v>4</v>
      </c>
      <c r="P1094">
        <v>1</v>
      </c>
      <c r="Q1094">
        <v>0</v>
      </c>
      <c r="R1094" s="4">
        <v>61.98</v>
      </c>
      <c r="S1094">
        <v>0</v>
      </c>
      <c r="T1094">
        <v>1</v>
      </c>
    </row>
    <row r="1095" spans="1:20" ht="16.5" x14ac:dyDescent="0.3">
      <c r="A1095" t="s">
        <v>1141</v>
      </c>
      <c r="B1095" s="1">
        <v>45454</v>
      </c>
      <c r="C1095">
        <v>2024</v>
      </c>
      <c r="D1095" t="s">
        <v>649</v>
      </c>
      <c r="E1095" t="s">
        <v>1079</v>
      </c>
      <c r="F1095" t="s">
        <v>30</v>
      </c>
      <c r="G1095" t="s">
        <v>24</v>
      </c>
      <c r="H1095" t="s">
        <v>36</v>
      </c>
      <c r="I1095" t="s">
        <v>40</v>
      </c>
      <c r="J1095" t="s">
        <v>27</v>
      </c>
      <c r="K1095" t="s">
        <v>28</v>
      </c>
      <c r="L1095" s="2">
        <v>67.099999999999994</v>
      </c>
      <c r="M1095" s="3">
        <v>316</v>
      </c>
      <c r="N1095">
        <v>1</v>
      </c>
      <c r="O1095">
        <v>2</v>
      </c>
      <c r="P1095">
        <v>0</v>
      </c>
      <c r="Q1095">
        <v>1</v>
      </c>
      <c r="R1095" s="4">
        <v>86.97</v>
      </c>
      <c r="S1095">
        <v>0</v>
      </c>
      <c r="T1095">
        <v>1</v>
      </c>
    </row>
    <row r="1096" spans="1:20" ht="16.5" x14ac:dyDescent="0.3">
      <c r="A1096" t="s">
        <v>1142</v>
      </c>
      <c r="B1096" s="1">
        <v>45454</v>
      </c>
      <c r="C1096">
        <v>2024</v>
      </c>
      <c r="D1096" t="s">
        <v>649</v>
      </c>
      <c r="E1096" t="s">
        <v>1079</v>
      </c>
      <c r="F1096" t="s">
        <v>57</v>
      </c>
      <c r="G1096" t="s">
        <v>35</v>
      </c>
      <c r="H1096" t="s">
        <v>25</v>
      </c>
      <c r="I1096" t="s">
        <v>31</v>
      </c>
      <c r="J1096" t="s">
        <v>27</v>
      </c>
      <c r="K1096" t="s">
        <v>28</v>
      </c>
      <c r="L1096" s="2">
        <v>144.1</v>
      </c>
      <c r="M1096" s="3">
        <v>984</v>
      </c>
      <c r="N1096">
        <v>6</v>
      </c>
      <c r="O1096">
        <v>6</v>
      </c>
      <c r="P1096">
        <v>1</v>
      </c>
      <c r="Q1096">
        <v>0</v>
      </c>
      <c r="R1096" s="4">
        <v>53.58</v>
      </c>
      <c r="S1096">
        <v>0</v>
      </c>
      <c r="T1096">
        <v>1</v>
      </c>
    </row>
    <row r="1097" spans="1:20" ht="16.5" x14ac:dyDescent="0.3">
      <c r="A1097" t="s">
        <v>1143</v>
      </c>
      <c r="B1097" s="1">
        <v>45454</v>
      </c>
      <c r="C1097">
        <v>2024</v>
      </c>
      <c r="D1097" t="s">
        <v>649</v>
      </c>
      <c r="E1097" t="s">
        <v>1079</v>
      </c>
      <c r="F1097" t="s">
        <v>34</v>
      </c>
      <c r="G1097" t="s">
        <v>35</v>
      </c>
      <c r="H1097" t="s">
        <v>25</v>
      </c>
      <c r="I1097" t="s">
        <v>26</v>
      </c>
      <c r="J1097" t="s">
        <v>27</v>
      </c>
      <c r="K1097" t="s">
        <v>32</v>
      </c>
      <c r="L1097" s="2">
        <v>14.2</v>
      </c>
      <c r="M1097" s="3">
        <v>579</v>
      </c>
      <c r="N1097">
        <v>4</v>
      </c>
      <c r="O1097">
        <v>5</v>
      </c>
      <c r="P1097">
        <v>0</v>
      </c>
      <c r="Q1097">
        <v>1</v>
      </c>
      <c r="R1097" s="4">
        <v>18.73</v>
      </c>
      <c r="S1097">
        <v>0</v>
      </c>
      <c r="T1097">
        <v>1</v>
      </c>
    </row>
    <row r="1098" spans="1:20" ht="16.5" x14ac:dyDescent="0.3">
      <c r="A1098" t="s">
        <v>1144</v>
      </c>
      <c r="B1098" s="1">
        <v>45454</v>
      </c>
      <c r="C1098">
        <v>2024</v>
      </c>
      <c r="D1098" t="s">
        <v>649</v>
      </c>
      <c r="E1098" t="s">
        <v>1079</v>
      </c>
      <c r="F1098" t="s">
        <v>57</v>
      </c>
      <c r="G1098" t="s">
        <v>39</v>
      </c>
      <c r="H1098" t="s">
        <v>36</v>
      </c>
      <c r="I1098" t="s">
        <v>40</v>
      </c>
      <c r="J1098" t="s">
        <v>27</v>
      </c>
      <c r="K1098" t="s">
        <v>28</v>
      </c>
      <c r="L1098" s="2">
        <v>382</v>
      </c>
      <c r="M1098" s="3">
        <v>262</v>
      </c>
      <c r="N1098">
        <v>1</v>
      </c>
      <c r="O1098">
        <v>1</v>
      </c>
      <c r="P1098">
        <v>1</v>
      </c>
      <c r="Q1098">
        <v>0</v>
      </c>
      <c r="R1098" s="4">
        <v>295.19</v>
      </c>
      <c r="S1098">
        <v>0</v>
      </c>
      <c r="T1098">
        <v>1</v>
      </c>
    </row>
    <row r="1099" spans="1:20" ht="16.5" x14ac:dyDescent="0.3">
      <c r="A1099" t="s">
        <v>1145</v>
      </c>
      <c r="B1099" s="1">
        <v>45454</v>
      </c>
      <c r="C1099">
        <v>2024</v>
      </c>
      <c r="D1099" t="s">
        <v>649</v>
      </c>
      <c r="E1099" t="s">
        <v>1079</v>
      </c>
      <c r="F1099" t="s">
        <v>30</v>
      </c>
      <c r="G1099" t="s">
        <v>35</v>
      </c>
      <c r="H1099" t="s">
        <v>51</v>
      </c>
      <c r="I1099" t="s">
        <v>31</v>
      </c>
      <c r="J1099" t="s">
        <v>27</v>
      </c>
      <c r="K1099" t="s">
        <v>32</v>
      </c>
      <c r="L1099" s="2">
        <v>12.7</v>
      </c>
      <c r="M1099" s="3">
        <v>1002</v>
      </c>
      <c r="N1099">
        <v>7</v>
      </c>
      <c r="O1099">
        <v>7</v>
      </c>
      <c r="P1099">
        <v>1</v>
      </c>
      <c r="Q1099">
        <v>0</v>
      </c>
      <c r="R1099" s="4">
        <v>18.28</v>
      </c>
      <c r="S1099">
        <v>0</v>
      </c>
      <c r="T1099">
        <v>1</v>
      </c>
    </row>
    <row r="1100" spans="1:20" ht="16.5" x14ac:dyDescent="0.3">
      <c r="A1100" t="s">
        <v>1146</v>
      </c>
      <c r="B1100" s="1">
        <v>45455</v>
      </c>
      <c r="C1100">
        <v>2024</v>
      </c>
      <c r="D1100" t="s">
        <v>649</v>
      </c>
      <c r="E1100" t="s">
        <v>1079</v>
      </c>
      <c r="F1100" t="s">
        <v>30</v>
      </c>
      <c r="G1100" t="s">
        <v>39</v>
      </c>
      <c r="H1100" t="s">
        <v>48</v>
      </c>
      <c r="I1100" t="s">
        <v>26</v>
      </c>
      <c r="J1100" t="s">
        <v>27</v>
      </c>
      <c r="K1100" t="s">
        <v>32</v>
      </c>
      <c r="L1100" s="2">
        <v>3.7</v>
      </c>
      <c r="M1100" s="3">
        <v>494</v>
      </c>
      <c r="N1100">
        <v>4</v>
      </c>
      <c r="O1100">
        <v>4</v>
      </c>
      <c r="P1100">
        <v>1</v>
      </c>
      <c r="Q1100">
        <v>0</v>
      </c>
      <c r="R1100" s="4">
        <v>15.13</v>
      </c>
      <c r="S1100">
        <v>0</v>
      </c>
      <c r="T1100">
        <v>1</v>
      </c>
    </row>
    <row r="1101" spans="1:20" ht="16.5" x14ac:dyDescent="0.3">
      <c r="A1101" t="s">
        <v>1147</v>
      </c>
      <c r="B1101" s="1">
        <v>45455</v>
      </c>
      <c r="C1101">
        <v>2024</v>
      </c>
      <c r="D1101" t="s">
        <v>649</v>
      </c>
      <c r="E1101" t="s">
        <v>1079</v>
      </c>
      <c r="F1101" t="s">
        <v>57</v>
      </c>
      <c r="G1101" t="s">
        <v>35</v>
      </c>
      <c r="H1101" t="s">
        <v>43</v>
      </c>
      <c r="I1101" t="s">
        <v>26</v>
      </c>
      <c r="J1101" t="s">
        <v>27</v>
      </c>
      <c r="K1101" t="s">
        <v>28</v>
      </c>
      <c r="L1101" s="2">
        <v>147.9</v>
      </c>
      <c r="M1101" s="3">
        <v>1627</v>
      </c>
      <c r="N1101">
        <v>5</v>
      </c>
      <c r="O1101">
        <v>5</v>
      </c>
      <c r="P1101">
        <v>1</v>
      </c>
      <c r="Q1101">
        <v>0</v>
      </c>
      <c r="R1101" s="4">
        <v>92.62</v>
      </c>
      <c r="S1101">
        <v>0</v>
      </c>
      <c r="T1101">
        <v>1</v>
      </c>
    </row>
    <row r="1102" spans="1:20" ht="16.5" x14ac:dyDescent="0.3">
      <c r="A1102" t="s">
        <v>1148</v>
      </c>
      <c r="B1102" s="1">
        <v>45455</v>
      </c>
      <c r="C1102">
        <v>2024</v>
      </c>
      <c r="D1102" t="s">
        <v>649</v>
      </c>
      <c r="E1102" t="s">
        <v>1079</v>
      </c>
      <c r="F1102" t="s">
        <v>38</v>
      </c>
      <c r="G1102" t="s">
        <v>39</v>
      </c>
      <c r="H1102" t="s">
        <v>48</v>
      </c>
      <c r="I1102" t="s">
        <v>31</v>
      </c>
      <c r="J1102" t="s">
        <v>27</v>
      </c>
      <c r="K1102" t="s">
        <v>32</v>
      </c>
      <c r="L1102" s="2">
        <v>8.3000000000000007</v>
      </c>
      <c r="M1102" s="3">
        <v>489</v>
      </c>
      <c r="N1102">
        <v>6</v>
      </c>
      <c r="O1102">
        <v>7</v>
      </c>
      <c r="P1102">
        <v>0</v>
      </c>
      <c r="Q1102">
        <v>1</v>
      </c>
      <c r="R1102" s="4">
        <v>15.44</v>
      </c>
      <c r="S1102">
        <v>0</v>
      </c>
      <c r="T1102">
        <v>1</v>
      </c>
    </row>
    <row r="1103" spans="1:20" ht="16.5" x14ac:dyDescent="0.3">
      <c r="A1103" t="s">
        <v>1149</v>
      </c>
      <c r="B1103" s="1">
        <v>45455</v>
      </c>
      <c r="C1103">
        <v>2024</v>
      </c>
      <c r="D1103" t="s">
        <v>649</v>
      </c>
      <c r="E1103" t="s">
        <v>1079</v>
      </c>
      <c r="F1103" t="s">
        <v>57</v>
      </c>
      <c r="G1103" t="s">
        <v>39</v>
      </c>
      <c r="H1103" t="s">
        <v>36</v>
      </c>
      <c r="I1103" t="s">
        <v>40</v>
      </c>
      <c r="J1103" t="s">
        <v>27</v>
      </c>
      <c r="K1103" t="s">
        <v>32</v>
      </c>
      <c r="L1103" s="2">
        <v>13.4</v>
      </c>
      <c r="M1103" s="3">
        <v>186</v>
      </c>
      <c r="N1103">
        <v>1</v>
      </c>
      <c r="O1103">
        <v>1</v>
      </c>
      <c r="P1103">
        <v>1</v>
      </c>
      <c r="Q1103">
        <v>0</v>
      </c>
      <c r="R1103" s="4">
        <v>29.73</v>
      </c>
      <c r="S1103">
        <v>0</v>
      </c>
      <c r="T1103">
        <v>1</v>
      </c>
    </row>
    <row r="1104" spans="1:20" ht="16.5" x14ac:dyDescent="0.3">
      <c r="A1104" t="s">
        <v>1150</v>
      </c>
      <c r="B1104" s="1">
        <v>45455</v>
      </c>
      <c r="C1104">
        <v>2024</v>
      </c>
      <c r="D1104" t="s">
        <v>649</v>
      </c>
      <c r="E1104" t="s">
        <v>1079</v>
      </c>
      <c r="F1104" t="s">
        <v>30</v>
      </c>
      <c r="G1104" t="s">
        <v>39</v>
      </c>
      <c r="H1104" t="s">
        <v>51</v>
      </c>
      <c r="I1104" t="s">
        <v>26</v>
      </c>
      <c r="J1104" t="s">
        <v>27</v>
      </c>
      <c r="K1104" t="s">
        <v>32</v>
      </c>
      <c r="L1104" s="2">
        <v>4.4000000000000004</v>
      </c>
      <c r="M1104" s="3">
        <v>1096</v>
      </c>
      <c r="N1104">
        <v>5</v>
      </c>
      <c r="O1104">
        <v>5</v>
      </c>
      <c r="P1104">
        <v>1</v>
      </c>
      <c r="Q1104">
        <v>0</v>
      </c>
      <c r="R1104" s="4">
        <v>23.27</v>
      </c>
      <c r="S1104">
        <v>0</v>
      </c>
      <c r="T1104">
        <v>1</v>
      </c>
    </row>
    <row r="1105" spans="1:20" ht="16.5" x14ac:dyDescent="0.3">
      <c r="A1105" t="s">
        <v>1151</v>
      </c>
      <c r="B1105" s="1">
        <v>45456</v>
      </c>
      <c r="C1105">
        <v>2024</v>
      </c>
      <c r="D1105" t="s">
        <v>649</v>
      </c>
      <c r="E1105" t="s">
        <v>1079</v>
      </c>
      <c r="F1105" t="s">
        <v>23</v>
      </c>
      <c r="G1105" t="s">
        <v>35</v>
      </c>
      <c r="H1105" t="s">
        <v>36</v>
      </c>
      <c r="I1105" t="s">
        <v>40</v>
      </c>
      <c r="J1105" t="s">
        <v>27</v>
      </c>
      <c r="K1105" t="s">
        <v>32</v>
      </c>
      <c r="L1105" s="2">
        <v>1.3</v>
      </c>
      <c r="M1105" s="3">
        <v>184</v>
      </c>
      <c r="N1105">
        <v>1</v>
      </c>
      <c r="O1105">
        <v>1</v>
      </c>
      <c r="P1105">
        <v>1</v>
      </c>
      <c r="Q1105">
        <v>0</v>
      </c>
      <c r="R1105" s="4">
        <v>17.54</v>
      </c>
      <c r="S1105">
        <v>0</v>
      </c>
      <c r="T1105">
        <v>1</v>
      </c>
    </row>
    <row r="1106" spans="1:20" ht="16.5" x14ac:dyDescent="0.3">
      <c r="A1106" t="s">
        <v>1152</v>
      </c>
      <c r="B1106" s="1">
        <v>45456</v>
      </c>
      <c r="C1106">
        <v>2024</v>
      </c>
      <c r="D1106" t="s">
        <v>649</v>
      </c>
      <c r="E1106" t="s">
        <v>1079</v>
      </c>
      <c r="F1106" t="s">
        <v>30</v>
      </c>
      <c r="G1106" t="s">
        <v>24</v>
      </c>
      <c r="H1106" t="s">
        <v>51</v>
      </c>
      <c r="I1106" t="s">
        <v>26</v>
      </c>
      <c r="J1106" t="s">
        <v>27</v>
      </c>
      <c r="K1106" t="s">
        <v>32</v>
      </c>
      <c r="L1106" s="2">
        <v>8.1999999999999993</v>
      </c>
      <c r="M1106" s="3">
        <v>1161</v>
      </c>
      <c r="N1106">
        <v>5</v>
      </c>
      <c r="O1106">
        <v>5</v>
      </c>
      <c r="P1106">
        <v>1</v>
      </c>
      <c r="Q1106">
        <v>0</v>
      </c>
      <c r="R1106" s="4">
        <v>25.69</v>
      </c>
      <c r="S1106">
        <v>0</v>
      </c>
      <c r="T1106">
        <v>1</v>
      </c>
    </row>
    <row r="1107" spans="1:20" ht="16.5" x14ac:dyDescent="0.3">
      <c r="A1107" t="s">
        <v>1153</v>
      </c>
      <c r="B1107" s="1">
        <v>45456</v>
      </c>
      <c r="C1107">
        <v>2024</v>
      </c>
      <c r="D1107" t="s">
        <v>649</v>
      </c>
      <c r="E1107" t="s">
        <v>1079</v>
      </c>
      <c r="F1107" t="s">
        <v>34</v>
      </c>
      <c r="G1107" t="s">
        <v>39</v>
      </c>
      <c r="H1107" t="s">
        <v>43</v>
      </c>
      <c r="I1107" t="s">
        <v>26</v>
      </c>
      <c r="J1107" t="s">
        <v>27</v>
      </c>
      <c r="K1107" t="s">
        <v>32</v>
      </c>
      <c r="L1107" s="2">
        <v>1.9</v>
      </c>
      <c r="M1107" s="3">
        <v>1273</v>
      </c>
      <c r="N1107">
        <v>5</v>
      </c>
      <c r="O1107">
        <v>5</v>
      </c>
      <c r="P1107">
        <v>1</v>
      </c>
      <c r="Q1107">
        <v>0</v>
      </c>
      <c r="R1107" s="4">
        <v>20.8</v>
      </c>
      <c r="S1107">
        <v>0</v>
      </c>
      <c r="T1107">
        <v>1</v>
      </c>
    </row>
    <row r="1108" spans="1:20" ht="16.5" x14ac:dyDescent="0.3">
      <c r="A1108" t="s">
        <v>1154</v>
      </c>
      <c r="B1108" s="1">
        <v>45456</v>
      </c>
      <c r="C1108">
        <v>2024</v>
      </c>
      <c r="D1108" t="s">
        <v>649</v>
      </c>
      <c r="E1108" t="s">
        <v>1079</v>
      </c>
      <c r="F1108" t="s">
        <v>38</v>
      </c>
      <c r="G1108" t="s">
        <v>24</v>
      </c>
      <c r="H1108" t="s">
        <v>43</v>
      </c>
      <c r="I1108" t="s">
        <v>26</v>
      </c>
      <c r="J1108" t="s">
        <v>27</v>
      </c>
      <c r="K1108" t="s">
        <v>32</v>
      </c>
      <c r="L1108" s="2">
        <v>2.4</v>
      </c>
      <c r="M1108" s="3">
        <v>1039</v>
      </c>
      <c r="N1108">
        <v>5</v>
      </c>
      <c r="O1108">
        <v>5</v>
      </c>
      <c r="P1108">
        <v>1</v>
      </c>
      <c r="Q1108">
        <v>0</v>
      </c>
      <c r="R1108" s="4">
        <v>22.47</v>
      </c>
      <c r="S1108">
        <v>0</v>
      </c>
      <c r="T1108">
        <v>1</v>
      </c>
    </row>
    <row r="1109" spans="1:20" ht="16.5" x14ac:dyDescent="0.3">
      <c r="A1109" t="s">
        <v>1155</v>
      </c>
      <c r="B1109" s="1">
        <v>45456</v>
      </c>
      <c r="C1109">
        <v>2024</v>
      </c>
      <c r="D1109" t="s">
        <v>649</v>
      </c>
      <c r="E1109" t="s">
        <v>1079</v>
      </c>
      <c r="F1109" t="s">
        <v>34</v>
      </c>
      <c r="G1109" t="s">
        <v>39</v>
      </c>
      <c r="H1109" t="s">
        <v>43</v>
      </c>
      <c r="I1109" t="s">
        <v>26</v>
      </c>
      <c r="J1109" t="s">
        <v>27</v>
      </c>
      <c r="K1109" t="s">
        <v>28</v>
      </c>
      <c r="L1109" s="2">
        <v>86.7</v>
      </c>
      <c r="M1109" s="3">
        <v>864</v>
      </c>
      <c r="N1109">
        <v>5</v>
      </c>
      <c r="O1109">
        <v>4</v>
      </c>
      <c r="P1109">
        <v>1</v>
      </c>
      <c r="Q1109">
        <v>0</v>
      </c>
      <c r="R1109" s="4">
        <v>48.53</v>
      </c>
      <c r="S1109">
        <v>0</v>
      </c>
      <c r="T1109">
        <v>1</v>
      </c>
    </row>
    <row r="1110" spans="1:20" ht="16.5" x14ac:dyDescent="0.3">
      <c r="A1110" t="s">
        <v>1156</v>
      </c>
      <c r="B1110" s="1">
        <v>45456</v>
      </c>
      <c r="C1110">
        <v>2024</v>
      </c>
      <c r="D1110" t="s">
        <v>649</v>
      </c>
      <c r="E1110" t="s">
        <v>1079</v>
      </c>
      <c r="F1110" t="s">
        <v>34</v>
      </c>
      <c r="G1110" t="s">
        <v>39</v>
      </c>
      <c r="H1110" t="s">
        <v>48</v>
      </c>
      <c r="I1110" t="s">
        <v>26</v>
      </c>
      <c r="J1110" t="s">
        <v>27</v>
      </c>
      <c r="K1110" t="s">
        <v>32</v>
      </c>
      <c r="L1110" s="2">
        <v>3.7</v>
      </c>
      <c r="M1110" s="3">
        <v>516</v>
      </c>
      <c r="N1110">
        <v>4</v>
      </c>
      <c r="O1110">
        <v>4</v>
      </c>
      <c r="P1110">
        <v>1</v>
      </c>
      <c r="Q1110">
        <v>0</v>
      </c>
      <c r="R1110" s="4">
        <v>10.72</v>
      </c>
      <c r="S1110">
        <v>0</v>
      </c>
      <c r="T1110">
        <v>1</v>
      </c>
    </row>
    <row r="1111" spans="1:20" ht="16.5" x14ac:dyDescent="0.3">
      <c r="A1111" t="s">
        <v>1157</v>
      </c>
      <c r="B1111" s="1">
        <v>45456</v>
      </c>
      <c r="C1111">
        <v>2024</v>
      </c>
      <c r="D1111" t="s">
        <v>649</v>
      </c>
      <c r="E1111" t="s">
        <v>1079</v>
      </c>
      <c r="F1111" t="s">
        <v>30</v>
      </c>
      <c r="G1111" t="s">
        <v>24</v>
      </c>
      <c r="H1111" t="s">
        <v>48</v>
      </c>
      <c r="I1111" t="s">
        <v>26</v>
      </c>
      <c r="J1111" t="s">
        <v>27</v>
      </c>
      <c r="K1111" t="s">
        <v>32</v>
      </c>
      <c r="L1111" s="2">
        <v>9.4</v>
      </c>
      <c r="M1111" s="3">
        <v>463</v>
      </c>
      <c r="N1111">
        <v>4</v>
      </c>
      <c r="O1111">
        <v>7</v>
      </c>
      <c r="P1111">
        <v>0</v>
      </c>
      <c r="Q1111">
        <v>3</v>
      </c>
      <c r="R1111" s="4">
        <v>18.829999999999998</v>
      </c>
      <c r="S1111">
        <v>0</v>
      </c>
      <c r="T1111">
        <v>1</v>
      </c>
    </row>
    <row r="1112" spans="1:20" ht="16.5" x14ac:dyDescent="0.3">
      <c r="A1112" t="s">
        <v>1158</v>
      </c>
      <c r="B1112" s="1">
        <v>45456</v>
      </c>
      <c r="C1112">
        <v>2024</v>
      </c>
      <c r="D1112" t="s">
        <v>649</v>
      </c>
      <c r="E1112" t="s">
        <v>1079</v>
      </c>
      <c r="F1112" t="s">
        <v>57</v>
      </c>
      <c r="G1112" t="s">
        <v>35</v>
      </c>
      <c r="H1112" t="s">
        <v>43</v>
      </c>
      <c r="I1112" t="s">
        <v>40</v>
      </c>
      <c r="J1112" t="s">
        <v>41</v>
      </c>
      <c r="K1112" t="s">
        <v>28</v>
      </c>
      <c r="L1112" s="2">
        <v>52.3</v>
      </c>
      <c r="M1112" s="3">
        <v>1284</v>
      </c>
      <c r="N1112">
        <v>3</v>
      </c>
      <c r="O1112">
        <v>2</v>
      </c>
      <c r="P1112">
        <v>1</v>
      </c>
      <c r="Q1112">
        <v>0</v>
      </c>
      <c r="R1112" s="4">
        <v>147.30000000000001</v>
      </c>
      <c r="S1112">
        <v>0</v>
      </c>
      <c r="T1112">
        <v>1</v>
      </c>
    </row>
    <row r="1113" spans="1:20" ht="16.5" x14ac:dyDescent="0.3">
      <c r="A1113" t="s">
        <v>1159</v>
      </c>
      <c r="B1113" s="1">
        <v>45457</v>
      </c>
      <c r="C1113">
        <v>2024</v>
      </c>
      <c r="D1113" t="s">
        <v>649</v>
      </c>
      <c r="E1113" t="s">
        <v>1079</v>
      </c>
      <c r="F1113" t="s">
        <v>38</v>
      </c>
      <c r="G1113" t="s">
        <v>39</v>
      </c>
      <c r="H1113" t="s">
        <v>36</v>
      </c>
      <c r="I1113" t="s">
        <v>40</v>
      </c>
      <c r="J1113" t="s">
        <v>27</v>
      </c>
      <c r="K1113" t="s">
        <v>28</v>
      </c>
      <c r="L1113" s="2">
        <v>69.2</v>
      </c>
      <c r="M1113" s="3">
        <v>263</v>
      </c>
      <c r="N1113">
        <v>1</v>
      </c>
      <c r="O1113">
        <v>1</v>
      </c>
      <c r="P1113">
        <v>1</v>
      </c>
      <c r="Q1113">
        <v>0</v>
      </c>
      <c r="R1113" s="4">
        <v>83.07</v>
      </c>
      <c r="S1113">
        <v>0</v>
      </c>
      <c r="T1113">
        <v>1</v>
      </c>
    </row>
    <row r="1114" spans="1:20" ht="16.5" x14ac:dyDescent="0.3">
      <c r="A1114" t="s">
        <v>1160</v>
      </c>
      <c r="B1114" s="1">
        <v>45457</v>
      </c>
      <c r="C1114">
        <v>2024</v>
      </c>
      <c r="D1114" t="s">
        <v>649</v>
      </c>
      <c r="E1114" t="s">
        <v>1079</v>
      </c>
      <c r="F1114" t="s">
        <v>34</v>
      </c>
      <c r="G1114" t="s">
        <v>39</v>
      </c>
      <c r="H1114" t="s">
        <v>36</v>
      </c>
      <c r="I1114" t="s">
        <v>40</v>
      </c>
      <c r="J1114" t="s">
        <v>27</v>
      </c>
      <c r="K1114" t="s">
        <v>32</v>
      </c>
      <c r="L1114" s="2">
        <v>6.1</v>
      </c>
      <c r="M1114" s="3">
        <v>274</v>
      </c>
      <c r="N1114">
        <v>1</v>
      </c>
      <c r="O1114">
        <v>1</v>
      </c>
      <c r="P1114">
        <v>1</v>
      </c>
      <c r="Q1114">
        <v>0</v>
      </c>
      <c r="R1114" s="4">
        <v>21.35</v>
      </c>
      <c r="S1114">
        <v>0</v>
      </c>
      <c r="T1114">
        <v>1</v>
      </c>
    </row>
    <row r="1115" spans="1:20" ht="16.5" x14ac:dyDescent="0.3">
      <c r="A1115" t="s">
        <v>1161</v>
      </c>
      <c r="B1115" s="1">
        <v>45457</v>
      </c>
      <c r="C1115">
        <v>2024</v>
      </c>
      <c r="D1115" t="s">
        <v>649</v>
      </c>
      <c r="E1115" t="s">
        <v>1079</v>
      </c>
      <c r="F1115" t="s">
        <v>23</v>
      </c>
      <c r="G1115" t="s">
        <v>39</v>
      </c>
      <c r="H1115" t="s">
        <v>48</v>
      </c>
      <c r="I1115" t="s">
        <v>26</v>
      </c>
      <c r="J1115" t="s">
        <v>27</v>
      </c>
      <c r="K1115" t="s">
        <v>32</v>
      </c>
      <c r="L1115" s="2">
        <v>1.2</v>
      </c>
      <c r="M1115" s="3">
        <v>603</v>
      </c>
      <c r="N1115">
        <v>4</v>
      </c>
      <c r="O1115">
        <v>3</v>
      </c>
      <c r="P1115">
        <v>1</v>
      </c>
      <c r="Q1115">
        <v>0</v>
      </c>
      <c r="R1115" s="4">
        <v>12.4</v>
      </c>
      <c r="S1115">
        <v>0</v>
      </c>
      <c r="T1115">
        <v>1</v>
      </c>
    </row>
    <row r="1116" spans="1:20" ht="16.5" x14ac:dyDescent="0.3">
      <c r="A1116" t="s">
        <v>1162</v>
      </c>
      <c r="B1116" s="1">
        <v>45457</v>
      </c>
      <c r="C1116">
        <v>2024</v>
      </c>
      <c r="D1116" t="s">
        <v>649</v>
      </c>
      <c r="E1116" t="s">
        <v>1079</v>
      </c>
      <c r="F1116" t="s">
        <v>38</v>
      </c>
      <c r="G1116" t="s">
        <v>35</v>
      </c>
      <c r="H1116" t="s">
        <v>25</v>
      </c>
      <c r="I1116" t="s">
        <v>26</v>
      </c>
      <c r="J1116" t="s">
        <v>27</v>
      </c>
      <c r="K1116" t="s">
        <v>28</v>
      </c>
      <c r="L1116" s="2">
        <v>11.4</v>
      </c>
      <c r="M1116" s="3">
        <v>1093</v>
      </c>
      <c r="N1116">
        <v>4</v>
      </c>
      <c r="O1116">
        <v>4</v>
      </c>
      <c r="P1116">
        <v>1</v>
      </c>
      <c r="Q1116">
        <v>0</v>
      </c>
      <c r="R1116" s="4">
        <v>27.04</v>
      </c>
      <c r="S1116">
        <v>0</v>
      </c>
      <c r="T1116">
        <v>1</v>
      </c>
    </row>
    <row r="1117" spans="1:20" ht="16.5" x14ac:dyDescent="0.3">
      <c r="A1117" t="s">
        <v>1163</v>
      </c>
      <c r="B1117" s="1">
        <v>45457</v>
      </c>
      <c r="C1117">
        <v>2024</v>
      </c>
      <c r="D1117" t="s">
        <v>649</v>
      </c>
      <c r="E1117" t="s">
        <v>1079</v>
      </c>
      <c r="F1117" t="s">
        <v>38</v>
      </c>
      <c r="G1117" t="s">
        <v>39</v>
      </c>
      <c r="H1117" t="s">
        <v>48</v>
      </c>
      <c r="I1117" t="s">
        <v>31</v>
      </c>
      <c r="J1117" t="s">
        <v>27</v>
      </c>
      <c r="K1117" t="s">
        <v>32</v>
      </c>
      <c r="L1117" s="2">
        <v>6.1</v>
      </c>
      <c r="M1117" s="3">
        <v>462</v>
      </c>
      <c r="N1117">
        <v>6</v>
      </c>
      <c r="O1117">
        <v>5</v>
      </c>
      <c r="P1117">
        <v>1</v>
      </c>
      <c r="Q1117">
        <v>0</v>
      </c>
      <c r="R1117" s="4">
        <v>11.47</v>
      </c>
      <c r="S1117">
        <v>0</v>
      </c>
      <c r="T1117">
        <v>1</v>
      </c>
    </row>
    <row r="1118" spans="1:20" ht="16.5" x14ac:dyDescent="0.3">
      <c r="A1118" t="s">
        <v>1164</v>
      </c>
      <c r="B1118" s="1">
        <v>45457</v>
      </c>
      <c r="C1118">
        <v>2024</v>
      </c>
      <c r="D1118" t="s">
        <v>649</v>
      </c>
      <c r="E1118" t="s">
        <v>1079</v>
      </c>
      <c r="F1118" t="s">
        <v>57</v>
      </c>
      <c r="G1118" t="s">
        <v>35</v>
      </c>
      <c r="H1118" t="s">
        <v>36</v>
      </c>
      <c r="I1118" t="s">
        <v>40</v>
      </c>
      <c r="J1118" t="s">
        <v>27</v>
      </c>
      <c r="K1118" t="s">
        <v>28</v>
      </c>
      <c r="L1118" s="2">
        <v>104.1</v>
      </c>
      <c r="M1118" s="3">
        <v>179</v>
      </c>
      <c r="N1118">
        <v>1</v>
      </c>
      <c r="O1118">
        <v>3</v>
      </c>
      <c r="P1118">
        <v>0</v>
      </c>
      <c r="Q1118">
        <v>2</v>
      </c>
      <c r="R1118" s="4">
        <v>106.34</v>
      </c>
      <c r="S1118">
        <v>0</v>
      </c>
      <c r="T1118">
        <v>1</v>
      </c>
    </row>
    <row r="1119" spans="1:20" ht="16.5" x14ac:dyDescent="0.3">
      <c r="A1119" t="s">
        <v>1165</v>
      </c>
      <c r="B1119" s="1">
        <v>45458</v>
      </c>
      <c r="C1119">
        <v>2024</v>
      </c>
      <c r="D1119" t="s">
        <v>649</v>
      </c>
      <c r="E1119" t="s">
        <v>1079</v>
      </c>
      <c r="F1119" t="s">
        <v>38</v>
      </c>
      <c r="G1119" t="s">
        <v>24</v>
      </c>
      <c r="H1119" t="s">
        <v>43</v>
      </c>
      <c r="I1119" t="s">
        <v>26</v>
      </c>
      <c r="J1119" t="s">
        <v>27</v>
      </c>
      <c r="K1119" t="s">
        <v>32</v>
      </c>
      <c r="L1119" s="2">
        <v>20.9</v>
      </c>
      <c r="M1119" s="3">
        <v>1410</v>
      </c>
      <c r="N1119">
        <v>5</v>
      </c>
      <c r="O1119">
        <v>5</v>
      </c>
      <c r="P1119">
        <v>1</v>
      </c>
      <c r="Q1119">
        <v>0</v>
      </c>
      <c r="R1119" s="4">
        <v>41.19</v>
      </c>
      <c r="S1119">
        <v>0</v>
      </c>
      <c r="T1119">
        <v>1</v>
      </c>
    </row>
    <row r="1120" spans="1:20" ht="16.5" x14ac:dyDescent="0.3">
      <c r="A1120" t="s">
        <v>1166</v>
      </c>
      <c r="B1120" s="1">
        <v>45458</v>
      </c>
      <c r="C1120">
        <v>2024</v>
      </c>
      <c r="D1120" t="s">
        <v>649</v>
      </c>
      <c r="E1120" t="s">
        <v>1079</v>
      </c>
      <c r="F1120" t="s">
        <v>30</v>
      </c>
      <c r="G1120" t="s">
        <v>39</v>
      </c>
      <c r="H1120" t="s">
        <v>43</v>
      </c>
      <c r="I1120" t="s">
        <v>40</v>
      </c>
      <c r="J1120" t="s">
        <v>41</v>
      </c>
      <c r="K1120" t="s">
        <v>28</v>
      </c>
      <c r="L1120" s="2">
        <v>37.700000000000003</v>
      </c>
      <c r="M1120" s="3">
        <v>1088</v>
      </c>
      <c r="N1120">
        <v>3</v>
      </c>
      <c r="O1120">
        <v>2</v>
      </c>
      <c r="P1120">
        <v>1</v>
      </c>
      <c r="Q1120">
        <v>0</v>
      </c>
      <c r="R1120" s="4">
        <v>108.49</v>
      </c>
      <c r="S1120">
        <v>0</v>
      </c>
      <c r="T1120">
        <v>1</v>
      </c>
    </row>
    <row r="1121" spans="1:20" ht="16.5" x14ac:dyDescent="0.3">
      <c r="A1121" t="s">
        <v>1167</v>
      </c>
      <c r="B1121" s="1">
        <v>45458</v>
      </c>
      <c r="C1121">
        <v>2024</v>
      </c>
      <c r="D1121" t="s">
        <v>649</v>
      </c>
      <c r="E1121" t="s">
        <v>1079</v>
      </c>
      <c r="F1121" t="s">
        <v>38</v>
      </c>
      <c r="G1121" t="s">
        <v>35</v>
      </c>
      <c r="H1121" t="s">
        <v>36</v>
      </c>
      <c r="I1121" t="s">
        <v>26</v>
      </c>
      <c r="J1121" t="s">
        <v>27</v>
      </c>
      <c r="K1121" t="s">
        <v>32</v>
      </c>
      <c r="L1121" s="2">
        <v>1.5</v>
      </c>
      <c r="M1121" s="3">
        <v>228</v>
      </c>
      <c r="N1121">
        <v>3</v>
      </c>
      <c r="O1121">
        <v>3</v>
      </c>
      <c r="P1121">
        <v>1</v>
      </c>
      <c r="Q1121">
        <v>0</v>
      </c>
      <c r="R1121" s="4">
        <v>10.220000000000001</v>
      </c>
      <c r="S1121">
        <v>0</v>
      </c>
      <c r="T1121">
        <v>1</v>
      </c>
    </row>
    <row r="1122" spans="1:20" ht="16.5" x14ac:dyDescent="0.3">
      <c r="A1122" t="s">
        <v>1168</v>
      </c>
      <c r="B1122" s="1">
        <v>45458</v>
      </c>
      <c r="C1122">
        <v>2024</v>
      </c>
      <c r="D1122" t="s">
        <v>649</v>
      </c>
      <c r="E1122" t="s">
        <v>1079</v>
      </c>
      <c r="F1122" t="s">
        <v>57</v>
      </c>
      <c r="G1122" t="s">
        <v>24</v>
      </c>
      <c r="H1122" t="s">
        <v>36</v>
      </c>
      <c r="I1122" t="s">
        <v>31</v>
      </c>
      <c r="J1122" t="s">
        <v>27</v>
      </c>
      <c r="K1122" t="s">
        <v>32</v>
      </c>
      <c r="L1122" s="2">
        <v>15.1</v>
      </c>
      <c r="M1122" s="3">
        <v>331</v>
      </c>
      <c r="N1122">
        <v>5</v>
      </c>
      <c r="O1122">
        <v>5</v>
      </c>
      <c r="P1122">
        <v>1</v>
      </c>
      <c r="Q1122">
        <v>0</v>
      </c>
      <c r="R1122" s="4">
        <v>13.28</v>
      </c>
      <c r="S1122">
        <v>0</v>
      </c>
      <c r="T1122">
        <v>1</v>
      </c>
    </row>
    <row r="1123" spans="1:20" ht="16.5" x14ac:dyDescent="0.3">
      <c r="A1123" t="s">
        <v>1169</v>
      </c>
      <c r="B1123" s="1">
        <v>45459</v>
      </c>
      <c r="C1123">
        <v>2024</v>
      </c>
      <c r="D1123" t="s">
        <v>649</v>
      </c>
      <c r="E1123" t="s">
        <v>1079</v>
      </c>
      <c r="F1123" t="s">
        <v>38</v>
      </c>
      <c r="G1123" t="s">
        <v>35</v>
      </c>
      <c r="H1123" t="s">
        <v>51</v>
      </c>
      <c r="I1123" t="s">
        <v>31</v>
      </c>
      <c r="J1123" t="s">
        <v>27</v>
      </c>
      <c r="K1123" t="s">
        <v>28</v>
      </c>
      <c r="L1123" s="2">
        <v>305.10000000000002</v>
      </c>
      <c r="M1123" s="3">
        <v>925</v>
      </c>
      <c r="N1123">
        <v>7</v>
      </c>
      <c r="O1123">
        <v>7</v>
      </c>
      <c r="P1123">
        <v>1</v>
      </c>
      <c r="Q1123">
        <v>0</v>
      </c>
      <c r="R1123" s="4">
        <v>112.57</v>
      </c>
      <c r="S1123">
        <v>0</v>
      </c>
      <c r="T1123">
        <v>1</v>
      </c>
    </row>
    <row r="1124" spans="1:20" ht="16.5" x14ac:dyDescent="0.3">
      <c r="A1124" t="s">
        <v>1170</v>
      </c>
      <c r="B1124" s="1">
        <v>45460</v>
      </c>
      <c r="C1124">
        <v>2024</v>
      </c>
      <c r="D1124" t="s">
        <v>649</v>
      </c>
      <c r="E1124" t="s">
        <v>1079</v>
      </c>
      <c r="F1124" t="s">
        <v>38</v>
      </c>
      <c r="G1124" t="s">
        <v>24</v>
      </c>
      <c r="H1124" t="s">
        <v>48</v>
      </c>
      <c r="I1124" t="s">
        <v>31</v>
      </c>
      <c r="J1124" t="s">
        <v>27</v>
      </c>
      <c r="K1124" t="s">
        <v>32</v>
      </c>
      <c r="L1124" s="2">
        <v>11</v>
      </c>
      <c r="M1124" s="3">
        <v>543</v>
      </c>
      <c r="N1124">
        <v>6</v>
      </c>
      <c r="O1124">
        <v>5</v>
      </c>
      <c r="P1124">
        <v>1</v>
      </c>
      <c r="Q1124">
        <v>0</v>
      </c>
      <c r="R1124" s="4">
        <v>15.66</v>
      </c>
      <c r="S1124">
        <v>0</v>
      </c>
      <c r="T1124">
        <v>1</v>
      </c>
    </row>
    <row r="1125" spans="1:20" ht="16.5" x14ac:dyDescent="0.3">
      <c r="A1125" t="s">
        <v>1171</v>
      </c>
      <c r="B1125" s="1">
        <v>45460</v>
      </c>
      <c r="C1125">
        <v>2024</v>
      </c>
      <c r="D1125" t="s">
        <v>649</v>
      </c>
      <c r="E1125" t="s">
        <v>1079</v>
      </c>
      <c r="F1125" t="s">
        <v>34</v>
      </c>
      <c r="G1125" t="s">
        <v>35</v>
      </c>
      <c r="H1125" t="s">
        <v>48</v>
      </c>
      <c r="I1125" t="s">
        <v>26</v>
      </c>
      <c r="J1125" t="s">
        <v>27</v>
      </c>
      <c r="K1125" t="s">
        <v>32</v>
      </c>
      <c r="L1125" s="2">
        <v>1.3</v>
      </c>
      <c r="M1125" s="3">
        <v>417</v>
      </c>
      <c r="N1125">
        <v>4</v>
      </c>
      <c r="O1125">
        <v>7</v>
      </c>
      <c r="P1125">
        <v>0</v>
      </c>
      <c r="Q1125">
        <v>3</v>
      </c>
      <c r="R1125" s="4">
        <v>10.79</v>
      </c>
      <c r="S1125">
        <v>0</v>
      </c>
      <c r="T1125">
        <v>1</v>
      </c>
    </row>
    <row r="1126" spans="1:20" ht="16.5" x14ac:dyDescent="0.3">
      <c r="A1126" t="s">
        <v>1172</v>
      </c>
      <c r="B1126" s="1">
        <v>45460</v>
      </c>
      <c r="C1126">
        <v>2024</v>
      </c>
      <c r="D1126" t="s">
        <v>649</v>
      </c>
      <c r="E1126" t="s">
        <v>1079</v>
      </c>
      <c r="F1126" t="s">
        <v>38</v>
      </c>
      <c r="G1126" t="s">
        <v>24</v>
      </c>
      <c r="H1126" t="s">
        <v>36</v>
      </c>
      <c r="I1126" t="s">
        <v>40</v>
      </c>
      <c r="J1126" t="s">
        <v>27</v>
      </c>
      <c r="K1126" t="s">
        <v>28</v>
      </c>
      <c r="L1126" s="2">
        <v>35.5</v>
      </c>
      <c r="M1126" s="3">
        <v>285</v>
      </c>
      <c r="N1126">
        <v>1</v>
      </c>
      <c r="O1126">
        <v>2</v>
      </c>
      <c r="P1126">
        <v>0</v>
      </c>
      <c r="Q1126">
        <v>1</v>
      </c>
      <c r="R1126" s="4">
        <v>68.040000000000006</v>
      </c>
      <c r="S1126">
        <v>0</v>
      </c>
      <c r="T1126">
        <v>1</v>
      </c>
    </row>
    <row r="1127" spans="1:20" ht="16.5" x14ac:dyDescent="0.3">
      <c r="A1127" t="s">
        <v>1173</v>
      </c>
      <c r="B1127" s="1">
        <v>45460</v>
      </c>
      <c r="C1127">
        <v>2024</v>
      </c>
      <c r="D1127" t="s">
        <v>649</v>
      </c>
      <c r="E1127" t="s">
        <v>1079</v>
      </c>
      <c r="F1127" t="s">
        <v>34</v>
      </c>
      <c r="G1127" t="s">
        <v>39</v>
      </c>
      <c r="H1127" t="s">
        <v>48</v>
      </c>
      <c r="I1127" t="s">
        <v>26</v>
      </c>
      <c r="J1127" t="s">
        <v>27</v>
      </c>
      <c r="K1127" t="s">
        <v>28</v>
      </c>
      <c r="L1127" s="2">
        <v>53.2</v>
      </c>
      <c r="M1127" s="3">
        <v>335</v>
      </c>
      <c r="N1127">
        <v>4</v>
      </c>
      <c r="O1127">
        <v>4</v>
      </c>
      <c r="P1127">
        <v>1</v>
      </c>
      <c r="Q1127">
        <v>0</v>
      </c>
      <c r="R1127" s="4">
        <v>29.24</v>
      </c>
      <c r="S1127">
        <v>0</v>
      </c>
      <c r="T1127">
        <v>1</v>
      </c>
    </row>
    <row r="1128" spans="1:20" ht="16.5" x14ac:dyDescent="0.3">
      <c r="A1128" t="s">
        <v>1174</v>
      </c>
      <c r="B1128" s="1">
        <v>45460</v>
      </c>
      <c r="C1128">
        <v>2024</v>
      </c>
      <c r="D1128" t="s">
        <v>649</v>
      </c>
      <c r="E1128" t="s">
        <v>1079</v>
      </c>
      <c r="F1128" t="s">
        <v>23</v>
      </c>
      <c r="G1128" t="s">
        <v>24</v>
      </c>
      <c r="H1128" t="s">
        <v>36</v>
      </c>
      <c r="I1128" t="s">
        <v>26</v>
      </c>
      <c r="J1128" t="s">
        <v>27</v>
      </c>
      <c r="K1128" t="s">
        <v>28</v>
      </c>
      <c r="L1128" s="2">
        <v>96.4</v>
      </c>
      <c r="M1128" s="3">
        <v>265</v>
      </c>
      <c r="N1128">
        <v>3</v>
      </c>
      <c r="O1128">
        <v>3</v>
      </c>
      <c r="P1128">
        <v>1</v>
      </c>
      <c r="Q1128">
        <v>0</v>
      </c>
      <c r="R1128" s="4">
        <v>55.76</v>
      </c>
      <c r="S1128">
        <v>0</v>
      </c>
      <c r="T1128">
        <v>1</v>
      </c>
    </row>
    <row r="1129" spans="1:20" ht="16.5" x14ac:dyDescent="0.3">
      <c r="A1129" t="s">
        <v>1175</v>
      </c>
      <c r="B1129" s="1">
        <v>45460</v>
      </c>
      <c r="C1129">
        <v>2024</v>
      </c>
      <c r="D1129" t="s">
        <v>649</v>
      </c>
      <c r="E1129" t="s">
        <v>1079</v>
      </c>
      <c r="F1129" t="s">
        <v>57</v>
      </c>
      <c r="G1129" t="s">
        <v>39</v>
      </c>
      <c r="H1129" t="s">
        <v>36</v>
      </c>
      <c r="I1129" t="s">
        <v>31</v>
      </c>
      <c r="J1129" t="s">
        <v>27</v>
      </c>
      <c r="K1129" t="s">
        <v>28</v>
      </c>
      <c r="L1129" s="2">
        <v>65.5</v>
      </c>
      <c r="M1129" s="3">
        <v>263</v>
      </c>
      <c r="N1129">
        <v>5</v>
      </c>
      <c r="O1129">
        <v>5</v>
      </c>
      <c r="P1129">
        <v>1</v>
      </c>
      <c r="Q1129">
        <v>0</v>
      </c>
      <c r="R1129" s="4">
        <v>32.01</v>
      </c>
      <c r="S1129">
        <v>0</v>
      </c>
      <c r="T1129">
        <v>1</v>
      </c>
    </row>
    <row r="1130" spans="1:20" ht="16.5" x14ac:dyDescent="0.3">
      <c r="A1130" t="s">
        <v>1176</v>
      </c>
      <c r="B1130" s="1">
        <v>45460</v>
      </c>
      <c r="C1130">
        <v>2024</v>
      </c>
      <c r="D1130" t="s">
        <v>649</v>
      </c>
      <c r="E1130" t="s">
        <v>1079</v>
      </c>
      <c r="F1130" t="s">
        <v>57</v>
      </c>
      <c r="G1130" t="s">
        <v>39</v>
      </c>
      <c r="H1130" t="s">
        <v>48</v>
      </c>
      <c r="I1130" t="s">
        <v>26</v>
      </c>
      <c r="J1130" t="s">
        <v>27</v>
      </c>
      <c r="K1130" t="s">
        <v>28</v>
      </c>
      <c r="L1130" s="2">
        <v>23.4</v>
      </c>
      <c r="M1130" s="3">
        <v>432</v>
      </c>
      <c r="N1130">
        <v>4</v>
      </c>
      <c r="O1130">
        <v>4</v>
      </c>
      <c r="P1130">
        <v>1</v>
      </c>
      <c r="Q1130">
        <v>0</v>
      </c>
      <c r="R1130" s="4">
        <v>24.51</v>
      </c>
      <c r="S1130">
        <v>0</v>
      </c>
      <c r="T1130">
        <v>1</v>
      </c>
    </row>
    <row r="1131" spans="1:20" ht="16.5" x14ac:dyDescent="0.3">
      <c r="A1131" t="s">
        <v>1177</v>
      </c>
      <c r="B1131" s="1">
        <v>45460</v>
      </c>
      <c r="C1131">
        <v>2024</v>
      </c>
      <c r="D1131" t="s">
        <v>649</v>
      </c>
      <c r="E1131" t="s">
        <v>1079</v>
      </c>
      <c r="F1131" t="s">
        <v>23</v>
      </c>
      <c r="G1131" t="s">
        <v>24</v>
      </c>
      <c r="H1131" t="s">
        <v>43</v>
      </c>
      <c r="I1131" t="s">
        <v>26</v>
      </c>
      <c r="J1131" t="s">
        <v>27</v>
      </c>
      <c r="K1131" t="s">
        <v>28</v>
      </c>
      <c r="L1131" s="2">
        <v>109.1</v>
      </c>
      <c r="M1131" s="3">
        <v>1208</v>
      </c>
      <c r="N1131">
        <v>5</v>
      </c>
      <c r="O1131">
        <v>4</v>
      </c>
      <c r="P1131">
        <v>1</v>
      </c>
      <c r="Q1131">
        <v>0</v>
      </c>
      <c r="R1131" s="4">
        <v>68.08</v>
      </c>
      <c r="S1131">
        <v>0</v>
      </c>
      <c r="T1131">
        <v>1</v>
      </c>
    </row>
    <row r="1132" spans="1:20" ht="16.5" x14ac:dyDescent="0.3">
      <c r="A1132" t="s">
        <v>1178</v>
      </c>
      <c r="B1132" s="1">
        <v>45460</v>
      </c>
      <c r="C1132">
        <v>2024</v>
      </c>
      <c r="D1132" t="s">
        <v>649</v>
      </c>
      <c r="E1132" t="s">
        <v>1079</v>
      </c>
      <c r="F1132" t="s">
        <v>38</v>
      </c>
      <c r="G1132" t="s">
        <v>35</v>
      </c>
      <c r="H1132" t="s">
        <v>48</v>
      </c>
      <c r="I1132" t="s">
        <v>31</v>
      </c>
      <c r="J1132" t="s">
        <v>27</v>
      </c>
      <c r="K1132" t="s">
        <v>28</v>
      </c>
      <c r="L1132" s="2">
        <v>131.4</v>
      </c>
      <c r="M1132" s="3">
        <v>354</v>
      </c>
      <c r="N1132">
        <v>6</v>
      </c>
      <c r="O1132">
        <v>6</v>
      </c>
      <c r="P1132">
        <v>1</v>
      </c>
      <c r="Q1132">
        <v>0</v>
      </c>
      <c r="R1132" s="4">
        <v>55.8</v>
      </c>
      <c r="S1132">
        <v>0</v>
      </c>
      <c r="T1132">
        <v>1</v>
      </c>
    </row>
    <row r="1133" spans="1:20" ht="16.5" x14ac:dyDescent="0.3">
      <c r="A1133" t="s">
        <v>1179</v>
      </c>
      <c r="B1133" s="1">
        <v>45460</v>
      </c>
      <c r="C1133">
        <v>2024</v>
      </c>
      <c r="D1133" t="s">
        <v>649</v>
      </c>
      <c r="E1133" t="s">
        <v>1079</v>
      </c>
      <c r="F1133" t="s">
        <v>23</v>
      </c>
      <c r="G1133" t="s">
        <v>39</v>
      </c>
      <c r="H1133" t="s">
        <v>43</v>
      </c>
      <c r="I1133" t="s">
        <v>31</v>
      </c>
      <c r="J1133" t="s">
        <v>27</v>
      </c>
      <c r="K1133" t="s">
        <v>32</v>
      </c>
      <c r="L1133" s="2">
        <v>4</v>
      </c>
      <c r="M1133" s="3">
        <v>1222</v>
      </c>
      <c r="N1133">
        <v>7</v>
      </c>
      <c r="O1133">
        <v>7</v>
      </c>
      <c r="P1133">
        <v>1</v>
      </c>
      <c r="Q1133">
        <v>0</v>
      </c>
      <c r="R1133" s="4">
        <v>16.649999999999999</v>
      </c>
      <c r="S1133">
        <v>0</v>
      </c>
      <c r="T1133">
        <v>1</v>
      </c>
    </row>
    <row r="1134" spans="1:20" ht="16.5" x14ac:dyDescent="0.3">
      <c r="A1134" t="s">
        <v>1180</v>
      </c>
      <c r="B1134" s="1">
        <v>45460</v>
      </c>
      <c r="C1134">
        <v>2024</v>
      </c>
      <c r="D1134" t="s">
        <v>649</v>
      </c>
      <c r="E1134" t="s">
        <v>1079</v>
      </c>
      <c r="F1134" t="s">
        <v>34</v>
      </c>
      <c r="G1134" t="s">
        <v>35</v>
      </c>
      <c r="H1134" t="s">
        <v>25</v>
      </c>
      <c r="I1134" t="s">
        <v>26</v>
      </c>
      <c r="J1134" t="s">
        <v>27</v>
      </c>
      <c r="K1134" t="s">
        <v>28</v>
      </c>
      <c r="L1134" s="2">
        <v>121.4</v>
      </c>
      <c r="M1134" s="3">
        <v>1098</v>
      </c>
      <c r="N1134">
        <v>4</v>
      </c>
      <c r="O1134">
        <v>3</v>
      </c>
      <c r="P1134">
        <v>1</v>
      </c>
      <c r="Q1134">
        <v>0</v>
      </c>
      <c r="R1134" s="4">
        <v>65.92</v>
      </c>
      <c r="S1134">
        <v>0</v>
      </c>
      <c r="T1134">
        <v>1</v>
      </c>
    </row>
    <row r="1135" spans="1:20" ht="16.5" x14ac:dyDescent="0.3">
      <c r="A1135" t="s">
        <v>1181</v>
      </c>
      <c r="B1135" s="1">
        <v>45461</v>
      </c>
      <c r="C1135">
        <v>2024</v>
      </c>
      <c r="D1135" t="s">
        <v>649</v>
      </c>
      <c r="E1135" t="s">
        <v>1079</v>
      </c>
      <c r="F1135" t="s">
        <v>34</v>
      </c>
      <c r="G1135" t="s">
        <v>35</v>
      </c>
      <c r="H1135" t="s">
        <v>48</v>
      </c>
      <c r="I1135" t="s">
        <v>31</v>
      </c>
      <c r="J1135" t="s">
        <v>27</v>
      </c>
      <c r="K1135" t="s">
        <v>32</v>
      </c>
      <c r="L1135" s="2">
        <v>17.8</v>
      </c>
      <c r="M1135" s="3">
        <v>517</v>
      </c>
      <c r="N1135">
        <v>6</v>
      </c>
      <c r="O1135">
        <v>5</v>
      </c>
      <c r="P1135">
        <v>1</v>
      </c>
      <c r="Q1135">
        <v>0</v>
      </c>
      <c r="R1135" s="4">
        <v>14.14</v>
      </c>
      <c r="S1135">
        <v>0</v>
      </c>
      <c r="T1135">
        <v>1</v>
      </c>
    </row>
    <row r="1136" spans="1:20" ht="16.5" x14ac:dyDescent="0.3">
      <c r="A1136" t="s">
        <v>1182</v>
      </c>
      <c r="B1136" s="1">
        <v>45461</v>
      </c>
      <c r="C1136">
        <v>2024</v>
      </c>
      <c r="D1136" t="s">
        <v>649</v>
      </c>
      <c r="E1136" t="s">
        <v>1079</v>
      </c>
      <c r="F1136" t="s">
        <v>38</v>
      </c>
      <c r="G1136" t="s">
        <v>24</v>
      </c>
      <c r="H1136" t="s">
        <v>51</v>
      </c>
      <c r="I1136" t="s">
        <v>26</v>
      </c>
      <c r="J1136" t="s">
        <v>27</v>
      </c>
      <c r="K1136" t="s">
        <v>28</v>
      </c>
      <c r="L1136" s="2">
        <v>104.1</v>
      </c>
      <c r="M1136" s="3">
        <v>823</v>
      </c>
      <c r="N1136">
        <v>5</v>
      </c>
      <c r="O1136">
        <v>8</v>
      </c>
      <c r="P1136">
        <v>0</v>
      </c>
      <c r="Q1136">
        <v>3</v>
      </c>
      <c r="R1136" s="4">
        <v>71.400000000000006</v>
      </c>
      <c r="S1136">
        <v>0</v>
      </c>
      <c r="T1136">
        <v>1</v>
      </c>
    </row>
    <row r="1137" spans="1:20" ht="16.5" x14ac:dyDescent="0.3">
      <c r="A1137" t="s">
        <v>1183</v>
      </c>
      <c r="B1137" s="1">
        <v>45461</v>
      </c>
      <c r="C1137">
        <v>2024</v>
      </c>
      <c r="D1137" t="s">
        <v>649</v>
      </c>
      <c r="E1137" t="s">
        <v>1079</v>
      </c>
      <c r="F1137" t="s">
        <v>30</v>
      </c>
      <c r="G1137" t="s">
        <v>35</v>
      </c>
      <c r="H1137" t="s">
        <v>48</v>
      </c>
      <c r="I1137" t="s">
        <v>40</v>
      </c>
      <c r="J1137" t="s">
        <v>27</v>
      </c>
      <c r="K1137" t="s">
        <v>32</v>
      </c>
      <c r="L1137" s="2">
        <v>3.8</v>
      </c>
      <c r="M1137" s="3">
        <v>439</v>
      </c>
      <c r="N1137">
        <v>2</v>
      </c>
      <c r="O1137">
        <v>2</v>
      </c>
      <c r="P1137">
        <v>1</v>
      </c>
      <c r="Q1137">
        <v>0</v>
      </c>
      <c r="R1137" s="4">
        <v>29.95</v>
      </c>
      <c r="S1137">
        <v>1</v>
      </c>
      <c r="T1137">
        <v>1</v>
      </c>
    </row>
    <row r="1138" spans="1:20" ht="16.5" x14ac:dyDescent="0.3">
      <c r="A1138" t="s">
        <v>1184</v>
      </c>
      <c r="B1138" s="1">
        <v>45461</v>
      </c>
      <c r="C1138">
        <v>2024</v>
      </c>
      <c r="D1138" t="s">
        <v>649</v>
      </c>
      <c r="E1138" t="s">
        <v>1079</v>
      </c>
      <c r="F1138" t="s">
        <v>30</v>
      </c>
      <c r="G1138" t="s">
        <v>35</v>
      </c>
      <c r="H1138" t="s">
        <v>51</v>
      </c>
      <c r="I1138" t="s">
        <v>31</v>
      </c>
      <c r="J1138" t="s">
        <v>27</v>
      </c>
      <c r="K1138" t="s">
        <v>28</v>
      </c>
      <c r="L1138" s="2">
        <v>63.2</v>
      </c>
      <c r="M1138" s="3">
        <v>1106</v>
      </c>
      <c r="N1138">
        <v>7</v>
      </c>
      <c r="O1138">
        <v>9</v>
      </c>
      <c r="P1138">
        <v>0</v>
      </c>
      <c r="Q1138">
        <v>2</v>
      </c>
      <c r="R1138" s="4">
        <v>36.46</v>
      </c>
      <c r="S1138">
        <v>0</v>
      </c>
      <c r="T1138">
        <v>1</v>
      </c>
    </row>
    <row r="1139" spans="1:20" ht="16.5" x14ac:dyDescent="0.3">
      <c r="A1139" t="s">
        <v>1185</v>
      </c>
      <c r="B1139" s="1">
        <v>45461</v>
      </c>
      <c r="C1139">
        <v>2024</v>
      </c>
      <c r="D1139" t="s">
        <v>649</v>
      </c>
      <c r="E1139" t="s">
        <v>1079</v>
      </c>
      <c r="F1139" t="s">
        <v>34</v>
      </c>
      <c r="G1139" t="s">
        <v>24</v>
      </c>
      <c r="H1139" t="s">
        <v>36</v>
      </c>
      <c r="I1139" t="s">
        <v>26</v>
      </c>
      <c r="J1139" t="s">
        <v>27</v>
      </c>
      <c r="K1139" t="s">
        <v>28</v>
      </c>
      <c r="L1139" s="2">
        <v>24.8</v>
      </c>
      <c r="M1139" s="3">
        <v>245</v>
      </c>
      <c r="N1139">
        <v>3</v>
      </c>
      <c r="O1139">
        <v>3</v>
      </c>
      <c r="P1139">
        <v>1</v>
      </c>
      <c r="Q1139">
        <v>0</v>
      </c>
      <c r="R1139" s="4">
        <v>20.83</v>
      </c>
      <c r="S1139">
        <v>0</v>
      </c>
      <c r="T1139">
        <v>1</v>
      </c>
    </row>
    <row r="1140" spans="1:20" ht="16.5" x14ac:dyDescent="0.3">
      <c r="A1140" t="s">
        <v>1186</v>
      </c>
      <c r="B1140" s="1">
        <v>45461</v>
      </c>
      <c r="C1140">
        <v>2024</v>
      </c>
      <c r="D1140" t="s">
        <v>649</v>
      </c>
      <c r="E1140" t="s">
        <v>1079</v>
      </c>
      <c r="F1140" t="s">
        <v>23</v>
      </c>
      <c r="G1140" t="s">
        <v>39</v>
      </c>
      <c r="H1140" t="s">
        <v>48</v>
      </c>
      <c r="I1140" t="s">
        <v>40</v>
      </c>
      <c r="J1140" t="s">
        <v>27</v>
      </c>
      <c r="K1140" t="s">
        <v>32</v>
      </c>
      <c r="L1140" s="2">
        <v>6.3</v>
      </c>
      <c r="M1140" s="3">
        <v>433</v>
      </c>
      <c r="N1140">
        <v>2</v>
      </c>
      <c r="O1140">
        <v>2</v>
      </c>
      <c r="P1140">
        <v>1</v>
      </c>
      <c r="Q1140">
        <v>0</v>
      </c>
      <c r="R1140" s="4">
        <v>27.93</v>
      </c>
      <c r="S1140">
        <v>0</v>
      </c>
      <c r="T1140">
        <v>1</v>
      </c>
    </row>
    <row r="1141" spans="1:20" ht="16.5" x14ac:dyDescent="0.3">
      <c r="A1141" t="s">
        <v>1187</v>
      </c>
      <c r="B1141" s="1">
        <v>45461</v>
      </c>
      <c r="C1141">
        <v>2024</v>
      </c>
      <c r="D1141" t="s">
        <v>649</v>
      </c>
      <c r="E1141" t="s">
        <v>1079</v>
      </c>
      <c r="F1141" t="s">
        <v>30</v>
      </c>
      <c r="G1141" t="s">
        <v>39</v>
      </c>
      <c r="H1141" t="s">
        <v>25</v>
      </c>
      <c r="I1141" t="s">
        <v>26</v>
      </c>
      <c r="J1141" t="s">
        <v>27</v>
      </c>
      <c r="K1141" t="s">
        <v>32</v>
      </c>
      <c r="L1141" s="2">
        <v>5.9</v>
      </c>
      <c r="M1141" s="3">
        <v>998</v>
      </c>
      <c r="N1141">
        <v>4</v>
      </c>
      <c r="O1141">
        <v>3</v>
      </c>
      <c r="P1141">
        <v>1</v>
      </c>
      <c r="Q1141">
        <v>0</v>
      </c>
      <c r="R1141" s="4">
        <v>25.05</v>
      </c>
      <c r="S1141">
        <v>0</v>
      </c>
      <c r="T1141">
        <v>1</v>
      </c>
    </row>
    <row r="1142" spans="1:20" ht="16.5" x14ac:dyDescent="0.3">
      <c r="A1142" t="s">
        <v>1188</v>
      </c>
      <c r="B1142" s="1">
        <v>45461</v>
      </c>
      <c r="C1142">
        <v>2024</v>
      </c>
      <c r="D1142" t="s">
        <v>649</v>
      </c>
      <c r="E1142" t="s">
        <v>1079</v>
      </c>
      <c r="F1142" t="s">
        <v>38</v>
      </c>
      <c r="G1142" t="s">
        <v>39</v>
      </c>
      <c r="H1142" t="s">
        <v>36</v>
      </c>
      <c r="I1142" t="s">
        <v>40</v>
      </c>
      <c r="J1142" t="s">
        <v>27</v>
      </c>
      <c r="K1142" t="s">
        <v>32</v>
      </c>
      <c r="L1142" s="2">
        <v>7.4</v>
      </c>
      <c r="M1142" s="3">
        <v>287</v>
      </c>
      <c r="N1142">
        <v>1</v>
      </c>
      <c r="O1142">
        <v>1</v>
      </c>
      <c r="P1142">
        <v>1</v>
      </c>
      <c r="Q1142">
        <v>0</v>
      </c>
      <c r="R1142" s="4">
        <v>31.17</v>
      </c>
      <c r="S1142">
        <v>0</v>
      </c>
      <c r="T1142">
        <v>1</v>
      </c>
    </row>
    <row r="1143" spans="1:20" ht="16.5" x14ac:dyDescent="0.3">
      <c r="A1143" t="s">
        <v>1189</v>
      </c>
      <c r="B1143" s="1">
        <v>45462</v>
      </c>
      <c r="C1143">
        <v>2024</v>
      </c>
      <c r="D1143" t="s">
        <v>649</v>
      </c>
      <c r="E1143" t="s">
        <v>1079</v>
      </c>
      <c r="F1143" t="s">
        <v>38</v>
      </c>
      <c r="G1143" t="s">
        <v>24</v>
      </c>
      <c r="H1143" t="s">
        <v>25</v>
      </c>
      <c r="I1143" t="s">
        <v>26</v>
      </c>
      <c r="J1143" t="s">
        <v>27</v>
      </c>
      <c r="K1143" t="s">
        <v>32</v>
      </c>
      <c r="L1143" s="2">
        <v>13.4</v>
      </c>
      <c r="M1143" s="3">
        <v>945</v>
      </c>
      <c r="N1143">
        <v>4</v>
      </c>
      <c r="O1143">
        <v>4</v>
      </c>
      <c r="P1143">
        <v>1</v>
      </c>
      <c r="Q1143">
        <v>0</v>
      </c>
      <c r="R1143" s="4">
        <v>29.69</v>
      </c>
      <c r="S1143">
        <v>0</v>
      </c>
      <c r="T1143">
        <v>1</v>
      </c>
    </row>
    <row r="1144" spans="1:20" ht="16.5" x14ac:dyDescent="0.3">
      <c r="A1144" t="s">
        <v>1190</v>
      </c>
      <c r="B1144" s="1">
        <v>45462</v>
      </c>
      <c r="C1144">
        <v>2024</v>
      </c>
      <c r="D1144" t="s">
        <v>649</v>
      </c>
      <c r="E1144" t="s">
        <v>1079</v>
      </c>
      <c r="F1144" t="s">
        <v>30</v>
      </c>
      <c r="G1144" t="s">
        <v>39</v>
      </c>
      <c r="H1144" t="s">
        <v>36</v>
      </c>
      <c r="I1144" t="s">
        <v>26</v>
      </c>
      <c r="J1144" t="s">
        <v>27</v>
      </c>
      <c r="K1144" t="s">
        <v>28</v>
      </c>
      <c r="L1144" s="2">
        <v>198.4</v>
      </c>
      <c r="M1144" s="3">
        <v>223</v>
      </c>
      <c r="N1144">
        <v>3</v>
      </c>
      <c r="O1144">
        <v>2</v>
      </c>
      <c r="P1144">
        <v>1</v>
      </c>
      <c r="Q1144">
        <v>0</v>
      </c>
      <c r="R1144" s="4">
        <v>91.3</v>
      </c>
      <c r="S1144">
        <v>0</v>
      </c>
      <c r="T1144">
        <v>1</v>
      </c>
    </row>
    <row r="1145" spans="1:20" ht="16.5" x14ac:dyDescent="0.3">
      <c r="A1145" t="s">
        <v>1191</v>
      </c>
      <c r="B1145" s="1">
        <v>45462</v>
      </c>
      <c r="C1145">
        <v>2024</v>
      </c>
      <c r="D1145" t="s">
        <v>649</v>
      </c>
      <c r="E1145" t="s">
        <v>1079</v>
      </c>
      <c r="F1145" t="s">
        <v>57</v>
      </c>
      <c r="G1145" t="s">
        <v>35</v>
      </c>
      <c r="H1145" t="s">
        <v>36</v>
      </c>
      <c r="I1145" t="s">
        <v>26</v>
      </c>
      <c r="J1145" t="s">
        <v>27</v>
      </c>
      <c r="K1145" t="s">
        <v>28</v>
      </c>
      <c r="L1145" s="2">
        <v>136.9</v>
      </c>
      <c r="M1145" s="3">
        <v>198</v>
      </c>
      <c r="N1145">
        <v>3</v>
      </c>
      <c r="O1145">
        <v>3</v>
      </c>
      <c r="P1145">
        <v>1</v>
      </c>
      <c r="Q1145">
        <v>0</v>
      </c>
      <c r="R1145" s="4">
        <v>64.28</v>
      </c>
      <c r="S1145">
        <v>0</v>
      </c>
      <c r="T1145">
        <v>1</v>
      </c>
    </row>
    <row r="1146" spans="1:20" ht="16.5" x14ac:dyDescent="0.3">
      <c r="A1146" t="s">
        <v>1192</v>
      </c>
      <c r="B1146" s="1">
        <v>45462</v>
      </c>
      <c r="C1146">
        <v>2024</v>
      </c>
      <c r="D1146" t="s">
        <v>649</v>
      </c>
      <c r="E1146" t="s">
        <v>1079</v>
      </c>
      <c r="F1146" t="s">
        <v>34</v>
      </c>
      <c r="G1146" t="s">
        <v>35</v>
      </c>
      <c r="H1146" t="s">
        <v>25</v>
      </c>
      <c r="I1146" t="s">
        <v>31</v>
      </c>
      <c r="J1146" t="s">
        <v>27</v>
      </c>
      <c r="K1146" t="s">
        <v>32</v>
      </c>
      <c r="L1146" s="2">
        <v>5</v>
      </c>
      <c r="M1146" s="3">
        <v>1123</v>
      </c>
      <c r="N1146">
        <v>6</v>
      </c>
      <c r="O1146">
        <v>6</v>
      </c>
      <c r="P1146">
        <v>1</v>
      </c>
      <c r="Q1146">
        <v>0</v>
      </c>
      <c r="R1146" s="4">
        <v>13.88</v>
      </c>
      <c r="S1146">
        <v>0</v>
      </c>
      <c r="T1146">
        <v>1</v>
      </c>
    </row>
    <row r="1147" spans="1:20" ht="16.5" x14ac:dyDescent="0.3">
      <c r="A1147" t="s">
        <v>1193</v>
      </c>
      <c r="B1147" s="1">
        <v>45462</v>
      </c>
      <c r="C1147">
        <v>2024</v>
      </c>
      <c r="D1147" t="s">
        <v>649</v>
      </c>
      <c r="E1147" t="s">
        <v>1079</v>
      </c>
      <c r="F1147" t="s">
        <v>30</v>
      </c>
      <c r="G1147" t="s">
        <v>39</v>
      </c>
      <c r="H1147" t="s">
        <v>36</v>
      </c>
      <c r="I1147" t="s">
        <v>31</v>
      </c>
      <c r="J1147" t="s">
        <v>27</v>
      </c>
      <c r="K1147" t="s">
        <v>28</v>
      </c>
      <c r="L1147" s="2">
        <v>89.4</v>
      </c>
      <c r="M1147" s="3">
        <v>255</v>
      </c>
      <c r="N1147">
        <v>5</v>
      </c>
      <c r="O1147">
        <v>5</v>
      </c>
      <c r="P1147">
        <v>1</v>
      </c>
      <c r="Q1147">
        <v>0</v>
      </c>
      <c r="R1147" s="4">
        <v>36.299999999999997</v>
      </c>
      <c r="S1147">
        <v>0</v>
      </c>
      <c r="T1147">
        <v>1</v>
      </c>
    </row>
    <row r="1148" spans="1:20" ht="16.5" x14ac:dyDescent="0.3">
      <c r="A1148" t="s">
        <v>1194</v>
      </c>
      <c r="B1148" s="1">
        <v>45462</v>
      </c>
      <c r="C1148">
        <v>2024</v>
      </c>
      <c r="D1148" t="s">
        <v>649</v>
      </c>
      <c r="E1148" t="s">
        <v>1079</v>
      </c>
      <c r="F1148" t="s">
        <v>38</v>
      </c>
      <c r="G1148" t="s">
        <v>24</v>
      </c>
      <c r="H1148" t="s">
        <v>36</v>
      </c>
      <c r="I1148" t="s">
        <v>26</v>
      </c>
      <c r="J1148" t="s">
        <v>27</v>
      </c>
      <c r="K1148" t="s">
        <v>28</v>
      </c>
      <c r="L1148" s="2">
        <v>54.1</v>
      </c>
      <c r="M1148" s="3">
        <v>213</v>
      </c>
      <c r="N1148">
        <v>3</v>
      </c>
      <c r="O1148">
        <v>3</v>
      </c>
      <c r="P1148">
        <v>1</v>
      </c>
      <c r="Q1148">
        <v>0</v>
      </c>
      <c r="R1148" s="4">
        <v>37.86</v>
      </c>
      <c r="S1148">
        <v>0</v>
      </c>
      <c r="T1148">
        <v>1</v>
      </c>
    </row>
    <row r="1149" spans="1:20" ht="16.5" x14ac:dyDescent="0.3">
      <c r="A1149" t="s">
        <v>1195</v>
      </c>
      <c r="B1149" s="1">
        <v>45462</v>
      </c>
      <c r="C1149">
        <v>2024</v>
      </c>
      <c r="D1149" t="s">
        <v>649</v>
      </c>
      <c r="E1149" t="s">
        <v>1079</v>
      </c>
      <c r="F1149" t="s">
        <v>38</v>
      </c>
      <c r="G1149" t="s">
        <v>35</v>
      </c>
      <c r="H1149" t="s">
        <v>36</v>
      </c>
      <c r="I1149" t="s">
        <v>26</v>
      </c>
      <c r="J1149" t="s">
        <v>27</v>
      </c>
      <c r="K1149" t="s">
        <v>32</v>
      </c>
      <c r="L1149" s="2">
        <v>12.5</v>
      </c>
      <c r="M1149" s="3">
        <v>238</v>
      </c>
      <c r="N1149">
        <v>3</v>
      </c>
      <c r="O1149">
        <v>2</v>
      </c>
      <c r="P1149">
        <v>1</v>
      </c>
      <c r="Q1149">
        <v>0</v>
      </c>
      <c r="R1149" s="4">
        <v>18.350000000000001</v>
      </c>
      <c r="S1149">
        <v>0</v>
      </c>
      <c r="T1149">
        <v>1</v>
      </c>
    </row>
    <row r="1150" spans="1:20" ht="16.5" x14ac:dyDescent="0.3">
      <c r="A1150" t="s">
        <v>1196</v>
      </c>
      <c r="B1150" s="1">
        <v>45462</v>
      </c>
      <c r="C1150">
        <v>2024</v>
      </c>
      <c r="D1150" t="s">
        <v>649</v>
      </c>
      <c r="E1150" t="s">
        <v>1079</v>
      </c>
      <c r="F1150" t="s">
        <v>57</v>
      </c>
      <c r="G1150" t="s">
        <v>39</v>
      </c>
      <c r="H1150" t="s">
        <v>25</v>
      </c>
      <c r="I1150" t="s">
        <v>26</v>
      </c>
      <c r="J1150" t="s">
        <v>27</v>
      </c>
      <c r="K1150" t="s">
        <v>28</v>
      </c>
      <c r="L1150" s="2">
        <v>51.7</v>
      </c>
      <c r="M1150" s="3">
        <v>811</v>
      </c>
      <c r="N1150">
        <v>4</v>
      </c>
      <c r="O1150">
        <v>3</v>
      </c>
      <c r="P1150">
        <v>1</v>
      </c>
      <c r="Q1150">
        <v>0</v>
      </c>
      <c r="R1150" s="4">
        <v>40.19</v>
      </c>
      <c r="S1150">
        <v>0</v>
      </c>
      <c r="T1150">
        <v>1</v>
      </c>
    </row>
    <row r="1151" spans="1:20" ht="16.5" x14ac:dyDescent="0.3">
      <c r="A1151" t="s">
        <v>1197</v>
      </c>
      <c r="B1151" s="1">
        <v>45462</v>
      </c>
      <c r="C1151">
        <v>2024</v>
      </c>
      <c r="D1151" t="s">
        <v>649</v>
      </c>
      <c r="E1151" t="s">
        <v>1079</v>
      </c>
      <c r="F1151" t="s">
        <v>38</v>
      </c>
      <c r="G1151" t="s">
        <v>35</v>
      </c>
      <c r="H1151" t="s">
        <v>48</v>
      </c>
      <c r="I1151" t="s">
        <v>31</v>
      </c>
      <c r="J1151" t="s">
        <v>27</v>
      </c>
      <c r="K1151" t="s">
        <v>28</v>
      </c>
      <c r="L1151" s="2">
        <v>323.60000000000002</v>
      </c>
      <c r="M1151" s="3">
        <v>411</v>
      </c>
      <c r="N1151">
        <v>6</v>
      </c>
      <c r="O1151">
        <v>6</v>
      </c>
      <c r="P1151">
        <v>1</v>
      </c>
      <c r="Q1151">
        <v>0</v>
      </c>
      <c r="R1151" s="4">
        <v>117.1</v>
      </c>
      <c r="S1151">
        <v>0</v>
      </c>
      <c r="T1151">
        <v>1</v>
      </c>
    </row>
    <row r="1152" spans="1:20" ht="16.5" x14ac:dyDescent="0.3">
      <c r="A1152" t="s">
        <v>1198</v>
      </c>
      <c r="B1152" s="1">
        <v>45463</v>
      </c>
      <c r="C1152">
        <v>2024</v>
      </c>
      <c r="D1152" t="s">
        <v>649</v>
      </c>
      <c r="E1152" t="s">
        <v>1079</v>
      </c>
      <c r="F1152" t="s">
        <v>57</v>
      </c>
      <c r="G1152" t="s">
        <v>35</v>
      </c>
      <c r="H1152" t="s">
        <v>25</v>
      </c>
      <c r="I1152" t="s">
        <v>26</v>
      </c>
      <c r="J1152" t="s">
        <v>27</v>
      </c>
      <c r="K1152" t="s">
        <v>32</v>
      </c>
      <c r="L1152" s="2">
        <v>3</v>
      </c>
      <c r="M1152" s="3">
        <v>929</v>
      </c>
      <c r="N1152">
        <v>4</v>
      </c>
      <c r="O1152">
        <v>4</v>
      </c>
      <c r="P1152">
        <v>1</v>
      </c>
      <c r="Q1152">
        <v>0</v>
      </c>
      <c r="R1152" s="4">
        <v>19.829999999999998</v>
      </c>
      <c r="S1152">
        <v>0</v>
      </c>
      <c r="T1152">
        <v>1</v>
      </c>
    </row>
    <row r="1153" spans="1:20" ht="16.5" x14ac:dyDescent="0.3">
      <c r="A1153" t="s">
        <v>1199</v>
      </c>
      <c r="B1153" s="1">
        <v>45463</v>
      </c>
      <c r="C1153">
        <v>2024</v>
      </c>
      <c r="D1153" t="s">
        <v>649</v>
      </c>
      <c r="E1153" t="s">
        <v>1079</v>
      </c>
      <c r="F1153" t="s">
        <v>38</v>
      </c>
      <c r="G1153" t="s">
        <v>35</v>
      </c>
      <c r="H1153" t="s">
        <v>48</v>
      </c>
      <c r="I1153" t="s">
        <v>40</v>
      </c>
      <c r="J1153" t="s">
        <v>27</v>
      </c>
      <c r="K1153" t="s">
        <v>32</v>
      </c>
      <c r="L1153" s="2">
        <v>9.3000000000000007</v>
      </c>
      <c r="M1153" s="3">
        <v>465</v>
      </c>
      <c r="N1153">
        <v>2</v>
      </c>
      <c r="O1153">
        <v>2</v>
      </c>
      <c r="P1153">
        <v>1</v>
      </c>
      <c r="Q1153">
        <v>0</v>
      </c>
      <c r="R1153" s="4">
        <v>35.93</v>
      </c>
      <c r="S1153">
        <v>0</v>
      </c>
      <c r="T1153">
        <v>1</v>
      </c>
    </row>
    <row r="1154" spans="1:20" ht="16.5" x14ac:dyDescent="0.3">
      <c r="A1154" t="s">
        <v>1200</v>
      </c>
      <c r="B1154" s="1">
        <v>45463</v>
      </c>
      <c r="C1154">
        <v>2024</v>
      </c>
      <c r="D1154" t="s">
        <v>649</v>
      </c>
      <c r="E1154" t="s">
        <v>1079</v>
      </c>
      <c r="F1154" t="s">
        <v>38</v>
      </c>
      <c r="G1154" t="s">
        <v>35</v>
      </c>
      <c r="H1154" t="s">
        <v>36</v>
      </c>
      <c r="I1154" t="s">
        <v>26</v>
      </c>
      <c r="J1154" t="s">
        <v>27</v>
      </c>
      <c r="K1154" t="s">
        <v>32</v>
      </c>
      <c r="L1154" s="2">
        <v>4.3</v>
      </c>
      <c r="M1154" s="3">
        <v>228</v>
      </c>
      <c r="N1154">
        <v>3</v>
      </c>
      <c r="O1154">
        <v>3</v>
      </c>
      <c r="P1154">
        <v>1</v>
      </c>
      <c r="Q1154">
        <v>0</v>
      </c>
      <c r="R1154" s="4">
        <v>12.5</v>
      </c>
      <c r="S1154">
        <v>0</v>
      </c>
      <c r="T1154">
        <v>1</v>
      </c>
    </row>
    <row r="1155" spans="1:20" ht="16.5" x14ac:dyDescent="0.3">
      <c r="A1155" t="s">
        <v>1201</v>
      </c>
      <c r="B1155" s="1">
        <v>45463</v>
      </c>
      <c r="C1155">
        <v>2024</v>
      </c>
      <c r="D1155" t="s">
        <v>649</v>
      </c>
      <c r="E1155" t="s">
        <v>1079</v>
      </c>
      <c r="F1155" t="s">
        <v>30</v>
      </c>
      <c r="G1155" t="s">
        <v>39</v>
      </c>
      <c r="H1155" t="s">
        <v>43</v>
      </c>
      <c r="I1155" t="s">
        <v>26</v>
      </c>
      <c r="J1155" t="s">
        <v>27</v>
      </c>
      <c r="K1155" t="s">
        <v>32</v>
      </c>
      <c r="L1155" s="2">
        <v>8.6999999999999993</v>
      </c>
      <c r="M1155" s="3">
        <v>985</v>
      </c>
      <c r="N1155">
        <v>5</v>
      </c>
      <c r="O1155">
        <v>4</v>
      </c>
      <c r="P1155">
        <v>1</v>
      </c>
      <c r="Q1155">
        <v>0</v>
      </c>
      <c r="R1155" s="4">
        <v>26.27</v>
      </c>
      <c r="S1155">
        <v>0</v>
      </c>
      <c r="T1155">
        <v>1</v>
      </c>
    </row>
    <row r="1156" spans="1:20" ht="16.5" x14ac:dyDescent="0.3">
      <c r="A1156" t="s">
        <v>1202</v>
      </c>
      <c r="B1156" s="1">
        <v>45464</v>
      </c>
      <c r="C1156">
        <v>2024</v>
      </c>
      <c r="D1156" t="s">
        <v>649</v>
      </c>
      <c r="E1156" t="s">
        <v>1079</v>
      </c>
      <c r="F1156" t="s">
        <v>38</v>
      </c>
      <c r="G1156" t="s">
        <v>35</v>
      </c>
      <c r="H1156" t="s">
        <v>51</v>
      </c>
      <c r="I1156" t="s">
        <v>40</v>
      </c>
      <c r="J1156" t="s">
        <v>41</v>
      </c>
      <c r="K1156" t="s">
        <v>32</v>
      </c>
      <c r="L1156" s="2">
        <v>1.2</v>
      </c>
      <c r="M1156" s="3">
        <v>1236</v>
      </c>
      <c r="N1156">
        <v>3</v>
      </c>
      <c r="O1156">
        <v>3</v>
      </c>
      <c r="P1156">
        <v>1</v>
      </c>
      <c r="Q1156">
        <v>0</v>
      </c>
      <c r="R1156" s="4">
        <v>78.53</v>
      </c>
      <c r="S1156">
        <v>0</v>
      </c>
      <c r="T1156">
        <v>1</v>
      </c>
    </row>
    <row r="1157" spans="1:20" ht="16.5" x14ac:dyDescent="0.3">
      <c r="A1157" t="s">
        <v>1203</v>
      </c>
      <c r="B1157" s="1">
        <v>45464</v>
      </c>
      <c r="C1157">
        <v>2024</v>
      </c>
      <c r="D1157" t="s">
        <v>649</v>
      </c>
      <c r="E1157" t="s">
        <v>1079</v>
      </c>
      <c r="F1157" t="s">
        <v>34</v>
      </c>
      <c r="G1157" t="s">
        <v>35</v>
      </c>
      <c r="H1157" t="s">
        <v>25</v>
      </c>
      <c r="I1157" t="s">
        <v>26</v>
      </c>
      <c r="J1157" t="s">
        <v>27</v>
      </c>
      <c r="K1157" t="s">
        <v>32</v>
      </c>
      <c r="L1157" s="2">
        <v>1.4</v>
      </c>
      <c r="M1157" s="3">
        <v>746</v>
      </c>
      <c r="N1157">
        <v>4</v>
      </c>
      <c r="O1157">
        <v>4</v>
      </c>
      <c r="P1157">
        <v>1</v>
      </c>
      <c r="Q1157">
        <v>0</v>
      </c>
      <c r="R1157" s="4">
        <v>13.67</v>
      </c>
      <c r="S1157">
        <v>0</v>
      </c>
      <c r="T1157">
        <v>1</v>
      </c>
    </row>
    <row r="1158" spans="1:20" ht="16.5" x14ac:dyDescent="0.3">
      <c r="A1158" t="s">
        <v>1204</v>
      </c>
      <c r="B1158" s="1">
        <v>45464</v>
      </c>
      <c r="C1158">
        <v>2024</v>
      </c>
      <c r="D1158" t="s">
        <v>649</v>
      </c>
      <c r="E1158" t="s">
        <v>1079</v>
      </c>
      <c r="F1158" t="s">
        <v>38</v>
      </c>
      <c r="G1158" t="s">
        <v>24</v>
      </c>
      <c r="H1158" t="s">
        <v>48</v>
      </c>
      <c r="I1158" t="s">
        <v>26</v>
      </c>
      <c r="J1158" t="s">
        <v>27</v>
      </c>
      <c r="K1158" t="s">
        <v>28</v>
      </c>
      <c r="L1158" s="2">
        <v>92.6</v>
      </c>
      <c r="M1158" s="3">
        <v>539</v>
      </c>
      <c r="N1158">
        <v>4</v>
      </c>
      <c r="O1158">
        <v>4</v>
      </c>
      <c r="P1158">
        <v>1</v>
      </c>
      <c r="Q1158">
        <v>0</v>
      </c>
      <c r="R1158" s="4">
        <v>64.22</v>
      </c>
      <c r="S1158">
        <v>0</v>
      </c>
      <c r="T1158">
        <v>1</v>
      </c>
    </row>
    <row r="1159" spans="1:20" ht="16.5" x14ac:dyDescent="0.3">
      <c r="A1159" t="s">
        <v>1205</v>
      </c>
      <c r="B1159" s="1">
        <v>45464</v>
      </c>
      <c r="C1159">
        <v>2024</v>
      </c>
      <c r="D1159" t="s">
        <v>649</v>
      </c>
      <c r="E1159" t="s">
        <v>1079</v>
      </c>
      <c r="F1159" t="s">
        <v>38</v>
      </c>
      <c r="G1159" t="s">
        <v>35</v>
      </c>
      <c r="H1159" t="s">
        <v>36</v>
      </c>
      <c r="I1159" t="s">
        <v>26</v>
      </c>
      <c r="J1159" t="s">
        <v>27</v>
      </c>
      <c r="K1159" t="s">
        <v>32</v>
      </c>
      <c r="L1159" s="2">
        <v>10.6</v>
      </c>
      <c r="M1159" s="3">
        <v>250</v>
      </c>
      <c r="N1159">
        <v>3</v>
      </c>
      <c r="O1159">
        <v>3</v>
      </c>
      <c r="P1159">
        <v>1</v>
      </c>
      <c r="Q1159">
        <v>0</v>
      </c>
      <c r="R1159" s="4">
        <v>17.600000000000001</v>
      </c>
      <c r="S1159">
        <v>0</v>
      </c>
      <c r="T1159">
        <v>1</v>
      </c>
    </row>
    <row r="1160" spans="1:20" ht="16.5" x14ac:dyDescent="0.3">
      <c r="A1160" t="s">
        <v>1206</v>
      </c>
      <c r="B1160" s="1">
        <v>45464</v>
      </c>
      <c r="C1160">
        <v>2024</v>
      </c>
      <c r="D1160" t="s">
        <v>649</v>
      </c>
      <c r="E1160" t="s">
        <v>1079</v>
      </c>
      <c r="F1160" t="s">
        <v>34</v>
      </c>
      <c r="G1160" t="s">
        <v>35</v>
      </c>
      <c r="H1160" t="s">
        <v>25</v>
      </c>
      <c r="I1160" t="s">
        <v>26</v>
      </c>
      <c r="J1160" t="s">
        <v>27</v>
      </c>
      <c r="K1160" t="s">
        <v>32</v>
      </c>
      <c r="L1160" s="2">
        <v>4.3</v>
      </c>
      <c r="M1160" s="3">
        <v>880</v>
      </c>
      <c r="N1160">
        <v>4</v>
      </c>
      <c r="O1160">
        <v>4</v>
      </c>
      <c r="P1160">
        <v>1</v>
      </c>
      <c r="Q1160">
        <v>0</v>
      </c>
      <c r="R1160" s="4">
        <v>15.57</v>
      </c>
      <c r="S1160">
        <v>0</v>
      </c>
      <c r="T1160">
        <v>1</v>
      </c>
    </row>
    <row r="1161" spans="1:20" ht="16.5" x14ac:dyDescent="0.3">
      <c r="A1161" t="s">
        <v>1207</v>
      </c>
      <c r="B1161" s="1">
        <v>45464</v>
      </c>
      <c r="C1161">
        <v>2024</v>
      </c>
      <c r="D1161" t="s">
        <v>649</v>
      </c>
      <c r="E1161" t="s">
        <v>1079</v>
      </c>
      <c r="F1161" t="s">
        <v>23</v>
      </c>
      <c r="G1161" t="s">
        <v>24</v>
      </c>
      <c r="H1161" t="s">
        <v>25</v>
      </c>
      <c r="I1161" t="s">
        <v>26</v>
      </c>
      <c r="J1161" t="s">
        <v>27</v>
      </c>
      <c r="K1161" t="s">
        <v>32</v>
      </c>
      <c r="L1161" s="2">
        <v>5.4</v>
      </c>
      <c r="M1161" s="3">
        <v>895</v>
      </c>
      <c r="N1161">
        <v>4</v>
      </c>
      <c r="O1161">
        <v>3</v>
      </c>
      <c r="P1161">
        <v>1</v>
      </c>
      <c r="Q1161">
        <v>0</v>
      </c>
      <c r="R1161" s="4">
        <v>17.649999999999999</v>
      </c>
      <c r="S1161">
        <v>0</v>
      </c>
      <c r="T1161">
        <v>1</v>
      </c>
    </row>
    <row r="1162" spans="1:20" ht="16.5" x14ac:dyDescent="0.3">
      <c r="A1162" t="s">
        <v>1208</v>
      </c>
      <c r="B1162" s="1">
        <v>45464</v>
      </c>
      <c r="C1162">
        <v>2024</v>
      </c>
      <c r="D1162" t="s">
        <v>649</v>
      </c>
      <c r="E1162" t="s">
        <v>1079</v>
      </c>
      <c r="F1162" t="s">
        <v>23</v>
      </c>
      <c r="G1162" t="s">
        <v>39</v>
      </c>
      <c r="H1162" t="s">
        <v>25</v>
      </c>
      <c r="I1162" t="s">
        <v>26</v>
      </c>
      <c r="J1162" t="s">
        <v>27</v>
      </c>
      <c r="K1162" t="s">
        <v>32</v>
      </c>
      <c r="L1162" s="2">
        <v>4</v>
      </c>
      <c r="M1162" s="3">
        <v>996</v>
      </c>
      <c r="N1162">
        <v>4</v>
      </c>
      <c r="O1162">
        <v>3</v>
      </c>
      <c r="P1162">
        <v>1</v>
      </c>
      <c r="Q1162">
        <v>0</v>
      </c>
      <c r="R1162" s="4">
        <v>17.63</v>
      </c>
      <c r="S1162">
        <v>0</v>
      </c>
      <c r="T1162">
        <v>1</v>
      </c>
    </row>
    <row r="1163" spans="1:20" ht="16.5" x14ac:dyDescent="0.3">
      <c r="A1163" t="s">
        <v>1209</v>
      </c>
      <c r="B1163" s="1">
        <v>45465</v>
      </c>
      <c r="C1163">
        <v>2024</v>
      </c>
      <c r="D1163" t="s">
        <v>649</v>
      </c>
      <c r="E1163" t="s">
        <v>1079</v>
      </c>
      <c r="F1163" t="s">
        <v>34</v>
      </c>
      <c r="G1163" t="s">
        <v>24</v>
      </c>
      <c r="H1163" t="s">
        <v>51</v>
      </c>
      <c r="I1163" t="s">
        <v>31</v>
      </c>
      <c r="J1163" t="s">
        <v>27</v>
      </c>
      <c r="K1163" t="s">
        <v>32</v>
      </c>
      <c r="L1163" s="2">
        <v>3</v>
      </c>
      <c r="M1163" s="3">
        <v>1178</v>
      </c>
      <c r="N1163">
        <v>7</v>
      </c>
      <c r="O1163">
        <v>6</v>
      </c>
      <c r="P1163">
        <v>1</v>
      </c>
      <c r="Q1163">
        <v>0</v>
      </c>
      <c r="R1163" s="4">
        <v>14.12</v>
      </c>
      <c r="S1163">
        <v>0</v>
      </c>
      <c r="T1163">
        <v>1</v>
      </c>
    </row>
    <row r="1164" spans="1:20" ht="16.5" x14ac:dyDescent="0.3">
      <c r="A1164" t="s">
        <v>1210</v>
      </c>
      <c r="B1164" s="1">
        <v>45465</v>
      </c>
      <c r="C1164">
        <v>2024</v>
      </c>
      <c r="D1164" t="s">
        <v>649</v>
      </c>
      <c r="E1164" t="s">
        <v>1079</v>
      </c>
      <c r="F1164" t="s">
        <v>34</v>
      </c>
      <c r="G1164" t="s">
        <v>24</v>
      </c>
      <c r="H1164" t="s">
        <v>48</v>
      </c>
      <c r="I1164" t="s">
        <v>26</v>
      </c>
      <c r="J1164" t="s">
        <v>27</v>
      </c>
      <c r="K1164" t="s">
        <v>28</v>
      </c>
      <c r="L1164" s="2">
        <v>126.8</v>
      </c>
      <c r="M1164" s="3">
        <v>359</v>
      </c>
      <c r="N1164">
        <v>4</v>
      </c>
      <c r="O1164">
        <v>6</v>
      </c>
      <c r="P1164">
        <v>0</v>
      </c>
      <c r="Q1164">
        <v>2</v>
      </c>
      <c r="R1164" s="4">
        <v>56.31</v>
      </c>
      <c r="S1164">
        <v>0</v>
      </c>
      <c r="T1164">
        <v>1</v>
      </c>
    </row>
    <row r="1165" spans="1:20" ht="16.5" x14ac:dyDescent="0.3">
      <c r="A1165" t="s">
        <v>1211</v>
      </c>
      <c r="B1165" s="1">
        <v>45466</v>
      </c>
      <c r="C1165">
        <v>2024</v>
      </c>
      <c r="D1165" t="s">
        <v>649</v>
      </c>
      <c r="E1165" t="s">
        <v>1079</v>
      </c>
      <c r="F1165" t="s">
        <v>38</v>
      </c>
      <c r="G1165" t="s">
        <v>24</v>
      </c>
      <c r="H1165" t="s">
        <v>25</v>
      </c>
      <c r="I1165" t="s">
        <v>26</v>
      </c>
      <c r="J1165" t="s">
        <v>27</v>
      </c>
      <c r="K1165" t="s">
        <v>28</v>
      </c>
      <c r="L1165" s="2">
        <v>39.700000000000003</v>
      </c>
      <c r="M1165" s="3">
        <v>1010</v>
      </c>
      <c r="N1165">
        <v>4</v>
      </c>
      <c r="O1165">
        <v>4</v>
      </c>
      <c r="P1165">
        <v>1</v>
      </c>
      <c r="Q1165">
        <v>0</v>
      </c>
      <c r="R1165" s="4">
        <v>42.87</v>
      </c>
      <c r="S1165">
        <v>0</v>
      </c>
      <c r="T1165">
        <v>1</v>
      </c>
    </row>
    <row r="1166" spans="1:20" ht="16.5" x14ac:dyDescent="0.3">
      <c r="A1166" t="s">
        <v>1212</v>
      </c>
      <c r="B1166" s="1">
        <v>45466</v>
      </c>
      <c r="C1166">
        <v>2024</v>
      </c>
      <c r="D1166" t="s">
        <v>649</v>
      </c>
      <c r="E1166" t="s">
        <v>1079</v>
      </c>
      <c r="F1166" t="s">
        <v>38</v>
      </c>
      <c r="G1166" t="s">
        <v>24</v>
      </c>
      <c r="H1166" t="s">
        <v>48</v>
      </c>
      <c r="I1166" t="s">
        <v>26</v>
      </c>
      <c r="J1166" t="s">
        <v>27</v>
      </c>
      <c r="K1166" t="s">
        <v>28</v>
      </c>
      <c r="L1166" s="2">
        <v>38.299999999999997</v>
      </c>
      <c r="M1166" s="3">
        <v>523</v>
      </c>
      <c r="N1166">
        <v>4</v>
      </c>
      <c r="O1166">
        <v>4</v>
      </c>
      <c r="P1166">
        <v>1</v>
      </c>
      <c r="Q1166">
        <v>0</v>
      </c>
      <c r="R1166" s="4">
        <v>36.99</v>
      </c>
      <c r="S1166">
        <v>0</v>
      </c>
      <c r="T1166">
        <v>1</v>
      </c>
    </row>
    <row r="1167" spans="1:20" ht="16.5" x14ac:dyDescent="0.3">
      <c r="A1167" t="s">
        <v>1213</v>
      </c>
      <c r="B1167" s="1">
        <v>45466</v>
      </c>
      <c r="C1167">
        <v>2024</v>
      </c>
      <c r="D1167" t="s">
        <v>649</v>
      </c>
      <c r="E1167" t="s">
        <v>1079</v>
      </c>
      <c r="F1167" t="s">
        <v>30</v>
      </c>
      <c r="G1167" t="s">
        <v>24</v>
      </c>
      <c r="H1167" t="s">
        <v>48</v>
      </c>
      <c r="I1167" t="s">
        <v>40</v>
      </c>
      <c r="J1167" t="s">
        <v>27</v>
      </c>
      <c r="K1167" t="s">
        <v>28</v>
      </c>
      <c r="L1167" s="2">
        <v>266.39999999999998</v>
      </c>
      <c r="M1167" s="3">
        <v>420</v>
      </c>
      <c r="N1167">
        <v>2</v>
      </c>
      <c r="O1167">
        <v>5</v>
      </c>
      <c r="P1167">
        <v>0</v>
      </c>
      <c r="Q1167">
        <v>3</v>
      </c>
      <c r="R1167" s="4">
        <v>237.13</v>
      </c>
      <c r="S1167">
        <v>0</v>
      </c>
      <c r="T1167">
        <v>1</v>
      </c>
    </row>
    <row r="1168" spans="1:20" ht="16.5" x14ac:dyDescent="0.3">
      <c r="A1168" t="s">
        <v>1214</v>
      </c>
      <c r="B1168" s="1">
        <v>45467</v>
      </c>
      <c r="C1168">
        <v>2024</v>
      </c>
      <c r="D1168" t="s">
        <v>649</v>
      </c>
      <c r="E1168" t="s">
        <v>1079</v>
      </c>
      <c r="F1168" t="s">
        <v>34</v>
      </c>
      <c r="G1168" t="s">
        <v>35</v>
      </c>
      <c r="H1168" t="s">
        <v>25</v>
      </c>
      <c r="I1168" t="s">
        <v>26</v>
      </c>
      <c r="J1168" t="s">
        <v>27</v>
      </c>
      <c r="K1168" t="s">
        <v>28</v>
      </c>
      <c r="L1168" s="2">
        <v>136</v>
      </c>
      <c r="M1168" s="3">
        <v>1089</v>
      </c>
      <c r="N1168">
        <v>4</v>
      </c>
      <c r="O1168">
        <v>4</v>
      </c>
      <c r="P1168">
        <v>1</v>
      </c>
      <c r="Q1168">
        <v>0</v>
      </c>
      <c r="R1168" s="4">
        <v>70.05</v>
      </c>
      <c r="S1168">
        <v>0</v>
      </c>
      <c r="T1168">
        <v>1</v>
      </c>
    </row>
    <row r="1169" spans="1:20" ht="16.5" x14ac:dyDescent="0.3">
      <c r="A1169" t="s">
        <v>1215</v>
      </c>
      <c r="B1169" s="1">
        <v>45467</v>
      </c>
      <c r="C1169">
        <v>2024</v>
      </c>
      <c r="D1169" t="s">
        <v>649</v>
      </c>
      <c r="E1169" t="s">
        <v>1079</v>
      </c>
      <c r="F1169" t="s">
        <v>23</v>
      </c>
      <c r="G1169" t="s">
        <v>39</v>
      </c>
      <c r="H1169" t="s">
        <v>51</v>
      </c>
      <c r="I1169" t="s">
        <v>40</v>
      </c>
      <c r="J1169" t="s">
        <v>41</v>
      </c>
      <c r="K1169" t="s">
        <v>32</v>
      </c>
      <c r="L1169" s="2">
        <v>10.1</v>
      </c>
      <c r="M1169" s="3">
        <v>1216</v>
      </c>
      <c r="N1169">
        <v>3</v>
      </c>
      <c r="O1169">
        <v>3</v>
      </c>
      <c r="P1169">
        <v>1</v>
      </c>
      <c r="Q1169">
        <v>0</v>
      </c>
      <c r="R1169" s="4">
        <v>82.38</v>
      </c>
      <c r="S1169">
        <v>0</v>
      </c>
      <c r="T1169">
        <v>1</v>
      </c>
    </row>
    <row r="1170" spans="1:20" ht="16.5" x14ac:dyDescent="0.3">
      <c r="A1170" t="s">
        <v>1216</v>
      </c>
      <c r="B1170" s="1">
        <v>45467</v>
      </c>
      <c r="C1170">
        <v>2024</v>
      </c>
      <c r="D1170" t="s">
        <v>649</v>
      </c>
      <c r="E1170" t="s">
        <v>1079</v>
      </c>
      <c r="F1170" t="s">
        <v>57</v>
      </c>
      <c r="G1170" t="s">
        <v>35</v>
      </c>
      <c r="H1170" t="s">
        <v>48</v>
      </c>
      <c r="I1170" t="s">
        <v>40</v>
      </c>
      <c r="J1170" t="s">
        <v>27</v>
      </c>
      <c r="K1170" t="s">
        <v>32</v>
      </c>
      <c r="L1170" s="2">
        <v>1.1000000000000001</v>
      </c>
      <c r="M1170" s="3">
        <v>520</v>
      </c>
      <c r="N1170">
        <v>2</v>
      </c>
      <c r="O1170">
        <v>2</v>
      </c>
      <c r="P1170">
        <v>1</v>
      </c>
      <c r="Q1170">
        <v>0</v>
      </c>
      <c r="R1170" s="4">
        <v>28.6</v>
      </c>
      <c r="S1170">
        <v>0</v>
      </c>
      <c r="T1170">
        <v>1</v>
      </c>
    </row>
    <row r="1171" spans="1:20" ht="16.5" x14ac:dyDescent="0.3">
      <c r="A1171" t="s">
        <v>1217</v>
      </c>
      <c r="B1171" s="1">
        <v>45468</v>
      </c>
      <c r="C1171">
        <v>2024</v>
      </c>
      <c r="D1171" t="s">
        <v>649</v>
      </c>
      <c r="E1171" t="s">
        <v>1079</v>
      </c>
      <c r="F1171" t="s">
        <v>57</v>
      </c>
      <c r="G1171" t="s">
        <v>35</v>
      </c>
      <c r="H1171" t="s">
        <v>48</v>
      </c>
      <c r="I1171" t="s">
        <v>40</v>
      </c>
      <c r="J1171" t="s">
        <v>27</v>
      </c>
      <c r="K1171" t="s">
        <v>32</v>
      </c>
      <c r="L1171" s="2">
        <v>3.1</v>
      </c>
      <c r="M1171" s="3">
        <v>448</v>
      </c>
      <c r="N1171">
        <v>2</v>
      </c>
      <c r="O1171">
        <v>2</v>
      </c>
      <c r="P1171">
        <v>1</v>
      </c>
      <c r="Q1171">
        <v>0</v>
      </c>
      <c r="R1171" s="4">
        <v>27.36</v>
      </c>
      <c r="S1171">
        <v>0</v>
      </c>
      <c r="T1171">
        <v>1</v>
      </c>
    </row>
    <row r="1172" spans="1:20" ht="16.5" x14ac:dyDescent="0.3">
      <c r="A1172" t="s">
        <v>1218</v>
      </c>
      <c r="B1172" s="1">
        <v>45468</v>
      </c>
      <c r="C1172">
        <v>2024</v>
      </c>
      <c r="D1172" t="s">
        <v>649</v>
      </c>
      <c r="E1172" t="s">
        <v>1079</v>
      </c>
      <c r="F1172" t="s">
        <v>57</v>
      </c>
      <c r="G1172" t="s">
        <v>39</v>
      </c>
      <c r="H1172" t="s">
        <v>36</v>
      </c>
      <c r="I1172" t="s">
        <v>40</v>
      </c>
      <c r="J1172" t="s">
        <v>27</v>
      </c>
      <c r="K1172" t="s">
        <v>32</v>
      </c>
      <c r="L1172" s="2">
        <v>3.6</v>
      </c>
      <c r="M1172" s="3">
        <v>243</v>
      </c>
      <c r="N1172">
        <v>1</v>
      </c>
      <c r="O1172">
        <v>1</v>
      </c>
      <c r="P1172">
        <v>1</v>
      </c>
      <c r="Q1172">
        <v>0</v>
      </c>
      <c r="R1172" s="4">
        <v>22.47</v>
      </c>
      <c r="S1172">
        <v>0</v>
      </c>
      <c r="T1172">
        <v>1</v>
      </c>
    </row>
    <row r="1173" spans="1:20" ht="16.5" x14ac:dyDescent="0.3">
      <c r="A1173" t="s">
        <v>1219</v>
      </c>
      <c r="B1173" s="1">
        <v>45468</v>
      </c>
      <c r="C1173">
        <v>2024</v>
      </c>
      <c r="D1173" t="s">
        <v>649</v>
      </c>
      <c r="E1173" t="s">
        <v>1079</v>
      </c>
      <c r="F1173" t="s">
        <v>30</v>
      </c>
      <c r="G1173" t="s">
        <v>35</v>
      </c>
      <c r="H1173" t="s">
        <v>43</v>
      </c>
      <c r="I1173" t="s">
        <v>40</v>
      </c>
      <c r="J1173" t="s">
        <v>41</v>
      </c>
      <c r="K1173" t="s">
        <v>32</v>
      </c>
      <c r="L1173" s="2">
        <v>10.1</v>
      </c>
      <c r="M1173" s="3">
        <v>1232</v>
      </c>
      <c r="N1173">
        <v>3</v>
      </c>
      <c r="O1173">
        <v>3</v>
      </c>
      <c r="P1173">
        <v>1</v>
      </c>
      <c r="Q1173">
        <v>0</v>
      </c>
      <c r="R1173" s="4">
        <v>87.57</v>
      </c>
      <c r="S1173">
        <v>0</v>
      </c>
      <c r="T1173">
        <v>1</v>
      </c>
    </row>
    <row r="1174" spans="1:20" ht="16.5" x14ac:dyDescent="0.3">
      <c r="A1174" t="s">
        <v>1220</v>
      </c>
      <c r="B1174" s="1">
        <v>45468</v>
      </c>
      <c r="C1174">
        <v>2024</v>
      </c>
      <c r="D1174" t="s">
        <v>649</v>
      </c>
      <c r="E1174" t="s">
        <v>1079</v>
      </c>
      <c r="F1174" t="s">
        <v>38</v>
      </c>
      <c r="G1174" t="s">
        <v>39</v>
      </c>
      <c r="H1174" t="s">
        <v>36</v>
      </c>
      <c r="I1174" t="s">
        <v>40</v>
      </c>
      <c r="J1174" t="s">
        <v>27</v>
      </c>
      <c r="K1174" t="s">
        <v>28</v>
      </c>
      <c r="L1174" s="2">
        <v>85</v>
      </c>
      <c r="M1174" s="3">
        <v>293</v>
      </c>
      <c r="N1174">
        <v>1</v>
      </c>
      <c r="O1174">
        <v>1</v>
      </c>
      <c r="P1174">
        <v>1</v>
      </c>
      <c r="Q1174">
        <v>0</v>
      </c>
      <c r="R1174" s="4">
        <v>105.28</v>
      </c>
      <c r="S1174">
        <v>0</v>
      </c>
      <c r="T1174">
        <v>1</v>
      </c>
    </row>
    <row r="1175" spans="1:20" ht="16.5" x14ac:dyDescent="0.3">
      <c r="A1175" t="s">
        <v>1221</v>
      </c>
      <c r="B1175" s="1">
        <v>45468</v>
      </c>
      <c r="C1175">
        <v>2024</v>
      </c>
      <c r="D1175" t="s">
        <v>649</v>
      </c>
      <c r="E1175" t="s">
        <v>1079</v>
      </c>
      <c r="F1175" t="s">
        <v>34</v>
      </c>
      <c r="G1175" t="s">
        <v>39</v>
      </c>
      <c r="H1175" t="s">
        <v>36</v>
      </c>
      <c r="I1175" t="s">
        <v>26</v>
      </c>
      <c r="J1175" t="s">
        <v>27</v>
      </c>
      <c r="K1175" t="s">
        <v>32</v>
      </c>
      <c r="L1175" s="2">
        <v>11.3</v>
      </c>
      <c r="M1175" s="3">
        <v>146</v>
      </c>
      <c r="N1175">
        <v>3</v>
      </c>
      <c r="O1175">
        <v>3</v>
      </c>
      <c r="P1175">
        <v>1</v>
      </c>
      <c r="Q1175">
        <v>0</v>
      </c>
      <c r="R1175" s="4">
        <v>13.1</v>
      </c>
      <c r="S1175">
        <v>0</v>
      </c>
      <c r="T1175">
        <v>1</v>
      </c>
    </row>
    <row r="1176" spans="1:20" ht="16.5" x14ac:dyDescent="0.3">
      <c r="A1176" t="s">
        <v>1222</v>
      </c>
      <c r="B1176" s="1">
        <v>45468</v>
      </c>
      <c r="C1176">
        <v>2024</v>
      </c>
      <c r="D1176" t="s">
        <v>649</v>
      </c>
      <c r="E1176" t="s">
        <v>1079</v>
      </c>
      <c r="F1176" t="s">
        <v>57</v>
      </c>
      <c r="G1176" t="s">
        <v>24</v>
      </c>
      <c r="H1176" t="s">
        <v>25</v>
      </c>
      <c r="I1176" t="s">
        <v>26</v>
      </c>
      <c r="J1176" t="s">
        <v>27</v>
      </c>
      <c r="K1176" t="s">
        <v>32</v>
      </c>
      <c r="L1176" s="2">
        <v>2</v>
      </c>
      <c r="M1176" s="3">
        <v>814</v>
      </c>
      <c r="N1176">
        <v>4</v>
      </c>
      <c r="O1176">
        <v>4</v>
      </c>
      <c r="P1176">
        <v>1</v>
      </c>
      <c r="Q1176">
        <v>0</v>
      </c>
      <c r="R1176" s="4">
        <v>16.3</v>
      </c>
      <c r="S1176">
        <v>0</v>
      </c>
      <c r="T1176">
        <v>1</v>
      </c>
    </row>
    <row r="1177" spans="1:20" ht="16.5" x14ac:dyDescent="0.3">
      <c r="A1177" t="s">
        <v>1223</v>
      </c>
      <c r="B1177" s="1">
        <v>45468</v>
      </c>
      <c r="C1177">
        <v>2024</v>
      </c>
      <c r="D1177" t="s">
        <v>649</v>
      </c>
      <c r="E1177" t="s">
        <v>1079</v>
      </c>
      <c r="F1177" t="s">
        <v>38</v>
      </c>
      <c r="G1177" t="s">
        <v>39</v>
      </c>
      <c r="H1177" t="s">
        <v>25</v>
      </c>
      <c r="I1177" t="s">
        <v>26</v>
      </c>
      <c r="J1177" t="s">
        <v>27</v>
      </c>
      <c r="K1177" t="s">
        <v>32</v>
      </c>
      <c r="L1177" s="2">
        <v>2.8</v>
      </c>
      <c r="M1177" s="3">
        <v>1060</v>
      </c>
      <c r="N1177">
        <v>4</v>
      </c>
      <c r="O1177">
        <v>4</v>
      </c>
      <c r="P1177">
        <v>1</v>
      </c>
      <c r="Q1177">
        <v>0</v>
      </c>
      <c r="R1177" s="4">
        <v>26.4</v>
      </c>
      <c r="S1177">
        <v>0</v>
      </c>
      <c r="T1177">
        <v>1</v>
      </c>
    </row>
    <row r="1178" spans="1:20" ht="16.5" x14ac:dyDescent="0.3">
      <c r="A1178" t="s">
        <v>1224</v>
      </c>
      <c r="B1178" s="1">
        <v>45468</v>
      </c>
      <c r="C1178">
        <v>2024</v>
      </c>
      <c r="D1178" t="s">
        <v>649</v>
      </c>
      <c r="E1178" t="s">
        <v>1079</v>
      </c>
      <c r="F1178" t="s">
        <v>38</v>
      </c>
      <c r="G1178" t="s">
        <v>39</v>
      </c>
      <c r="H1178" t="s">
        <v>48</v>
      </c>
      <c r="I1178" t="s">
        <v>31</v>
      </c>
      <c r="J1178" t="s">
        <v>27</v>
      </c>
      <c r="K1178" t="s">
        <v>28</v>
      </c>
      <c r="L1178" s="2">
        <v>184.6</v>
      </c>
      <c r="M1178" s="3">
        <v>603</v>
      </c>
      <c r="N1178">
        <v>6</v>
      </c>
      <c r="O1178">
        <v>6</v>
      </c>
      <c r="P1178">
        <v>1</v>
      </c>
      <c r="Q1178">
        <v>0</v>
      </c>
      <c r="R1178" s="4">
        <v>69.28</v>
      </c>
      <c r="S1178">
        <v>0</v>
      </c>
      <c r="T1178">
        <v>1</v>
      </c>
    </row>
    <row r="1179" spans="1:20" ht="16.5" x14ac:dyDescent="0.3">
      <c r="A1179" t="s">
        <v>1225</v>
      </c>
      <c r="B1179" s="1">
        <v>45468</v>
      </c>
      <c r="C1179">
        <v>2024</v>
      </c>
      <c r="D1179" t="s">
        <v>649</v>
      </c>
      <c r="E1179" t="s">
        <v>1079</v>
      </c>
      <c r="F1179" t="s">
        <v>30</v>
      </c>
      <c r="G1179" t="s">
        <v>39</v>
      </c>
      <c r="H1179" t="s">
        <v>36</v>
      </c>
      <c r="I1179" t="s">
        <v>26</v>
      </c>
      <c r="J1179" t="s">
        <v>27</v>
      </c>
      <c r="K1179" t="s">
        <v>32</v>
      </c>
      <c r="L1179" s="2">
        <v>0.8</v>
      </c>
      <c r="M1179" s="3">
        <v>255</v>
      </c>
      <c r="N1179">
        <v>3</v>
      </c>
      <c r="O1179">
        <v>3</v>
      </c>
      <c r="P1179">
        <v>1</v>
      </c>
      <c r="Q1179">
        <v>0</v>
      </c>
      <c r="R1179" s="4">
        <v>10.28</v>
      </c>
      <c r="S1179">
        <v>0</v>
      </c>
      <c r="T1179">
        <v>1</v>
      </c>
    </row>
    <row r="1180" spans="1:20" ht="16.5" x14ac:dyDescent="0.3">
      <c r="A1180" t="s">
        <v>1226</v>
      </c>
      <c r="B1180" s="1">
        <v>45468</v>
      </c>
      <c r="C1180">
        <v>2024</v>
      </c>
      <c r="D1180" t="s">
        <v>649</v>
      </c>
      <c r="E1180" t="s">
        <v>1079</v>
      </c>
      <c r="F1180" t="s">
        <v>57</v>
      </c>
      <c r="G1180" t="s">
        <v>39</v>
      </c>
      <c r="H1180" t="s">
        <v>36</v>
      </c>
      <c r="I1180" t="s">
        <v>26</v>
      </c>
      <c r="J1180" t="s">
        <v>27</v>
      </c>
      <c r="K1180" t="s">
        <v>32</v>
      </c>
      <c r="L1180" s="2">
        <v>5.0999999999999996</v>
      </c>
      <c r="M1180" s="3">
        <v>316</v>
      </c>
      <c r="N1180">
        <v>3</v>
      </c>
      <c r="O1180">
        <v>3</v>
      </c>
      <c r="P1180">
        <v>1</v>
      </c>
      <c r="Q1180">
        <v>0</v>
      </c>
      <c r="R1180" s="4">
        <v>14.02</v>
      </c>
      <c r="S1180">
        <v>1</v>
      </c>
      <c r="T1180">
        <v>1</v>
      </c>
    </row>
    <row r="1181" spans="1:20" ht="16.5" x14ac:dyDescent="0.3">
      <c r="A1181" t="s">
        <v>1227</v>
      </c>
      <c r="B1181" s="1">
        <v>45468</v>
      </c>
      <c r="C1181">
        <v>2024</v>
      </c>
      <c r="D1181" t="s">
        <v>649</v>
      </c>
      <c r="E1181" t="s">
        <v>1079</v>
      </c>
      <c r="F1181" t="s">
        <v>38</v>
      </c>
      <c r="G1181" t="s">
        <v>24</v>
      </c>
      <c r="H1181" t="s">
        <v>48</v>
      </c>
      <c r="I1181" t="s">
        <v>40</v>
      </c>
      <c r="J1181" t="s">
        <v>27</v>
      </c>
      <c r="K1181" t="s">
        <v>32</v>
      </c>
      <c r="L1181" s="2">
        <v>12.9</v>
      </c>
      <c r="M1181" s="3">
        <v>523</v>
      </c>
      <c r="N1181">
        <v>2</v>
      </c>
      <c r="O1181">
        <v>1</v>
      </c>
      <c r="P1181">
        <v>1</v>
      </c>
      <c r="Q1181">
        <v>0</v>
      </c>
      <c r="R1181" s="4">
        <v>42.47</v>
      </c>
      <c r="S1181">
        <v>0</v>
      </c>
      <c r="T1181">
        <v>1</v>
      </c>
    </row>
    <row r="1182" spans="1:20" ht="16.5" x14ac:dyDescent="0.3">
      <c r="A1182" t="s">
        <v>1228</v>
      </c>
      <c r="B1182" s="1">
        <v>45468</v>
      </c>
      <c r="C1182">
        <v>2024</v>
      </c>
      <c r="D1182" t="s">
        <v>649</v>
      </c>
      <c r="E1182" t="s">
        <v>1079</v>
      </c>
      <c r="F1182" t="s">
        <v>57</v>
      </c>
      <c r="G1182" t="s">
        <v>24</v>
      </c>
      <c r="H1182" t="s">
        <v>25</v>
      </c>
      <c r="I1182" t="s">
        <v>31</v>
      </c>
      <c r="J1182" t="s">
        <v>27</v>
      </c>
      <c r="K1182" t="s">
        <v>28</v>
      </c>
      <c r="L1182" s="2">
        <v>56.5</v>
      </c>
      <c r="M1182" s="3">
        <v>884</v>
      </c>
      <c r="N1182">
        <v>6</v>
      </c>
      <c r="O1182">
        <v>6</v>
      </c>
      <c r="P1182">
        <v>1</v>
      </c>
      <c r="Q1182">
        <v>0</v>
      </c>
      <c r="R1182" s="4">
        <v>32.229999999999997</v>
      </c>
      <c r="S1182">
        <v>0</v>
      </c>
      <c r="T1182">
        <v>1</v>
      </c>
    </row>
    <row r="1183" spans="1:20" ht="16.5" x14ac:dyDescent="0.3">
      <c r="A1183" t="s">
        <v>1229</v>
      </c>
      <c r="B1183" s="1">
        <v>45469</v>
      </c>
      <c r="C1183">
        <v>2024</v>
      </c>
      <c r="D1183" t="s">
        <v>649</v>
      </c>
      <c r="E1183" t="s">
        <v>1079</v>
      </c>
      <c r="F1183" t="s">
        <v>57</v>
      </c>
      <c r="G1183" t="s">
        <v>24</v>
      </c>
      <c r="H1183" t="s">
        <v>51</v>
      </c>
      <c r="I1183" t="s">
        <v>26</v>
      </c>
      <c r="J1183" t="s">
        <v>27</v>
      </c>
      <c r="K1183" t="s">
        <v>32</v>
      </c>
      <c r="L1183" s="2">
        <v>27.3</v>
      </c>
      <c r="M1183" s="3">
        <v>1018</v>
      </c>
      <c r="N1183">
        <v>5</v>
      </c>
      <c r="O1183">
        <v>4</v>
      </c>
      <c r="P1183">
        <v>1</v>
      </c>
      <c r="Q1183">
        <v>0</v>
      </c>
      <c r="R1183" s="4">
        <v>29.87</v>
      </c>
      <c r="S1183">
        <v>0</v>
      </c>
      <c r="T1183">
        <v>1</v>
      </c>
    </row>
    <row r="1184" spans="1:20" ht="16.5" x14ac:dyDescent="0.3">
      <c r="A1184" t="s">
        <v>1230</v>
      </c>
      <c r="B1184" s="1">
        <v>45469</v>
      </c>
      <c r="C1184">
        <v>2024</v>
      </c>
      <c r="D1184" t="s">
        <v>649</v>
      </c>
      <c r="E1184" t="s">
        <v>1079</v>
      </c>
      <c r="F1184" t="s">
        <v>38</v>
      </c>
      <c r="G1184" t="s">
        <v>39</v>
      </c>
      <c r="H1184" t="s">
        <v>51</v>
      </c>
      <c r="I1184" t="s">
        <v>26</v>
      </c>
      <c r="J1184" t="s">
        <v>27</v>
      </c>
      <c r="K1184" t="s">
        <v>28</v>
      </c>
      <c r="L1184" s="2">
        <v>430.9</v>
      </c>
      <c r="M1184" s="3">
        <v>926</v>
      </c>
      <c r="N1184">
        <v>5</v>
      </c>
      <c r="O1184">
        <v>5</v>
      </c>
      <c r="P1184">
        <v>1</v>
      </c>
      <c r="Q1184">
        <v>0</v>
      </c>
      <c r="R1184" s="4">
        <v>192.05</v>
      </c>
      <c r="S1184">
        <v>0</v>
      </c>
      <c r="T1184">
        <v>1</v>
      </c>
    </row>
    <row r="1185" spans="1:20" ht="16.5" x14ac:dyDescent="0.3">
      <c r="A1185" t="s">
        <v>1231</v>
      </c>
      <c r="B1185" s="1">
        <v>45469</v>
      </c>
      <c r="C1185">
        <v>2024</v>
      </c>
      <c r="D1185" t="s">
        <v>649</v>
      </c>
      <c r="E1185" t="s">
        <v>1079</v>
      </c>
      <c r="F1185" t="s">
        <v>38</v>
      </c>
      <c r="G1185" t="s">
        <v>24</v>
      </c>
      <c r="H1185" t="s">
        <v>43</v>
      </c>
      <c r="I1185" t="s">
        <v>31</v>
      </c>
      <c r="J1185" t="s">
        <v>27</v>
      </c>
      <c r="K1185" t="s">
        <v>32</v>
      </c>
      <c r="L1185" s="2">
        <v>5.9</v>
      </c>
      <c r="M1185" s="3">
        <v>1210</v>
      </c>
      <c r="N1185">
        <v>7</v>
      </c>
      <c r="O1185">
        <v>7</v>
      </c>
      <c r="P1185">
        <v>1</v>
      </c>
      <c r="Q1185">
        <v>0</v>
      </c>
      <c r="R1185" s="4">
        <v>20.57</v>
      </c>
      <c r="S1185">
        <v>0</v>
      </c>
      <c r="T1185">
        <v>1</v>
      </c>
    </row>
    <row r="1186" spans="1:20" ht="16.5" x14ac:dyDescent="0.3">
      <c r="A1186" t="s">
        <v>1232</v>
      </c>
      <c r="B1186" s="1">
        <v>45469</v>
      </c>
      <c r="C1186">
        <v>2024</v>
      </c>
      <c r="D1186" t="s">
        <v>649</v>
      </c>
      <c r="E1186" t="s">
        <v>1079</v>
      </c>
      <c r="F1186" t="s">
        <v>34</v>
      </c>
      <c r="G1186" t="s">
        <v>39</v>
      </c>
      <c r="H1186" t="s">
        <v>36</v>
      </c>
      <c r="I1186" t="s">
        <v>26</v>
      </c>
      <c r="J1186" t="s">
        <v>27</v>
      </c>
      <c r="K1186" t="s">
        <v>28</v>
      </c>
      <c r="L1186" s="2">
        <v>219.4</v>
      </c>
      <c r="M1186" s="3">
        <v>271</v>
      </c>
      <c r="N1186">
        <v>3</v>
      </c>
      <c r="O1186">
        <v>3</v>
      </c>
      <c r="P1186">
        <v>1</v>
      </c>
      <c r="Q1186">
        <v>0</v>
      </c>
      <c r="R1186" s="4">
        <v>92</v>
      </c>
      <c r="S1186">
        <v>0</v>
      </c>
      <c r="T1186">
        <v>1</v>
      </c>
    </row>
    <row r="1187" spans="1:20" ht="16.5" x14ac:dyDescent="0.3">
      <c r="A1187" t="s">
        <v>1233</v>
      </c>
      <c r="B1187" s="1">
        <v>45469</v>
      </c>
      <c r="C1187">
        <v>2024</v>
      </c>
      <c r="D1187" t="s">
        <v>649</v>
      </c>
      <c r="E1187" t="s">
        <v>1079</v>
      </c>
      <c r="F1187" t="s">
        <v>34</v>
      </c>
      <c r="G1187" t="s">
        <v>35</v>
      </c>
      <c r="H1187" t="s">
        <v>25</v>
      </c>
      <c r="I1187" t="s">
        <v>31</v>
      </c>
      <c r="J1187" t="s">
        <v>27</v>
      </c>
      <c r="K1187" t="s">
        <v>28</v>
      </c>
      <c r="L1187" s="2">
        <v>244.8</v>
      </c>
      <c r="M1187" s="3">
        <v>1036</v>
      </c>
      <c r="N1187">
        <v>6</v>
      </c>
      <c r="O1187">
        <v>5</v>
      </c>
      <c r="P1187">
        <v>1</v>
      </c>
      <c r="Q1187">
        <v>0</v>
      </c>
      <c r="R1187" s="4">
        <v>73.67</v>
      </c>
      <c r="S1187">
        <v>0</v>
      </c>
      <c r="T1187">
        <v>1</v>
      </c>
    </row>
    <row r="1188" spans="1:20" ht="16.5" x14ac:dyDescent="0.3">
      <c r="A1188" t="s">
        <v>1234</v>
      </c>
      <c r="B1188" s="1">
        <v>45469</v>
      </c>
      <c r="C1188">
        <v>2024</v>
      </c>
      <c r="D1188" t="s">
        <v>649</v>
      </c>
      <c r="E1188" t="s">
        <v>1079</v>
      </c>
      <c r="F1188" t="s">
        <v>34</v>
      </c>
      <c r="G1188" t="s">
        <v>24</v>
      </c>
      <c r="H1188" t="s">
        <v>25</v>
      </c>
      <c r="I1188" t="s">
        <v>40</v>
      </c>
      <c r="J1188" t="s">
        <v>41</v>
      </c>
      <c r="K1188" t="s">
        <v>28</v>
      </c>
      <c r="L1188" s="2">
        <v>186.8</v>
      </c>
      <c r="M1188" s="3">
        <v>958</v>
      </c>
      <c r="N1188">
        <v>2</v>
      </c>
      <c r="O1188">
        <v>3</v>
      </c>
      <c r="P1188">
        <v>0</v>
      </c>
      <c r="Q1188">
        <v>1</v>
      </c>
      <c r="R1188" s="4">
        <v>250.82</v>
      </c>
      <c r="S1188">
        <v>0</v>
      </c>
      <c r="T1188">
        <v>1</v>
      </c>
    </row>
    <row r="1189" spans="1:20" ht="16.5" x14ac:dyDescent="0.3">
      <c r="A1189" t="s">
        <v>1235</v>
      </c>
      <c r="B1189" s="1">
        <v>45469</v>
      </c>
      <c r="C1189">
        <v>2024</v>
      </c>
      <c r="D1189" t="s">
        <v>649</v>
      </c>
      <c r="E1189" t="s">
        <v>1079</v>
      </c>
      <c r="F1189" t="s">
        <v>34</v>
      </c>
      <c r="G1189" t="s">
        <v>35</v>
      </c>
      <c r="H1189" t="s">
        <v>48</v>
      </c>
      <c r="I1189" t="s">
        <v>26</v>
      </c>
      <c r="J1189" t="s">
        <v>27</v>
      </c>
      <c r="K1189" t="s">
        <v>28</v>
      </c>
      <c r="L1189" s="2">
        <v>110</v>
      </c>
      <c r="M1189" s="3">
        <v>563</v>
      </c>
      <c r="N1189">
        <v>4</v>
      </c>
      <c r="O1189">
        <v>4</v>
      </c>
      <c r="P1189">
        <v>1</v>
      </c>
      <c r="Q1189">
        <v>0</v>
      </c>
      <c r="R1189" s="4">
        <v>50.84</v>
      </c>
      <c r="S1189">
        <v>0</v>
      </c>
      <c r="T1189">
        <v>1</v>
      </c>
    </row>
    <row r="1190" spans="1:20" ht="16.5" x14ac:dyDescent="0.3">
      <c r="A1190" t="s">
        <v>1236</v>
      </c>
      <c r="B1190" s="1">
        <v>45469</v>
      </c>
      <c r="C1190">
        <v>2024</v>
      </c>
      <c r="D1190" t="s">
        <v>649</v>
      </c>
      <c r="E1190" t="s">
        <v>1079</v>
      </c>
      <c r="F1190" t="s">
        <v>38</v>
      </c>
      <c r="G1190" t="s">
        <v>24</v>
      </c>
      <c r="H1190" t="s">
        <v>25</v>
      </c>
      <c r="I1190" t="s">
        <v>26</v>
      </c>
      <c r="J1190" t="s">
        <v>27</v>
      </c>
      <c r="K1190" t="s">
        <v>28</v>
      </c>
      <c r="L1190" s="2">
        <v>101</v>
      </c>
      <c r="M1190" s="3">
        <v>917</v>
      </c>
      <c r="N1190">
        <v>4</v>
      </c>
      <c r="O1190">
        <v>4</v>
      </c>
      <c r="P1190">
        <v>1</v>
      </c>
      <c r="Q1190">
        <v>0</v>
      </c>
      <c r="R1190" s="4">
        <v>64.03</v>
      </c>
      <c r="S1190">
        <v>0</v>
      </c>
      <c r="T1190">
        <v>1</v>
      </c>
    </row>
    <row r="1191" spans="1:20" ht="16.5" x14ac:dyDescent="0.3">
      <c r="A1191" t="s">
        <v>1237</v>
      </c>
      <c r="B1191" s="1">
        <v>45470</v>
      </c>
      <c r="C1191">
        <v>2024</v>
      </c>
      <c r="D1191" t="s">
        <v>649</v>
      </c>
      <c r="E1191" t="s">
        <v>1079</v>
      </c>
      <c r="F1191" t="s">
        <v>38</v>
      </c>
      <c r="G1191" t="s">
        <v>35</v>
      </c>
      <c r="H1191" t="s">
        <v>36</v>
      </c>
      <c r="I1191" t="s">
        <v>40</v>
      </c>
      <c r="J1191" t="s">
        <v>27</v>
      </c>
      <c r="K1191" t="s">
        <v>32</v>
      </c>
      <c r="L1191" s="2">
        <v>4.0999999999999996</v>
      </c>
      <c r="M1191" s="3">
        <v>237</v>
      </c>
      <c r="N1191">
        <v>1</v>
      </c>
      <c r="O1191">
        <v>1</v>
      </c>
      <c r="P1191">
        <v>1</v>
      </c>
      <c r="Q1191">
        <v>0</v>
      </c>
      <c r="R1191" s="4">
        <v>24.97</v>
      </c>
      <c r="S1191">
        <v>0</v>
      </c>
      <c r="T1191">
        <v>1</v>
      </c>
    </row>
    <row r="1192" spans="1:20" ht="16.5" x14ac:dyDescent="0.3">
      <c r="A1192" t="s">
        <v>1238</v>
      </c>
      <c r="B1192" s="1">
        <v>45470</v>
      </c>
      <c r="C1192">
        <v>2024</v>
      </c>
      <c r="D1192" t="s">
        <v>649</v>
      </c>
      <c r="E1192" t="s">
        <v>1079</v>
      </c>
      <c r="F1192" t="s">
        <v>38</v>
      </c>
      <c r="G1192" t="s">
        <v>35</v>
      </c>
      <c r="H1192" t="s">
        <v>51</v>
      </c>
      <c r="I1192" t="s">
        <v>31</v>
      </c>
      <c r="J1192" t="s">
        <v>27</v>
      </c>
      <c r="K1192" t="s">
        <v>28</v>
      </c>
      <c r="L1192" s="2">
        <v>54.2</v>
      </c>
      <c r="M1192" s="3">
        <v>734</v>
      </c>
      <c r="N1192">
        <v>7</v>
      </c>
      <c r="O1192">
        <v>6</v>
      </c>
      <c r="P1192">
        <v>1</v>
      </c>
      <c r="Q1192">
        <v>0</v>
      </c>
      <c r="R1192" s="4">
        <v>34.4</v>
      </c>
      <c r="S1192">
        <v>0</v>
      </c>
      <c r="T1192">
        <v>1</v>
      </c>
    </row>
    <row r="1193" spans="1:20" ht="16.5" x14ac:dyDescent="0.3">
      <c r="A1193" t="s">
        <v>1239</v>
      </c>
      <c r="B1193" s="1">
        <v>45470</v>
      </c>
      <c r="C1193">
        <v>2024</v>
      </c>
      <c r="D1193" t="s">
        <v>649</v>
      </c>
      <c r="E1193" t="s">
        <v>1079</v>
      </c>
      <c r="F1193" t="s">
        <v>57</v>
      </c>
      <c r="G1193" t="s">
        <v>35</v>
      </c>
      <c r="H1193" t="s">
        <v>48</v>
      </c>
      <c r="I1193" t="s">
        <v>40</v>
      </c>
      <c r="J1193" t="s">
        <v>27</v>
      </c>
      <c r="K1193" t="s">
        <v>28</v>
      </c>
      <c r="L1193" s="2">
        <v>102.5</v>
      </c>
      <c r="M1193" s="3">
        <v>357</v>
      </c>
      <c r="N1193">
        <v>2</v>
      </c>
      <c r="O1193">
        <v>2</v>
      </c>
      <c r="P1193">
        <v>1</v>
      </c>
      <c r="Q1193">
        <v>0</v>
      </c>
      <c r="R1193" s="4">
        <v>103.06</v>
      </c>
      <c r="S1193">
        <v>0</v>
      </c>
      <c r="T1193">
        <v>1</v>
      </c>
    </row>
    <row r="1194" spans="1:20" ht="16.5" x14ac:dyDescent="0.3">
      <c r="A1194" t="s">
        <v>1240</v>
      </c>
      <c r="B1194" s="1">
        <v>45470</v>
      </c>
      <c r="C1194">
        <v>2024</v>
      </c>
      <c r="D1194" t="s">
        <v>649</v>
      </c>
      <c r="E1194" t="s">
        <v>1079</v>
      </c>
      <c r="F1194" t="s">
        <v>57</v>
      </c>
      <c r="G1194" t="s">
        <v>39</v>
      </c>
      <c r="H1194" t="s">
        <v>36</v>
      </c>
      <c r="I1194" t="s">
        <v>26</v>
      </c>
      <c r="J1194" t="s">
        <v>27</v>
      </c>
      <c r="K1194" t="s">
        <v>32</v>
      </c>
      <c r="L1194" s="2">
        <v>15.2</v>
      </c>
      <c r="M1194" s="3">
        <v>204</v>
      </c>
      <c r="N1194">
        <v>3</v>
      </c>
      <c r="O1194">
        <v>3</v>
      </c>
      <c r="P1194">
        <v>1</v>
      </c>
      <c r="Q1194">
        <v>0</v>
      </c>
      <c r="R1194" s="4">
        <v>19.149999999999999</v>
      </c>
      <c r="S1194">
        <v>0</v>
      </c>
      <c r="T1194">
        <v>1</v>
      </c>
    </row>
    <row r="1195" spans="1:20" ht="16.5" x14ac:dyDescent="0.3">
      <c r="A1195" t="s">
        <v>1241</v>
      </c>
      <c r="B1195" s="1">
        <v>45470</v>
      </c>
      <c r="C1195">
        <v>2024</v>
      </c>
      <c r="D1195" t="s">
        <v>649</v>
      </c>
      <c r="E1195" t="s">
        <v>1079</v>
      </c>
      <c r="F1195" t="s">
        <v>57</v>
      </c>
      <c r="G1195" t="s">
        <v>39</v>
      </c>
      <c r="H1195" t="s">
        <v>51</v>
      </c>
      <c r="I1195" t="s">
        <v>26</v>
      </c>
      <c r="J1195" t="s">
        <v>27</v>
      </c>
      <c r="K1195" t="s">
        <v>32</v>
      </c>
      <c r="L1195" s="2">
        <v>4.5</v>
      </c>
      <c r="M1195" s="3">
        <v>1166</v>
      </c>
      <c r="N1195">
        <v>5</v>
      </c>
      <c r="O1195">
        <v>7</v>
      </c>
      <c r="P1195">
        <v>0</v>
      </c>
      <c r="Q1195">
        <v>2</v>
      </c>
      <c r="R1195" s="4">
        <v>23.95</v>
      </c>
      <c r="S1195">
        <v>0</v>
      </c>
      <c r="T1195">
        <v>1</v>
      </c>
    </row>
    <row r="1196" spans="1:20" ht="16.5" x14ac:dyDescent="0.3">
      <c r="A1196" t="s">
        <v>1242</v>
      </c>
      <c r="B1196" s="1">
        <v>45470</v>
      </c>
      <c r="C1196">
        <v>2024</v>
      </c>
      <c r="D1196" t="s">
        <v>649</v>
      </c>
      <c r="E1196" t="s">
        <v>1079</v>
      </c>
      <c r="F1196" t="s">
        <v>34</v>
      </c>
      <c r="G1196" t="s">
        <v>35</v>
      </c>
      <c r="H1196" t="s">
        <v>36</v>
      </c>
      <c r="I1196" t="s">
        <v>26</v>
      </c>
      <c r="J1196" t="s">
        <v>27</v>
      </c>
      <c r="K1196" t="s">
        <v>28</v>
      </c>
      <c r="L1196" s="2">
        <v>42.2</v>
      </c>
      <c r="M1196" s="3">
        <v>267</v>
      </c>
      <c r="N1196">
        <v>3</v>
      </c>
      <c r="O1196">
        <v>3</v>
      </c>
      <c r="P1196">
        <v>1</v>
      </c>
      <c r="Q1196">
        <v>0</v>
      </c>
      <c r="R1196" s="4">
        <v>24.93</v>
      </c>
      <c r="S1196">
        <v>0</v>
      </c>
      <c r="T1196">
        <v>1</v>
      </c>
    </row>
    <row r="1197" spans="1:20" ht="16.5" x14ac:dyDescent="0.3">
      <c r="A1197" t="s">
        <v>1243</v>
      </c>
      <c r="B1197" s="1">
        <v>45470</v>
      </c>
      <c r="C1197">
        <v>2024</v>
      </c>
      <c r="D1197" t="s">
        <v>649</v>
      </c>
      <c r="E1197" t="s">
        <v>1079</v>
      </c>
      <c r="F1197" t="s">
        <v>34</v>
      </c>
      <c r="G1197" t="s">
        <v>39</v>
      </c>
      <c r="H1197" t="s">
        <v>48</v>
      </c>
      <c r="I1197" t="s">
        <v>40</v>
      </c>
      <c r="J1197" t="s">
        <v>27</v>
      </c>
      <c r="K1197" t="s">
        <v>32</v>
      </c>
      <c r="L1197" s="2">
        <v>5.9</v>
      </c>
      <c r="M1197" s="3">
        <v>379</v>
      </c>
      <c r="N1197">
        <v>2</v>
      </c>
      <c r="O1197">
        <v>2</v>
      </c>
      <c r="P1197">
        <v>1</v>
      </c>
      <c r="Q1197">
        <v>0</v>
      </c>
      <c r="R1197" s="4">
        <v>25.26</v>
      </c>
      <c r="S1197">
        <v>0</v>
      </c>
      <c r="T1197">
        <v>1</v>
      </c>
    </row>
    <row r="1198" spans="1:20" ht="16.5" x14ac:dyDescent="0.3">
      <c r="A1198" t="s">
        <v>1244</v>
      </c>
      <c r="B1198" s="1">
        <v>45470</v>
      </c>
      <c r="C1198">
        <v>2024</v>
      </c>
      <c r="D1198" t="s">
        <v>649</v>
      </c>
      <c r="E1198" t="s">
        <v>1079</v>
      </c>
      <c r="F1198" t="s">
        <v>34</v>
      </c>
      <c r="G1198" t="s">
        <v>24</v>
      </c>
      <c r="H1198" t="s">
        <v>25</v>
      </c>
      <c r="I1198" t="s">
        <v>26</v>
      </c>
      <c r="J1198" t="s">
        <v>27</v>
      </c>
      <c r="K1198" t="s">
        <v>32</v>
      </c>
      <c r="L1198" s="2">
        <v>11.7</v>
      </c>
      <c r="M1198" s="3">
        <v>798</v>
      </c>
      <c r="N1198">
        <v>4</v>
      </c>
      <c r="O1198">
        <v>4</v>
      </c>
      <c r="P1198">
        <v>1</v>
      </c>
      <c r="Q1198">
        <v>0</v>
      </c>
      <c r="R1198" s="4">
        <v>19.559999999999999</v>
      </c>
      <c r="S1198">
        <v>0</v>
      </c>
      <c r="T1198">
        <v>1</v>
      </c>
    </row>
    <row r="1199" spans="1:20" ht="16.5" x14ac:dyDescent="0.3">
      <c r="A1199" t="s">
        <v>1245</v>
      </c>
      <c r="B1199" s="1">
        <v>45470</v>
      </c>
      <c r="C1199">
        <v>2024</v>
      </c>
      <c r="D1199" t="s">
        <v>649</v>
      </c>
      <c r="E1199" t="s">
        <v>1079</v>
      </c>
      <c r="F1199" t="s">
        <v>57</v>
      </c>
      <c r="G1199" t="s">
        <v>39</v>
      </c>
      <c r="H1199" t="s">
        <v>48</v>
      </c>
      <c r="I1199" t="s">
        <v>26</v>
      </c>
      <c r="J1199" t="s">
        <v>27</v>
      </c>
      <c r="K1199" t="s">
        <v>32</v>
      </c>
      <c r="L1199" s="2">
        <v>4.3</v>
      </c>
      <c r="M1199" s="3">
        <v>528</v>
      </c>
      <c r="N1199">
        <v>4</v>
      </c>
      <c r="O1199">
        <v>7</v>
      </c>
      <c r="P1199">
        <v>0</v>
      </c>
      <c r="Q1199">
        <v>3</v>
      </c>
      <c r="R1199" s="4">
        <v>16.07</v>
      </c>
      <c r="S1199">
        <v>0</v>
      </c>
      <c r="T1199">
        <v>1</v>
      </c>
    </row>
    <row r="1200" spans="1:20" ht="16.5" x14ac:dyDescent="0.3">
      <c r="A1200" t="s">
        <v>1246</v>
      </c>
      <c r="B1200" s="1">
        <v>45470</v>
      </c>
      <c r="C1200">
        <v>2024</v>
      </c>
      <c r="D1200" t="s">
        <v>649</v>
      </c>
      <c r="E1200" t="s">
        <v>1079</v>
      </c>
      <c r="F1200" t="s">
        <v>38</v>
      </c>
      <c r="G1200" t="s">
        <v>39</v>
      </c>
      <c r="H1200" t="s">
        <v>25</v>
      </c>
      <c r="I1200" t="s">
        <v>31</v>
      </c>
      <c r="J1200" t="s">
        <v>27</v>
      </c>
      <c r="K1200" t="s">
        <v>32</v>
      </c>
      <c r="L1200" s="2">
        <v>11.9</v>
      </c>
      <c r="M1200" s="3">
        <v>690</v>
      </c>
      <c r="N1200">
        <v>6</v>
      </c>
      <c r="O1200">
        <v>6</v>
      </c>
      <c r="P1200">
        <v>1</v>
      </c>
      <c r="Q1200">
        <v>0</v>
      </c>
      <c r="R1200" s="4">
        <v>17.46</v>
      </c>
      <c r="S1200">
        <v>0</v>
      </c>
      <c r="T1200">
        <v>1</v>
      </c>
    </row>
    <row r="1201" spans="1:20" ht="16.5" x14ac:dyDescent="0.3">
      <c r="A1201" t="s">
        <v>1247</v>
      </c>
      <c r="B1201" s="1">
        <v>45471</v>
      </c>
      <c r="C1201">
        <v>2024</v>
      </c>
      <c r="D1201" t="s">
        <v>649</v>
      </c>
      <c r="E1201" t="s">
        <v>1079</v>
      </c>
      <c r="F1201" t="s">
        <v>57</v>
      </c>
      <c r="G1201" t="s">
        <v>39</v>
      </c>
      <c r="H1201" t="s">
        <v>51</v>
      </c>
      <c r="I1201" t="s">
        <v>31</v>
      </c>
      <c r="J1201" t="s">
        <v>27</v>
      </c>
      <c r="K1201" t="s">
        <v>32</v>
      </c>
      <c r="L1201" s="2">
        <v>9.6</v>
      </c>
      <c r="M1201" s="3">
        <v>869</v>
      </c>
      <c r="N1201">
        <v>7</v>
      </c>
      <c r="O1201">
        <v>7</v>
      </c>
      <c r="P1201">
        <v>1</v>
      </c>
      <c r="Q1201">
        <v>0</v>
      </c>
      <c r="R1201" s="4">
        <v>16.79</v>
      </c>
      <c r="S1201">
        <v>0</v>
      </c>
      <c r="T1201">
        <v>1</v>
      </c>
    </row>
    <row r="1202" spans="1:20" ht="16.5" x14ac:dyDescent="0.3">
      <c r="A1202" t="s">
        <v>1248</v>
      </c>
      <c r="B1202" s="1">
        <v>45471</v>
      </c>
      <c r="C1202">
        <v>2024</v>
      </c>
      <c r="D1202" t="s">
        <v>649</v>
      </c>
      <c r="E1202" t="s">
        <v>1079</v>
      </c>
      <c r="F1202" t="s">
        <v>38</v>
      </c>
      <c r="G1202" t="s">
        <v>35</v>
      </c>
      <c r="H1202" t="s">
        <v>48</v>
      </c>
      <c r="I1202" t="s">
        <v>26</v>
      </c>
      <c r="J1202" t="s">
        <v>27</v>
      </c>
      <c r="K1202" t="s">
        <v>28</v>
      </c>
      <c r="L1202" s="2">
        <v>97.4</v>
      </c>
      <c r="M1202" s="3">
        <v>553</v>
      </c>
      <c r="N1202">
        <v>4</v>
      </c>
      <c r="O1202">
        <v>5</v>
      </c>
      <c r="P1202">
        <v>0</v>
      </c>
      <c r="Q1202">
        <v>1</v>
      </c>
      <c r="R1202" s="4">
        <v>68.069999999999993</v>
      </c>
      <c r="S1202">
        <v>0</v>
      </c>
      <c r="T1202">
        <v>1</v>
      </c>
    </row>
    <row r="1203" spans="1:20" ht="16.5" x14ac:dyDescent="0.3">
      <c r="A1203" t="s">
        <v>1249</v>
      </c>
      <c r="B1203" s="1">
        <v>45471</v>
      </c>
      <c r="C1203">
        <v>2024</v>
      </c>
      <c r="D1203" t="s">
        <v>649</v>
      </c>
      <c r="E1203" t="s">
        <v>1079</v>
      </c>
      <c r="F1203" t="s">
        <v>23</v>
      </c>
      <c r="G1203" t="s">
        <v>24</v>
      </c>
      <c r="H1203" t="s">
        <v>36</v>
      </c>
      <c r="I1203" t="s">
        <v>40</v>
      </c>
      <c r="J1203" t="s">
        <v>27</v>
      </c>
      <c r="K1203" t="s">
        <v>28</v>
      </c>
      <c r="L1203" s="2">
        <v>178.4</v>
      </c>
      <c r="M1203" s="3">
        <v>253</v>
      </c>
      <c r="N1203">
        <v>1</v>
      </c>
      <c r="O1203">
        <v>1</v>
      </c>
      <c r="P1203">
        <v>1</v>
      </c>
      <c r="Q1203">
        <v>0</v>
      </c>
      <c r="R1203" s="4">
        <v>132.63999999999999</v>
      </c>
      <c r="S1203">
        <v>0</v>
      </c>
      <c r="T1203">
        <v>1</v>
      </c>
    </row>
    <row r="1204" spans="1:20" ht="16.5" x14ac:dyDescent="0.3">
      <c r="A1204" t="s">
        <v>1250</v>
      </c>
      <c r="B1204" s="1">
        <v>45471</v>
      </c>
      <c r="C1204">
        <v>2024</v>
      </c>
      <c r="D1204" t="s">
        <v>649</v>
      </c>
      <c r="E1204" t="s">
        <v>1079</v>
      </c>
      <c r="F1204" t="s">
        <v>34</v>
      </c>
      <c r="G1204" t="s">
        <v>39</v>
      </c>
      <c r="H1204" t="s">
        <v>36</v>
      </c>
      <c r="I1204" t="s">
        <v>26</v>
      </c>
      <c r="J1204" t="s">
        <v>27</v>
      </c>
      <c r="K1204" t="s">
        <v>32</v>
      </c>
      <c r="L1204" s="2">
        <v>10.199999999999999</v>
      </c>
      <c r="M1204" s="3">
        <v>219</v>
      </c>
      <c r="N1204">
        <v>3</v>
      </c>
      <c r="O1204">
        <v>3</v>
      </c>
      <c r="P1204">
        <v>1</v>
      </c>
      <c r="Q1204">
        <v>0</v>
      </c>
      <c r="R1204" s="4">
        <v>12.95</v>
      </c>
      <c r="S1204">
        <v>0</v>
      </c>
      <c r="T1204">
        <v>1</v>
      </c>
    </row>
    <row r="1205" spans="1:20" ht="16.5" x14ac:dyDescent="0.3">
      <c r="A1205" t="s">
        <v>1251</v>
      </c>
      <c r="B1205" s="1">
        <v>45471</v>
      </c>
      <c r="C1205">
        <v>2024</v>
      </c>
      <c r="D1205" t="s">
        <v>649</v>
      </c>
      <c r="E1205" t="s">
        <v>1079</v>
      </c>
      <c r="F1205" t="s">
        <v>23</v>
      </c>
      <c r="G1205" t="s">
        <v>35</v>
      </c>
      <c r="H1205" t="s">
        <v>25</v>
      </c>
      <c r="I1205" t="s">
        <v>31</v>
      </c>
      <c r="J1205" t="s">
        <v>27</v>
      </c>
      <c r="K1205" t="s">
        <v>28</v>
      </c>
      <c r="L1205" s="2">
        <v>90.9</v>
      </c>
      <c r="M1205" s="3">
        <v>812</v>
      </c>
      <c r="N1205">
        <v>6</v>
      </c>
      <c r="O1205">
        <v>5</v>
      </c>
      <c r="P1205">
        <v>1</v>
      </c>
      <c r="Q1205">
        <v>0</v>
      </c>
      <c r="R1205" s="4">
        <v>43.98</v>
      </c>
      <c r="S1205">
        <v>0</v>
      </c>
      <c r="T1205">
        <v>1</v>
      </c>
    </row>
    <row r="1206" spans="1:20" ht="16.5" x14ac:dyDescent="0.3">
      <c r="A1206" t="s">
        <v>1252</v>
      </c>
      <c r="B1206" s="1">
        <v>45471</v>
      </c>
      <c r="C1206">
        <v>2024</v>
      </c>
      <c r="D1206" t="s">
        <v>649</v>
      </c>
      <c r="E1206" t="s">
        <v>1079</v>
      </c>
      <c r="F1206" t="s">
        <v>23</v>
      </c>
      <c r="G1206" t="s">
        <v>35</v>
      </c>
      <c r="H1206" t="s">
        <v>48</v>
      </c>
      <c r="I1206" t="s">
        <v>26</v>
      </c>
      <c r="J1206" t="s">
        <v>27</v>
      </c>
      <c r="K1206" t="s">
        <v>32</v>
      </c>
      <c r="L1206" s="2">
        <v>6.4</v>
      </c>
      <c r="M1206" s="3">
        <v>410</v>
      </c>
      <c r="N1206">
        <v>4</v>
      </c>
      <c r="O1206">
        <v>3</v>
      </c>
      <c r="P1206">
        <v>1</v>
      </c>
      <c r="Q1206">
        <v>0</v>
      </c>
      <c r="R1206" s="4">
        <v>13.61</v>
      </c>
      <c r="S1206">
        <v>0</v>
      </c>
      <c r="T1206">
        <v>1</v>
      </c>
    </row>
    <row r="1207" spans="1:20" ht="16.5" x14ac:dyDescent="0.3">
      <c r="A1207" t="s">
        <v>1253</v>
      </c>
      <c r="B1207" s="1">
        <v>45471</v>
      </c>
      <c r="C1207">
        <v>2024</v>
      </c>
      <c r="D1207" t="s">
        <v>649</v>
      </c>
      <c r="E1207" t="s">
        <v>1079</v>
      </c>
      <c r="F1207" t="s">
        <v>38</v>
      </c>
      <c r="G1207" t="s">
        <v>35</v>
      </c>
      <c r="H1207" t="s">
        <v>36</v>
      </c>
      <c r="I1207" t="s">
        <v>26</v>
      </c>
      <c r="J1207" t="s">
        <v>27</v>
      </c>
      <c r="K1207" t="s">
        <v>32</v>
      </c>
      <c r="L1207" s="2">
        <v>1.1000000000000001</v>
      </c>
      <c r="M1207" s="3">
        <v>245</v>
      </c>
      <c r="N1207">
        <v>3</v>
      </c>
      <c r="O1207">
        <v>3</v>
      </c>
      <c r="P1207">
        <v>1</v>
      </c>
      <c r="Q1207">
        <v>0</v>
      </c>
      <c r="R1207" s="4">
        <v>11.75</v>
      </c>
      <c r="S1207">
        <v>0</v>
      </c>
      <c r="T1207">
        <v>1</v>
      </c>
    </row>
    <row r="1208" spans="1:20" ht="16.5" x14ac:dyDescent="0.3">
      <c r="A1208" t="s">
        <v>1254</v>
      </c>
      <c r="B1208" s="1">
        <v>45472</v>
      </c>
      <c r="C1208">
        <v>2024</v>
      </c>
      <c r="D1208" t="s">
        <v>649</v>
      </c>
      <c r="E1208" t="s">
        <v>1079</v>
      </c>
      <c r="F1208" t="s">
        <v>57</v>
      </c>
      <c r="G1208" t="s">
        <v>35</v>
      </c>
      <c r="H1208" t="s">
        <v>48</v>
      </c>
      <c r="I1208" t="s">
        <v>31</v>
      </c>
      <c r="J1208" t="s">
        <v>27</v>
      </c>
      <c r="K1208" t="s">
        <v>32</v>
      </c>
      <c r="L1208" s="2">
        <v>18.399999999999999</v>
      </c>
      <c r="M1208" s="3">
        <v>568</v>
      </c>
      <c r="N1208">
        <v>6</v>
      </c>
      <c r="O1208">
        <v>6</v>
      </c>
      <c r="P1208">
        <v>1</v>
      </c>
      <c r="Q1208">
        <v>0</v>
      </c>
      <c r="R1208" s="4">
        <v>17.079999999999998</v>
      </c>
      <c r="S1208">
        <v>0</v>
      </c>
      <c r="T1208">
        <v>1</v>
      </c>
    </row>
    <row r="1209" spans="1:20" ht="16.5" x14ac:dyDescent="0.3">
      <c r="A1209" t="s">
        <v>1255</v>
      </c>
      <c r="B1209" s="1">
        <v>45472</v>
      </c>
      <c r="C1209">
        <v>2024</v>
      </c>
      <c r="D1209" t="s">
        <v>649</v>
      </c>
      <c r="E1209" t="s">
        <v>1079</v>
      </c>
      <c r="F1209" t="s">
        <v>34</v>
      </c>
      <c r="G1209" t="s">
        <v>39</v>
      </c>
      <c r="H1209" t="s">
        <v>43</v>
      </c>
      <c r="I1209" t="s">
        <v>26</v>
      </c>
      <c r="J1209" t="s">
        <v>27</v>
      </c>
      <c r="K1209" t="s">
        <v>28</v>
      </c>
      <c r="L1209" s="2">
        <v>50.5</v>
      </c>
      <c r="M1209" s="3">
        <v>967</v>
      </c>
      <c r="N1209">
        <v>5</v>
      </c>
      <c r="O1209">
        <v>4</v>
      </c>
      <c r="P1209">
        <v>1</v>
      </c>
      <c r="Q1209">
        <v>0</v>
      </c>
      <c r="R1209" s="4">
        <v>38.409999999999997</v>
      </c>
      <c r="S1209">
        <v>0</v>
      </c>
      <c r="T1209">
        <v>1</v>
      </c>
    </row>
    <row r="1210" spans="1:20" ht="16.5" x14ac:dyDescent="0.3">
      <c r="A1210" t="s">
        <v>1256</v>
      </c>
      <c r="B1210" s="1">
        <v>45472</v>
      </c>
      <c r="C1210">
        <v>2024</v>
      </c>
      <c r="D1210" t="s">
        <v>649</v>
      </c>
      <c r="E1210" t="s">
        <v>1079</v>
      </c>
      <c r="F1210" t="s">
        <v>57</v>
      </c>
      <c r="G1210" t="s">
        <v>35</v>
      </c>
      <c r="H1210" t="s">
        <v>36</v>
      </c>
      <c r="I1210" t="s">
        <v>26</v>
      </c>
      <c r="J1210" t="s">
        <v>27</v>
      </c>
      <c r="K1210" t="s">
        <v>28</v>
      </c>
      <c r="L1210" s="2">
        <v>102.4</v>
      </c>
      <c r="M1210" s="3">
        <v>219</v>
      </c>
      <c r="N1210">
        <v>3</v>
      </c>
      <c r="O1210">
        <v>2</v>
      </c>
      <c r="P1210">
        <v>1</v>
      </c>
      <c r="Q1210">
        <v>0</v>
      </c>
      <c r="R1210" s="4">
        <v>57.22</v>
      </c>
      <c r="S1210">
        <v>0</v>
      </c>
      <c r="T1210">
        <v>1</v>
      </c>
    </row>
    <row r="1211" spans="1:20" ht="16.5" x14ac:dyDescent="0.3">
      <c r="A1211" t="s">
        <v>1257</v>
      </c>
      <c r="B1211" s="1">
        <v>45473</v>
      </c>
      <c r="C1211">
        <v>2024</v>
      </c>
      <c r="D1211" t="s">
        <v>649</v>
      </c>
      <c r="E1211" t="s">
        <v>1079</v>
      </c>
      <c r="F1211" t="s">
        <v>23</v>
      </c>
      <c r="G1211" t="s">
        <v>35</v>
      </c>
      <c r="H1211" t="s">
        <v>51</v>
      </c>
      <c r="I1211" t="s">
        <v>40</v>
      </c>
      <c r="J1211" t="s">
        <v>41</v>
      </c>
      <c r="K1211" t="s">
        <v>32</v>
      </c>
      <c r="L1211" s="2">
        <v>15.7</v>
      </c>
      <c r="M1211" s="3">
        <v>964</v>
      </c>
      <c r="N1211">
        <v>3</v>
      </c>
      <c r="O1211">
        <v>6</v>
      </c>
      <c r="P1211">
        <v>0</v>
      </c>
      <c r="Q1211">
        <v>3</v>
      </c>
      <c r="R1211" s="4">
        <v>72.92</v>
      </c>
      <c r="S1211">
        <v>0</v>
      </c>
      <c r="T1211">
        <v>1</v>
      </c>
    </row>
    <row r="1212" spans="1:20" ht="16.5" x14ac:dyDescent="0.3">
      <c r="A1212" t="s">
        <v>1258</v>
      </c>
      <c r="B1212" s="1">
        <v>45473</v>
      </c>
      <c r="C1212">
        <v>2024</v>
      </c>
      <c r="D1212" t="s">
        <v>649</v>
      </c>
      <c r="E1212" t="s">
        <v>1079</v>
      </c>
      <c r="F1212" t="s">
        <v>57</v>
      </c>
      <c r="G1212" t="s">
        <v>24</v>
      </c>
      <c r="H1212" t="s">
        <v>48</v>
      </c>
      <c r="I1212" t="s">
        <v>26</v>
      </c>
      <c r="J1212" t="s">
        <v>27</v>
      </c>
      <c r="K1212" t="s">
        <v>28</v>
      </c>
      <c r="L1212" s="2">
        <v>5.5</v>
      </c>
      <c r="M1212" s="3">
        <v>570</v>
      </c>
      <c r="N1212">
        <v>4</v>
      </c>
      <c r="O1212">
        <v>4</v>
      </c>
      <c r="P1212">
        <v>1</v>
      </c>
      <c r="Q1212">
        <v>0</v>
      </c>
      <c r="R1212" s="4">
        <v>16.59</v>
      </c>
      <c r="S1212">
        <v>0</v>
      </c>
      <c r="T1212">
        <v>1</v>
      </c>
    </row>
    <row r="1213" spans="1:20" ht="16.5" x14ac:dyDescent="0.3">
      <c r="A1213" t="s">
        <v>1259</v>
      </c>
      <c r="B1213" s="1">
        <v>45473</v>
      </c>
      <c r="C1213">
        <v>2024</v>
      </c>
      <c r="D1213" t="s">
        <v>649</v>
      </c>
      <c r="E1213" t="s">
        <v>1079</v>
      </c>
      <c r="F1213" t="s">
        <v>34</v>
      </c>
      <c r="G1213" t="s">
        <v>39</v>
      </c>
      <c r="H1213" t="s">
        <v>25</v>
      </c>
      <c r="I1213" t="s">
        <v>40</v>
      </c>
      <c r="J1213" t="s">
        <v>41</v>
      </c>
      <c r="K1213" t="s">
        <v>32</v>
      </c>
      <c r="L1213" s="2">
        <v>5.4</v>
      </c>
      <c r="M1213" s="3">
        <v>959</v>
      </c>
      <c r="N1213">
        <v>2</v>
      </c>
      <c r="O1213">
        <v>2</v>
      </c>
      <c r="P1213">
        <v>1</v>
      </c>
      <c r="Q1213">
        <v>0</v>
      </c>
      <c r="R1213" s="4">
        <v>50.38</v>
      </c>
      <c r="S1213">
        <v>0</v>
      </c>
      <c r="T1213">
        <v>1</v>
      </c>
    </row>
    <row r="1214" spans="1:20" ht="16.5" x14ac:dyDescent="0.3">
      <c r="A1214" t="s">
        <v>1260</v>
      </c>
      <c r="B1214" s="1">
        <v>45474</v>
      </c>
      <c r="C1214">
        <v>2024</v>
      </c>
      <c r="D1214" t="s">
        <v>1261</v>
      </c>
      <c r="E1214" t="s">
        <v>1262</v>
      </c>
      <c r="F1214" t="s">
        <v>34</v>
      </c>
      <c r="G1214" t="s">
        <v>39</v>
      </c>
      <c r="H1214" t="s">
        <v>51</v>
      </c>
      <c r="I1214" t="s">
        <v>26</v>
      </c>
      <c r="J1214" t="s">
        <v>27</v>
      </c>
      <c r="K1214" t="s">
        <v>32</v>
      </c>
      <c r="L1214" s="2">
        <v>3.7</v>
      </c>
      <c r="M1214" s="3">
        <v>938</v>
      </c>
      <c r="N1214">
        <v>5</v>
      </c>
      <c r="O1214">
        <v>7</v>
      </c>
      <c r="P1214">
        <v>0</v>
      </c>
      <c r="Q1214">
        <v>2</v>
      </c>
      <c r="R1214" s="4">
        <v>17.55</v>
      </c>
      <c r="S1214">
        <v>0</v>
      </c>
      <c r="T1214">
        <v>1</v>
      </c>
    </row>
    <row r="1215" spans="1:20" ht="16.5" x14ac:dyDescent="0.3">
      <c r="A1215" t="s">
        <v>1263</v>
      </c>
      <c r="B1215" s="1">
        <v>45474</v>
      </c>
      <c r="C1215">
        <v>2024</v>
      </c>
      <c r="D1215" t="s">
        <v>1261</v>
      </c>
      <c r="E1215" t="s">
        <v>1262</v>
      </c>
      <c r="F1215" t="s">
        <v>34</v>
      </c>
      <c r="G1215" t="s">
        <v>39</v>
      </c>
      <c r="H1215" t="s">
        <v>25</v>
      </c>
      <c r="I1215" t="s">
        <v>40</v>
      </c>
      <c r="J1215" t="s">
        <v>41</v>
      </c>
      <c r="K1215" t="s">
        <v>32</v>
      </c>
      <c r="L1215" s="2">
        <v>6.8</v>
      </c>
      <c r="M1215" s="3">
        <v>919</v>
      </c>
      <c r="N1215">
        <v>2</v>
      </c>
      <c r="O1215">
        <v>2</v>
      </c>
      <c r="P1215">
        <v>1</v>
      </c>
      <c r="Q1215">
        <v>0</v>
      </c>
      <c r="R1215" s="4">
        <v>60.72</v>
      </c>
      <c r="S1215">
        <v>1</v>
      </c>
      <c r="T1215">
        <v>1</v>
      </c>
    </row>
    <row r="1216" spans="1:20" ht="16.5" x14ac:dyDescent="0.3">
      <c r="A1216" t="s">
        <v>1264</v>
      </c>
      <c r="B1216" s="1">
        <v>45474</v>
      </c>
      <c r="C1216">
        <v>2024</v>
      </c>
      <c r="D1216" t="s">
        <v>1261</v>
      </c>
      <c r="E1216" t="s">
        <v>1262</v>
      </c>
      <c r="F1216" t="s">
        <v>34</v>
      </c>
      <c r="G1216" t="s">
        <v>39</v>
      </c>
      <c r="H1216" t="s">
        <v>43</v>
      </c>
      <c r="I1216" t="s">
        <v>26</v>
      </c>
      <c r="J1216" t="s">
        <v>27</v>
      </c>
      <c r="K1216" t="s">
        <v>32</v>
      </c>
      <c r="L1216" s="2">
        <v>5.5</v>
      </c>
      <c r="M1216" s="3">
        <v>1253</v>
      </c>
      <c r="N1216">
        <v>5</v>
      </c>
      <c r="O1216">
        <v>5</v>
      </c>
      <c r="P1216">
        <v>1</v>
      </c>
      <c r="Q1216">
        <v>0</v>
      </c>
      <c r="R1216" s="4">
        <v>19.39</v>
      </c>
      <c r="S1216">
        <v>0</v>
      </c>
      <c r="T1216">
        <v>1</v>
      </c>
    </row>
    <row r="1217" spans="1:20" ht="16.5" x14ac:dyDescent="0.3">
      <c r="A1217" t="s">
        <v>1265</v>
      </c>
      <c r="B1217" s="1">
        <v>45474</v>
      </c>
      <c r="C1217">
        <v>2024</v>
      </c>
      <c r="D1217" t="s">
        <v>1261</v>
      </c>
      <c r="E1217" t="s">
        <v>1262</v>
      </c>
      <c r="F1217" t="s">
        <v>57</v>
      </c>
      <c r="G1217" t="s">
        <v>24</v>
      </c>
      <c r="H1217" t="s">
        <v>25</v>
      </c>
      <c r="I1217" t="s">
        <v>26</v>
      </c>
      <c r="J1217" t="s">
        <v>27</v>
      </c>
      <c r="K1217" t="s">
        <v>28</v>
      </c>
      <c r="L1217" s="2">
        <v>39.299999999999997</v>
      </c>
      <c r="M1217" s="3">
        <v>722</v>
      </c>
      <c r="N1217">
        <v>4</v>
      </c>
      <c r="O1217">
        <v>3</v>
      </c>
      <c r="P1217">
        <v>1</v>
      </c>
      <c r="Q1217">
        <v>0</v>
      </c>
      <c r="R1217" s="4">
        <v>34.71</v>
      </c>
      <c r="S1217">
        <v>0</v>
      </c>
      <c r="T1217">
        <v>1</v>
      </c>
    </row>
    <row r="1218" spans="1:20" ht="16.5" x14ac:dyDescent="0.3">
      <c r="A1218" t="s">
        <v>1266</v>
      </c>
      <c r="B1218" s="1">
        <v>45475</v>
      </c>
      <c r="C1218">
        <v>2024</v>
      </c>
      <c r="D1218" t="s">
        <v>1261</v>
      </c>
      <c r="E1218" t="s">
        <v>1262</v>
      </c>
      <c r="F1218" t="s">
        <v>38</v>
      </c>
      <c r="G1218" t="s">
        <v>39</v>
      </c>
      <c r="H1218" t="s">
        <v>48</v>
      </c>
      <c r="I1218" t="s">
        <v>26</v>
      </c>
      <c r="J1218" t="s">
        <v>27</v>
      </c>
      <c r="K1218" t="s">
        <v>28</v>
      </c>
      <c r="L1218" s="2">
        <v>150.80000000000001</v>
      </c>
      <c r="M1218" s="3">
        <v>555</v>
      </c>
      <c r="N1218">
        <v>4</v>
      </c>
      <c r="O1218">
        <v>4</v>
      </c>
      <c r="P1218">
        <v>1</v>
      </c>
      <c r="Q1218">
        <v>0</v>
      </c>
      <c r="R1218" s="4">
        <v>83.55</v>
      </c>
      <c r="S1218">
        <v>0</v>
      </c>
      <c r="T1218">
        <v>1</v>
      </c>
    </row>
    <row r="1219" spans="1:20" ht="16.5" x14ac:dyDescent="0.3">
      <c r="A1219" t="s">
        <v>1267</v>
      </c>
      <c r="B1219" s="1">
        <v>45475</v>
      </c>
      <c r="C1219">
        <v>2024</v>
      </c>
      <c r="D1219" t="s">
        <v>1261</v>
      </c>
      <c r="E1219" t="s">
        <v>1262</v>
      </c>
      <c r="F1219" t="s">
        <v>23</v>
      </c>
      <c r="G1219" t="s">
        <v>39</v>
      </c>
      <c r="H1219" t="s">
        <v>36</v>
      </c>
      <c r="I1219" t="s">
        <v>26</v>
      </c>
      <c r="J1219" t="s">
        <v>27</v>
      </c>
      <c r="K1219" t="s">
        <v>32</v>
      </c>
      <c r="L1219" s="2">
        <v>5.4</v>
      </c>
      <c r="M1219" s="3">
        <v>284</v>
      </c>
      <c r="N1219">
        <v>3</v>
      </c>
      <c r="O1219">
        <v>2</v>
      </c>
      <c r="P1219">
        <v>1</v>
      </c>
      <c r="Q1219">
        <v>0</v>
      </c>
      <c r="R1219" s="4">
        <v>12.95</v>
      </c>
      <c r="S1219">
        <v>0</v>
      </c>
      <c r="T1219">
        <v>1</v>
      </c>
    </row>
    <row r="1220" spans="1:20" ht="16.5" x14ac:dyDescent="0.3">
      <c r="A1220" t="s">
        <v>1268</v>
      </c>
      <c r="B1220" s="1">
        <v>45475</v>
      </c>
      <c r="C1220">
        <v>2024</v>
      </c>
      <c r="D1220" t="s">
        <v>1261</v>
      </c>
      <c r="E1220" t="s">
        <v>1262</v>
      </c>
      <c r="F1220" t="s">
        <v>23</v>
      </c>
      <c r="G1220" t="s">
        <v>39</v>
      </c>
      <c r="H1220" t="s">
        <v>36</v>
      </c>
      <c r="I1220" t="s">
        <v>31</v>
      </c>
      <c r="J1220" t="s">
        <v>27</v>
      </c>
      <c r="K1220" t="s">
        <v>32</v>
      </c>
      <c r="L1220" s="2">
        <v>10.7</v>
      </c>
      <c r="M1220" s="3">
        <v>300</v>
      </c>
      <c r="N1220">
        <v>5</v>
      </c>
      <c r="O1220">
        <v>5</v>
      </c>
      <c r="P1220">
        <v>1</v>
      </c>
      <c r="Q1220">
        <v>0</v>
      </c>
      <c r="R1220" s="4">
        <v>10.73</v>
      </c>
      <c r="S1220">
        <v>0</v>
      </c>
      <c r="T1220">
        <v>1</v>
      </c>
    </row>
    <row r="1221" spans="1:20" ht="16.5" x14ac:dyDescent="0.3">
      <c r="A1221" t="s">
        <v>1269</v>
      </c>
      <c r="B1221" s="1">
        <v>45475</v>
      </c>
      <c r="C1221">
        <v>2024</v>
      </c>
      <c r="D1221" t="s">
        <v>1261</v>
      </c>
      <c r="E1221" t="s">
        <v>1262</v>
      </c>
      <c r="F1221" t="s">
        <v>30</v>
      </c>
      <c r="G1221" t="s">
        <v>39</v>
      </c>
      <c r="H1221" t="s">
        <v>36</v>
      </c>
      <c r="I1221" t="s">
        <v>26</v>
      </c>
      <c r="J1221" t="s">
        <v>27</v>
      </c>
      <c r="K1221" t="s">
        <v>32</v>
      </c>
      <c r="L1221" s="2">
        <v>5.8</v>
      </c>
      <c r="M1221" s="3">
        <v>200</v>
      </c>
      <c r="N1221">
        <v>3</v>
      </c>
      <c r="O1221">
        <v>3</v>
      </c>
      <c r="P1221">
        <v>1</v>
      </c>
      <c r="Q1221">
        <v>0</v>
      </c>
      <c r="R1221" s="4">
        <v>12.14</v>
      </c>
      <c r="S1221">
        <v>0</v>
      </c>
      <c r="T1221">
        <v>1</v>
      </c>
    </row>
    <row r="1222" spans="1:20" ht="16.5" x14ac:dyDescent="0.3">
      <c r="A1222" t="s">
        <v>1270</v>
      </c>
      <c r="B1222" s="1">
        <v>45475</v>
      </c>
      <c r="C1222">
        <v>2024</v>
      </c>
      <c r="D1222" t="s">
        <v>1261</v>
      </c>
      <c r="E1222" t="s">
        <v>1262</v>
      </c>
      <c r="F1222" t="s">
        <v>34</v>
      </c>
      <c r="G1222" t="s">
        <v>35</v>
      </c>
      <c r="H1222" t="s">
        <v>36</v>
      </c>
      <c r="I1222" t="s">
        <v>26</v>
      </c>
      <c r="J1222" t="s">
        <v>27</v>
      </c>
      <c r="K1222" t="s">
        <v>32</v>
      </c>
      <c r="L1222" s="2">
        <v>10.6</v>
      </c>
      <c r="M1222" s="3">
        <v>210</v>
      </c>
      <c r="N1222">
        <v>3</v>
      </c>
      <c r="O1222">
        <v>3</v>
      </c>
      <c r="P1222">
        <v>1</v>
      </c>
      <c r="Q1222">
        <v>0</v>
      </c>
      <c r="R1222" s="4">
        <v>12.44</v>
      </c>
      <c r="S1222">
        <v>0</v>
      </c>
      <c r="T1222">
        <v>1</v>
      </c>
    </row>
    <row r="1223" spans="1:20" ht="16.5" x14ac:dyDescent="0.3">
      <c r="A1223" t="s">
        <v>1271</v>
      </c>
      <c r="B1223" s="1">
        <v>45475</v>
      </c>
      <c r="C1223">
        <v>2024</v>
      </c>
      <c r="D1223" t="s">
        <v>1261</v>
      </c>
      <c r="E1223" t="s">
        <v>1262</v>
      </c>
      <c r="F1223" t="s">
        <v>38</v>
      </c>
      <c r="G1223" t="s">
        <v>24</v>
      </c>
      <c r="H1223" t="s">
        <v>36</v>
      </c>
      <c r="I1223" t="s">
        <v>40</v>
      </c>
      <c r="J1223" t="s">
        <v>27</v>
      </c>
      <c r="K1223" t="s">
        <v>32</v>
      </c>
      <c r="L1223" s="2">
        <v>12.9</v>
      </c>
      <c r="M1223" s="3">
        <v>264</v>
      </c>
      <c r="N1223">
        <v>1</v>
      </c>
      <c r="O1223">
        <v>1</v>
      </c>
      <c r="P1223">
        <v>1</v>
      </c>
      <c r="Q1223">
        <v>0</v>
      </c>
      <c r="R1223" s="4">
        <v>34.880000000000003</v>
      </c>
      <c r="S1223">
        <v>0</v>
      </c>
      <c r="T1223">
        <v>1</v>
      </c>
    </row>
    <row r="1224" spans="1:20" ht="16.5" x14ac:dyDescent="0.3">
      <c r="A1224" t="s">
        <v>1272</v>
      </c>
      <c r="B1224" s="1">
        <v>45476</v>
      </c>
      <c r="C1224">
        <v>2024</v>
      </c>
      <c r="D1224" t="s">
        <v>1261</v>
      </c>
      <c r="E1224" t="s">
        <v>1262</v>
      </c>
      <c r="F1224" t="s">
        <v>23</v>
      </c>
      <c r="G1224" t="s">
        <v>39</v>
      </c>
      <c r="H1224" t="s">
        <v>25</v>
      </c>
      <c r="I1224" t="s">
        <v>26</v>
      </c>
      <c r="J1224" t="s">
        <v>27</v>
      </c>
      <c r="K1224" t="s">
        <v>28</v>
      </c>
      <c r="L1224" s="2">
        <v>63.6</v>
      </c>
      <c r="M1224" s="3">
        <v>861</v>
      </c>
      <c r="N1224">
        <v>4</v>
      </c>
      <c r="O1224">
        <v>3</v>
      </c>
      <c r="P1224">
        <v>1</v>
      </c>
      <c r="Q1224">
        <v>0</v>
      </c>
      <c r="R1224" s="4">
        <v>46.12</v>
      </c>
      <c r="S1224">
        <v>0</v>
      </c>
      <c r="T1224">
        <v>1</v>
      </c>
    </row>
    <row r="1225" spans="1:20" ht="16.5" x14ac:dyDescent="0.3">
      <c r="A1225" t="s">
        <v>1273</v>
      </c>
      <c r="B1225" s="1">
        <v>45476</v>
      </c>
      <c r="C1225">
        <v>2024</v>
      </c>
      <c r="D1225" t="s">
        <v>1261</v>
      </c>
      <c r="E1225" t="s">
        <v>1262</v>
      </c>
      <c r="F1225" t="s">
        <v>23</v>
      </c>
      <c r="G1225" t="s">
        <v>39</v>
      </c>
      <c r="H1225" t="s">
        <v>51</v>
      </c>
      <c r="I1225" t="s">
        <v>31</v>
      </c>
      <c r="J1225" t="s">
        <v>27</v>
      </c>
      <c r="K1225" t="s">
        <v>32</v>
      </c>
      <c r="L1225" s="2">
        <v>5</v>
      </c>
      <c r="M1225" s="3">
        <v>1091</v>
      </c>
      <c r="N1225">
        <v>7</v>
      </c>
      <c r="O1225">
        <v>7</v>
      </c>
      <c r="P1225">
        <v>1</v>
      </c>
      <c r="Q1225">
        <v>0</v>
      </c>
      <c r="R1225" s="4">
        <v>16.25</v>
      </c>
      <c r="S1225">
        <v>0</v>
      </c>
      <c r="T1225">
        <v>1</v>
      </c>
    </row>
    <row r="1226" spans="1:20" ht="16.5" x14ac:dyDescent="0.3">
      <c r="A1226" t="s">
        <v>1274</v>
      </c>
      <c r="B1226" s="1">
        <v>45476</v>
      </c>
      <c r="C1226">
        <v>2024</v>
      </c>
      <c r="D1226" t="s">
        <v>1261</v>
      </c>
      <c r="E1226" t="s">
        <v>1262</v>
      </c>
      <c r="F1226" t="s">
        <v>38</v>
      </c>
      <c r="G1226" t="s">
        <v>35</v>
      </c>
      <c r="H1226" t="s">
        <v>43</v>
      </c>
      <c r="I1226" t="s">
        <v>26</v>
      </c>
      <c r="J1226" t="s">
        <v>27</v>
      </c>
      <c r="K1226" t="s">
        <v>32</v>
      </c>
      <c r="L1226" s="2">
        <v>9.6999999999999993</v>
      </c>
      <c r="M1226" s="3">
        <v>1100</v>
      </c>
      <c r="N1226">
        <v>5</v>
      </c>
      <c r="O1226">
        <v>7</v>
      </c>
      <c r="P1226">
        <v>0</v>
      </c>
      <c r="Q1226">
        <v>2</v>
      </c>
      <c r="R1226" s="4">
        <v>28.26</v>
      </c>
      <c r="S1226">
        <v>0</v>
      </c>
      <c r="T1226">
        <v>1</v>
      </c>
    </row>
    <row r="1227" spans="1:20" ht="16.5" x14ac:dyDescent="0.3">
      <c r="A1227" t="s">
        <v>1275</v>
      </c>
      <c r="B1227" s="1">
        <v>45476</v>
      </c>
      <c r="C1227">
        <v>2024</v>
      </c>
      <c r="D1227" t="s">
        <v>1261</v>
      </c>
      <c r="E1227" t="s">
        <v>1262</v>
      </c>
      <c r="F1227" t="s">
        <v>30</v>
      </c>
      <c r="G1227" t="s">
        <v>24</v>
      </c>
      <c r="H1227" t="s">
        <v>51</v>
      </c>
      <c r="I1227" t="s">
        <v>26</v>
      </c>
      <c r="J1227" t="s">
        <v>27</v>
      </c>
      <c r="K1227" t="s">
        <v>28</v>
      </c>
      <c r="L1227" s="2">
        <v>210.2</v>
      </c>
      <c r="M1227" s="3">
        <v>1161</v>
      </c>
      <c r="N1227">
        <v>5</v>
      </c>
      <c r="O1227">
        <v>5</v>
      </c>
      <c r="P1227">
        <v>1</v>
      </c>
      <c r="Q1227">
        <v>0</v>
      </c>
      <c r="R1227" s="4">
        <v>107.89</v>
      </c>
      <c r="S1227">
        <v>0</v>
      </c>
      <c r="T1227">
        <v>1</v>
      </c>
    </row>
    <row r="1228" spans="1:20" ht="16.5" x14ac:dyDescent="0.3">
      <c r="A1228" t="s">
        <v>1276</v>
      </c>
      <c r="B1228" s="1">
        <v>45476</v>
      </c>
      <c r="C1228">
        <v>2024</v>
      </c>
      <c r="D1228" t="s">
        <v>1261</v>
      </c>
      <c r="E1228" t="s">
        <v>1262</v>
      </c>
      <c r="F1228" t="s">
        <v>57</v>
      </c>
      <c r="G1228" t="s">
        <v>35</v>
      </c>
      <c r="H1228" t="s">
        <v>48</v>
      </c>
      <c r="I1228" t="s">
        <v>31</v>
      </c>
      <c r="J1228" t="s">
        <v>27</v>
      </c>
      <c r="K1228" t="s">
        <v>28</v>
      </c>
      <c r="L1228" s="2">
        <v>38.799999999999997</v>
      </c>
      <c r="M1228" s="3">
        <v>454</v>
      </c>
      <c r="N1228">
        <v>6</v>
      </c>
      <c r="O1228">
        <v>6</v>
      </c>
      <c r="P1228">
        <v>1</v>
      </c>
      <c r="Q1228">
        <v>0</v>
      </c>
      <c r="R1228" s="4">
        <v>21.02</v>
      </c>
      <c r="S1228">
        <v>0</v>
      </c>
      <c r="T1228">
        <v>1</v>
      </c>
    </row>
    <row r="1229" spans="1:20" ht="16.5" x14ac:dyDescent="0.3">
      <c r="A1229" t="s">
        <v>1277</v>
      </c>
      <c r="B1229" s="1">
        <v>45476</v>
      </c>
      <c r="C1229">
        <v>2024</v>
      </c>
      <c r="D1229" t="s">
        <v>1261</v>
      </c>
      <c r="E1229" t="s">
        <v>1262</v>
      </c>
      <c r="F1229" t="s">
        <v>38</v>
      </c>
      <c r="G1229" t="s">
        <v>35</v>
      </c>
      <c r="H1229" t="s">
        <v>36</v>
      </c>
      <c r="I1229" t="s">
        <v>26</v>
      </c>
      <c r="J1229" t="s">
        <v>27</v>
      </c>
      <c r="K1229" t="s">
        <v>28</v>
      </c>
      <c r="L1229" s="2">
        <v>18.399999999999999</v>
      </c>
      <c r="M1229" s="3">
        <v>206</v>
      </c>
      <c r="N1229">
        <v>3</v>
      </c>
      <c r="O1229">
        <v>3</v>
      </c>
      <c r="P1229">
        <v>1</v>
      </c>
      <c r="Q1229">
        <v>0</v>
      </c>
      <c r="R1229" s="4">
        <v>20.81</v>
      </c>
      <c r="S1229">
        <v>0</v>
      </c>
      <c r="T1229">
        <v>1</v>
      </c>
    </row>
    <row r="1230" spans="1:20" ht="16.5" x14ac:dyDescent="0.3">
      <c r="A1230" t="s">
        <v>1278</v>
      </c>
      <c r="B1230" s="1">
        <v>45477</v>
      </c>
      <c r="C1230">
        <v>2024</v>
      </c>
      <c r="D1230" t="s">
        <v>1261</v>
      </c>
      <c r="E1230" t="s">
        <v>1262</v>
      </c>
      <c r="F1230" t="s">
        <v>34</v>
      </c>
      <c r="G1230" t="s">
        <v>35</v>
      </c>
      <c r="H1230" t="s">
        <v>36</v>
      </c>
      <c r="I1230" t="s">
        <v>26</v>
      </c>
      <c r="J1230" t="s">
        <v>27</v>
      </c>
      <c r="K1230" t="s">
        <v>28</v>
      </c>
      <c r="L1230" s="2">
        <v>102.6</v>
      </c>
      <c r="M1230" s="3">
        <v>274</v>
      </c>
      <c r="N1230">
        <v>3</v>
      </c>
      <c r="O1230">
        <v>3</v>
      </c>
      <c r="P1230">
        <v>1</v>
      </c>
      <c r="Q1230">
        <v>0</v>
      </c>
      <c r="R1230" s="4">
        <v>38.03</v>
      </c>
      <c r="S1230">
        <v>0</v>
      </c>
      <c r="T1230">
        <v>1</v>
      </c>
    </row>
    <row r="1231" spans="1:20" ht="16.5" x14ac:dyDescent="0.3">
      <c r="A1231" t="s">
        <v>1279</v>
      </c>
      <c r="B1231" s="1">
        <v>45477</v>
      </c>
      <c r="C1231">
        <v>2024</v>
      </c>
      <c r="D1231" t="s">
        <v>1261</v>
      </c>
      <c r="E1231" t="s">
        <v>1262</v>
      </c>
      <c r="F1231" t="s">
        <v>34</v>
      </c>
      <c r="G1231" t="s">
        <v>24</v>
      </c>
      <c r="H1231" t="s">
        <v>51</v>
      </c>
      <c r="I1231" t="s">
        <v>31</v>
      </c>
      <c r="J1231" t="s">
        <v>27</v>
      </c>
      <c r="K1231" t="s">
        <v>32</v>
      </c>
      <c r="L1231" s="2">
        <v>15</v>
      </c>
      <c r="M1231" s="3">
        <v>1033</v>
      </c>
      <c r="N1231">
        <v>7</v>
      </c>
      <c r="O1231">
        <v>7</v>
      </c>
      <c r="P1231">
        <v>1</v>
      </c>
      <c r="Q1231">
        <v>0</v>
      </c>
      <c r="R1231" s="4">
        <v>16.57</v>
      </c>
      <c r="S1231">
        <v>0</v>
      </c>
      <c r="T1231">
        <v>1</v>
      </c>
    </row>
    <row r="1232" spans="1:20" ht="16.5" x14ac:dyDescent="0.3">
      <c r="A1232" t="s">
        <v>1280</v>
      </c>
      <c r="B1232" s="1">
        <v>45477</v>
      </c>
      <c r="C1232">
        <v>2024</v>
      </c>
      <c r="D1232" t="s">
        <v>1261</v>
      </c>
      <c r="E1232" t="s">
        <v>1262</v>
      </c>
      <c r="F1232" t="s">
        <v>38</v>
      </c>
      <c r="G1232" t="s">
        <v>39</v>
      </c>
      <c r="H1232" t="s">
        <v>51</v>
      </c>
      <c r="I1232" t="s">
        <v>26</v>
      </c>
      <c r="J1232" t="s">
        <v>27</v>
      </c>
      <c r="K1232" t="s">
        <v>28</v>
      </c>
      <c r="L1232" s="2">
        <v>123.3</v>
      </c>
      <c r="M1232" s="3">
        <v>1188</v>
      </c>
      <c r="N1232">
        <v>5</v>
      </c>
      <c r="O1232">
        <v>5</v>
      </c>
      <c r="P1232">
        <v>1</v>
      </c>
      <c r="Q1232">
        <v>0</v>
      </c>
      <c r="R1232" s="4">
        <v>84.63</v>
      </c>
      <c r="S1232">
        <v>0</v>
      </c>
      <c r="T1232">
        <v>1</v>
      </c>
    </row>
    <row r="1233" spans="1:20" ht="16.5" x14ac:dyDescent="0.3">
      <c r="A1233" t="s">
        <v>1281</v>
      </c>
      <c r="B1233" s="1">
        <v>45477</v>
      </c>
      <c r="C1233">
        <v>2024</v>
      </c>
      <c r="D1233" t="s">
        <v>1261</v>
      </c>
      <c r="E1233" t="s">
        <v>1262</v>
      </c>
      <c r="F1233" t="s">
        <v>34</v>
      </c>
      <c r="G1233" t="s">
        <v>39</v>
      </c>
      <c r="H1233" t="s">
        <v>36</v>
      </c>
      <c r="I1233" t="s">
        <v>26</v>
      </c>
      <c r="J1233" t="s">
        <v>27</v>
      </c>
      <c r="K1233" t="s">
        <v>28</v>
      </c>
      <c r="L1233" s="2">
        <v>149.19999999999999</v>
      </c>
      <c r="M1233" s="3">
        <v>142</v>
      </c>
      <c r="N1233">
        <v>3</v>
      </c>
      <c r="O1233">
        <v>3</v>
      </c>
      <c r="P1233">
        <v>1</v>
      </c>
      <c r="Q1233">
        <v>0</v>
      </c>
      <c r="R1233" s="4">
        <v>61.02</v>
      </c>
      <c r="S1233">
        <v>0</v>
      </c>
      <c r="T1233">
        <v>1</v>
      </c>
    </row>
    <row r="1234" spans="1:20" ht="16.5" x14ac:dyDescent="0.3">
      <c r="A1234" t="s">
        <v>1282</v>
      </c>
      <c r="B1234" s="1">
        <v>45477</v>
      </c>
      <c r="C1234">
        <v>2024</v>
      </c>
      <c r="D1234" t="s">
        <v>1261</v>
      </c>
      <c r="E1234" t="s">
        <v>1262</v>
      </c>
      <c r="F1234" t="s">
        <v>57</v>
      </c>
      <c r="G1234" t="s">
        <v>24</v>
      </c>
      <c r="H1234" t="s">
        <v>51</v>
      </c>
      <c r="I1234" t="s">
        <v>40</v>
      </c>
      <c r="J1234" t="s">
        <v>41</v>
      </c>
      <c r="K1234" t="s">
        <v>28</v>
      </c>
      <c r="L1234" s="2">
        <v>15.9</v>
      </c>
      <c r="M1234" s="3">
        <v>1162</v>
      </c>
      <c r="N1234">
        <v>3</v>
      </c>
      <c r="O1234">
        <v>3</v>
      </c>
      <c r="P1234">
        <v>1</v>
      </c>
      <c r="Q1234">
        <v>0</v>
      </c>
      <c r="R1234" s="4">
        <v>93.86</v>
      </c>
      <c r="S1234">
        <v>0</v>
      </c>
      <c r="T1234">
        <v>1</v>
      </c>
    </row>
    <row r="1235" spans="1:20" ht="16.5" x14ac:dyDescent="0.3">
      <c r="A1235" t="s">
        <v>1283</v>
      </c>
      <c r="B1235" s="1">
        <v>45478</v>
      </c>
      <c r="C1235">
        <v>2024</v>
      </c>
      <c r="D1235" t="s">
        <v>1261</v>
      </c>
      <c r="E1235" t="s">
        <v>1262</v>
      </c>
      <c r="F1235" t="s">
        <v>34</v>
      </c>
      <c r="G1235" t="s">
        <v>35</v>
      </c>
      <c r="H1235" t="s">
        <v>51</v>
      </c>
      <c r="I1235" t="s">
        <v>40</v>
      </c>
      <c r="J1235" t="s">
        <v>41</v>
      </c>
      <c r="K1235" t="s">
        <v>28</v>
      </c>
      <c r="L1235" s="2">
        <v>92.3</v>
      </c>
      <c r="M1235" s="3">
        <v>1239</v>
      </c>
      <c r="N1235">
        <v>3</v>
      </c>
      <c r="O1235">
        <v>4</v>
      </c>
      <c r="P1235">
        <v>0</v>
      </c>
      <c r="Q1235">
        <v>1</v>
      </c>
      <c r="R1235" s="4">
        <v>181.82</v>
      </c>
      <c r="S1235">
        <v>0</v>
      </c>
      <c r="T1235">
        <v>1</v>
      </c>
    </row>
    <row r="1236" spans="1:20" ht="16.5" x14ac:dyDescent="0.3">
      <c r="A1236" t="s">
        <v>1284</v>
      </c>
      <c r="B1236" s="1">
        <v>45478</v>
      </c>
      <c r="C1236">
        <v>2024</v>
      </c>
      <c r="D1236" t="s">
        <v>1261</v>
      </c>
      <c r="E1236" t="s">
        <v>1262</v>
      </c>
      <c r="F1236" t="s">
        <v>23</v>
      </c>
      <c r="G1236" t="s">
        <v>35</v>
      </c>
      <c r="H1236" t="s">
        <v>25</v>
      </c>
      <c r="I1236" t="s">
        <v>31</v>
      </c>
      <c r="J1236" t="s">
        <v>27</v>
      </c>
      <c r="K1236" t="s">
        <v>28</v>
      </c>
      <c r="L1236" s="2">
        <v>61.1</v>
      </c>
      <c r="M1236" s="3">
        <v>916</v>
      </c>
      <c r="N1236">
        <v>6</v>
      </c>
      <c r="O1236">
        <v>6</v>
      </c>
      <c r="P1236">
        <v>1</v>
      </c>
      <c r="Q1236">
        <v>0</v>
      </c>
      <c r="R1236" s="4">
        <v>34.619999999999997</v>
      </c>
      <c r="S1236">
        <v>0</v>
      </c>
      <c r="T1236">
        <v>1</v>
      </c>
    </row>
    <row r="1237" spans="1:20" ht="16.5" x14ac:dyDescent="0.3">
      <c r="A1237" t="s">
        <v>1285</v>
      </c>
      <c r="B1237" s="1">
        <v>45478</v>
      </c>
      <c r="C1237">
        <v>2024</v>
      </c>
      <c r="D1237" t="s">
        <v>1261</v>
      </c>
      <c r="E1237" t="s">
        <v>1262</v>
      </c>
      <c r="F1237" t="s">
        <v>57</v>
      </c>
      <c r="G1237" t="s">
        <v>39</v>
      </c>
      <c r="H1237" t="s">
        <v>43</v>
      </c>
      <c r="I1237" t="s">
        <v>26</v>
      </c>
      <c r="J1237" t="s">
        <v>27</v>
      </c>
      <c r="K1237" t="s">
        <v>32</v>
      </c>
      <c r="L1237" s="2">
        <v>3.5</v>
      </c>
      <c r="M1237" s="3">
        <v>1581</v>
      </c>
      <c r="N1237">
        <v>5</v>
      </c>
      <c r="O1237">
        <v>5</v>
      </c>
      <c r="P1237">
        <v>1</v>
      </c>
      <c r="Q1237">
        <v>0</v>
      </c>
      <c r="R1237" s="4">
        <v>27.52</v>
      </c>
      <c r="S1237">
        <v>0</v>
      </c>
      <c r="T1237">
        <v>1</v>
      </c>
    </row>
    <row r="1238" spans="1:20" ht="16.5" x14ac:dyDescent="0.3">
      <c r="A1238" t="s">
        <v>1286</v>
      </c>
      <c r="B1238" s="1">
        <v>45478</v>
      </c>
      <c r="C1238">
        <v>2024</v>
      </c>
      <c r="D1238" t="s">
        <v>1261</v>
      </c>
      <c r="E1238" t="s">
        <v>1262</v>
      </c>
      <c r="F1238" t="s">
        <v>34</v>
      </c>
      <c r="G1238" t="s">
        <v>39</v>
      </c>
      <c r="H1238" t="s">
        <v>36</v>
      </c>
      <c r="I1238" t="s">
        <v>31</v>
      </c>
      <c r="J1238" t="s">
        <v>27</v>
      </c>
      <c r="K1238" t="s">
        <v>32</v>
      </c>
      <c r="L1238" s="2">
        <v>2.4</v>
      </c>
      <c r="M1238" s="3">
        <v>244</v>
      </c>
      <c r="N1238">
        <v>5</v>
      </c>
      <c r="O1238">
        <v>5</v>
      </c>
      <c r="P1238">
        <v>1</v>
      </c>
      <c r="Q1238">
        <v>0</v>
      </c>
      <c r="R1238" s="4">
        <v>6.63</v>
      </c>
      <c r="S1238">
        <v>0</v>
      </c>
      <c r="T1238">
        <v>1</v>
      </c>
    </row>
    <row r="1239" spans="1:20" ht="16.5" x14ac:dyDescent="0.3">
      <c r="A1239" t="s">
        <v>1287</v>
      </c>
      <c r="B1239" s="1">
        <v>45478</v>
      </c>
      <c r="C1239">
        <v>2024</v>
      </c>
      <c r="D1239" t="s">
        <v>1261</v>
      </c>
      <c r="E1239" t="s">
        <v>1262</v>
      </c>
      <c r="F1239" t="s">
        <v>38</v>
      </c>
      <c r="G1239" t="s">
        <v>39</v>
      </c>
      <c r="H1239" t="s">
        <v>25</v>
      </c>
      <c r="I1239" t="s">
        <v>31</v>
      </c>
      <c r="J1239" t="s">
        <v>27</v>
      </c>
      <c r="K1239" t="s">
        <v>28</v>
      </c>
      <c r="L1239" s="2">
        <v>133.19999999999999</v>
      </c>
      <c r="M1239" s="3">
        <v>1123</v>
      </c>
      <c r="N1239">
        <v>6</v>
      </c>
      <c r="O1239">
        <v>5</v>
      </c>
      <c r="P1239">
        <v>1</v>
      </c>
      <c r="Q1239">
        <v>0</v>
      </c>
      <c r="R1239" s="4">
        <v>60.59</v>
      </c>
      <c r="S1239">
        <v>0</v>
      </c>
      <c r="T1239">
        <v>1</v>
      </c>
    </row>
    <row r="1240" spans="1:20" ht="16.5" x14ac:dyDescent="0.3">
      <c r="A1240" t="s">
        <v>1288</v>
      </c>
      <c r="B1240" s="1">
        <v>45478</v>
      </c>
      <c r="C1240">
        <v>2024</v>
      </c>
      <c r="D1240" t="s">
        <v>1261</v>
      </c>
      <c r="E1240" t="s">
        <v>1262</v>
      </c>
      <c r="F1240" t="s">
        <v>38</v>
      </c>
      <c r="G1240" t="s">
        <v>35</v>
      </c>
      <c r="H1240" t="s">
        <v>48</v>
      </c>
      <c r="I1240" t="s">
        <v>26</v>
      </c>
      <c r="J1240" t="s">
        <v>27</v>
      </c>
      <c r="K1240" t="s">
        <v>32</v>
      </c>
      <c r="L1240" s="2">
        <v>0.8</v>
      </c>
      <c r="M1240" s="3">
        <v>725</v>
      </c>
      <c r="N1240">
        <v>4</v>
      </c>
      <c r="O1240">
        <v>3</v>
      </c>
      <c r="P1240">
        <v>1</v>
      </c>
      <c r="Q1240">
        <v>0</v>
      </c>
      <c r="R1240" s="4">
        <v>16.79</v>
      </c>
      <c r="S1240">
        <v>0</v>
      </c>
      <c r="T1240">
        <v>1</v>
      </c>
    </row>
    <row r="1241" spans="1:20" ht="16.5" x14ac:dyDescent="0.3">
      <c r="A1241" t="s">
        <v>1289</v>
      </c>
      <c r="B1241" s="1">
        <v>45478</v>
      </c>
      <c r="C1241">
        <v>2024</v>
      </c>
      <c r="D1241" t="s">
        <v>1261</v>
      </c>
      <c r="E1241" t="s">
        <v>1262</v>
      </c>
      <c r="F1241" t="s">
        <v>23</v>
      </c>
      <c r="G1241" t="s">
        <v>24</v>
      </c>
      <c r="H1241" t="s">
        <v>43</v>
      </c>
      <c r="I1241" t="s">
        <v>31</v>
      </c>
      <c r="J1241" t="s">
        <v>27</v>
      </c>
      <c r="K1241" t="s">
        <v>32</v>
      </c>
      <c r="L1241" s="2">
        <v>7.2</v>
      </c>
      <c r="M1241" s="3">
        <v>864</v>
      </c>
      <c r="N1241">
        <v>7</v>
      </c>
      <c r="O1241">
        <v>7</v>
      </c>
      <c r="P1241">
        <v>1</v>
      </c>
      <c r="Q1241">
        <v>0</v>
      </c>
      <c r="R1241" s="4">
        <v>14.46</v>
      </c>
      <c r="S1241">
        <v>0</v>
      </c>
      <c r="T1241">
        <v>1</v>
      </c>
    </row>
    <row r="1242" spans="1:20" ht="16.5" x14ac:dyDescent="0.3">
      <c r="A1242" t="s">
        <v>1290</v>
      </c>
      <c r="B1242" s="1">
        <v>45478</v>
      </c>
      <c r="C1242">
        <v>2024</v>
      </c>
      <c r="D1242" t="s">
        <v>1261</v>
      </c>
      <c r="E1242" t="s">
        <v>1262</v>
      </c>
      <c r="F1242" t="s">
        <v>34</v>
      </c>
      <c r="G1242" t="s">
        <v>39</v>
      </c>
      <c r="H1242" t="s">
        <v>25</v>
      </c>
      <c r="I1242" t="s">
        <v>31</v>
      </c>
      <c r="J1242" t="s">
        <v>27</v>
      </c>
      <c r="K1242" t="s">
        <v>32</v>
      </c>
      <c r="L1242" s="2">
        <v>8</v>
      </c>
      <c r="M1242" s="3">
        <v>973</v>
      </c>
      <c r="N1242">
        <v>6</v>
      </c>
      <c r="O1242">
        <v>7</v>
      </c>
      <c r="P1242">
        <v>0</v>
      </c>
      <c r="Q1242">
        <v>1</v>
      </c>
      <c r="R1242" s="4">
        <v>15.48</v>
      </c>
      <c r="S1242">
        <v>0</v>
      </c>
      <c r="T1242">
        <v>1</v>
      </c>
    </row>
    <row r="1243" spans="1:20" ht="16.5" x14ac:dyDescent="0.3">
      <c r="A1243" t="s">
        <v>1291</v>
      </c>
      <c r="B1243" s="1">
        <v>45479</v>
      </c>
      <c r="C1243">
        <v>2024</v>
      </c>
      <c r="D1243" t="s">
        <v>1261</v>
      </c>
      <c r="E1243" t="s">
        <v>1262</v>
      </c>
      <c r="F1243" t="s">
        <v>57</v>
      </c>
      <c r="G1243" t="s">
        <v>35</v>
      </c>
      <c r="H1243" t="s">
        <v>48</v>
      </c>
      <c r="I1243" t="s">
        <v>40</v>
      </c>
      <c r="J1243" t="s">
        <v>27</v>
      </c>
      <c r="K1243" t="s">
        <v>28</v>
      </c>
      <c r="L1243" s="2">
        <v>110.9</v>
      </c>
      <c r="M1243" s="3">
        <v>486</v>
      </c>
      <c r="N1243">
        <v>2</v>
      </c>
      <c r="O1243">
        <v>2</v>
      </c>
      <c r="P1243">
        <v>1</v>
      </c>
      <c r="Q1243">
        <v>0</v>
      </c>
      <c r="R1243" s="4">
        <v>122.29</v>
      </c>
      <c r="S1243">
        <v>0</v>
      </c>
      <c r="T1243">
        <v>1</v>
      </c>
    </row>
    <row r="1244" spans="1:20" ht="16.5" x14ac:dyDescent="0.3">
      <c r="A1244" t="s">
        <v>1292</v>
      </c>
      <c r="B1244" s="1">
        <v>45480</v>
      </c>
      <c r="C1244">
        <v>2024</v>
      </c>
      <c r="D1244" t="s">
        <v>1261</v>
      </c>
      <c r="E1244" t="s">
        <v>1262</v>
      </c>
      <c r="F1244" t="s">
        <v>38</v>
      </c>
      <c r="G1244" t="s">
        <v>24</v>
      </c>
      <c r="H1244" t="s">
        <v>48</v>
      </c>
      <c r="I1244" t="s">
        <v>31</v>
      </c>
      <c r="J1244" t="s">
        <v>27</v>
      </c>
      <c r="K1244" t="s">
        <v>32</v>
      </c>
      <c r="L1244" s="2">
        <v>4.5999999999999996</v>
      </c>
      <c r="M1244" s="3">
        <v>523</v>
      </c>
      <c r="N1244">
        <v>6</v>
      </c>
      <c r="O1244">
        <v>6</v>
      </c>
      <c r="P1244">
        <v>1</v>
      </c>
      <c r="Q1244">
        <v>0</v>
      </c>
      <c r="R1244" s="4">
        <v>12.52</v>
      </c>
      <c r="S1244">
        <v>0</v>
      </c>
      <c r="T1244">
        <v>1</v>
      </c>
    </row>
    <row r="1245" spans="1:20" ht="16.5" x14ac:dyDescent="0.3">
      <c r="A1245" t="s">
        <v>1293</v>
      </c>
      <c r="B1245" s="1">
        <v>45481</v>
      </c>
      <c r="C1245">
        <v>2024</v>
      </c>
      <c r="D1245" t="s">
        <v>1261</v>
      </c>
      <c r="E1245" t="s">
        <v>1262</v>
      </c>
      <c r="F1245" t="s">
        <v>38</v>
      </c>
      <c r="G1245" t="s">
        <v>39</v>
      </c>
      <c r="H1245" t="s">
        <v>43</v>
      </c>
      <c r="I1245" t="s">
        <v>26</v>
      </c>
      <c r="J1245" t="s">
        <v>27</v>
      </c>
      <c r="K1245" t="s">
        <v>28</v>
      </c>
      <c r="L1245" s="2">
        <v>167</v>
      </c>
      <c r="M1245" s="3">
        <v>1218</v>
      </c>
      <c r="N1245">
        <v>5</v>
      </c>
      <c r="O1245">
        <v>5</v>
      </c>
      <c r="P1245">
        <v>1</v>
      </c>
      <c r="Q1245">
        <v>0</v>
      </c>
      <c r="R1245" s="4">
        <v>95.68</v>
      </c>
      <c r="S1245">
        <v>0</v>
      </c>
      <c r="T1245">
        <v>1</v>
      </c>
    </row>
    <row r="1246" spans="1:20" ht="16.5" x14ac:dyDescent="0.3">
      <c r="A1246" t="s">
        <v>1294</v>
      </c>
      <c r="B1246" s="1">
        <v>45481</v>
      </c>
      <c r="C1246">
        <v>2024</v>
      </c>
      <c r="D1246" t="s">
        <v>1261</v>
      </c>
      <c r="E1246" t="s">
        <v>1262</v>
      </c>
      <c r="F1246" t="s">
        <v>34</v>
      </c>
      <c r="G1246" t="s">
        <v>39</v>
      </c>
      <c r="H1246" t="s">
        <v>25</v>
      </c>
      <c r="I1246" t="s">
        <v>26</v>
      </c>
      <c r="J1246" t="s">
        <v>27</v>
      </c>
      <c r="K1246" t="s">
        <v>32</v>
      </c>
      <c r="L1246" s="2">
        <v>11.6</v>
      </c>
      <c r="M1246" s="3">
        <v>1054</v>
      </c>
      <c r="N1246">
        <v>4</v>
      </c>
      <c r="O1246">
        <v>4</v>
      </c>
      <c r="P1246">
        <v>1</v>
      </c>
      <c r="Q1246">
        <v>0</v>
      </c>
      <c r="R1246" s="4">
        <v>24.43</v>
      </c>
      <c r="S1246">
        <v>0</v>
      </c>
      <c r="T1246">
        <v>1</v>
      </c>
    </row>
    <row r="1247" spans="1:20" ht="16.5" x14ac:dyDescent="0.3">
      <c r="A1247" t="s">
        <v>1295</v>
      </c>
      <c r="B1247" s="1">
        <v>45481</v>
      </c>
      <c r="C1247">
        <v>2024</v>
      </c>
      <c r="D1247" t="s">
        <v>1261</v>
      </c>
      <c r="E1247" t="s">
        <v>1262</v>
      </c>
      <c r="F1247" t="s">
        <v>38</v>
      </c>
      <c r="G1247" t="s">
        <v>35</v>
      </c>
      <c r="H1247" t="s">
        <v>25</v>
      </c>
      <c r="I1247" t="s">
        <v>40</v>
      </c>
      <c r="J1247" t="s">
        <v>41</v>
      </c>
      <c r="K1247" t="s">
        <v>32</v>
      </c>
      <c r="L1247" s="2">
        <v>1.6</v>
      </c>
      <c r="M1247" s="3">
        <v>1153</v>
      </c>
      <c r="N1247">
        <v>2</v>
      </c>
      <c r="O1247">
        <v>2</v>
      </c>
      <c r="P1247">
        <v>1</v>
      </c>
      <c r="Q1247">
        <v>0</v>
      </c>
      <c r="R1247" s="4">
        <v>71.2</v>
      </c>
      <c r="S1247">
        <v>0</v>
      </c>
      <c r="T1247">
        <v>1</v>
      </c>
    </row>
    <row r="1248" spans="1:20" ht="16.5" x14ac:dyDescent="0.3">
      <c r="A1248" t="s">
        <v>1296</v>
      </c>
      <c r="B1248" s="1">
        <v>45481</v>
      </c>
      <c r="C1248">
        <v>2024</v>
      </c>
      <c r="D1248" t="s">
        <v>1261</v>
      </c>
      <c r="E1248" t="s">
        <v>1262</v>
      </c>
      <c r="F1248" t="s">
        <v>57</v>
      </c>
      <c r="G1248" t="s">
        <v>24</v>
      </c>
      <c r="H1248" t="s">
        <v>43</v>
      </c>
      <c r="I1248" t="s">
        <v>26</v>
      </c>
      <c r="J1248" t="s">
        <v>27</v>
      </c>
      <c r="K1248" t="s">
        <v>32</v>
      </c>
      <c r="L1248" s="2">
        <v>1.1000000000000001</v>
      </c>
      <c r="M1248" s="3">
        <v>1028</v>
      </c>
      <c r="N1248">
        <v>5</v>
      </c>
      <c r="O1248">
        <v>5</v>
      </c>
      <c r="P1248">
        <v>1</v>
      </c>
      <c r="Q1248">
        <v>0</v>
      </c>
      <c r="R1248" s="4">
        <v>18.96</v>
      </c>
      <c r="S1248">
        <v>0</v>
      </c>
      <c r="T1248">
        <v>1</v>
      </c>
    </row>
    <row r="1249" spans="1:20" ht="16.5" x14ac:dyDescent="0.3">
      <c r="A1249" t="s">
        <v>1297</v>
      </c>
      <c r="B1249" s="1">
        <v>45481</v>
      </c>
      <c r="C1249">
        <v>2024</v>
      </c>
      <c r="D1249" t="s">
        <v>1261</v>
      </c>
      <c r="E1249" t="s">
        <v>1262</v>
      </c>
      <c r="F1249" t="s">
        <v>30</v>
      </c>
      <c r="G1249" t="s">
        <v>39</v>
      </c>
      <c r="H1249" t="s">
        <v>25</v>
      </c>
      <c r="I1249" t="s">
        <v>40</v>
      </c>
      <c r="J1249" t="s">
        <v>41</v>
      </c>
      <c r="K1249" t="s">
        <v>32</v>
      </c>
      <c r="L1249" s="2">
        <v>7.2</v>
      </c>
      <c r="M1249" s="3">
        <v>1134</v>
      </c>
      <c r="N1249">
        <v>2</v>
      </c>
      <c r="O1249">
        <v>2</v>
      </c>
      <c r="P1249">
        <v>1</v>
      </c>
      <c r="Q1249">
        <v>0</v>
      </c>
      <c r="R1249" s="4">
        <v>77.89</v>
      </c>
      <c r="S1249">
        <v>0</v>
      </c>
      <c r="T1249">
        <v>1</v>
      </c>
    </row>
    <row r="1250" spans="1:20" ht="16.5" x14ac:dyDescent="0.3">
      <c r="A1250" t="s">
        <v>1298</v>
      </c>
      <c r="B1250" s="1">
        <v>45481</v>
      </c>
      <c r="C1250">
        <v>2024</v>
      </c>
      <c r="D1250" t="s">
        <v>1261</v>
      </c>
      <c r="E1250" t="s">
        <v>1262</v>
      </c>
      <c r="F1250" t="s">
        <v>57</v>
      </c>
      <c r="G1250" t="s">
        <v>24</v>
      </c>
      <c r="H1250" t="s">
        <v>43</v>
      </c>
      <c r="I1250" t="s">
        <v>26</v>
      </c>
      <c r="J1250" t="s">
        <v>27</v>
      </c>
      <c r="K1250" t="s">
        <v>28</v>
      </c>
      <c r="L1250" s="2">
        <v>32.700000000000003</v>
      </c>
      <c r="M1250" s="3">
        <v>1227</v>
      </c>
      <c r="N1250">
        <v>5</v>
      </c>
      <c r="O1250">
        <v>4</v>
      </c>
      <c r="P1250">
        <v>1</v>
      </c>
      <c r="Q1250">
        <v>0</v>
      </c>
      <c r="R1250" s="4">
        <v>37.979999999999997</v>
      </c>
      <c r="S1250">
        <v>0</v>
      </c>
      <c r="T1250">
        <v>1</v>
      </c>
    </row>
    <row r="1251" spans="1:20" ht="16.5" x14ac:dyDescent="0.3">
      <c r="A1251" t="s">
        <v>1299</v>
      </c>
      <c r="B1251" s="1">
        <v>45481</v>
      </c>
      <c r="C1251">
        <v>2024</v>
      </c>
      <c r="D1251" t="s">
        <v>1261</v>
      </c>
      <c r="E1251" t="s">
        <v>1262</v>
      </c>
      <c r="F1251" t="s">
        <v>57</v>
      </c>
      <c r="G1251" t="s">
        <v>35</v>
      </c>
      <c r="H1251" t="s">
        <v>25</v>
      </c>
      <c r="I1251" t="s">
        <v>40</v>
      </c>
      <c r="J1251" t="s">
        <v>41</v>
      </c>
      <c r="K1251" t="s">
        <v>28</v>
      </c>
      <c r="L1251" s="2">
        <v>12.9</v>
      </c>
      <c r="M1251" s="3">
        <v>898</v>
      </c>
      <c r="N1251">
        <v>2</v>
      </c>
      <c r="O1251">
        <v>2</v>
      </c>
      <c r="P1251">
        <v>1</v>
      </c>
      <c r="Q1251">
        <v>0</v>
      </c>
      <c r="R1251" s="4">
        <v>71.930000000000007</v>
      </c>
      <c r="S1251">
        <v>0</v>
      </c>
      <c r="T1251">
        <v>1</v>
      </c>
    </row>
    <row r="1252" spans="1:20" ht="16.5" x14ac:dyDescent="0.3">
      <c r="A1252" t="s">
        <v>1300</v>
      </c>
      <c r="B1252" s="1">
        <v>45481</v>
      </c>
      <c r="C1252">
        <v>2024</v>
      </c>
      <c r="D1252" t="s">
        <v>1261</v>
      </c>
      <c r="E1252" t="s">
        <v>1262</v>
      </c>
      <c r="F1252" t="s">
        <v>38</v>
      </c>
      <c r="G1252" t="s">
        <v>39</v>
      </c>
      <c r="H1252" t="s">
        <v>48</v>
      </c>
      <c r="I1252" t="s">
        <v>26</v>
      </c>
      <c r="J1252" t="s">
        <v>27</v>
      </c>
      <c r="K1252" t="s">
        <v>28</v>
      </c>
      <c r="L1252" s="2">
        <v>237</v>
      </c>
      <c r="M1252" s="3">
        <v>492</v>
      </c>
      <c r="N1252">
        <v>4</v>
      </c>
      <c r="O1252">
        <v>4</v>
      </c>
      <c r="P1252">
        <v>1</v>
      </c>
      <c r="Q1252">
        <v>0</v>
      </c>
      <c r="R1252" s="4">
        <v>116.02</v>
      </c>
      <c r="S1252">
        <v>0</v>
      </c>
      <c r="T1252">
        <v>1</v>
      </c>
    </row>
    <row r="1253" spans="1:20" ht="16.5" x14ac:dyDescent="0.3">
      <c r="A1253" t="s">
        <v>1301</v>
      </c>
      <c r="B1253" s="1">
        <v>45481</v>
      </c>
      <c r="C1253">
        <v>2024</v>
      </c>
      <c r="D1253" t="s">
        <v>1261</v>
      </c>
      <c r="E1253" t="s">
        <v>1262</v>
      </c>
      <c r="F1253" t="s">
        <v>38</v>
      </c>
      <c r="G1253" t="s">
        <v>24</v>
      </c>
      <c r="H1253" t="s">
        <v>48</v>
      </c>
      <c r="I1253" t="s">
        <v>26</v>
      </c>
      <c r="J1253" t="s">
        <v>27</v>
      </c>
      <c r="K1253" t="s">
        <v>32</v>
      </c>
      <c r="L1253" s="2">
        <v>6</v>
      </c>
      <c r="M1253" s="3">
        <v>496</v>
      </c>
      <c r="N1253">
        <v>4</v>
      </c>
      <c r="O1253">
        <v>5</v>
      </c>
      <c r="P1253">
        <v>0</v>
      </c>
      <c r="Q1253">
        <v>1</v>
      </c>
      <c r="R1253" s="4">
        <v>19.34</v>
      </c>
      <c r="S1253">
        <v>0</v>
      </c>
      <c r="T1253">
        <v>1</v>
      </c>
    </row>
    <row r="1254" spans="1:20" ht="16.5" x14ac:dyDescent="0.3">
      <c r="A1254" t="s">
        <v>1302</v>
      </c>
      <c r="B1254" s="1">
        <v>45481</v>
      </c>
      <c r="C1254">
        <v>2024</v>
      </c>
      <c r="D1254" t="s">
        <v>1261</v>
      </c>
      <c r="E1254" t="s">
        <v>1262</v>
      </c>
      <c r="F1254" t="s">
        <v>34</v>
      </c>
      <c r="G1254" t="s">
        <v>35</v>
      </c>
      <c r="H1254" t="s">
        <v>36</v>
      </c>
      <c r="I1254" t="s">
        <v>26</v>
      </c>
      <c r="J1254" t="s">
        <v>27</v>
      </c>
      <c r="K1254" t="s">
        <v>32</v>
      </c>
      <c r="L1254" s="2">
        <v>4.2</v>
      </c>
      <c r="M1254" s="3">
        <v>265</v>
      </c>
      <c r="N1254">
        <v>3</v>
      </c>
      <c r="O1254">
        <v>3</v>
      </c>
      <c r="P1254">
        <v>1</v>
      </c>
      <c r="Q1254">
        <v>0</v>
      </c>
      <c r="R1254" s="4">
        <v>10.18</v>
      </c>
      <c r="S1254">
        <v>0</v>
      </c>
      <c r="T1254">
        <v>1</v>
      </c>
    </row>
    <row r="1255" spans="1:20" ht="16.5" x14ac:dyDescent="0.3">
      <c r="A1255" t="s">
        <v>1303</v>
      </c>
      <c r="B1255" s="1">
        <v>45481</v>
      </c>
      <c r="C1255">
        <v>2024</v>
      </c>
      <c r="D1255" t="s">
        <v>1261</v>
      </c>
      <c r="E1255" t="s">
        <v>1262</v>
      </c>
      <c r="F1255" t="s">
        <v>38</v>
      </c>
      <c r="G1255" t="s">
        <v>39</v>
      </c>
      <c r="H1255" t="s">
        <v>36</v>
      </c>
      <c r="I1255" t="s">
        <v>26</v>
      </c>
      <c r="J1255" t="s">
        <v>27</v>
      </c>
      <c r="K1255" t="s">
        <v>32</v>
      </c>
      <c r="L1255" s="2">
        <v>9.5</v>
      </c>
      <c r="M1255" s="3">
        <v>232</v>
      </c>
      <c r="N1255">
        <v>3</v>
      </c>
      <c r="O1255">
        <v>3</v>
      </c>
      <c r="P1255">
        <v>1</v>
      </c>
      <c r="Q1255">
        <v>0</v>
      </c>
      <c r="R1255" s="4">
        <v>16.89</v>
      </c>
      <c r="S1255">
        <v>0</v>
      </c>
      <c r="T1255">
        <v>1</v>
      </c>
    </row>
    <row r="1256" spans="1:20" ht="16.5" x14ac:dyDescent="0.3">
      <c r="A1256" t="s">
        <v>1304</v>
      </c>
      <c r="B1256" s="1">
        <v>45481</v>
      </c>
      <c r="C1256">
        <v>2024</v>
      </c>
      <c r="D1256" t="s">
        <v>1261</v>
      </c>
      <c r="E1256" t="s">
        <v>1262</v>
      </c>
      <c r="F1256" t="s">
        <v>38</v>
      </c>
      <c r="G1256" t="s">
        <v>35</v>
      </c>
      <c r="H1256" t="s">
        <v>25</v>
      </c>
      <c r="I1256" t="s">
        <v>31</v>
      </c>
      <c r="J1256" t="s">
        <v>27</v>
      </c>
      <c r="K1256" t="s">
        <v>28</v>
      </c>
      <c r="L1256" s="2">
        <v>127.4</v>
      </c>
      <c r="M1256" s="3">
        <v>953</v>
      </c>
      <c r="N1256">
        <v>6</v>
      </c>
      <c r="O1256">
        <v>5</v>
      </c>
      <c r="P1256">
        <v>1</v>
      </c>
      <c r="Q1256">
        <v>0</v>
      </c>
      <c r="R1256" s="4">
        <v>60.6</v>
      </c>
      <c r="S1256">
        <v>0</v>
      </c>
      <c r="T1256">
        <v>1</v>
      </c>
    </row>
    <row r="1257" spans="1:20" ht="16.5" x14ac:dyDescent="0.3">
      <c r="A1257" t="s">
        <v>1305</v>
      </c>
      <c r="B1257" s="1">
        <v>45481</v>
      </c>
      <c r="C1257">
        <v>2024</v>
      </c>
      <c r="D1257" t="s">
        <v>1261</v>
      </c>
      <c r="E1257" t="s">
        <v>1262</v>
      </c>
      <c r="F1257" t="s">
        <v>23</v>
      </c>
      <c r="G1257" t="s">
        <v>24</v>
      </c>
      <c r="H1257" t="s">
        <v>48</v>
      </c>
      <c r="I1257" t="s">
        <v>40</v>
      </c>
      <c r="J1257" t="s">
        <v>27</v>
      </c>
      <c r="K1257" t="s">
        <v>32</v>
      </c>
      <c r="L1257" s="2">
        <v>6.4</v>
      </c>
      <c r="M1257" s="3">
        <v>512</v>
      </c>
      <c r="N1257">
        <v>2</v>
      </c>
      <c r="O1257">
        <v>1</v>
      </c>
      <c r="P1257">
        <v>1</v>
      </c>
      <c r="Q1257">
        <v>0</v>
      </c>
      <c r="R1257" s="4">
        <v>27.67</v>
      </c>
      <c r="S1257">
        <v>0</v>
      </c>
      <c r="T1257">
        <v>1</v>
      </c>
    </row>
    <row r="1258" spans="1:20" ht="16.5" x14ac:dyDescent="0.3">
      <c r="A1258" t="s">
        <v>1306</v>
      </c>
      <c r="B1258" s="1">
        <v>45481</v>
      </c>
      <c r="C1258">
        <v>2024</v>
      </c>
      <c r="D1258" t="s">
        <v>1261</v>
      </c>
      <c r="E1258" t="s">
        <v>1262</v>
      </c>
      <c r="F1258" t="s">
        <v>30</v>
      </c>
      <c r="G1258" t="s">
        <v>24</v>
      </c>
      <c r="H1258" t="s">
        <v>25</v>
      </c>
      <c r="I1258" t="s">
        <v>31</v>
      </c>
      <c r="J1258" t="s">
        <v>27</v>
      </c>
      <c r="K1258" t="s">
        <v>32</v>
      </c>
      <c r="L1258" s="2">
        <v>9</v>
      </c>
      <c r="M1258" s="3">
        <v>1259</v>
      </c>
      <c r="N1258">
        <v>6</v>
      </c>
      <c r="O1258">
        <v>5</v>
      </c>
      <c r="P1258">
        <v>1</v>
      </c>
      <c r="Q1258">
        <v>0</v>
      </c>
      <c r="R1258" s="4">
        <v>17.86</v>
      </c>
      <c r="S1258">
        <v>0</v>
      </c>
      <c r="T1258">
        <v>1</v>
      </c>
    </row>
    <row r="1259" spans="1:20" ht="16.5" x14ac:dyDescent="0.3">
      <c r="A1259" t="s">
        <v>1307</v>
      </c>
      <c r="B1259" s="1">
        <v>45481</v>
      </c>
      <c r="C1259">
        <v>2024</v>
      </c>
      <c r="D1259" t="s">
        <v>1261</v>
      </c>
      <c r="E1259" t="s">
        <v>1262</v>
      </c>
      <c r="F1259" t="s">
        <v>23</v>
      </c>
      <c r="G1259" t="s">
        <v>24</v>
      </c>
      <c r="H1259" t="s">
        <v>43</v>
      </c>
      <c r="I1259" t="s">
        <v>26</v>
      </c>
      <c r="J1259" t="s">
        <v>27</v>
      </c>
      <c r="K1259" t="s">
        <v>28</v>
      </c>
      <c r="L1259" s="2">
        <v>44</v>
      </c>
      <c r="M1259" s="3">
        <v>1088</v>
      </c>
      <c r="N1259">
        <v>5</v>
      </c>
      <c r="O1259">
        <v>5</v>
      </c>
      <c r="P1259">
        <v>1</v>
      </c>
      <c r="Q1259">
        <v>0</v>
      </c>
      <c r="R1259" s="4">
        <v>45.34</v>
      </c>
      <c r="S1259">
        <v>0</v>
      </c>
      <c r="T1259">
        <v>1</v>
      </c>
    </row>
    <row r="1260" spans="1:20" ht="16.5" x14ac:dyDescent="0.3">
      <c r="A1260" t="s">
        <v>1308</v>
      </c>
      <c r="B1260" s="1">
        <v>45481</v>
      </c>
      <c r="C1260">
        <v>2024</v>
      </c>
      <c r="D1260" t="s">
        <v>1261</v>
      </c>
      <c r="E1260" t="s">
        <v>1262</v>
      </c>
      <c r="F1260" t="s">
        <v>38</v>
      </c>
      <c r="G1260" t="s">
        <v>24</v>
      </c>
      <c r="H1260" t="s">
        <v>36</v>
      </c>
      <c r="I1260" t="s">
        <v>40</v>
      </c>
      <c r="J1260" t="s">
        <v>27</v>
      </c>
      <c r="K1260" t="s">
        <v>32</v>
      </c>
      <c r="L1260" s="2">
        <v>11.9</v>
      </c>
      <c r="M1260" s="3">
        <v>214</v>
      </c>
      <c r="N1260">
        <v>1</v>
      </c>
      <c r="O1260">
        <v>1</v>
      </c>
      <c r="P1260">
        <v>1</v>
      </c>
      <c r="Q1260">
        <v>0</v>
      </c>
      <c r="R1260" s="4">
        <v>28.9</v>
      </c>
      <c r="S1260">
        <v>0</v>
      </c>
      <c r="T1260">
        <v>1</v>
      </c>
    </row>
    <row r="1261" spans="1:20" ht="16.5" x14ac:dyDescent="0.3">
      <c r="A1261" t="s">
        <v>1309</v>
      </c>
      <c r="B1261" s="1">
        <v>45481</v>
      </c>
      <c r="C1261">
        <v>2024</v>
      </c>
      <c r="D1261" t="s">
        <v>1261</v>
      </c>
      <c r="E1261" t="s">
        <v>1262</v>
      </c>
      <c r="F1261" t="s">
        <v>38</v>
      </c>
      <c r="G1261" t="s">
        <v>39</v>
      </c>
      <c r="H1261" t="s">
        <v>43</v>
      </c>
      <c r="I1261" t="s">
        <v>40</v>
      </c>
      <c r="J1261" t="s">
        <v>41</v>
      </c>
      <c r="K1261" t="s">
        <v>32</v>
      </c>
      <c r="L1261" s="2">
        <v>1.6</v>
      </c>
      <c r="M1261" s="3">
        <v>997</v>
      </c>
      <c r="N1261">
        <v>3</v>
      </c>
      <c r="O1261">
        <v>3</v>
      </c>
      <c r="P1261">
        <v>1</v>
      </c>
      <c r="Q1261">
        <v>0</v>
      </c>
      <c r="R1261" s="4">
        <v>56.79</v>
      </c>
      <c r="S1261">
        <v>0</v>
      </c>
      <c r="T1261">
        <v>1</v>
      </c>
    </row>
    <row r="1262" spans="1:20" ht="16.5" x14ac:dyDescent="0.3">
      <c r="A1262" t="s">
        <v>1310</v>
      </c>
      <c r="B1262" s="1">
        <v>45481</v>
      </c>
      <c r="C1262">
        <v>2024</v>
      </c>
      <c r="D1262" t="s">
        <v>1261</v>
      </c>
      <c r="E1262" t="s">
        <v>1262</v>
      </c>
      <c r="F1262" t="s">
        <v>30</v>
      </c>
      <c r="G1262" t="s">
        <v>24</v>
      </c>
      <c r="H1262" t="s">
        <v>25</v>
      </c>
      <c r="I1262" t="s">
        <v>26</v>
      </c>
      <c r="J1262" t="s">
        <v>27</v>
      </c>
      <c r="K1262" t="s">
        <v>28</v>
      </c>
      <c r="L1262" s="2">
        <v>65.7</v>
      </c>
      <c r="M1262" s="3">
        <v>966</v>
      </c>
      <c r="N1262">
        <v>4</v>
      </c>
      <c r="O1262">
        <v>5</v>
      </c>
      <c r="P1262">
        <v>0</v>
      </c>
      <c r="Q1262">
        <v>1</v>
      </c>
      <c r="R1262" s="4">
        <v>52.39</v>
      </c>
      <c r="S1262">
        <v>0</v>
      </c>
      <c r="T1262">
        <v>1</v>
      </c>
    </row>
    <row r="1263" spans="1:20" ht="16.5" x14ac:dyDescent="0.3">
      <c r="A1263" t="s">
        <v>1311</v>
      </c>
      <c r="B1263" s="1">
        <v>45481</v>
      </c>
      <c r="C1263">
        <v>2024</v>
      </c>
      <c r="D1263" t="s">
        <v>1261</v>
      </c>
      <c r="E1263" t="s">
        <v>1262</v>
      </c>
      <c r="F1263" t="s">
        <v>30</v>
      </c>
      <c r="G1263" t="s">
        <v>39</v>
      </c>
      <c r="H1263" t="s">
        <v>48</v>
      </c>
      <c r="I1263" t="s">
        <v>26</v>
      </c>
      <c r="J1263" t="s">
        <v>27</v>
      </c>
      <c r="K1263" t="s">
        <v>28</v>
      </c>
      <c r="L1263" s="2">
        <v>139.30000000000001</v>
      </c>
      <c r="M1263" s="3">
        <v>500</v>
      </c>
      <c r="N1263">
        <v>4</v>
      </c>
      <c r="O1263">
        <v>4</v>
      </c>
      <c r="P1263">
        <v>1</v>
      </c>
      <c r="Q1263">
        <v>0</v>
      </c>
      <c r="R1263" s="4">
        <v>76.19</v>
      </c>
      <c r="S1263">
        <v>0</v>
      </c>
      <c r="T1263">
        <v>1</v>
      </c>
    </row>
    <row r="1264" spans="1:20" ht="16.5" x14ac:dyDescent="0.3">
      <c r="A1264" t="s">
        <v>1312</v>
      </c>
      <c r="B1264" s="1">
        <v>45481</v>
      </c>
      <c r="C1264">
        <v>2024</v>
      </c>
      <c r="D1264" t="s">
        <v>1261</v>
      </c>
      <c r="E1264" t="s">
        <v>1262</v>
      </c>
      <c r="F1264" t="s">
        <v>23</v>
      </c>
      <c r="G1264" t="s">
        <v>39</v>
      </c>
      <c r="H1264" t="s">
        <v>25</v>
      </c>
      <c r="I1264" t="s">
        <v>26</v>
      </c>
      <c r="J1264" t="s">
        <v>27</v>
      </c>
      <c r="K1264" t="s">
        <v>32</v>
      </c>
      <c r="L1264" s="2">
        <v>5.0999999999999996</v>
      </c>
      <c r="M1264" s="3">
        <v>818</v>
      </c>
      <c r="N1264">
        <v>4</v>
      </c>
      <c r="O1264">
        <v>4</v>
      </c>
      <c r="P1264">
        <v>1</v>
      </c>
      <c r="Q1264">
        <v>0</v>
      </c>
      <c r="R1264" s="4">
        <v>19.46</v>
      </c>
      <c r="S1264">
        <v>0</v>
      </c>
      <c r="T1264">
        <v>1</v>
      </c>
    </row>
    <row r="1265" spans="1:20" ht="16.5" x14ac:dyDescent="0.3">
      <c r="A1265" t="s">
        <v>1313</v>
      </c>
      <c r="B1265" s="1">
        <v>45481</v>
      </c>
      <c r="C1265">
        <v>2024</v>
      </c>
      <c r="D1265" t="s">
        <v>1261</v>
      </c>
      <c r="E1265" t="s">
        <v>1262</v>
      </c>
      <c r="F1265" t="s">
        <v>38</v>
      </c>
      <c r="G1265" t="s">
        <v>39</v>
      </c>
      <c r="H1265" t="s">
        <v>48</v>
      </c>
      <c r="I1265" t="s">
        <v>26</v>
      </c>
      <c r="J1265" t="s">
        <v>27</v>
      </c>
      <c r="K1265" t="s">
        <v>32</v>
      </c>
      <c r="L1265" s="2">
        <v>2</v>
      </c>
      <c r="M1265" s="3">
        <v>545</v>
      </c>
      <c r="N1265">
        <v>4</v>
      </c>
      <c r="O1265">
        <v>4</v>
      </c>
      <c r="P1265">
        <v>1</v>
      </c>
      <c r="Q1265">
        <v>0</v>
      </c>
      <c r="R1265" s="4">
        <v>16.079999999999998</v>
      </c>
      <c r="S1265">
        <v>0</v>
      </c>
      <c r="T1265">
        <v>1</v>
      </c>
    </row>
    <row r="1266" spans="1:20" ht="16.5" x14ac:dyDescent="0.3">
      <c r="A1266" t="s">
        <v>1314</v>
      </c>
      <c r="B1266" s="1">
        <v>45482</v>
      </c>
      <c r="C1266">
        <v>2024</v>
      </c>
      <c r="D1266" t="s">
        <v>1261</v>
      </c>
      <c r="E1266" t="s">
        <v>1262</v>
      </c>
      <c r="F1266" t="s">
        <v>30</v>
      </c>
      <c r="G1266" t="s">
        <v>39</v>
      </c>
      <c r="H1266" t="s">
        <v>43</v>
      </c>
      <c r="I1266" t="s">
        <v>31</v>
      </c>
      <c r="J1266" t="s">
        <v>27</v>
      </c>
      <c r="K1266" t="s">
        <v>32</v>
      </c>
      <c r="L1266" s="2">
        <v>1.7</v>
      </c>
      <c r="M1266" s="3">
        <v>1042</v>
      </c>
      <c r="N1266">
        <v>7</v>
      </c>
      <c r="O1266">
        <v>7</v>
      </c>
      <c r="P1266">
        <v>1</v>
      </c>
      <c r="Q1266">
        <v>0</v>
      </c>
      <c r="R1266" s="4">
        <v>14.04</v>
      </c>
      <c r="S1266">
        <v>0</v>
      </c>
      <c r="T1266">
        <v>1</v>
      </c>
    </row>
    <row r="1267" spans="1:20" ht="16.5" x14ac:dyDescent="0.3">
      <c r="A1267" t="s">
        <v>1315</v>
      </c>
      <c r="B1267" s="1">
        <v>45482</v>
      </c>
      <c r="C1267">
        <v>2024</v>
      </c>
      <c r="D1267" t="s">
        <v>1261</v>
      </c>
      <c r="E1267" t="s">
        <v>1262</v>
      </c>
      <c r="F1267" t="s">
        <v>38</v>
      </c>
      <c r="G1267" t="s">
        <v>35</v>
      </c>
      <c r="H1267" t="s">
        <v>51</v>
      </c>
      <c r="I1267" t="s">
        <v>40</v>
      </c>
      <c r="J1267" t="s">
        <v>41</v>
      </c>
      <c r="K1267" t="s">
        <v>32</v>
      </c>
      <c r="L1267" s="2">
        <v>9.9</v>
      </c>
      <c r="M1267" s="3">
        <v>1346</v>
      </c>
      <c r="N1267">
        <v>3</v>
      </c>
      <c r="O1267">
        <v>3</v>
      </c>
      <c r="P1267">
        <v>1</v>
      </c>
      <c r="Q1267">
        <v>0</v>
      </c>
      <c r="R1267" s="4">
        <v>88.07</v>
      </c>
      <c r="S1267">
        <v>0</v>
      </c>
      <c r="T1267">
        <v>1</v>
      </c>
    </row>
    <row r="1268" spans="1:20" ht="16.5" x14ac:dyDescent="0.3">
      <c r="A1268" t="s">
        <v>1316</v>
      </c>
      <c r="B1268" s="1">
        <v>45482</v>
      </c>
      <c r="C1268">
        <v>2024</v>
      </c>
      <c r="D1268" t="s">
        <v>1261</v>
      </c>
      <c r="E1268" t="s">
        <v>1262</v>
      </c>
      <c r="F1268" t="s">
        <v>30</v>
      </c>
      <c r="G1268" t="s">
        <v>35</v>
      </c>
      <c r="H1268" t="s">
        <v>36</v>
      </c>
      <c r="I1268" t="s">
        <v>31</v>
      </c>
      <c r="J1268" t="s">
        <v>27</v>
      </c>
      <c r="K1268" t="s">
        <v>28</v>
      </c>
      <c r="L1268" s="2">
        <v>159.5</v>
      </c>
      <c r="M1268" s="3">
        <v>252</v>
      </c>
      <c r="N1268">
        <v>5</v>
      </c>
      <c r="O1268">
        <v>5</v>
      </c>
      <c r="P1268">
        <v>1</v>
      </c>
      <c r="Q1268">
        <v>0</v>
      </c>
      <c r="R1268" s="4">
        <v>57.79</v>
      </c>
      <c r="S1268">
        <v>0</v>
      </c>
      <c r="T1268">
        <v>1</v>
      </c>
    </row>
    <row r="1269" spans="1:20" ht="16.5" x14ac:dyDescent="0.3">
      <c r="A1269" t="s">
        <v>1317</v>
      </c>
      <c r="B1269" s="1">
        <v>45482</v>
      </c>
      <c r="C1269">
        <v>2024</v>
      </c>
      <c r="D1269" t="s">
        <v>1261</v>
      </c>
      <c r="E1269" t="s">
        <v>1262</v>
      </c>
      <c r="F1269" t="s">
        <v>34</v>
      </c>
      <c r="G1269" t="s">
        <v>35</v>
      </c>
      <c r="H1269" t="s">
        <v>25</v>
      </c>
      <c r="I1269" t="s">
        <v>26</v>
      </c>
      <c r="J1269" t="s">
        <v>27</v>
      </c>
      <c r="K1269" t="s">
        <v>28</v>
      </c>
      <c r="L1269" s="2">
        <v>255.6</v>
      </c>
      <c r="M1269" s="3">
        <v>855</v>
      </c>
      <c r="N1269">
        <v>4</v>
      </c>
      <c r="O1269">
        <v>4</v>
      </c>
      <c r="P1269">
        <v>1</v>
      </c>
      <c r="Q1269">
        <v>0</v>
      </c>
      <c r="R1269" s="4">
        <v>98.89</v>
      </c>
      <c r="S1269">
        <v>0</v>
      </c>
      <c r="T1269">
        <v>1</v>
      </c>
    </row>
    <row r="1270" spans="1:20" ht="16.5" x14ac:dyDescent="0.3">
      <c r="A1270" t="s">
        <v>1318</v>
      </c>
      <c r="B1270" s="1">
        <v>45482</v>
      </c>
      <c r="C1270">
        <v>2024</v>
      </c>
      <c r="D1270" t="s">
        <v>1261</v>
      </c>
      <c r="E1270" t="s">
        <v>1262</v>
      </c>
      <c r="F1270" t="s">
        <v>23</v>
      </c>
      <c r="G1270" t="s">
        <v>39</v>
      </c>
      <c r="H1270" t="s">
        <v>36</v>
      </c>
      <c r="I1270" t="s">
        <v>31</v>
      </c>
      <c r="J1270" t="s">
        <v>27</v>
      </c>
      <c r="K1270" t="s">
        <v>32</v>
      </c>
      <c r="L1270" s="2">
        <v>8.4</v>
      </c>
      <c r="M1270" s="3">
        <v>258</v>
      </c>
      <c r="N1270">
        <v>5</v>
      </c>
      <c r="O1270">
        <v>4</v>
      </c>
      <c r="P1270">
        <v>1</v>
      </c>
      <c r="Q1270">
        <v>0</v>
      </c>
      <c r="R1270" s="4">
        <v>9.9600000000000009</v>
      </c>
      <c r="S1270">
        <v>0</v>
      </c>
      <c r="T1270">
        <v>1</v>
      </c>
    </row>
    <row r="1271" spans="1:20" ht="16.5" x14ac:dyDescent="0.3">
      <c r="A1271" t="s">
        <v>1319</v>
      </c>
      <c r="B1271" s="1">
        <v>45482</v>
      </c>
      <c r="C1271">
        <v>2024</v>
      </c>
      <c r="D1271" t="s">
        <v>1261</v>
      </c>
      <c r="E1271" t="s">
        <v>1262</v>
      </c>
      <c r="F1271" t="s">
        <v>57</v>
      </c>
      <c r="G1271" t="s">
        <v>24</v>
      </c>
      <c r="H1271" t="s">
        <v>43</v>
      </c>
      <c r="I1271" t="s">
        <v>26</v>
      </c>
      <c r="J1271" t="s">
        <v>27</v>
      </c>
      <c r="K1271" t="s">
        <v>32</v>
      </c>
      <c r="L1271" s="2">
        <v>2.7</v>
      </c>
      <c r="M1271" s="3">
        <v>923</v>
      </c>
      <c r="N1271">
        <v>5</v>
      </c>
      <c r="O1271">
        <v>5</v>
      </c>
      <c r="P1271">
        <v>1</v>
      </c>
      <c r="Q1271">
        <v>0</v>
      </c>
      <c r="R1271" s="4">
        <v>21.18</v>
      </c>
      <c r="S1271">
        <v>0</v>
      </c>
      <c r="T1271">
        <v>1</v>
      </c>
    </row>
    <row r="1272" spans="1:20" ht="16.5" x14ac:dyDescent="0.3">
      <c r="A1272" t="s">
        <v>1320</v>
      </c>
      <c r="B1272" s="1">
        <v>45483</v>
      </c>
      <c r="C1272">
        <v>2024</v>
      </c>
      <c r="D1272" t="s">
        <v>1261</v>
      </c>
      <c r="E1272" t="s">
        <v>1262</v>
      </c>
      <c r="F1272" t="s">
        <v>57</v>
      </c>
      <c r="G1272" t="s">
        <v>24</v>
      </c>
      <c r="H1272" t="s">
        <v>43</v>
      </c>
      <c r="I1272" t="s">
        <v>31</v>
      </c>
      <c r="J1272" t="s">
        <v>27</v>
      </c>
      <c r="K1272" t="s">
        <v>32</v>
      </c>
      <c r="L1272" s="2">
        <v>7.4</v>
      </c>
      <c r="M1272" s="3">
        <v>897</v>
      </c>
      <c r="N1272">
        <v>7</v>
      </c>
      <c r="O1272">
        <v>7</v>
      </c>
      <c r="P1272">
        <v>1</v>
      </c>
      <c r="Q1272">
        <v>0</v>
      </c>
      <c r="R1272" s="4">
        <v>16.75</v>
      </c>
      <c r="S1272">
        <v>0</v>
      </c>
      <c r="T1272">
        <v>1</v>
      </c>
    </row>
    <row r="1273" spans="1:20" ht="16.5" x14ac:dyDescent="0.3">
      <c r="A1273" t="s">
        <v>1321</v>
      </c>
      <c r="B1273" s="1">
        <v>45483</v>
      </c>
      <c r="C1273">
        <v>2024</v>
      </c>
      <c r="D1273" t="s">
        <v>1261</v>
      </c>
      <c r="E1273" t="s">
        <v>1262</v>
      </c>
      <c r="F1273" t="s">
        <v>38</v>
      </c>
      <c r="G1273" t="s">
        <v>24</v>
      </c>
      <c r="H1273" t="s">
        <v>43</v>
      </c>
      <c r="I1273" t="s">
        <v>26</v>
      </c>
      <c r="J1273" t="s">
        <v>27</v>
      </c>
      <c r="K1273" t="s">
        <v>28</v>
      </c>
      <c r="L1273" s="2">
        <v>42.6</v>
      </c>
      <c r="M1273" s="3">
        <v>1197</v>
      </c>
      <c r="N1273">
        <v>5</v>
      </c>
      <c r="O1273">
        <v>5</v>
      </c>
      <c r="P1273">
        <v>1</v>
      </c>
      <c r="Q1273">
        <v>0</v>
      </c>
      <c r="R1273" s="4">
        <v>45.83</v>
      </c>
      <c r="S1273">
        <v>0</v>
      </c>
      <c r="T1273">
        <v>1</v>
      </c>
    </row>
    <row r="1274" spans="1:20" ht="16.5" x14ac:dyDescent="0.3">
      <c r="A1274" t="s">
        <v>1322</v>
      </c>
      <c r="B1274" s="1">
        <v>45483</v>
      </c>
      <c r="C1274">
        <v>2024</v>
      </c>
      <c r="D1274" t="s">
        <v>1261</v>
      </c>
      <c r="E1274" t="s">
        <v>1262</v>
      </c>
      <c r="F1274" t="s">
        <v>23</v>
      </c>
      <c r="G1274" t="s">
        <v>35</v>
      </c>
      <c r="H1274" t="s">
        <v>36</v>
      </c>
      <c r="I1274" t="s">
        <v>26</v>
      </c>
      <c r="J1274" t="s">
        <v>27</v>
      </c>
      <c r="K1274" t="s">
        <v>28</v>
      </c>
      <c r="L1274" s="2">
        <v>119.5</v>
      </c>
      <c r="M1274" s="3">
        <v>326</v>
      </c>
      <c r="N1274">
        <v>3</v>
      </c>
      <c r="O1274">
        <v>3</v>
      </c>
      <c r="P1274">
        <v>1</v>
      </c>
      <c r="Q1274">
        <v>0</v>
      </c>
      <c r="R1274" s="4">
        <v>59.15</v>
      </c>
      <c r="S1274">
        <v>0</v>
      </c>
      <c r="T1274">
        <v>1</v>
      </c>
    </row>
    <row r="1275" spans="1:20" ht="16.5" x14ac:dyDescent="0.3">
      <c r="A1275" t="s">
        <v>1323</v>
      </c>
      <c r="B1275" s="1">
        <v>45483</v>
      </c>
      <c r="C1275">
        <v>2024</v>
      </c>
      <c r="D1275" t="s">
        <v>1261</v>
      </c>
      <c r="E1275" t="s">
        <v>1262</v>
      </c>
      <c r="F1275" t="s">
        <v>38</v>
      </c>
      <c r="G1275" t="s">
        <v>39</v>
      </c>
      <c r="H1275" t="s">
        <v>48</v>
      </c>
      <c r="I1275" t="s">
        <v>31</v>
      </c>
      <c r="J1275" t="s">
        <v>27</v>
      </c>
      <c r="K1275" t="s">
        <v>32</v>
      </c>
      <c r="L1275" s="2">
        <v>4</v>
      </c>
      <c r="M1275" s="3">
        <v>245</v>
      </c>
      <c r="N1275">
        <v>6</v>
      </c>
      <c r="O1275">
        <v>5</v>
      </c>
      <c r="P1275">
        <v>1</v>
      </c>
      <c r="Q1275">
        <v>0</v>
      </c>
      <c r="R1275" s="4">
        <v>9.17</v>
      </c>
      <c r="S1275">
        <v>0</v>
      </c>
      <c r="T1275">
        <v>1</v>
      </c>
    </row>
    <row r="1276" spans="1:20" ht="16.5" x14ac:dyDescent="0.3">
      <c r="A1276" t="s">
        <v>1324</v>
      </c>
      <c r="B1276" s="1">
        <v>45483</v>
      </c>
      <c r="C1276">
        <v>2024</v>
      </c>
      <c r="D1276" t="s">
        <v>1261</v>
      </c>
      <c r="E1276" t="s">
        <v>1262</v>
      </c>
      <c r="F1276" t="s">
        <v>23</v>
      </c>
      <c r="G1276" t="s">
        <v>39</v>
      </c>
      <c r="H1276" t="s">
        <v>36</v>
      </c>
      <c r="I1276" t="s">
        <v>40</v>
      </c>
      <c r="J1276" t="s">
        <v>27</v>
      </c>
      <c r="K1276" t="s">
        <v>28</v>
      </c>
      <c r="L1276" s="2">
        <v>174.5</v>
      </c>
      <c r="M1276" s="3">
        <v>244</v>
      </c>
      <c r="N1276">
        <v>1</v>
      </c>
      <c r="O1276">
        <v>1</v>
      </c>
      <c r="P1276">
        <v>1</v>
      </c>
      <c r="Q1276">
        <v>0</v>
      </c>
      <c r="R1276" s="4">
        <v>147.61000000000001</v>
      </c>
      <c r="S1276">
        <v>0</v>
      </c>
      <c r="T1276">
        <v>1</v>
      </c>
    </row>
    <row r="1277" spans="1:20" ht="16.5" x14ac:dyDescent="0.3">
      <c r="A1277" t="s">
        <v>1325</v>
      </c>
      <c r="B1277" s="1">
        <v>45483</v>
      </c>
      <c r="C1277">
        <v>2024</v>
      </c>
      <c r="D1277" t="s">
        <v>1261</v>
      </c>
      <c r="E1277" t="s">
        <v>1262</v>
      </c>
      <c r="F1277" t="s">
        <v>34</v>
      </c>
      <c r="G1277" t="s">
        <v>39</v>
      </c>
      <c r="H1277" t="s">
        <v>36</v>
      </c>
      <c r="I1277" t="s">
        <v>40</v>
      </c>
      <c r="J1277" t="s">
        <v>27</v>
      </c>
      <c r="K1277" t="s">
        <v>32</v>
      </c>
      <c r="L1277" s="2">
        <v>12.2</v>
      </c>
      <c r="M1277" s="3">
        <v>237</v>
      </c>
      <c r="N1277">
        <v>1</v>
      </c>
      <c r="O1277">
        <v>1</v>
      </c>
      <c r="P1277">
        <v>1</v>
      </c>
      <c r="Q1277">
        <v>0</v>
      </c>
      <c r="R1277" s="4">
        <v>22.77</v>
      </c>
      <c r="S1277">
        <v>0</v>
      </c>
      <c r="T1277">
        <v>1</v>
      </c>
    </row>
    <row r="1278" spans="1:20" ht="16.5" x14ac:dyDescent="0.3">
      <c r="A1278" t="s">
        <v>1326</v>
      </c>
      <c r="B1278" s="1">
        <v>45483</v>
      </c>
      <c r="C1278">
        <v>2024</v>
      </c>
      <c r="D1278" t="s">
        <v>1261</v>
      </c>
      <c r="E1278" t="s">
        <v>1262</v>
      </c>
      <c r="F1278" t="s">
        <v>30</v>
      </c>
      <c r="G1278" t="s">
        <v>35</v>
      </c>
      <c r="H1278" t="s">
        <v>25</v>
      </c>
      <c r="I1278" t="s">
        <v>26</v>
      </c>
      <c r="J1278" t="s">
        <v>27</v>
      </c>
      <c r="K1278" t="s">
        <v>32</v>
      </c>
      <c r="L1278" s="2">
        <v>2.1</v>
      </c>
      <c r="M1278" s="3">
        <v>1126</v>
      </c>
      <c r="N1278">
        <v>4</v>
      </c>
      <c r="O1278">
        <v>4</v>
      </c>
      <c r="P1278">
        <v>1</v>
      </c>
      <c r="Q1278">
        <v>0</v>
      </c>
      <c r="R1278" s="4">
        <v>20.65</v>
      </c>
      <c r="S1278">
        <v>0</v>
      </c>
      <c r="T1278">
        <v>1</v>
      </c>
    </row>
    <row r="1279" spans="1:20" ht="16.5" x14ac:dyDescent="0.3">
      <c r="A1279" t="s">
        <v>1327</v>
      </c>
      <c r="B1279" s="1">
        <v>45483</v>
      </c>
      <c r="C1279">
        <v>2024</v>
      </c>
      <c r="D1279" t="s">
        <v>1261</v>
      </c>
      <c r="E1279" t="s">
        <v>1262</v>
      </c>
      <c r="F1279" t="s">
        <v>34</v>
      </c>
      <c r="G1279" t="s">
        <v>35</v>
      </c>
      <c r="H1279" t="s">
        <v>36</v>
      </c>
      <c r="I1279" t="s">
        <v>26</v>
      </c>
      <c r="J1279" t="s">
        <v>27</v>
      </c>
      <c r="K1279" t="s">
        <v>28</v>
      </c>
      <c r="L1279" s="2">
        <v>286.3</v>
      </c>
      <c r="M1279" s="3">
        <v>256</v>
      </c>
      <c r="N1279">
        <v>3</v>
      </c>
      <c r="O1279">
        <v>6</v>
      </c>
      <c r="P1279">
        <v>0</v>
      </c>
      <c r="Q1279">
        <v>3</v>
      </c>
      <c r="R1279" s="4">
        <v>99.81</v>
      </c>
      <c r="S1279">
        <v>0</v>
      </c>
      <c r="T1279">
        <v>1</v>
      </c>
    </row>
    <row r="1280" spans="1:20" ht="16.5" x14ac:dyDescent="0.3">
      <c r="A1280" t="s">
        <v>1328</v>
      </c>
      <c r="B1280" s="1">
        <v>45483</v>
      </c>
      <c r="C1280">
        <v>2024</v>
      </c>
      <c r="D1280" t="s">
        <v>1261</v>
      </c>
      <c r="E1280" t="s">
        <v>1262</v>
      </c>
      <c r="F1280" t="s">
        <v>38</v>
      </c>
      <c r="G1280" t="s">
        <v>35</v>
      </c>
      <c r="H1280" t="s">
        <v>25</v>
      </c>
      <c r="I1280" t="s">
        <v>40</v>
      </c>
      <c r="J1280" t="s">
        <v>41</v>
      </c>
      <c r="K1280" t="s">
        <v>32</v>
      </c>
      <c r="L1280" s="2">
        <v>10.4</v>
      </c>
      <c r="M1280" s="3">
        <v>922</v>
      </c>
      <c r="N1280">
        <v>2</v>
      </c>
      <c r="O1280">
        <v>2</v>
      </c>
      <c r="P1280">
        <v>1</v>
      </c>
      <c r="Q1280">
        <v>0</v>
      </c>
      <c r="R1280" s="4">
        <v>81.02</v>
      </c>
      <c r="S1280">
        <v>0</v>
      </c>
      <c r="T1280">
        <v>1</v>
      </c>
    </row>
    <row r="1281" spans="1:20" ht="16.5" x14ac:dyDescent="0.3">
      <c r="A1281" t="s">
        <v>1329</v>
      </c>
      <c r="B1281" s="1">
        <v>45484</v>
      </c>
      <c r="C1281">
        <v>2024</v>
      </c>
      <c r="D1281" t="s">
        <v>1261</v>
      </c>
      <c r="E1281" t="s">
        <v>1262</v>
      </c>
      <c r="F1281" t="s">
        <v>34</v>
      </c>
      <c r="G1281" t="s">
        <v>24</v>
      </c>
      <c r="H1281" t="s">
        <v>25</v>
      </c>
      <c r="I1281" t="s">
        <v>26</v>
      </c>
      <c r="J1281" t="s">
        <v>27</v>
      </c>
      <c r="K1281" t="s">
        <v>32</v>
      </c>
      <c r="L1281" s="2">
        <v>16.399999999999999</v>
      </c>
      <c r="M1281" s="3">
        <v>1047</v>
      </c>
      <c r="N1281">
        <v>4</v>
      </c>
      <c r="O1281">
        <v>4</v>
      </c>
      <c r="P1281">
        <v>1</v>
      </c>
      <c r="Q1281">
        <v>0</v>
      </c>
      <c r="R1281" s="4">
        <v>27.57</v>
      </c>
      <c r="S1281">
        <v>0</v>
      </c>
      <c r="T1281">
        <v>1</v>
      </c>
    </row>
    <row r="1282" spans="1:20" ht="16.5" x14ac:dyDescent="0.3">
      <c r="A1282" t="s">
        <v>1330</v>
      </c>
      <c r="B1282" s="1">
        <v>45484</v>
      </c>
      <c r="C1282">
        <v>2024</v>
      </c>
      <c r="D1282" t="s">
        <v>1261</v>
      </c>
      <c r="E1282" t="s">
        <v>1262</v>
      </c>
      <c r="F1282" t="s">
        <v>23</v>
      </c>
      <c r="G1282" t="s">
        <v>39</v>
      </c>
      <c r="H1282" t="s">
        <v>36</v>
      </c>
      <c r="I1282" t="s">
        <v>40</v>
      </c>
      <c r="J1282" t="s">
        <v>27</v>
      </c>
      <c r="K1282" t="s">
        <v>28</v>
      </c>
      <c r="L1282" s="2">
        <v>46.1</v>
      </c>
      <c r="M1282" s="3">
        <v>185</v>
      </c>
      <c r="N1282">
        <v>1</v>
      </c>
      <c r="O1282">
        <v>1</v>
      </c>
      <c r="P1282">
        <v>1</v>
      </c>
      <c r="Q1282">
        <v>0</v>
      </c>
      <c r="R1282" s="4">
        <v>51.85</v>
      </c>
      <c r="S1282">
        <v>0</v>
      </c>
      <c r="T1282">
        <v>1</v>
      </c>
    </row>
    <row r="1283" spans="1:20" ht="16.5" x14ac:dyDescent="0.3">
      <c r="A1283" t="s">
        <v>1331</v>
      </c>
      <c r="B1283" s="1">
        <v>45484</v>
      </c>
      <c r="C1283">
        <v>2024</v>
      </c>
      <c r="D1283" t="s">
        <v>1261</v>
      </c>
      <c r="E1283" t="s">
        <v>1262</v>
      </c>
      <c r="F1283" t="s">
        <v>38</v>
      </c>
      <c r="G1283" t="s">
        <v>39</v>
      </c>
      <c r="H1283" t="s">
        <v>25</v>
      </c>
      <c r="I1283" t="s">
        <v>26</v>
      </c>
      <c r="J1283" t="s">
        <v>27</v>
      </c>
      <c r="K1283" t="s">
        <v>32</v>
      </c>
      <c r="L1283" s="2">
        <v>1.6</v>
      </c>
      <c r="M1283" s="3">
        <v>882</v>
      </c>
      <c r="N1283">
        <v>4</v>
      </c>
      <c r="O1283">
        <v>4</v>
      </c>
      <c r="P1283">
        <v>1</v>
      </c>
      <c r="Q1283">
        <v>0</v>
      </c>
      <c r="R1283" s="4">
        <v>19.64</v>
      </c>
      <c r="S1283">
        <v>0</v>
      </c>
      <c r="T1283">
        <v>1</v>
      </c>
    </row>
    <row r="1284" spans="1:20" ht="16.5" x14ac:dyDescent="0.3">
      <c r="A1284" t="s">
        <v>1332</v>
      </c>
      <c r="B1284" s="1">
        <v>45484</v>
      </c>
      <c r="C1284">
        <v>2024</v>
      </c>
      <c r="D1284" t="s">
        <v>1261</v>
      </c>
      <c r="E1284" t="s">
        <v>1262</v>
      </c>
      <c r="F1284" t="s">
        <v>23</v>
      </c>
      <c r="G1284" t="s">
        <v>39</v>
      </c>
      <c r="H1284" t="s">
        <v>36</v>
      </c>
      <c r="I1284" t="s">
        <v>26</v>
      </c>
      <c r="J1284" t="s">
        <v>27</v>
      </c>
      <c r="K1284" t="s">
        <v>28</v>
      </c>
      <c r="L1284" s="2">
        <v>24</v>
      </c>
      <c r="M1284" s="3">
        <v>317</v>
      </c>
      <c r="N1284">
        <v>3</v>
      </c>
      <c r="O1284">
        <v>3</v>
      </c>
      <c r="P1284">
        <v>1</v>
      </c>
      <c r="Q1284">
        <v>0</v>
      </c>
      <c r="R1284" s="4">
        <v>22.6</v>
      </c>
      <c r="S1284">
        <v>0</v>
      </c>
      <c r="T1284">
        <v>1</v>
      </c>
    </row>
    <row r="1285" spans="1:20" ht="16.5" x14ac:dyDescent="0.3">
      <c r="A1285" t="s">
        <v>1333</v>
      </c>
      <c r="B1285" s="1">
        <v>45485</v>
      </c>
      <c r="C1285">
        <v>2024</v>
      </c>
      <c r="D1285" t="s">
        <v>1261</v>
      </c>
      <c r="E1285" t="s">
        <v>1262</v>
      </c>
      <c r="F1285" t="s">
        <v>57</v>
      </c>
      <c r="G1285" t="s">
        <v>39</v>
      </c>
      <c r="H1285" t="s">
        <v>36</v>
      </c>
      <c r="I1285" t="s">
        <v>26</v>
      </c>
      <c r="J1285" t="s">
        <v>27</v>
      </c>
      <c r="K1285" t="s">
        <v>28</v>
      </c>
      <c r="L1285" s="2">
        <v>14.9</v>
      </c>
      <c r="M1285" s="3">
        <v>243</v>
      </c>
      <c r="N1285">
        <v>3</v>
      </c>
      <c r="O1285">
        <v>2</v>
      </c>
      <c r="P1285">
        <v>1</v>
      </c>
      <c r="Q1285">
        <v>0</v>
      </c>
      <c r="R1285" s="4">
        <v>18.64</v>
      </c>
      <c r="S1285">
        <v>0</v>
      </c>
      <c r="T1285">
        <v>1</v>
      </c>
    </row>
    <row r="1286" spans="1:20" ht="16.5" x14ac:dyDescent="0.3">
      <c r="A1286" t="s">
        <v>1334</v>
      </c>
      <c r="B1286" s="1">
        <v>45485</v>
      </c>
      <c r="C1286">
        <v>2024</v>
      </c>
      <c r="D1286" t="s">
        <v>1261</v>
      </c>
      <c r="E1286" t="s">
        <v>1262</v>
      </c>
      <c r="F1286" t="s">
        <v>38</v>
      </c>
      <c r="G1286" t="s">
        <v>24</v>
      </c>
      <c r="H1286" t="s">
        <v>51</v>
      </c>
      <c r="I1286" t="s">
        <v>40</v>
      </c>
      <c r="J1286" t="s">
        <v>41</v>
      </c>
      <c r="K1286" t="s">
        <v>32</v>
      </c>
      <c r="L1286" s="2">
        <v>2.9</v>
      </c>
      <c r="M1286" s="3">
        <v>1139</v>
      </c>
      <c r="N1286">
        <v>3</v>
      </c>
      <c r="O1286">
        <v>2</v>
      </c>
      <c r="P1286">
        <v>1</v>
      </c>
      <c r="Q1286">
        <v>0</v>
      </c>
      <c r="R1286" s="4">
        <v>78.33</v>
      </c>
      <c r="S1286">
        <v>0</v>
      </c>
      <c r="T1286">
        <v>1</v>
      </c>
    </row>
    <row r="1287" spans="1:20" ht="16.5" x14ac:dyDescent="0.3">
      <c r="A1287" t="s">
        <v>1335</v>
      </c>
      <c r="B1287" s="1">
        <v>45485</v>
      </c>
      <c r="C1287">
        <v>2024</v>
      </c>
      <c r="D1287" t="s">
        <v>1261</v>
      </c>
      <c r="E1287" t="s">
        <v>1262</v>
      </c>
      <c r="F1287" t="s">
        <v>34</v>
      </c>
      <c r="G1287" t="s">
        <v>39</v>
      </c>
      <c r="H1287" t="s">
        <v>48</v>
      </c>
      <c r="I1287" t="s">
        <v>26</v>
      </c>
      <c r="J1287" t="s">
        <v>27</v>
      </c>
      <c r="K1287" t="s">
        <v>28</v>
      </c>
      <c r="L1287" s="2">
        <v>8.6999999999999993</v>
      </c>
      <c r="M1287" s="3">
        <v>556</v>
      </c>
      <c r="N1287">
        <v>4</v>
      </c>
      <c r="O1287">
        <v>3</v>
      </c>
      <c r="P1287">
        <v>1</v>
      </c>
      <c r="Q1287">
        <v>0</v>
      </c>
      <c r="R1287" s="4">
        <v>15.56</v>
      </c>
      <c r="S1287">
        <v>0</v>
      </c>
      <c r="T1287">
        <v>1</v>
      </c>
    </row>
    <row r="1288" spans="1:20" ht="16.5" x14ac:dyDescent="0.3">
      <c r="A1288" t="s">
        <v>1336</v>
      </c>
      <c r="B1288" s="1">
        <v>45485</v>
      </c>
      <c r="C1288">
        <v>2024</v>
      </c>
      <c r="D1288" t="s">
        <v>1261</v>
      </c>
      <c r="E1288" t="s">
        <v>1262</v>
      </c>
      <c r="F1288" t="s">
        <v>34</v>
      </c>
      <c r="G1288" t="s">
        <v>35</v>
      </c>
      <c r="H1288" t="s">
        <v>25</v>
      </c>
      <c r="I1288" t="s">
        <v>26</v>
      </c>
      <c r="J1288" t="s">
        <v>27</v>
      </c>
      <c r="K1288" t="s">
        <v>32</v>
      </c>
      <c r="L1288" s="2">
        <v>2</v>
      </c>
      <c r="M1288" s="3">
        <v>833</v>
      </c>
      <c r="N1288">
        <v>4</v>
      </c>
      <c r="O1288">
        <v>7</v>
      </c>
      <c r="P1288">
        <v>0</v>
      </c>
      <c r="Q1288">
        <v>3</v>
      </c>
      <c r="R1288" s="4">
        <v>15.18</v>
      </c>
      <c r="S1288">
        <v>0</v>
      </c>
      <c r="T1288">
        <v>1</v>
      </c>
    </row>
    <row r="1289" spans="1:20" ht="16.5" x14ac:dyDescent="0.3">
      <c r="A1289" t="s">
        <v>1337</v>
      </c>
      <c r="B1289" s="1">
        <v>45485</v>
      </c>
      <c r="C1289">
        <v>2024</v>
      </c>
      <c r="D1289" t="s">
        <v>1261</v>
      </c>
      <c r="E1289" t="s">
        <v>1262</v>
      </c>
      <c r="F1289" t="s">
        <v>57</v>
      </c>
      <c r="G1289" t="s">
        <v>35</v>
      </c>
      <c r="H1289" t="s">
        <v>36</v>
      </c>
      <c r="I1289" t="s">
        <v>26</v>
      </c>
      <c r="J1289" t="s">
        <v>27</v>
      </c>
      <c r="K1289" t="s">
        <v>32</v>
      </c>
      <c r="L1289" s="2">
        <v>24.2</v>
      </c>
      <c r="M1289" s="3">
        <v>212</v>
      </c>
      <c r="N1289">
        <v>3</v>
      </c>
      <c r="O1289">
        <v>3</v>
      </c>
      <c r="P1289">
        <v>1</v>
      </c>
      <c r="Q1289">
        <v>0</v>
      </c>
      <c r="R1289" s="4">
        <v>21.01</v>
      </c>
      <c r="S1289">
        <v>0</v>
      </c>
      <c r="T1289">
        <v>1</v>
      </c>
    </row>
    <row r="1290" spans="1:20" ht="16.5" x14ac:dyDescent="0.3">
      <c r="A1290" t="s">
        <v>1338</v>
      </c>
      <c r="B1290" s="1">
        <v>45485</v>
      </c>
      <c r="C1290">
        <v>2024</v>
      </c>
      <c r="D1290" t="s">
        <v>1261</v>
      </c>
      <c r="E1290" t="s">
        <v>1262</v>
      </c>
      <c r="F1290" t="s">
        <v>57</v>
      </c>
      <c r="G1290" t="s">
        <v>39</v>
      </c>
      <c r="H1290" t="s">
        <v>43</v>
      </c>
      <c r="I1290" t="s">
        <v>26</v>
      </c>
      <c r="J1290" t="s">
        <v>27</v>
      </c>
      <c r="K1290" t="s">
        <v>28</v>
      </c>
      <c r="L1290" s="2">
        <v>45.1</v>
      </c>
      <c r="M1290" s="3">
        <v>932</v>
      </c>
      <c r="N1290">
        <v>5</v>
      </c>
      <c r="O1290">
        <v>4</v>
      </c>
      <c r="P1290">
        <v>1</v>
      </c>
      <c r="Q1290">
        <v>0</v>
      </c>
      <c r="R1290" s="4">
        <v>38.520000000000003</v>
      </c>
      <c r="S1290">
        <v>0</v>
      </c>
      <c r="T1290">
        <v>1</v>
      </c>
    </row>
    <row r="1291" spans="1:20" ht="16.5" x14ac:dyDescent="0.3">
      <c r="A1291" t="s">
        <v>1339</v>
      </c>
      <c r="B1291" s="1">
        <v>45485</v>
      </c>
      <c r="C1291">
        <v>2024</v>
      </c>
      <c r="D1291" t="s">
        <v>1261</v>
      </c>
      <c r="E1291" t="s">
        <v>1262</v>
      </c>
      <c r="F1291" t="s">
        <v>23</v>
      </c>
      <c r="G1291" t="s">
        <v>35</v>
      </c>
      <c r="H1291" t="s">
        <v>48</v>
      </c>
      <c r="I1291" t="s">
        <v>26</v>
      </c>
      <c r="J1291" t="s">
        <v>27</v>
      </c>
      <c r="K1291" t="s">
        <v>32</v>
      </c>
      <c r="L1291" s="2">
        <v>0.9</v>
      </c>
      <c r="M1291" s="3">
        <v>551</v>
      </c>
      <c r="N1291">
        <v>4</v>
      </c>
      <c r="O1291">
        <v>4</v>
      </c>
      <c r="P1291">
        <v>1</v>
      </c>
      <c r="Q1291">
        <v>0</v>
      </c>
      <c r="R1291" s="4">
        <v>13.53</v>
      </c>
      <c r="S1291">
        <v>0</v>
      </c>
      <c r="T1291">
        <v>1</v>
      </c>
    </row>
    <row r="1292" spans="1:20" ht="16.5" x14ac:dyDescent="0.3">
      <c r="A1292" t="s">
        <v>1340</v>
      </c>
      <c r="B1292" s="1">
        <v>45485</v>
      </c>
      <c r="C1292">
        <v>2024</v>
      </c>
      <c r="D1292" t="s">
        <v>1261</v>
      </c>
      <c r="E1292" t="s">
        <v>1262</v>
      </c>
      <c r="F1292" t="s">
        <v>34</v>
      </c>
      <c r="G1292" t="s">
        <v>39</v>
      </c>
      <c r="H1292" t="s">
        <v>48</v>
      </c>
      <c r="I1292" t="s">
        <v>26</v>
      </c>
      <c r="J1292" t="s">
        <v>27</v>
      </c>
      <c r="K1292" t="s">
        <v>28</v>
      </c>
      <c r="L1292" s="2">
        <v>13.4</v>
      </c>
      <c r="M1292" s="3">
        <v>537</v>
      </c>
      <c r="N1292">
        <v>4</v>
      </c>
      <c r="O1292">
        <v>4</v>
      </c>
      <c r="P1292">
        <v>1</v>
      </c>
      <c r="Q1292">
        <v>0</v>
      </c>
      <c r="R1292" s="4">
        <v>17.96</v>
      </c>
      <c r="S1292">
        <v>0</v>
      </c>
      <c r="T1292">
        <v>1</v>
      </c>
    </row>
    <row r="1293" spans="1:20" ht="16.5" x14ac:dyDescent="0.3">
      <c r="A1293" t="s">
        <v>1341</v>
      </c>
      <c r="B1293" s="1">
        <v>45485</v>
      </c>
      <c r="C1293">
        <v>2024</v>
      </c>
      <c r="D1293" t="s">
        <v>1261</v>
      </c>
      <c r="E1293" t="s">
        <v>1262</v>
      </c>
      <c r="F1293" t="s">
        <v>38</v>
      </c>
      <c r="G1293" t="s">
        <v>35</v>
      </c>
      <c r="H1293" t="s">
        <v>36</v>
      </c>
      <c r="I1293" t="s">
        <v>40</v>
      </c>
      <c r="J1293" t="s">
        <v>27</v>
      </c>
      <c r="K1293" t="s">
        <v>32</v>
      </c>
      <c r="L1293" s="2">
        <v>5.7</v>
      </c>
      <c r="M1293" s="3">
        <v>297</v>
      </c>
      <c r="N1293">
        <v>1</v>
      </c>
      <c r="O1293">
        <v>1</v>
      </c>
      <c r="P1293">
        <v>1</v>
      </c>
      <c r="Q1293">
        <v>0</v>
      </c>
      <c r="R1293" s="4">
        <v>27.47</v>
      </c>
      <c r="S1293">
        <v>0</v>
      </c>
      <c r="T1293">
        <v>1</v>
      </c>
    </row>
    <row r="1294" spans="1:20" ht="16.5" x14ac:dyDescent="0.3">
      <c r="A1294" t="s">
        <v>1342</v>
      </c>
      <c r="B1294" s="1">
        <v>45486</v>
      </c>
      <c r="C1294">
        <v>2024</v>
      </c>
      <c r="D1294" t="s">
        <v>1261</v>
      </c>
      <c r="E1294" t="s">
        <v>1262</v>
      </c>
      <c r="F1294" t="s">
        <v>34</v>
      </c>
      <c r="G1294" t="s">
        <v>24</v>
      </c>
      <c r="H1294" t="s">
        <v>36</v>
      </c>
      <c r="I1294" t="s">
        <v>26</v>
      </c>
      <c r="J1294" t="s">
        <v>27</v>
      </c>
      <c r="K1294" t="s">
        <v>32</v>
      </c>
      <c r="L1294" s="2">
        <v>6.2</v>
      </c>
      <c r="M1294" s="3">
        <v>214</v>
      </c>
      <c r="N1294">
        <v>3</v>
      </c>
      <c r="O1294">
        <v>2</v>
      </c>
      <c r="P1294">
        <v>1</v>
      </c>
      <c r="Q1294">
        <v>0</v>
      </c>
      <c r="R1294" s="4">
        <v>10.91</v>
      </c>
      <c r="S1294">
        <v>0</v>
      </c>
      <c r="T1294">
        <v>1</v>
      </c>
    </row>
    <row r="1295" spans="1:20" ht="16.5" x14ac:dyDescent="0.3">
      <c r="A1295" t="s">
        <v>1343</v>
      </c>
      <c r="B1295" s="1">
        <v>45486</v>
      </c>
      <c r="C1295">
        <v>2024</v>
      </c>
      <c r="D1295" t="s">
        <v>1261</v>
      </c>
      <c r="E1295" t="s">
        <v>1262</v>
      </c>
      <c r="F1295" t="s">
        <v>38</v>
      </c>
      <c r="G1295" t="s">
        <v>35</v>
      </c>
      <c r="H1295" t="s">
        <v>25</v>
      </c>
      <c r="I1295" t="s">
        <v>26</v>
      </c>
      <c r="J1295" t="s">
        <v>27</v>
      </c>
      <c r="K1295" t="s">
        <v>32</v>
      </c>
      <c r="L1295" s="2">
        <v>9.8000000000000007</v>
      </c>
      <c r="M1295" s="3">
        <v>786</v>
      </c>
      <c r="N1295">
        <v>4</v>
      </c>
      <c r="O1295">
        <v>4</v>
      </c>
      <c r="P1295">
        <v>1</v>
      </c>
      <c r="Q1295">
        <v>0</v>
      </c>
      <c r="R1295" s="4">
        <v>25.63</v>
      </c>
      <c r="S1295">
        <v>0</v>
      </c>
      <c r="T1295">
        <v>1</v>
      </c>
    </row>
    <row r="1296" spans="1:20" ht="16.5" x14ac:dyDescent="0.3">
      <c r="A1296" t="s">
        <v>1344</v>
      </c>
      <c r="B1296" s="1">
        <v>45486</v>
      </c>
      <c r="C1296">
        <v>2024</v>
      </c>
      <c r="D1296" t="s">
        <v>1261</v>
      </c>
      <c r="E1296" t="s">
        <v>1262</v>
      </c>
      <c r="F1296" t="s">
        <v>30</v>
      </c>
      <c r="G1296" t="s">
        <v>24</v>
      </c>
      <c r="H1296" t="s">
        <v>25</v>
      </c>
      <c r="I1296" t="s">
        <v>40</v>
      </c>
      <c r="J1296" t="s">
        <v>41</v>
      </c>
      <c r="K1296" t="s">
        <v>32</v>
      </c>
      <c r="L1296" s="2">
        <v>2.5</v>
      </c>
      <c r="M1296" s="3">
        <v>1045</v>
      </c>
      <c r="N1296">
        <v>2</v>
      </c>
      <c r="O1296">
        <v>2</v>
      </c>
      <c r="P1296">
        <v>1</v>
      </c>
      <c r="Q1296">
        <v>0</v>
      </c>
      <c r="R1296" s="4">
        <v>67.2</v>
      </c>
      <c r="S1296">
        <v>0</v>
      </c>
      <c r="T1296">
        <v>1</v>
      </c>
    </row>
    <row r="1297" spans="1:20" ht="16.5" x14ac:dyDescent="0.3">
      <c r="A1297" t="s">
        <v>1345</v>
      </c>
      <c r="B1297" s="1">
        <v>45487</v>
      </c>
      <c r="C1297">
        <v>2024</v>
      </c>
      <c r="D1297" t="s">
        <v>1261</v>
      </c>
      <c r="E1297" t="s">
        <v>1262</v>
      </c>
      <c r="F1297" t="s">
        <v>23</v>
      </c>
      <c r="G1297" t="s">
        <v>24</v>
      </c>
      <c r="H1297" t="s">
        <v>36</v>
      </c>
      <c r="I1297" t="s">
        <v>31</v>
      </c>
      <c r="J1297" t="s">
        <v>27</v>
      </c>
      <c r="K1297" t="s">
        <v>32</v>
      </c>
      <c r="L1297" s="2">
        <v>8.1</v>
      </c>
      <c r="M1297" s="3">
        <v>253</v>
      </c>
      <c r="N1297">
        <v>5</v>
      </c>
      <c r="O1297">
        <v>5</v>
      </c>
      <c r="P1297">
        <v>1</v>
      </c>
      <c r="Q1297">
        <v>0</v>
      </c>
      <c r="R1297" s="4">
        <v>9.08</v>
      </c>
      <c r="S1297">
        <v>0</v>
      </c>
      <c r="T1297">
        <v>1</v>
      </c>
    </row>
    <row r="1298" spans="1:20" ht="16.5" x14ac:dyDescent="0.3">
      <c r="A1298" t="s">
        <v>1346</v>
      </c>
      <c r="B1298" s="1">
        <v>45488</v>
      </c>
      <c r="C1298">
        <v>2024</v>
      </c>
      <c r="D1298" t="s">
        <v>1261</v>
      </c>
      <c r="E1298" t="s">
        <v>1262</v>
      </c>
      <c r="F1298" t="s">
        <v>23</v>
      </c>
      <c r="G1298" t="s">
        <v>35</v>
      </c>
      <c r="H1298" t="s">
        <v>43</v>
      </c>
      <c r="I1298" t="s">
        <v>31</v>
      </c>
      <c r="J1298" t="s">
        <v>27</v>
      </c>
      <c r="K1298" t="s">
        <v>32</v>
      </c>
      <c r="L1298" s="2">
        <v>9.4</v>
      </c>
      <c r="M1298" s="3">
        <v>730</v>
      </c>
      <c r="N1298">
        <v>7</v>
      </c>
      <c r="O1298">
        <v>7</v>
      </c>
      <c r="P1298">
        <v>1</v>
      </c>
      <c r="Q1298">
        <v>0</v>
      </c>
      <c r="R1298" s="4">
        <v>14.5</v>
      </c>
      <c r="S1298">
        <v>0</v>
      </c>
      <c r="T1298">
        <v>1</v>
      </c>
    </row>
    <row r="1299" spans="1:20" ht="16.5" x14ac:dyDescent="0.3">
      <c r="A1299" t="s">
        <v>1347</v>
      </c>
      <c r="B1299" s="1">
        <v>45488</v>
      </c>
      <c r="C1299">
        <v>2024</v>
      </c>
      <c r="D1299" t="s">
        <v>1261</v>
      </c>
      <c r="E1299" t="s">
        <v>1262</v>
      </c>
      <c r="F1299" t="s">
        <v>34</v>
      </c>
      <c r="G1299" t="s">
        <v>24</v>
      </c>
      <c r="H1299" t="s">
        <v>48</v>
      </c>
      <c r="I1299" t="s">
        <v>26</v>
      </c>
      <c r="J1299" t="s">
        <v>27</v>
      </c>
      <c r="K1299" t="s">
        <v>28</v>
      </c>
      <c r="L1299" s="2">
        <v>151.80000000000001</v>
      </c>
      <c r="M1299" s="3">
        <v>456</v>
      </c>
      <c r="N1299">
        <v>4</v>
      </c>
      <c r="O1299">
        <v>8</v>
      </c>
      <c r="P1299">
        <v>0</v>
      </c>
      <c r="Q1299">
        <v>4</v>
      </c>
      <c r="R1299" s="4">
        <v>65.59</v>
      </c>
      <c r="S1299">
        <v>0</v>
      </c>
      <c r="T1299">
        <v>1</v>
      </c>
    </row>
    <row r="1300" spans="1:20" ht="16.5" x14ac:dyDescent="0.3">
      <c r="A1300" t="s">
        <v>1348</v>
      </c>
      <c r="B1300" s="1">
        <v>45488</v>
      </c>
      <c r="C1300">
        <v>2024</v>
      </c>
      <c r="D1300" t="s">
        <v>1261</v>
      </c>
      <c r="E1300" t="s">
        <v>1262</v>
      </c>
      <c r="F1300" t="s">
        <v>34</v>
      </c>
      <c r="G1300" t="s">
        <v>35</v>
      </c>
      <c r="H1300" t="s">
        <v>51</v>
      </c>
      <c r="I1300" t="s">
        <v>31</v>
      </c>
      <c r="J1300" t="s">
        <v>27</v>
      </c>
      <c r="K1300" t="s">
        <v>32</v>
      </c>
      <c r="L1300" s="2">
        <v>3.4</v>
      </c>
      <c r="M1300" s="3">
        <v>1289</v>
      </c>
      <c r="N1300">
        <v>7</v>
      </c>
      <c r="O1300">
        <v>7</v>
      </c>
      <c r="P1300">
        <v>1</v>
      </c>
      <c r="Q1300">
        <v>0</v>
      </c>
      <c r="R1300" s="4">
        <v>12.94</v>
      </c>
      <c r="S1300">
        <v>0</v>
      </c>
      <c r="T1300">
        <v>1</v>
      </c>
    </row>
    <row r="1301" spans="1:20" ht="16.5" x14ac:dyDescent="0.3">
      <c r="A1301" t="s">
        <v>1349</v>
      </c>
      <c r="B1301" s="1">
        <v>45488</v>
      </c>
      <c r="C1301">
        <v>2024</v>
      </c>
      <c r="D1301" t="s">
        <v>1261</v>
      </c>
      <c r="E1301" t="s">
        <v>1262</v>
      </c>
      <c r="F1301" t="s">
        <v>34</v>
      </c>
      <c r="G1301" t="s">
        <v>39</v>
      </c>
      <c r="H1301" t="s">
        <v>43</v>
      </c>
      <c r="I1301" t="s">
        <v>26</v>
      </c>
      <c r="J1301" t="s">
        <v>27</v>
      </c>
      <c r="K1301" t="s">
        <v>28</v>
      </c>
      <c r="L1301" s="2">
        <v>87.5</v>
      </c>
      <c r="M1301" s="3">
        <v>1153</v>
      </c>
      <c r="N1301">
        <v>5</v>
      </c>
      <c r="O1301">
        <v>7</v>
      </c>
      <c r="P1301">
        <v>0</v>
      </c>
      <c r="Q1301">
        <v>2</v>
      </c>
      <c r="R1301" s="4">
        <v>51.54</v>
      </c>
      <c r="S1301">
        <v>0</v>
      </c>
      <c r="T1301">
        <v>1</v>
      </c>
    </row>
    <row r="1302" spans="1:20" ht="16.5" x14ac:dyDescent="0.3">
      <c r="A1302" t="s">
        <v>1350</v>
      </c>
      <c r="B1302" s="1">
        <v>45488</v>
      </c>
      <c r="C1302">
        <v>2024</v>
      </c>
      <c r="D1302" t="s">
        <v>1261</v>
      </c>
      <c r="E1302" t="s">
        <v>1262</v>
      </c>
      <c r="F1302" t="s">
        <v>30</v>
      </c>
      <c r="G1302" t="s">
        <v>35</v>
      </c>
      <c r="H1302" t="s">
        <v>36</v>
      </c>
      <c r="I1302" t="s">
        <v>26</v>
      </c>
      <c r="J1302" t="s">
        <v>27</v>
      </c>
      <c r="K1302" t="s">
        <v>32</v>
      </c>
      <c r="L1302" s="2">
        <v>14.3</v>
      </c>
      <c r="M1302" s="3">
        <v>229</v>
      </c>
      <c r="N1302">
        <v>3</v>
      </c>
      <c r="O1302">
        <v>3</v>
      </c>
      <c r="P1302">
        <v>1</v>
      </c>
      <c r="Q1302">
        <v>0</v>
      </c>
      <c r="R1302" s="4">
        <v>18.940000000000001</v>
      </c>
      <c r="S1302">
        <v>0</v>
      </c>
      <c r="T1302">
        <v>1</v>
      </c>
    </row>
    <row r="1303" spans="1:20" ht="16.5" x14ac:dyDescent="0.3">
      <c r="A1303" t="s">
        <v>1351</v>
      </c>
      <c r="B1303" s="1">
        <v>45488</v>
      </c>
      <c r="C1303">
        <v>2024</v>
      </c>
      <c r="D1303" t="s">
        <v>1261</v>
      </c>
      <c r="E1303" t="s">
        <v>1262</v>
      </c>
      <c r="F1303" t="s">
        <v>57</v>
      </c>
      <c r="G1303" t="s">
        <v>39</v>
      </c>
      <c r="H1303" t="s">
        <v>36</v>
      </c>
      <c r="I1303" t="s">
        <v>40</v>
      </c>
      <c r="J1303" t="s">
        <v>27</v>
      </c>
      <c r="K1303" t="s">
        <v>28</v>
      </c>
      <c r="L1303" s="2">
        <v>30.6</v>
      </c>
      <c r="M1303" s="3">
        <v>256</v>
      </c>
      <c r="N1303">
        <v>1</v>
      </c>
      <c r="O1303">
        <v>1</v>
      </c>
      <c r="P1303">
        <v>1</v>
      </c>
      <c r="Q1303">
        <v>0</v>
      </c>
      <c r="R1303" s="4">
        <v>50.56</v>
      </c>
      <c r="S1303">
        <v>0</v>
      </c>
      <c r="T1303">
        <v>1</v>
      </c>
    </row>
    <row r="1304" spans="1:20" ht="16.5" x14ac:dyDescent="0.3">
      <c r="A1304" t="s">
        <v>1352</v>
      </c>
      <c r="B1304" s="1">
        <v>45488</v>
      </c>
      <c r="C1304">
        <v>2024</v>
      </c>
      <c r="D1304" t="s">
        <v>1261</v>
      </c>
      <c r="E1304" t="s">
        <v>1262</v>
      </c>
      <c r="F1304" t="s">
        <v>57</v>
      </c>
      <c r="G1304" t="s">
        <v>24</v>
      </c>
      <c r="H1304" t="s">
        <v>43</v>
      </c>
      <c r="I1304" t="s">
        <v>26</v>
      </c>
      <c r="J1304" t="s">
        <v>27</v>
      </c>
      <c r="K1304" t="s">
        <v>28</v>
      </c>
      <c r="L1304" s="2">
        <v>198.4</v>
      </c>
      <c r="M1304" s="3">
        <v>1082</v>
      </c>
      <c r="N1304">
        <v>5</v>
      </c>
      <c r="O1304">
        <v>4</v>
      </c>
      <c r="P1304">
        <v>1</v>
      </c>
      <c r="Q1304">
        <v>0</v>
      </c>
      <c r="R1304" s="4">
        <v>101.92</v>
      </c>
      <c r="S1304">
        <v>0</v>
      </c>
      <c r="T1304">
        <v>1</v>
      </c>
    </row>
    <row r="1305" spans="1:20" ht="16.5" x14ac:dyDescent="0.3">
      <c r="A1305" t="s">
        <v>1353</v>
      </c>
      <c r="B1305" s="1">
        <v>45488</v>
      </c>
      <c r="C1305">
        <v>2024</v>
      </c>
      <c r="D1305" t="s">
        <v>1261</v>
      </c>
      <c r="E1305" t="s">
        <v>1262</v>
      </c>
      <c r="F1305" t="s">
        <v>38</v>
      </c>
      <c r="G1305" t="s">
        <v>35</v>
      </c>
      <c r="H1305" t="s">
        <v>48</v>
      </c>
      <c r="I1305" t="s">
        <v>26</v>
      </c>
      <c r="J1305" t="s">
        <v>27</v>
      </c>
      <c r="K1305" t="s">
        <v>32</v>
      </c>
      <c r="L1305" s="2">
        <v>6.9</v>
      </c>
      <c r="M1305" s="3">
        <v>478</v>
      </c>
      <c r="N1305">
        <v>4</v>
      </c>
      <c r="O1305">
        <v>3</v>
      </c>
      <c r="P1305">
        <v>1</v>
      </c>
      <c r="Q1305">
        <v>0</v>
      </c>
      <c r="R1305" s="4">
        <v>17.02</v>
      </c>
      <c r="S1305">
        <v>0</v>
      </c>
      <c r="T1305">
        <v>1</v>
      </c>
    </row>
    <row r="1306" spans="1:20" ht="16.5" x14ac:dyDescent="0.3">
      <c r="A1306" t="s">
        <v>1354</v>
      </c>
      <c r="B1306" s="1">
        <v>45488</v>
      </c>
      <c r="C1306">
        <v>2024</v>
      </c>
      <c r="D1306" t="s">
        <v>1261</v>
      </c>
      <c r="E1306" t="s">
        <v>1262</v>
      </c>
      <c r="F1306" t="s">
        <v>57</v>
      </c>
      <c r="G1306" t="s">
        <v>39</v>
      </c>
      <c r="H1306" t="s">
        <v>51</v>
      </c>
      <c r="I1306" t="s">
        <v>40</v>
      </c>
      <c r="J1306" t="s">
        <v>41</v>
      </c>
      <c r="K1306" t="s">
        <v>32</v>
      </c>
      <c r="L1306" s="2">
        <v>5.5</v>
      </c>
      <c r="M1306" s="3">
        <v>1253</v>
      </c>
      <c r="N1306">
        <v>3</v>
      </c>
      <c r="O1306">
        <v>3</v>
      </c>
      <c r="P1306">
        <v>1</v>
      </c>
      <c r="Q1306">
        <v>0</v>
      </c>
      <c r="R1306" s="4">
        <v>78.72</v>
      </c>
      <c r="S1306">
        <v>0</v>
      </c>
      <c r="T1306">
        <v>1</v>
      </c>
    </row>
    <row r="1307" spans="1:20" ht="16.5" x14ac:dyDescent="0.3">
      <c r="A1307" t="s">
        <v>1355</v>
      </c>
      <c r="B1307" s="1">
        <v>45488</v>
      </c>
      <c r="C1307">
        <v>2024</v>
      </c>
      <c r="D1307" t="s">
        <v>1261</v>
      </c>
      <c r="E1307" t="s">
        <v>1262</v>
      </c>
      <c r="F1307" t="s">
        <v>34</v>
      </c>
      <c r="G1307" t="s">
        <v>35</v>
      </c>
      <c r="H1307" t="s">
        <v>48</v>
      </c>
      <c r="I1307" t="s">
        <v>26</v>
      </c>
      <c r="J1307" t="s">
        <v>27</v>
      </c>
      <c r="K1307" t="s">
        <v>28</v>
      </c>
      <c r="L1307" s="2">
        <v>57.1</v>
      </c>
      <c r="M1307" s="3">
        <v>497</v>
      </c>
      <c r="N1307">
        <v>4</v>
      </c>
      <c r="O1307">
        <v>4</v>
      </c>
      <c r="P1307">
        <v>1</v>
      </c>
      <c r="Q1307">
        <v>0</v>
      </c>
      <c r="R1307" s="4">
        <v>33.72</v>
      </c>
      <c r="S1307">
        <v>0</v>
      </c>
      <c r="T1307">
        <v>1</v>
      </c>
    </row>
    <row r="1308" spans="1:20" ht="16.5" x14ac:dyDescent="0.3">
      <c r="A1308" t="s">
        <v>1356</v>
      </c>
      <c r="B1308" s="1">
        <v>45489</v>
      </c>
      <c r="C1308">
        <v>2024</v>
      </c>
      <c r="D1308" t="s">
        <v>1261</v>
      </c>
      <c r="E1308" t="s">
        <v>1262</v>
      </c>
      <c r="F1308" t="s">
        <v>57</v>
      </c>
      <c r="G1308" t="s">
        <v>39</v>
      </c>
      <c r="H1308" t="s">
        <v>48</v>
      </c>
      <c r="I1308" t="s">
        <v>26</v>
      </c>
      <c r="J1308" t="s">
        <v>27</v>
      </c>
      <c r="K1308" t="s">
        <v>28</v>
      </c>
      <c r="L1308" s="2">
        <v>129.4</v>
      </c>
      <c r="M1308" s="3">
        <v>417</v>
      </c>
      <c r="N1308">
        <v>4</v>
      </c>
      <c r="O1308">
        <v>4</v>
      </c>
      <c r="P1308">
        <v>1</v>
      </c>
      <c r="Q1308">
        <v>0</v>
      </c>
      <c r="R1308" s="4">
        <v>67.2</v>
      </c>
      <c r="S1308">
        <v>0</v>
      </c>
      <c r="T1308">
        <v>1</v>
      </c>
    </row>
    <row r="1309" spans="1:20" ht="16.5" x14ac:dyDescent="0.3">
      <c r="A1309" t="s">
        <v>1357</v>
      </c>
      <c r="B1309" s="1">
        <v>45489</v>
      </c>
      <c r="C1309">
        <v>2024</v>
      </c>
      <c r="D1309" t="s">
        <v>1261</v>
      </c>
      <c r="E1309" t="s">
        <v>1262</v>
      </c>
      <c r="F1309" t="s">
        <v>57</v>
      </c>
      <c r="G1309" t="s">
        <v>39</v>
      </c>
      <c r="H1309" t="s">
        <v>25</v>
      </c>
      <c r="I1309" t="s">
        <v>31</v>
      </c>
      <c r="J1309" t="s">
        <v>27</v>
      </c>
      <c r="K1309" t="s">
        <v>28</v>
      </c>
      <c r="L1309" s="2">
        <v>30.6</v>
      </c>
      <c r="M1309" s="3">
        <v>871</v>
      </c>
      <c r="N1309">
        <v>6</v>
      </c>
      <c r="O1309">
        <v>6</v>
      </c>
      <c r="P1309">
        <v>1</v>
      </c>
      <c r="Q1309">
        <v>0</v>
      </c>
      <c r="R1309" s="4">
        <v>24.43</v>
      </c>
      <c r="S1309">
        <v>0</v>
      </c>
      <c r="T1309">
        <v>1</v>
      </c>
    </row>
    <row r="1310" spans="1:20" ht="16.5" x14ac:dyDescent="0.3">
      <c r="A1310" t="s">
        <v>1358</v>
      </c>
      <c r="B1310" s="1">
        <v>45489</v>
      </c>
      <c r="C1310">
        <v>2024</v>
      </c>
      <c r="D1310" t="s">
        <v>1261</v>
      </c>
      <c r="E1310" t="s">
        <v>1262</v>
      </c>
      <c r="F1310" t="s">
        <v>38</v>
      </c>
      <c r="G1310" t="s">
        <v>35</v>
      </c>
      <c r="H1310" t="s">
        <v>36</v>
      </c>
      <c r="I1310" t="s">
        <v>31</v>
      </c>
      <c r="J1310" t="s">
        <v>27</v>
      </c>
      <c r="K1310" t="s">
        <v>32</v>
      </c>
      <c r="L1310" s="2">
        <v>14.4</v>
      </c>
      <c r="M1310" s="3">
        <v>256</v>
      </c>
      <c r="N1310">
        <v>5</v>
      </c>
      <c r="O1310">
        <v>5</v>
      </c>
      <c r="P1310">
        <v>1</v>
      </c>
      <c r="Q1310">
        <v>0</v>
      </c>
      <c r="R1310" s="4">
        <v>14.77</v>
      </c>
      <c r="S1310">
        <v>0</v>
      </c>
      <c r="T1310">
        <v>1</v>
      </c>
    </row>
    <row r="1311" spans="1:20" ht="16.5" x14ac:dyDescent="0.3">
      <c r="A1311" t="s">
        <v>1359</v>
      </c>
      <c r="B1311" s="1">
        <v>45489</v>
      </c>
      <c r="C1311">
        <v>2024</v>
      </c>
      <c r="D1311" t="s">
        <v>1261</v>
      </c>
      <c r="E1311" t="s">
        <v>1262</v>
      </c>
      <c r="F1311" t="s">
        <v>34</v>
      </c>
      <c r="G1311" t="s">
        <v>39</v>
      </c>
      <c r="H1311" t="s">
        <v>36</v>
      </c>
      <c r="I1311" t="s">
        <v>26</v>
      </c>
      <c r="J1311" t="s">
        <v>27</v>
      </c>
      <c r="K1311" t="s">
        <v>32</v>
      </c>
      <c r="L1311" s="2">
        <v>2.9</v>
      </c>
      <c r="M1311" s="3">
        <v>232</v>
      </c>
      <c r="N1311">
        <v>3</v>
      </c>
      <c r="O1311">
        <v>3</v>
      </c>
      <c r="P1311">
        <v>1</v>
      </c>
      <c r="Q1311">
        <v>0</v>
      </c>
      <c r="R1311" s="4">
        <v>9.64</v>
      </c>
      <c r="S1311">
        <v>0</v>
      </c>
      <c r="T1311">
        <v>1</v>
      </c>
    </row>
    <row r="1312" spans="1:20" ht="16.5" x14ac:dyDescent="0.3">
      <c r="A1312" t="s">
        <v>1360</v>
      </c>
      <c r="B1312" s="1">
        <v>45490</v>
      </c>
      <c r="C1312">
        <v>2024</v>
      </c>
      <c r="D1312" t="s">
        <v>1261</v>
      </c>
      <c r="E1312" t="s">
        <v>1262</v>
      </c>
      <c r="F1312" t="s">
        <v>57</v>
      </c>
      <c r="G1312" t="s">
        <v>35</v>
      </c>
      <c r="H1312" t="s">
        <v>36</v>
      </c>
      <c r="I1312" t="s">
        <v>40</v>
      </c>
      <c r="J1312" t="s">
        <v>27</v>
      </c>
      <c r="K1312" t="s">
        <v>32</v>
      </c>
      <c r="L1312" s="2">
        <v>3.9</v>
      </c>
      <c r="M1312" s="3">
        <v>308</v>
      </c>
      <c r="N1312">
        <v>1</v>
      </c>
      <c r="O1312">
        <v>6</v>
      </c>
      <c r="P1312">
        <v>0</v>
      </c>
      <c r="Q1312">
        <v>5</v>
      </c>
      <c r="R1312" s="4">
        <v>25.39</v>
      </c>
      <c r="S1312">
        <v>0</v>
      </c>
      <c r="T1312">
        <v>1</v>
      </c>
    </row>
    <row r="1313" spans="1:20" ht="16.5" x14ac:dyDescent="0.3">
      <c r="A1313" t="s">
        <v>1361</v>
      </c>
      <c r="B1313" s="1">
        <v>45490</v>
      </c>
      <c r="C1313">
        <v>2024</v>
      </c>
      <c r="D1313" t="s">
        <v>1261</v>
      </c>
      <c r="E1313" t="s">
        <v>1262</v>
      </c>
      <c r="F1313" t="s">
        <v>30</v>
      </c>
      <c r="G1313" t="s">
        <v>39</v>
      </c>
      <c r="H1313" t="s">
        <v>25</v>
      </c>
      <c r="I1313" t="s">
        <v>31</v>
      </c>
      <c r="J1313" t="s">
        <v>27</v>
      </c>
      <c r="K1313" t="s">
        <v>28</v>
      </c>
      <c r="L1313" s="2">
        <v>63.2</v>
      </c>
      <c r="M1313" s="3">
        <v>947</v>
      </c>
      <c r="N1313">
        <v>6</v>
      </c>
      <c r="O1313">
        <v>6</v>
      </c>
      <c r="P1313">
        <v>1</v>
      </c>
      <c r="Q1313">
        <v>0</v>
      </c>
      <c r="R1313" s="4">
        <v>37.75</v>
      </c>
      <c r="S1313">
        <v>0</v>
      </c>
      <c r="T1313">
        <v>1</v>
      </c>
    </row>
    <row r="1314" spans="1:20" ht="16.5" x14ac:dyDescent="0.3">
      <c r="A1314" t="s">
        <v>1362</v>
      </c>
      <c r="B1314" s="1">
        <v>45490</v>
      </c>
      <c r="C1314">
        <v>2024</v>
      </c>
      <c r="D1314" t="s">
        <v>1261</v>
      </c>
      <c r="E1314" t="s">
        <v>1262</v>
      </c>
      <c r="F1314" t="s">
        <v>23</v>
      </c>
      <c r="G1314" t="s">
        <v>39</v>
      </c>
      <c r="H1314" t="s">
        <v>48</v>
      </c>
      <c r="I1314" t="s">
        <v>26</v>
      </c>
      <c r="J1314" t="s">
        <v>27</v>
      </c>
      <c r="K1314" t="s">
        <v>32</v>
      </c>
      <c r="L1314" s="2">
        <v>5.5</v>
      </c>
      <c r="M1314" s="3">
        <v>504</v>
      </c>
      <c r="N1314">
        <v>4</v>
      </c>
      <c r="O1314">
        <v>5</v>
      </c>
      <c r="P1314">
        <v>0</v>
      </c>
      <c r="Q1314">
        <v>1</v>
      </c>
      <c r="R1314" s="4">
        <v>16.41</v>
      </c>
      <c r="S1314">
        <v>0</v>
      </c>
      <c r="T1314">
        <v>1</v>
      </c>
    </row>
    <row r="1315" spans="1:20" ht="16.5" x14ac:dyDescent="0.3">
      <c r="A1315" t="s">
        <v>1363</v>
      </c>
      <c r="B1315" s="1">
        <v>45490</v>
      </c>
      <c r="C1315">
        <v>2024</v>
      </c>
      <c r="D1315" t="s">
        <v>1261</v>
      </c>
      <c r="E1315" t="s">
        <v>1262</v>
      </c>
      <c r="F1315" t="s">
        <v>38</v>
      </c>
      <c r="G1315" t="s">
        <v>35</v>
      </c>
      <c r="H1315" t="s">
        <v>25</v>
      </c>
      <c r="I1315" t="s">
        <v>40</v>
      </c>
      <c r="J1315" t="s">
        <v>41</v>
      </c>
      <c r="K1315" t="s">
        <v>28</v>
      </c>
      <c r="L1315" s="2">
        <v>456.8</v>
      </c>
      <c r="M1315" s="3">
        <v>784</v>
      </c>
      <c r="N1315">
        <v>2</v>
      </c>
      <c r="O1315">
        <v>2</v>
      </c>
      <c r="P1315">
        <v>1</v>
      </c>
      <c r="Q1315">
        <v>0</v>
      </c>
      <c r="R1315" s="4">
        <v>600.96</v>
      </c>
      <c r="S1315">
        <v>0</v>
      </c>
      <c r="T1315">
        <v>1</v>
      </c>
    </row>
    <row r="1316" spans="1:20" ht="16.5" x14ac:dyDescent="0.3">
      <c r="A1316" t="s">
        <v>1364</v>
      </c>
      <c r="B1316" s="1">
        <v>45490</v>
      </c>
      <c r="C1316">
        <v>2024</v>
      </c>
      <c r="D1316" t="s">
        <v>1261</v>
      </c>
      <c r="E1316" t="s">
        <v>1262</v>
      </c>
      <c r="F1316" t="s">
        <v>38</v>
      </c>
      <c r="G1316" t="s">
        <v>35</v>
      </c>
      <c r="H1316" t="s">
        <v>25</v>
      </c>
      <c r="I1316" t="s">
        <v>26</v>
      </c>
      <c r="J1316" t="s">
        <v>27</v>
      </c>
      <c r="K1316" t="s">
        <v>28</v>
      </c>
      <c r="L1316" s="2">
        <v>81.7</v>
      </c>
      <c r="M1316" s="3">
        <v>894</v>
      </c>
      <c r="N1316">
        <v>4</v>
      </c>
      <c r="O1316">
        <v>4</v>
      </c>
      <c r="P1316">
        <v>1</v>
      </c>
      <c r="Q1316">
        <v>0</v>
      </c>
      <c r="R1316" s="4">
        <v>56.21</v>
      </c>
      <c r="S1316">
        <v>0</v>
      </c>
      <c r="T1316">
        <v>1</v>
      </c>
    </row>
    <row r="1317" spans="1:20" ht="16.5" x14ac:dyDescent="0.3">
      <c r="A1317" t="s">
        <v>1365</v>
      </c>
      <c r="B1317" s="1">
        <v>45490</v>
      </c>
      <c r="C1317">
        <v>2024</v>
      </c>
      <c r="D1317" t="s">
        <v>1261</v>
      </c>
      <c r="E1317" t="s">
        <v>1262</v>
      </c>
      <c r="F1317" t="s">
        <v>38</v>
      </c>
      <c r="G1317" t="s">
        <v>39</v>
      </c>
      <c r="H1317" t="s">
        <v>43</v>
      </c>
      <c r="I1317" t="s">
        <v>40</v>
      </c>
      <c r="J1317" t="s">
        <v>41</v>
      </c>
      <c r="K1317" t="s">
        <v>32</v>
      </c>
      <c r="L1317" s="2">
        <v>0.9</v>
      </c>
      <c r="M1317" s="3">
        <v>1285</v>
      </c>
      <c r="N1317">
        <v>3</v>
      </c>
      <c r="O1317">
        <v>3</v>
      </c>
      <c r="P1317">
        <v>1</v>
      </c>
      <c r="Q1317">
        <v>0</v>
      </c>
      <c r="R1317" s="4">
        <v>81.03</v>
      </c>
      <c r="S1317">
        <v>0</v>
      </c>
      <c r="T1317">
        <v>1</v>
      </c>
    </row>
    <row r="1318" spans="1:20" ht="16.5" x14ac:dyDescent="0.3">
      <c r="A1318" t="s">
        <v>1366</v>
      </c>
      <c r="B1318" s="1">
        <v>45490</v>
      </c>
      <c r="C1318">
        <v>2024</v>
      </c>
      <c r="D1318" t="s">
        <v>1261</v>
      </c>
      <c r="E1318" t="s">
        <v>1262</v>
      </c>
      <c r="F1318" t="s">
        <v>23</v>
      </c>
      <c r="G1318" t="s">
        <v>39</v>
      </c>
      <c r="H1318" t="s">
        <v>25</v>
      </c>
      <c r="I1318" t="s">
        <v>40</v>
      </c>
      <c r="J1318" t="s">
        <v>41</v>
      </c>
      <c r="K1318" t="s">
        <v>32</v>
      </c>
      <c r="L1318" s="2">
        <v>4.3</v>
      </c>
      <c r="M1318" s="3">
        <v>698</v>
      </c>
      <c r="N1318">
        <v>2</v>
      </c>
      <c r="O1318">
        <v>2</v>
      </c>
      <c r="P1318">
        <v>1</v>
      </c>
      <c r="Q1318">
        <v>0</v>
      </c>
      <c r="R1318" s="4">
        <v>54.45</v>
      </c>
      <c r="S1318">
        <v>0</v>
      </c>
      <c r="T1318">
        <v>1</v>
      </c>
    </row>
    <row r="1319" spans="1:20" ht="16.5" x14ac:dyDescent="0.3">
      <c r="A1319" t="s">
        <v>1367</v>
      </c>
      <c r="B1319" s="1">
        <v>45490</v>
      </c>
      <c r="C1319">
        <v>2024</v>
      </c>
      <c r="D1319" t="s">
        <v>1261</v>
      </c>
      <c r="E1319" t="s">
        <v>1262</v>
      </c>
      <c r="F1319" t="s">
        <v>23</v>
      </c>
      <c r="G1319" t="s">
        <v>39</v>
      </c>
      <c r="H1319" t="s">
        <v>51</v>
      </c>
      <c r="I1319" t="s">
        <v>26</v>
      </c>
      <c r="J1319" t="s">
        <v>27</v>
      </c>
      <c r="K1319" t="s">
        <v>32</v>
      </c>
      <c r="L1319" s="2">
        <v>1.9</v>
      </c>
      <c r="M1319" s="3">
        <v>1001</v>
      </c>
      <c r="N1319">
        <v>5</v>
      </c>
      <c r="O1319">
        <v>5</v>
      </c>
      <c r="P1319">
        <v>1</v>
      </c>
      <c r="Q1319">
        <v>0</v>
      </c>
      <c r="R1319" s="4">
        <v>20.84</v>
      </c>
      <c r="S1319">
        <v>0</v>
      </c>
      <c r="T1319">
        <v>1</v>
      </c>
    </row>
    <row r="1320" spans="1:20" ht="16.5" x14ac:dyDescent="0.3">
      <c r="A1320" t="s">
        <v>1368</v>
      </c>
      <c r="B1320" s="1">
        <v>45490</v>
      </c>
      <c r="C1320">
        <v>2024</v>
      </c>
      <c r="D1320" t="s">
        <v>1261</v>
      </c>
      <c r="E1320" t="s">
        <v>1262</v>
      </c>
      <c r="F1320" t="s">
        <v>23</v>
      </c>
      <c r="G1320" t="s">
        <v>39</v>
      </c>
      <c r="H1320" t="s">
        <v>25</v>
      </c>
      <c r="I1320" t="s">
        <v>26</v>
      </c>
      <c r="J1320" t="s">
        <v>27</v>
      </c>
      <c r="K1320" t="s">
        <v>28</v>
      </c>
      <c r="L1320" s="2">
        <v>114.3</v>
      </c>
      <c r="M1320" s="3">
        <v>937</v>
      </c>
      <c r="N1320">
        <v>4</v>
      </c>
      <c r="O1320">
        <v>4</v>
      </c>
      <c r="P1320">
        <v>1</v>
      </c>
      <c r="Q1320">
        <v>0</v>
      </c>
      <c r="R1320" s="4">
        <v>69.760000000000005</v>
      </c>
      <c r="S1320">
        <v>0</v>
      </c>
      <c r="T1320">
        <v>1</v>
      </c>
    </row>
    <row r="1321" spans="1:20" ht="16.5" x14ac:dyDescent="0.3">
      <c r="A1321" t="s">
        <v>1369</v>
      </c>
      <c r="B1321" s="1">
        <v>45490</v>
      </c>
      <c r="C1321">
        <v>2024</v>
      </c>
      <c r="D1321" t="s">
        <v>1261</v>
      </c>
      <c r="E1321" t="s">
        <v>1262</v>
      </c>
      <c r="F1321" t="s">
        <v>30</v>
      </c>
      <c r="G1321" t="s">
        <v>24</v>
      </c>
      <c r="H1321" t="s">
        <v>25</v>
      </c>
      <c r="I1321" t="s">
        <v>26</v>
      </c>
      <c r="J1321" t="s">
        <v>27</v>
      </c>
      <c r="K1321" t="s">
        <v>32</v>
      </c>
      <c r="L1321" s="2">
        <v>7.2</v>
      </c>
      <c r="M1321" s="3">
        <v>876</v>
      </c>
      <c r="N1321">
        <v>4</v>
      </c>
      <c r="O1321">
        <v>4</v>
      </c>
      <c r="P1321">
        <v>1</v>
      </c>
      <c r="Q1321">
        <v>0</v>
      </c>
      <c r="R1321" s="4">
        <v>22.81</v>
      </c>
      <c r="S1321">
        <v>0</v>
      </c>
      <c r="T1321">
        <v>1</v>
      </c>
    </row>
    <row r="1322" spans="1:20" ht="16.5" x14ac:dyDescent="0.3">
      <c r="A1322" t="s">
        <v>1370</v>
      </c>
      <c r="B1322" s="1">
        <v>45490</v>
      </c>
      <c r="C1322">
        <v>2024</v>
      </c>
      <c r="D1322" t="s">
        <v>1261</v>
      </c>
      <c r="E1322" t="s">
        <v>1262</v>
      </c>
      <c r="F1322" t="s">
        <v>34</v>
      </c>
      <c r="G1322" t="s">
        <v>24</v>
      </c>
      <c r="H1322" t="s">
        <v>36</v>
      </c>
      <c r="I1322" t="s">
        <v>26</v>
      </c>
      <c r="J1322" t="s">
        <v>27</v>
      </c>
      <c r="K1322" t="s">
        <v>28</v>
      </c>
      <c r="L1322" s="2">
        <v>25.7</v>
      </c>
      <c r="M1322" s="3">
        <v>244</v>
      </c>
      <c r="N1322">
        <v>3</v>
      </c>
      <c r="O1322">
        <v>3</v>
      </c>
      <c r="P1322">
        <v>1</v>
      </c>
      <c r="Q1322">
        <v>0</v>
      </c>
      <c r="R1322" s="4">
        <v>19.95</v>
      </c>
      <c r="S1322">
        <v>0</v>
      </c>
      <c r="T1322">
        <v>1</v>
      </c>
    </row>
    <row r="1323" spans="1:20" ht="16.5" x14ac:dyDescent="0.3">
      <c r="A1323" t="s">
        <v>1371</v>
      </c>
      <c r="B1323" s="1">
        <v>45491</v>
      </c>
      <c r="C1323">
        <v>2024</v>
      </c>
      <c r="D1323" t="s">
        <v>1261</v>
      </c>
      <c r="E1323" t="s">
        <v>1262</v>
      </c>
      <c r="F1323" t="s">
        <v>38</v>
      </c>
      <c r="G1323" t="s">
        <v>24</v>
      </c>
      <c r="H1323" t="s">
        <v>48</v>
      </c>
      <c r="I1323" t="s">
        <v>26</v>
      </c>
      <c r="J1323" t="s">
        <v>27</v>
      </c>
      <c r="K1323" t="s">
        <v>28</v>
      </c>
      <c r="L1323" s="2">
        <v>111.9</v>
      </c>
      <c r="M1323" s="3">
        <v>436</v>
      </c>
      <c r="N1323">
        <v>4</v>
      </c>
      <c r="O1323">
        <v>4</v>
      </c>
      <c r="P1323">
        <v>1</v>
      </c>
      <c r="Q1323">
        <v>0</v>
      </c>
      <c r="R1323" s="4">
        <v>60.71</v>
      </c>
      <c r="S1323">
        <v>0</v>
      </c>
      <c r="T1323">
        <v>1</v>
      </c>
    </row>
    <row r="1324" spans="1:20" ht="16.5" x14ac:dyDescent="0.3">
      <c r="A1324" t="s">
        <v>1372</v>
      </c>
      <c r="B1324" s="1">
        <v>45491</v>
      </c>
      <c r="C1324">
        <v>2024</v>
      </c>
      <c r="D1324" t="s">
        <v>1261</v>
      </c>
      <c r="E1324" t="s">
        <v>1262</v>
      </c>
      <c r="F1324" t="s">
        <v>30</v>
      </c>
      <c r="G1324" t="s">
        <v>35</v>
      </c>
      <c r="H1324" t="s">
        <v>43</v>
      </c>
      <c r="I1324" t="s">
        <v>26</v>
      </c>
      <c r="J1324" t="s">
        <v>27</v>
      </c>
      <c r="K1324" t="s">
        <v>28</v>
      </c>
      <c r="L1324" s="2">
        <v>143.30000000000001</v>
      </c>
      <c r="M1324" s="3">
        <v>1111</v>
      </c>
      <c r="N1324">
        <v>5</v>
      </c>
      <c r="O1324">
        <v>7</v>
      </c>
      <c r="P1324">
        <v>0</v>
      </c>
      <c r="Q1324">
        <v>2</v>
      </c>
      <c r="R1324" s="4">
        <v>87.4</v>
      </c>
      <c r="S1324">
        <v>0</v>
      </c>
      <c r="T1324">
        <v>1</v>
      </c>
    </row>
    <row r="1325" spans="1:20" ht="16.5" x14ac:dyDescent="0.3">
      <c r="A1325" t="s">
        <v>1373</v>
      </c>
      <c r="B1325" s="1">
        <v>45492</v>
      </c>
      <c r="C1325">
        <v>2024</v>
      </c>
      <c r="D1325" t="s">
        <v>1261</v>
      </c>
      <c r="E1325" t="s">
        <v>1262</v>
      </c>
      <c r="F1325" t="s">
        <v>34</v>
      </c>
      <c r="G1325" t="s">
        <v>39</v>
      </c>
      <c r="H1325" t="s">
        <v>48</v>
      </c>
      <c r="I1325" t="s">
        <v>26</v>
      </c>
      <c r="J1325" t="s">
        <v>27</v>
      </c>
      <c r="K1325" t="s">
        <v>28</v>
      </c>
      <c r="L1325" s="2">
        <v>32.9</v>
      </c>
      <c r="M1325" s="3">
        <v>491</v>
      </c>
      <c r="N1325">
        <v>4</v>
      </c>
      <c r="O1325">
        <v>4</v>
      </c>
      <c r="P1325">
        <v>1</v>
      </c>
      <c r="Q1325">
        <v>0</v>
      </c>
      <c r="R1325" s="4">
        <v>25.71</v>
      </c>
      <c r="S1325">
        <v>1</v>
      </c>
      <c r="T1325">
        <v>1</v>
      </c>
    </row>
    <row r="1326" spans="1:20" ht="16.5" x14ac:dyDescent="0.3">
      <c r="A1326" t="s">
        <v>1374</v>
      </c>
      <c r="B1326" s="1">
        <v>45492</v>
      </c>
      <c r="C1326">
        <v>2024</v>
      </c>
      <c r="D1326" t="s">
        <v>1261</v>
      </c>
      <c r="E1326" t="s">
        <v>1262</v>
      </c>
      <c r="F1326" t="s">
        <v>38</v>
      </c>
      <c r="G1326" t="s">
        <v>24</v>
      </c>
      <c r="H1326" t="s">
        <v>36</v>
      </c>
      <c r="I1326" t="s">
        <v>31</v>
      </c>
      <c r="J1326" t="s">
        <v>27</v>
      </c>
      <c r="K1326" t="s">
        <v>28</v>
      </c>
      <c r="L1326" s="2">
        <v>217.7</v>
      </c>
      <c r="M1326" s="3">
        <v>210</v>
      </c>
      <c r="N1326">
        <v>5</v>
      </c>
      <c r="O1326">
        <v>5</v>
      </c>
      <c r="P1326">
        <v>1</v>
      </c>
      <c r="Q1326">
        <v>0</v>
      </c>
      <c r="R1326" s="4">
        <v>82.28</v>
      </c>
      <c r="S1326">
        <v>0</v>
      </c>
      <c r="T1326">
        <v>1</v>
      </c>
    </row>
    <row r="1327" spans="1:20" ht="16.5" x14ac:dyDescent="0.3">
      <c r="A1327" t="s">
        <v>1375</v>
      </c>
      <c r="B1327" s="1">
        <v>45492</v>
      </c>
      <c r="C1327">
        <v>2024</v>
      </c>
      <c r="D1327" t="s">
        <v>1261</v>
      </c>
      <c r="E1327" t="s">
        <v>1262</v>
      </c>
      <c r="F1327" t="s">
        <v>57</v>
      </c>
      <c r="G1327" t="s">
        <v>39</v>
      </c>
      <c r="H1327" t="s">
        <v>25</v>
      </c>
      <c r="I1327" t="s">
        <v>40</v>
      </c>
      <c r="J1327" t="s">
        <v>41</v>
      </c>
      <c r="K1327" t="s">
        <v>28</v>
      </c>
      <c r="L1327" s="2">
        <v>152.30000000000001</v>
      </c>
      <c r="M1327" s="3">
        <v>911</v>
      </c>
      <c r="N1327">
        <v>2</v>
      </c>
      <c r="O1327">
        <v>2</v>
      </c>
      <c r="P1327">
        <v>1</v>
      </c>
      <c r="Q1327">
        <v>0</v>
      </c>
      <c r="R1327" s="4">
        <v>235.48</v>
      </c>
      <c r="S1327">
        <v>0</v>
      </c>
      <c r="T1327">
        <v>1</v>
      </c>
    </row>
    <row r="1328" spans="1:20" ht="16.5" x14ac:dyDescent="0.3">
      <c r="A1328" t="s">
        <v>1376</v>
      </c>
      <c r="B1328" s="1">
        <v>45492</v>
      </c>
      <c r="C1328">
        <v>2024</v>
      </c>
      <c r="D1328" t="s">
        <v>1261</v>
      </c>
      <c r="E1328" t="s">
        <v>1262</v>
      </c>
      <c r="F1328" t="s">
        <v>30</v>
      </c>
      <c r="G1328" t="s">
        <v>39</v>
      </c>
      <c r="H1328" t="s">
        <v>25</v>
      </c>
      <c r="I1328" t="s">
        <v>26</v>
      </c>
      <c r="J1328" t="s">
        <v>27</v>
      </c>
      <c r="K1328" t="s">
        <v>28</v>
      </c>
      <c r="L1328" s="2">
        <v>151.1</v>
      </c>
      <c r="M1328" s="3">
        <v>761</v>
      </c>
      <c r="N1328">
        <v>4</v>
      </c>
      <c r="O1328">
        <v>4</v>
      </c>
      <c r="P1328">
        <v>1</v>
      </c>
      <c r="Q1328">
        <v>0</v>
      </c>
      <c r="R1328" s="4">
        <v>78.290000000000006</v>
      </c>
      <c r="S1328">
        <v>0</v>
      </c>
      <c r="T1328">
        <v>1</v>
      </c>
    </row>
    <row r="1329" spans="1:20" ht="16.5" x14ac:dyDescent="0.3">
      <c r="A1329" t="s">
        <v>1377</v>
      </c>
      <c r="B1329" s="1">
        <v>45492</v>
      </c>
      <c r="C1329">
        <v>2024</v>
      </c>
      <c r="D1329" t="s">
        <v>1261</v>
      </c>
      <c r="E1329" t="s">
        <v>1262</v>
      </c>
      <c r="F1329" t="s">
        <v>57</v>
      </c>
      <c r="G1329" t="s">
        <v>35</v>
      </c>
      <c r="H1329" t="s">
        <v>36</v>
      </c>
      <c r="I1329" t="s">
        <v>31</v>
      </c>
      <c r="J1329" t="s">
        <v>27</v>
      </c>
      <c r="K1329" t="s">
        <v>32</v>
      </c>
      <c r="L1329" s="2">
        <v>9.4</v>
      </c>
      <c r="M1329" s="3">
        <v>247</v>
      </c>
      <c r="N1329">
        <v>5</v>
      </c>
      <c r="O1329">
        <v>4</v>
      </c>
      <c r="P1329">
        <v>1</v>
      </c>
      <c r="Q1329">
        <v>0</v>
      </c>
      <c r="R1329" s="4">
        <v>11.12</v>
      </c>
      <c r="S1329">
        <v>0</v>
      </c>
      <c r="T1329">
        <v>1</v>
      </c>
    </row>
    <row r="1330" spans="1:20" ht="16.5" x14ac:dyDescent="0.3">
      <c r="A1330" t="s">
        <v>1378</v>
      </c>
      <c r="B1330" s="1">
        <v>45492</v>
      </c>
      <c r="C1330">
        <v>2024</v>
      </c>
      <c r="D1330" t="s">
        <v>1261</v>
      </c>
      <c r="E1330" t="s">
        <v>1262</v>
      </c>
      <c r="F1330" t="s">
        <v>38</v>
      </c>
      <c r="G1330" t="s">
        <v>39</v>
      </c>
      <c r="H1330" t="s">
        <v>51</v>
      </c>
      <c r="I1330" t="s">
        <v>26</v>
      </c>
      <c r="J1330" t="s">
        <v>27</v>
      </c>
      <c r="K1330" t="s">
        <v>28</v>
      </c>
      <c r="L1330" s="2">
        <v>120.4</v>
      </c>
      <c r="M1330" s="3">
        <v>1035</v>
      </c>
      <c r="N1330">
        <v>5</v>
      </c>
      <c r="O1330">
        <v>5</v>
      </c>
      <c r="P1330">
        <v>1</v>
      </c>
      <c r="Q1330">
        <v>0</v>
      </c>
      <c r="R1330" s="4">
        <v>81.77</v>
      </c>
      <c r="S1330">
        <v>0</v>
      </c>
      <c r="T1330">
        <v>1</v>
      </c>
    </row>
    <row r="1331" spans="1:20" ht="16.5" x14ac:dyDescent="0.3">
      <c r="A1331" t="s">
        <v>1379</v>
      </c>
      <c r="B1331" s="1">
        <v>45492</v>
      </c>
      <c r="C1331">
        <v>2024</v>
      </c>
      <c r="D1331" t="s">
        <v>1261</v>
      </c>
      <c r="E1331" t="s">
        <v>1262</v>
      </c>
      <c r="F1331" t="s">
        <v>30</v>
      </c>
      <c r="G1331" t="s">
        <v>39</v>
      </c>
      <c r="H1331" t="s">
        <v>43</v>
      </c>
      <c r="I1331" t="s">
        <v>26</v>
      </c>
      <c r="J1331" t="s">
        <v>27</v>
      </c>
      <c r="K1331" t="s">
        <v>28</v>
      </c>
      <c r="L1331" s="2">
        <v>182.9</v>
      </c>
      <c r="M1331" s="3">
        <v>956</v>
      </c>
      <c r="N1331">
        <v>5</v>
      </c>
      <c r="O1331">
        <v>5</v>
      </c>
      <c r="P1331">
        <v>1</v>
      </c>
      <c r="Q1331">
        <v>0</v>
      </c>
      <c r="R1331" s="4">
        <v>86.7</v>
      </c>
      <c r="S1331">
        <v>0</v>
      </c>
      <c r="T1331">
        <v>1</v>
      </c>
    </row>
    <row r="1332" spans="1:20" ht="16.5" x14ac:dyDescent="0.3">
      <c r="A1332" t="s">
        <v>1380</v>
      </c>
      <c r="B1332" s="1">
        <v>45493</v>
      </c>
      <c r="C1332">
        <v>2024</v>
      </c>
      <c r="D1332" t="s">
        <v>1261</v>
      </c>
      <c r="E1332" t="s">
        <v>1262</v>
      </c>
      <c r="F1332" t="s">
        <v>30</v>
      </c>
      <c r="G1332" t="s">
        <v>24</v>
      </c>
      <c r="H1332" t="s">
        <v>25</v>
      </c>
      <c r="I1332" t="s">
        <v>26</v>
      </c>
      <c r="J1332" t="s">
        <v>27</v>
      </c>
      <c r="K1332" t="s">
        <v>28</v>
      </c>
      <c r="L1332" s="2">
        <v>156.19999999999999</v>
      </c>
      <c r="M1332" s="3">
        <v>1099</v>
      </c>
      <c r="N1332">
        <v>4</v>
      </c>
      <c r="O1332">
        <v>4</v>
      </c>
      <c r="P1332">
        <v>1</v>
      </c>
      <c r="Q1332">
        <v>0</v>
      </c>
      <c r="R1332" s="4">
        <v>87.48</v>
      </c>
      <c r="S1332">
        <v>0</v>
      </c>
      <c r="T1332">
        <v>1</v>
      </c>
    </row>
    <row r="1333" spans="1:20" ht="16.5" x14ac:dyDescent="0.3">
      <c r="A1333" t="s">
        <v>1381</v>
      </c>
      <c r="B1333" s="1">
        <v>45493</v>
      </c>
      <c r="C1333">
        <v>2024</v>
      </c>
      <c r="D1333" t="s">
        <v>1261</v>
      </c>
      <c r="E1333" t="s">
        <v>1262</v>
      </c>
      <c r="F1333" t="s">
        <v>23</v>
      </c>
      <c r="G1333" t="s">
        <v>35</v>
      </c>
      <c r="H1333" t="s">
        <v>48</v>
      </c>
      <c r="I1333" t="s">
        <v>26</v>
      </c>
      <c r="J1333" t="s">
        <v>27</v>
      </c>
      <c r="K1333" t="s">
        <v>28</v>
      </c>
      <c r="L1333" s="2">
        <v>98.5</v>
      </c>
      <c r="M1333" s="3">
        <v>490</v>
      </c>
      <c r="N1333">
        <v>4</v>
      </c>
      <c r="O1333">
        <v>7</v>
      </c>
      <c r="P1333">
        <v>0</v>
      </c>
      <c r="Q1333">
        <v>3</v>
      </c>
      <c r="R1333" s="4">
        <v>53.24</v>
      </c>
      <c r="S1333">
        <v>0</v>
      </c>
      <c r="T1333">
        <v>1</v>
      </c>
    </row>
    <row r="1334" spans="1:20" ht="16.5" x14ac:dyDescent="0.3">
      <c r="A1334" t="s">
        <v>1382</v>
      </c>
      <c r="B1334" s="1">
        <v>45493</v>
      </c>
      <c r="C1334">
        <v>2024</v>
      </c>
      <c r="D1334" t="s">
        <v>1261</v>
      </c>
      <c r="E1334" t="s">
        <v>1262</v>
      </c>
      <c r="F1334" t="s">
        <v>23</v>
      </c>
      <c r="G1334" t="s">
        <v>35</v>
      </c>
      <c r="H1334" t="s">
        <v>25</v>
      </c>
      <c r="I1334" t="s">
        <v>31</v>
      </c>
      <c r="J1334" t="s">
        <v>27</v>
      </c>
      <c r="K1334" t="s">
        <v>28</v>
      </c>
      <c r="L1334" s="2">
        <v>56.5</v>
      </c>
      <c r="M1334" s="3">
        <v>1122</v>
      </c>
      <c r="N1334">
        <v>6</v>
      </c>
      <c r="O1334">
        <v>6</v>
      </c>
      <c r="P1334">
        <v>1</v>
      </c>
      <c r="Q1334">
        <v>0</v>
      </c>
      <c r="R1334" s="4">
        <v>31.64</v>
      </c>
      <c r="S1334">
        <v>0</v>
      </c>
      <c r="T1334">
        <v>1</v>
      </c>
    </row>
    <row r="1335" spans="1:20" ht="16.5" x14ac:dyDescent="0.3">
      <c r="A1335" t="s">
        <v>1383</v>
      </c>
      <c r="B1335" s="1">
        <v>45493</v>
      </c>
      <c r="C1335">
        <v>2024</v>
      </c>
      <c r="D1335" t="s">
        <v>1261</v>
      </c>
      <c r="E1335" t="s">
        <v>1262</v>
      </c>
      <c r="F1335" t="s">
        <v>30</v>
      </c>
      <c r="G1335" t="s">
        <v>39</v>
      </c>
      <c r="H1335" t="s">
        <v>43</v>
      </c>
      <c r="I1335" t="s">
        <v>26</v>
      </c>
      <c r="J1335" t="s">
        <v>27</v>
      </c>
      <c r="K1335" t="s">
        <v>28</v>
      </c>
      <c r="L1335" s="2">
        <v>59.2</v>
      </c>
      <c r="M1335" s="3">
        <v>982</v>
      </c>
      <c r="N1335">
        <v>5</v>
      </c>
      <c r="O1335">
        <v>5</v>
      </c>
      <c r="P1335">
        <v>1</v>
      </c>
      <c r="Q1335">
        <v>0</v>
      </c>
      <c r="R1335" s="4">
        <v>48.01</v>
      </c>
      <c r="S1335">
        <v>0</v>
      </c>
      <c r="T1335">
        <v>1</v>
      </c>
    </row>
    <row r="1336" spans="1:20" ht="16.5" x14ac:dyDescent="0.3">
      <c r="A1336" t="s">
        <v>1384</v>
      </c>
      <c r="B1336" s="1">
        <v>45494</v>
      </c>
      <c r="C1336">
        <v>2024</v>
      </c>
      <c r="D1336" t="s">
        <v>1261</v>
      </c>
      <c r="E1336" t="s">
        <v>1262</v>
      </c>
      <c r="F1336" t="s">
        <v>57</v>
      </c>
      <c r="G1336" t="s">
        <v>39</v>
      </c>
      <c r="H1336" t="s">
        <v>36</v>
      </c>
      <c r="I1336" t="s">
        <v>31</v>
      </c>
      <c r="J1336" t="s">
        <v>27</v>
      </c>
      <c r="K1336" t="s">
        <v>32</v>
      </c>
      <c r="L1336" s="2">
        <v>8.6</v>
      </c>
      <c r="M1336" s="3">
        <v>220</v>
      </c>
      <c r="N1336">
        <v>5</v>
      </c>
      <c r="O1336">
        <v>5</v>
      </c>
      <c r="P1336">
        <v>1</v>
      </c>
      <c r="Q1336">
        <v>0</v>
      </c>
      <c r="R1336" s="4">
        <v>9.94</v>
      </c>
      <c r="S1336">
        <v>0</v>
      </c>
      <c r="T1336">
        <v>1</v>
      </c>
    </row>
    <row r="1337" spans="1:20" ht="16.5" x14ac:dyDescent="0.3">
      <c r="A1337" t="s">
        <v>1385</v>
      </c>
      <c r="B1337" s="1">
        <v>45494</v>
      </c>
      <c r="C1337">
        <v>2024</v>
      </c>
      <c r="D1337" t="s">
        <v>1261</v>
      </c>
      <c r="E1337" t="s">
        <v>1262</v>
      </c>
      <c r="F1337" t="s">
        <v>57</v>
      </c>
      <c r="G1337" t="s">
        <v>39</v>
      </c>
      <c r="H1337" t="s">
        <v>43</v>
      </c>
      <c r="I1337" t="s">
        <v>26</v>
      </c>
      <c r="J1337" t="s">
        <v>27</v>
      </c>
      <c r="K1337" t="s">
        <v>32</v>
      </c>
      <c r="L1337" s="2">
        <v>8.6999999999999993</v>
      </c>
      <c r="M1337" s="3">
        <v>1115</v>
      </c>
      <c r="N1337">
        <v>5</v>
      </c>
      <c r="O1337">
        <v>4</v>
      </c>
      <c r="P1337">
        <v>1</v>
      </c>
      <c r="Q1337">
        <v>0</v>
      </c>
      <c r="R1337" s="4">
        <v>24.33</v>
      </c>
      <c r="S1337">
        <v>0</v>
      </c>
      <c r="T1337">
        <v>1</v>
      </c>
    </row>
    <row r="1338" spans="1:20" ht="16.5" x14ac:dyDescent="0.3">
      <c r="A1338" t="s">
        <v>1386</v>
      </c>
      <c r="B1338" s="1">
        <v>45494</v>
      </c>
      <c r="C1338">
        <v>2024</v>
      </c>
      <c r="D1338" t="s">
        <v>1261</v>
      </c>
      <c r="E1338" t="s">
        <v>1262</v>
      </c>
      <c r="F1338" t="s">
        <v>57</v>
      </c>
      <c r="G1338" t="s">
        <v>39</v>
      </c>
      <c r="H1338" t="s">
        <v>48</v>
      </c>
      <c r="I1338" t="s">
        <v>26</v>
      </c>
      <c r="J1338" t="s">
        <v>27</v>
      </c>
      <c r="K1338" t="s">
        <v>32</v>
      </c>
      <c r="L1338" s="2">
        <v>3.9</v>
      </c>
      <c r="M1338" s="3">
        <v>372</v>
      </c>
      <c r="N1338">
        <v>4</v>
      </c>
      <c r="O1338">
        <v>3</v>
      </c>
      <c r="P1338">
        <v>1</v>
      </c>
      <c r="Q1338">
        <v>0</v>
      </c>
      <c r="R1338" s="4">
        <v>13.36</v>
      </c>
      <c r="S1338">
        <v>0</v>
      </c>
      <c r="T1338">
        <v>1</v>
      </c>
    </row>
    <row r="1339" spans="1:20" ht="16.5" x14ac:dyDescent="0.3">
      <c r="A1339" t="s">
        <v>1387</v>
      </c>
      <c r="B1339" s="1">
        <v>45495</v>
      </c>
      <c r="C1339">
        <v>2024</v>
      </c>
      <c r="D1339" t="s">
        <v>1261</v>
      </c>
      <c r="E1339" t="s">
        <v>1262</v>
      </c>
      <c r="F1339" t="s">
        <v>30</v>
      </c>
      <c r="G1339" t="s">
        <v>35</v>
      </c>
      <c r="H1339" t="s">
        <v>36</v>
      </c>
      <c r="I1339" t="s">
        <v>40</v>
      </c>
      <c r="J1339" t="s">
        <v>27</v>
      </c>
      <c r="K1339" t="s">
        <v>28</v>
      </c>
      <c r="L1339" s="2">
        <v>175.5</v>
      </c>
      <c r="M1339" s="3">
        <v>316</v>
      </c>
      <c r="N1339">
        <v>1</v>
      </c>
      <c r="O1339">
        <v>1</v>
      </c>
      <c r="P1339">
        <v>1</v>
      </c>
      <c r="Q1339">
        <v>0</v>
      </c>
      <c r="R1339" s="4">
        <v>171.53</v>
      </c>
      <c r="S1339">
        <v>0</v>
      </c>
      <c r="T1339">
        <v>1</v>
      </c>
    </row>
    <row r="1340" spans="1:20" ht="16.5" x14ac:dyDescent="0.3">
      <c r="A1340" t="s">
        <v>1388</v>
      </c>
      <c r="B1340" s="1">
        <v>45495</v>
      </c>
      <c r="C1340">
        <v>2024</v>
      </c>
      <c r="D1340" t="s">
        <v>1261</v>
      </c>
      <c r="E1340" t="s">
        <v>1262</v>
      </c>
      <c r="F1340" t="s">
        <v>57</v>
      </c>
      <c r="G1340" t="s">
        <v>39</v>
      </c>
      <c r="H1340" t="s">
        <v>36</v>
      </c>
      <c r="I1340" t="s">
        <v>26</v>
      </c>
      <c r="J1340" t="s">
        <v>27</v>
      </c>
      <c r="K1340" t="s">
        <v>32</v>
      </c>
      <c r="L1340" s="2">
        <v>2.4</v>
      </c>
      <c r="M1340" s="3">
        <v>266</v>
      </c>
      <c r="N1340">
        <v>3</v>
      </c>
      <c r="O1340">
        <v>3</v>
      </c>
      <c r="P1340">
        <v>1</v>
      </c>
      <c r="Q1340">
        <v>0</v>
      </c>
      <c r="R1340" s="4">
        <v>11.37</v>
      </c>
      <c r="S1340">
        <v>0</v>
      </c>
      <c r="T1340">
        <v>1</v>
      </c>
    </row>
    <row r="1341" spans="1:20" ht="16.5" x14ac:dyDescent="0.3">
      <c r="A1341" t="s">
        <v>1389</v>
      </c>
      <c r="B1341" s="1">
        <v>45495</v>
      </c>
      <c r="C1341">
        <v>2024</v>
      </c>
      <c r="D1341" t="s">
        <v>1261</v>
      </c>
      <c r="E1341" t="s">
        <v>1262</v>
      </c>
      <c r="F1341" t="s">
        <v>38</v>
      </c>
      <c r="G1341" t="s">
        <v>39</v>
      </c>
      <c r="H1341" t="s">
        <v>25</v>
      </c>
      <c r="I1341" t="s">
        <v>40</v>
      </c>
      <c r="J1341" t="s">
        <v>41</v>
      </c>
      <c r="K1341" t="s">
        <v>28</v>
      </c>
      <c r="L1341" s="2">
        <v>98.7</v>
      </c>
      <c r="M1341" s="3">
        <v>675</v>
      </c>
      <c r="N1341">
        <v>2</v>
      </c>
      <c r="O1341">
        <v>1</v>
      </c>
      <c r="P1341">
        <v>1</v>
      </c>
      <c r="Q1341">
        <v>0</v>
      </c>
      <c r="R1341" s="4">
        <v>194.13</v>
      </c>
      <c r="S1341">
        <v>0</v>
      </c>
      <c r="T1341">
        <v>1</v>
      </c>
    </row>
    <row r="1342" spans="1:20" ht="16.5" x14ac:dyDescent="0.3">
      <c r="A1342" t="s">
        <v>1390</v>
      </c>
      <c r="B1342" s="1">
        <v>45495</v>
      </c>
      <c r="C1342">
        <v>2024</v>
      </c>
      <c r="D1342" t="s">
        <v>1261</v>
      </c>
      <c r="E1342" t="s">
        <v>1262</v>
      </c>
      <c r="F1342" t="s">
        <v>23</v>
      </c>
      <c r="G1342" t="s">
        <v>39</v>
      </c>
      <c r="H1342" t="s">
        <v>48</v>
      </c>
      <c r="I1342" t="s">
        <v>26</v>
      </c>
      <c r="J1342" t="s">
        <v>27</v>
      </c>
      <c r="K1342" t="s">
        <v>32</v>
      </c>
      <c r="L1342" s="2">
        <v>2</v>
      </c>
      <c r="M1342" s="3">
        <v>534</v>
      </c>
      <c r="N1342">
        <v>4</v>
      </c>
      <c r="O1342">
        <v>4</v>
      </c>
      <c r="P1342">
        <v>1</v>
      </c>
      <c r="Q1342">
        <v>0</v>
      </c>
      <c r="R1342" s="4">
        <v>14.52</v>
      </c>
      <c r="S1342">
        <v>0</v>
      </c>
      <c r="T1342">
        <v>1</v>
      </c>
    </row>
    <row r="1343" spans="1:20" ht="16.5" x14ac:dyDescent="0.3">
      <c r="A1343" t="s">
        <v>1391</v>
      </c>
      <c r="B1343" s="1">
        <v>45495</v>
      </c>
      <c r="C1343">
        <v>2024</v>
      </c>
      <c r="D1343" t="s">
        <v>1261</v>
      </c>
      <c r="E1343" t="s">
        <v>1262</v>
      </c>
      <c r="F1343" t="s">
        <v>34</v>
      </c>
      <c r="G1343" t="s">
        <v>35</v>
      </c>
      <c r="H1343" t="s">
        <v>36</v>
      </c>
      <c r="I1343" t="s">
        <v>26</v>
      </c>
      <c r="J1343" t="s">
        <v>27</v>
      </c>
      <c r="K1343" t="s">
        <v>32</v>
      </c>
      <c r="L1343" s="2">
        <v>2.4</v>
      </c>
      <c r="M1343" s="3">
        <v>168</v>
      </c>
      <c r="N1343">
        <v>3</v>
      </c>
      <c r="O1343">
        <v>3</v>
      </c>
      <c r="P1343">
        <v>1</v>
      </c>
      <c r="Q1343">
        <v>0</v>
      </c>
      <c r="R1343" s="4">
        <v>9.1999999999999993</v>
      </c>
      <c r="S1343">
        <v>0</v>
      </c>
      <c r="T1343">
        <v>1</v>
      </c>
    </row>
    <row r="1344" spans="1:20" ht="16.5" x14ac:dyDescent="0.3">
      <c r="A1344" t="s">
        <v>1392</v>
      </c>
      <c r="B1344" s="1">
        <v>45495</v>
      </c>
      <c r="C1344">
        <v>2024</v>
      </c>
      <c r="D1344" t="s">
        <v>1261</v>
      </c>
      <c r="E1344" t="s">
        <v>1262</v>
      </c>
      <c r="F1344" t="s">
        <v>57</v>
      </c>
      <c r="G1344" t="s">
        <v>39</v>
      </c>
      <c r="H1344" t="s">
        <v>25</v>
      </c>
      <c r="I1344" t="s">
        <v>26</v>
      </c>
      <c r="J1344" t="s">
        <v>27</v>
      </c>
      <c r="K1344" t="s">
        <v>32</v>
      </c>
      <c r="L1344" s="2">
        <v>4.0999999999999996</v>
      </c>
      <c r="M1344" s="3">
        <v>803</v>
      </c>
      <c r="N1344">
        <v>4</v>
      </c>
      <c r="O1344">
        <v>8</v>
      </c>
      <c r="P1344">
        <v>0</v>
      </c>
      <c r="Q1344">
        <v>4</v>
      </c>
      <c r="R1344" s="4">
        <v>18.350000000000001</v>
      </c>
      <c r="S1344">
        <v>0</v>
      </c>
      <c r="T1344">
        <v>1</v>
      </c>
    </row>
    <row r="1345" spans="1:20" ht="16.5" x14ac:dyDescent="0.3">
      <c r="A1345" t="s">
        <v>1393</v>
      </c>
      <c r="B1345" s="1">
        <v>45495</v>
      </c>
      <c r="C1345">
        <v>2024</v>
      </c>
      <c r="D1345" t="s">
        <v>1261</v>
      </c>
      <c r="E1345" t="s">
        <v>1262</v>
      </c>
      <c r="F1345" t="s">
        <v>34</v>
      </c>
      <c r="G1345" t="s">
        <v>39</v>
      </c>
      <c r="H1345" t="s">
        <v>25</v>
      </c>
      <c r="I1345" t="s">
        <v>26</v>
      </c>
      <c r="J1345" t="s">
        <v>27</v>
      </c>
      <c r="K1345" t="s">
        <v>32</v>
      </c>
      <c r="L1345" s="2">
        <v>16.7</v>
      </c>
      <c r="M1345" s="3">
        <v>959</v>
      </c>
      <c r="N1345">
        <v>4</v>
      </c>
      <c r="O1345">
        <v>6</v>
      </c>
      <c r="P1345">
        <v>0</v>
      </c>
      <c r="Q1345">
        <v>2</v>
      </c>
      <c r="R1345" s="4">
        <v>25.59</v>
      </c>
      <c r="S1345">
        <v>0</v>
      </c>
      <c r="T1345">
        <v>1</v>
      </c>
    </row>
    <row r="1346" spans="1:20" ht="16.5" x14ac:dyDescent="0.3">
      <c r="A1346" t="s">
        <v>1394</v>
      </c>
      <c r="B1346" s="1">
        <v>45495</v>
      </c>
      <c r="C1346">
        <v>2024</v>
      </c>
      <c r="D1346" t="s">
        <v>1261</v>
      </c>
      <c r="E1346" t="s">
        <v>1262</v>
      </c>
      <c r="F1346" t="s">
        <v>38</v>
      </c>
      <c r="G1346" t="s">
        <v>35</v>
      </c>
      <c r="H1346" t="s">
        <v>25</v>
      </c>
      <c r="I1346" t="s">
        <v>40</v>
      </c>
      <c r="J1346" t="s">
        <v>41</v>
      </c>
      <c r="K1346" t="s">
        <v>28</v>
      </c>
      <c r="L1346" s="2">
        <v>173.3</v>
      </c>
      <c r="M1346" s="3">
        <v>862</v>
      </c>
      <c r="N1346">
        <v>2</v>
      </c>
      <c r="O1346">
        <v>2</v>
      </c>
      <c r="P1346">
        <v>1</v>
      </c>
      <c r="Q1346">
        <v>0</v>
      </c>
      <c r="R1346" s="4">
        <v>314.32</v>
      </c>
      <c r="S1346">
        <v>0</v>
      </c>
      <c r="T1346">
        <v>1</v>
      </c>
    </row>
    <row r="1347" spans="1:20" ht="16.5" x14ac:dyDescent="0.3">
      <c r="A1347" t="s">
        <v>1395</v>
      </c>
      <c r="B1347" s="1">
        <v>45495</v>
      </c>
      <c r="C1347">
        <v>2024</v>
      </c>
      <c r="D1347" t="s">
        <v>1261</v>
      </c>
      <c r="E1347" t="s">
        <v>1262</v>
      </c>
      <c r="F1347" t="s">
        <v>57</v>
      </c>
      <c r="G1347" t="s">
        <v>39</v>
      </c>
      <c r="H1347" t="s">
        <v>25</v>
      </c>
      <c r="I1347" t="s">
        <v>26</v>
      </c>
      <c r="J1347" t="s">
        <v>27</v>
      </c>
      <c r="K1347" t="s">
        <v>32</v>
      </c>
      <c r="L1347" s="2">
        <v>1.7</v>
      </c>
      <c r="M1347" s="3">
        <v>1029</v>
      </c>
      <c r="N1347">
        <v>4</v>
      </c>
      <c r="O1347">
        <v>4</v>
      </c>
      <c r="P1347">
        <v>1</v>
      </c>
      <c r="Q1347">
        <v>0</v>
      </c>
      <c r="R1347" s="4">
        <v>19.63</v>
      </c>
      <c r="S1347">
        <v>0</v>
      </c>
      <c r="T1347">
        <v>1</v>
      </c>
    </row>
    <row r="1348" spans="1:20" ht="16.5" x14ac:dyDescent="0.3">
      <c r="A1348" t="s">
        <v>1396</v>
      </c>
      <c r="B1348" s="1">
        <v>45495</v>
      </c>
      <c r="C1348">
        <v>2024</v>
      </c>
      <c r="D1348" t="s">
        <v>1261</v>
      </c>
      <c r="E1348" t="s">
        <v>1262</v>
      </c>
      <c r="F1348" t="s">
        <v>30</v>
      </c>
      <c r="G1348" t="s">
        <v>39</v>
      </c>
      <c r="H1348" t="s">
        <v>48</v>
      </c>
      <c r="I1348" t="s">
        <v>26</v>
      </c>
      <c r="J1348" t="s">
        <v>27</v>
      </c>
      <c r="K1348" t="s">
        <v>32</v>
      </c>
      <c r="L1348" s="2">
        <v>5.6</v>
      </c>
      <c r="M1348" s="3">
        <v>478</v>
      </c>
      <c r="N1348">
        <v>4</v>
      </c>
      <c r="O1348">
        <v>5</v>
      </c>
      <c r="P1348">
        <v>0</v>
      </c>
      <c r="Q1348">
        <v>1</v>
      </c>
      <c r="R1348" s="4">
        <v>17.329999999999998</v>
      </c>
      <c r="S1348">
        <v>0</v>
      </c>
      <c r="T1348">
        <v>1</v>
      </c>
    </row>
    <row r="1349" spans="1:20" ht="16.5" x14ac:dyDescent="0.3">
      <c r="A1349" t="s">
        <v>1397</v>
      </c>
      <c r="B1349" s="1">
        <v>45496</v>
      </c>
      <c r="C1349">
        <v>2024</v>
      </c>
      <c r="D1349" t="s">
        <v>1261</v>
      </c>
      <c r="E1349" t="s">
        <v>1262</v>
      </c>
      <c r="F1349" t="s">
        <v>34</v>
      </c>
      <c r="G1349" t="s">
        <v>24</v>
      </c>
      <c r="H1349" t="s">
        <v>25</v>
      </c>
      <c r="I1349" t="s">
        <v>26</v>
      </c>
      <c r="J1349" t="s">
        <v>27</v>
      </c>
      <c r="K1349" t="s">
        <v>28</v>
      </c>
      <c r="L1349" s="2">
        <v>12.2</v>
      </c>
      <c r="M1349" s="3">
        <v>980</v>
      </c>
      <c r="N1349">
        <v>4</v>
      </c>
      <c r="O1349">
        <v>4</v>
      </c>
      <c r="P1349">
        <v>1</v>
      </c>
      <c r="Q1349">
        <v>0</v>
      </c>
      <c r="R1349" s="4">
        <v>22.92</v>
      </c>
      <c r="S1349">
        <v>0</v>
      </c>
      <c r="T1349">
        <v>1</v>
      </c>
    </row>
    <row r="1350" spans="1:20" ht="16.5" x14ac:dyDescent="0.3">
      <c r="A1350" t="s">
        <v>1398</v>
      </c>
      <c r="B1350" s="1">
        <v>45496</v>
      </c>
      <c r="C1350">
        <v>2024</v>
      </c>
      <c r="D1350" t="s">
        <v>1261</v>
      </c>
      <c r="E1350" t="s">
        <v>1262</v>
      </c>
      <c r="F1350" t="s">
        <v>30</v>
      </c>
      <c r="G1350" t="s">
        <v>35</v>
      </c>
      <c r="H1350" t="s">
        <v>48</v>
      </c>
      <c r="I1350" t="s">
        <v>40</v>
      </c>
      <c r="J1350" t="s">
        <v>27</v>
      </c>
      <c r="K1350" t="s">
        <v>32</v>
      </c>
      <c r="L1350" s="2">
        <v>12.2</v>
      </c>
      <c r="M1350" s="3">
        <v>527</v>
      </c>
      <c r="N1350">
        <v>2</v>
      </c>
      <c r="O1350">
        <v>2</v>
      </c>
      <c r="P1350">
        <v>1</v>
      </c>
      <c r="Q1350">
        <v>0</v>
      </c>
      <c r="R1350" s="4">
        <v>40.43</v>
      </c>
      <c r="S1350">
        <v>0</v>
      </c>
      <c r="T1350">
        <v>1</v>
      </c>
    </row>
    <row r="1351" spans="1:20" ht="16.5" x14ac:dyDescent="0.3">
      <c r="A1351" t="s">
        <v>1399</v>
      </c>
      <c r="B1351" s="1">
        <v>45496</v>
      </c>
      <c r="C1351">
        <v>2024</v>
      </c>
      <c r="D1351" t="s">
        <v>1261</v>
      </c>
      <c r="E1351" t="s">
        <v>1262</v>
      </c>
      <c r="F1351" t="s">
        <v>34</v>
      </c>
      <c r="G1351" t="s">
        <v>39</v>
      </c>
      <c r="H1351" t="s">
        <v>48</v>
      </c>
      <c r="I1351" t="s">
        <v>40</v>
      </c>
      <c r="J1351" t="s">
        <v>27</v>
      </c>
      <c r="K1351" t="s">
        <v>32</v>
      </c>
      <c r="L1351" s="2">
        <v>2.1</v>
      </c>
      <c r="M1351" s="3">
        <v>402</v>
      </c>
      <c r="N1351">
        <v>2</v>
      </c>
      <c r="O1351">
        <v>1</v>
      </c>
      <c r="P1351">
        <v>1</v>
      </c>
      <c r="Q1351">
        <v>0</v>
      </c>
      <c r="R1351" s="4">
        <v>21.81</v>
      </c>
      <c r="S1351">
        <v>0</v>
      </c>
      <c r="T1351">
        <v>1</v>
      </c>
    </row>
    <row r="1352" spans="1:20" ht="16.5" x14ac:dyDescent="0.3">
      <c r="A1352" t="s">
        <v>1400</v>
      </c>
      <c r="B1352" s="1">
        <v>45496</v>
      </c>
      <c r="C1352">
        <v>2024</v>
      </c>
      <c r="D1352" t="s">
        <v>1261</v>
      </c>
      <c r="E1352" t="s">
        <v>1262</v>
      </c>
      <c r="F1352" t="s">
        <v>57</v>
      </c>
      <c r="G1352" t="s">
        <v>39</v>
      </c>
      <c r="H1352" t="s">
        <v>25</v>
      </c>
      <c r="I1352" t="s">
        <v>26</v>
      </c>
      <c r="J1352" t="s">
        <v>27</v>
      </c>
      <c r="K1352" t="s">
        <v>28</v>
      </c>
      <c r="L1352" s="2">
        <v>83.3</v>
      </c>
      <c r="M1352" s="3">
        <v>663</v>
      </c>
      <c r="N1352">
        <v>4</v>
      </c>
      <c r="O1352">
        <v>4</v>
      </c>
      <c r="P1352">
        <v>1</v>
      </c>
      <c r="Q1352">
        <v>0</v>
      </c>
      <c r="R1352" s="4">
        <v>55.69</v>
      </c>
      <c r="S1352">
        <v>0</v>
      </c>
      <c r="T1352">
        <v>1</v>
      </c>
    </row>
    <row r="1353" spans="1:20" ht="16.5" x14ac:dyDescent="0.3">
      <c r="A1353" t="s">
        <v>1401</v>
      </c>
      <c r="B1353" s="1">
        <v>45496</v>
      </c>
      <c r="C1353">
        <v>2024</v>
      </c>
      <c r="D1353" t="s">
        <v>1261</v>
      </c>
      <c r="E1353" t="s">
        <v>1262</v>
      </c>
      <c r="F1353" t="s">
        <v>38</v>
      </c>
      <c r="G1353" t="s">
        <v>39</v>
      </c>
      <c r="H1353" t="s">
        <v>36</v>
      </c>
      <c r="I1353" t="s">
        <v>26</v>
      </c>
      <c r="J1353" t="s">
        <v>27</v>
      </c>
      <c r="K1353" t="s">
        <v>28</v>
      </c>
      <c r="L1353" s="2">
        <v>164.8</v>
      </c>
      <c r="M1353" s="3">
        <v>260</v>
      </c>
      <c r="N1353">
        <v>3</v>
      </c>
      <c r="O1353">
        <v>3</v>
      </c>
      <c r="P1353">
        <v>1</v>
      </c>
      <c r="Q1353">
        <v>0</v>
      </c>
      <c r="R1353" s="4">
        <v>86.21</v>
      </c>
      <c r="S1353">
        <v>0</v>
      </c>
      <c r="T1353">
        <v>1</v>
      </c>
    </row>
    <row r="1354" spans="1:20" ht="16.5" x14ac:dyDescent="0.3">
      <c r="A1354" t="s">
        <v>1402</v>
      </c>
      <c r="B1354" s="1">
        <v>45496</v>
      </c>
      <c r="C1354">
        <v>2024</v>
      </c>
      <c r="D1354" t="s">
        <v>1261</v>
      </c>
      <c r="E1354" t="s">
        <v>1262</v>
      </c>
      <c r="F1354" t="s">
        <v>34</v>
      </c>
      <c r="G1354" t="s">
        <v>39</v>
      </c>
      <c r="H1354" t="s">
        <v>43</v>
      </c>
      <c r="I1354" t="s">
        <v>40</v>
      </c>
      <c r="J1354" t="s">
        <v>41</v>
      </c>
      <c r="K1354" t="s">
        <v>28</v>
      </c>
      <c r="L1354" s="2">
        <v>53.2</v>
      </c>
      <c r="M1354" s="3">
        <v>1056</v>
      </c>
      <c r="N1354">
        <v>3</v>
      </c>
      <c r="O1354">
        <v>2</v>
      </c>
      <c r="P1354">
        <v>1</v>
      </c>
      <c r="Q1354">
        <v>0</v>
      </c>
      <c r="R1354" s="4">
        <v>139.88999999999999</v>
      </c>
      <c r="S1354">
        <v>0</v>
      </c>
      <c r="T1354">
        <v>1</v>
      </c>
    </row>
    <row r="1355" spans="1:20" ht="16.5" x14ac:dyDescent="0.3">
      <c r="A1355" t="s">
        <v>1403</v>
      </c>
      <c r="B1355" s="1">
        <v>45497</v>
      </c>
      <c r="C1355">
        <v>2024</v>
      </c>
      <c r="D1355" t="s">
        <v>1261</v>
      </c>
      <c r="E1355" t="s">
        <v>1262</v>
      </c>
      <c r="F1355" t="s">
        <v>30</v>
      </c>
      <c r="G1355" t="s">
        <v>39</v>
      </c>
      <c r="H1355" t="s">
        <v>51</v>
      </c>
      <c r="I1355" t="s">
        <v>40</v>
      </c>
      <c r="J1355" t="s">
        <v>41</v>
      </c>
      <c r="K1355" t="s">
        <v>32</v>
      </c>
      <c r="L1355" s="2">
        <v>6.6</v>
      </c>
      <c r="M1355" s="3">
        <v>814</v>
      </c>
      <c r="N1355">
        <v>3</v>
      </c>
      <c r="O1355">
        <v>2</v>
      </c>
      <c r="P1355">
        <v>1</v>
      </c>
      <c r="Q1355">
        <v>0</v>
      </c>
      <c r="R1355" s="4">
        <v>65.66</v>
      </c>
      <c r="S1355">
        <v>0</v>
      </c>
      <c r="T1355">
        <v>1</v>
      </c>
    </row>
    <row r="1356" spans="1:20" ht="16.5" x14ac:dyDescent="0.3">
      <c r="A1356" t="s">
        <v>1404</v>
      </c>
      <c r="B1356" s="1">
        <v>45497</v>
      </c>
      <c r="C1356">
        <v>2024</v>
      </c>
      <c r="D1356" t="s">
        <v>1261</v>
      </c>
      <c r="E1356" t="s">
        <v>1262</v>
      </c>
      <c r="F1356" t="s">
        <v>30</v>
      </c>
      <c r="G1356" t="s">
        <v>35</v>
      </c>
      <c r="H1356" t="s">
        <v>36</v>
      </c>
      <c r="I1356" t="s">
        <v>40</v>
      </c>
      <c r="J1356" t="s">
        <v>27</v>
      </c>
      <c r="K1356" t="s">
        <v>28</v>
      </c>
      <c r="L1356" s="2">
        <v>20.5</v>
      </c>
      <c r="M1356" s="3">
        <v>213</v>
      </c>
      <c r="N1356">
        <v>1</v>
      </c>
      <c r="O1356">
        <v>1</v>
      </c>
      <c r="P1356">
        <v>1</v>
      </c>
      <c r="Q1356">
        <v>0</v>
      </c>
      <c r="R1356" s="4">
        <v>37.659999999999997</v>
      </c>
      <c r="S1356">
        <v>0</v>
      </c>
      <c r="T1356">
        <v>1</v>
      </c>
    </row>
    <row r="1357" spans="1:20" ht="16.5" x14ac:dyDescent="0.3">
      <c r="A1357" t="s">
        <v>1405</v>
      </c>
      <c r="B1357" s="1">
        <v>45497</v>
      </c>
      <c r="C1357">
        <v>2024</v>
      </c>
      <c r="D1357" t="s">
        <v>1261</v>
      </c>
      <c r="E1357" t="s">
        <v>1262</v>
      </c>
      <c r="F1357" t="s">
        <v>34</v>
      </c>
      <c r="G1357" t="s">
        <v>24</v>
      </c>
      <c r="H1357" t="s">
        <v>43</v>
      </c>
      <c r="I1357" t="s">
        <v>26</v>
      </c>
      <c r="J1357" t="s">
        <v>27</v>
      </c>
      <c r="K1357" t="s">
        <v>32</v>
      </c>
      <c r="L1357" s="2">
        <v>7.1</v>
      </c>
      <c r="M1357" s="3">
        <v>1296</v>
      </c>
      <c r="N1357">
        <v>5</v>
      </c>
      <c r="O1357">
        <v>5</v>
      </c>
      <c r="P1357">
        <v>1</v>
      </c>
      <c r="Q1357">
        <v>0</v>
      </c>
      <c r="R1357" s="4">
        <v>23.23</v>
      </c>
      <c r="S1357">
        <v>0</v>
      </c>
      <c r="T1357">
        <v>1</v>
      </c>
    </row>
    <row r="1358" spans="1:20" ht="16.5" x14ac:dyDescent="0.3">
      <c r="A1358" t="s">
        <v>1406</v>
      </c>
      <c r="B1358" s="1">
        <v>45497</v>
      </c>
      <c r="C1358">
        <v>2024</v>
      </c>
      <c r="D1358" t="s">
        <v>1261</v>
      </c>
      <c r="E1358" t="s">
        <v>1262</v>
      </c>
      <c r="F1358" t="s">
        <v>57</v>
      </c>
      <c r="G1358" t="s">
        <v>24</v>
      </c>
      <c r="H1358" t="s">
        <v>25</v>
      </c>
      <c r="I1358" t="s">
        <v>31</v>
      </c>
      <c r="J1358" t="s">
        <v>27</v>
      </c>
      <c r="K1358" t="s">
        <v>28</v>
      </c>
      <c r="L1358" s="2">
        <v>29.9</v>
      </c>
      <c r="M1358" s="3">
        <v>881</v>
      </c>
      <c r="N1358">
        <v>6</v>
      </c>
      <c r="O1358">
        <v>6</v>
      </c>
      <c r="P1358">
        <v>1</v>
      </c>
      <c r="Q1358">
        <v>0</v>
      </c>
      <c r="R1358" s="4">
        <v>22.63</v>
      </c>
      <c r="S1358">
        <v>0</v>
      </c>
      <c r="T1358">
        <v>1</v>
      </c>
    </row>
    <row r="1359" spans="1:20" ht="16.5" x14ac:dyDescent="0.3">
      <c r="A1359" t="s">
        <v>1407</v>
      </c>
      <c r="B1359" s="1">
        <v>45497</v>
      </c>
      <c r="C1359">
        <v>2024</v>
      </c>
      <c r="D1359" t="s">
        <v>1261</v>
      </c>
      <c r="E1359" t="s">
        <v>1262</v>
      </c>
      <c r="F1359" t="s">
        <v>38</v>
      </c>
      <c r="G1359" t="s">
        <v>35</v>
      </c>
      <c r="H1359" t="s">
        <v>48</v>
      </c>
      <c r="I1359" t="s">
        <v>26</v>
      </c>
      <c r="J1359" t="s">
        <v>27</v>
      </c>
      <c r="K1359" t="s">
        <v>28</v>
      </c>
      <c r="L1359" s="2">
        <v>277.7</v>
      </c>
      <c r="M1359" s="3">
        <v>403</v>
      </c>
      <c r="N1359">
        <v>4</v>
      </c>
      <c r="O1359">
        <v>4</v>
      </c>
      <c r="P1359">
        <v>1</v>
      </c>
      <c r="Q1359">
        <v>0</v>
      </c>
      <c r="R1359" s="4">
        <v>133.9</v>
      </c>
      <c r="S1359">
        <v>0</v>
      </c>
      <c r="T1359">
        <v>1</v>
      </c>
    </row>
    <row r="1360" spans="1:20" ht="16.5" x14ac:dyDescent="0.3">
      <c r="A1360" t="s">
        <v>1408</v>
      </c>
      <c r="B1360" s="1">
        <v>45497</v>
      </c>
      <c r="C1360">
        <v>2024</v>
      </c>
      <c r="D1360" t="s">
        <v>1261</v>
      </c>
      <c r="E1360" t="s">
        <v>1262</v>
      </c>
      <c r="F1360" t="s">
        <v>57</v>
      </c>
      <c r="G1360" t="s">
        <v>35</v>
      </c>
      <c r="H1360" t="s">
        <v>36</v>
      </c>
      <c r="I1360" t="s">
        <v>31</v>
      </c>
      <c r="J1360" t="s">
        <v>27</v>
      </c>
      <c r="K1360" t="s">
        <v>32</v>
      </c>
      <c r="L1360" s="2">
        <v>6</v>
      </c>
      <c r="M1360" s="3">
        <v>199</v>
      </c>
      <c r="N1360">
        <v>5</v>
      </c>
      <c r="O1360">
        <v>5</v>
      </c>
      <c r="P1360">
        <v>1</v>
      </c>
      <c r="Q1360">
        <v>0</v>
      </c>
      <c r="R1360" s="4">
        <v>9.7799999999999994</v>
      </c>
      <c r="S1360">
        <v>0</v>
      </c>
      <c r="T1360">
        <v>1</v>
      </c>
    </row>
    <row r="1361" spans="1:20" ht="16.5" x14ac:dyDescent="0.3">
      <c r="A1361" t="s">
        <v>1409</v>
      </c>
      <c r="B1361" s="1">
        <v>45498</v>
      </c>
      <c r="C1361">
        <v>2024</v>
      </c>
      <c r="D1361" t="s">
        <v>1261</v>
      </c>
      <c r="E1361" t="s">
        <v>1262</v>
      </c>
      <c r="F1361" t="s">
        <v>57</v>
      </c>
      <c r="G1361" t="s">
        <v>35</v>
      </c>
      <c r="H1361" t="s">
        <v>36</v>
      </c>
      <c r="I1361" t="s">
        <v>26</v>
      </c>
      <c r="J1361" t="s">
        <v>27</v>
      </c>
      <c r="K1361" t="s">
        <v>32</v>
      </c>
      <c r="L1361" s="2">
        <v>0.7</v>
      </c>
      <c r="M1361" s="3">
        <v>300</v>
      </c>
      <c r="N1361">
        <v>3</v>
      </c>
      <c r="O1361">
        <v>3</v>
      </c>
      <c r="P1361">
        <v>1</v>
      </c>
      <c r="Q1361">
        <v>0</v>
      </c>
      <c r="R1361" s="4">
        <v>9.7100000000000009</v>
      </c>
      <c r="S1361">
        <v>0</v>
      </c>
      <c r="T1361">
        <v>1</v>
      </c>
    </row>
    <row r="1362" spans="1:20" ht="16.5" x14ac:dyDescent="0.3">
      <c r="A1362" t="s">
        <v>1410</v>
      </c>
      <c r="B1362" s="1">
        <v>45498</v>
      </c>
      <c r="C1362">
        <v>2024</v>
      </c>
      <c r="D1362" t="s">
        <v>1261</v>
      </c>
      <c r="E1362" t="s">
        <v>1262</v>
      </c>
      <c r="F1362" t="s">
        <v>34</v>
      </c>
      <c r="G1362" t="s">
        <v>39</v>
      </c>
      <c r="H1362" t="s">
        <v>36</v>
      </c>
      <c r="I1362" t="s">
        <v>26</v>
      </c>
      <c r="J1362" t="s">
        <v>27</v>
      </c>
      <c r="K1362" t="s">
        <v>32</v>
      </c>
      <c r="L1362" s="2">
        <v>9.9</v>
      </c>
      <c r="M1362" s="3">
        <v>260</v>
      </c>
      <c r="N1362">
        <v>3</v>
      </c>
      <c r="O1362">
        <v>3</v>
      </c>
      <c r="P1362">
        <v>1</v>
      </c>
      <c r="Q1362">
        <v>0</v>
      </c>
      <c r="R1362" s="4">
        <v>13.26</v>
      </c>
      <c r="S1362">
        <v>0</v>
      </c>
      <c r="T1362">
        <v>1</v>
      </c>
    </row>
    <row r="1363" spans="1:20" ht="16.5" x14ac:dyDescent="0.3">
      <c r="A1363" t="s">
        <v>1411</v>
      </c>
      <c r="B1363" s="1">
        <v>45498</v>
      </c>
      <c r="C1363">
        <v>2024</v>
      </c>
      <c r="D1363" t="s">
        <v>1261</v>
      </c>
      <c r="E1363" t="s">
        <v>1262</v>
      </c>
      <c r="F1363" t="s">
        <v>34</v>
      </c>
      <c r="G1363" t="s">
        <v>39</v>
      </c>
      <c r="H1363" t="s">
        <v>48</v>
      </c>
      <c r="I1363" t="s">
        <v>31</v>
      </c>
      <c r="J1363" t="s">
        <v>27</v>
      </c>
      <c r="K1363" t="s">
        <v>28</v>
      </c>
      <c r="L1363" s="2">
        <v>326.5</v>
      </c>
      <c r="M1363" s="3">
        <v>498</v>
      </c>
      <c r="N1363">
        <v>6</v>
      </c>
      <c r="O1363">
        <v>8</v>
      </c>
      <c r="P1363">
        <v>0</v>
      </c>
      <c r="Q1363">
        <v>2</v>
      </c>
      <c r="R1363" s="4">
        <v>83.2</v>
      </c>
      <c r="S1363">
        <v>0</v>
      </c>
      <c r="T1363">
        <v>1</v>
      </c>
    </row>
    <row r="1364" spans="1:20" ht="16.5" x14ac:dyDescent="0.3">
      <c r="A1364" t="s">
        <v>1412</v>
      </c>
      <c r="B1364" s="1">
        <v>45498</v>
      </c>
      <c r="C1364">
        <v>2024</v>
      </c>
      <c r="D1364" t="s">
        <v>1261</v>
      </c>
      <c r="E1364" t="s">
        <v>1262</v>
      </c>
      <c r="F1364" t="s">
        <v>23</v>
      </c>
      <c r="G1364" t="s">
        <v>35</v>
      </c>
      <c r="H1364" t="s">
        <v>25</v>
      </c>
      <c r="I1364" t="s">
        <v>26</v>
      </c>
      <c r="J1364" t="s">
        <v>27</v>
      </c>
      <c r="K1364" t="s">
        <v>28</v>
      </c>
      <c r="L1364" s="2">
        <v>84.7</v>
      </c>
      <c r="M1364" s="3">
        <v>1048</v>
      </c>
      <c r="N1364">
        <v>4</v>
      </c>
      <c r="O1364">
        <v>3</v>
      </c>
      <c r="P1364">
        <v>1</v>
      </c>
      <c r="Q1364">
        <v>0</v>
      </c>
      <c r="R1364" s="4">
        <v>52.94</v>
      </c>
      <c r="S1364">
        <v>0</v>
      </c>
      <c r="T1364">
        <v>1</v>
      </c>
    </row>
    <row r="1365" spans="1:20" ht="16.5" x14ac:dyDescent="0.3">
      <c r="A1365" t="s">
        <v>1413</v>
      </c>
      <c r="B1365" s="1">
        <v>45498</v>
      </c>
      <c r="C1365">
        <v>2024</v>
      </c>
      <c r="D1365" t="s">
        <v>1261</v>
      </c>
      <c r="E1365" t="s">
        <v>1262</v>
      </c>
      <c r="F1365" t="s">
        <v>23</v>
      </c>
      <c r="G1365" t="s">
        <v>39</v>
      </c>
      <c r="H1365" t="s">
        <v>36</v>
      </c>
      <c r="I1365" t="s">
        <v>31</v>
      </c>
      <c r="J1365" t="s">
        <v>27</v>
      </c>
      <c r="K1365" t="s">
        <v>32</v>
      </c>
      <c r="L1365" s="2">
        <v>4.7</v>
      </c>
      <c r="M1365" s="3">
        <v>325</v>
      </c>
      <c r="N1365">
        <v>5</v>
      </c>
      <c r="O1365">
        <v>4</v>
      </c>
      <c r="P1365">
        <v>1</v>
      </c>
      <c r="Q1365">
        <v>0</v>
      </c>
      <c r="R1365" s="4">
        <v>9.65</v>
      </c>
      <c r="S1365">
        <v>0</v>
      </c>
      <c r="T1365">
        <v>1</v>
      </c>
    </row>
    <row r="1366" spans="1:20" ht="16.5" x14ac:dyDescent="0.3">
      <c r="A1366" t="s">
        <v>1414</v>
      </c>
      <c r="B1366" s="1">
        <v>45498</v>
      </c>
      <c r="C1366">
        <v>2024</v>
      </c>
      <c r="D1366" t="s">
        <v>1261</v>
      </c>
      <c r="E1366" t="s">
        <v>1262</v>
      </c>
      <c r="F1366" t="s">
        <v>38</v>
      </c>
      <c r="G1366" t="s">
        <v>35</v>
      </c>
      <c r="H1366" t="s">
        <v>43</v>
      </c>
      <c r="I1366" t="s">
        <v>31</v>
      </c>
      <c r="J1366" t="s">
        <v>27</v>
      </c>
      <c r="K1366" t="s">
        <v>32</v>
      </c>
      <c r="L1366" s="2">
        <v>5.8</v>
      </c>
      <c r="M1366" s="3">
        <v>1441</v>
      </c>
      <c r="N1366">
        <v>7</v>
      </c>
      <c r="O1366">
        <v>11</v>
      </c>
      <c r="P1366">
        <v>0</v>
      </c>
      <c r="Q1366">
        <v>4</v>
      </c>
      <c r="R1366" s="4">
        <v>22.08</v>
      </c>
      <c r="S1366">
        <v>0</v>
      </c>
      <c r="T1366">
        <v>1</v>
      </c>
    </row>
    <row r="1367" spans="1:20" ht="16.5" x14ac:dyDescent="0.3">
      <c r="A1367" t="s">
        <v>1415</v>
      </c>
      <c r="B1367" s="1">
        <v>45498</v>
      </c>
      <c r="C1367">
        <v>2024</v>
      </c>
      <c r="D1367" t="s">
        <v>1261</v>
      </c>
      <c r="E1367" t="s">
        <v>1262</v>
      </c>
      <c r="F1367" t="s">
        <v>30</v>
      </c>
      <c r="G1367" t="s">
        <v>35</v>
      </c>
      <c r="H1367" t="s">
        <v>51</v>
      </c>
      <c r="I1367" t="s">
        <v>31</v>
      </c>
      <c r="J1367" t="s">
        <v>27</v>
      </c>
      <c r="K1367" t="s">
        <v>32</v>
      </c>
      <c r="L1367" s="2">
        <v>3.7</v>
      </c>
      <c r="M1367" s="3">
        <v>1018</v>
      </c>
      <c r="N1367">
        <v>7</v>
      </c>
      <c r="O1367">
        <v>7</v>
      </c>
      <c r="P1367">
        <v>1</v>
      </c>
      <c r="Q1367">
        <v>0</v>
      </c>
      <c r="R1367" s="4">
        <v>15.92</v>
      </c>
      <c r="S1367">
        <v>0</v>
      </c>
      <c r="T1367">
        <v>1</v>
      </c>
    </row>
    <row r="1368" spans="1:20" ht="16.5" x14ac:dyDescent="0.3">
      <c r="A1368" t="s">
        <v>1416</v>
      </c>
      <c r="B1368" s="1">
        <v>45498</v>
      </c>
      <c r="C1368">
        <v>2024</v>
      </c>
      <c r="D1368" t="s">
        <v>1261</v>
      </c>
      <c r="E1368" t="s">
        <v>1262</v>
      </c>
      <c r="F1368" t="s">
        <v>34</v>
      </c>
      <c r="G1368" t="s">
        <v>39</v>
      </c>
      <c r="H1368" t="s">
        <v>48</v>
      </c>
      <c r="I1368" t="s">
        <v>26</v>
      </c>
      <c r="J1368" t="s">
        <v>27</v>
      </c>
      <c r="K1368" t="s">
        <v>32</v>
      </c>
      <c r="L1368" s="2">
        <v>0.7</v>
      </c>
      <c r="M1368" s="3">
        <v>461</v>
      </c>
      <c r="N1368">
        <v>4</v>
      </c>
      <c r="O1368">
        <v>4</v>
      </c>
      <c r="P1368">
        <v>1</v>
      </c>
      <c r="Q1368">
        <v>0</v>
      </c>
      <c r="R1368" s="4">
        <v>10.36</v>
      </c>
      <c r="S1368">
        <v>0</v>
      </c>
      <c r="T1368">
        <v>1</v>
      </c>
    </row>
    <row r="1369" spans="1:20" ht="16.5" x14ac:dyDescent="0.3">
      <c r="A1369" t="s">
        <v>1417</v>
      </c>
      <c r="B1369" s="1">
        <v>45498</v>
      </c>
      <c r="C1369">
        <v>2024</v>
      </c>
      <c r="D1369" t="s">
        <v>1261</v>
      </c>
      <c r="E1369" t="s">
        <v>1262</v>
      </c>
      <c r="F1369" t="s">
        <v>30</v>
      </c>
      <c r="G1369" t="s">
        <v>35</v>
      </c>
      <c r="H1369" t="s">
        <v>51</v>
      </c>
      <c r="I1369" t="s">
        <v>26</v>
      </c>
      <c r="J1369" t="s">
        <v>27</v>
      </c>
      <c r="K1369" t="s">
        <v>28</v>
      </c>
      <c r="L1369" s="2">
        <v>227.1</v>
      </c>
      <c r="M1369" s="3">
        <v>1028</v>
      </c>
      <c r="N1369">
        <v>5</v>
      </c>
      <c r="O1369">
        <v>5</v>
      </c>
      <c r="P1369">
        <v>1</v>
      </c>
      <c r="Q1369">
        <v>0</v>
      </c>
      <c r="R1369" s="4">
        <v>115.56</v>
      </c>
      <c r="S1369">
        <v>0</v>
      </c>
      <c r="T1369">
        <v>1</v>
      </c>
    </row>
    <row r="1370" spans="1:20" ht="16.5" x14ac:dyDescent="0.3">
      <c r="A1370" t="s">
        <v>1418</v>
      </c>
      <c r="B1370" s="1">
        <v>45499</v>
      </c>
      <c r="C1370">
        <v>2024</v>
      </c>
      <c r="D1370" t="s">
        <v>1261</v>
      </c>
      <c r="E1370" t="s">
        <v>1262</v>
      </c>
      <c r="F1370" t="s">
        <v>38</v>
      </c>
      <c r="G1370" t="s">
        <v>35</v>
      </c>
      <c r="H1370" t="s">
        <v>48</v>
      </c>
      <c r="I1370" t="s">
        <v>26</v>
      </c>
      <c r="J1370" t="s">
        <v>27</v>
      </c>
      <c r="K1370" t="s">
        <v>28</v>
      </c>
      <c r="L1370" s="2">
        <v>70.900000000000006</v>
      </c>
      <c r="M1370" s="3">
        <v>443</v>
      </c>
      <c r="N1370">
        <v>4</v>
      </c>
      <c r="O1370">
        <v>9</v>
      </c>
      <c r="P1370">
        <v>0</v>
      </c>
      <c r="Q1370">
        <v>5</v>
      </c>
      <c r="R1370" s="4">
        <v>55.39</v>
      </c>
      <c r="S1370">
        <v>0</v>
      </c>
      <c r="T1370">
        <v>1</v>
      </c>
    </row>
    <row r="1371" spans="1:20" ht="16.5" x14ac:dyDescent="0.3">
      <c r="A1371" t="s">
        <v>1419</v>
      </c>
      <c r="B1371" s="1">
        <v>45499</v>
      </c>
      <c r="C1371">
        <v>2024</v>
      </c>
      <c r="D1371" t="s">
        <v>1261</v>
      </c>
      <c r="E1371" t="s">
        <v>1262</v>
      </c>
      <c r="F1371" t="s">
        <v>30</v>
      </c>
      <c r="G1371" t="s">
        <v>39</v>
      </c>
      <c r="H1371" t="s">
        <v>36</v>
      </c>
      <c r="I1371" t="s">
        <v>26</v>
      </c>
      <c r="J1371" t="s">
        <v>27</v>
      </c>
      <c r="K1371" t="s">
        <v>28</v>
      </c>
      <c r="L1371" s="2">
        <v>201.4</v>
      </c>
      <c r="M1371" s="3">
        <v>214</v>
      </c>
      <c r="N1371">
        <v>3</v>
      </c>
      <c r="O1371">
        <v>2</v>
      </c>
      <c r="P1371">
        <v>1</v>
      </c>
      <c r="Q1371">
        <v>0</v>
      </c>
      <c r="R1371" s="4">
        <v>94.32</v>
      </c>
      <c r="S1371">
        <v>0</v>
      </c>
      <c r="T1371">
        <v>1</v>
      </c>
    </row>
    <row r="1372" spans="1:20" ht="16.5" x14ac:dyDescent="0.3">
      <c r="A1372" t="s">
        <v>1420</v>
      </c>
      <c r="B1372" s="1">
        <v>45499</v>
      </c>
      <c r="C1372">
        <v>2024</v>
      </c>
      <c r="D1372" t="s">
        <v>1261</v>
      </c>
      <c r="E1372" t="s">
        <v>1262</v>
      </c>
      <c r="F1372" t="s">
        <v>38</v>
      </c>
      <c r="G1372" t="s">
        <v>35</v>
      </c>
      <c r="H1372" t="s">
        <v>25</v>
      </c>
      <c r="I1372" t="s">
        <v>26</v>
      </c>
      <c r="J1372" t="s">
        <v>27</v>
      </c>
      <c r="K1372" t="s">
        <v>28</v>
      </c>
      <c r="L1372" s="2">
        <v>305.2</v>
      </c>
      <c r="M1372" s="3">
        <v>878</v>
      </c>
      <c r="N1372">
        <v>4</v>
      </c>
      <c r="O1372">
        <v>6</v>
      </c>
      <c r="P1372">
        <v>0</v>
      </c>
      <c r="Q1372">
        <v>2</v>
      </c>
      <c r="R1372" s="4">
        <v>141.19</v>
      </c>
      <c r="S1372">
        <v>0</v>
      </c>
      <c r="T1372">
        <v>1</v>
      </c>
    </row>
    <row r="1373" spans="1:20" ht="16.5" x14ac:dyDescent="0.3">
      <c r="A1373" t="s">
        <v>1421</v>
      </c>
      <c r="B1373" s="1">
        <v>45499</v>
      </c>
      <c r="C1373">
        <v>2024</v>
      </c>
      <c r="D1373" t="s">
        <v>1261</v>
      </c>
      <c r="E1373" t="s">
        <v>1262</v>
      </c>
      <c r="F1373" t="s">
        <v>57</v>
      </c>
      <c r="G1373" t="s">
        <v>39</v>
      </c>
      <c r="H1373" t="s">
        <v>36</v>
      </c>
      <c r="I1373" t="s">
        <v>26</v>
      </c>
      <c r="J1373" t="s">
        <v>27</v>
      </c>
      <c r="K1373" t="s">
        <v>32</v>
      </c>
      <c r="L1373" s="2">
        <v>11.6</v>
      </c>
      <c r="M1373" s="3">
        <v>298</v>
      </c>
      <c r="N1373">
        <v>3</v>
      </c>
      <c r="O1373">
        <v>3</v>
      </c>
      <c r="P1373">
        <v>1</v>
      </c>
      <c r="Q1373">
        <v>0</v>
      </c>
      <c r="R1373" s="4">
        <v>17.809999999999999</v>
      </c>
      <c r="S1373">
        <v>0</v>
      </c>
      <c r="T1373">
        <v>1</v>
      </c>
    </row>
    <row r="1374" spans="1:20" ht="16.5" x14ac:dyDescent="0.3">
      <c r="A1374" t="s">
        <v>1422</v>
      </c>
      <c r="B1374" s="1">
        <v>45499</v>
      </c>
      <c r="C1374">
        <v>2024</v>
      </c>
      <c r="D1374" t="s">
        <v>1261</v>
      </c>
      <c r="E1374" t="s">
        <v>1262</v>
      </c>
      <c r="F1374" t="s">
        <v>38</v>
      </c>
      <c r="G1374" t="s">
        <v>24</v>
      </c>
      <c r="H1374" t="s">
        <v>48</v>
      </c>
      <c r="I1374" t="s">
        <v>26</v>
      </c>
      <c r="J1374" t="s">
        <v>27</v>
      </c>
      <c r="K1374" t="s">
        <v>32</v>
      </c>
      <c r="L1374" s="2">
        <v>1.1000000000000001</v>
      </c>
      <c r="M1374" s="3">
        <v>542</v>
      </c>
      <c r="N1374">
        <v>4</v>
      </c>
      <c r="O1374">
        <v>4</v>
      </c>
      <c r="P1374">
        <v>1</v>
      </c>
      <c r="Q1374">
        <v>0</v>
      </c>
      <c r="R1374" s="4">
        <v>14.12</v>
      </c>
      <c r="S1374">
        <v>0</v>
      </c>
      <c r="T1374">
        <v>1</v>
      </c>
    </row>
    <row r="1375" spans="1:20" ht="16.5" x14ac:dyDescent="0.3">
      <c r="A1375" t="s">
        <v>1423</v>
      </c>
      <c r="B1375" s="1">
        <v>45499</v>
      </c>
      <c r="C1375">
        <v>2024</v>
      </c>
      <c r="D1375" t="s">
        <v>1261</v>
      </c>
      <c r="E1375" t="s">
        <v>1262</v>
      </c>
      <c r="F1375" t="s">
        <v>34</v>
      </c>
      <c r="G1375" t="s">
        <v>39</v>
      </c>
      <c r="H1375" t="s">
        <v>36</v>
      </c>
      <c r="I1375" t="s">
        <v>26</v>
      </c>
      <c r="J1375" t="s">
        <v>27</v>
      </c>
      <c r="K1375" t="s">
        <v>28</v>
      </c>
      <c r="L1375" s="2">
        <v>146.1</v>
      </c>
      <c r="M1375" s="3">
        <v>296</v>
      </c>
      <c r="N1375">
        <v>3</v>
      </c>
      <c r="O1375">
        <v>3</v>
      </c>
      <c r="P1375">
        <v>1</v>
      </c>
      <c r="Q1375">
        <v>0</v>
      </c>
      <c r="R1375" s="4">
        <v>65.099999999999994</v>
      </c>
      <c r="S1375">
        <v>0</v>
      </c>
      <c r="T1375">
        <v>1</v>
      </c>
    </row>
    <row r="1376" spans="1:20" ht="16.5" x14ac:dyDescent="0.3">
      <c r="A1376" t="s">
        <v>1424</v>
      </c>
      <c r="B1376" s="1">
        <v>45499</v>
      </c>
      <c r="C1376">
        <v>2024</v>
      </c>
      <c r="D1376" t="s">
        <v>1261</v>
      </c>
      <c r="E1376" t="s">
        <v>1262</v>
      </c>
      <c r="F1376" t="s">
        <v>30</v>
      </c>
      <c r="G1376" t="s">
        <v>39</v>
      </c>
      <c r="H1376" t="s">
        <v>36</v>
      </c>
      <c r="I1376" t="s">
        <v>26</v>
      </c>
      <c r="J1376" t="s">
        <v>27</v>
      </c>
      <c r="K1376" t="s">
        <v>32</v>
      </c>
      <c r="L1376" s="2">
        <v>16.600000000000001</v>
      </c>
      <c r="M1376" s="3">
        <v>206</v>
      </c>
      <c r="N1376">
        <v>3</v>
      </c>
      <c r="O1376">
        <v>3</v>
      </c>
      <c r="P1376">
        <v>1</v>
      </c>
      <c r="Q1376">
        <v>0</v>
      </c>
      <c r="R1376" s="4">
        <v>18.11</v>
      </c>
      <c r="S1376">
        <v>0</v>
      </c>
      <c r="T1376">
        <v>1</v>
      </c>
    </row>
    <row r="1377" spans="1:20" ht="16.5" x14ac:dyDescent="0.3">
      <c r="A1377" t="s">
        <v>1425</v>
      </c>
      <c r="B1377" s="1">
        <v>45501</v>
      </c>
      <c r="C1377">
        <v>2024</v>
      </c>
      <c r="D1377" t="s">
        <v>1261</v>
      </c>
      <c r="E1377" t="s">
        <v>1262</v>
      </c>
      <c r="F1377" t="s">
        <v>34</v>
      </c>
      <c r="G1377" t="s">
        <v>24</v>
      </c>
      <c r="H1377" t="s">
        <v>25</v>
      </c>
      <c r="I1377" t="s">
        <v>31</v>
      </c>
      <c r="J1377" t="s">
        <v>27</v>
      </c>
      <c r="K1377" t="s">
        <v>32</v>
      </c>
      <c r="L1377" s="2">
        <v>4.5999999999999996</v>
      </c>
      <c r="M1377" s="3">
        <v>764</v>
      </c>
      <c r="N1377">
        <v>6</v>
      </c>
      <c r="O1377">
        <v>9</v>
      </c>
      <c r="P1377">
        <v>0</v>
      </c>
      <c r="Q1377">
        <v>3</v>
      </c>
      <c r="R1377" s="4">
        <v>9.91</v>
      </c>
      <c r="S1377">
        <v>0</v>
      </c>
      <c r="T1377">
        <v>1</v>
      </c>
    </row>
    <row r="1378" spans="1:20" ht="16.5" x14ac:dyDescent="0.3">
      <c r="A1378" t="s">
        <v>1426</v>
      </c>
      <c r="B1378" s="1">
        <v>45501</v>
      </c>
      <c r="C1378">
        <v>2024</v>
      </c>
      <c r="D1378" t="s">
        <v>1261</v>
      </c>
      <c r="E1378" t="s">
        <v>1262</v>
      </c>
      <c r="F1378" t="s">
        <v>57</v>
      </c>
      <c r="G1378" t="s">
        <v>35</v>
      </c>
      <c r="H1378" t="s">
        <v>48</v>
      </c>
      <c r="I1378" t="s">
        <v>26</v>
      </c>
      <c r="J1378" t="s">
        <v>27</v>
      </c>
      <c r="K1378" t="s">
        <v>32</v>
      </c>
      <c r="L1378" s="2">
        <v>11.1</v>
      </c>
      <c r="M1378" s="3">
        <v>412</v>
      </c>
      <c r="N1378">
        <v>4</v>
      </c>
      <c r="O1378">
        <v>4</v>
      </c>
      <c r="P1378">
        <v>1</v>
      </c>
      <c r="Q1378">
        <v>0</v>
      </c>
      <c r="R1378" s="4">
        <v>18.54</v>
      </c>
      <c r="S1378">
        <v>0</v>
      </c>
      <c r="T1378">
        <v>1</v>
      </c>
    </row>
    <row r="1379" spans="1:20" ht="16.5" x14ac:dyDescent="0.3">
      <c r="A1379" t="s">
        <v>1427</v>
      </c>
      <c r="B1379" s="1">
        <v>45501</v>
      </c>
      <c r="C1379">
        <v>2024</v>
      </c>
      <c r="D1379" t="s">
        <v>1261</v>
      </c>
      <c r="E1379" t="s">
        <v>1262</v>
      </c>
      <c r="F1379" t="s">
        <v>34</v>
      </c>
      <c r="G1379" t="s">
        <v>35</v>
      </c>
      <c r="H1379" t="s">
        <v>25</v>
      </c>
      <c r="I1379" t="s">
        <v>31</v>
      </c>
      <c r="J1379" t="s">
        <v>27</v>
      </c>
      <c r="K1379" t="s">
        <v>32</v>
      </c>
      <c r="L1379" s="2">
        <v>9.6</v>
      </c>
      <c r="M1379" s="3">
        <v>1130</v>
      </c>
      <c r="N1379">
        <v>6</v>
      </c>
      <c r="O1379">
        <v>6</v>
      </c>
      <c r="P1379">
        <v>1</v>
      </c>
      <c r="Q1379">
        <v>0</v>
      </c>
      <c r="R1379" s="4">
        <v>16.22</v>
      </c>
      <c r="S1379">
        <v>0</v>
      </c>
      <c r="T1379">
        <v>1</v>
      </c>
    </row>
    <row r="1380" spans="1:20" ht="16.5" x14ac:dyDescent="0.3">
      <c r="A1380" t="s">
        <v>1428</v>
      </c>
      <c r="B1380" s="1">
        <v>45501</v>
      </c>
      <c r="C1380">
        <v>2024</v>
      </c>
      <c r="D1380" t="s">
        <v>1261</v>
      </c>
      <c r="E1380" t="s">
        <v>1262</v>
      </c>
      <c r="F1380" t="s">
        <v>38</v>
      </c>
      <c r="G1380" t="s">
        <v>35</v>
      </c>
      <c r="H1380" t="s">
        <v>48</v>
      </c>
      <c r="I1380" t="s">
        <v>40</v>
      </c>
      <c r="J1380" t="s">
        <v>27</v>
      </c>
      <c r="K1380" t="s">
        <v>32</v>
      </c>
      <c r="L1380" s="2">
        <v>2.4</v>
      </c>
      <c r="M1380" s="3">
        <v>403</v>
      </c>
      <c r="N1380">
        <v>2</v>
      </c>
      <c r="O1380">
        <v>2</v>
      </c>
      <c r="P1380">
        <v>1</v>
      </c>
      <c r="Q1380">
        <v>0</v>
      </c>
      <c r="R1380" s="4">
        <v>26.16</v>
      </c>
      <c r="S1380">
        <v>0</v>
      </c>
      <c r="T1380">
        <v>1</v>
      </c>
    </row>
    <row r="1381" spans="1:20" ht="16.5" x14ac:dyDescent="0.3">
      <c r="A1381" t="s">
        <v>1429</v>
      </c>
      <c r="B1381" s="1">
        <v>45501</v>
      </c>
      <c r="C1381">
        <v>2024</v>
      </c>
      <c r="D1381" t="s">
        <v>1261</v>
      </c>
      <c r="E1381" t="s">
        <v>1262</v>
      </c>
      <c r="F1381" t="s">
        <v>38</v>
      </c>
      <c r="G1381" t="s">
        <v>39</v>
      </c>
      <c r="H1381" t="s">
        <v>51</v>
      </c>
      <c r="I1381" t="s">
        <v>31</v>
      </c>
      <c r="J1381" t="s">
        <v>27</v>
      </c>
      <c r="K1381" t="s">
        <v>28</v>
      </c>
      <c r="L1381" s="2">
        <v>105.3</v>
      </c>
      <c r="M1381" s="3">
        <v>985</v>
      </c>
      <c r="N1381">
        <v>7</v>
      </c>
      <c r="O1381">
        <v>7</v>
      </c>
      <c r="P1381">
        <v>1</v>
      </c>
      <c r="Q1381">
        <v>0</v>
      </c>
      <c r="R1381" s="4">
        <v>48.72</v>
      </c>
      <c r="S1381">
        <v>0</v>
      </c>
      <c r="T1381">
        <v>1</v>
      </c>
    </row>
    <row r="1382" spans="1:20" ht="16.5" x14ac:dyDescent="0.3">
      <c r="A1382" t="s">
        <v>1430</v>
      </c>
      <c r="B1382" s="1">
        <v>45501</v>
      </c>
      <c r="C1382">
        <v>2024</v>
      </c>
      <c r="D1382" t="s">
        <v>1261</v>
      </c>
      <c r="E1382" t="s">
        <v>1262</v>
      </c>
      <c r="F1382" t="s">
        <v>34</v>
      </c>
      <c r="G1382" t="s">
        <v>39</v>
      </c>
      <c r="H1382" t="s">
        <v>25</v>
      </c>
      <c r="I1382" t="s">
        <v>26</v>
      </c>
      <c r="J1382" t="s">
        <v>27</v>
      </c>
      <c r="K1382" t="s">
        <v>28</v>
      </c>
      <c r="L1382" s="2">
        <v>136</v>
      </c>
      <c r="M1382" s="3">
        <v>1074</v>
      </c>
      <c r="N1382">
        <v>4</v>
      </c>
      <c r="O1382">
        <v>7</v>
      </c>
      <c r="P1382">
        <v>0</v>
      </c>
      <c r="Q1382">
        <v>3</v>
      </c>
      <c r="R1382" s="4">
        <v>77.069999999999993</v>
      </c>
      <c r="S1382">
        <v>0</v>
      </c>
      <c r="T1382">
        <v>1</v>
      </c>
    </row>
    <row r="1383" spans="1:20" ht="16.5" x14ac:dyDescent="0.3">
      <c r="A1383" t="s">
        <v>1431</v>
      </c>
      <c r="B1383" s="1">
        <v>45501</v>
      </c>
      <c r="C1383">
        <v>2024</v>
      </c>
      <c r="D1383" t="s">
        <v>1261</v>
      </c>
      <c r="E1383" t="s">
        <v>1262</v>
      </c>
      <c r="F1383" t="s">
        <v>23</v>
      </c>
      <c r="G1383" t="s">
        <v>39</v>
      </c>
      <c r="H1383" t="s">
        <v>48</v>
      </c>
      <c r="I1383" t="s">
        <v>31</v>
      </c>
      <c r="J1383" t="s">
        <v>27</v>
      </c>
      <c r="K1383" t="s">
        <v>32</v>
      </c>
      <c r="L1383" s="2">
        <v>4.3</v>
      </c>
      <c r="M1383" s="3">
        <v>483</v>
      </c>
      <c r="N1383">
        <v>6</v>
      </c>
      <c r="O1383">
        <v>6</v>
      </c>
      <c r="P1383">
        <v>1</v>
      </c>
      <c r="Q1383">
        <v>0</v>
      </c>
      <c r="R1383" s="4">
        <v>9.75</v>
      </c>
      <c r="S1383">
        <v>0</v>
      </c>
      <c r="T1383">
        <v>1</v>
      </c>
    </row>
    <row r="1384" spans="1:20" ht="16.5" x14ac:dyDescent="0.3">
      <c r="A1384" t="s">
        <v>1432</v>
      </c>
      <c r="B1384" s="1">
        <v>45502</v>
      </c>
      <c r="C1384">
        <v>2024</v>
      </c>
      <c r="D1384" t="s">
        <v>1261</v>
      </c>
      <c r="E1384" t="s">
        <v>1262</v>
      </c>
      <c r="F1384" t="s">
        <v>38</v>
      </c>
      <c r="G1384" t="s">
        <v>39</v>
      </c>
      <c r="H1384" t="s">
        <v>48</v>
      </c>
      <c r="I1384" t="s">
        <v>26</v>
      </c>
      <c r="J1384" t="s">
        <v>27</v>
      </c>
      <c r="K1384" t="s">
        <v>28</v>
      </c>
      <c r="L1384" s="2">
        <v>91.5</v>
      </c>
      <c r="M1384" s="3">
        <v>438</v>
      </c>
      <c r="N1384">
        <v>4</v>
      </c>
      <c r="O1384">
        <v>4</v>
      </c>
      <c r="P1384">
        <v>1</v>
      </c>
      <c r="Q1384">
        <v>0</v>
      </c>
      <c r="R1384" s="4">
        <v>60.47</v>
      </c>
      <c r="S1384">
        <v>0</v>
      </c>
      <c r="T1384">
        <v>1</v>
      </c>
    </row>
    <row r="1385" spans="1:20" ht="16.5" x14ac:dyDescent="0.3">
      <c r="A1385" t="s">
        <v>1433</v>
      </c>
      <c r="B1385" s="1">
        <v>45502</v>
      </c>
      <c r="C1385">
        <v>2024</v>
      </c>
      <c r="D1385" t="s">
        <v>1261</v>
      </c>
      <c r="E1385" t="s">
        <v>1262</v>
      </c>
      <c r="F1385" t="s">
        <v>34</v>
      </c>
      <c r="G1385" t="s">
        <v>39</v>
      </c>
      <c r="H1385" t="s">
        <v>25</v>
      </c>
      <c r="I1385" t="s">
        <v>40</v>
      </c>
      <c r="J1385" t="s">
        <v>41</v>
      </c>
      <c r="K1385" t="s">
        <v>32</v>
      </c>
      <c r="L1385" s="2">
        <v>1.7</v>
      </c>
      <c r="M1385" s="3">
        <v>973</v>
      </c>
      <c r="N1385">
        <v>2</v>
      </c>
      <c r="O1385">
        <v>3</v>
      </c>
      <c r="P1385">
        <v>0</v>
      </c>
      <c r="Q1385">
        <v>1</v>
      </c>
      <c r="R1385" s="4">
        <v>50.55</v>
      </c>
      <c r="S1385">
        <v>0</v>
      </c>
      <c r="T1385">
        <v>1</v>
      </c>
    </row>
    <row r="1386" spans="1:20" ht="16.5" x14ac:dyDescent="0.3">
      <c r="A1386" t="s">
        <v>1434</v>
      </c>
      <c r="B1386" s="1">
        <v>45502</v>
      </c>
      <c r="C1386">
        <v>2024</v>
      </c>
      <c r="D1386" t="s">
        <v>1261</v>
      </c>
      <c r="E1386" t="s">
        <v>1262</v>
      </c>
      <c r="F1386" t="s">
        <v>38</v>
      </c>
      <c r="G1386" t="s">
        <v>39</v>
      </c>
      <c r="H1386" t="s">
        <v>48</v>
      </c>
      <c r="I1386" t="s">
        <v>26</v>
      </c>
      <c r="J1386" t="s">
        <v>27</v>
      </c>
      <c r="K1386" t="s">
        <v>28</v>
      </c>
      <c r="L1386" s="2">
        <v>45.7</v>
      </c>
      <c r="M1386" s="3">
        <v>331</v>
      </c>
      <c r="N1386">
        <v>4</v>
      </c>
      <c r="O1386">
        <v>3</v>
      </c>
      <c r="P1386">
        <v>1</v>
      </c>
      <c r="Q1386">
        <v>0</v>
      </c>
      <c r="R1386" s="4">
        <v>37.5</v>
      </c>
      <c r="S1386">
        <v>0</v>
      </c>
      <c r="T1386">
        <v>1</v>
      </c>
    </row>
    <row r="1387" spans="1:20" ht="16.5" x14ac:dyDescent="0.3">
      <c r="A1387" t="s">
        <v>1435</v>
      </c>
      <c r="B1387" s="1">
        <v>45502</v>
      </c>
      <c r="C1387">
        <v>2024</v>
      </c>
      <c r="D1387" t="s">
        <v>1261</v>
      </c>
      <c r="E1387" t="s">
        <v>1262</v>
      </c>
      <c r="F1387" t="s">
        <v>23</v>
      </c>
      <c r="G1387" t="s">
        <v>39</v>
      </c>
      <c r="H1387" t="s">
        <v>48</v>
      </c>
      <c r="I1387" t="s">
        <v>26</v>
      </c>
      <c r="J1387" t="s">
        <v>27</v>
      </c>
      <c r="K1387" t="s">
        <v>32</v>
      </c>
      <c r="L1387" s="2">
        <v>26.7</v>
      </c>
      <c r="M1387" s="3">
        <v>591</v>
      </c>
      <c r="N1387">
        <v>4</v>
      </c>
      <c r="O1387">
        <v>4</v>
      </c>
      <c r="P1387">
        <v>1</v>
      </c>
      <c r="Q1387">
        <v>0</v>
      </c>
      <c r="R1387" s="4">
        <v>29.35</v>
      </c>
      <c r="S1387">
        <v>0</v>
      </c>
      <c r="T1387">
        <v>1</v>
      </c>
    </row>
    <row r="1388" spans="1:20" ht="16.5" x14ac:dyDescent="0.3">
      <c r="A1388" t="s">
        <v>1436</v>
      </c>
      <c r="B1388" s="1">
        <v>45502</v>
      </c>
      <c r="C1388">
        <v>2024</v>
      </c>
      <c r="D1388" t="s">
        <v>1261</v>
      </c>
      <c r="E1388" t="s">
        <v>1262</v>
      </c>
      <c r="F1388" t="s">
        <v>38</v>
      </c>
      <c r="G1388" t="s">
        <v>35</v>
      </c>
      <c r="H1388" t="s">
        <v>25</v>
      </c>
      <c r="I1388" t="s">
        <v>26</v>
      </c>
      <c r="J1388" t="s">
        <v>27</v>
      </c>
      <c r="K1388" t="s">
        <v>28</v>
      </c>
      <c r="L1388" s="2">
        <v>50.7</v>
      </c>
      <c r="M1388" s="3">
        <v>974</v>
      </c>
      <c r="N1388">
        <v>4</v>
      </c>
      <c r="O1388">
        <v>4</v>
      </c>
      <c r="P1388">
        <v>1</v>
      </c>
      <c r="Q1388">
        <v>0</v>
      </c>
      <c r="R1388" s="4">
        <v>47.63</v>
      </c>
      <c r="S1388">
        <v>0</v>
      </c>
      <c r="T1388">
        <v>1</v>
      </c>
    </row>
    <row r="1389" spans="1:20" ht="16.5" x14ac:dyDescent="0.3">
      <c r="A1389" t="s">
        <v>1437</v>
      </c>
      <c r="B1389" s="1">
        <v>45502</v>
      </c>
      <c r="C1389">
        <v>2024</v>
      </c>
      <c r="D1389" t="s">
        <v>1261</v>
      </c>
      <c r="E1389" t="s">
        <v>1262</v>
      </c>
      <c r="F1389" t="s">
        <v>38</v>
      </c>
      <c r="G1389" t="s">
        <v>35</v>
      </c>
      <c r="H1389" t="s">
        <v>48</v>
      </c>
      <c r="I1389" t="s">
        <v>31</v>
      </c>
      <c r="J1389" t="s">
        <v>27</v>
      </c>
      <c r="K1389" t="s">
        <v>28</v>
      </c>
      <c r="L1389" s="2">
        <v>64.7</v>
      </c>
      <c r="M1389" s="3">
        <v>455</v>
      </c>
      <c r="N1389">
        <v>6</v>
      </c>
      <c r="O1389">
        <v>6</v>
      </c>
      <c r="P1389">
        <v>1</v>
      </c>
      <c r="Q1389">
        <v>0</v>
      </c>
      <c r="R1389" s="4">
        <v>34.200000000000003</v>
      </c>
      <c r="S1389">
        <v>0</v>
      </c>
      <c r="T1389">
        <v>1</v>
      </c>
    </row>
    <row r="1390" spans="1:20" ht="16.5" x14ac:dyDescent="0.3">
      <c r="A1390" t="s">
        <v>1438</v>
      </c>
      <c r="B1390" s="1">
        <v>45502</v>
      </c>
      <c r="C1390">
        <v>2024</v>
      </c>
      <c r="D1390" t="s">
        <v>1261</v>
      </c>
      <c r="E1390" t="s">
        <v>1262</v>
      </c>
      <c r="F1390" t="s">
        <v>34</v>
      </c>
      <c r="G1390" t="s">
        <v>39</v>
      </c>
      <c r="H1390" t="s">
        <v>36</v>
      </c>
      <c r="I1390" t="s">
        <v>26</v>
      </c>
      <c r="J1390" t="s">
        <v>27</v>
      </c>
      <c r="K1390" t="s">
        <v>28</v>
      </c>
      <c r="L1390" s="2">
        <v>238.7</v>
      </c>
      <c r="M1390" s="3">
        <v>194</v>
      </c>
      <c r="N1390">
        <v>3</v>
      </c>
      <c r="O1390">
        <v>3</v>
      </c>
      <c r="P1390">
        <v>1</v>
      </c>
      <c r="Q1390">
        <v>0</v>
      </c>
      <c r="R1390" s="4">
        <v>77.12</v>
      </c>
      <c r="S1390">
        <v>0</v>
      </c>
      <c r="T1390">
        <v>1</v>
      </c>
    </row>
    <row r="1391" spans="1:20" ht="16.5" x14ac:dyDescent="0.3">
      <c r="A1391" t="s">
        <v>1439</v>
      </c>
      <c r="B1391" s="1">
        <v>45503</v>
      </c>
      <c r="C1391">
        <v>2024</v>
      </c>
      <c r="D1391" t="s">
        <v>1261</v>
      </c>
      <c r="E1391" t="s">
        <v>1262</v>
      </c>
      <c r="F1391" t="s">
        <v>34</v>
      </c>
      <c r="G1391" t="s">
        <v>35</v>
      </c>
      <c r="H1391" t="s">
        <v>43</v>
      </c>
      <c r="I1391" t="s">
        <v>31</v>
      </c>
      <c r="J1391" t="s">
        <v>27</v>
      </c>
      <c r="K1391" t="s">
        <v>32</v>
      </c>
      <c r="L1391" s="2">
        <v>4</v>
      </c>
      <c r="M1391" s="3">
        <v>1164</v>
      </c>
      <c r="N1391">
        <v>7</v>
      </c>
      <c r="O1391">
        <v>6</v>
      </c>
      <c r="P1391">
        <v>1</v>
      </c>
      <c r="Q1391">
        <v>0</v>
      </c>
      <c r="R1391" s="4">
        <v>12.92</v>
      </c>
      <c r="S1391">
        <v>0</v>
      </c>
      <c r="T1391">
        <v>1</v>
      </c>
    </row>
    <row r="1392" spans="1:20" ht="16.5" x14ac:dyDescent="0.3">
      <c r="A1392" t="s">
        <v>1440</v>
      </c>
      <c r="B1392" s="1">
        <v>45503</v>
      </c>
      <c r="C1392">
        <v>2024</v>
      </c>
      <c r="D1392" t="s">
        <v>1261</v>
      </c>
      <c r="E1392" t="s">
        <v>1262</v>
      </c>
      <c r="F1392" t="s">
        <v>23</v>
      </c>
      <c r="G1392" t="s">
        <v>39</v>
      </c>
      <c r="H1392" t="s">
        <v>51</v>
      </c>
      <c r="I1392" t="s">
        <v>40</v>
      </c>
      <c r="J1392" t="s">
        <v>41</v>
      </c>
      <c r="K1392" t="s">
        <v>28</v>
      </c>
      <c r="L1392" s="2">
        <v>95.5</v>
      </c>
      <c r="M1392" s="3">
        <v>989</v>
      </c>
      <c r="N1392">
        <v>3</v>
      </c>
      <c r="O1392">
        <v>3</v>
      </c>
      <c r="P1392">
        <v>1</v>
      </c>
      <c r="Q1392">
        <v>0</v>
      </c>
      <c r="R1392" s="4">
        <v>192.24</v>
      </c>
      <c r="S1392">
        <v>0</v>
      </c>
      <c r="T1392">
        <v>1</v>
      </c>
    </row>
    <row r="1393" spans="1:20" ht="16.5" x14ac:dyDescent="0.3">
      <c r="A1393" t="s">
        <v>1441</v>
      </c>
      <c r="B1393" s="1">
        <v>45503</v>
      </c>
      <c r="C1393">
        <v>2024</v>
      </c>
      <c r="D1393" t="s">
        <v>1261</v>
      </c>
      <c r="E1393" t="s">
        <v>1262</v>
      </c>
      <c r="F1393" t="s">
        <v>38</v>
      </c>
      <c r="G1393" t="s">
        <v>39</v>
      </c>
      <c r="H1393" t="s">
        <v>25</v>
      </c>
      <c r="I1393" t="s">
        <v>40</v>
      </c>
      <c r="J1393" t="s">
        <v>41</v>
      </c>
      <c r="K1393" t="s">
        <v>28</v>
      </c>
      <c r="L1393" s="2">
        <v>128.5</v>
      </c>
      <c r="M1393" s="3">
        <v>919</v>
      </c>
      <c r="N1393">
        <v>2</v>
      </c>
      <c r="O1393">
        <v>2</v>
      </c>
      <c r="P1393">
        <v>1</v>
      </c>
      <c r="Q1393">
        <v>0</v>
      </c>
      <c r="R1393" s="4">
        <v>261.36</v>
      </c>
      <c r="S1393">
        <v>0</v>
      </c>
      <c r="T1393">
        <v>1</v>
      </c>
    </row>
    <row r="1394" spans="1:20" ht="16.5" x14ac:dyDescent="0.3">
      <c r="A1394" t="s">
        <v>1442</v>
      </c>
      <c r="B1394" s="1">
        <v>45503</v>
      </c>
      <c r="C1394">
        <v>2024</v>
      </c>
      <c r="D1394" t="s">
        <v>1261</v>
      </c>
      <c r="E1394" t="s">
        <v>1262</v>
      </c>
      <c r="F1394" t="s">
        <v>30</v>
      </c>
      <c r="G1394" t="s">
        <v>39</v>
      </c>
      <c r="H1394" t="s">
        <v>48</v>
      </c>
      <c r="I1394" t="s">
        <v>26</v>
      </c>
      <c r="J1394" t="s">
        <v>27</v>
      </c>
      <c r="K1394" t="s">
        <v>28</v>
      </c>
      <c r="L1394" s="2">
        <v>12.3</v>
      </c>
      <c r="M1394" s="3">
        <v>445</v>
      </c>
      <c r="N1394">
        <v>4</v>
      </c>
      <c r="O1394">
        <v>4</v>
      </c>
      <c r="P1394">
        <v>1</v>
      </c>
      <c r="Q1394">
        <v>0</v>
      </c>
      <c r="R1394" s="4">
        <v>20.82</v>
      </c>
      <c r="S1394">
        <v>0</v>
      </c>
      <c r="T1394">
        <v>1</v>
      </c>
    </row>
    <row r="1395" spans="1:20" ht="16.5" x14ac:dyDescent="0.3">
      <c r="A1395" t="s">
        <v>1443</v>
      </c>
      <c r="B1395" s="1">
        <v>45503</v>
      </c>
      <c r="C1395">
        <v>2024</v>
      </c>
      <c r="D1395" t="s">
        <v>1261</v>
      </c>
      <c r="E1395" t="s">
        <v>1262</v>
      </c>
      <c r="F1395" t="s">
        <v>38</v>
      </c>
      <c r="G1395" t="s">
        <v>35</v>
      </c>
      <c r="H1395" t="s">
        <v>51</v>
      </c>
      <c r="I1395" t="s">
        <v>26</v>
      </c>
      <c r="J1395" t="s">
        <v>27</v>
      </c>
      <c r="K1395" t="s">
        <v>28</v>
      </c>
      <c r="L1395" s="2">
        <v>13.8</v>
      </c>
      <c r="M1395" s="3">
        <v>1209</v>
      </c>
      <c r="N1395">
        <v>5</v>
      </c>
      <c r="O1395">
        <v>6</v>
      </c>
      <c r="P1395">
        <v>0</v>
      </c>
      <c r="Q1395">
        <v>1</v>
      </c>
      <c r="R1395" s="4">
        <v>30.6</v>
      </c>
      <c r="S1395">
        <v>0</v>
      </c>
      <c r="T1395">
        <v>1</v>
      </c>
    </row>
    <row r="1396" spans="1:20" ht="16.5" x14ac:dyDescent="0.3">
      <c r="A1396" t="s">
        <v>1444</v>
      </c>
      <c r="B1396" s="1">
        <v>45503</v>
      </c>
      <c r="C1396">
        <v>2024</v>
      </c>
      <c r="D1396" t="s">
        <v>1261</v>
      </c>
      <c r="E1396" t="s">
        <v>1262</v>
      </c>
      <c r="F1396" t="s">
        <v>23</v>
      </c>
      <c r="G1396" t="s">
        <v>39</v>
      </c>
      <c r="H1396" t="s">
        <v>25</v>
      </c>
      <c r="I1396" t="s">
        <v>26</v>
      </c>
      <c r="J1396" t="s">
        <v>27</v>
      </c>
      <c r="K1396" t="s">
        <v>32</v>
      </c>
      <c r="L1396" s="2">
        <v>4.0999999999999996</v>
      </c>
      <c r="M1396" s="3">
        <v>854</v>
      </c>
      <c r="N1396">
        <v>4</v>
      </c>
      <c r="O1396">
        <v>4</v>
      </c>
      <c r="P1396">
        <v>1</v>
      </c>
      <c r="Q1396">
        <v>0</v>
      </c>
      <c r="R1396" s="4">
        <v>17.28</v>
      </c>
      <c r="S1396">
        <v>0</v>
      </c>
      <c r="T1396">
        <v>1</v>
      </c>
    </row>
    <row r="1397" spans="1:20" ht="16.5" x14ac:dyDescent="0.3">
      <c r="A1397" t="s">
        <v>1445</v>
      </c>
      <c r="B1397" s="1">
        <v>45503</v>
      </c>
      <c r="C1397">
        <v>2024</v>
      </c>
      <c r="D1397" t="s">
        <v>1261</v>
      </c>
      <c r="E1397" t="s">
        <v>1262</v>
      </c>
      <c r="F1397" t="s">
        <v>34</v>
      </c>
      <c r="G1397" t="s">
        <v>35</v>
      </c>
      <c r="H1397" t="s">
        <v>25</v>
      </c>
      <c r="I1397" t="s">
        <v>31</v>
      </c>
      <c r="J1397" t="s">
        <v>27</v>
      </c>
      <c r="K1397" t="s">
        <v>32</v>
      </c>
      <c r="L1397" s="2">
        <v>11.8</v>
      </c>
      <c r="M1397" s="3">
        <v>719</v>
      </c>
      <c r="N1397">
        <v>6</v>
      </c>
      <c r="O1397">
        <v>6</v>
      </c>
      <c r="P1397">
        <v>1</v>
      </c>
      <c r="Q1397">
        <v>0</v>
      </c>
      <c r="R1397" s="4">
        <v>13.78</v>
      </c>
      <c r="S1397">
        <v>0</v>
      </c>
      <c r="T1397">
        <v>1</v>
      </c>
    </row>
    <row r="1398" spans="1:20" ht="16.5" x14ac:dyDescent="0.3">
      <c r="A1398" t="s">
        <v>1446</v>
      </c>
      <c r="B1398" s="1">
        <v>45503</v>
      </c>
      <c r="C1398">
        <v>2024</v>
      </c>
      <c r="D1398" t="s">
        <v>1261</v>
      </c>
      <c r="E1398" t="s">
        <v>1262</v>
      </c>
      <c r="F1398" t="s">
        <v>57</v>
      </c>
      <c r="G1398" t="s">
        <v>24</v>
      </c>
      <c r="H1398" t="s">
        <v>36</v>
      </c>
      <c r="I1398" t="s">
        <v>26</v>
      </c>
      <c r="J1398" t="s">
        <v>27</v>
      </c>
      <c r="K1398" t="s">
        <v>32</v>
      </c>
      <c r="L1398" s="2">
        <v>3.1</v>
      </c>
      <c r="M1398" s="3">
        <v>255</v>
      </c>
      <c r="N1398">
        <v>3</v>
      </c>
      <c r="O1398">
        <v>2</v>
      </c>
      <c r="P1398">
        <v>1</v>
      </c>
      <c r="Q1398">
        <v>0</v>
      </c>
      <c r="R1398" s="4">
        <v>11.84</v>
      </c>
      <c r="S1398">
        <v>0</v>
      </c>
      <c r="T1398">
        <v>1</v>
      </c>
    </row>
    <row r="1399" spans="1:20" ht="16.5" x14ac:dyDescent="0.3">
      <c r="A1399" t="s">
        <v>1447</v>
      </c>
      <c r="B1399" s="1">
        <v>45503</v>
      </c>
      <c r="C1399">
        <v>2024</v>
      </c>
      <c r="D1399" t="s">
        <v>1261</v>
      </c>
      <c r="E1399" t="s">
        <v>1262</v>
      </c>
      <c r="F1399" t="s">
        <v>34</v>
      </c>
      <c r="G1399" t="s">
        <v>39</v>
      </c>
      <c r="H1399" t="s">
        <v>48</v>
      </c>
      <c r="I1399" t="s">
        <v>26</v>
      </c>
      <c r="J1399" t="s">
        <v>27</v>
      </c>
      <c r="K1399" t="s">
        <v>32</v>
      </c>
      <c r="L1399" s="2">
        <v>6.7</v>
      </c>
      <c r="M1399" s="3">
        <v>423</v>
      </c>
      <c r="N1399">
        <v>4</v>
      </c>
      <c r="O1399">
        <v>4</v>
      </c>
      <c r="P1399">
        <v>1</v>
      </c>
      <c r="Q1399">
        <v>0</v>
      </c>
      <c r="R1399" s="4">
        <v>13.81</v>
      </c>
      <c r="S1399">
        <v>0</v>
      </c>
      <c r="T1399">
        <v>1</v>
      </c>
    </row>
    <row r="1400" spans="1:20" ht="16.5" x14ac:dyDescent="0.3">
      <c r="A1400" t="s">
        <v>1448</v>
      </c>
      <c r="B1400" s="1">
        <v>45504</v>
      </c>
      <c r="C1400">
        <v>2024</v>
      </c>
      <c r="D1400" t="s">
        <v>1261</v>
      </c>
      <c r="E1400" t="s">
        <v>1262</v>
      </c>
      <c r="F1400" t="s">
        <v>30</v>
      </c>
      <c r="G1400" t="s">
        <v>24</v>
      </c>
      <c r="H1400" t="s">
        <v>36</v>
      </c>
      <c r="I1400" t="s">
        <v>26</v>
      </c>
      <c r="J1400" t="s">
        <v>27</v>
      </c>
      <c r="K1400" t="s">
        <v>28</v>
      </c>
      <c r="L1400" s="2">
        <v>250.3</v>
      </c>
      <c r="M1400" s="3">
        <v>210</v>
      </c>
      <c r="N1400">
        <v>3</v>
      </c>
      <c r="O1400">
        <v>2</v>
      </c>
      <c r="P1400">
        <v>1</v>
      </c>
      <c r="Q1400">
        <v>0</v>
      </c>
      <c r="R1400" s="4">
        <v>108.39</v>
      </c>
      <c r="S1400">
        <v>0</v>
      </c>
      <c r="T1400">
        <v>1</v>
      </c>
    </row>
    <row r="1401" spans="1:20" ht="16.5" x14ac:dyDescent="0.3">
      <c r="A1401" t="s">
        <v>1449</v>
      </c>
      <c r="B1401" s="1">
        <v>45504</v>
      </c>
      <c r="C1401">
        <v>2024</v>
      </c>
      <c r="D1401" t="s">
        <v>1261</v>
      </c>
      <c r="E1401" t="s">
        <v>1262</v>
      </c>
      <c r="F1401" t="s">
        <v>34</v>
      </c>
      <c r="G1401" t="s">
        <v>35</v>
      </c>
      <c r="H1401" t="s">
        <v>36</v>
      </c>
      <c r="I1401" t="s">
        <v>26</v>
      </c>
      <c r="J1401" t="s">
        <v>27</v>
      </c>
      <c r="K1401" t="s">
        <v>28</v>
      </c>
      <c r="L1401" s="2">
        <v>113.5</v>
      </c>
      <c r="M1401" s="3">
        <v>247</v>
      </c>
      <c r="N1401">
        <v>3</v>
      </c>
      <c r="O1401">
        <v>3</v>
      </c>
      <c r="P1401">
        <v>1</v>
      </c>
      <c r="Q1401">
        <v>0</v>
      </c>
      <c r="R1401" s="4">
        <v>51.37</v>
      </c>
      <c r="S1401">
        <v>0</v>
      </c>
      <c r="T1401">
        <v>1</v>
      </c>
    </row>
    <row r="1402" spans="1:20" ht="16.5" x14ac:dyDescent="0.3">
      <c r="A1402" t="s">
        <v>1450</v>
      </c>
      <c r="B1402" s="1">
        <v>45504</v>
      </c>
      <c r="C1402">
        <v>2024</v>
      </c>
      <c r="D1402" t="s">
        <v>1261</v>
      </c>
      <c r="E1402" t="s">
        <v>1262</v>
      </c>
      <c r="F1402" t="s">
        <v>57</v>
      </c>
      <c r="G1402" t="s">
        <v>39</v>
      </c>
      <c r="H1402" t="s">
        <v>51</v>
      </c>
      <c r="I1402" t="s">
        <v>40</v>
      </c>
      <c r="J1402" t="s">
        <v>41</v>
      </c>
      <c r="K1402" t="s">
        <v>32</v>
      </c>
      <c r="L1402" s="2">
        <v>4.5999999999999996</v>
      </c>
      <c r="M1402" s="3">
        <v>1119</v>
      </c>
      <c r="N1402">
        <v>3</v>
      </c>
      <c r="O1402">
        <v>3</v>
      </c>
      <c r="P1402">
        <v>1</v>
      </c>
      <c r="Q1402">
        <v>0</v>
      </c>
      <c r="R1402" s="4">
        <v>73.25</v>
      </c>
      <c r="S1402">
        <v>0</v>
      </c>
      <c r="T1402">
        <v>1</v>
      </c>
    </row>
    <row r="1403" spans="1:20" ht="16.5" x14ac:dyDescent="0.3">
      <c r="A1403" t="s">
        <v>1451</v>
      </c>
      <c r="B1403" s="1">
        <v>45504</v>
      </c>
      <c r="C1403">
        <v>2024</v>
      </c>
      <c r="D1403" t="s">
        <v>1261</v>
      </c>
      <c r="E1403" t="s">
        <v>1262</v>
      </c>
      <c r="F1403" t="s">
        <v>23</v>
      </c>
      <c r="G1403" t="s">
        <v>39</v>
      </c>
      <c r="H1403" t="s">
        <v>25</v>
      </c>
      <c r="I1403" t="s">
        <v>26</v>
      </c>
      <c r="J1403" t="s">
        <v>27</v>
      </c>
      <c r="K1403" t="s">
        <v>32</v>
      </c>
      <c r="L1403" s="2">
        <v>3.1</v>
      </c>
      <c r="M1403" s="3">
        <v>944</v>
      </c>
      <c r="N1403">
        <v>4</v>
      </c>
      <c r="O1403">
        <v>4</v>
      </c>
      <c r="P1403">
        <v>1</v>
      </c>
      <c r="Q1403">
        <v>0</v>
      </c>
      <c r="R1403" s="4">
        <v>18.440000000000001</v>
      </c>
      <c r="S1403">
        <v>0</v>
      </c>
      <c r="T1403">
        <v>1</v>
      </c>
    </row>
    <row r="1404" spans="1:20" ht="16.5" x14ac:dyDescent="0.3">
      <c r="A1404" t="s">
        <v>1452</v>
      </c>
      <c r="B1404" s="1">
        <v>45504</v>
      </c>
      <c r="C1404">
        <v>2024</v>
      </c>
      <c r="D1404" t="s">
        <v>1261</v>
      </c>
      <c r="E1404" t="s">
        <v>1262</v>
      </c>
      <c r="F1404" t="s">
        <v>38</v>
      </c>
      <c r="G1404" t="s">
        <v>24</v>
      </c>
      <c r="H1404" t="s">
        <v>48</v>
      </c>
      <c r="I1404" t="s">
        <v>26</v>
      </c>
      <c r="J1404" t="s">
        <v>27</v>
      </c>
      <c r="K1404" t="s">
        <v>28</v>
      </c>
      <c r="L1404" s="2">
        <v>22.4</v>
      </c>
      <c r="M1404" s="3">
        <v>469</v>
      </c>
      <c r="N1404">
        <v>4</v>
      </c>
      <c r="O1404">
        <v>4</v>
      </c>
      <c r="P1404">
        <v>1</v>
      </c>
      <c r="Q1404">
        <v>0</v>
      </c>
      <c r="R1404" s="4">
        <v>28.02</v>
      </c>
      <c r="S1404">
        <v>0</v>
      </c>
      <c r="T1404">
        <v>1</v>
      </c>
    </row>
    <row r="1405" spans="1:20" ht="16.5" x14ac:dyDescent="0.3">
      <c r="A1405" t="s">
        <v>1453</v>
      </c>
      <c r="B1405" s="1">
        <v>45505</v>
      </c>
      <c r="C1405">
        <v>2024</v>
      </c>
      <c r="D1405" t="s">
        <v>1261</v>
      </c>
      <c r="E1405" t="s">
        <v>1454</v>
      </c>
      <c r="F1405" t="s">
        <v>57</v>
      </c>
      <c r="G1405" t="s">
        <v>35</v>
      </c>
      <c r="H1405" t="s">
        <v>36</v>
      </c>
      <c r="I1405" t="s">
        <v>40</v>
      </c>
      <c r="J1405" t="s">
        <v>27</v>
      </c>
      <c r="K1405" t="s">
        <v>28</v>
      </c>
      <c r="L1405" s="2">
        <v>8.4</v>
      </c>
      <c r="M1405" s="3">
        <v>225</v>
      </c>
      <c r="N1405">
        <v>1</v>
      </c>
      <c r="O1405">
        <v>1</v>
      </c>
      <c r="P1405">
        <v>1</v>
      </c>
      <c r="Q1405">
        <v>0</v>
      </c>
      <c r="R1405" s="4">
        <v>25.83</v>
      </c>
      <c r="S1405">
        <v>0</v>
      </c>
      <c r="T1405">
        <v>1</v>
      </c>
    </row>
    <row r="1406" spans="1:20" ht="16.5" x14ac:dyDescent="0.3">
      <c r="A1406" t="s">
        <v>1455</v>
      </c>
      <c r="B1406" s="1">
        <v>45505</v>
      </c>
      <c r="C1406">
        <v>2024</v>
      </c>
      <c r="D1406" t="s">
        <v>1261</v>
      </c>
      <c r="E1406" t="s">
        <v>1454</v>
      </c>
      <c r="F1406" t="s">
        <v>57</v>
      </c>
      <c r="G1406" t="s">
        <v>39</v>
      </c>
      <c r="H1406" t="s">
        <v>51</v>
      </c>
      <c r="I1406" t="s">
        <v>40</v>
      </c>
      <c r="J1406" t="s">
        <v>41</v>
      </c>
      <c r="K1406" t="s">
        <v>32</v>
      </c>
      <c r="L1406" s="2">
        <v>16.600000000000001</v>
      </c>
      <c r="M1406" s="3">
        <v>1125</v>
      </c>
      <c r="N1406">
        <v>3</v>
      </c>
      <c r="O1406">
        <v>3</v>
      </c>
      <c r="P1406">
        <v>1</v>
      </c>
      <c r="Q1406">
        <v>0</v>
      </c>
      <c r="R1406" s="4">
        <v>84.55</v>
      </c>
      <c r="S1406">
        <v>0</v>
      </c>
      <c r="T1406">
        <v>1</v>
      </c>
    </row>
    <row r="1407" spans="1:20" ht="16.5" x14ac:dyDescent="0.3">
      <c r="A1407" t="s">
        <v>1456</v>
      </c>
      <c r="B1407" s="1">
        <v>45505</v>
      </c>
      <c r="C1407">
        <v>2024</v>
      </c>
      <c r="D1407" t="s">
        <v>1261</v>
      </c>
      <c r="E1407" t="s">
        <v>1454</v>
      </c>
      <c r="F1407" t="s">
        <v>23</v>
      </c>
      <c r="G1407" t="s">
        <v>35</v>
      </c>
      <c r="H1407" t="s">
        <v>48</v>
      </c>
      <c r="I1407" t="s">
        <v>26</v>
      </c>
      <c r="J1407" t="s">
        <v>27</v>
      </c>
      <c r="K1407" t="s">
        <v>32</v>
      </c>
      <c r="L1407" s="2">
        <v>1.5</v>
      </c>
      <c r="M1407" s="3">
        <v>436</v>
      </c>
      <c r="N1407">
        <v>4</v>
      </c>
      <c r="O1407">
        <v>4</v>
      </c>
      <c r="P1407">
        <v>1</v>
      </c>
      <c r="Q1407">
        <v>0</v>
      </c>
      <c r="R1407" s="4">
        <v>12.31</v>
      </c>
      <c r="S1407">
        <v>0</v>
      </c>
      <c r="T1407">
        <v>1</v>
      </c>
    </row>
    <row r="1408" spans="1:20" ht="16.5" x14ac:dyDescent="0.3">
      <c r="A1408" t="s">
        <v>1457</v>
      </c>
      <c r="B1408" s="1">
        <v>45505</v>
      </c>
      <c r="C1408">
        <v>2024</v>
      </c>
      <c r="D1408" t="s">
        <v>1261</v>
      </c>
      <c r="E1408" t="s">
        <v>1454</v>
      </c>
      <c r="F1408" t="s">
        <v>57</v>
      </c>
      <c r="G1408" t="s">
        <v>35</v>
      </c>
      <c r="H1408" t="s">
        <v>36</v>
      </c>
      <c r="I1408" t="s">
        <v>31</v>
      </c>
      <c r="J1408" t="s">
        <v>27</v>
      </c>
      <c r="K1408" t="s">
        <v>32</v>
      </c>
      <c r="L1408" s="2">
        <v>6.8</v>
      </c>
      <c r="M1408" s="3">
        <v>232</v>
      </c>
      <c r="N1408">
        <v>5</v>
      </c>
      <c r="O1408">
        <v>5</v>
      </c>
      <c r="P1408">
        <v>1</v>
      </c>
      <c r="Q1408">
        <v>0</v>
      </c>
      <c r="R1408" s="4">
        <v>9.7899999999999991</v>
      </c>
      <c r="S1408">
        <v>0</v>
      </c>
      <c r="T1408">
        <v>1</v>
      </c>
    </row>
    <row r="1409" spans="1:20" ht="16.5" x14ac:dyDescent="0.3">
      <c r="A1409" t="s">
        <v>1458</v>
      </c>
      <c r="B1409" s="1">
        <v>45505</v>
      </c>
      <c r="C1409">
        <v>2024</v>
      </c>
      <c r="D1409" t="s">
        <v>1261</v>
      </c>
      <c r="E1409" t="s">
        <v>1454</v>
      </c>
      <c r="F1409" t="s">
        <v>57</v>
      </c>
      <c r="G1409" t="s">
        <v>39</v>
      </c>
      <c r="H1409" t="s">
        <v>36</v>
      </c>
      <c r="I1409" t="s">
        <v>40</v>
      </c>
      <c r="J1409" t="s">
        <v>27</v>
      </c>
      <c r="K1409" t="s">
        <v>32</v>
      </c>
      <c r="L1409" s="2">
        <v>20.9</v>
      </c>
      <c r="M1409" s="3">
        <v>212</v>
      </c>
      <c r="N1409">
        <v>1</v>
      </c>
      <c r="O1409">
        <v>3</v>
      </c>
      <c r="P1409">
        <v>0</v>
      </c>
      <c r="Q1409">
        <v>2</v>
      </c>
      <c r="R1409" s="4">
        <v>35.81</v>
      </c>
      <c r="S1409">
        <v>0</v>
      </c>
      <c r="T1409">
        <v>1</v>
      </c>
    </row>
    <row r="1410" spans="1:20" ht="16.5" x14ac:dyDescent="0.3">
      <c r="A1410" t="s">
        <v>1459</v>
      </c>
      <c r="B1410" s="1">
        <v>45505</v>
      </c>
      <c r="C1410">
        <v>2024</v>
      </c>
      <c r="D1410" t="s">
        <v>1261</v>
      </c>
      <c r="E1410" t="s">
        <v>1454</v>
      </c>
      <c r="F1410" t="s">
        <v>38</v>
      </c>
      <c r="G1410" t="s">
        <v>39</v>
      </c>
      <c r="H1410" t="s">
        <v>36</v>
      </c>
      <c r="I1410" t="s">
        <v>26</v>
      </c>
      <c r="J1410" t="s">
        <v>27</v>
      </c>
      <c r="K1410" t="s">
        <v>32</v>
      </c>
      <c r="L1410" s="2">
        <v>2.8</v>
      </c>
      <c r="M1410" s="3">
        <v>264</v>
      </c>
      <c r="N1410">
        <v>3</v>
      </c>
      <c r="O1410">
        <v>2</v>
      </c>
      <c r="P1410">
        <v>1</v>
      </c>
      <c r="Q1410">
        <v>0</v>
      </c>
      <c r="R1410" s="4">
        <v>12.54</v>
      </c>
      <c r="S1410">
        <v>0</v>
      </c>
      <c r="T1410">
        <v>1</v>
      </c>
    </row>
    <row r="1411" spans="1:20" ht="16.5" x14ac:dyDescent="0.3">
      <c r="A1411" t="s">
        <v>1460</v>
      </c>
      <c r="B1411" s="1">
        <v>45505</v>
      </c>
      <c r="C1411">
        <v>2024</v>
      </c>
      <c r="D1411" t="s">
        <v>1261</v>
      </c>
      <c r="E1411" t="s">
        <v>1454</v>
      </c>
      <c r="F1411" t="s">
        <v>34</v>
      </c>
      <c r="G1411" t="s">
        <v>39</v>
      </c>
      <c r="H1411" t="s">
        <v>36</v>
      </c>
      <c r="I1411" t="s">
        <v>40</v>
      </c>
      <c r="J1411" t="s">
        <v>27</v>
      </c>
      <c r="K1411" t="s">
        <v>28</v>
      </c>
      <c r="L1411" s="2">
        <v>56.1</v>
      </c>
      <c r="M1411" s="3">
        <v>261</v>
      </c>
      <c r="N1411">
        <v>1</v>
      </c>
      <c r="O1411">
        <v>1</v>
      </c>
      <c r="P1411">
        <v>1</v>
      </c>
      <c r="Q1411">
        <v>0</v>
      </c>
      <c r="R1411" s="4">
        <v>63.92</v>
      </c>
      <c r="S1411">
        <v>0</v>
      </c>
      <c r="T1411">
        <v>1</v>
      </c>
    </row>
    <row r="1412" spans="1:20" ht="16.5" x14ac:dyDescent="0.3">
      <c r="A1412" t="s">
        <v>1461</v>
      </c>
      <c r="B1412" s="1">
        <v>45505</v>
      </c>
      <c r="C1412">
        <v>2024</v>
      </c>
      <c r="D1412" t="s">
        <v>1261</v>
      </c>
      <c r="E1412" t="s">
        <v>1454</v>
      </c>
      <c r="F1412" t="s">
        <v>23</v>
      </c>
      <c r="G1412" t="s">
        <v>35</v>
      </c>
      <c r="H1412" t="s">
        <v>25</v>
      </c>
      <c r="I1412" t="s">
        <v>26</v>
      </c>
      <c r="J1412" t="s">
        <v>27</v>
      </c>
      <c r="K1412" t="s">
        <v>32</v>
      </c>
      <c r="L1412" s="2">
        <v>7.4</v>
      </c>
      <c r="M1412" s="3">
        <v>981</v>
      </c>
      <c r="N1412">
        <v>4</v>
      </c>
      <c r="O1412">
        <v>4</v>
      </c>
      <c r="P1412">
        <v>1</v>
      </c>
      <c r="Q1412">
        <v>0</v>
      </c>
      <c r="R1412" s="4">
        <v>22.48</v>
      </c>
      <c r="S1412">
        <v>0</v>
      </c>
      <c r="T1412">
        <v>1</v>
      </c>
    </row>
    <row r="1413" spans="1:20" ht="16.5" x14ac:dyDescent="0.3">
      <c r="A1413" t="s">
        <v>1462</v>
      </c>
      <c r="B1413" s="1">
        <v>45505</v>
      </c>
      <c r="C1413">
        <v>2024</v>
      </c>
      <c r="D1413" t="s">
        <v>1261</v>
      </c>
      <c r="E1413" t="s">
        <v>1454</v>
      </c>
      <c r="F1413" t="s">
        <v>34</v>
      </c>
      <c r="G1413" t="s">
        <v>35</v>
      </c>
      <c r="H1413" t="s">
        <v>51</v>
      </c>
      <c r="I1413" t="s">
        <v>26</v>
      </c>
      <c r="J1413" t="s">
        <v>27</v>
      </c>
      <c r="K1413" t="s">
        <v>28</v>
      </c>
      <c r="L1413" s="2">
        <v>90.3</v>
      </c>
      <c r="M1413" s="3">
        <v>1175</v>
      </c>
      <c r="N1413">
        <v>5</v>
      </c>
      <c r="O1413">
        <v>4</v>
      </c>
      <c r="P1413">
        <v>1</v>
      </c>
      <c r="Q1413">
        <v>0</v>
      </c>
      <c r="R1413" s="4">
        <v>50.66</v>
      </c>
      <c r="S1413">
        <v>0</v>
      </c>
      <c r="T1413">
        <v>1</v>
      </c>
    </row>
    <row r="1414" spans="1:20" ht="16.5" x14ac:dyDescent="0.3">
      <c r="A1414" t="s">
        <v>1463</v>
      </c>
      <c r="B1414" s="1">
        <v>45505</v>
      </c>
      <c r="C1414">
        <v>2024</v>
      </c>
      <c r="D1414" t="s">
        <v>1261</v>
      </c>
      <c r="E1414" t="s">
        <v>1454</v>
      </c>
      <c r="F1414" t="s">
        <v>23</v>
      </c>
      <c r="G1414" t="s">
        <v>35</v>
      </c>
      <c r="H1414" t="s">
        <v>51</v>
      </c>
      <c r="I1414" t="s">
        <v>31</v>
      </c>
      <c r="J1414" t="s">
        <v>27</v>
      </c>
      <c r="K1414" t="s">
        <v>32</v>
      </c>
      <c r="L1414" s="2">
        <v>15</v>
      </c>
      <c r="M1414" s="3">
        <v>1025</v>
      </c>
      <c r="N1414">
        <v>7</v>
      </c>
      <c r="O1414">
        <v>7</v>
      </c>
      <c r="P1414">
        <v>1</v>
      </c>
      <c r="Q1414">
        <v>0</v>
      </c>
      <c r="R1414" s="4">
        <v>20.12</v>
      </c>
      <c r="S1414">
        <v>0</v>
      </c>
      <c r="T1414">
        <v>1</v>
      </c>
    </row>
    <row r="1415" spans="1:20" ht="16.5" x14ac:dyDescent="0.3">
      <c r="A1415" t="s">
        <v>1464</v>
      </c>
      <c r="B1415" s="1">
        <v>45505</v>
      </c>
      <c r="C1415">
        <v>2024</v>
      </c>
      <c r="D1415" t="s">
        <v>1261</v>
      </c>
      <c r="E1415" t="s">
        <v>1454</v>
      </c>
      <c r="F1415" t="s">
        <v>38</v>
      </c>
      <c r="G1415" t="s">
        <v>39</v>
      </c>
      <c r="H1415" t="s">
        <v>36</v>
      </c>
      <c r="I1415" t="s">
        <v>26</v>
      </c>
      <c r="J1415" t="s">
        <v>27</v>
      </c>
      <c r="K1415" t="s">
        <v>28</v>
      </c>
      <c r="L1415" s="2">
        <v>182.2</v>
      </c>
      <c r="M1415" s="3">
        <v>293</v>
      </c>
      <c r="N1415">
        <v>3</v>
      </c>
      <c r="O1415">
        <v>3</v>
      </c>
      <c r="P1415">
        <v>1</v>
      </c>
      <c r="Q1415">
        <v>0</v>
      </c>
      <c r="R1415" s="4">
        <v>98.71</v>
      </c>
      <c r="S1415">
        <v>0</v>
      </c>
      <c r="T1415">
        <v>1</v>
      </c>
    </row>
    <row r="1416" spans="1:20" ht="16.5" x14ac:dyDescent="0.3">
      <c r="A1416" t="s">
        <v>1465</v>
      </c>
      <c r="B1416" s="1">
        <v>45506</v>
      </c>
      <c r="C1416">
        <v>2024</v>
      </c>
      <c r="D1416" t="s">
        <v>1261</v>
      </c>
      <c r="E1416" t="s">
        <v>1454</v>
      </c>
      <c r="F1416" t="s">
        <v>34</v>
      </c>
      <c r="G1416" t="s">
        <v>35</v>
      </c>
      <c r="H1416" t="s">
        <v>48</v>
      </c>
      <c r="I1416" t="s">
        <v>26</v>
      </c>
      <c r="J1416" t="s">
        <v>27</v>
      </c>
      <c r="K1416" t="s">
        <v>32</v>
      </c>
      <c r="L1416" s="2">
        <v>2</v>
      </c>
      <c r="M1416" s="3">
        <v>532</v>
      </c>
      <c r="N1416">
        <v>4</v>
      </c>
      <c r="O1416">
        <v>4</v>
      </c>
      <c r="P1416">
        <v>1</v>
      </c>
      <c r="Q1416">
        <v>0</v>
      </c>
      <c r="R1416" s="4">
        <v>11.91</v>
      </c>
      <c r="S1416">
        <v>0</v>
      </c>
      <c r="T1416">
        <v>1</v>
      </c>
    </row>
    <row r="1417" spans="1:20" ht="16.5" x14ac:dyDescent="0.3">
      <c r="A1417" t="s">
        <v>1466</v>
      </c>
      <c r="B1417" s="1">
        <v>45506</v>
      </c>
      <c r="C1417">
        <v>2024</v>
      </c>
      <c r="D1417" t="s">
        <v>1261</v>
      </c>
      <c r="E1417" t="s">
        <v>1454</v>
      </c>
      <c r="F1417" t="s">
        <v>23</v>
      </c>
      <c r="G1417" t="s">
        <v>24</v>
      </c>
      <c r="H1417" t="s">
        <v>48</v>
      </c>
      <c r="I1417" t="s">
        <v>26</v>
      </c>
      <c r="J1417" t="s">
        <v>27</v>
      </c>
      <c r="K1417" t="s">
        <v>32</v>
      </c>
      <c r="L1417" s="2">
        <v>2.8</v>
      </c>
      <c r="M1417" s="3">
        <v>399</v>
      </c>
      <c r="N1417">
        <v>4</v>
      </c>
      <c r="O1417">
        <v>3</v>
      </c>
      <c r="P1417">
        <v>1</v>
      </c>
      <c r="Q1417">
        <v>0</v>
      </c>
      <c r="R1417" s="4">
        <v>12.29</v>
      </c>
      <c r="S1417">
        <v>0</v>
      </c>
      <c r="T1417">
        <v>1</v>
      </c>
    </row>
    <row r="1418" spans="1:20" ht="16.5" x14ac:dyDescent="0.3">
      <c r="A1418" t="s">
        <v>1467</v>
      </c>
      <c r="B1418" s="1">
        <v>45506</v>
      </c>
      <c r="C1418">
        <v>2024</v>
      </c>
      <c r="D1418" t="s">
        <v>1261</v>
      </c>
      <c r="E1418" t="s">
        <v>1454</v>
      </c>
      <c r="F1418" t="s">
        <v>38</v>
      </c>
      <c r="G1418" t="s">
        <v>35</v>
      </c>
      <c r="H1418" t="s">
        <v>51</v>
      </c>
      <c r="I1418" t="s">
        <v>26</v>
      </c>
      <c r="J1418" t="s">
        <v>27</v>
      </c>
      <c r="K1418" t="s">
        <v>32</v>
      </c>
      <c r="L1418" s="2">
        <v>11.1</v>
      </c>
      <c r="M1418" s="3">
        <v>1193</v>
      </c>
      <c r="N1418">
        <v>5</v>
      </c>
      <c r="O1418">
        <v>4</v>
      </c>
      <c r="P1418">
        <v>1</v>
      </c>
      <c r="Q1418">
        <v>0</v>
      </c>
      <c r="R1418" s="4">
        <v>28.49</v>
      </c>
      <c r="S1418">
        <v>0</v>
      </c>
      <c r="T1418">
        <v>1</v>
      </c>
    </row>
    <row r="1419" spans="1:20" ht="16.5" x14ac:dyDescent="0.3">
      <c r="A1419" t="s">
        <v>1468</v>
      </c>
      <c r="B1419" s="1">
        <v>45506</v>
      </c>
      <c r="C1419">
        <v>2024</v>
      </c>
      <c r="D1419" t="s">
        <v>1261</v>
      </c>
      <c r="E1419" t="s">
        <v>1454</v>
      </c>
      <c r="F1419" t="s">
        <v>57</v>
      </c>
      <c r="G1419" t="s">
        <v>39</v>
      </c>
      <c r="H1419" t="s">
        <v>43</v>
      </c>
      <c r="I1419" t="s">
        <v>31</v>
      </c>
      <c r="J1419" t="s">
        <v>27</v>
      </c>
      <c r="K1419" t="s">
        <v>32</v>
      </c>
      <c r="L1419" s="2">
        <v>6.1</v>
      </c>
      <c r="M1419" s="3">
        <v>1425</v>
      </c>
      <c r="N1419">
        <v>7</v>
      </c>
      <c r="O1419">
        <v>7</v>
      </c>
      <c r="P1419">
        <v>1</v>
      </c>
      <c r="Q1419">
        <v>0</v>
      </c>
      <c r="R1419" s="4">
        <v>19.54</v>
      </c>
      <c r="S1419">
        <v>0</v>
      </c>
      <c r="T1419">
        <v>1</v>
      </c>
    </row>
    <row r="1420" spans="1:20" ht="16.5" x14ac:dyDescent="0.3">
      <c r="A1420" t="s">
        <v>1469</v>
      </c>
      <c r="B1420" s="1">
        <v>45506</v>
      </c>
      <c r="C1420">
        <v>2024</v>
      </c>
      <c r="D1420" t="s">
        <v>1261</v>
      </c>
      <c r="E1420" t="s">
        <v>1454</v>
      </c>
      <c r="F1420" t="s">
        <v>38</v>
      </c>
      <c r="G1420" t="s">
        <v>24</v>
      </c>
      <c r="H1420" t="s">
        <v>48</v>
      </c>
      <c r="I1420" t="s">
        <v>26</v>
      </c>
      <c r="J1420" t="s">
        <v>27</v>
      </c>
      <c r="K1420" t="s">
        <v>32</v>
      </c>
      <c r="L1420" s="2">
        <v>5.8</v>
      </c>
      <c r="M1420" s="3">
        <v>441</v>
      </c>
      <c r="N1420">
        <v>4</v>
      </c>
      <c r="O1420">
        <v>4</v>
      </c>
      <c r="P1420">
        <v>1</v>
      </c>
      <c r="Q1420">
        <v>0</v>
      </c>
      <c r="R1420" s="4">
        <v>18.96</v>
      </c>
      <c r="S1420">
        <v>0</v>
      </c>
      <c r="T1420">
        <v>1</v>
      </c>
    </row>
    <row r="1421" spans="1:20" ht="16.5" x14ac:dyDescent="0.3">
      <c r="A1421" t="s">
        <v>1470</v>
      </c>
      <c r="B1421" s="1">
        <v>45506</v>
      </c>
      <c r="C1421">
        <v>2024</v>
      </c>
      <c r="D1421" t="s">
        <v>1261</v>
      </c>
      <c r="E1421" t="s">
        <v>1454</v>
      </c>
      <c r="F1421" t="s">
        <v>34</v>
      </c>
      <c r="G1421" t="s">
        <v>39</v>
      </c>
      <c r="H1421" t="s">
        <v>36</v>
      </c>
      <c r="I1421" t="s">
        <v>26</v>
      </c>
      <c r="J1421" t="s">
        <v>27</v>
      </c>
      <c r="K1421" t="s">
        <v>32</v>
      </c>
      <c r="L1421" s="2">
        <v>8.1999999999999993</v>
      </c>
      <c r="M1421" s="3">
        <v>214</v>
      </c>
      <c r="N1421">
        <v>3</v>
      </c>
      <c r="O1421">
        <v>4</v>
      </c>
      <c r="P1421">
        <v>0</v>
      </c>
      <c r="Q1421">
        <v>1</v>
      </c>
      <c r="R1421" s="4">
        <v>12.58</v>
      </c>
      <c r="S1421">
        <v>0</v>
      </c>
      <c r="T1421">
        <v>1</v>
      </c>
    </row>
    <row r="1422" spans="1:20" ht="16.5" x14ac:dyDescent="0.3">
      <c r="A1422" t="s">
        <v>1471</v>
      </c>
      <c r="B1422" s="1">
        <v>45506</v>
      </c>
      <c r="C1422">
        <v>2024</v>
      </c>
      <c r="D1422" t="s">
        <v>1261</v>
      </c>
      <c r="E1422" t="s">
        <v>1454</v>
      </c>
      <c r="F1422" t="s">
        <v>38</v>
      </c>
      <c r="G1422" t="s">
        <v>39</v>
      </c>
      <c r="H1422" t="s">
        <v>36</v>
      </c>
      <c r="I1422" t="s">
        <v>31</v>
      </c>
      <c r="J1422" t="s">
        <v>27</v>
      </c>
      <c r="K1422" t="s">
        <v>28</v>
      </c>
      <c r="L1422" s="2">
        <v>52</v>
      </c>
      <c r="M1422" s="3">
        <v>258</v>
      </c>
      <c r="N1422">
        <v>5</v>
      </c>
      <c r="O1422">
        <v>5</v>
      </c>
      <c r="P1422">
        <v>1</v>
      </c>
      <c r="Q1422">
        <v>0</v>
      </c>
      <c r="R1422" s="4">
        <v>27.02</v>
      </c>
      <c r="S1422">
        <v>0</v>
      </c>
      <c r="T1422">
        <v>1</v>
      </c>
    </row>
    <row r="1423" spans="1:20" ht="16.5" x14ac:dyDescent="0.3">
      <c r="A1423" t="s">
        <v>1472</v>
      </c>
      <c r="B1423" s="1">
        <v>45507</v>
      </c>
      <c r="C1423">
        <v>2024</v>
      </c>
      <c r="D1423" t="s">
        <v>1261</v>
      </c>
      <c r="E1423" t="s">
        <v>1454</v>
      </c>
      <c r="F1423" t="s">
        <v>57</v>
      </c>
      <c r="G1423" t="s">
        <v>35</v>
      </c>
      <c r="H1423" t="s">
        <v>51</v>
      </c>
      <c r="I1423" t="s">
        <v>26</v>
      </c>
      <c r="J1423" t="s">
        <v>27</v>
      </c>
      <c r="K1423" t="s">
        <v>32</v>
      </c>
      <c r="L1423" s="2">
        <v>2.7</v>
      </c>
      <c r="M1423" s="3">
        <v>1252</v>
      </c>
      <c r="N1423">
        <v>5</v>
      </c>
      <c r="O1423">
        <v>5</v>
      </c>
      <c r="P1423">
        <v>1</v>
      </c>
      <c r="Q1423">
        <v>0</v>
      </c>
      <c r="R1423" s="4">
        <v>24.09</v>
      </c>
      <c r="S1423">
        <v>0</v>
      </c>
      <c r="T1423">
        <v>1</v>
      </c>
    </row>
    <row r="1424" spans="1:20" ht="16.5" x14ac:dyDescent="0.3">
      <c r="A1424" t="s">
        <v>1473</v>
      </c>
      <c r="B1424" s="1">
        <v>45507</v>
      </c>
      <c r="C1424">
        <v>2024</v>
      </c>
      <c r="D1424" t="s">
        <v>1261</v>
      </c>
      <c r="E1424" t="s">
        <v>1454</v>
      </c>
      <c r="F1424" t="s">
        <v>30</v>
      </c>
      <c r="G1424" t="s">
        <v>35</v>
      </c>
      <c r="H1424" t="s">
        <v>43</v>
      </c>
      <c r="I1424" t="s">
        <v>31</v>
      </c>
      <c r="J1424" t="s">
        <v>27</v>
      </c>
      <c r="K1424" t="s">
        <v>32</v>
      </c>
      <c r="L1424" s="2">
        <v>3.5</v>
      </c>
      <c r="M1424" s="3">
        <v>1452</v>
      </c>
      <c r="N1424">
        <v>7</v>
      </c>
      <c r="O1424">
        <v>7</v>
      </c>
      <c r="P1424">
        <v>1</v>
      </c>
      <c r="Q1424">
        <v>0</v>
      </c>
      <c r="R1424" s="4">
        <v>22.22</v>
      </c>
      <c r="S1424">
        <v>0</v>
      </c>
      <c r="T1424">
        <v>1</v>
      </c>
    </row>
    <row r="1425" spans="1:20" ht="16.5" x14ac:dyDescent="0.3">
      <c r="A1425" t="s">
        <v>1474</v>
      </c>
      <c r="B1425" s="1">
        <v>45507</v>
      </c>
      <c r="C1425">
        <v>2024</v>
      </c>
      <c r="D1425" t="s">
        <v>1261</v>
      </c>
      <c r="E1425" t="s">
        <v>1454</v>
      </c>
      <c r="F1425" t="s">
        <v>57</v>
      </c>
      <c r="G1425" t="s">
        <v>35</v>
      </c>
      <c r="H1425" t="s">
        <v>48</v>
      </c>
      <c r="I1425" t="s">
        <v>40</v>
      </c>
      <c r="J1425" t="s">
        <v>27</v>
      </c>
      <c r="K1425" t="s">
        <v>32</v>
      </c>
      <c r="L1425" s="2">
        <v>5.3</v>
      </c>
      <c r="M1425" s="3">
        <v>388</v>
      </c>
      <c r="N1425">
        <v>2</v>
      </c>
      <c r="O1425">
        <v>2</v>
      </c>
      <c r="P1425">
        <v>1</v>
      </c>
      <c r="Q1425">
        <v>0</v>
      </c>
      <c r="R1425" s="4">
        <v>26.01</v>
      </c>
      <c r="S1425">
        <v>0</v>
      </c>
      <c r="T1425">
        <v>1</v>
      </c>
    </row>
    <row r="1426" spans="1:20" ht="16.5" x14ac:dyDescent="0.3">
      <c r="A1426" t="s">
        <v>1475</v>
      </c>
      <c r="B1426" s="1">
        <v>45508</v>
      </c>
      <c r="C1426">
        <v>2024</v>
      </c>
      <c r="D1426" t="s">
        <v>1261</v>
      </c>
      <c r="E1426" t="s">
        <v>1454</v>
      </c>
      <c r="F1426" t="s">
        <v>57</v>
      </c>
      <c r="G1426" t="s">
        <v>35</v>
      </c>
      <c r="H1426" t="s">
        <v>36</v>
      </c>
      <c r="I1426" t="s">
        <v>31</v>
      </c>
      <c r="J1426" t="s">
        <v>27</v>
      </c>
      <c r="K1426" t="s">
        <v>28</v>
      </c>
      <c r="L1426" s="2">
        <v>69.7</v>
      </c>
      <c r="M1426" s="3">
        <v>281</v>
      </c>
      <c r="N1426">
        <v>5</v>
      </c>
      <c r="O1426">
        <v>5</v>
      </c>
      <c r="P1426">
        <v>1</v>
      </c>
      <c r="Q1426">
        <v>0</v>
      </c>
      <c r="R1426" s="4">
        <v>34.22</v>
      </c>
      <c r="S1426">
        <v>0</v>
      </c>
      <c r="T1426">
        <v>1</v>
      </c>
    </row>
    <row r="1427" spans="1:20" ht="16.5" x14ac:dyDescent="0.3">
      <c r="A1427" t="s">
        <v>1476</v>
      </c>
      <c r="B1427" s="1">
        <v>45508</v>
      </c>
      <c r="C1427">
        <v>2024</v>
      </c>
      <c r="D1427" t="s">
        <v>1261</v>
      </c>
      <c r="E1427" t="s">
        <v>1454</v>
      </c>
      <c r="F1427" t="s">
        <v>57</v>
      </c>
      <c r="G1427" t="s">
        <v>39</v>
      </c>
      <c r="H1427" t="s">
        <v>48</v>
      </c>
      <c r="I1427" t="s">
        <v>40</v>
      </c>
      <c r="J1427" t="s">
        <v>27</v>
      </c>
      <c r="K1427" t="s">
        <v>28</v>
      </c>
      <c r="L1427" s="2">
        <v>124.6</v>
      </c>
      <c r="M1427" s="3">
        <v>554</v>
      </c>
      <c r="N1427">
        <v>2</v>
      </c>
      <c r="O1427">
        <v>2</v>
      </c>
      <c r="P1427">
        <v>1</v>
      </c>
      <c r="Q1427">
        <v>0</v>
      </c>
      <c r="R1427" s="4">
        <v>132.97</v>
      </c>
      <c r="S1427">
        <v>0</v>
      </c>
      <c r="T1427">
        <v>1</v>
      </c>
    </row>
    <row r="1428" spans="1:20" ht="16.5" x14ac:dyDescent="0.3">
      <c r="A1428" t="s">
        <v>1477</v>
      </c>
      <c r="B1428" s="1">
        <v>45508</v>
      </c>
      <c r="C1428">
        <v>2024</v>
      </c>
      <c r="D1428" t="s">
        <v>1261</v>
      </c>
      <c r="E1428" t="s">
        <v>1454</v>
      </c>
      <c r="F1428" t="s">
        <v>34</v>
      </c>
      <c r="G1428" t="s">
        <v>39</v>
      </c>
      <c r="H1428" t="s">
        <v>36</v>
      </c>
      <c r="I1428" t="s">
        <v>26</v>
      </c>
      <c r="J1428" t="s">
        <v>27</v>
      </c>
      <c r="K1428" t="s">
        <v>32</v>
      </c>
      <c r="L1428" s="2">
        <v>4.7</v>
      </c>
      <c r="M1428" s="3">
        <v>324</v>
      </c>
      <c r="N1428">
        <v>3</v>
      </c>
      <c r="O1428">
        <v>2</v>
      </c>
      <c r="P1428">
        <v>1</v>
      </c>
      <c r="Q1428">
        <v>0</v>
      </c>
      <c r="R1428" s="4">
        <v>10.69</v>
      </c>
      <c r="S1428">
        <v>0</v>
      </c>
      <c r="T1428">
        <v>1</v>
      </c>
    </row>
    <row r="1429" spans="1:20" ht="16.5" x14ac:dyDescent="0.3">
      <c r="A1429" t="s">
        <v>1478</v>
      </c>
      <c r="B1429" s="1">
        <v>45509</v>
      </c>
      <c r="C1429">
        <v>2024</v>
      </c>
      <c r="D1429" t="s">
        <v>1261</v>
      </c>
      <c r="E1429" t="s">
        <v>1454</v>
      </c>
      <c r="F1429" t="s">
        <v>23</v>
      </c>
      <c r="G1429" t="s">
        <v>39</v>
      </c>
      <c r="H1429" t="s">
        <v>36</v>
      </c>
      <c r="I1429" t="s">
        <v>40</v>
      </c>
      <c r="J1429" t="s">
        <v>27</v>
      </c>
      <c r="K1429" t="s">
        <v>32</v>
      </c>
      <c r="L1429" s="2">
        <v>1.4</v>
      </c>
      <c r="M1429" s="3">
        <v>177</v>
      </c>
      <c r="N1429">
        <v>1</v>
      </c>
      <c r="O1429">
        <v>1</v>
      </c>
      <c r="P1429">
        <v>1</v>
      </c>
      <c r="Q1429">
        <v>0</v>
      </c>
      <c r="R1429" s="4">
        <v>16.670000000000002</v>
      </c>
      <c r="S1429">
        <v>0</v>
      </c>
      <c r="T1429">
        <v>1</v>
      </c>
    </row>
    <row r="1430" spans="1:20" ht="16.5" x14ac:dyDescent="0.3">
      <c r="A1430" t="s">
        <v>1479</v>
      </c>
      <c r="B1430" s="1">
        <v>45509</v>
      </c>
      <c r="C1430">
        <v>2024</v>
      </c>
      <c r="D1430" t="s">
        <v>1261</v>
      </c>
      <c r="E1430" t="s">
        <v>1454</v>
      </c>
      <c r="F1430" t="s">
        <v>30</v>
      </c>
      <c r="G1430" t="s">
        <v>39</v>
      </c>
      <c r="H1430" t="s">
        <v>36</v>
      </c>
      <c r="I1430" t="s">
        <v>31</v>
      </c>
      <c r="J1430" t="s">
        <v>27</v>
      </c>
      <c r="K1430" t="s">
        <v>32</v>
      </c>
      <c r="L1430" s="2">
        <v>2.4</v>
      </c>
      <c r="M1430" s="3">
        <v>228</v>
      </c>
      <c r="N1430">
        <v>5</v>
      </c>
      <c r="O1430">
        <v>5</v>
      </c>
      <c r="P1430">
        <v>1</v>
      </c>
      <c r="Q1430">
        <v>0</v>
      </c>
      <c r="R1430" s="4">
        <v>7.68</v>
      </c>
      <c r="S1430">
        <v>0</v>
      </c>
      <c r="T1430">
        <v>1</v>
      </c>
    </row>
    <row r="1431" spans="1:20" ht="16.5" x14ac:dyDescent="0.3">
      <c r="A1431" t="s">
        <v>1480</v>
      </c>
      <c r="B1431" s="1">
        <v>45509</v>
      </c>
      <c r="C1431">
        <v>2024</v>
      </c>
      <c r="D1431" t="s">
        <v>1261</v>
      </c>
      <c r="E1431" t="s">
        <v>1454</v>
      </c>
      <c r="F1431" t="s">
        <v>30</v>
      </c>
      <c r="G1431" t="s">
        <v>35</v>
      </c>
      <c r="H1431" t="s">
        <v>25</v>
      </c>
      <c r="I1431" t="s">
        <v>26</v>
      </c>
      <c r="J1431" t="s">
        <v>27</v>
      </c>
      <c r="K1431" t="s">
        <v>28</v>
      </c>
      <c r="L1431" s="2">
        <v>103.2</v>
      </c>
      <c r="M1431" s="3">
        <v>877</v>
      </c>
      <c r="N1431">
        <v>4</v>
      </c>
      <c r="O1431">
        <v>4</v>
      </c>
      <c r="P1431">
        <v>1</v>
      </c>
      <c r="Q1431">
        <v>0</v>
      </c>
      <c r="R1431" s="4">
        <v>63.34</v>
      </c>
      <c r="S1431">
        <v>0</v>
      </c>
      <c r="T1431">
        <v>1</v>
      </c>
    </row>
    <row r="1432" spans="1:20" ht="16.5" x14ac:dyDescent="0.3">
      <c r="A1432" t="s">
        <v>1481</v>
      </c>
      <c r="B1432" s="1">
        <v>45509</v>
      </c>
      <c r="C1432">
        <v>2024</v>
      </c>
      <c r="D1432" t="s">
        <v>1261</v>
      </c>
      <c r="E1432" t="s">
        <v>1454</v>
      </c>
      <c r="F1432" t="s">
        <v>34</v>
      </c>
      <c r="G1432" t="s">
        <v>24</v>
      </c>
      <c r="H1432" t="s">
        <v>25</v>
      </c>
      <c r="I1432" t="s">
        <v>26</v>
      </c>
      <c r="J1432" t="s">
        <v>27</v>
      </c>
      <c r="K1432" t="s">
        <v>28</v>
      </c>
      <c r="L1432" s="2">
        <v>85</v>
      </c>
      <c r="M1432" s="3">
        <v>774</v>
      </c>
      <c r="N1432">
        <v>4</v>
      </c>
      <c r="O1432">
        <v>3</v>
      </c>
      <c r="P1432">
        <v>1</v>
      </c>
      <c r="Q1432">
        <v>0</v>
      </c>
      <c r="R1432" s="4">
        <v>43.16</v>
      </c>
      <c r="S1432">
        <v>0</v>
      </c>
      <c r="T1432">
        <v>1</v>
      </c>
    </row>
    <row r="1433" spans="1:20" ht="16.5" x14ac:dyDescent="0.3">
      <c r="A1433" t="s">
        <v>1482</v>
      </c>
      <c r="B1433" s="1">
        <v>45509</v>
      </c>
      <c r="C1433">
        <v>2024</v>
      </c>
      <c r="D1433" t="s">
        <v>1261</v>
      </c>
      <c r="E1433" t="s">
        <v>1454</v>
      </c>
      <c r="F1433" t="s">
        <v>38</v>
      </c>
      <c r="G1433" t="s">
        <v>39</v>
      </c>
      <c r="H1433" t="s">
        <v>48</v>
      </c>
      <c r="I1433" t="s">
        <v>26</v>
      </c>
      <c r="J1433" t="s">
        <v>27</v>
      </c>
      <c r="K1433" t="s">
        <v>28</v>
      </c>
      <c r="L1433" s="2">
        <v>61.4</v>
      </c>
      <c r="M1433" s="3">
        <v>512</v>
      </c>
      <c r="N1433">
        <v>4</v>
      </c>
      <c r="O1433">
        <v>8</v>
      </c>
      <c r="P1433">
        <v>0</v>
      </c>
      <c r="Q1433">
        <v>4</v>
      </c>
      <c r="R1433" s="4">
        <v>46.32</v>
      </c>
      <c r="S1433">
        <v>0</v>
      </c>
      <c r="T1433">
        <v>1</v>
      </c>
    </row>
    <row r="1434" spans="1:20" ht="16.5" x14ac:dyDescent="0.3">
      <c r="A1434" t="s">
        <v>1483</v>
      </c>
      <c r="B1434" s="1">
        <v>45509</v>
      </c>
      <c r="C1434">
        <v>2024</v>
      </c>
      <c r="D1434" t="s">
        <v>1261</v>
      </c>
      <c r="E1434" t="s">
        <v>1454</v>
      </c>
      <c r="F1434" t="s">
        <v>57</v>
      </c>
      <c r="G1434" t="s">
        <v>24</v>
      </c>
      <c r="H1434" t="s">
        <v>36</v>
      </c>
      <c r="I1434" t="s">
        <v>31</v>
      </c>
      <c r="J1434" t="s">
        <v>27</v>
      </c>
      <c r="K1434" t="s">
        <v>32</v>
      </c>
      <c r="L1434" s="2">
        <v>12.6</v>
      </c>
      <c r="M1434" s="3">
        <v>264</v>
      </c>
      <c r="N1434">
        <v>5</v>
      </c>
      <c r="O1434">
        <v>4</v>
      </c>
      <c r="P1434">
        <v>1</v>
      </c>
      <c r="Q1434">
        <v>0</v>
      </c>
      <c r="R1434" s="4">
        <v>12.44</v>
      </c>
      <c r="S1434">
        <v>0</v>
      </c>
      <c r="T1434">
        <v>1</v>
      </c>
    </row>
    <row r="1435" spans="1:20" ht="16.5" x14ac:dyDescent="0.3">
      <c r="A1435" t="s">
        <v>1484</v>
      </c>
      <c r="B1435" s="1">
        <v>45510</v>
      </c>
      <c r="C1435">
        <v>2024</v>
      </c>
      <c r="D1435" t="s">
        <v>1261</v>
      </c>
      <c r="E1435" t="s">
        <v>1454</v>
      </c>
      <c r="F1435" t="s">
        <v>34</v>
      </c>
      <c r="G1435" t="s">
        <v>35</v>
      </c>
      <c r="H1435" t="s">
        <v>36</v>
      </c>
      <c r="I1435" t="s">
        <v>31</v>
      </c>
      <c r="J1435" t="s">
        <v>27</v>
      </c>
      <c r="K1435" t="s">
        <v>32</v>
      </c>
      <c r="L1435" s="2">
        <v>12.1</v>
      </c>
      <c r="M1435" s="3">
        <v>255</v>
      </c>
      <c r="N1435">
        <v>5</v>
      </c>
      <c r="O1435">
        <v>5</v>
      </c>
      <c r="P1435">
        <v>1</v>
      </c>
      <c r="Q1435">
        <v>0</v>
      </c>
      <c r="R1435" s="4">
        <v>10.31</v>
      </c>
      <c r="S1435">
        <v>0</v>
      </c>
      <c r="T1435">
        <v>1</v>
      </c>
    </row>
    <row r="1436" spans="1:20" ht="16.5" x14ac:dyDescent="0.3">
      <c r="A1436" t="s">
        <v>1485</v>
      </c>
      <c r="B1436" s="1">
        <v>45510</v>
      </c>
      <c r="C1436">
        <v>2024</v>
      </c>
      <c r="D1436" t="s">
        <v>1261</v>
      </c>
      <c r="E1436" t="s">
        <v>1454</v>
      </c>
      <c r="F1436" t="s">
        <v>34</v>
      </c>
      <c r="G1436" t="s">
        <v>39</v>
      </c>
      <c r="H1436" t="s">
        <v>36</v>
      </c>
      <c r="I1436" t="s">
        <v>40</v>
      </c>
      <c r="J1436" t="s">
        <v>27</v>
      </c>
      <c r="K1436" t="s">
        <v>32</v>
      </c>
      <c r="L1436" s="2">
        <v>13.5</v>
      </c>
      <c r="M1436" s="3">
        <v>289</v>
      </c>
      <c r="N1436">
        <v>1</v>
      </c>
      <c r="O1436">
        <v>1</v>
      </c>
      <c r="P1436">
        <v>1</v>
      </c>
      <c r="Q1436">
        <v>0</v>
      </c>
      <c r="R1436" s="4">
        <v>29.65</v>
      </c>
      <c r="S1436">
        <v>0</v>
      </c>
      <c r="T1436">
        <v>1</v>
      </c>
    </row>
    <row r="1437" spans="1:20" ht="16.5" x14ac:dyDescent="0.3">
      <c r="A1437" t="s">
        <v>1486</v>
      </c>
      <c r="B1437" s="1">
        <v>45510</v>
      </c>
      <c r="C1437">
        <v>2024</v>
      </c>
      <c r="D1437" t="s">
        <v>1261</v>
      </c>
      <c r="E1437" t="s">
        <v>1454</v>
      </c>
      <c r="F1437" t="s">
        <v>57</v>
      </c>
      <c r="G1437" t="s">
        <v>24</v>
      </c>
      <c r="H1437" t="s">
        <v>48</v>
      </c>
      <c r="I1437" t="s">
        <v>31</v>
      </c>
      <c r="J1437" t="s">
        <v>27</v>
      </c>
      <c r="K1437" t="s">
        <v>32</v>
      </c>
      <c r="L1437" s="2">
        <v>2.9</v>
      </c>
      <c r="M1437" s="3">
        <v>511</v>
      </c>
      <c r="N1437">
        <v>6</v>
      </c>
      <c r="O1437">
        <v>6</v>
      </c>
      <c r="P1437">
        <v>1</v>
      </c>
      <c r="Q1437">
        <v>0</v>
      </c>
      <c r="R1437" s="4">
        <v>10.53</v>
      </c>
      <c r="S1437">
        <v>0</v>
      </c>
      <c r="T1437">
        <v>1</v>
      </c>
    </row>
    <row r="1438" spans="1:20" ht="16.5" x14ac:dyDescent="0.3">
      <c r="A1438" t="s">
        <v>1487</v>
      </c>
      <c r="B1438" s="1">
        <v>45510</v>
      </c>
      <c r="C1438">
        <v>2024</v>
      </c>
      <c r="D1438" t="s">
        <v>1261</v>
      </c>
      <c r="E1438" t="s">
        <v>1454</v>
      </c>
      <c r="F1438" t="s">
        <v>23</v>
      </c>
      <c r="G1438" t="s">
        <v>35</v>
      </c>
      <c r="H1438" t="s">
        <v>36</v>
      </c>
      <c r="I1438" t="s">
        <v>40</v>
      </c>
      <c r="J1438" t="s">
        <v>27</v>
      </c>
      <c r="K1438" t="s">
        <v>28</v>
      </c>
      <c r="L1438" s="2">
        <v>86.9</v>
      </c>
      <c r="M1438" s="3">
        <v>247</v>
      </c>
      <c r="N1438">
        <v>1</v>
      </c>
      <c r="O1438">
        <v>1</v>
      </c>
      <c r="P1438">
        <v>1</v>
      </c>
      <c r="Q1438">
        <v>0</v>
      </c>
      <c r="R1438" s="4">
        <v>92.2</v>
      </c>
      <c r="S1438">
        <v>0</v>
      </c>
      <c r="T1438">
        <v>1</v>
      </c>
    </row>
    <row r="1439" spans="1:20" ht="16.5" x14ac:dyDescent="0.3">
      <c r="A1439" t="s">
        <v>1488</v>
      </c>
      <c r="B1439" s="1">
        <v>45510</v>
      </c>
      <c r="C1439">
        <v>2024</v>
      </c>
      <c r="D1439" t="s">
        <v>1261</v>
      </c>
      <c r="E1439" t="s">
        <v>1454</v>
      </c>
      <c r="F1439" t="s">
        <v>30</v>
      </c>
      <c r="G1439" t="s">
        <v>35</v>
      </c>
      <c r="H1439" t="s">
        <v>36</v>
      </c>
      <c r="I1439" t="s">
        <v>40</v>
      </c>
      <c r="J1439" t="s">
        <v>27</v>
      </c>
      <c r="K1439" t="s">
        <v>32</v>
      </c>
      <c r="L1439" s="2">
        <v>1.8</v>
      </c>
      <c r="M1439" s="3">
        <v>275</v>
      </c>
      <c r="N1439">
        <v>1</v>
      </c>
      <c r="O1439">
        <v>1</v>
      </c>
      <c r="P1439">
        <v>1</v>
      </c>
      <c r="Q1439">
        <v>0</v>
      </c>
      <c r="R1439" s="4">
        <v>20.69</v>
      </c>
      <c r="S1439">
        <v>0</v>
      </c>
      <c r="T1439">
        <v>1</v>
      </c>
    </row>
    <row r="1440" spans="1:20" ht="16.5" x14ac:dyDescent="0.3">
      <c r="A1440" t="s">
        <v>1489</v>
      </c>
      <c r="B1440" s="1">
        <v>45510</v>
      </c>
      <c r="C1440">
        <v>2024</v>
      </c>
      <c r="D1440" t="s">
        <v>1261</v>
      </c>
      <c r="E1440" t="s">
        <v>1454</v>
      </c>
      <c r="F1440" t="s">
        <v>23</v>
      </c>
      <c r="G1440" t="s">
        <v>35</v>
      </c>
      <c r="H1440" t="s">
        <v>25</v>
      </c>
      <c r="I1440" t="s">
        <v>26</v>
      </c>
      <c r="J1440" t="s">
        <v>27</v>
      </c>
      <c r="K1440" t="s">
        <v>32</v>
      </c>
      <c r="L1440" s="2">
        <v>10.1</v>
      </c>
      <c r="M1440" s="3">
        <v>627</v>
      </c>
      <c r="N1440">
        <v>4</v>
      </c>
      <c r="O1440">
        <v>4</v>
      </c>
      <c r="P1440">
        <v>1</v>
      </c>
      <c r="Q1440">
        <v>0</v>
      </c>
      <c r="R1440" s="4">
        <v>18.79</v>
      </c>
      <c r="S1440">
        <v>0</v>
      </c>
      <c r="T1440">
        <v>1</v>
      </c>
    </row>
    <row r="1441" spans="1:20" ht="16.5" x14ac:dyDescent="0.3">
      <c r="A1441" t="s">
        <v>1490</v>
      </c>
      <c r="B1441" s="1">
        <v>45511</v>
      </c>
      <c r="C1441">
        <v>2024</v>
      </c>
      <c r="D1441" t="s">
        <v>1261</v>
      </c>
      <c r="E1441" t="s">
        <v>1454</v>
      </c>
      <c r="F1441" t="s">
        <v>57</v>
      </c>
      <c r="G1441" t="s">
        <v>35</v>
      </c>
      <c r="H1441" t="s">
        <v>48</v>
      </c>
      <c r="I1441" t="s">
        <v>26</v>
      </c>
      <c r="J1441" t="s">
        <v>27</v>
      </c>
      <c r="K1441" t="s">
        <v>28</v>
      </c>
      <c r="L1441" s="2">
        <v>90.6</v>
      </c>
      <c r="M1441" s="3">
        <v>515</v>
      </c>
      <c r="N1441">
        <v>4</v>
      </c>
      <c r="O1441">
        <v>4</v>
      </c>
      <c r="P1441">
        <v>1</v>
      </c>
      <c r="Q1441">
        <v>0</v>
      </c>
      <c r="R1441" s="4">
        <v>52.5</v>
      </c>
      <c r="S1441">
        <v>0</v>
      </c>
      <c r="T1441">
        <v>1</v>
      </c>
    </row>
    <row r="1442" spans="1:20" ht="16.5" x14ac:dyDescent="0.3">
      <c r="A1442" t="s">
        <v>1491</v>
      </c>
      <c r="B1442" s="1">
        <v>45511</v>
      </c>
      <c r="C1442">
        <v>2024</v>
      </c>
      <c r="D1442" t="s">
        <v>1261</v>
      </c>
      <c r="E1442" t="s">
        <v>1454</v>
      </c>
      <c r="F1442" t="s">
        <v>30</v>
      </c>
      <c r="G1442" t="s">
        <v>39</v>
      </c>
      <c r="H1442" t="s">
        <v>36</v>
      </c>
      <c r="I1442" t="s">
        <v>26</v>
      </c>
      <c r="J1442" t="s">
        <v>27</v>
      </c>
      <c r="K1442" t="s">
        <v>32</v>
      </c>
      <c r="L1442" s="2">
        <v>18.3</v>
      </c>
      <c r="M1442" s="3">
        <v>251</v>
      </c>
      <c r="N1442">
        <v>3</v>
      </c>
      <c r="O1442">
        <v>3</v>
      </c>
      <c r="P1442">
        <v>1</v>
      </c>
      <c r="Q1442">
        <v>0</v>
      </c>
      <c r="R1442" s="4">
        <v>21</v>
      </c>
      <c r="S1442">
        <v>0</v>
      </c>
      <c r="T1442">
        <v>1</v>
      </c>
    </row>
    <row r="1443" spans="1:20" ht="16.5" x14ac:dyDescent="0.3">
      <c r="A1443" t="s">
        <v>1492</v>
      </c>
      <c r="B1443" s="1">
        <v>45511</v>
      </c>
      <c r="C1443">
        <v>2024</v>
      </c>
      <c r="D1443" t="s">
        <v>1261</v>
      </c>
      <c r="E1443" t="s">
        <v>1454</v>
      </c>
      <c r="F1443" t="s">
        <v>30</v>
      </c>
      <c r="G1443" t="s">
        <v>39</v>
      </c>
      <c r="H1443" t="s">
        <v>48</v>
      </c>
      <c r="I1443" t="s">
        <v>31</v>
      </c>
      <c r="J1443" t="s">
        <v>27</v>
      </c>
      <c r="K1443" t="s">
        <v>32</v>
      </c>
      <c r="L1443" s="2">
        <v>4.5999999999999996</v>
      </c>
      <c r="M1443" s="3">
        <v>426</v>
      </c>
      <c r="N1443">
        <v>6</v>
      </c>
      <c r="O1443">
        <v>6</v>
      </c>
      <c r="P1443">
        <v>1</v>
      </c>
      <c r="Q1443">
        <v>0</v>
      </c>
      <c r="R1443" s="4">
        <v>10.9</v>
      </c>
      <c r="S1443">
        <v>0</v>
      </c>
      <c r="T1443">
        <v>1</v>
      </c>
    </row>
    <row r="1444" spans="1:20" ht="16.5" x14ac:dyDescent="0.3">
      <c r="A1444" t="s">
        <v>1493</v>
      </c>
      <c r="B1444" s="1">
        <v>45511</v>
      </c>
      <c r="C1444">
        <v>2024</v>
      </c>
      <c r="D1444" t="s">
        <v>1261</v>
      </c>
      <c r="E1444" t="s">
        <v>1454</v>
      </c>
      <c r="F1444" t="s">
        <v>57</v>
      </c>
      <c r="G1444" t="s">
        <v>35</v>
      </c>
      <c r="H1444" t="s">
        <v>48</v>
      </c>
      <c r="I1444" t="s">
        <v>40</v>
      </c>
      <c r="J1444" t="s">
        <v>27</v>
      </c>
      <c r="K1444" t="s">
        <v>28</v>
      </c>
      <c r="L1444" s="2">
        <v>115</v>
      </c>
      <c r="M1444" s="3">
        <v>505</v>
      </c>
      <c r="N1444">
        <v>2</v>
      </c>
      <c r="O1444">
        <v>2</v>
      </c>
      <c r="P1444">
        <v>1</v>
      </c>
      <c r="Q1444">
        <v>0</v>
      </c>
      <c r="R1444" s="4">
        <v>132.62</v>
      </c>
      <c r="S1444">
        <v>0</v>
      </c>
      <c r="T1444">
        <v>1</v>
      </c>
    </row>
    <row r="1445" spans="1:20" ht="16.5" x14ac:dyDescent="0.3">
      <c r="A1445" t="s">
        <v>1494</v>
      </c>
      <c r="B1445" s="1">
        <v>45511</v>
      </c>
      <c r="C1445">
        <v>2024</v>
      </c>
      <c r="D1445" t="s">
        <v>1261</v>
      </c>
      <c r="E1445" t="s">
        <v>1454</v>
      </c>
      <c r="F1445" t="s">
        <v>57</v>
      </c>
      <c r="G1445" t="s">
        <v>39</v>
      </c>
      <c r="H1445" t="s">
        <v>48</v>
      </c>
      <c r="I1445" t="s">
        <v>26</v>
      </c>
      <c r="J1445" t="s">
        <v>27</v>
      </c>
      <c r="K1445" t="s">
        <v>32</v>
      </c>
      <c r="L1445" s="2">
        <v>7.3</v>
      </c>
      <c r="M1445" s="3">
        <v>485</v>
      </c>
      <c r="N1445">
        <v>4</v>
      </c>
      <c r="O1445">
        <v>4</v>
      </c>
      <c r="P1445">
        <v>1</v>
      </c>
      <c r="Q1445">
        <v>0</v>
      </c>
      <c r="R1445" s="4">
        <v>16.239999999999998</v>
      </c>
      <c r="S1445">
        <v>0</v>
      </c>
      <c r="T1445">
        <v>1</v>
      </c>
    </row>
    <row r="1446" spans="1:20" ht="16.5" x14ac:dyDescent="0.3">
      <c r="A1446" t="s">
        <v>1495</v>
      </c>
      <c r="B1446" s="1">
        <v>45511</v>
      </c>
      <c r="C1446">
        <v>2024</v>
      </c>
      <c r="D1446" t="s">
        <v>1261</v>
      </c>
      <c r="E1446" t="s">
        <v>1454</v>
      </c>
      <c r="F1446" t="s">
        <v>30</v>
      </c>
      <c r="G1446" t="s">
        <v>35</v>
      </c>
      <c r="H1446" t="s">
        <v>43</v>
      </c>
      <c r="I1446" t="s">
        <v>31</v>
      </c>
      <c r="J1446" t="s">
        <v>27</v>
      </c>
      <c r="K1446" t="s">
        <v>28</v>
      </c>
      <c r="L1446" s="2">
        <v>151.4</v>
      </c>
      <c r="M1446" s="3">
        <v>1497</v>
      </c>
      <c r="N1446">
        <v>7</v>
      </c>
      <c r="O1446">
        <v>7</v>
      </c>
      <c r="P1446">
        <v>1</v>
      </c>
      <c r="Q1446">
        <v>0</v>
      </c>
      <c r="R1446" s="4">
        <v>70.7</v>
      </c>
      <c r="S1446">
        <v>0</v>
      </c>
      <c r="T1446">
        <v>1</v>
      </c>
    </row>
    <row r="1447" spans="1:20" ht="16.5" x14ac:dyDescent="0.3">
      <c r="A1447" t="s">
        <v>1496</v>
      </c>
      <c r="B1447" s="1">
        <v>45511</v>
      </c>
      <c r="C1447">
        <v>2024</v>
      </c>
      <c r="D1447" t="s">
        <v>1261</v>
      </c>
      <c r="E1447" t="s">
        <v>1454</v>
      </c>
      <c r="F1447" t="s">
        <v>34</v>
      </c>
      <c r="G1447" t="s">
        <v>35</v>
      </c>
      <c r="H1447" t="s">
        <v>51</v>
      </c>
      <c r="I1447" t="s">
        <v>26</v>
      </c>
      <c r="J1447" t="s">
        <v>27</v>
      </c>
      <c r="K1447" t="s">
        <v>32</v>
      </c>
      <c r="L1447" s="2">
        <v>10.6</v>
      </c>
      <c r="M1447" s="3">
        <v>914</v>
      </c>
      <c r="N1447">
        <v>5</v>
      </c>
      <c r="O1447">
        <v>5</v>
      </c>
      <c r="P1447">
        <v>1</v>
      </c>
      <c r="Q1447">
        <v>0</v>
      </c>
      <c r="R1447" s="4">
        <v>19.68</v>
      </c>
      <c r="S1447">
        <v>0</v>
      </c>
      <c r="T1447">
        <v>1</v>
      </c>
    </row>
    <row r="1448" spans="1:20" ht="16.5" x14ac:dyDescent="0.3">
      <c r="A1448" t="s">
        <v>1497</v>
      </c>
      <c r="B1448" s="1">
        <v>45511</v>
      </c>
      <c r="C1448">
        <v>2024</v>
      </c>
      <c r="D1448" t="s">
        <v>1261</v>
      </c>
      <c r="E1448" t="s">
        <v>1454</v>
      </c>
      <c r="F1448" t="s">
        <v>34</v>
      </c>
      <c r="G1448" t="s">
        <v>35</v>
      </c>
      <c r="H1448" t="s">
        <v>48</v>
      </c>
      <c r="I1448" t="s">
        <v>26</v>
      </c>
      <c r="J1448" t="s">
        <v>27</v>
      </c>
      <c r="K1448" t="s">
        <v>28</v>
      </c>
      <c r="L1448" s="2">
        <v>127.1</v>
      </c>
      <c r="M1448" s="3">
        <v>497</v>
      </c>
      <c r="N1448">
        <v>4</v>
      </c>
      <c r="O1448">
        <v>4</v>
      </c>
      <c r="P1448">
        <v>1</v>
      </c>
      <c r="Q1448">
        <v>0</v>
      </c>
      <c r="R1448" s="4">
        <v>53.83</v>
      </c>
      <c r="S1448">
        <v>0</v>
      </c>
      <c r="T1448">
        <v>1</v>
      </c>
    </row>
    <row r="1449" spans="1:20" ht="16.5" x14ac:dyDescent="0.3">
      <c r="A1449" t="s">
        <v>1498</v>
      </c>
      <c r="B1449" s="1">
        <v>45512</v>
      </c>
      <c r="C1449">
        <v>2024</v>
      </c>
      <c r="D1449" t="s">
        <v>1261</v>
      </c>
      <c r="E1449" t="s">
        <v>1454</v>
      </c>
      <c r="F1449" t="s">
        <v>30</v>
      </c>
      <c r="G1449" t="s">
        <v>35</v>
      </c>
      <c r="H1449" t="s">
        <v>36</v>
      </c>
      <c r="I1449" t="s">
        <v>40</v>
      </c>
      <c r="J1449" t="s">
        <v>27</v>
      </c>
      <c r="K1449" t="s">
        <v>28</v>
      </c>
      <c r="L1449" s="2">
        <v>57.8</v>
      </c>
      <c r="M1449" s="3">
        <v>306</v>
      </c>
      <c r="N1449">
        <v>1</v>
      </c>
      <c r="O1449">
        <v>1</v>
      </c>
      <c r="P1449">
        <v>1</v>
      </c>
      <c r="Q1449">
        <v>0</v>
      </c>
      <c r="R1449" s="4">
        <v>82.04</v>
      </c>
      <c r="S1449">
        <v>0</v>
      </c>
      <c r="T1449">
        <v>1</v>
      </c>
    </row>
    <row r="1450" spans="1:20" ht="16.5" x14ac:dyDescent="0.3">
      <c r="A1450" t="s">
        <v>1499</v>
      </c>
      <c r="B1450" s="1">
        <v>45512</v>
      </c>
      <c r="C1450">
        <v>2024</v>
      </c>
      <c r="D1450" t="s">
        <v>1261</v>
      </c>
      <c r="E1450" t="s">
        <v>1454</v>
      </c>
      <c r="F1450" t="s">
        <v>34</v>
      </c>
      <c r="G1450" t="s">
        <v>35</v>
      </c>
      <c r="H1450" t="s">
        <v>36</v>
      </c>
      <c r="I1450" t="s">
        <v>26</v>
      </c>
      <c r="J1450" t="s">
        <v>27</v>
      </c>
      <c r="K1450" t="s">
        <v>32</v>
      </c>
      <c r="L1450" s="2">
        <v>9.1999999999999993</v>
      </c>
      <c r="M1450" s="3">
        <v>277</v>
      </c>
      <c r="N1450">
        <v>3</v>
      </c>
      <c r="O1450">
        <v>3</v>
      </c>
      <c r="P1450">
        <v>1</v>
      </c>
      <c r="Q1450">
        <v>0</v>
      </c>
      <c r="R1450" s="4">
        <v>12.71</v>
      </c>
      <c r="S1450">
        <v>0</v>
      </c>
      <c r="T1450">
        <v>1</v>
      </c>
    </row>
    <row r="1451" spans="1:20" ht="16.5" x14ac:dyDescent="0.3">
      <c r="A1451" t="s">
        <v>1500</v>
      </c>
      <c r="B1451" s="1">
        <v>45512</v>
      </c>
      <c r="C1451">
        <v>2024</v>
      </c>
      <c r="D1451" t="s">
        <v>1261</v>
      </c>
      <c r="E1451" t="s">
        <v>1454</v>
      </c>
      <c r="F1451" t="s">
        <v>57</v>
      </c>
      <c r="G1451" t="s">
        <v>35</v>
      </c>
      <c r="H1451" t="s">
        <v>48</v>
      </c>
      <c r="I1451" t="s">
        <v>31</v>
      </c>
      <c r="J1451" t="s">
        <v>27</v>
      </c>
      <c r="K1451" t="s">
        <v>32</v>
      </c>
      <c r="L1451" s="2">
        <v>4.4000000000000004</v>
      </c>
      <c r="M1451" s="3">
        <v>392</v>
      </c>
      <c r="N1451">
        <v>6</v>
      </c>
      <c r="O1451">
        <v>8</v>
      </c>
      <c r="P1451">
        <v>0</v>
      </c>
      <c r="Q1451">
        <v>2</v>
      </c>
      <c r="R1451" s="4">
        <v>11.08</v>
      </c>
      <c r="S1451">
        <v>0</v>
      </c>
      <c r="T1451">
        <v>1</v>
      </c>
    </row>
    <row r="1452" spans="1:20" ht="16.5" x14ac:dyDescent="0.3">
      <c r="A1452" t="s">
        <v>1501</v>
      </c>
      <c r="B1452" s="1">
        <v>45512</v>
      </c>
      <c r="C1452">
        <v>2024</v>
      </c>
      <c r="D1452" t="s">
        <v>1261</v>
      </c>
      <c r="E1452" t="s">
        <v>1454</v>
      </c>
      <c r="F1452" t="s">
        <v>23</v>
      </c>
      <c r="G1452" t="s">
        <v>35</v>
      </c>
      <c r="H1452" t="s">
        <v>36</v>
      </c>
      <c r="I1452" t="s">
        <v>26</v>
      </c>
      <c r="J1452" t="s">
        <v>27</v>
      </c>
      <c r="K1452" t="s">
        <v>32</v>
      </c>
      <c r="L1452" s="2">
        <v>4.5999999999999996</v>
      </c>
      <c r="M1452" s="3">
        <v>253</v>
      </c>
      <c r="N1452">
        <v>3</v>
      </c>
      <c r="O1452">
        <v>2</v>
      </c>
      <c r="P1452">
        <v>1</v>
      </c>
      <c r="Q1452">
        <v>0</v>
      </c>
      <c r="R1452" s="4">
        <v>12.98</v>
      </c>
      <c r="S1452">
        <v>0</v>
      </c>
      <c r="T1452">
        <v>1</v>
      </c>
    </row>
    <row r="1453" spans="1:20" ht="16.5" x14ac:dyDescent="0.3">
      <c r="A1453" t="s">
        <v>1502</v>
      </c>
      <c r="B1453" s="1">
        <v>45512</v>
      </c>
      <c r="C1453">
        <v>2024</v>
      </c>
      <c r="D1453" t="s">
        <v>1261</v>
      </c>
      <c r="E1453" t="s">
        <v>1454</v>
      </c>
      <c r="F1453" t="s">
        <v>38</v>
      </c>
      <c r="G1453" t="s">
        <v>39</v>
      </c>
      <c r="H1453" t="s">
        <v>51</v>
      </c>
      <c r="I1453" t="s">
        <v>26</v>
      </c>
      <c r="J1453" t="s">
        <v>27</v>
      </c>
      <c r="K1453" t="s">
        <v>32</v>
      </c>
      <c r="L1453" s="2">
        <v>4.0999999999999996</v>
      </c>
      <c r="M1453" s="3">
        <v>1082</v>
      </c>
      <c r="N1453">
        <v>5</v>
      </c>
      <c r="O1453">
        <v>5</v>
      </c>
      <c r="P1453">
        <v>1</v>
      </c>
      <c r="Q1453">
        <v>0</v>
      </c>
      <c r="R1453" s="4">
        <v>24.86</v>
      </c>
      <c r="S1453">
        <v>0</v>
      </c>
      <c r="T1453">
        <v>1</v>
      </c>
    </row>
    <row r="1454" spans="1:20" ht="16.5" x14ac:dyDescent="0.3">
      <c r="A1454" t="s">
        <v>1503</v>
      </c>
      <c r="B1454" s="1">
        <v>45512</v>
      </c>
      <c r="C1454">
        <v>2024</v>
      </c>
      <c r="D1454" t="s">
        <v>1261</v>
      </c>
      <c r="E1454" t="s">
        <v>1454</v>
      </c>
      <c r="F1454" t="s">
        <v>38</v>
      </c>
      <c r="G1454" t="s">
        <v>39</v>
      </c>
      <c r="H1454" t="s">
        <v>43</v>
      </c>
      <c r="I1454" t="s">
        <v>26</v>
      </c>
      <c r="J1454" t="s">
        <v>27</v>
      </c>
      <c r="K1454" t="s">
        <v>32</v>
      </c>
      <c r="L1454" s="2">
        <v>5.0999999999999996</v>
      </c>
      <c r="M1454" s="3">
        <v>1292</v>
      </c>
      <c r="N1454">
        <v>5</v>
      </c>
      <c r="O1454">
        <v>4</v>
      </c>
      <c r="P1454">
        <v>1</v>
      </c>
      <c r="Q1454">
        <v>0</v>
      </c>
      <c r="R1454" s="4">
        <v>30.35</v>
      </c>
      <c r="S1454">
        <v>0</v>
      </c>
      <c r="T1454">
        <v>1</v>
      </c>
    </row>
    <row r="1455" spans="1:20" ht="16.5" x14ac:dyDescent="0.3">
      <c r="A1455" t="s">
        <v>1504</v>
      </c>
      <c r="B1455" s="1">
        <v>45512</v>
      </c>
      <c r="C1455">
        <v>2024</v>
      </c>
      <c r="D1455" t="s">
        <v>1261</v>
      </c>
      <c r="E1455" t="s">
        <v>1454</v>
      </c>
      <c r="F1455" t="s">
        <v>30</v>
      </c>
      <c r="G1455" t="s">
        <v>39</v>
      </c>
      <c r="H1455" t="s">
        <v>25</v>
      </c>
      <c r="I1455" t="s">
        <v>31</v>
      </c>
      <c r="J1455" t="s">
        <v>27</v>
      </c>
      <c r="K1455" t="s">
        <v>32</v>
      </c>
      <c r="L1455" s="2">
        <v>7.4</v>
      </c>
      <c r="M1455" s="3">
        <v>668</v>
      </c>
      <c r="N1455">
        <v>6</v>
      </c>
      <c r="O1455">
        <v>5</v>
      </c>
      <c r="P1455">
        <v>1</v>
      </c>
      <c r="Q1455">
        <v>0</v>
      </c>
      <c r="R1455" s="4">
        <v>14.54</v>
      </c>
      <c r="S1455">
        <v>0</v>
      </c>
      <c r="T1455">
        <v>1</v>
      </c>
    </row>
    <row r="1456" spans="1:20" ht="16.5" x14ac:dyDescent="0.3">
      <c r="A1456" t="s">
        <v>1505</v>
      </c>
      <c r="B1456" s="1">
        <v>45512</v>
      </c>
      <c r="C1456">
        <v>2024</v>
      </c>
      <c r="D1456" t="s">
        <v>1261</v>
      </c>
      <c r="E1456" t="s">
        <v>1454</v>
      </c>
      <c r="F1456" t="s">
        <v>34</v>
      </c>
      <c r="G1456" t="s">
        <v>39</v>
      </c>
      <c r="H1456" t="s">
        <v>43</v>
      </c>
      <c r="I1456" t="s">
        <v>26</v>
      </c>
      <c r="J1456" t="s">
        <v>27</v>
      </c>
      <c r="K1456" t="s">
        <v>32</v>
      </c>
      <c r="L1456" s="2">
        <v>5.9</v>
      </c>
      <c r="M1456" s="3">
        <v>1242</v>
      </c>
      <c r="N1456">
        <v>5</v>
      </c>
      <c r="O1456">
        <v>6</v>
      </c>
      <c r="P1456">
        <v>0</v>
      </c>
      <c r="Q1456">
        <v>1</v>
      </c>
      <c r="R1456" s="4">
        <v>19.87</v>
      </c>
      <c r="S1456">
        <v>0</v>
      </c>
      <c r="T1456">
        <v>1</v>
      </c>
    </row>
    <row r="1457" spans="1:20" ht="16.5" x14ac:dyDescent="0.3">
      <c r="A1457" t="s">
        <v>1506</v>
      </c>
      <c r="B1457" s="1">
        <v>45512</v>
      </c>
      <c r="C1457">
        <v>2024</v>
      </c>
      <c r="D1457" t="s">
        <v>1261</v>
      </c>
      <c r="E1457" t="s">
        <v>1454</v>
      </c>
      <c r="F1457" t="s">
        <v>23</v>
      </c>
      <c r="G1457" t="s">
        <v>35</v>
      </c>
      <c r="H1457" t="s">
        <v>48</v>
      </c>
      <c r="I1457" t="s">
        <v>26</v>
      </c>
      <c r="J1457" t="s">
        <v>27</v>
      </c>
      <c r="K1457" t="s">
        <v>28</v>
      </c>
      <c r="L1457" s="2">
        <v>424.8</v>
      </c>
      <c r="M1457" s="3">
        <v>577</v>
      </c>
      <c r="N1457">
        <v>4</v>
      </c>
      <c r="O1457">
        <v>4</v>
      </c>
      <c r="P1457">
        <v>1</v>
      </c>
      <c r="Q1457">
        <v>0</v>
      </c>
      <c r="R1457" s="4">
        <v>174.97</v>
      </c>
      <c r="S1457">
        <v>0</v>
      </c>
      <c r="T1457">
        <v>1</v>
      </c>
    </row>
    <row r="1458" spans="1:20" ht="16.5" x14ac:dyDescent="0.3">
      <c r="A1458" t="s">
        <v>1507</v>
      </c>
      <c r="B1458" s="1">
        <v>45512</v>
      </c>
      <c r="C1458">
        <v>2024</v>
      </c>
      <c r="D1458" t="s">
        <v>1261</v>
      </c>
      <c r="E1458" t="s">
        <v>1454</v>
      </c>
      <c r="F1458" t="s">
        <v>34</v>
      </c>
      <c r="G1458" t="s">
        <v>35</v>
      </c>
      <c r="H1458" t="s">
        <v>25</v>
      </c>
      <c r="I1458" t="s">
        <v>40</v>
      </c>
      <c r="J1458" t="s">
        <v>41</v>
      </c>
      <c r="K1458" t="s">
        <v>32</v>
      </c>
      <c r="L1458" s="2">
        <v>6.3</v>
      </c>
      <c r="M1458" s="3">
        <v>945</v>
      </c>
      <c r="N1458">
        <v>2</v>
      </c>
      <c r="O1458">
        <v>4</v>
      </c>
      <c r="P1458">
        <v>0</v>
      </c>
      <c r="Q1458">
        <v>2</v>
      </c>
      <c r="R1458" s="4">
        <v>52.78</v>
      </c>
      <c r="S1458">
        <v>0</v>
      </c>
      <c r="T1458">
        <v>1</v>
      </c>
    </row>
    <row r="1459" spans="1:20" ht="16.5" x14ac:dyDescent="0.3">
      <c r="A1459" t="s">
        <v>1508</v>
      </c>
      <c r="B1459" s="1">
        <v>45512</v>
      </c>
      <c r="C1459">
        <v>2024</v>
      </c>
      <c r="D1459" t="s">
        <v>1261</v>
      </c>
      <c r="E1459" t="s">
        <v>1454</v>
      </c>
      <c r="F1459" t="s">
        <v>23</v>
      </c>
      <c r="G1459" t="s">
        <v>35</v>
      </c>
      <c r="H1459" t="s">
        <v>25</v>
      </c>
      <c r="I1459" t="s">
        <v>26</v>
      </c>
      <c r="J1459" t="s">
        <v>27</v>
      </c>
      <c r="K1459" t="s">
        <v>28</v>
      </c>
      <c r="L1459" s="2">
        <v>89.9</v>
      </c>
      <c r="M1459" s="3">
        <v>729</v>
      </c>
      <c r="N1459">
        <v>4</v>
      </c>
      <c r="O1459">
        <v>4</v>
      </c>
      <c r="P1459">
        <v>1</v>
      </c>
      <c r="Q1459">
        <v>0</v>
      </c>
      <c r="R1459" s="4">
        <v>54.19</v>
      </c>
      <c r="S1459">
        <v>0</v>
      </c>
      <c r="T1459">
        <v>1</v>
      </c>
    </row>
    <row r="1460" spans="1:20" ht="16.5" x14ac:dyDescent="0.3">
      <c r="A1460" t="s">
        <v>1509</v>
      </c>
      <c r="B1460" s="1">
        <v>45512</v>
      </c>
      <c r="C1460">
        <v>2024</v>
      </c>
      <c r="D1460" t="s">
        <v>1261</v>
      </c>
      <c r="E1460" t="s">
        <v>1454</v>
      </c>
      <c r="F1460" t="s">
        <v>23</v>
      </c>
      <c r="G1460" t="s">
        <v>24</v>
      </c>
      <c r="H1460" t="s">
        <v>36</v>
      </c>
      <c r="I1460" t="s">
        <v>26</v>
      </c>
      <c r="J1460" t="s">
        <v>27</v>
      </c>
      <c r="K1460" t="s">
        <v>28</v>
      </c>
      <c r="L1460" s="2">
        <v>16.5</v>
      </c>
      <c r="M1460" s="3">
        <v>277</v>
      </c>
      <c r="N1460">
        <v>3</v>
      </c>
      <c r="O1460">
        <v>3</v>
      </c>
      <c r="P1460">
        <v>1</v>
      </c>
      <c r="Q1460">
        <v>0</v>
      </c>
      <c r="R1460" s="4">
        <v>18.190000000000001</v>
      </c>
      <c r="S1460">
        <v>0</v>
      </c>
      <c r="T1460">
        <v>1</v>
      </c>
    </row>
    <row r="1461" spans="1:20" ht="16.5" x14ac:dyDescent="0.3">
      <c r="A1461" t="s">
        <v>1510</v>
      </c>
      <c r="B1461" s="1">
        <v>45512</v>
      </c>
      <c r="C1461">
        <v>2024</v>
      </c>
      <c r="D1461" t="s">
        <v>1261</v>
      </c>
      <c r="E1461" t="s">
        <v>1454</v>
      </c>
      <c r="F1461" t="s">
        <v>34</v>
      </c>
      <c r="G1461" t="s">
        <v>24</v>
      </c>
      <c r="H1461" t="s">
        <v>36</v>
      </c>
      <c r="I1461" t="s">
        <v>31</v>
      </c>
      <c r="J1461" t="s">
        <v>27</v>
      </c>
      <c r="K1461" t="s">
        <v>28</v>
      </c>
      <c r="L1461" s="2">
        <v>47.7</v>
      </c>
      <c r="M1461" s="3">
        <v>219</v>
      </c>
      <c r="N1461">
        <v>5</v>
      </c>
      <c r="O1461">
        <v>7</v>
      </c>
      <c r="P1461">
        <v>0</v>
      </c>
      <c r="Q1461">
        <v>2</v>
      </c>
      <c r="R1461" s="4">
        <v>21.45</v>
      </c>
      <c r="S1461">
        <v>0</v>
      </c>
      <c r="T1461">
        <v>1</v>
      </c>
    </row>
    <row r="1462" spans="1:20" ht="16.5" x14ac:dyDescent="0.3">
      <c r="A1462" t="s">
        <v>1511</v>
      </c>
      <c r="B1462" s="1">
        <v>45513</v>
      </c>
      <c r="C1462">
        <v>2024</v>
      </c>
      <c r="D1462" t="s">
        <v>1261</v>
      </c>
      <c r="E1462" t="s">
        <v>1454</v>
      </c>
      <c r="F1462" t="s">
        <v>34</v>
      </c>
      <c r="G1462" t="s">
        <v>24</v>
      </c>
      <c r="H1462" t="s">
        <v>25</v>
      </c>
      <c r="I1462" t="s">
        <v>26</v>
      </c>
      <c r="J1462" t="s">
        <v>27</v>
      </c>
      <c r="K1462" t="s">
        <v>32</v>
      </c>
      <c r="L1462" s="2">
        <v>5.2</v>
      </c>
      <c r="M1462" s="3">
        <v>1050</v>
      </c>
      <c r="N1462">
        <v>4</v>
      </c>
      <c r="O1462">
        <v>3</v>
      </c>
      <c r="P1462">
        <v>1</v>
      </c>
      <c r="Q1462">
        <v>0</v>
      </c>
      <c r="R1462" s="4">
        <v>18.36</v>
      </c>
      <c r="S1462">
        <v>0</v>
      </c>
      <c r="T1462">
        <v>1</v>
      </c>
    </row>
    <row r="1463" spans="1:20" ht="16.5" x14ac:dyDescent="0.3">
      <c r="A1463" t="s">
        <v>1512</v>
      </c>
      <c r="B1463" s="1">
        <v>45513</v>
      </c>
      <c r="C1463">
        <v>2024</v>
      </c>
      <c r="D1463" t="s">
        <v>1261</v>
      </c>
      <c r="E1463" t="s">
        <v>1454</v>
      </c>
      <c r="F1463" t="s">
        <v>57</v>
      </c>
      <c r="G1463" t="s">
        <v>39</v>
      </c>
      <c r="H1463" t="s">
        <v>43</v>
      </c>
      <c r="I1463" t="s">
        <v>26</v>
      </c>
      <c r="J1463" t="s">
        <v>27</v>
      </c>
      <c r="K1463" t="s">
        <v>28</v>
      </c>
      <c r="L1463" s="2">
        <v>242.9</v>
      </c>
      <c r="M1463" s="3">
        <v>1300</v>
      </c>
      <c r="N1463">
        <v>5</v>
      </c>
      <c r="O1463">
        <v>5</v>
      </c>
      <c r="P1463">
        <v>1</v>
      </c>
      <c r="Q1463">
        <v>0</v>
      </c>
      <c r="R1463" s="4">
        <v>118.5</v>
      </c>
      <c r="S1463">
        <v>0</v>
      </c>
      <c r="T1463">
        <v>1</v>
      </c>
    </row>
    <row r="1464" spans="1:20" ht="16.5" x14ac:dyDescent="0.3">
      <c r="A1464" t="s">
        <v>1513</v>
      </c>
      <c r="B1464" s="1">
        <v>45513</v>
      </c>
      <c r="C1464">
        <v>2024</v>
      </c>
      <c r="D1464" t="s">
        <v>1261</v>
      </c>
      <c r="E1464" t="s">
        <v>1454</v>
      </c>
      <c r="F1464" t="s">
        <v>38</v>
      </c>
      <c r="G1464" t="s">
        <v>24</v>
      </c>
      <c r="H1464" t="s">
        <v>48</v>
      </c>
      <c r="I1464" t="s">
        <v>31</v>
      </c>
      <c r="J1464" t="s">
        <v>27</v>
      </c>
      <c r="K1464" t="s">
        <v>32</v>
      </c>
      <c r="L1464" s="2">
        <v>5.2</v>
      </c>
      <c r="M1464" s="3">
        <v>261</v>
      </c>
      <c r="N1464">
        <v>6</v>
      </c>
      <c r="O1464">
        <v>5</v>
      </c>
      <c r="P1464">
        <v>1</v>
      </c>
      <c r="Q1464">
        <v>0</v>
      </c>
      <c r="R1464" s="4">
        <v>10.029999999999999</v>
      </c>
      <c r="S1464">
        <v>0</v>
      </c>
      <c r="T1464">
        <v>1</v>
      </c>
    </row>
    <row r="1465" spans="1:20" ht="16.5" x14ac:dyDescent="0.3">
      <c r="A1465" t="s">
        <v>1514</v>
      </c>
      <c r="B1465" s="1">
        <v>45513</v>
      </c>
      <c r="C1465">
        <v>2024</v>
      </c>
      <c r="D1465" t="s">
        <v>1261</v>
      </c>
      <c r="E1465" t="s">
        <v>1454</v>
      </c>
      <c r="F1465" t="s">
        <v>30</v>
      </c>
      <c r="G1465" t="s">
        <v>24</v>
      </c>
      <c r="H1465" t="s">
        <v>36</v>
      </c>
      <c r="I1465" t="s">
        <v>31</v>
      </c>
      <c r="J1465" t="s">
        <v>27</v>
      </c>
      <c r="K1465" t="s">
        <v>28</v>
      </c>
      <c r="L1465" s="2">
        <v>147.69999999999999</v>
      </c>
      <c r="M1465" s="3">
        <v>255</v>
      </c>
      <c r="N1465">
        <v>5</v>
      </c>
      <c r="O1465">
        <v>5</v>
      </c>
      <c r="P1465">
        <v>1</v>
      </c>
      <c r="Q1465">
        <v>0</v>
      </c>
      <c r="R1465" s="4">
        <v>54.37</v>
      </c>
      <c r="S1465">
        <v>0</v>
      </c>
      <c r="T1465">
        <v>1</v>
      </c>
    </row>
    <row r="1466" spans="1:20" ht="16.5" x14ac:dyDescent="0.3">
      <c r="A1466" t="s">
        <v>1515</v>
      </c>
      <c r="B1466" s="1">
        <v>45513</v>
      </c>
      <c r="C1466">
        <v>2024</v>
      </c>
      <c r="D1466" t="s">
        <v>1261</v>
      </c>
      <c r="E1466" t="s">
        <v>1454</v>
      </c>
      <c r="F1466" t="s">
        <v>34</v>
      </c>
      <c r="G1466" t="s">
        <v>35</v>
      </c>
      <c r="H1466" t="s">
        <v>51</v>
      </c>
      <c r="I1466" t="s">
        <v>26</v>
      </c>
      <c r="J1466" t="s">
        <v>27</v>
      </c>
      <c r="K1466" t="s">
        <v>28</v>
      </c>
      <c r="L1466" s="2">
        <v>257.60000000000002</v>
      </c>
      <c r="M1466" s="3">
        <v>933</v>
      </c>
      <c r="N1466">
        <v>5</v>
      </c>
      <c r="O1466">
        <v>9</v>
      </c>
      <c r="P1466">
        <v>0</v>
      </c>
      <c r="Q1466">
        <v>4</v>
      </c>
      <c r="R1466" s="4">
        <v>110.52</v>
      </c>
      <c r="S1466">
        <v>0</v>
      </c>
      <c r="T1466">
        <v>1</v>
      </c>
    </row>
    <row r="1467" spans="1:20" ht="16.5" x14ac:dyDescent="0.3">
      <c r="A1467" t="s">
        <v>1516</v>
      </c>
      <c r="B1467" s="1">
        <v>45513</v>
      </c>
      <c r="C1467">
        <v>2024</v>
      </c>
      <c r="D1467" t="s">
        <v>1261</v>
      </c>
      <c r="E1467" t="s">
        <v>1454</v>
      </c>
      <c r="F1467" t="s">
        <v>30</v>
      </c>
      <c r="G1467" t="s">
        <v>39</v>
      </c>
      <c r="H1467" t="s">
        <v>25</v>
      </c>
      <c r="I1467" t="s">
        <v>26</v>
      </c>
      <c r="J1467" t="s">
        <v>27</v>
      </c>
      <c r="K1467" t="s">
        <v>28</v>
      </c>
      <c r="L1467" s="2">
        <v>190.8</v>
      </c>
      <c r="M1467" s="3">
        <v>998</v>
      </c>
      <c r="N1467">
        <v>4</v>
      </c>
      <c r="O1467">
        <v>4</v>
      </c>
      <c r="P1467">
        <v>1</v>
      </c>
      <c r="Q1467">
        <v>0</v>
      </c>
      <c r="R1467" s="4">
        <v>91.23</v>
      </c>
      <c r="S1467">
        <v>0</v>
      </c>
      <c r="T1467">
        <v>1</v>
      </c>
    </row>
    <row r="1468" spans="1:20" ht="16.5" x14ac:dyDescent="0.3">
      <c r="A1468" t="s">
        <v>1517</v>
      </c>
      <c r="B1468" s="1">
        <v>45513</v>
      </c>
      <c r="C1468">
        <v>2024</v>
      </c>
      <c r="D1468" t="s">
        <v>1261</v>
      </c>
      <c r="E1468" t="s">
        <v>1454</v>
      </c>
      <c r="F1468" t="s">
        <v>23</v>
      </c>
      <c r="G1468" t="s">
        <v>39</v>
      </c>
      <c r="H1468" t="s">
        <v>48</v>
      </c>
      <c r="I1468" t="s">
        <v>31</v>
      </c>
      <c r="J1468" t="s">
        <v>27</v>
      </c>
      <c r="K1468" t="s">
        <v>32</v>
      </c>
      <c r="L1468" s="2">
        <v>2.4</v>
      </c>
      <c r="M1468" s="3">
        <v>462</v>
      </c>
      <c r="N1468">
        <v>6</v>
      </c>
      <c r="O1468">
        <v>5</v>
      </c>
      <c r="P1468">
        <v>1</v>
      </c>
      <c r="Q1468">
        <v>0</v>
      </c>
      <c r="R1468" s="4">
        <v>8.1999999999999993</v>
      </c>
      <c r="S1468">
        <v>0</v>
      </c>
      <c r="T1468">
        <v>1</v>
      </c>
    </row>
    <row r="1469" spans="1:20" ht="16.5" x14ac:dyDescent="0.3">
      <c r="A1469" t="s">
        <v>1518</v>
      </c>
      <c r="B1469" s="1">
        <v>45514</v>
      </c>
      <c r="C1469">
        <v>2024</v>
      </c>
      <c r="D1469" t="s">
        <v>1261</v>
      </c>
      <c r="E1469" t="s">
        <v>1454</v>
      </c>
      <c r="F1469" t="s">
        <v>38</v>
      </c>
      <c r="G1469" t="s">
        <v>24</v>
      </c>
      <c r="H1469" t="s">
        <v>51</v>
      </c>
      <c r="I1469" t="s">
        <v>31</v>
      </c>
      <c r="J1469" t="s">
        <v>27</v>
      </c>
      <c r="K1469" t="s">
        <v>32</v>
      </c>
      <c r="L1469" s="2">
        <v>10.1</v>
      </c>
      <c r="M1469" s="3">
        <v>1353</v>
      </c>
      <c r="N1469">
        <v>7</v>
      </c>
      <c r="O1469">
        <v>6</v>
      </c>
      <c r="P1469">
        <v>1</v>
      </c>
      <c r="Q1469">
        <v>0</v>
      </c>
      <c r="R1469" s="4">
        <v>21.56</v>
      </c>
      <c r="S1469">
        <v>0</v>
      </c>
      <c r="T1469">
        <v>1</v>
      </c>
    </row>
    <row r="1470" spans="1:20" ht="16.5" x14ac:dyDescent="0.3">
      <c r="A1470" t="s">
        <v>1519</v>
      </c>
      <c r="B1470" s="1">
        <v>45515</v>
      </c>
      <c r="C1470">
        <v>2024</v>
      </c>
      <c r="D1470" t="s">
        <v>1261</v>
      </c>
      <c r="E1470" t="s">
        <v>1454</v>
      </c>
      <c r="F1470" t="s">
        <v>38</v>
      </c>
      <c r="G1470" t="s">
        <v>35</v>
      </c>
      <c r="H1470" t="s">
        <v>25</v>
      </c>
      <c r="I1470" t="s">
        <v>26</v>
      </c>
      <c r="J1470" t="s">
        <v>27</v>
      </c>
      <c r="K1470" t="s">
        <v>32</v>
      </c>
      <c r="L1470" s="2">
        <v>6.7</v>
      </c>
      <c r="M1470" s="3">
        <v>1191</v>
      </c>
      <c r="N1470">
        <v>4</v>
      </c>
      <c r="O1470">
        <v>3</v>
      </c>
      <c r="P1470">
        <v>1</v>
      </c>
      <c r="Q1470">
        <v>0</v>
      </c>
      <c r="R1470" s="4">
        <v>26.02</v>
      </c>
      <c r="S1470">
        <v>0</v>
      </c>
      <c r="T1470">
        <v>1</v>
      </c>
    </row>
    <row r="1471" spans="1:20" ht="16.5" x14ac:dyDescent="0.3">
      <c r="A1471" t="s">
        <v>1520</v>
      </c>
      <c r="B1471" s="1">
        <v>45515</v>
      </c>
      <c r="C1471">
        <v>2024</v>
      </c>
      <c r="D1471" t="s">
        <v>1261</v>
      </c>
      <c r="E1471" t="s">
        <v>1454</v>
      </c>
      <c r="F1471" t="s">
        <v>23</v>
      </c>
      <c r="G1471" t="s">
        <v>35</v>
      </c>
      <c r="H1471" t="s">
        <v>25</v>
      </c>
      <c r="I1471" t="s">
        <v>40</v>
      </c>
      <c r="J1471" t="s">
        <v>41</v>
      </c>
      <c r="K1471" t="s">
        <v>28</v>
      </c>
      <c r="L1471" s="2">
        <v>170.6</v>
      </c>
      <c r="M1471" s="3">
        <v>1099</v>
      </c>
      <c r="N1471">
        <v>2</v>
      </c>
      <c r="O1471">
        <v>1</v>
      </c>
      <c r="P1471">
        <v>1</v>
      </c>
      <c r="Q1471">
        <v>0</v>
      </c>
      <c r="R1471" s="4">
        <v>261.05</v>
      </c>
      <c r="S1471">
        <v>0</v>
      </c>
      <c r="T1471">
        <v>1</v>
      </c>
    </row>
    <row r="1472" spans="1:20" ht="16.5" x14ac:dyDescent="0.3">
      <c r="A1472" t="s">
        <v>1521</v>
      </c>
      <c r="B1472" s="1">
        <v>45515</v>
      </c>
      <c r="C1472">
        <v>2024</v>
      </c>
      <c r="D1472" t="s">
        <v>1261</v>
      </c>
      <c r="E1472" t="s">
        <v>1454</v>
      </c>
      <c r="F1472" t="s">
        <v>23</v>
      </c>
      <c r="G1472" t="s">
        <v>35</v>
      </c>
      <c r="H1472" t="s">
        <v>25</v>
      </c>
      <c r="I1472" t="s">
        <v>40</v>
      </c>
      <c r="J1472" t="s">
        <v>41</v>
      </c>
      <c r="K1472" t="s">
        <v>32</v>
      </c>
      <c r="L1472" s="2">
        <v>10.7</v>
      </c>
      <c r="M1472" s="3">
        <v>963</v>
      </c>
      <c r="N1472">
        <v>2</v>
      </c>
      <c r="O1472">
        <v>2</v>
      </c>
      <c r="P1472">
        <v>1</v>
      </c>
      <c r="Q1472">
        <v>0</v>
      </c>
      <c r="R1472" s="4">
        <v>74.86</v>
      </c>
      <c r="S1472">
        <v>0</v>
      </c>
      <c r="T1472">
        <v>1</v>
      </c>
    </row>
    <row r="1473" spans="1:20" ht="16.5" x14ac:dyDescent="0.3">
      <c r="A1473" t="s">
        <v>1522</v>
      </c>
      <c r="B1473" s="1">
        <v>45515</v>
      </c>
      <c r="C1473">
        <v>2024</v>
      </c>
      <c r="D1473" t="s">
        <v>1261</v>
      </c>
      <c r="E1473" t="s">
        <v>1454</v>
      </c>
      <c r="F1473" t="s">
        <v>57</v>
      </c>
      <c r="G1473" t="s">
        <v>39</v>
      </c>
      <c r="H1473" t="s">
        <v>25</v>
      </c>
      <c r="I1473" t="s">
        <v>26</v>
      </c>
      <c r="J1473" t="s">
        <v>27</v>
      </c>
      <c r="K1473" t="s">
        <v>32</v>
      </c>
      <c r="L1473" s="2">
        <v>5.2</v>
      </c>
      <c r="M1473" s="3">
        <v>900</v>
      </c>
      <c r="N1473">
        <v>4</v>
      </c>
      <c r="O1473">
        <v>4</v>
      </c>
      <c r="P1473">
        <v>1</v>
      </c>
      <c r="Q1473">
        <v>0</v>
      </c>
      <c r="R1473" s="4">
        <v>20.64</v>
      </c>
      <c r="S1473">
        <v>0</v>
      </c>
      <c r="T1473">
        <v>1</v>
      </c>
    </row>
    <row r="1474" spans="1:20" ht="16.5" x14ac:dyDescent="0.3">
      <c r="A1474" t="s">
        <v>1523</v>
      </c>
      <c r="B1474" s="1">
        <v>45515</v>
      </c>
      <c r="C1474">
        <v>2024</v>
      </c>
      <c r="D1474" t="s">
        <v>1261</v>
      </c>
      <c r="E1474" t="s">
        <v>1454</v>
      </c>
      <c r="F1474" t="s">
        <v>38</v>
      </c>
      <c r="G1474" t="s">
        <v>35</v>
      </c>
      <c r="H1474" t="s">
        <v>36</v>
      </c>
      <c r="I1474" t="s">
        <v>31</v>
      </c>
      <c r="J1474" t="s">
        <v>27</v>
      </c>
      <c r="K1474" t="s">
        <v>32</v>
      </c>
      <c r="L1474" s="2">
        <v>7.8</v>
      </c>
      <c r="M1474" s="3">
        <v>185</v>
      </c>
      <c r="N1474">
        <v>5</v>
      </c>
      <c r="O1474">
        <v>5</v>
      </c>
      <c r="P1474">
        <v>1</v>
      </c>
      <c r="Q1474">
        <v>0</v>
      </c>
      <c r="R1474" s="4">
        <v>10.48</v>
      </c>
      <c r="S1474">
        <v>0</v>
      </c>
      <c r="T1474">
        <v>1</v>
      </c>
    </row>
    <row r="1475" spans="1:20" ht="16.5" x14ac:dyDescent="0.3">
      <c r="A1475" t="s">
        <v>1524</v>
      </c>
      <c r="B1475" s="1">
        <v>45516</v>
      </c>
      <c r="C1475">
        <v>2024</v>
      </c>
      <c r="D1475" t="s">
        <v>1261</v>
      </c>
      <c r="E1475" t="s">
        <v>1454</v>
      </c>
      <c r="F1475" t="s">
        <v>57</v>
      </c>
      <c r="G1475" t="s">
        <v>39</v>
      </c>
      <c r="H1475" t="s">
        <v>48</v>
      </c>
      <c r="I1475" t="s">
        <v>26</v>
      </c>
      <c r="J1475" t="s">
        <v>27</v>
      </c>
      <c r="K1475" t="s">
        <v>32</v>
      </c>
      <c r="L1475" s="2">
        <v>3.5</v>
      </c>
      <c r="M1475" s="3">
        <v>506</v>
      </c>
      <c r="N1475">
        <v>4</v>
      </c>
      <c r="O1475">
        <v>4</v>
      </c>
      <c r="P1475">
        <v>1</v>
      </c>
      <c r="Q1475">
        <v>0</v>
      </c>
      <c r="R1475" s="4">
        <v>13.79</v>
      </c>
      <c r="S1475">
        <v>0</v>
      </c>
      <c r="T1475">
        <v>1</v>
      </c>
    </row>
    <row r="1476" spans="1:20" ht="16.5" x14ac:dyDescent="0.3">
      <c r="A1476" t="s">
        <v>1525</v>
      </c>
      <c r="B1476" s="1">
        <v>45516</v>
      </c>
      <c r="C1476">
        <v>2024</v>
      </c>
      <c r="D1476" t="s">
        <v>1261</v>
      </c>
      <c r="E1476" t="s">
        <v>1454</v>
      </c>
      <c r="F1476" t="s">
        <v>34</v>
      </c>
      <c r="G1476" t="s">
        <v>39</v>
      </c>
      <c r="H1476" t="s">
        <v>36</v>
      </c>
      <c r="I1476" t="s">
        <v>31</v>
      </c>
      <c r="J1476" t="s">
        <v>27</v>
      </c>
      <c r="K1476" t="s">
        <v>32</v>
      </c>
      <c r="L1476" s="2">
        <v>3.5</v>
      </c>
      <c r="M1476" s="3">
        <v>276</v>
      </c>
      <c r="N1476">
        <v>5</v>
      </c>
      <c r="O1476">
        <v>4</v>
      </c>
      <c r="P1476">
        <v>1</v>
      </c>
      <c r="Q1476">
        <v>0</v>
      </c>
      <c r="R1476" s="4">
        <v>7.41</v>
      </c>
      <c r="S1476">
        <v>0</v>
      </c>
      <c r="T1476">
        <v>1</v>
      </c>
    </row>
    <row r="1477" spans="1:20" ht="16.5" x14ac:dyDescent="0.3">
      <c r="A1477" t="s">
        <v>1526</v>
      </c>
      <c r="B1477" s="1">
        <v>45516</v>
      </c>
      <c r="C1477">
        <v>2024</v>
      </c>
      <c r="D1477" t="s">
        <v>1261</v>
      </c>
      <c r="E1477" t="s">
        <v>1454</v>
      </c>
      <c r="F1477" t="s">
        <v>30</v>
      </c>
      <c r="G1477" t="s">
        <v>39</v>
      </c>
      <c r="H1477" t="s">
        <v>25</v>
      </c>
      <c r="I1477" t="s">
        <v>31</v>
      </c>
      <c r="J1477" t="s">
        <v>27</v>
      </c>
      <c r="K1477" t="s">
        <v>28</v>
      </c>
      <c r="L1477" s="2">
        <v>42.4</v>
      </c>
      <c r="M1477" s="3">
        <v>1034</v>
      </c>
      <c r="N1477">
        <v>6</v>
      </c>
      <c r="O1477">
        <v>6</v>
      </c>
      <c r="P1477">
        <v>1</v>
      </c>
      <c r="Q1477">
        <v>0</v>
      </c>
      <c r="R1477" s="4">
        <v>33.28</v>
      </c>
      <c r="S1477">
        <v>0</v>
      </c>
      <c r="T1477">
        <v>1</v>
      </c>
    </row>
    <row r="1478" spans="1:20" ht="16.5" x14ac:dyDescent="0.3">
      <c r="A1478" t="s">
        <v>1527</v>
      </c>
      <c r="B1478" s="1">
        <v>45516</v>
      </c>
      <c r="C1478">
        <v>2024</v>
      </c>
      <c r="D1478" t="s">
        <v>1261</v>
      </c>
      <c r="E1478" t="s">
        <v>1454</v>
      </c>
      <c r="F1478" t="s">
        <v>57</v>
      </c>
      <c r="G1478" t="s">
        <v>24</v>
      </c>
      <c r="H1478" t="s">
        <v>36</v>
      </c>
      <c r="I1478" t="s">
        <v>31</v>
      </c>
      <c r="J1478" t="s">
        <v>27</v>
      </c>
      <c r="K1478" t="s">
        <v>28</v>
      </c>
      <c r="L1478" s="2">
        <v>126</v>
      </c>
      <c r="M1478" s="3">
        <v>282</v>
      </c>
      <c r="N1478">
        <v>5</v>
      </c>
      <c r="O1478">
        <v>5</v>
      </c>
      <c r="P1478">
        <v>1</v>
      </c>
      <c r="Q1478">
        <v>0</v>
      </c>
      <c r="R1478" s="4">
        <v>44.01</v>
      </c>
      <c r="S1478">
        <v>0</v>
      </c>
      <c r="T1478">
        <v>1</v>
      </c>
    </row>
    <row r="1479" spans="1:20" ht="16.5" x14ac:dyDescent="0.3">
      <c r="A1479" t="s">
        <v>1528</v>
      </c>
      <c r="B1479" s="1">
        <v>45516</v>
      </c>
      <c r="C1479">
        <v>2024</v>
      </c>
      <c r="D1479" t="s">
        <v>1261</v>
      </c>
      <c r="E1479" t="s">
        <v>1454</v>
      </c>
      <c r="F1479" t="s">
        <v>34</v>
      </c>
      <c r="G1479" t="s">
        <v>35</v>
      </c>
      <c r="H1479" t="s">
        <v>48</v>
      </c>
      <c r="I1479" t="s">
        <v>26</v>
      </c>
      <c r="J1479" t="s">
        <v>27</v>
      </c>
      <c r="K1479" t="s">
        <v>32</v>
      </c>
      <c r="L1479" s="2">
        <v>3.4</v>
      </c>
      <c r="M1479" s="3">
        <v>499</v>
      </c>
      <c r="N1479">
        <v>4</v>
      </c>
      <c r="O1479">
        <v>7</v>
      </c>
      <c r="P1479">
        <v>0</v>
      </c>
      <c r="Q1479">
        <v>3</v>
      </c>
      <c r="R1479" s="4">
        <v>13.55</v>
      </c>
      <c r="S1479">
        <v>0</v>
      </c>
      <c r="T1479">
        <v>1</v>
      </c>
    </row>
    <row r="1480" spans="1:20" ht="16.5" x14ac:dyDescent="0.3">
      <c r="A1480" t="s">
        <v>1529</v>
      </c>
      <c r="B1480" s="1">
        <v>45516</v>
      </c>
      <c r="C1480">
        <v>2024</v>
      </c>
      <c r="D1480" t="s">
        <v>1261</v>
      </c>
      <c r="E1480" t="s">
        <v>1454</v>
      </c>
      <c r="F1480" t="s">
        <v>57</v>
      </c>
      <c r="G1480" t="s">
        <v>39</v>
      </c>
      <c r="H1480" t="s">
        <v>36</v>
      </c>
      <c r="I1480" t="s">
        <v>40</v>
      </c>
      <c r="J1480" t="s">
        <v>27</v>
      </c>
      <c r="K1480" t="s">
        <v>32</v>
      </c>
      <c r="L1480" s="2">
        <v>2.5</v>
      </c>
      <c r="M1480" s="3">
        <v>204</v>
      </c>
      <c r="N1480">
        <v>1</v>
      </c>
      <c r="O1480">
        <v>1</v>
      </c>
      <c r="P1480">
        <v>1</v>
      </c>
      <c r="Q1480">
        <v>0</v>
      </c>
      <c r="R1480" s="4">
        <v>20.18</v>
      </c>
      <c r="S1480">
        <v>0</v>
      </c>
      <c r="T1480">
        <v>1</v>
      </c>
    </row>
    <row r="1481" spans="1:20" ht="16.5" x14ac:dyDescent="0.3">
      <c r="A1481" t="s">
        <v>1530</v>
      </c>
      <c r="B1481" s="1">
        <v>45517</v>
      </c>
      <c r="C1481">
        <v>2024</v>
      </c>
      <c r="D1481" t="s">
        <v>1261</v>
      </c>
      <c r="E1481" t="s">
        <v>1454</v>
      </c>
      <c r="F1481" t="s">
        <v>30</v>
      </c>
      <c r="G1481" t="s">
        <v>39</v>
      </c>
      <c r="H1481" t="s">
        <v>36</v>
      </c>
      <c r="I1481" t="s">
        <v>31</v>
      </c>
      <c r="J1481" t="s">
        <v>27</v>
      </c>
      <c r="K1481" t="s">
        <v>28</v>
      </c>
      <c r="L1481" s="2">
        <v>72.099999999999994</v>
      </c>
      <c r="M1481" s="3">
        <v>281</v>
      </c>
      <c r="N1481">
        <v>5</v>
      </c>
      <c r="O1481">
        <v>5</v>
      </c>
      <c r="P1481">
        <v>1</v>
      </c>
      <c r="Q1481">
        <v>0</v>
      </c>
      <c r="R1481" s="4">
        <v>33.33</v>
      </c>
      <c r="S1481">
        <v>0</v>
      </c>
      <c r="T1481">
        <v>1</v>
      </c>
    </row>
    <row r="1482" spans="1:20" ht="16.5" x14ac:dyDescent="0.3">
      <c r="A1482" t="s">
        <v>1531</v>
      </c>
      <c r="B1482" s="1">
        <v>45517</v>
      </c>
      <c r="C1482">
        <v>2024</v>
      </c>
      <c r="D1482" t="s">
        <v>1261</v>
      </c>
      <c r="E1482" t="s">
        <v>1454</v>
      </c>
      <c r="F1482" t="s">
        <v>34</v>
      </c>
      <c r="G1482" t="s">
        <v>24</v>
      </c>
      <c r="H1482" t="s">
        <v>36</v>
      </c>
      <c r="I1482" t="s">
        <v>26</v>
      </c>
      <c r="J1482" t="s">
        <v>27</v>
      </c>
      <c r="K1482" t="s">
        <v>32</v>
      </c>
      <c r="L1482" s="2">
        <v>3.4</v>
      </c>
      <c r="M1482" s="3">
        <v>289</v>
      </c>
      <c r="N1482">
        <v>3</v>
      </c>
      <c r="O1482">
        <v>2</v>
      </c>
      <c r="P1482">
        <v>1</v>
      </c>
      <c r="Q1482">
        <v>0</v>
      </c>
      <c r="R1482" s="4">
        <v>10.65</v>
      </c>
      <c r="S1482">
        <v>0</v>
      </c>
      <c r="T1482">
        <v>1</v>
      </c>
    </row>
    <row r="1483" spans="1:20" ht="16.5" x14ac:dyDescent="0.3">
      <c r="A1483" t="s">
        <v>1532</v>
      </c>
      <c r="B1483" s="1">
        <v>45517</v>
      </c>
      <c r="C1483">
        <v>2024</v>
      </c>
      <c r="D1483" t="s">
        <v>1261</v>
      </c>
      <c r="E1483" t="s">
        <v>1454</v>
      </c>
      <c r="F1483" t="s">
        <v>38</v>
      </c>
      <c r="G1483" t="s">
        <v>35</v>
      </c>
      <c r="H1483" t="s">
        <v>48</v>
      </c>
      <c r="I1483" t="s">
        <v>26</v>
      </c>
      <c r="J1483" t="s">
        <v>27</v>
      </c>
      <c r="K1483" t="s">
        <v>32</v>
      </c>
      <c r="L1483" s="2">
        <v>7</v>
      </c>
      <c r="M1483" s="3">
        <v>667</v>
      </c>
      <c r="N1483">
        <v>4</v>
      </c>
      <c r="O1483">
        <v>4</v>
      </c>
      <c r="P1483">
        <v>1</v>
      </c>
      <c r="Q1483">
        <v>0</v>
      </c>
      <c r="R1483" s="4">
        <v>21.71</v>
      </c>
      <c r="S1483">
        <v>0</v>
      </c>
      <c r="T1483">
        <v>1</v>
      </c>
    </row>
    <row r="1484" spans="1:20" ht="16.5" x14ac:dyDescent="0.3">
      <c r="A1484" t="s">
        <v>1533</v>
      </c>
      <c r="B1484" s="1">
        <v>45517</v>
      </c>
      <c r="C1484">
        <v>2024</v>
      </c>
      <c r="D1484" t="s">
        <v>1261</v>
      </c>
      <c r="E1484" t="s">
        <v>1454</v>
      </c>
      <c r="F1484" t="s">
        <v>34</v>
      </c>
      <c r="G1484" t="s">
        <v>39</v>
      </c>
      <c r="H1484" t="s">
        <v>48</v>
      </c>
      <c r="I1484" t="s">
        <v>26</v>
      </c>
      <c r="J1484" t="s">
        <v>27</v>
      </c>
      <c r="K1484" t="s">
        <v>28</v>
      </c>
      <c r="L1484" s="2">
        <v>104.8</v>
      </c>
      <c r="M1484" s="3">
        <v>578</v>
      </c>
      <c r="N1484">
        <v>4</v>
      </c>
      <c r="O1484">
        <v>3</v>
      </c>
      <c r="P1484">
        <v>1</v>
      </c>
      <c r="Q1484">
        <v>0</v>
      </c>
      <c r="R1484" s="4">
        <v>47.43</v>
      </c>
      <c r="S1484">
        <v>0</v>
      </c>
      <c r="T1484">
        <v>1</v>
      </c>
    </row>
    <row r="1485" spans="1:20" ht="16.5" x14ac:dyDescent="0.3">
      <c r="A1485" t="s">
        <v>1534</v>
      </c>
      <c r="B1485" s="1">
        <v>45517</v>
      </c>
      <c r="C1485">
        <v>2024</v>
      </c>
      <c r="D1485" t="s">
        <v>1261</v>
      </c>
      <c r="E1485" t="s">
        <v>1454</v>
      </c>
      <c r="F1485" t="s">
        <v>34</v>
      </c>
      <c r="G1485" t="s">
        <v>39</v>
      </c>
      <c r="H1485" t="s">
        <v>36</v>
      </c>
      <c r="I1485" t="s">
        <v>31</v>
      </c>
      <c r="J1485" t="s">
        <v>27</v>
      </c>
      <c r="K1485" t="s">
        <v>28</v>
      </c>
      <c r="L1485" s="2">
        <v>55.2</v>
      </c>
      <c r="M1485" s="3">
        <v>249</v>
      </c>
      <c r="N1485">
        <v>5</v>
      </c>
      <c r="O1485">
        <v>7</v>
      </c>
      <c r="P1485">
        <v>0</v>
      </c>
      <c r="Q1485">
        <v>2</v>
      </c>
      <c r="R1485" s="4">
        <v>22.42</v>
      </c>
      <c r="S1485">
        <v>0</v>
      </c>
      <c r="T1485">
        <v>1</v>
      </c>
    </row>
    <row r="1486" spans="1:20" ht="16.5" x14ac:dyDescent="0.3">
      <c r="A1486" t="s">
        <v>1535</v>
      </c>
      <c r="B1486" s="1">
        <v>45517</v>
      </c>
      <c r="C1486">
        <v>2024</v>
      </c>
      <c r="D1486" t="s">
        <v>1261</v>
      </c>
      <c r="E1486" t="s">
        <v>1454</v>
      </c>
      <c r="F1486" t="s">
        <v>23</v>
      </c>
      <c r="G1486" t="s">
        <v>39</v>
      </c>
      <c r="H1486" t="s">
        <v>51</v>
      </c>
      <c r="I1486" t="s">
        <v>26</v>
      </c>
      <c r="J1486" t="s">
        <v>27</v>
      </c>
      <c r="K1486" t="s">
        <v>28</v>
      </c>
      <c r="L1486" s="2">
        <v>54.3</v>
      </c>
      <c r="M1486" s="3">
        <v>919</v>
      </c>
      <c r="N1486">
        <v>5</v>
      </c>
      <c r="O1486">
        <v>4</v>
      </c>
      <c r="P1486">
        <v>1</v>
      </c>
      <c r="Q1486">
        <v>0</v>
      </c>
      <c r="R1486" s="4">
        <v>39.869999999999997</v>
      </c>
      <c r="S1486">
        <v>0</v>
      </c>
      <c r="T1486">
        <v>1</v>
      </c>
    </row>
    <row r="1487" spans="1:20" ht="16.5" x14ac:dyDescent="0.3">
      <c r="A1487" t="s">
        <v>1536</v>
      </c>
      <c r="B1487" s="1">
        <v>45517</v>
      </c>
      <c r="C1487">
        <v>2024</v>
      </c>
      <c r="D1487" t="s">
        <v>1261</v>
      </c>
      <c r="E1487" t="s">
        <v>1454</v>
      </c>
      <c r="F1487" t="s">
        <v>23</v>
      </c>
      <c r="G1487" t="s">
        <v>39</v>
      </c>
      <c r="H1487" t="s">
        <v>36</v>
      </c>
      <c r="I1487" t="s">
        <v>26</v>
      </c>
      <c r="J1487" t="s">
        <v>27</v>
      </c>
      <c r="K1487" t="s">
        <v>32</v>
      </c>
      <c r="L1487" s="2">
        <v>3.4</v>
      </c>
      <c r="M1487" s="3">
        <v>278</v>
      </c>
      <c r="N1487">
        <v>3</v>
      </c>
      <c r="O1487">
        <v>2</v>
      </c>
      <c r="P1487">
        <v>1</v>
      </c>
      <c r="Q1487">
        <v>0</v>
      </c>
      <c r="R1487" s="4">
        <v>11.91</v>
      </c>
      <c r="S1487">
        <v>0</v>
      </c>
      <c r="T1487">
        <v>1</v>
      </c>
    </row>
    <row r="1488" spans="1:20" ht="16.5" x14ac:dyDescent="0.3">
      <c r="A1488" t="s">
        <v>1537</v>
      </c>
      <c r="B1488" s="1">
        <v>45517</v>
      </c>
      <c r="C1488">
        <v>2024</v>
      </c>
      <c r="D1488" t="s">
        <v>1261</v>
      </c>
      <c r="E1488" t="s">
        <v>1454</v>
      </c>
      <c r="F1488" t="s">
        <v>23</v>
      </c>
      <c r="G1488" t="s">
        <v>39</v>
      </c>
      <c r="H1488" t="s">
        <v>25</v>
      </c>
      <c r="I1488" t="s">
        <v>26</v>
      </c>
      <c r="J1488" t="s">
        <v>27</v>
      </c>
      <c r="K1488" t="s">
        <v>32</v>
      </c>
      <c r="L1488" s="2">
        <v>5.9</v>
      </c>
      <c r="M1488" s="3">
        <v>857</v>
      </c>
      <c r="N1488">
        <v>4</v>
      </c>
      <c r="O1488">
        <v>3</v>
      </c>
      <c r="P1488">
        <v>1</v>
      </c>
      <c r="Q1488">
        <v>0</v>
      </c>
      <c r="R1488" s="4">
        <v>18.47</v>
      </c>
      <c r="S1488">
        <v>0</v>
      </c>
      <c r="T1488">
        <v>1</v>
      </c>
    </row>
    <row r="1489" spans="1:20" ht="16.5" x14ac:dyDescent="0.3">
      <c r="A1489" t="s">
        <v>1538</v>
      </c>
      <c r="B1489" s="1">
        <v>45517</v>
      </c>
      <c r="C1489">
        <v>2024</v>
      </c>
      <c r="D1489" t="s">
        <v>1261</v>
      </c>
      <c r="E1489" t="s">
        <v>1454</v>
      </c>
      <c r="F1489" t="s">
        <v>30</v>
      </c>
      <c r="G1489" t="s">
        <v>35</v>
      </c>
      <c r="H1489" t="s">
        <v>51</v>
      </c>
      <c r="I1489" t="s">
        <v>31</v>
      </c>
      <c r="J1489" t="s">
        <v>27</v>
      </c>
      <c r="K1489" t="s">
        <v>28</v>
      </c>
      <c r="L1489" s="2">
        <v>49.5</v>
      </c>
      <c r="M1489" s="3">
        <v>1143</v>
      </c>
      <c r="N1489">
        <v>7</v>
      </c>
      <c r="O1489">
        <v>7</v>
      </c>
      <c r="P1489">
        <v>1</v>
      </c>
      <c r="Q1489">
        <v>0</v>
      </c>
      <c r="R1489" s="4">
        <v>33.450000000000003</v>
      </c>
      <c r="S1489">
        <v>0</v>
      </c>
      <c r="T1489">
        <v>1</v>
      </c>
    </row>
    <row r="1490" spans="1:20" ht="16.5" x14ac:dyDescent="0.3">
      <c r="A1490" t="s">
        <v>1539</v>
      </c>
      <c r="B1490" s="1">
        <v>45517</v>
      </c>
      <c r="C1490">
        <v>2024</v>
      </c>
      <c r="D1490" t="s">
        <v>1261</v>
      </c>
      <c r="E1490" t="s">
        <v>1454</v>
      </c>
      <c r="F1490" t="s">
        <v>57</v>
      </c>
      <c r="G1490" t="s">
        <v>39</v>
      </c>
      <c r="H1490" t="s">
        <v>36</v>
      </c>
      <c r="I1490" t="s">
        <v>26</v>
      </c>
      <c r="J1490" t="s">
        <v>27</v>
      </c>
      <c r="K1490" t="s">
        <v>28</v>
      </c>
      <c r="L1490" s="2">
        <v>98</v>
      </c>
      <c r="M1490" s="3">
        <v>261</v>
      </c>
      <c r="N1490">
        <v>3</v>
      </c>
      <c r="O1490">
        <v>3</v>
      </c>
      <c r="P1490">
        <v>1</v>
      </c>
      <c r="Q1490">
        <v>0</v>
      </c>
      <c r="R1490" s="4">
        <v>47.49</v>
      </c>
      <c r="S1490">
        <v>0</v>
      </c>
      <c r="T1490">
        <v>1</v>
      </c>
    </row>
    <row r="1491" spans="1:20" ht="16.5" x14ac:dyDescent="0.3">
      <c r="A1491" t="s">
        <v>1540</v>
      </c>
      <c r="B1491" s="1">
        <v>45518</v>
      </c>
      <c r="C1491">
        <v>2024</v>
      </c>
      <c r="D1491" t="s">
        <v>1261</v>
      </c>
      <c r="E1491" t="s">
        <v>1454</v>
      </c>
      <c r="F1491" t="s">
        <v>23</v>
      </c>
      <c r="G1491" t="s">
        <v>35</v>
      </c>
      <c r="H1491" t="s">
        <v>25</v>
      </c>
      <c r="I1491" t="s">
        <v>40</v>
      </c>
      <c r="J1491" t="s">
        <v>41</v>
      </c>
      <c r="K1491" t="s">
        <v>32</v>
      </c>
      <c r="L1491" s="2">
        <v>2.2999999999999998</v>
      </c>
      <c r="M1491" s="3">
        <v>710</v>
      </c>
      <c r="N1491">
        <v>2</v>
      </c>
      <c r="O1491">
        <v>3</v>
      </c>
      <c r="P1491">
        <v>0</v>
      </c>
      <c r="Q1491">
        <v>1</v>
      </c>
      <c r="R1491" s="4">
        <v>47.37</v>
      </c>
      <c r="S1491">
        <v>0</v>
      </c>
      <c r="T1491">
        <v>1</v>
      </c>
    </row>
    <row r="1492" spans="1:20" ht="16.5" x14ac:dyDescent="0.3">
      <c r="A1492" t="s">
        <v>1541</v>
      </c>
      <c r="B1492" s="1">
        <v>45518</v>
      </c>
      <c r="C1492">
        <v>2024</v>
      </c>
      <c r="D1492" t="s">
        <v>1261</v>
      </c>
      <c r="E1492" t="s">
        <v>1454</v>
      </c>
      <c r="F1492" t="s">
        <v>23</v>
      </c>
      <c r="G1492" t="s">
        <v>35</v>
      </c>
      <c r="H1492" t="s">
        <v>36</v>
      </c>
      <c r="I1492" t="s">
        <v>26</v>
      </c>
      <c r="J1492" t="s">
        <v>27</v>
      </c>
      <c r="K1492" t="s">
        <v>32</v>
      </c>
      <c r="L1492" s="2">
        <v>4.4000000000000004</v>
      </c>
      <c r="M1492" s="3">
        <v>266</v>
      </c>
      <c r="N1492">
        <v>3</v>
      </c>
      <c r="O1492">
        <v>2</v>
      </c>
      <c r="P1492">
        <v>1</v>
      </c>
      <c r="Q1492">
        <v>0</v>
      </c>
      <c r="R1492" s="4">
        <v>11.04</v>
      </c>
      <c r="S1492">
        <v>0</v>
      </c>
      <c r="T1492">
        <v>1</v>
      </c>
    </row>
    <row r="1493" spans="1:20" ht="16.5" x14ac:dyDescent="0.3">
      <c r="A1493" t="s">
        <v>1542</v>
      </c>
      <c r="B1493" s="1">
        <v>45518</v>
      </c>
      <c r="C1493">
        <v>2024</v>
      </c>
      <c r="D1493" t="s">
        <v>1261</v>
      </c>
      <c r="E1493" t="s">
        <v>1454</v>
      </c>
      <c r="F1493" t="s">
        <v>34</v>
      </c>
      <c r="G1493" t="s">
        <v>35</v>
      </c>
      <c r="H1493" t="s">
        <v>43</v>
      </c>
      <c r="I1493" t="s">
        <v>31</v>
      </c>
      <c r="J1493" t="s">
        <v>27</v>
      </c>
      <c r="K1493" t="s">
        <v>32</v>
      </c>
      <c r="L1493" s="2">
        <v>9.1999999999999993</v>
      </c>
      <c r="M1493" s="3">
        <v>1207</v>
      </c>
      <c r="N1493">
        <v>7</v>
      </c>
      <c r="O1493">
        <v>7</v>
      </c>
      <c r="P1493">
        <v>1</v>
      </c>
      <c r="Q1493">
        <v>0</v>
      </c>
      <c r="R1493" s="4">
        <v>16</v>
      </c>
      <c r="S1493">
        <v>0</v>
      </c>
      <c r="T1493">
        <v>1</v>
      </c>
    </row>
    <row r="1494" spans="1:20" ht="16.5" x14ac:dyDescent="0.3">
      <c r="A1494" t="s">
        <v>1543</v>
      </c>
      <c r="B1494" s="1">
        <v>45518</v>
      </c>
      <c r="C1494">
        <v>2024</v>
      </c>
      <c r="D1494" t="s">
        <v>1261</v>
      </c>
      <c r="E1494" t="s">
        <v>1454</v>
      </c>
      <c r="F1494" t="s">
        <v>34</v>
      </c>
      <c r="G1494" t="s">
        <v>35</v>
      </c>
      <c r="H1494" t="s">
        <v>25</v>
      </c>
      <c r="I1494" t="s">
        <v>26</v>
      </c>
      <c r="J1494" t="s">
        <v>27</v>
      </c>
      <c r="K1494" t="s">
        <v>32</v>
      </c>
      <c r="L1494" s="2">
        <v>4.2</v>
      </c>
      <c r="M1494" s="3">
        <v>649</v>
      </c>
      <c r="N1494">
        <v>4</v>
      </c>
      <c r="O1494">
        <v>7</v>
      </c>
      <c r="P1494">
        <v>0</v>
      </c>
      <c r="Q1494">
        <v>3</v>
      </c>
      <c r="R1494" s="4">
        <v>13.76</v>
      </c>
      <c r="S1494">
        <v>0</v>
      </c>
      <c r="T1494">
        <v>1</v>
      </c>
    </row>
    <row r="1495" spans="1:20" ht="16.5" x14ac:dyDescent="0.3">
      <c r="A1495" t="s">
        <v>1544</v>
      </c>
      <c r="B1495" s="1">
        <v>45518</v>
      </c>
      <c r="C1495">
        <v>2024</v>
      </c>
      <c r="D1495" t="s">
        <v>1261</v>
      </c>
      <c r="E1495" t="s">
        <v>1454</v>
      </c>
      <c r="F1495" t="s">
        <v>23</v>
      </c>
      <c r="G1495" t="s">
        <v>39</v>
      </c>
      <c r="H1495" t="s">
        <v>51</v>
      </c>
      <c r="I1495" t="s">
        <v>26</v>
      </c>
      <c r="J1495" t="s">
        <v>27</v>
      </c>
      <c r="K1495" t="s">
        <v>32</v>
      </c>
      <c r="L1495" s="2">
        <v>5.5</v>
      </c>
      <c r="M1495" s="3">
        <v>971</v>
      </c>
      <c r="N1495">
        <v>5</v>
      </c>
      <c r="O1495">
        <v>5</v>
      </c>
      <c r="P1495">
        <v>1</v>
      </c>
      <c r="Q1495">
        <v>0</v>
      </c>
      <c r="R1495" s="4">
        <v>20.420000000000002</v>
      </c>
      <c r="S1495">
        <v>0</v>
      </c>
      <c r="T1495">
        <v>1</v>
      </c>
    </row>
    <row r="1496" spans="1:20" ht="16.5" x14ac:dyDescent="0.3">
      <c r="A1496" t="s">
        <v>1545</v>
      </c>
      <c r="B1496" s="1">
        <v>45518</v>
      </c>
      <c r="C1496">
        <v>2024</v>
      </c>
      <c r="D1496" t="s">
        <v>1261</v>
      </c>
      <c r="E1496" t="s">
        <v>1454</v>
      </c>
      <c r="F1496" t="s">
        <v>57</v>
      </c>
      <c r="G1496" t="s">
        <v>39</v>
      </c>
      <c r="H1496" t="s">
        <v>48</v>
      </c>
      <c r="I1496" t="s">
        <v>26</v>
      </c>
      <c r="J1496" t="s">
        <v>27</v>
      </c>
      <c r="K1496" t="s">
        <v>32</v>
      </c>
      <c r="L1496" s="2">
        <v>2.2999999999999998</v>
      </c>
      <c r="M1496" s="3">
        <v>361</v>
      </c>
      <c r="N1496">
        <v>4</v>
      </c>
      <c r="O1496">
        <v>4</v>
      </c>
      <c r="P1496">
        <v>1</v>
      </c>
      <c r="Q1496">
        <v>0</v>
      </c>
      <c r="R1496" s="4">
        <v>11.3</v>
      </c>
      <c r="S1496">
        <v>0</v>
      </c>
      <c r="T1496">
        <v>1</v>
      </c>
    </row>
    <row r="1497" spans="1:20" ht="16.5" x14ac:dyDescent="0.3">
      <c r="A1497" t="s">
        <v>1546</v>
      </c>
      <c r="B1497" s="1">
        <v>45518</v>
      </c>
      <c r="C1497">
        <v>2024</v>
      </c>
      <c r="D1497" t="s">
        <v>1261</v>
      </c>
      <c r="E1497" t="s">
        <v>1454</v>
      </c>
      <c r="F1497" t="s">
        <v>57</v>
      </c>
      <c r="G1497" t="s">
        <v>35</v>
      </c>
      <c r="H1497" t="s">
        <v>36</v>
      </c>
      <c r="I1497" t="s">
        <v>26</v>
      </c>
      <c r="J1497" t="s">
        <v>27</v>
      </c>
      <c r="K1497" t="s">
        <v>32</v>
      </c>
      <c r="L1497" s="2">
        <v>7.2</v>
      </c>
      <c r="M1497" s="3">
        <v>166</v>
      </c>
      <c r="N1497">
        <v>3</v>
      </c>
      <c r="O1497">
        <v>2</v>
      </c>
      <c r="P1497">
        <v>1</v>
      </c>
      <c r="Q1497">
        <v>0</v>
      </c>
      <c r="R1497" s="4">
        <v>13.42</v>
      </c>
      <c r="S1497">
        <v>0</v>
      </c>
      <c r="T1497">
        <v>1</v>
      </c>
    </row>
    <row r="1498" spans="1:20" ht="16.5" x14ac:dyDescent="0.3">
      <c r="A1498" t="s">
        <v>1547</v>
      </c>
      <c r="B1498" s="1">
        <v>45519</v>
      </c>
      <c r="C1498">
        <v>2024</v>
      </c>
      <c r="D1498" t="s">
        <v>1261</v>
      </c>
      <c r="E1498" t="s">
        <v>1454</v>
      </c>
      <c r="F1498" t="s">
        <v>38</v>
      </c>
      <c r="G1498" t="s">
        <v>39</v>
      </c>
      <c r="H1498" t="s">
        <v>36</v>
      </c>
      <c r="I1498" t="s">
        <v>26</v>
      </c>
      <c r="J1498" t="s">
        <v>27</v>
      </c>
      <c r="K1498" t="s">
        <v>32</v>
      </c>
      <c r="L1498" s="2">
        <v>10.4</v>
      </c>
      <c r="M1498" s="3">
        <v>188</v>
      </c>
      <c r="N1498">
        <v>3</v>
      </c>
      <c r="O1498">
        <v>2</v>
      </c>
      <c r="P1498">
        <v>1</v>
      </c>
      <c r="Q1498">
        <v>0</v>
      </c>
      <c r="R1498" s="4">
        <v>15.25</v>
      </c>
      <c r="S1498">
        <v>0</v>
      </c>
      <c r="T1498">
        <v>1</v>
      </c>
    </row>
    <row r="1499" spans="1:20" ht="16.5" x14ac:dyDescent="0.3">
      <c r="A1499" t="s">
        <v>1548</v>
      </c>
      <c r="B1499" s="1">
        <v>45519</v>
      </c>
      <c r="C1499">
        <v>2024</v>
      </c>
      <c r="D1499" t="s">
        <v>1261</v>
      </c>
      <c r="E1499" t="s">
        <v>1454</v>
      </c>
      <c r="F1499" t="s">
        <v>34</v>
      </c>
      <c r="G1499" t="s">
        <v>39</v>
      </c>
      <c r="H1499" t="s">
        <v>48</v>
      </c>
      <c r="I1499" t="s">
        <v>26</v>
      </c>
      <c r="J1499" t="s">
        <v>27</v>
      </c>
      <c r="K1499" t="s">
        <v>28</v>
      </c>
      <c r="L1499" s="2">
        <v>145.69999999999999</v>
      </c>
      <c r="M1499" s="3">
        <v>415</v>
      </c>
      <c r="N1499">
        <v>4</v>
      </c>
      <c r="O1499">
        <v>8</v>
      </c>
      <c r="P1499">
        <v>0</v>
      </c>
      <c r="Q1499">
        <v>4</v>
      </c>
      <c r="R1499" s="4">
        <v>58.33</v>
      </c>
      <c r="S1499">
        <v>0</v>
      </c>
      <c r="T1499">
        <v>1</v>
      </c>
    </row>
    <row r="1500" spans="1:20" ht="16.5" x14ac:dyDescent="0.3">
      <c r="A1500" t="s">
        <v>1549</v>
      </c>
      <c r="B1500" s="1">
        <v>45519</v>
      </c>
      <c r="C1500">
        <v>2024</v>
      </c>
      <c r="D1500" t="s">
        <v>1261</v>
      </c>
      <c r="E1500" t="s">
        <v>1454</v>
      </c>
      <c r="F1500" t="s">
        <v>57</v>
      </c>
      <c r="G1500" t="s">
        <v>39</v>
      </c>
      <c r="H1500" t="s">
        <v>51</v>
      </c>
      <c r="I1500" t="s">
        <v>26</v>
      </c>
      <c r="J1500" t="s">
        <v>27</v>
      </c>
      <c r="K1500" t="s">
        <v>32</v>
      </c>
      <c r="L1500" s="2">
        <v>1.8</v>
      </c>
      <c r="M1500" s="3">
        <v>1007</v>
      </c>
      <c r="N1500">
        <v>5</v>
      </c>
      <c r="O1500">
        <v>6</v>
      </c>
      <c r="P1500">
        <v>0</v>
      </c>
      <c r="Q1500">
        <v>1</v>
      </c>
      <c r="R1500" s="4">
        <v>18.75</v>
      </c>
      <c r="S1500">
        <v>0</v>
      </c>
      <c r="T1500">
        <v>1</v>
      </c>
    </row>
    <row r="1501" spans="1:20" ht="16.5" x14ac:dyDescent="0.3">
      <c r="A1501" t="s">
        <v>1550</v>
      </c>
      <c r="B1501" s="1">
        <v>45519</v>
      </c>
      <c r="C1501">
        <v>2024</v>
      </c>
      <c r="D1501" t="s">
        <v>1261</v>
      </c>
      <c r="E1501" t="s">
        <v>1454</v>
      </c>
      <c r="F1501" t="s">
        <v>38</v>
      </c>
      <c r="G1501" t="s">
        <v>39</v>
      </c>
      <c r="H1501" t="s">
        <v>36</v>
      </c>
      <c r="I1501" t="s">
        <v>26</v>
      </c>
      <c r="J1501" t="s">
        <v>27</v>
      </c>
      <c r="K1501" t="s">
        <v>28</v>
      </c>
      <c r="L1501" s="2">
        <v>335</v>
      </c>
      <c r="M1501" s="3">
        <v>279</v>
      </c>
      <c r="N1501">
        <v>3</v>
      </c>
      <c r="O1501">
        <v>3</v>
      </c>
      <c r="P1501">
        <v>1</v>
      </c>
      <c r="Q1501">
        <v>0</v>
      </c>
      <c r="R1501" s="4">
        <v>137.79</v>
      </c>
      <c r="S1501">
        <v>0</v>
      </c>
      <c r="T1501">
        <v>1</v>
      </c>
    </row>
    <row r="1502" spans="1:20" ht="16.5" x14ac:dyDescent="0.3">
      <c r="A1502" t="s">
        <v>1551</v>
      </c>
      <c r="B1502" s="1">
        <v>45519</v>
      </c>
      <c r="C1502">
        <v>2024</v>
      </c>
      <c r="D1502" t="s">
        <v>1261</v>
      </c>
      <c r="E1502" t="s">
        <v>1454</v>
      </c>
      <c r="F1502" t="s">
        <v>23</v>
      </c>
      <c r="G1502" t="s">
        <v>24</v>
      </c>
      <c r="H1502" t="s">
        <v>25</v>
      </c>
      <c r="I1502" t="s">
        <v>40</v>
      </c>
      <c r="J1502" t="s">
        <v>41</v>
      </c>
      <c r="K1502" t="s">
        <v>28</v>
      </c>
      <c r="L1502" s="2">
        <v>164.6</v>
      </c>
      <c r="M1502" s="3">
        <v>929</v>
      </c>
      <c r="N1502">
        <v>2</v>
      </c>
      <c r="O1502">
        <v>2</v>
      </c>
      <c r="P1502">
        <v>1</v>
      </c>
      <c r="Q1502">
        <v>0</v>
      </c>
      <c r="R1502" s="4">
        <v>198.46</v>
      </c>
      <c r="S1502">
        <v>0</v>
      </c>
      <c r="T1502">
        <v>1</v>
      </c>
    </row>
    <row r="1503" spans="1:20" ht="16.5" x14ac:dyDescent="0.3">
      <c r="A1503" t="s">
        <v>1552</v>
      </c>
      <c r="B1503" s="1">
        <v>45519</v>
      </c>
      <c r="C1503">
        <v>2024</v>
      </c>
      <c r="D1503" t="s">
        <v>1261</v>
      </c>
      <c r="E1503" t="s">
        <v>1454</v>
      </c>
      <c r="F1503" t="s">
        <v>57</v>
      </c>
      <c r="G1503" t="s">
        <v>35</v>
      </c>
      <c r="H1503" t="s">
        <v>25</v>
      </c>
      <c r="I1503" t="s">
        <v>26</v>
      </c>
      <c r="J1503" t="s">
        <v>27</v>
      </c>
      <c r="K1503" t="s">
        <v>32</v>
      </c>
      <c r="L1503" s="2">
        <v>2.1</v>
      </c>
      <c r="M1503" s="3">
        <v>829</v>
      </c>
      <c r="N1503">
        <v>4</v>
      </c>
      <c r="O1503">
        <v>4</v>
      </c>
      <c r="P1503">
        <v>1</v>
      </c>
      <c r="Q1503">
        <v>0</v>
      </c>
      <c r="R1503" s="4">
        <v>20.2</v>
      </c>
      <c r="S1503">
        <v>0</v>
      </c>
      <c r="T1503">
        <v>1</v>
      </c>
    </row>
    <row r="1504" spans="1:20" ht="16.5" x14ac:dyDescent="0.3">
      <c r="A1504" t="s">
        <v>1553</v>
      </c>
      <c r="B1504" s="1">
        <v>45519</v>
      </c>
      <c r="C1504">
        <v>2024</v>
      </c>
      <c r="D1504" t="s">
        <v>1261</v>
      </c>
      <c r="E1504" t="s">
        <v>1454</v>
      </c>
      <c r="F1504" t="s">
        <v>34</v>
      </c>
      <c r="G1504" t="s">
        <v>39</v>
      </c>
      <c r="H1504" t="s">
        <v>36</v>
      </c>
      <c r="I1504" t="s">
        <v>26</v>
      </c>
      <c r="J1504" t="s">
        <v>27</v>
      </c>
      <c r="K1504" t="s">
        <v>32</v>
      </c>
      <c r="L1504" s="2">
        <v>6.1</v>
      </c>
      <c r="M1504" s="3">
        <v>297</v>
      </c>
      <c r="N1504">
        <v>3</v>
      </c>
      <c r="O1504">
        <v>3</v>
      </c>
      <c r="P1504">
        <v>1</v>
      </c>
      <c r="Q1504">
        <v>0</v>
      </c>
      <c r="R1504" s="4">
        <v>11.89</v>
      </c>
      <c r="S1504">
        <v>0</v>
      </c>
      <c r="T1504">
        <v>1</v>
      </c>
    </row>
    <row r="1505" spans="1:20" ht="16.5" x14ac:dyDescent="0.3">
      <c r="A1505" t="s">
        <v>1554</v>
      </c>
      <c r="B1505" s="1">
        <v>45519</v>
      </c>
      <c r="C1505">
        <v>2024</v>
      </c>
      <c r="D1505" t="s">
        <v>1261</v>
      </c>
      <c r="E1505" t="s">
        <v>1454</v>
      </c>
      <c r="F1505" t="s">
        <v>57</v>
      </c>
      <c r="G1505" t="s">
        <v>39</v>
      </c>
      <c r="H1505" t="s">
        <v>36</v>
      </c>
      <c r="I1505" t="s">
        <v>40</v>
      </c>
      <c r="J1505" t="s">
        <v>27</v>
      </c>
      <c r="K1505" t="s">
        <v>28</v>
      </c>
      <c r="L1505" s="2">
        <v>89</v>
      </c>
      <c r="M1505" s="3">
        <v>255</v>
      </c>
      <c r="N1505">
        <v>1</v>
      </c>
      <c r="O1505">
        <v>1</v>
      </c>
      <c r="P1505">
        <v>1</v>
      </c>
      <c r="Q1505">
        <v>0</v>
      </c>
      <c r="R1505" s="4">
        <v>88.59</v>
      </c>
      <c r="S1505">
        <v>0</v>
      </c>
      <c r="T1505">
        <v>1</v>
      </c>
    </row>
    <row r="1506" spans="1:20" ht="16.5" x14ac:dyDescent="0.3">
      <c r="A1506" t="s">
        <v>1555</v>
      </c>
      <c r="B1506" s="1">
        <v>45519</v>
      </c>
      <c r="C1506">
        <v>2024</v>
      </c>
      <c r="D1506" t="s">
        <v>1261</v>
      </c>
      <c r="E1506" t="s">
        <v>1454</v>
      </c>
      <c r="F1506" t="s">
        <v>30</v>
      </c>
      <c r="G1506" t="s">
        <v>24</v>
      </c>
      <c r="H1506" t="s">
        <v>48</v>
      </c>
      <c r="I1506" t="s">
        <v>26</v>
      </c>
      <c r="J1506" t="s">
        <v>27</v>
      </c>
      <c r="K1506" t="s">
        <v>32</v>
      </c>
      <c r="L1506" s="2">
        <v>21.3</v>
      </c>
      <c r="M1506" s="3">
        <v>486</v>
      </c>
      <c r="N1506">
        <v>4</v>
      </c>
      <c r="O1506">
        <v>4</v>
      </c>
      <c r="P1506">
        <v>1</v>
      </c>
      <c r="Q1506">
        <v>0</v>
      </c>
      <c r="R1506" s="4">
        <v>25.29</v>
      </c>
      <c r="S1506">
        <v>0</v>
      </c>
      <c r="T1506">
        <v>1</v>
      </c>
    </row>
    <row r="1507" spans="1:20" ht="16.5" x14ac:dyDescent="0.3">
      <c r="A1507" t="s">
        <v>1556</v>
      </c>
      <c r="B1507" s="1">
        <v>45520</v>
      </c>
      <c r="C1507">
        <v>2024</v>
      </c>
      <c r="D1507" t="s">
        <v>1261</v>
      </c>
      <c r="E1507" t="s">
        <v>1454</v>
      </c>
      <c r="F1507" t="s">
        <v>38</v>
      </c>
      <c r="G1507" t="s">
        <v>35</v>
      </c>
      <c r="H1507" t="s">
        <v>48</v>
      </c>
      <c r="I1507" t="s">
        <v>26</v>
      </c>
      <c r="J1507" t="s">
        <v>27</v>
      </c>
      <c r="K1507" t="s">
        <v>32</v>
      </c>
      <c r="L1507" s="2">
        <v>5.4</v>
      </c>
      <c r="M1507" s="3">
        <v>415</v>
      </c>
      <c r="N1507">
        <v>4</v>
      </c>
      <c r="O1507">
        <v>4</v>
      </c>
      <c r="P1507">
        <v>1</v>
      </c>
      <c r="Q1507">
        <v>0</v>
      </c>
      <c r="R1507" s="4">
        <v>17.09</v>
      </c>
      <c r="S1507">
        <v>0</v>
      </c>
      <c r="T1507">
        <v>1</v>
      </c>
    </row>
    <row r="1508" spans="1:20" ht="16.5" x14ac:dyDescent="0.3">
      <c r="A1508" t="s">
        <v>1557</v>
      </c>
      <c r="B1508" s="1">
        <v>45520</v>
      </c>
      <c r="C1508">
        <v>2024</v>
      </c>
      <c r="D1508" t="s">
        <v>1261</v>
      </c>
      <c r="E1508" t="s">
        <v>1454</v>
      </c>
      <c r="F1508" t="s">
        <v>34</v>
      </c>
      <c r="G1508" t="s">
        <v>24</v>
      </c>
      <c r="H1508" t="s">
        <v>48</v>
      </c>
      <c r="I1508" t="s">
        <v>26</v>
      </c>
      <c r="J1508" t="s">
        <v>27</v>
      </c>
      <c r="K1508" t="s">
        <v>32</v>
      </c>
      <c r="L1508" s="2">
        <v>6.6</v>
      </c>
      <c r="M1508" s="3">
        <v>565</v>
      </c>
      <c r="N1508">
        <v>4</v>
      </c>
      <c r="O1508">
        <v>3</v>
      </c>
      <c r="P1508">
        <v>1</v>
      </c>
      <c r="Q1508">
        <v>0</v>
      </c>
      <c r="R1508" s="4">
        <v>15.76</v>
      </c>
      <c r="S1508">
        <v>0</v>
      </c>
      <c r="T1508">
        <v>1</v>
      </c>
    </row>
    <row r="1509" spans="1:20" ht="16.5" x14ac:dyDescent="0.3">
      <c r="A1509" t="s">
        <v>1558</v>
      </c>
      <c r="B1509" s="1">
        <v>45520</v>
      </c>
      <c r="C1509">
        <v>2024</v>
      </c>
      <c r="D1509" t="s">
        <v>1261</v>
      </c>
      <c r="E1509" t="s">
        <v>1454</v>
      </c>
      <c r="F1509" t="s">
        <v>57</v>
      </c>
      <c r="G1509" t="s">
        <v>24</v>
      </c>
      <c r="H1509" t="s">
        <v>43</v>
      </c>
      <c r="I1509" t="s">
        <v>26</v>
      </c>
      <c r="J1509" t="s">
        <v>27</v>
      </c>
      <c r="K1509" t="s">
        <v>32</v>
      </c>
      <c r="L1509" s="2">
        <v>7.9</v>
      </c>
      <c r="M1509" s="3">
        <v>967</v>
      </c>
      <c r="N1509">
        <v>5</v>
      </c>
      <c r="O1509">
        <v>5</v>
      </c>
      <c r="P1509">
        <v>1</v>
      </c>
      <c r="Q1509">
        <v>0</v>
      </c>
      <c r="R1509" s="4">
        <v>26.64</v>
      </c>
      <c r="S1509">
        <v>0</v>
      </c>
      <c r="T1509">
        <v>1</v>
      </c>
    </row>
    <row r="1510" spans="1:20" ht="16.5" x14ac:dyDescent="0.3">
      <c r="A1510" t="s">
        <v>1559</v>
      </c>
      <c r="B1510" s="1">
        <v>45520</v>
      </c>
      <c r="C1510">
        <v>2024</v>
      </c>
      <c r="D1510" t="s">
        <v>1261</v>
      </c>
      <c r="E1510" t="s">
        <v>1454</v>
      </c>
      <c r="F1510" t="s">
        <v>23</v>
      </c>
      <c r="G1510" t="s">
        <v>24</v>
      </c>
      <c r="H1510" t="s">
        <v>36</v>
      </c>
      <c r="I1510" t="s">
        <v>26</v>
      </c>
      <c r="J1510" t="s">
        <v>27</v>
      </c>
      <c r="K1510" t="s">
        <v>28</v>
      </c>
      <c r="L1510" s="2">
        <v>297.10000000000002</v>
      </c>
      <c r="M1510" s="3">
        <v>299</v>
      </c>
      <c r="N1510">
        <v>3</v>
      </c>
      <c r="O1510">
        <v>3</v>
      </c>
      <c r="P1510">
        <v>1</v>
      </c>
      <c r="Q1510">
        <v>0</v>
      </c>
      <c r="R1510" s="4">
        <v>111.19</v>
      </c>
      <c r="S1510">
        <v>1</v>
      </c>
      <c r="T1510">
        <v>1</v>
      </c>
    </row>
    <row r="1511" spans="1:20" ht="16.5" x14ac:dyDescent="0.3">
      <c r="A1511" t="s">
        <v>1560</v>
      </c>
      <c r="B1511" s="1">
        <v>45520</v>
      </c>
      <c r="C1511">
        <v>2024</v>
      </c>
      <c r="D1511" t="s">
        <v>1261</v>
      </c>
      <c r="E1511" t="s">
        <v>1454</v>
      </c>
      <c r="F1511" t="s">
        <v>34</v>
      </c>
      <c r="G1511" t="s">
        <v>39</v>
      </c>
      <c r="H1511" t="s">
        <v>36</v>
      </c>
      <c r="I1511" t="s">
        <v>26</v>
      </c>
      <c r="J1511" t="s">
        <v>27</v>
      </c>
      <c r="K1511" t="s">
        <v>32</v>
      </c>
      <c r="L1511" s="2">
        <v>6.5</v>
      </c>
      <c r="M1511" s="3">
        <v>298</v>
      </c>
      <c r="N1511">
        <v>3</v>
      </c>
      <c r="O1511">
        <v>3</v>
      </c>
      <c r="P1511">
        <v>1</v>
      </c>
      <c r="Q1511">
        <v>0</v>
      </c>
      <c r="R1511" s="4">
        <v>11.84</v>
      </c>
      <c r="S1511">
        <v>0</v>
      </c>
      <c r="T1511">
        <v>1</v>
      </c>
    </row>
    <row r="1512" spans="1:20" ht="16.5" x14ac:dyDescent="0.3">
      <c r="A1512" t="s">
        <v>1561</v>
      </c>
      <c r="B1512" s="1">
        <v>45520</v>
      </c>
      <c r="C1512">
        <v>2024</v>
      </c>
      <c r="D1512" t="s">
        <v>1261</v>
      </c>
      <c r="E1512" t="s">
        <v>1454</v>
      </c>
      <c r="F1512" t="s">
        <v>38</v>
      </c>
      <c r="G1512" t="s">
        <v>24</v>
      </c>
      <c r="H1512" t="s">
        <v>51</v>
      </c>
      <c r="I1512" t="s">
        <v>26</v>
      </c>
      <c r="J1512" t="s">
        <v>27</v>
      </c>
      <c r="K1512" t="s">
        <v>28</v>
      </c>
      <c r="L1512" s="2">
        <v>46.7</v>
      </c>
      <c r="M1512" s="3">
        <v>1007</v>
      </c>
      <c r="N1512">
        <v>5</v>
      </c>
      <c r="O1512">
        <v>7</v>
      </c>
      <c r="P1512">
        <v>0</v>
      </c>
      <c r="Q1512">
        <v>2</v>
      </c>
      <c r="R1512" s="4">
        <v>45.12</v>
      </c>
      <c r="S1512">
        <v>0</v>
      </c>
      <c r="T1512">
        <v>1</v>
      </c>
    </row>
    <row r="1513" spans="1:20" ht="16.5" x14ac:dyDescent="0.3">
      <c r="A1513" t="s">
        <v>1562</v>
      </c>
      <c r="B1513" s="1">
        <v>45520</v>
      </c>
      <c r="C1513">
        <v>2024</v>
      </c>
      <c r="D1513" t="s">
        <v>1261</v>
      </c>
      <c r="E1513" t="s">
        <v>1454</v>
      </c>
      <c r="F1513" t="s">
        <v>30</v>
      </c>
      <c r="G1513" t="s">
        <v>39</v>
      </c>
      <c r="H1513" t="s">
        <v>36</v>
      </c>
      <c r="I1513" t="s">
        <v>26</v>
      </c>
      <c r="J1513" t="s">
        <v>27</v>
      </c>
      <c r="K1513" t="s">
        <v>28</v>
      </c>
      <c r="L1513" s="2">
        <v>181.8</v>
      </c>
      <c r="M1513" s="3">
        <v>188</v>
      </c>
      <c r="N1513">
        <v>3</v>
      </c>
      <c r="O1513">
        <v>2</v>
      </c>
      <c r="P1513">
        <v>1</v>
      </c>
      <c r="Q1513">
        <v>0</v>
      </c>
      <c r="R1513" s="4">
        <v>86.37</v>
      </c>
      <c r="S1513">
        <v>0</v>
      </c>
      <c r="T1513">
        <v>1</v>
      </c>
    </row>
    <row r="1514" spans="1:20" ht="16.5" x14ac:dyDescent="0.3">
      <c r="A1514" t="s">
        <v>1563</v>
      </c>
      <c r="B1514" s="1">
        <v>45520</v>
      </c>
      <c r="C1514">
        <v>2024</v>
      </c>
      <c r="D1514" t="s">
        <v>1261</v>
      </c>
      <c r="E1514" t="s">
        <v>1454</v>
      </c>
      <c r="F1514" t="s">
        <v>34</v>
      </c>
      <c r="G1514" t="s">
        <v>39</v>
      </c>
      <c r="H1514" t="s">
        <v>51</v>
      </c>
      <c r="I1514" t="s">
        <v>40</v>
      </c>
      <c r="J1514" t="s">
        <v>41</v>
      </c>
      <c r="K1514" t="s">
        <v>32</v>
      </c>
      <c r="L1514" s="2">
        <v>8.3000000000000007</v>
      </c>
      <c r="M1514" s="3">
        <v>841</v>
      </c>
      <c r="N1514">
        <v>3</v>
      </c>
      <c r="O1514">
        <v>3</v>
      </c>
      <c r="P1514">
        <v>1</v>
      </c>
      <c r="Q1514">
        <v>0</v>
      </c>
      <c r="R1514" s="4">
        <v>59.32</v>
      </c>
      <c r="S1514">
        <v>0</v>
      </c>
      <c r="T1514">
        <v>1</v>
      </c>
    </row>
    <row r="1515" spans="1:20" ht="16.5" x14ac:dyDescent="0.3">
      <c r="A1515" t="s">
        <v>1564</v>
      </c>
      <c r="B1515" s="1">
        <v>45521</v>
      </c>
      <c r="C1515">
        <v>2024</v>
      </c>
      <c r="D1515" t="s">
        <v>1261</v>
      </c>
      <c r="E1515" t="s">
        <v>1454</v>
      </c>
      <c r="F1515" t="s">
        <v>30</v>
      </c>
      <c r="G1515" t="s">
        <v>35</v>
      </c>
      <c r="H1515" t="s">
        <v>25</v>
      </c>
      <c r="I1515" t="s">
        <v>31</v>
      </c>
      <c r="J1515" t="s">
        <v>27</v>
      </c>
      <c r="K1515" t="s">
        <v>28</v>
      </c>
      <c r="L1515" s="2">
        <v>56.2</v>
      </c>
      <c r="M1515" s="3">
        <v>795</v>
      </c>
      <c r="N1515">
        <v>6</v>
      </c>
      <c r="O1515">
        <v>6</v>
      </c>
      <c r="P1515">
        <v>1</v>
      </c>
      <c r="Q1515">
        <v>0</v>
      </c>
      <c r="R1515" s="4">
        <v>32.369999999999997</v>
      </c>
      <c r="S1515">
        <v>0</v>
      </c>
      <c r="T1515">
        <v>1</v>
      </c>
    </row>
    <row r="1516" spans="1:20" ht="16.5" x14ac:dyDescent="0.3">
      <c r="A1516" t="s">
        <v>1565</v>
      </c>
      <c r="B1516" s="1">
        <v>45521</v>
      </c>
      <c r="C1516">
        <v>2024</v>
      </c>
      <c r="D1516" t="s">
        <v>1261</v>
      </c>
      <c r="E1516" t="s">
        <v>1454</v>
      </c>
      <c r="F1516" t="s">
        <v>34</v>
      </c>
      <c r="G1516" t="s">
        <v>35</v>
      </c>
      <c r="H1516" t="s">
        <v>43</v>
      </c>
      <c r="I1516" t="s">
        <v>26</v>
      </c>
      <c r="J1516" t="s">
        <v>27</v>
      </c>
      <c r="K1516" t="s">
        <v>28</v>
      </c>
      <c r="L1516" s="2">
        <v>42.8</v>
      </c>
      <c r="M1516" s="3">
        <v>1155</v>
      </c>
      <c r="N1516">
        <v>5</v>
      </c>
      <c r="O1516">
        <v>4</v>
      </c>
      <c r="P1516">
        <v>1</v>
      </c>
      <c r="Q1516">
        <v>0</v>
      </c>
      <c r="R1516" s="4">
        <v>34.17</v>
      </c>
      <c r="S1516">
        <v>0</v>
      </c>
      <c r="T1516">
        <v>1</v>
      </c>
    </row>
    <row r="1517" spans="1:20" ht="16.5" x14ac:dyDescent="0.3">
      <c r="A1517" t="s">
        <v>1566</v>
      </c>
      <c r="B1517" s="1">
        <v>45521</v>
      </c>
      <c r="C1517">
        <v>2024</v>
      </c>
      <c r="D1517" t="s">
        <v>1261</v>
      </c>
      <c r="E1517" t="s">
        <v>1454</v>
      </c>
      <c r="F1517" t="s">
        <v>38</v>
      </c>
      <c r="G1517" t="s">
        <v>24</v>
      </c>
      <c r="H1517" t="s">
        <v>25</v>
      </c>
      <c r="I1517" t="s">
        <v>26</v>
      </c>
      <c r="J1517" t="s">
        <v>27</v>
      </c>
      <c r="K1517" t="s">
        <v>28</v>
      </c>
      <c r="L1517" s="2">
        <v>60.3</v>
      </c>
      <c r="M1517" s="3">
        <v>866</v>
      </c>
      <c r="N1517">
        <v>4</v>
      </c>
      <c r="O1517">
        <v>4</v>
      </c>
      <c r="P1517">
        <v>1</v>
      </c>
      <c r="Q1517">
        <v>0</v>
      </c>
      <c r="R1517" s="4">
        <v>46.77</v>
      </c>
      <c r="S1517">
        <v>0</v>
      </c>
      <c r="T1517">
        <v>1</v>
      </c>
    </row>
    <row r="1518" spans="1:20" ht="16.5" x14ac:dyDescent="0.3">
      <c r="A1518" t="s">
        <v>1567</v>
      </c>
      <c r="B1518" s="1">
        <v>45521</v>
      </c>
      <c r="C1518">
        <v>2024</v>
      </c>
      <c r="D1518" t="s">
        <v>1261</v>
      </c>
      <c r="E1518" t="s">
        <v>1454</v>
      </c>
      <c r="F1518" t="s">
        <v>57</v>
      </c>
      <c r="G1518" t="s">
        <v>35</v>
      </c>
      <c r="H1518" t="s">
        <v>25</v>
      </c>
      <c r="I1518" t="s">
        <v>40</v>
      </c>
      <c r="J1518" t="s">
        <v>41</v>
      </c>
      <c r="K1518" t="s">
        <v>28</v>
      </c>
      <c r="L1518" s="2">
        <v>79.5</v>
      </c>
      <c r="M1518" s="3">
        <v>839</v>
      </c>
      <c r="N1518">
        <v>2</v>
      </c>
      <c r="O1518">
        <v>5</v>
      </c>
      <c r="P1518">
        <v>0</v>
      </c>
      <c r="Q1518">
        <v>3</v>
      </c>
      <c r="R1518" s="4">
        <v>170.32</v>
      </c>
      <c r="S1518">
        <v>0</v>
      </c>
      <c r="T1518">
        <v>1</v>
      </c>
    </row>
    <row r="1519" spans="1:20" ht="16.5" x14ac:dyDescent="0.3">
      <c r="A1519" t="s">
        <v>1568</v>
      </c>
      <c r="B1519" s="1">
        <v>45522</v>
      </c>
      <c r="C1519">
        <v>2024</v>
      </c>
      <c r="D1519" t="s">
        <v>1261</v>
      </c>
      <c r="E1519" t="s">
        <v>1454</v>
      </c>
      <c r="F1519" t="s">
        <v>30</v>
      </c>
      <c r="G1519" t="s">
        <v>35</v>
      </c>
      <c r="H1519" t="s">
        <v>36</v>
      </c>
      <c r="I1519" t="s">
        <v>40</v>
      </c>
      <c r="J1519" t="s">
        <v>27</v>
      </c>
      <c r="K1519" t="s">
        <v>32</v>
      </c>
      <c r="L1519" s="2">
        <v>11.7</v>
      </c>
      <c r="M1519" s="3">
        <v>265</v>
      </c>
      <c r="N1519">
        <v>1</v>
      </c>
      <c r="O1519">
        <v>1</v>
      </c>
      <c r="P1519">
        <v>1</v>
      </c>
      <c r="Q1519">
        <v>0</v>
      </c>
      <c r="R1519" s="4">
        <v>29.35</v>
      </c>
      <c r="S1519">
        <v>0</v>
      </c>
      <c r="T1519">
        <v>1</v>
      </c>
    </row>
    <row r="1520" spans="1:20" ht="16.5" x14ac:dyDescent="0.3">
      <c r="A1520" t="s">
        <v>1569</v>
      </c>
      <c r="B1520" s="1">
        <v>45522</v>
      </c>
      <c r="C1520">
        <v>2024</v>
      </c>
      <c r="D1520" t="s">
        <v>1261</v>
      </c>
      <c r="E1520" t="s">
        <v>1454</v>
      </c>
      <c r="F1520" t="s">
        <v>57</v>
      </c>
      <c r="G1520" t="s">
        <v>24</v>
      </c>
      <c r="H1520" t="s">
        <v>48</v>
      </c>
      <c r="I1520" t="s">
        <v>40</v>
      </c>
      <c r="J1520" t="s">
        <v>27</v>
      </c>
      <c r="K1520" t="s">
        <v>32</v>
      </c>
      <c r="L1520" s="2">
        <v>6.2</v>
      </c>
      <c r="M1520" s="3">
        <v>463</v>
      </c>
      <c r="N1520">
        <v>2</v>
      </c>
      <c r="O1520">
        <v>2</v>
      </c>
      <c r="P1520">
        <v>1</v>
      </c>
      <c r="Q1520">
        <v>0</v>
      </c>
      <c r="R1520" s="4">
        <v>25.92</v>
      </c>
      <c r="S1520">
        <v>0</v>
      </c>
      <c r="T1520">
        <v>1</v>
      </c>
    </row>
    <row r="1521" spans="1:20" ht="16.5" x14ac:dyDescent="0.3">
      <c r="A1521" t="s">
        <v>1570</v>
      </c>
      <c r="B1521" s="1">
        <v>45522</v>
      </c>
      <c r="C1521">
        <v>2024</v>
      </c>
      <c r="D1521" t="s">
        <v>1261</v>
      </c>
      <c r="E1521" t="s">
        <v>1454</v>
      </c>
      <c r="F1521" t="s">
        <v>57</v>
      </c>
      <c r="G1521" t="s">
        <v>24</v>
      </c>
      <c r="H1521" t="s">
        <v>51</v>
      </c>
      <c r="I1521" t="s">
        <v>26</v>
      </c>
      <c r="J1521" t="s">
        <v>27</v>
      </c>
      <c r="K1521" t="s">
        <v>32</v>
      </c>
      <c r="L1521" s="2">
        <v>8</v>
      </c>
      <c r="M1521" s="3">
        <v>1043</v>
      </c>
      <c r="N1521">
        <v>5</v>
      </c>
      <c r="O1521">
        <v>5</v>
      </c>
      <c r="P1521">
        <v>1</v>
      </c>
      <c r="Q1521">
        <v>0</v>
      </c>
      <c r="R1521" s="4">
        <v>24.49</v>
      </c>
      <c r="S1521">
        <v>0</v>
      </c>
      <c r="T1521">
        <v>1</v>
      </c>
    </row>
    <row r="1522" spans="1:20" ht="16.5" x14ac:dyDescent="0.3">
      <c r="A1522" t="s">
        <v>1571</v>
      </c>
      <c r="B1522" s="1">
        <v>45522</v>
      </c>
      <c r="C1522">
        <v>2024</v>
      </c>
      <c r="D1522" t="s">
        <v>1261</v>
      </c>
      <c r="E1522" t="s">
        <v>1454</v>
      </c>
      <c r="F1522" t="s">
        <v>30</v>
      </c>
      <c r="G1522" t="s">
        <v>39</v>
      </c>
      <c r="H1522" t="s">
        <v>25</v>
      </c>
      <c r="I1522" t="s">
        <v>40</v>
      </c>
      <c r="J1522" t="s">
        <v>41</v>
      </c>
      <c r="K1522" t="s">
        <v>32</v>
      </c>
      <c r="L1522" s="2">
        <v>5.9</v>
      </c>
      <c r="M1522" s="3">
        <v>1026</v>
      </c>
      <c r="N1522">
        <v>2</v>
      </c>
      <c r="O1522">
        <v>2</v>
      </c>
      <c r="P1522">
        <v>1</v>
      </c>
      <c r="Q1522">
        <v>0</v>
      </c>
      <c r="R1522" s="4">
        <v>69.38</v>
      </c>
      <c r="S1522">
        <v>0</v>
      </c>
      <c r="T1522">
        <v>1</v>
      </c>
    </row>
    <row r="1523" spans="1:20" ht="16.5" x14ac:dyDescent="0.3">
      <c r="A1523" t="s">
        <v>1572</v>
      </c>
      <c r="B1523" s="1">
        <v>45523</v>
      </c>
      <c r="C1523">
        <v>2024</v>
      </c>
      <c r="D1523" t="s">
        <v>1261</v>
      </c>
      <c r="E1523" t="s">
        <v>1454</v>
      </c>
      <c r="F1523" t="s">
        <v>38</v>
      </c>
      <c r="G1523" t="s">
        <v>24</v>
      </c>
      <c r="H1523" t="s">
        <v>36</v>
      </c>
      <c r="I1523" t="s">
        <v>40</v>
      </c>
      <c r="J1523" t="s">
        <v>27</v>
      </c>
      <c r="K1523" t="s">
        <v>32</v>
      </c>
      <c r="L1523" s="2">
        <v>7.6</v>
      </c>
      <c r="M1523" s="3">
        <v>246</v>
      </c>
      <c r="N1523">
        <v>1</v>
      </c>
      <c r="O1523">
        <v>1</v>
      </c>
      <c r="P1523">
        <v>1</v>
      </c>
      <c r="Q1523">
        <v>0</v>
      </c>
      <c r="R1523" s="4">
        <v>31.13</v>
      </c>
      <c r="S1523">
        <v>0</v>
      </c>
      <c r="T1523">
        <v>1</v>
      </c>
    </row>
    <row r="1524" spans="1:20" ht="16.5" x14ac:dyDescent="0.3">
      <c r="A1524" t="s">
        <v>1573</v>
      </c>
      <c r="B1524" s="1">
        <v>45523</v>
      </c>
      <c r="C1524">
        <v>2024</v>
      </c>
      <c r="D1524" t="s">
        <v>1261</v>
      </c>
      <c r="E1524" t="s">
        <v>1454</v>
      </c>
      <c r="F1524" t="s">
        <v>38</v>
      </c>
      <c r="G1524" t="s">
        <v>24</v>
      </c>
      <c r="H1524" t="s">
        <v>48</v>
      </c>
      <c r="I1524" t="s">
        <v>26</v>
      </c>
      <c r="J1524" t="s">
        <v>27</v>
      </c>
      <c r="K1524" t="s">
        <v>32</v>
      </c>
      <c r="L1524" s="2">
        <v>6.7</v>
      </c>
      <c r="M1524" s="3">
        <v>469</v>
      </c>
      <c r="N1524">
        <v>4</v>
      </c>
      <c r="O1524">
        <v>7</v>
      </c>
      <c r="P1524">
        <v>0</v>
      </c>
      <c r="Q1524">
        <v>3</v>
      </c>
      <c r="R1524" s="4">
        <v>17.14</v>
      </c>
      <c r="S1524">
        <v>0</v>
      </c>
      <c r="T1524">
        <v>1</v>
      </c>
    </row>
    <row r="1525" spans="1:20" ht="16.5" x14ac:dyDescent="0.3">
      <c r="A1525" t="s">
        <v>1574</v>
      </c>
      <c r="B1525" s="1">
        <v>45523</v>
      </c>
      <c r="C1525">
        <v>2024</v>
      </c>
      <c r="D1525" t="s">
        <v>1261</v>
      </c>
      <c r="E1525" t="s">
        <v>1454</v>
      </c>
      <c r="F1525" t="s">
        <v>34</v>
      </c>
      <c r="G1525" t="s">
        <v>39</v>
      </c>
      <c r="H1525" t="s">
        <v>36</v>
      </c>
      <c r="I1525" t="s">
        <v>31</v>
      </c>
      <c r="J1525" t="s">
        <v>27</v>
      </c>
      <c r="K1525" t="s">
        <v>28</v>
      </c>
      <c r="L1525" s="2">
        <v>118.2</v>
      </c>
      <c r="M1525" s="3">
        <v>219</v>
      </c>
      <c r="N1525">
        <v>5</v>
      </c>
      <c r="O1525">
        <v>8</v>
      </c>
      <c r="P1525">
        <v>0</v>
      </c>
      <c r="Q1525">
        <v>3</v>
      </c>
      <c r="R1525" s="4">
        <v>38.76</v>
      </c>
      <c r="S1525">
        <v>0</v>
      </c>
      <c r="T1525">
        <v>1</v>
      </c>
    </row>
    <row r="1526" spans="1:20" ht="16.5" x14ac:dyDescent="0.3">
      <c r="A1526" t="s">
        <v>1575</v>
      </c>
      <c r="B1526" s="1">
        <v>45523</v>
      </c>
      <c r="C1526">
        <v>2024</v>
      </c>
      <c r="D1526" t="s">
        <v>1261</v>
      </c>
      <c r="E1526" t="s">
        <v>1454</v>
      </c>
      <c r="F1526" t="s">
        <v>30</v>
      </c>
      <c r="G1526" t="s">
        <v>24</v>
      </c>
      <c r="H1526" t="s">
        <v>51</v>
      </c>
      <c r="I1526" t="s">
        <v>40</v>
      </c>
      <c r="J1526" t="s">
        <v>41</v>
      </c>
      <c r="K1526" t="s">
        <v>32</v>
      </c>
      <c r="L1526" s="2">
        <v>9.9</v>
      </c>
      <c r="M1526" s="3">
        <v>1028</v>
      </c>
      <c r="N1526">
        <v>3</v>
      </c>
      <c r="O1526">
        <v>3</v>
      </c>
      <c r="P1526">
        <v>1</v>
      </c>
      <c r="Q1526">
        <v>0</v>
      </c>
      <c r="R1526" s="4">
        <v>69.3</v>
      </c>
      <c r="S1526">
        <v>0</v>
      </c>
      <c r="T1526">
        <v>1</v>
      </c>
    </row>
    <row r="1527" spans="1:20" ht="16.5" x14ac:dyDescent="0.3">
      <c r="A1527" t="s">
        <v>1576</v>
      </c>
      <c r="B1527" s="1">
        <v>45523</v>
      </c>
      <c r="C1527">
        <v>2024</v>
      </c>
      <c r="D1527" t="s">
        <v>1261</v>
      </c>
      <c r="E1527" t="s">
        <v>1454</v>
      </c>
      <c r="F1527" t="s">
        <v>23</v>
      </c>
      <c r="G1527" t="s">
        <v>39</v>
      </c>
      <c r="H1527" t="s">
        <v>48</v>
      </c>
      <c r="I1527" t="s">
        <v>26</v>
      </c>
      <c r="J1527" t="s">
        <v>27</v>
      </c>
      <c r="K1527" t="s">
        <v>32</v>
      </c>
      <c r="L1527" s="2">
        <v>3.1</v>
      </c>
      <c r="M1527" s="3">
        <v>517</v>
      </c>
      <c r="N1527">
        <v>4</v>
      </c>
      <c r="O1527">
        <v>4</v>
      </c>
      <c r="P1527">
        <v>1</v>
      </c>
      <c r="Q1527">
        <v>0</v>
      </c>
      <c r="R1527" s="4">
        <v>14.46</v>
      </c>
      <c r="S1527">
        <v>0</v>
      </c>
      <c r="T1527">
        <v>1</v>
      </c>
    </row>
    <row r="1528" spans="1:20" ht="16.5" x14ac:dyDescent="0.3">
      <c r="A1528" t="s">
        <v>1577</v>
      </c>
      <c r="B1528" s="1">
        <v>45523</v>
      </c>
      <c r="C1528">
        <v>2024</v>
      </c>
      <c r="D1528" t="s">
        <v>1261</v>
      </c>
      <c r="E1528" t="s">
        <v>1454</v>
      </c>
      <c r="F1528" t="s">
        <v>34</v>
      </c>
      <c r="G1528" t="s">
        <v>24</v>
      </c>
      <c r="H1528" t="s">
        <v>36</v>
      </c>
      <c r="I1528" t="s">
        <v>26</v>
      </c>
      <c r="J1528" t="s">
        <v>27</v>
      </c>
      <c r="K1528" t="s">
        <v>28</v>
      </c>
      <c r="L1528" s="2">
        <v>146.1</v>
      </c>
      <c r="M1528" s="3">
        <v>271</v>
      </c>
      <c r="N1528">
        <v>3</v>
      </c>
      <c r="O1528">
        <v>4</v>
      </c>
      <c r="P1528">
        <v>0</v>
      </c>
      <c r="Q1528">
        <v>1</v>
      </c>
      <c r="R1528" s="4">
        <v>61.44</v>
      </c>
      <c r="S1528">
        <v>0</v>
      </c>
      <c r="T1528">
        <v>1</v>
      </c>
    </row>
    <row r="1529" spans="1:20" ht="16.5" x14ac:dyDescent="0.3">
      <c r="A1529" t="s">
        <v>1578</v>
      </c>
      <c r="B1529" s="1">
        <v>45524</v>
      </c>
      <c r="C1529">
        <v>2024</v>
      </c>
      <c r="D1529" t="s">
        <v>1261</v>
      </c>
      <c r="E1529" t="s">
        <v>1454</v>
      </c>
      <c r="F1529" t="s">
        <v>57</v>
      </c>
      <c r="G1529" t="s">
        <v>35</v>
      </c>
      <c r="H1529" t="s">
        <v>51</v>
      </c>
      <c r="I1529" t="s">
        <v>26</v>
      </c>
      <c r="J1529" t="s">
        <v>27</v>
      </c>
      <c r="K1529" t="s">
        <v>32</v>
      </c>
      <c r="L1529" s="2">
        <v>6.1</v>
      </c>
      <c r="M1529" s="3">
        <v>1043</v>
      </c>
      <c r="N1529">
        <v>5</v>
      </c>
      <c r="O1529">
        <v>5</v>
      </c>
      <c r="P1529">
        <v>1</v>
      </c>
      <c r="Q1529">
        <v>0</v>
      </c>
      <c r="R1529" s="4">
        <v>24.45</v>
      </c>
      <c r="S1529">
        <v>0</v>
      </c>
      <c r="T1529">
        <v>1</v>
      </c>
    </row>
    <row r="1530" spans="1:20" ht="16.5" x14ac:dyDescent="0.3">
      <c r="A1530" t="s">
        <v>1579</v>
      </c>
      <c r="B1530" s="1">
        <v>45524</v>
      </c>
      <c r="C1530">
        <v>2024</v>
      </c>
      <c r="D1530" t="s">
        <v>1261</v>
      </c>
      <c r="E1530" t="s">
        <v>1454</v>
      </c>
      <c r="F1530" t="s">
        <v>38</v>
      </c>
      <c r="G1530" t="s">
        <v>35</v>
      </c>
      <c r="H1530" t="s">
        <v>36</v>
      </c>
      <c r="I1530" t="s">
        <v>40</v>
      </c>
      <c r="J1530" t="s">
        <v>27</v>
      </c>
      <c r="K1530" t="s">
        <v>32</v>
      </c>
      <c r="L1530" s="2">
        <v>3.9</v>
      </c>
      <c r="M1530" s="3">
        <v>243</v>
      </c>
      <c r="N1530">
        <v>1</v>
      </c>
      <c r="O1530">
        <v>1</v>
      </c>
      <c r="P1530">
        <v>1</v>
      </c>
      <c r="Q1530">
        <v>0</v>
      </c>
      <c r="R1530" s="4">
        <v>23.75</v>
      </c>
      <c r="S1530">
        <v>0</v>
      </c>
      <c r="T1530">
        <v>1</v>
      </c>
    </row>
    <row r="1531" spans="1:20" ht="16.5" x14ac:dyDescent="0.3">
      <c r="A1531" t="s">
        <v>1580</v>
      </c>
      <c r="B1531" s="1">
        <v>45524</v>
      </c>
      <c r="C1531">
        <v>2024</v>
      </c>
      <c r="D1531" t="s">
        <v>1261</v>
      </c>
      <c r="E1531" t="s">
        <v>1454</v>
      </c>
      <c r="F1531" t="s">
        <v>38</v>
      </c>
      <c r="G1531" t="s">
        <v>35</v>
      </c>
      <c r="H1531" t="s">
        <v>48</v>
      </c>
      <c r="I1531" t="s">
        <v>40</v>
      </c>
      <c r="J1531" t="s">
        <v>27</v>
      </c>
      <c r="K1531" t="s">
        <v>32</v>
      </c>
      <c r="L1531" s="2">
        <v>0.8</v>
      </c>
      <c r="M1531" s="3">
        <v>400</v>
      </c>
      <c r="N1531">
        <v>2</v>
      </c>
      <c r="O1531">
        <v>1</v>
      </c>
      <c r="P1531">
        <v>1</v>
      </c>
      <c r="Q1531">
        <v>0</v>
      </c>
      <c r="R1531" s="4">
        <v>25.41</v>
      </c>
      <c r="S1531">
        <v>0</v>
      </c>
      <c r="T1531">
        <v>1</v>
      </c>
    </row>
    <row r="1532" spans="1:20" ht="16.5" x14ac:dyDescent="0.3">
      <c r="A1532" t="s">
        <v>1581</v>
      </c>
      <c r="B1532" s="1">
        <v>45524</v>
      </c>
      <c r="C1532">
        <v>2024</v>
      </c>
      <c r="D1532" t="s">
        <v>1261</v>
      </c>
      <c r="E1532" t="s">
        <v>1454</v>
      </c>
      <c r="F1532" t="s">
        <v>34</v>
      </c>
      <c r="G1532" t="s">
        <v>39</v>
      </c>
      <c r="H1532" t="s">
        <v>36</v>
      </c>
      <c r="I1532" t="s">
        <v>40</v>
      </c>
      <c r="J1532" t="s">
        <v>27</v>
      </c>
      <c r="K1532" t="s">
        <v>32</v>
      </c>
      <c r="L1532" s="2">
        <v>1.4</v>
      </c>
      <c r="M1532" s="3">
        <v>248</v>
      </c>
      <c r="N1532">
        <v>1</v>
      </c>
      <c r="O1532">
        <v>4</v>
      </c>
      <c r="P1532">
        <v>0</v>
      </c>
      <c r="Q1532">
        <v>3</v>
      </c>
      <c r="R1532" s="4">
        <v>17.739999999999998</v>
      </c>
      <c r="S1532">
        <v>0</v>
      </c>
      <c r="T1532">
        <v>1</v>
      </c>
    </row>
    <row r="1533" spans="1:20" ht="16.5" x14ac:dyDescent="0.3">
      <c r="A1533" t="s">
        <v>1582</v>
      </c>
      <c r="B1533" s="1">
        <v>45524</v>
      </c>
      <c r="C1533">
        <v>2024</v>
      </c>
      <c r="D1533" t="s">
        <v>1261</v>
      </c>
      <c r="E1533" t="s">
        <v>1454</v>
      </c>
      <c r="F1533" t="s">
        <v>38</v>
      </c>
      <c r="G1533" t="s">
        <v>39</v>
      </c>
      <c r="H1533" t="s">
        <v>36</v>
      </c>
      <c r="I1533" t="s">
        <v>31</v>
      </c>
      <c r="J1533" t="s">
        <v>27</v>
      </c>
      <c r="K1533" t="s">
        <v>32</v>
      </c>
      <c r="L1533" s="2">
        <v>2.8</v>
      </c>
      <c r="M1533" s="3">
        <v>249</v>
      </c>
      <c r="N1533">
        <v>5</v>
      </c>
      <c r="O1533">
        <v>5</v>
      </c>
      <c r="P1533">
        <v>1</v>
      </c>
      <c r="Q1533">
        <v>0</v>
      </c>
      <c r="R1533" s="4">
        <v>9.08</v>
      </c>
      <c r="S1533">
        <v>0</v>
      </c>
      <c r="T1533">
        <v>1</v>
      </c>
    </row>
    <row r="1534" spans="1:20" ht="16.5" x14ac:dyDescent="0.3">
      <c r="A1534" t="s">
        <v>1583</v>
      </c>
      <c r="B1534" s="1">
        <v>45524</v>
      </c>
      <c r="C1534">
        <v>2024</v>
      </c>
      <c r="D1534" t="s">
        <v>1261</v>
      </c>
      <c r="E1534" t="s">
        <v>1454</v>
      </c>
      <c r="F1534" t="s">
        <v>38</v>
      </c>
      <c r="G1534" t="s">
        <v>35</v>
      </c>
      <c r="H1534" t="s">
        <v>36</v>
      </c>
      <c r="I1534" t="s">
        <v>40</v>
      </c>
      <c r="J1534" t="s">
        <v>27</v>
      </c>
      <c r="K1534" t="s">
        <v>32</v>
      </c>
      <c r="L1534" s="2">
        <v>5.9</v>
      </c>
      <c r="M1534" s="3">
        <v>279</v>
      </c>
      <c r="N1534">
        <v>1</v>
      </c>
      <c r="O1534">
        <v>1</v>
      </c>
      <c r="P1534">
        <v>1</v>
      </c>
      <c r="Q1534">
        <v>0</v>
      </c>
      <c r="R1534" s="4">
        <v>26.9</v>
      </c>
      <c r="S1534">
        <v>0</v>
      </c>
      <c r="T1534">
        <v>1</v>
      </c>
    </row>
    <row r="1535" spans="1:20" ht="16.5" x14ac:dyDescent="0.3">
      <c r="A1535" t="s">
        <v>1584</v>
      </c>
      <c r="B1535" s="1">
        <v>45525</v>
      </c>
      <c r="C1535">
        <v>2024</v>
      </c>
      <c r="D1535" t="s">
        <v>1261</v>
      </c>
      <c r="E1535" t="s">
        <v>1454</v>
      </c>
      <c r="F1535" t="s">
        <v>23</v>
      </c>
      <c r="G1535" t="s">
        <v>39</v>
      </c>
      <c r="H1535" t="s">
        <v>48</v>
      </c>
      <c r="I1535" t="s">
        <v>26</v>
      </c>
      <c r="J1535" t="s">
        <v>27</v>
      </c>
      <c r="K1535" t="s">
        <v>32</v>
      </c>
      <c r="L1535" s="2">
        <v>10.9</v>
      </c>
      <c r="M1535" s="3">
        <v>420</v>
      </c>
      <c r="N1535">
        <v>4</v>
      </c>
      <c r="O1535">
        <v>4</v>
      </c>
      <c r="P1535">
        <v>1</v>
      </c>
      <c r="Q1535">
        <v>0</v>
      </c>
      <c r="R1535" s="4">
        <v>18.350000000000001</v>
      </c>
      <c r="S1535">
        <v>0</v>
      </c>
      <c r="T1535">
        <v>1</v>
      </c>
    </row>
    <row r="1536" spans="1:20" ht="16.5" x14ac:dyDescent="0.3">
      <c r="A1536" t="s">
        <v>1585</v>
      </c>
      <c r="B1536" s="1">
        <v>45525</v>
      </c>
      <c r="C1536">
        <v>2024</v>
      </c>
      <c r="D1536" t="s">
        <v>1261</v>
      </c>
      <c r="E1536" t="s">
        <v>1454</v>
      </c>
      <c r="F1536" t="s">
        <v>57</v>
      </c>
      <c r="G1536" t="s">
        <v>24</v>
      </c>
      <c r="H1536" t="s">
        <v>25</v>
      </c>
      <c r="I1536" t="s">
        <v>26</v>
      </c>
      <c r="J1536" t="s">
        <v>27</v>
      </c>
      <c r="K1536" t="s">
        <v>32</v>
      </c>
      <c r="L1536" s="2">
        <v>5.0999999999999996</v>
      </c>
      <c r="M1536" s="3">
        <v>1064</v>
      </c>
      <c r="N1536">
        <v>4</v>
      </c>
      <c r="O1536">
        <v>4</v>
      </c>
      <c r="P1536">
        <v>1</v>
      </c>
      <c r="Q1536">
        <v>0</v>
      </c>
      <c r="R1536" s="4">
        <v>23.13</v>
      </c>
      <c r="S1536">
        <v>0</v>
      </c>
      <c r="T1536">
        <v>1</v>
      </c>
    </row>
    <row r="1537" spans="1:20" ht="16.5" x14ac:dyDescent="0.3">
      <c r="A1537" t="s">
        <v>1586</v>
      </c>
      <c r="B1537" s="1">
        <v>45525</v>
      </c>
      <c r="C1537">
        <v>2024</v>
      </c>
      <c r="D1537" t="s">
        <v>1261</v>
      </c>
      <c r="E1537" t="s">
        <v>1454</v>
      </c>
      <c r="F1537" t="s">
        <v>30</v>
      </c>
      <c r="G1537" t="s">
        <v>35</v>
      </c>
      <c r="H1537" t="s">
        <v>36</v>
      </c>
      <c r="I1537" t="s">
        <v>40</v>
      </c>
      <c r="J1537" t="s">
        <v>27</v>
      </c>
      <c r="K1537" t="s">
        <v>28</v>
      </c>
      <c r="L1537" s="2">
        <v>38.5</v>
      </c>
      <c r="M1537" s="3">
        <v>232</v>
      </c>
      <c r="N1537">
        <v>1</v>
      </c>
      <c r="O1537">
        <v>1</v>
      </c>
      <c r="P1537">
        <v>1</v>
      </c>
      <c r="Q1537">
        <v>0</v>
      </c>
      <c r="R1537" s="4">
        <v>59.05</v>
      </c>
      <c r="S1537">
        <v>0</v>
      </c>
      <c r="T1537">
        <v>1</v>
      </c>
    </row>
    <row r="1538" spans="1:20" ht="16.5" x14ac:dyDescent="0.3">
      <c r="A1538" t="s">
        <v>1587</v>
      </c>
      <c r="B1538" s="1">
        <v>45525</v>
      </c>
      <c r="C1538">
        <v>2024</v>
      </c>
      <c r="D1538" t="s">
        <v>1261</v>
      </c>
      <c r="E1538" t="s">
        <v>1454</v>
      </c>
      <c r="F1538" t="s">
        <v>57</v>
      </c>
      <c r="G1538" t="s">
        <v>39</v>
      </c>
      <c r="H1538" t="s">
        <v>25</v>
      </c>
      <c r="I1538" t="s">
        <v>26</v>
      </c>
      <c r="J1538" t="s">
        <v>27</v>
      </c>
      <c r="K1538" t="s">
        <v>28</v>
      </c>
      <c r="L1538" s="2">
        <v>13.2</v>
      </c>
      <c r="M1538" s="3">
        <v>928</v>
      </c>
      <c r="N1538">
        <v>4</v>
      </c>
      <c r="O1538">
        <v>4</v>
      </c>
      <c r="P1538">
        <v>1</v>
      </c>
      <c r="Q1538">
        <v>0</v>
      </c>
      <c r="R1538" s="4">
        <v>24.62</v>
      </c>
      <c r="S1538">
        <v>0</v>
      </c>
      <c r="T1538">
        <v>1</v>
      </c>
    </row>
    <row r="1539" spans="1:20" ht="16.5" x14ac:dyDescent="0.3">
      <c r="A1539" t="s">
        <v>1588</v>
      </c>
      <c r="B1539" s="1">
        <v>45525</v>
      </c>
      <c r="C1539">
        <v>2024</v>
      </c>
      <c r="D1539" t="s">
        <v>1261</v>
      </c>
      <c r="E1539" t="s">
        <v>1454</v>
      </c>
      <c r="F1539" t="s">
        <v>34</v>
      </c>
      <c r="G1539" t="s">
        <v>39</v>
      </c>
      <c r="H1539" t="s">
        <v>25</v>
      </c>
      <c r="I1539" t="s">
        <v>26</v>
      </c>
      <c r="J1539" t="s">
        <v>27</v>
      </c>
      <c r="K1539" t="s">
        <v>32</v>
      </c>
      <c r="L1539" s="2">
        <v>1.5</v>
      </c>
      <c r="M1539" s="3">
        <v>865</v>
      </c>
      <c r="N1539">
        <v>4</v>
      </c>
      <c r="O1539">
        <v>4</v>
      </c>
      <c r="P1539">
        <v>1</v>
      </c>
      <c r="Q1539">
        <v>0</v>
      </c>
      <c r="R1539" s="4">
        <v>14.29</v>
      </c>
      <c r="S1539">
        <v>0</v>
      </c>
      <c r="T1539">
        <v>1</v>
      </c>
    </row>
    <row r="1540" spans="1:20" ht="16.5" x14ac:dyDescent="0.3">
      <c r="A1540" t="s">
        <v>1589</v>
      </c>
      <c r="B1540" s="1">
        <v>45525</v>
      </c>
      <c r="C1540">
        <v>2024</v>
      </c>
      <c r="D1540" t="s">
        <v>1261</v>
      </c>
      <c r="E1540" t="s">
        <v>1454</v>
      </c>
      <c r="F1540" t="s">
        <v>57</v>
      </c>
      <c r="G1540" t="s">
        <v>35</v>
      </c>
      <c r="H1540" t="s">
        <v>51</v>
      </c>
      <c r="I1540" t="s">
        <v>26</v>
      </c>
      <c r="J1540" t="s">
        <v>27</v>
      </c>
      <c r="K1540" t="s">
        <v>28</v>
      </c>
      <c r="L1540" s="2">
        <v>190.4</v>
      </c>
      <c r="M1540" s="3">
        <v>1027</v>
      </c>
      <c r="N1540">
        <v>5</v>
      </c>
      <c r="O1540">
        <v>5</v>
      </c>
      <c r="P1540">
        <v>1</v>
      </c>
      <c r="Q1540">
        <v>0</v>
      </c>
      <c r="R1540" s="4">
        <v>96.14</v>
      </c>
      <c r="S1540">
        <v>0</v>
      </c>
      <c r="T1540">
        <v>1</v>
      </c>
    </row>
    <row r="1541" spans="1:20" ht="16.5" x14ac:dyDescent="0.3">
      <c r="A1541" t="s">
        <v>1590</v>
      </c>
      <c r="B1541" s="1">
        <v>45525</v>
      </c>
      <c r="C1541">
        <v>2024</v>
      </c>
      <c r="D1541" t="s">
        <v>1261</v>
      </c>
      <c r="E1541" t="s">
        <v>1454</v>
      </c>
      <c r="F1541" t="s">
        <v>57</v>
      </c>
      <c r="G1541" t="s">
        <v>39</v>
      </c>
      <c r="H1541" t="s">
        <v>36</v>
      </c>
      <c r="I1541" t="s">
        <v>26</v>
      </c>
      <c r="J1541" t="s">
        <v>27</v>
      </c>
      <c r="K1541" t="s">
        <v>32</v>
      </c>
      <c r="L1541" s="2">
        <v>17.7</v>
      </c>
      <c r="M1541" s="3">
        <v>233</v>
      </c>
      <c r="N1541">
        <v>3</v>
      </c>
      <c r="O1541">
        <v>3</v>
      </c>
      <c r="P1541">
        <v>1</v>
      </c>
      <c r="Q1541">
        <v>0</v>
      </c>
      <c r="R1541" s="4">
        <v>17.920000000000002</v>
      </c>
      <c r="S1541">
        <v>0</v>
      </c>
      <c r="T1541">
        <v>1</v>
      </c>
    </row>
    <row r="1542" spans="1:20" ht="16.5" x14ac:dyDescent="0.3">
      <c r="A1542" t="s">
        <v>1591</v>
      </c>
      <c r="B1542" s="1">
        <v>45525</v>
      </c>
      <c r="C1542">
        <v>2024</v>
      </c>
      <c r="D1542" t="s">
        <v>1261</v>
      </c>
      <c r="E1542" t="s">
        <v>1454</v>
      </c>
      <c r="F1542" t="s">
        <v>30</v>
      </c>
      <c r="G1542" t="s">
        <v>39</v>
      </c>
      <c r="H1542" t="s">
        <v>25</v>
      </c>
      <c r="I1542" t="s">
        <v>31</v>
      </c>
      <c r="J1542" t="s">
        <v>27</v>
      </c>
      <c r="K1542" t="s">
        <v>28</v>
      </c>
      <c r="L1542" s="2">
        <v>53.7</v>
      </c>
      <c r="M1542" s="3">
        <v>767</v>
      </c>
      <c r="N1542">
        <v>6</v>
      </c>
      <c r="O1542">
        <v>5</v>
      </c>
      <c r="P1542">
        <v>1</v>
      </c>
      <c r="Q1542">
        <v>0</v>
      </c>
      <c r="R1542" s="4">
        <v>30.08</v>
      </c>
      <c r="S1542">
        <v>0</v>
      </c>
      <c r="T1542">
        <v>1</v>
      </c>
    </row>
    <row r="1543" spans="1:20" ht="16.5" x14ac:dyDescent="0.3">
      <c r="A1543" t="s">
        <v>1592</v>
      </c>
      <c r="B1543" s="1">
        <v>45525</v>
      </c>
      <c r="C1543">
        <v>2024</v>
      </c>
      <c r="D1543" t="s">
        <v>1261</v>
      </c>
      <c r="E1543" t="s">
        <v>1454</v>
      </c>
      <c r="F1543" t="s">
        <v>34</v>
      </c>
      <c r="G1543" t="s">
        <v>39</v>
      </c>
      <c r="H1543" t="s">
        <v>43</v>
      </c>
      <c r="I1543" t="s">
        <v>26</v>
      </c>
      <c r="J1543" t="s">
        <v>27</v>
      </c>
      <c r="K1543" t="s">
        <v>32</v>
      </c>
      <c r="L1543" s="2">
        <v>8.3000000000000007</v>
      </c>
      <c r="M1543" s="3">
        <v>1377</v>
      </c>
      <c r="N1543">
        <v>5</v>
      </c>
      <c r="O1543">
        <v>5</v>
      </c>
      <c r="P1543">
        <v>1</v>
      </c>
      <c r="Q1543">
        <v>0</v>
      </c>
      <c r="R1543" s="4">
        <v>22.63</v>
      </c>
      <c r="S1543">
        <v>0</v>
      </c>
      <c r="T1543">
        <v>1</v>
      </c>
    </row>
    <row r="1544" spans="1:20" ht="16.5" x14ac:dyDescent="0.3">
      <c r="A1544" t="s">
        <v>1593</v>
      </c>
      <c r="B1544" s="1">
        <v>45526</v>
      </c>
      <c r="C1544">
        <v>2024</v>
      </c>
      <c r="D1544" t="s">
        <v>1261</v>
      </c>
      <c r="E1544" t="s">
        <v>1454</v>
      </c>
      <c r="F1544" t="s">
        <v>30</v>
      </c>
      <c r="G1544" t="s">
        <v>39</v>
      </c>
      <c r="H1544" t="s">
        <v>36</v>
      </c>
      <c r="I1544" t="s">
        <v>40</v>
      </c>
      <c r="J1544" t="s">
        <v>27</v>
      </c>
      <c r="K1544" t="s">
        <v>32</v>
      </c>
      <c r="L1544" s="2">
        <v>1.1000000000000001</v>
      </c>
      <c r="M1544" s="3">
        <v>259</v>
      </c>
      <c r="N1544">
        <v>1</v>
      </c>
      <c r="O1544">
        <v>1</v>
      </c>
      <c r="P1544">
        <v>1</v>
      </c>
      <c r="Q1544">
        <v>0</v>
      </c>
      <c r="R1544" s="4">
        <v>18.54</v>
      </c>
      <c r="S1544">
        <v>0</v>
      </c>
      <c r="T1544">
        <v>1</v>
      </c>
    </row>
    <row r="1545" spans="1:20" ht="16.5" x14ac:dyDescent="0.3">
      <c r="A1545" t="s">
        <v>1594</v>
      </c>
      <c r="B1545" s="1">
        <v>45526</v>
      </c>
      <c r="C1545">
        <v>2024</v>
      </c>
      <c r="D1545" t="s">
        <v>1261</v>
      </c>
      <c r="E1545" t="s">
        <v>1454</v>
      </c>
      <c r="F1545" t="s">
        <v>34</v>
      </c>
      <c r="G1545" t="s">
        <v>35</v>
      </c>
      <c r="H1545" t="s">
        <v>43</v>
      </c>
      <c r="I1545" t="s">
        <v>31</v>
      </c>
      <c r="J1545" t="s">
        <v>27</v>
      </c>
      <c r="K1545" t="s">
        <v>28</v>
      </c>
      <c r="L1545" s="2">
        <v>104.4</v>
      </c>
      <c r="M1545" s="3">
        <v>1122</v>
      </c>
      <c r="N1545">
        <v>7</v>
      </c>
      <c r="O1545">
        <v>7</v>
      </c>
      <c r="P1545">
        <v>1</v>
      </c>
      <c r="Q1545">
        <v>0</v>
      </c>
      <c r="R1545" s="4">
        <v>41.5</v>
      </c>
      <c r="S1545">
        <v>0</v>
      </c>
      <c r="T1545">
        <v>1</v>
      </c>
    </row>
    <row r="1546" spans="1:20" ht="16.5" x14ac:dyDescent="0.3">
      <c r="A1546" t="s">
        <v>1595</v>
      </c>
      <c r="B1546" s="1">
        <v>45526</v>
      </c>
      <c r="C1546">
        <v>2024</v>
      </c>
      <c r="D1546" t="s">
        <v>1261</v>
      </c>
      <c r="E1546" t="s">
        <v>1454</v>
      </c>
      <c r="F1546" t="s">
        <v>57</v>
      </c>
      <c r="G1546" t="s">
        <v>35</v>
      </c>
      <c r="H1546" t="s">
        <v>51</v>
      </c>
      <c r="I1546" t="s">
        <v>31</v>
      </c>
      <c r="J1546" t="s">
        <v>27</v>
      </c>
      <c r="K1546" t="s">
        <v>32</v>
      </c>
      <c r="L1546" s="2">
        <v>1.9</v>
      </c>
      <c r="M1546" s="3">
        <v>846</v>
      </c>
      <c r="N1546">
        <v>7</v>
      </c>
      <c r="O1546">
        <v>7</v>
      </c>
      <c r="P1546">
        <v>1</v>
      </c>
      <c r="Q1546">
        <v>0</v>
      </c>
      <c r="R1546" s="4">
        <v>12.83</v>
      </c>
      <c r="S1546">
        <v>0</v>
      </c>
      <c r="T1546">
        <v>1</v>
      </c>
    </row>
    <row r="1547" spans="1:20" ht="16.5" x14ac:dyDescent="0.3">
      <c r="A1547" t="s">
        <v>1596</v>
      </c>
      <c r="B1547" s="1">
        <v>45526</v>
      </c>
      <c r="C1547">
        <v>2024</v>
      </c>
      <c r="D1547" t="s">
        <v>1261</v>
      </c>
      <c r="E1547" t="s">
        <v>1454</v>
      </c>
      <c r="F1547" t="s">
        <v>38</v>
      </c>
      <c r="G1547" t="s">
        <v>39</v>
      </c>
      <c r="H1547" t="s">
        <v>36</v>
      </c>
      <c r="I1547" t="s">
        <v>40</v>
      </c>
      <c r="J1547" t="s">
        <v>27</v>
      </c>
      <c r="K1547" t="s">
        <v>28</v>
      </c>
      <c r="L1547" s="2">
        <v>143.80000000000001</v>
      </c>
      <c r="M1547" s="3">
        <v>259</v>
      </c>
      <c r="N1547">
        <v>1</v>
      </c>
      <c r="O1547">
        <v>1</v>
      </c>
      <c r="P1547">
        <v>1</v>
      </c>
      <c r="Q1547">
        <v>0</v>
      </c>
      <c r="R1547" s="4">
        <v>157.47999999999999</v>
      </c>
      <c r="S1547">
        <v>0</v>
      </c>
      <c r="T1547">
        <v>1</v>
      </c>
    </row>
    <row r="1548" spans="1:20" ht="16.5" x14ac:dyDescent="0.3">
      <c r="A1548" t="s">
        <v>1597</v>
      </c>
      <c r="B1548" s="1">
        <v>45526</v>
      </c>
      <c r="C1548">
        <v>2024</v>
      </c>
      <c r="D1548" t="s">
        <v>1261</v>
      </c>
      <c r="E1548" t="s">
        <v>1454</v>
      </c>
      <c r="F1548" t="s">
        <v>34</v>
      </c>
      <c r="G1548" t="s">
        <v>39</v>
      </c>
      <c r="H1548" t="s">
        <v>48</v>
      </c>
      <c r="I1548" t="s">
        <v>31</v>
      </c>
      <c r="J1548" t="s">
        <v>27</v>
      </c>
      <c r="K1548" t="s">
        <v>32</v>
      </c>
      <c r="L1548" s="2">
        <v>3</v>
      </c>
      <c r="M1548" s="3">
        <v>653</v>
      </c>
      <c r="N1548">
        <v>6</v>
      </c>
      <c r="O1548">
        <v>5</v>
      </c>
      <c r="P1548">
        <v>1</v>
      </c>
      <c r="Q1548">
        <v>0</v>
      </c>
      <c r="R1548" s="4">
        <v>9.89</v>
      </c>
      <c r="S1548">
        <v>0</v>
      </c>
      <c r="T1548">
        <v>1</v>
      </c>
    </row>
    <row r="1549" spans="1:20" ht="16.5" x14ac:dyDescent="0.3">
      <c r="A1549" t="s">
        <v>1598</v>
      </c>
      <c r="B1549" s="1">
        <v>45526</v>
      </c>
      <c r="C1549">
        <v>2024</v>
      </c>
      <c r="D1549" t="s">
        <v>1261</v>
      </c>
      <c r="E1549" t="s">
        <v>1454</v>
      </c>
      <c r="F1549" t="s">
        <v>30</v>
      </c>
      <c r="G1549" t="s">
        <v>39</v>
      </c>
      <c r="H1549" t="s">
        <v>25</v>
      </c>
      <c r="I1549" t="s">
        <v>26</v>
      </c>
      <c r="J1549" t="s">
        <v>27</v>
      </c>
      <c r="K1549" t="s">
        <v>32</v>
      </c>
      <c r="L1549" s="2">
        <v>7.9</v>
      </c>
      <c r="M1549" s="3">
        <v>918</v>
      </c>
      <c r="N1549">
        <v>4</v>
      </c>
      <c r="O1549">
        <v>6</v>
      </c>
      <c r="P1549">
        <v>0</v>
      </c>
      <c r="Q1549">
        <v>2</v>
      </c>
      <c r="R1549" s="4">
        <v>24.2</v>
      </c>
      <c r="S1549">
        <v>0</v>
      </c>
      <c r="T1549">
        <v>1</v>
      </c>
    </row>
    <row r="1550" spans="1:20" ht="16.5" x14ac:dyDescent="0.3">
      <c r="A1550" t="s">
        <v>1599</v>
      </c>
      <c r="B1550" s="1">
        <v>45526</v>
      </c>
      <c r="C1550">
        <v>2024</v>
      </c>
      <c r="D1550" t="s">
        <v>1261</v>
      </c>
      <c r="E1550" t="s">
        <v>1454</v>
      </c>
      <c r="F1550" t="s">
        <v>57</v>
      </c>
      <c r="G1550" t="s">
        <v>39</v>
      </c>
      <c r="H1550" t="s">
        <v>36</v>
      </c>
      <c r="I1550" t="s">
        <v>31</v>
      </c>
      <c r="J1550" t="s">
        <v>27</v>
      </c>
      <c r="K1550" t="s">
        <v>32</v>
      </c>
      <c r="L1550" s="2">
        <v>6</v>
      </c>
      <c r="M1550" s="3">
        <v>260</v>
      </c>
      <c r="N1550">
        <v>5</v>
      </c>
      <c r="O1550">
        <v>4</v>
      </c>
      <c r="P1550">
        <v>1</v>
      </c>
      <c r="Q1550">
        <v>0</v>
      </c>
      <c r="R1550" s="4">
        <v>8.8000000000000007</v>
      </c>
      <c r="S1550">
        <v>0</v>
      </c>
      <c r="T1550">
        <v>1</v>
      </c>
    </row>
    <row r="1551" spans="1:20" ht="16.5" x14ac:dyDescent="0.3">
      <c r="A1551" t="s">
        <v>1600</v>
      </c>
      <c r="B1551" s="1">
        <v>45526</v>
      </c>
      <c r="C1551">
        <v>2024</v>
      </c>
      <c r="D1551" t="s">
        <v>1261</v>
      </c>
      <c r="E1551" t="s">
        <v>1454</v>
      </c>
      <c r="F1551" t="s">
        <v>34</v>
      </c>
      <c r="G1551" t="s">
        <v>39</v>
      </c>
      <c r="H1551" t="s">
        <v>43</v>
      </c>
      <c r="I1551" t="s">
        <v>40</v>
      </c>
      <c r="J1551" t="s">
        <v>41</v>
      </c>
      <c r="K1551" t="s">
        <v>28</v>
      </c>
      <c r="L1551" s="2">
        <v>31.2</v>
      </c>
      <c r="M1551" s="3">
        <v>945</v>
      </c>
      <c r="N1551">
        <v>3</v>
      </c>
      <c r="O1551">
        <v>3</v>
      </c>
      <c r="P1551">
        <v>1</v>
      </c>
      <c r="Q1551">
        <v>0</v>
      </c>
      <c r="R1551" s="4">
        <v>92.94</v>
      </c>
      <c r="S1551">
        <v>0</v>
      </c>
      <c r="T1551">
        <v>1</v>
      </c>
    </row>
    <row r="1552" spans="1:20" ht="16.5" x14ac:dyDescent="0.3">
      <c r="A1552" t="s">
        <v>1601</v>
      </c>
      <c r="B1552" s="1">
        <v>45527</v>
      </c>
      <c r="C1552">
        <v>2024</v>
      </c>
      <c r="D1552" t="s">
        <v>1261</v>
      </c>
      <c r="E1552" t="s">
        <v>1454</v>
      </c>
      <c r="F1552" t="s">
        <v>30</v>
      </c>
      <c r="G1552" t="s">
        <v>39</v>
      </c>
      <c r="H1552" t="s">
        <v>48</v>
      </c>
      <c r="I1552" t="s">
        <v>26</v>
      </c>
      <c r="J1552" t="s">
        <v>27</v>
      </c>
      <c r="K1552" t="s">
        <v>32</v>
      </c>
      <c r="L1552" s="2">
        <v>6.5</v>
      </c>
      <c r="M1552" s="3">
        <v>582</v>
      </c>
      <c r="N1552">
        <v>4</v>
      </c>
      <c r="O1552">
        <v>4</v>
      </c>
      <c r="P1552">
        <v>1</v>
      </c>
      <c r="Q1552">
        <v>0</v>
      </c>
      <c r="R1552" s="4">
        <v>18.47</v>
      </c>
      <c r="S1552">
        <v>0</v>
      </c>
      <c r="T1552">
        <v>1</v>
      </c>
    </row>
    <row r="1553" spans="1:20" ht="16.5" x14ac:dyDescent="0.3">
      <c r="A1553" t="s">
        <v>1602</v>
      </c>
      <c r="B1553" s="1">
        <v>45527</v>
      </c>
      <c r="C1553">
        <v>2024</v>
      </c>
      <c r="D1553" t="s">
        <v>1261</v>
      </c>
      <c r="E1553" t="s">
        <v>1454</v>
      </c>
      <c r="F1553" t="s">
        <v>30</v>
      </c>
      <c r="G1553" t="s">
        <v>35</v>
      </c>
      <c r="H1553" t="s">
        <v>48</v>
      </c>
      <c r="I1553" t="s">
        <v>26</v>
      </c>
      <c r="J1553" t="s">
        <v>27</v>
      </c>
      <c r="K1553" t="s">
        <v>32</v>
      </c>
      <c r="L1553" s="2">
        <v>2.5</v>
      </c>
      <c r="M1553" s="3">
        <v>478</v>
      </c>
      <c r="N1553">
        <v>4</v>
      </c>
      <c r="O1553">
        <v>3</v>
      </c>
      <c r="P1553">
        <v>1</v>
      </c>
      <c r="Q1553">
        <v>0</v>
      </c>
      <c r="R1553" s="4">
        <v>14.2</v>
      </c>
      <c r="S1553">
        <v>0</v>
      </c>
      <c r="T1553">
        <v>1</v>
      </c>
    </row>
    <row r="1554" spans="1:20" ht="16.5" x14ac:dyDescent="0.3">
      <c r="A1554" t="s">
        <v>1603</v>
      </c>
      <c r="B1554" s="1">
        <v>45527</v>
      </c>
      <c r="C1554">
        <v>2024</v>
      </c>
      <c r="D1554" t="s">
        <v>1261</v>
      </c>
      <c r="E1554" t="s">
        <v>1454</v>
      </c>
      <c r="F1554" t="s">
        <v>34</v>
      </c>
      <c r="G1554" t="s">
        <v>39</v>
      </c>
      <c r="H1554" t="s">
        <v>48</v>
      </c>
      <c r="I1554" t="s">
        <v>40</v>
      </c>
      <c r="J1554" t="s">
        <v>27</v>
      </c>
      <c r="K1554" t="s">
        <v>28</v>
      </c>
      <c r="L1554" s="2">
        <v>150</v>
      </c>
      <c r="M1554" s="3">
        <v>491</v>
      </c>
      <c r="N1554">
        <v>2</v>
      </c>
      <c r="O1554">
        <v>2</v>
      </c>
      <c r="P1554">
        <v>1</v>
      </c>
      <c r="Q1554">
        <v>0</v>
      </c>
      <c r="R1554" s="4">
        <v>109.11</v>
      </c>
      <c r="S1554">
        <v>0</v>
      </c>
      <c r="T1554">
        <v>1</v>
      </c>
    </row>
    <row r="1555" spans="1:20" ht="16.5" x14ac:dyDescent="0.3">
      <c r="A1555" t="s">
        <v>1604</v>
      </c>
      <c r="B1555" s="1">
        <v>45527</v>
      </c>
      <c r="C1555">
        <v>2024</v>
      </c>
      <c r="D1555" t="s">
        <v>1261</v>
      </c>
      <c r="E1555" t="s">
        <v>1454</v>
      </c>
      <c r="F1555" t="s">
        <v>30</v>
      </c>
      <c r="G1555" t="s">
        <v>35</v>
      </c>
      <c r="H1555" t="s">
        <v>43</v>
      </c>
      <c r="I1555" t="s">
        <v>31</v>
      </c>
      <c r="J1555" t="s">
        <v>27</v>
      </c>
      <c r="K1555" t="s">
        <v>32</v>
      </c>
      <c r="L1555" s="2">
        <v>2.9</v>
      </c>
      <c r="M1555" s="3">
        <v>1229</v>
      </c>
      <c r="N1555">
        <v>7</v>
      </c>
      <c r="O1555">
        <v>9</v>
      </c>
      <c r="P1555">
        <v>0</v>
      </c>
      <c r="Q1555">
        <v>2</v>
      </c>
      <c r="R1555" s="4">
        <v>14.58</v>
      </c>
      <c r="S1555">
        <v>0</v>
      </c>
      <c r="T1555">
        <v>1</v>
      </c>
    </row>
    <row r="1556" spans="1:20" ht="16.5" x14ac:dyDescent="0.3">
      <c r="A1556" t="s">
        <v>1605</v>
      </c>
      <c r="B1556" s="1">
        <v>45527</v>
      </c>
      <c r="C1556">
        <v>2024</v>
      </c>
      <c r="D1556" t="s">
        <v>1261</v>
      </c>
      <c r="E1556" t="s">
        <v>1454</v>
      </c>
      <c r="F1556" t="s">
        <v>30</v>
      </c>
      <c r="G1556" t="s">
        <v>35</v>
      </c>
      <c r="H1556" t="s">
        <v>36</v>
      </c>
      <c r="I1556" t="s">
        <v>26</v>
      </c>
      <c r="J1556" t="s">
        <v>27</v>
      </c>
      <c r="K1556" t="s">
        <v>32</v>
      </c>
      <c r="L1556" s="2">
        <v>5.7</v>
      </c>
      <c r="M1556" s="3">
        <v>188</v>
      </c>
      <c r="N1556">
        <v>3</v>
      </c>
      <c r="O1556">
        <v>2</v>
      </c>
      <c r="P1556">
        <v>1</v>
      </c>
      <c r="Q1556">
        <v>0</v>
      </c>
      <c r="R1556" s="4">
        <v>13.82</v>
      </c>
      <c r="S1556">
        <v>0</v>
      </c>
      <c r="T1556">
        <v>1</v>
      </c>
    </row>
    <row r="1557" spans="1:20" ht="16.5" x14ac:dyDescent="0.3">
      <c r="A1557" t="s">
        <v>1606</v>
      </c>
      <c r="B1557" s="1">
        <v>45527</v>
      </c>
      <c r="C1557">
        <v>2024</v>
      </c>
      <c r="D1557" t="s">
        <v>1261</v>
      </c>
      <c r="E1557" t="s">
        <v>1454</v>
      </c>
      <c r="F1557" t="s">
        <v>57</v>
      </c>
      <c r="G1557" t="s">
        <v>24</v>
      </c>
      <c r="H1557" t="s">
        <v>25</v>
      </c>
      <c r="I1557" t="s">
        <v>26</v>
      </c>
      <c r="J1557" t="s">
        <v>27</v>
      </c>
      <c r="K1557" t="s">
        <v>28</v>
      </c>
      <c r="L1557" s="2">
        <v>139.30000000000001</v>
      </c>
      <c r="M1557" s="3">
        <v>922</v>
      </c>
      <c r="N1557">
        <v>4</v>
      </c>
      <c r="O1557">
        <v>4</v>
      </c>
      <c r="P1557">
        <v>1</v>
      </c>
      <c r="Q1557">
        <v>0</v>
      </c>
      <c r="R1557" s="4">
        <v>87</v>
      </c>
      <c r="S1557">
        <v>0</v>
      </c>
      <c r="T1557">
        <v>1</v>
      </c>
    </row>
    <row r="1558" spans="1:20" ht="16.5" x14ac:dyDescent="0.3">
      <c r="A1558" t="s">
        <v>1607</v>
      </c>
      <c r="B1558" s="1">
        <v>45527</v>
      </c>
      <c r="C1558">
        <v>2024</v>
      </c>
      <c r="D1558" t="s">
        <v>1261</v>
      </c>
      <c r="E1558" t="s">
        <v>1454</v>
      </c>
      <c r="F1558" t="s">
        <v>57</v>
      </c>
      <c r="G1558" t="s">
        <v>35</v>
      </c>
      <c r="H1558" t="s">
        <v>48</v>
      </c>
      <c r="I1558" t="s">
        <v>31</v>
      </c>
      <c r="J1558" t="s">
        <v>27</v>
      </c>
      <c r="K1558" t="s">
        <v>32</v>
      </c>
      <c r="L1558" s="2">
        <v>5.7</v>
      </c>
      <c r="M1558" s="3">
        <v>403</v>
      </c>
      <c r="N1558">
        <v>6</v>
      </c>
      <c r="O1558">
        <v>11</v>
      </c>
      <c r="P1558">
        <v>0</v>
      </c>
      <c r="Q1558">
        <v>5</v>
      </c>
      <c r="R1558" s="4">
        <v>10.19</v>
      </c>
      <c r="S1558">
        <v>0</v>
      </c>
      <c r="T1558">
        <v>1</v>
      </c>
    </row>
    <row r="1559" spans="1:20" ht="16.5" x14ac:dyDescent="0.3">
      <c r="A1559" t="s">
        <v>1608</v>
      </c>
      <c r="B1559" s="1">
        <v>45528</v>
      </c>
      <c r="C1559">
        <v>2024</v>
      </c>
      <c r="D1559" t="s">
        <v>1261</v>
      </c>
      <c r="E1559" t="s">
        <v>1454</v>
      </c>
      <c r="F1559" t="s">
        <v>57</v>
      </c>
      <c r="G1559" t="s">
        <v>39</v>
      </c>
      <c r="H1559" t="s">
        <v>25</v>
      </c>
      <c r="I1559" t="s">
        <v>26</v>
      </c>
      <c r="J1559" t="s">
        <v>27</v>
      </c>
      <c r="K1559" t="s">
        <v>32</v>
      </c>
      <c r="L1559" s="2">
        <v>5.8</v>
      </c>
      <c r="M1559" s="3">
        <v>759</v>
      </c>
      <c r="N1559">
        <v>4</v>
      </c>
      <c r="O1559">
        <v>3</v>
      </c>
      <c r="P1559">
        <v>1</v>
      </c>
      <c r="Q1559">
        <v>0</v>
      </c>
      <c r="R1559" s="4">
        <v>19.98</v>
      </c>
      <c r="S1559">
        <v>0</v>
      </c>
      <c r="T1559">
        <v>1</v>
      </c>
    </row>
    <row r="1560" spans="1:20" ht="16.5" x14ac:dyDescent="0.3">
      <c r="A1560" t="s">
        <v>1609</v>
      </c>
      <c r="B1560" s="1">
        <v>45528</v>
      </c>
      <c r="C1560">
        <v>2024</v>
      </c>
      <c r="D1560" t="s">
        <v>1261</v>
      </c>
      <c r="E1560" t="s">
        <v>1454</v>
      </c>
      <c r="F1560" t="s">
        <v>38</v>
      </c>
      <c r="G1560" t="s">
        <v>39</v>
      </c>
      <c r="H1560" t="s">
        <v>36</v>
      </c>
      <c r="I1560" t="s">
        <v>40</v>
      </c>
      <c r="J1560" t="s">
        <v>27</v>
      </c>
      <c r="K1560" t="s">
        <v>32</v>
      </c>
      <c r="L1560" s="2">
        <v>2.2000000000000002</v>
      </c>
      <c r="M1560" s="3">
        <v>219</v>
      </c>
      <c r="N1560">
        <v>1</v>
      </c>
      <c r="O1560">
        <v>1</v>
      </c>
      <c r="P1560">
        <v>1</v>
      </c>
      <c r="Q1560">
        <v>0</v>
      </c>
      <c r="R1560" s="4">
        <v>22.52</v>
      </c>
      <c r="S1560">
        <v>0</v>
      </c>
      <c r="T1560">
        <v>1</v>
      </c>
    </row>
    <row r="1561" spans="1:20" ht="16.5" x14ac:dyDescent="0.3">
      <c r="A1561" t="s">
        <v>1610</v>
      </c>
      <c r="B1561" s="1">
        <v>45529</v>
      </c>
      <c r="C1561">
        <v>2024</v>
      </c>
      <c r="D1561" t="s">
        <v>1261</v>
      </c>
      <c r="E1561" t="s">
        <v>1454</v>
      </c>
      <c r="F1561" t="s">
        <v>34</v>
      </c>
      <c r="G1561" t="s">
        <v>35</v>
      </c>
      <c r="H1561" t="s">
        <v>48</v>
      </c>
      <c r="I1561" t="s">
        <v>31</v>
      </c>
      <c r="J1561" t="s">
        <v>27</v>
      </c>
      <c r="K1561" t="s">
        <v>28</v>
      </c>
      <c r="L1561" s="2">
        <v>47.5</v>
      </c>
      <c r="M1561" s="3">
        <v>436</v>
      </c>
      <c r="N1561">
        <v>6</v>
      </c>
      <c r="O1561">
        <v>10</v>
      </c>
      <c r="P1561">
        <v>0</v>
      </c>
      <c r="Q1561">
        <v>4</v>
      </c>
      <c r="R1561" s="4">
        <v>22.45</v>
      </c>
      <c r="S1561">
        <v>0</v>
      </c>
      <c r="T1561">
        <v>1</v>
      </c>
    </row>
    <row r="1562" spans="1:20" ht="16.5" x14ac:dyDescent="0.3">
      <c r="A1562" t="s">
        <v>1611</v>
      </c>
      <c r="B1562" s="1">
        <v>45529</v>
      </c>
      <c r="C1562">
        <v>2024</v>
      </c>
      <c r="D1562" t="s">
        <v>1261</v>
      </c>
      <c r="E1562" t="s">
        <v>1454</v>
      </c>
      <c r="F1562" t="s">
        <v>34</v>
      </c>
      <c r="G1562" t="s">
        <v>35</v>
      </c>
      <c r="H1562" t="s">
        <v>48</v>
      </c>
      <c r="I1562" t="s">
        <v>26</v>
      </c>
      <c r="J1562" t="s">
        <v>27</v>
      </c>
      <c r="K1562" t="s">
        <v>28</v>
      </c>
      <c r="L1562" s="2">
        <v>160.69999999999999</v>
      </c>
      <c r="M1562" s="3">
        <v>527</v>
      </c>
      <c r="N1562">
        <v>4</v>
      </c>
      <c r="O1562">
        <v>3</v>
      </c>
      <c r="P1562">
        <v>1</v>
      </c>
      <c r="Q1562">
        <v>0</v>
      </c>
      <c r="R1562" s="4">
        <v>64.349999999999994</v>
      </c>
      <c r="S1562">
        <v>0</v>
      </c>
      <c r="T1562">
        <v>1</v>
      </c>
    </row>
    <row r="1563" spans="1:20" ht="16.5" x14ac:dyDescent="0.3">
      <c r="A1563" t="s">
        <v>1612</v>
      </c>
      <c r="B1563" s="1">
        <v>45529</v>
      </c>
      <c r="C1563">
        <v>2024</v>
      </c>
      <c r="D1563" t="s">
        <v>1261</v>
      </c>
      <c r="E1563" t="s">
        <v>1454</v>
      </c>
      <c r="F1563" t="s">
        <v>23</v>
      </c>
      <c r="G1563" t="s">
        <v>24</v>
      </c>
      <c r="H1563" t="s">
        <v>48</v>
      </c>
      <c r="I1563" t="s">
        <v>26</v>
      </c>
      <c r="J1563" t="s">
        <v>27</v>
      </c>
      <c r="K1563" t="s">
        <v>28</v>
      </c>
      <c r="L1563" s="2">
        <v>179.1</v>
      </c>
      <c r="M1563" s="3">
        <v>584</v>
      </c>
      <c r="N1563">
        <v>4</v>
      </c>
      <c r="O1563">
        <v>3</v>
      </c>
      <c r="P1563">
        <v>1</v>
      </c>
      <c r="Q1563">
        <v>0</v>
      </c>
      <c r="R1563" s="4">
        <v>93.94</v>
      </c>
      <c r="S1563">
        <v>0</v>
      </c>
      <c r="T1563">
        <v>1</v>
      </c>
    </row>
    <row r="1564" spans="1:20" ht="16.5" x14ac:dyDescent="0.3">
      <c r="A1564" t="s">
        <v>1613</v>
      </c>
      <c r="B1564" s="1">
        <v>45530</v>
      </c>
      <c r="C1564">
        <v>2024</v>
      </c>
      <c r="D1564" t="s">
        <v>1261</v>
      </c>
      <c r="E1564" t="s">
        <v>1454</v>
      </c>
      <c r="F1564" t="s">
        <v>30</v>
      </c>
      <c r="G1564" t="s">
        <v>39</v>
      </c>
      <c r="H1564" t="s">
        <v>36</v>
      </c>
      <c r="I1564" t="s">
        <v>31</v>
      </c>
      <c r="J1564" t="s">
        <v>27</v>
      </c>
      <c r="K1564" t="s">
        <v>28</v>
      </c>
      <c r="L1564" s="2">
        <v>25.5</v>
      </c>
      <c r="M1564" s="3">
        <v>208</v>
      </c>
      <c r="N1564">
        <v>5</v>
      </c>
      <c r="O1564">
        <v>5</v>
      </c>
      <c r="P1564">
        <v>1</v>
      </c>
      <c r="Q1564">
        <v>0</v>
      </c>
      <c r="R1564" s="4">
        <v>16.02</v>
      </c>
      <c r="S1564">
        <v>0</v>
      </c>
      <c r="T1564">
        <v>1</v>
      </c>
    </row>
    <row r="1565" spans="1:20" ht="16.5" x14ac:dyDescent="0.3">
      <c r="A1565" t="s">
        <v>1614</v>
      </c>
      <c r="B1565" s="1">
        <v>45530</v>
      </c>
      <c r="C1565">
        <v>2024</v>
      </c>
      <c r="D1565" t="s">
        <v>1261</v>
      </c>
      <c r="E1565" t="s">
        <v>1454</v>
      </c>
      <c r="F1565" t="s">
        <v>34</v>
      </c>
      <c r="G1565" t="s">
        <v>35</v>
      </c>
      <c r="H1565" t="s">
        <v>43</v>
      </c>
      <c r="I1565" t="s">
        <v>26</v>
      </c>
      <c r="J1565" t="s">
        <v>27</v>
      </c>
      <c r="K1565" t="s">
        <v>32</v>
      </c>
      <c r="L1565" s="2">
        <v>5.3</v>
      </c>
      <c r="M1565" s="3">
        <v>741</v>
      </c>
      <c r="N1565">
        <v>5</v>
      </c>
      <c r="O1565">
        <v>4</v>
      </c>
      <c r="P1565">
        <v>1</v>
      </c>
      <c r="Q1565">
        <v>0</v>
      </c>
      <c r="R1565" s="4">
        <v>15.6</v>
      </c>
      <c r="S1565">
        <v>0</v>
      </c>
      <c r="T1565">
        <v>1</v>
      </c>
    </row>
    <row r="1566" spans="1:20" ht="16.5" x14ac:dyDescent="0.3">
      <c r="A1566" t="s">
        <v>1615</v>
      </c>
      <c r="B1566" s="1">
        <v>45530</v>
      </c>
      <c r="C1566">
        <v>2024</v>
      </c>
      <c r="D1566" t="s">
        <v>1261</v>
      </c>
      <c r="E1566" t="s">
        <v>1454</v>
      </c>
      <c r="F1566" t="s">
        <v>34</v>
      </c>
      <c r="G1566" t="s">
        <v>39</v>
      </c>
      <c r="H1566" t="s">
        <v>36</v>
      </c>
      <c r="I1566" t="s">
        <v>26</v>
      </c>
      <c r="J1566" t="s">
        <v>27</v>
      </c>
      <c r="K1566" t="s">
        <v>32</v>
      </c>
      <c r="L1566" s="2">
        <v>2.7</v>
      </c>
      <c r="M1566" s="3">
        <v>276</v>
      </c>
      <c r="N1566">
        <v>3</v>
      </c>
      <c r="O1566">
        <v>2</v>
      </c>
      <c r="P1566">
        <v>1</v>
      </c>
      <c r="Q1566">
        <v>0</v>
      </c>
      <c r="R1566" s="4">
        <v>10.15</v>
      </c>
      <c r="S1566">
        <v>0</v>
      </c>
      <c r="T1566">
        <v>1</v>
      </c>
    </row>
    <row r="1567" spans="1:20" ht="16.5" x14ac:dyDescent="0.3">
      <c r="A1567" t="s">
        <v>1616</v>
      </c>
      <c r="B1567" s="1">
        <v>45530</v>
      </c>
      <c r="C1567">
        <v>2024</v>
      </c>
      <c r="D1567" t="s">
        <v>1261</v>
      </c>
      <c r="E1567" t="s">
        <v>1454</v>
      </c>
      <c r="F1567" t="s">
        <v>34</v>
      </c>
      <c r="G1567" t="s">
        <v>39</v>
      </c>
      <c r="H1567" t="s">
        <v>51</v>
      </c>
      <c r="I1567" t="s">
        <v>26</v>
      </c>
      <c r="J1567" t="s">
        <v>27</v>
      </c>
      <c r="K1567" t="s">
        <v>28</v>
      </c>
      <c r="L1567" s="2">
        <v>223</v>
      </c>
      <c r="M1567" s="3">
        <v>993</v>
      </c>
      <c r="N1567">
        <v>5</v>
      </c>
      <c r="O1567">
        <v>5</v>
      </c>
      <c r="P1567">
        <v>1</v>
      </c>
      <c r="Q1567">
        <v>0</v>
      </c>
      <c r="R1567" s="4">
        <v>86.33</v>
      </c>
      <c r="S1567">
        <v>0</v>
      </c>
      <c r="T1567">
        <v>1</v>
      </c>
    </row>
    <row r="1568" spans="1:20" ht="16.5" x14ac:dyDescent="0.3">
      <c r="A1568" t="s">
        <v>1617</v>
      </c>
      <c r="B1568" s="1">
        <v>45530</v>
      </c>
      <c r="C1568">
        <v>2024</v>
      </c>
      <c r="D1568" t="s">
        <v>1261</v>
      </c>
      <c r="E1568" t="s">
        <v>1454</v>
      </c>
      <c r="F1568" t="s">
        <v>34</v>
      </c>
      <c r="G1568" t="s">
        <v>39</v>
      </c>
      <c r="H1568" t="s">
        <v>36</v>
      </c>
      <c r="I1568" t="s">
        <v>26</v>
      </c>
      <c r="J1568" t="s">
        <v>27</v>
      </c>
      <c r="K1568" t="s">
        <v>28</v>
      </c>
      <c r="L1568" s="2">
        <v>113.7</v>
      </c>
      <c r="M1568" s="3">
        <v>255</v>
      </c>
      <c r="N1568">
        <v>3</v>
      </c>
      <c r="O1568">
        <v>3</v>
      </c>
      <c r="P1568">
        <v>1</v>
      </c>
      <c r="Q1568">
        <v>0</v>
      </c>
      <c r="R1568" s="4">
        <v>46.26</v>
      </c>
      <c r="S1568">
        <v>0</v>
      </c>
      <c r="T1568">
        <v>1</v>
      </c>
    </row>
    <row r="1569" spans="1:20" ht="16.5" x14ac:dyDescent="0.3">
      <c r="A1569" t="s">
        <v>1618</v>
      </c>
      <c r="B1569" s="1">
        <v>45530</v>
      </c>
      <c r="C1569">
        <v>2024</v>
      </c>
      <c r="D1569" t="s">
        <v>1261</v>
      </c>
      <c r="E1569" t="s">
        <v>1454</v>
      </c>
      <c r="F1569" t="s">
        <v>57</v>
      </c>
      <c r="G1569" t="s">
        <v>35</v>
      </c>
      <c r="H1569" t="s">
        <v>48</v>
      </c>
      <c r="I1569" t="s">
        <v>26</v>
      </c>
      <c r="J1569" t="s">
        <v>27</v>
      </c>
      <c r="K1569" t="s">
        <v>32</v>
      </c>
      <c r="L1569" s="2">
        <v>5.7</v>
      </c>
      <c r="M1569" s="3">
        <v>392</v>
      </c>
      <c r="N1569">
        <v>4</v>
      </c>
      <c r="O1569">
        <v>4</v>
      </c>
      <c r="P1569">
        <v>1</v>
      </c>
      <c r="Q1569">
        <v>0</v>
      </c>
      <c r="R1569" s="4">
        <v>13</v>
      </c>
      <c r="S1569">
        <v>0</v>
      </c>
      <c r="T1569">
        <v>1</v>
      </c>
    </row>
    <row r="1570" spans="1:20" ht="16.5" x14ac:dyDescent="0.3">
      <c r="A1570" t="s">
        <v>1619</v>
      </c>
      <c r="B1570" s="1">
        <v>45531</v>
      </c>
      <c r="C1570">
        <v>2024</v>
      </c>
      <c r="D1570" t="s">
        <v>1261</v>
      </c>
      <c r="E1570" t="s">
        <v>1454</v>
      </c>
      <c r="F1570" t="s">
        <v>57</v>
      </c>
      <c r="G1570" t="s">
        <v>35</v>
      </c>
      <c r="H1570" t="s">
        <v>25</v>
      </c>
      <c r="I1570" t="s">
        <v>26</v>
      </c>
      <c r="J1570" t="s">
        <v>27</v>
      </c>
      <c r="K1570" t="s">
        <v>28</v>
      </c>
      <c r="L1570" s="2">
        <v>39</v>
      </c>
      <c r="M1570" s="3">
        <v>1141</v>
      </c>
      <c r="N1570">
        <v>4</v>
      </c>
      <c r="O1570">
        <v>4</v>
      </c>
      <c r="P1570">
        <v>1</v>
      </c>
      <c r="Q1570">
        <v>0</v>
      </c>
      <c r="R1570" s="4">
        <v>42.98</v>
      </c>
      <c r="S1570">
        <v>0</v>
      </c>
      <c r="T1570">
        <v>1</v>
      </c>
    </row>
    <row r="1571" spans="1:20" ht="16.5" x14ac:dyDescent="0.3">
      <c r="A1571" t="s">
        <v>1620</v>
      </c>
      <c r="B1571" s="1">
        <v>45531</v>
      </c>
      <c r="C1571">
        <v>2024</v>
      </c>
      <c r="D1571" t="s">
        <v>1261</v>
      </c>
      <c r="E1571" t="s">
        <v>1454</v>
      </c>
      <c r="F1571" t="s">
        <v>23</v>
      </c>
      <c r="G1571" t="s">
        <v>35</v>
      </c>
      <c r="H1571" t="s">
        <v>48</v>
      </c>
      <c r="I1571" t="s">
        <v>26</v>
      </c>
      <c r="J1571" t="s">
        <v>27</v>
      </c>
      <c r="K1571" t="s">
        <v>28</v>
      </c>
      <c r="L1571" s="2">
        <v>29.6</v>
      </c>
      <c r="M1571" s="3">
        <v>568</v>
      </c>
      <c r="N1571">
        <v>4</v>
      </c>
      <c r="O1571">
        <v>3</v>
      </c>
      <c r="P1571">
        <v>1</v>
      </c>
      <c r="Q1571">
        <v>0</v>
      </c>
      <c r="R1571" s="4">
        <v>27.16</v>
      </c>
      <c r="S1571">
        <v>0</v>
      </c>
      <c r="T1571">
        <v>1</v>
      </c>
    </row>
    <row r="1572" spans="1:20" ht="16.5" x14ac:dyDescent="0.3">
      <c r="A1572" t="s">
        <v>1621</v>
      </c>
      <c r="B1572" s="1">
        <v>45531</v>
      </c>
      <c r="C1572">
        <v>2024</v>
      </c>
      <c r="D1572" t="s">
        <v>1261</v>
      </c>
      <c r="E1572" t="s">
        <v>1454</v>
      </c>
      <c r="F1572" t="s">
        <v>57</v>
      </c>
      <c r="G1572" t="s">
        <v>35</v>
      </c>
      <c r="H1572" t="s">
        <v>25</v>
      </c>
      <c r="I1572" t="s">
        <v>26</v>
      </c>
      <c r="J1572" t="s">
        <v>27</v>
      </c>
      <c r="K1572" t="s">
        <v>32</v>
      </c>
      <c r="L1572" s="2">
        <v>3.8</v>
      </c>
      <c r="M1572" s="3">
        <v>827</v>
      </c>
      <c r="N1572">
        <v>4</v>
      </c>
      <c r="O1572">
        <v>3</v>
      </c>
      <c r="P1572">
        <v>1</v>
      </c>
      <c r="Q1572">
        <v>0</v>
      </c>
      <c r="R1572" s="4">
        <v>16.55</v>
      </c>
      <c r="S1572">
        <v>0</v>
      </c>
      <c r="T1572">
        <v>1</v>
      </c>
    </row>
    <row r="1573" spans="1:20" ht="16.5" x14ac:dyDescent="0.3">
      <c r="A1573" t="s">
        <v>1622</v>
      </c>
      <c r="B1573" s="1">
        <v>45531</v>
      </c>
      <c r="C1573">
        <v>2024</v>
      </c>
      <c r="D1573" t="s">
        <v>1261</v>
      </c>
      <c r="E1573" t="s">
        <v>1454</v>
      </c>
      <c r="F1573" t="s">
        <v>34</v>
      </c>
      <c r="G1573" t="s">
        <v>35</v>
      </c>
      <c r="H1573" t="s">
        <v>43</v>
      </c>
      <c r="I1573" t="s">
        <v>31</v>
      </c>
      <c r="J1573" t="s">
        <v>27</v>
      </c>
      <c r="K1573" t="s">
        <v>32</v>
      </c>
      <c r="L1573" s="2">
        <v>5.3</v>
      </c>
      <c r="M1573" s="3">
        <v>1142</v>
      </c>
      <c r="N1573">
        <v>7</v>
      </c>
      <c r="O1573">
        <v>7</v>
      </c>
      <c r="P1573">
        <v>1</v>
      </c>
      <c r="Q1573">
        <v>0</v>
      </c>
      <c r="R1573" s="4">
        <v>15.17</v>
      </c>
      <c r="S1573">
        <v>0</v>
      </c>
      <c r="T1573">
        <v>1</v>
      </c>
    </row>
    <row r="1574" spans="1:20" ht="16.5" x14ac:dyDescent="0.3">
      <c r="A1574" t="s">
        <v>1623</v>
      </c>
      <c r="B1574" s="1">
        <v>45531</v>
      </c>
      <c r="C1574">
        <v>2024</v>
      </c>
      <c r="D1574" t="s">
        <v>1261</v>
      </c>
      <c r="E1574" t="s">
        <v>1454</v>
      </c>
      <c r="F1574" t="s">
        <v>23</v>
      </c>
      <c r="G1574" t="s">
        <v>39</v>
      </c>
      <c r="H1574" t="s">
        <v>51</v>
      </c>
      <c r="I1574" t="s">
        <v>26</v>
      </c>
      <c r="J1574" t="s">
        <v>27</v>
      </c>
      <c r="K1574" t="s">
        <v>32</v>
      </c>
      <c r="L1574" s="2">
        <v>1.2</v>
      </c>
      <c r="M1574" s="3">
        <v>1069</v>
      </c>
      <c r="N1574">
        <v>5</v>
      </c>
      <c r="O1574">
        <v>4</v>
      </c>
      <c r="P1574">
        <v>1</v>
      </c>
      <c r="Q1574">
        <v>0</v>
      </c>
      <c r="R1574" s="4">
        <v>16.5</v>
      </c>
      <c r="S1574">
        <v>0</v>
      </c>
      <c r="T1574">
        <v>1</v>
      </c>
    </row>
    <row r="1575" spans="1:20" ht="16.5" x14ac:dyDescent="0.3">
      <c r="A1575" t="s">
        <v>1624</v>
      </c>
      <c r="B1575" s="1">
        <v>45531</v>
      </c>
      <c r="C1575">
        <v>2024</v>
      </c>
      <c r="D1575" t="s">
        <v>1261</v>
      </c>
      <c r="E1575" t="s">
        <v>1454</v>
      </c>
      <c r="F1575" t="s">
        <v>34</v>
      </c>
      <c r="G1575" t="s">
        <v>39</v>
      </c>
      <c r="H1575" t="s">
        <v>36</v>
      </c>
      <c r="I1575" t="s">
        <v>26</v>
      </c>
      <c r="J1575" t="s">
        <v>27</v>
      </c>
      <c r="K1575" t="s">
        <v>32</v>
      </c>
      <c r="L1575" s="2">
        <v>10.1</v>
      </c>
      <c r="M1575" s="3">
        <v>314</v>
      </c>
      <c r="N1575">
        <v>3</v>
      </c>
      <c r="O1575">
        <v>3</v>
      </c>
      <c r="P1575">
        <v>1</v>
      </c>
      <c r="Q1575">
        <v>0</v>
      </c>
      <c r="R1575" s="4">
        <v>13.14</v>
      </c>
      <c r="S1575">
        <v>0</v>
      </c>
      <c r="T1575">
        <v>1</v>
      </c>
    </row>
    <row r="1576" spans="1:20" ht="16.5" x14ac:dyDescent="0.3">
      <c r="A1576" t="s">
        <v>1625</v>
      </c>
      <c r="B1576" s="1">
        <v>45532</v>
      </c>
      <c r="C1576">
        <v>2024</v>
      </c>
      <c r="D1576" t="s">
        <v>1261</v>
      </c>
      <c r="E1576" t="s">
        <v>1454</v>
      </c>
      <c r="F1576" t="s">
        <v>34</v>
      </c>
      <c r="G1576" t="s">
        <v>35</v>
      </c>
      <c r="H1576" t="s">
        <v>51</v>
      </c>
      <c r="I1576" t="s">
        <v>26</v>
      </c>
      <c r="J1576" t="s">
        <v>27</v>
      </c>
      <c r="K1576" t="s">
        <v>32</v>
      </c>
      <c r="L1576" s="2">
        <v>5</v>
      </c>
      <c r="M1576" s="3">
        <v>1014</v>
      </c>
      <c r="N1576">
        <v>5</v>
      </c>
      <c r="O1576">
        <v>9</v>
      </c>
      <c r="P1576">
        <v>0</v>
      </c>
      <c r="Q1576">
        <v>4</v>
      </c>
      <c r="R1576" s="4">
        <v>18.600000000000001</v>
      </c>
      <c r="S1576">
        <v>0</v>
      </c>
      <c r="T1576">
        <v>1</v>
      </c>
    </row>
    <row r="1577" spans="1:20" ht="16.5" x14ac:dyDescent="0.3">
      <c r="A1577" t="s">
        <v>1626</v>
      </c>
      <c r="B1577" s="1">
        <v>45532</v>
      </c>
      <c r="C1577">
        <v>2024</v>
      </c>
      <c r="D1577" t="s">
        <v>1261</v>
      </c>
      <c r="E1577" t="s">
        <v>1454</v>
      </c>
      <c r="F1577" t="s">
        <v>57</v>
      </c>
      <c r="G1577" t="s">
        <v>35</v>
      </c>
      <c r="H1577" t="s">
        <v>36</v>
      </c>
      <c r="I1577" t="s">
        <v>31</v>
      </c>
      <c r="J1577" t="s">
        <v>27</v>
      </c>
      <c r="K1577" t="s">
        <v>32</v>
      </c>
      <c r="L1577" s="2">
        <v>3</v>
      </c>
      <c r="M1577" s="3">
        <v>320</v>
      </c>
      <c r="N1577">
        <v>5</v>
      </c>
      <c r="O1577">
        <v>5</v>
      </c>
      <c r="P1577">
        <v>1</v>
      </c>
      <c r="Q1577">
        <v>0</v>
      </c>
      <c r="R1577" s="4">
        <v>8.5500000000000007</v>
      </c>
      <c r="S1577">
        <v>0</v>
      </c>
      <c r="T1577">
        <v>1</v>
      </c>
    </row>
    <row r="1578" spans="1:20" ht="16.5" x14ac:dyDescent="0.3">
      <c r="A1578" t="s">
        <v>1627</v>
      </c>
      <c r="B1578" s="1">
        <v>45532</v>
      </c>
      <c r="C1578">
        <v>2024</v>
      </c>
      <c r="D1578" t="s">
        <v>1261</v>
      </c>
      <c r="E1578" t="s">
        <v>1454</v>
      </c>
      <c r="F1578" t="s">
        <v>38</v>
      </c>
      <c r="G1578" t="s">
        <v>35</v>
      </c>
      <c r="H1578" t="s">
        <v>36</v>
      </c>
      <c r="I1578" t="s">
        <v>26</v>
      </c>
      <c r="J1578" t="s">
        <v>27</v>
      </c>
      <c r="K1578" t="s">
        <v>28</v>
      </c>
      <c r="L1578" s="2">
        <v>127.9</v>
      </c>
      <c r="M1578" s="3">
        <v>253</v>
      </c>
      <c r="N1578">
        <v>3</v>
      </c>
      <c r="O1578">
        <v>2</v>
      </c>
      <c r="P1578">
        <v>1</v>
      </c>
      <c r="Q1578">
        <v>0</v>
      </c>
      <c r="R1578" s="4">
        <v>71.03</v>
      </c>
      <c r="S1578">
        <v>0</v>
      </c>
      <c r="T1578">
        <v>1</v>
      </c>
    </row>
    <row r="1579" spans="1:20" ht="16.5" x14ac:dyDescent="0.3">
      <c r="A1579" t="s">
        <v>1628</v>
      </c>
      <c r="B1579" s="1">
        <v>45532</v>
      </c>
      <c r="C1579">
        <v>2024</v>
      </c>
      <c r="D1579" t="s">
        <v>1261</v>
      </c>
      <c r="E1579" t="s">
        <v>1454</v>
      </c>
      <c r="F1579" t="s">
        <v>30</v>
      </c>
      <c r="G1579" t="s">
        <v>35</v>
      </c>
      <c r="H1579" t="s">
        <v>51</v>
      </c>
      <c r="I1579" t="s">
        <v>26</v>
      </c>
      <c r="J1579" t="s">
        <v>27</v>
      </c>
      <c r="K1579" t="s">
        <v>28</v>
      </c>
      <c r="L1579" s="2">
        <v>153.4</v>
      </c>
      <c r="M1579" s="3">
        <v>1124</v>
      </c>
      <c r="N1579">
        <v>5</v>
      </c>
      <c r="O1579">
        <v>5</v>
      </c>
      <c r="P1579">
        <v>1</v>
      </c>
      <c r="Q1579">
        <v>0</v>
      </c>
      <c r="R1579" s="4">
        <v>91.57</v>
      </c>
      <c r="S1579">
        <v>0</v>
      </c>
      <c r="T1579">
        <v>1</v>
      </c>
    </row>
    <row r="1580" spans="1:20" ht="16.5" x14ac:dyDescent="0.3">
      <c r="A1580" t="s">
        <v>1629</v>
      </c>
      <c r="B1580" s="1">
        <v>45532</v>
      </c>
      <c r="C1580">
        <v>2024</v>
      </c>
      <c r="D1580" t="s">
        <v>1261</v>
      </c>
      <c r="E1580" t="s">
        <v>1454</v>
      </c>
      <c r="F1580" t="s">
        <v>30</v>
      </c>
      <c r="G1580" t="s">
        <v>39</v>
      </c>
      <c r="H1580" t="s">
        <v>25</v>
      </c>
      <c r="I1580" t="s">
        <v>26</v>
      </c>
      <c r="J1580" t="s">
        <v>27</v>
      </c>
      <c r="K1580" t="s">
        <v>28</v>
      </c>
      <c r="L1580" s="2">
        <v>82.6</v>
      </c>
      <c r="M1580" s="3">
        <v>882</v>
      </c>
      <c r="N1580">
        <v>4</v>
      </c>
      <c r="O1580">
        <v>4</v>
      </c>
      <c r="P1580">
        <v>1</v>
      </c>
      <c r="Q1580">
        <v>0</v>
      </c>
      <c r="R1580" s="4">
        <v>54.86</v>
      </c>
      <c r="S1580">
        <v>0</v>
      </c>
      <c r="T1580">
        <v>1</v>
      </c>
    </row>
    <row r="1581" spans="1:20" ht="16.5" x14ac:dyDescent="0.3">
      <c r="A1581" t="s">
        <v>1630</v>
      </c>
      <c r="B1581" s="1">
        <v>45532</v>
      </c>
      <c r="C1581">
        <v>2024</v>
      </c>
      <c r="D1581" t="s">
        <v>1261</v>
      </c>
      <c r="E1581" t="s">
        <v>1454</v>
      </c>
      <c r="F1581" t="s">
        <v>34</v>
      </c>
      <c r="G1581" t="s">
        <v>39</v>
      </c>
      <c r="H1581" t="s">
        <v>48</v>
      </c>
      <c r="I1581" t="s">
        <v>26</v>
      </c>
      <c r="J1581" t="s">
        <v>27</v>
      </c>
      <c r="K1581" t="s">
        <v>28</v>
      </c>
      <c r="L1581" s="2">
        <v>497.1</v>
      </c>
      <c r="M1581" s="3">
        <v>563</v>
      </c>
      <c r="N1581">
        <v>4</v>
      </c>
      <c r="O1581">
        <v>7</v>
      </c>
      <c r="P1581">
        <v>0</v>
      </c>
      <c r="Q1581">
        <v>3</v>
      </c>
      <c r="R1581" s="4">
        <v>164.62</v>
      </c>
      <c r="S1581">
        <v>0</v>
      </c>
      <c r="T1581">
        <v>1</v>
      </c>
    </row>
    <row r="1582" spans="1:20" ht="16.5" x14ac:dyDescent="0.3">
      <c r="A1582" t="s">
        <v>1631</v>
      </c>
      <c r="B1582" s="1">
        <v>45532</v>
      </c>
      <c r="C1582">
        <v>2024</v>
      </c>
      <c r="D1582" t="s">
        <v>1261</v>
      </c>
      <c r="E1582" t="s">
        <v>1454</v>
      </c>
      <c r="F1582" t="s">
        <v>30</v>
      </c>
      <c r="G1582" t="s">
        <v>39</v>
      </c>
      <c r="H1582" t="s">
        <v>51</v>
      </c>
      <c r="I1582" t="s">
        <v>31</v>
      </c>
      <c r="J1582" t="s">
        <v>27</v>
      </c>
      <c r="K1582" t="s">
        <v>28</v>
      </c>
      <c r="L1582" s="2">
        <v>112.2</v>
      </c>
      <c r="M1582" s="3">
        <v>1072</v>
      </c>
      <c r="N1582">
        <v>7</v>
      </c>
      <c r="O1582">
        <v>7</v>
      </c>
      <c r="P1582">
        <v>1</v>
      </c>
      <c r="Q1582">
        <v>0</v>
      </c>
      <c r="R1582" s="4">
        <v>52.79</v>
      </c>
      <c r="S1582">
        <v>0</v>
      </c>
      <c r="T1582">
        <v>1</v>
      </c>
    </row>
    <row r="1583" spans="1:20" ht="16.5" x14ac:dyDescent="0.3">
      <c r="A1583" t="s">
        <v>1632</v>
      </c>
      <c r="B1583" s="1">
        <v>45533</v>
      </c>
      <c r="C1583">
        <v>2024</v>
      </c>
      <c r="D1583" t="s">
        <v>1261</v>
      </c>
      <c r="E1583" t="s">
        <v>1454</v>
      </c>
      <c r="F1583" t="s">
        <v>57</v>
      </c>
      <c r="G1583" t="s">
        <v>35</v>
      </c>
      <c r="H1583" t="s">
        <v>25</v>
      </c>
      <c r="I1583" t="s">
        <v>40</v>
      </c>
      <c r="J1583" t="s">
        <v>41</v>
      </c>
      <c r="K1583" t="s">
        <v>32</v>
      </c>
      <c r="L1583" s="2">
        <v>7.2</v>
      </c>
      <c r="M1583" s="3">
        <v>1107</v>
      </c>
      <c r="N1583">
        <v>2</v>
      </c>
      <c r="O1583">
        <v>2</v>
      </c>
      <c r="P1583">
        <v>1</v>
      </c>
      <c r="Q1583">
        <v>0</v>
      </c>
      <c r="R1583" s="4">
        <v>72.25</v>
      </c>
      <c r="S1583">
        <v>0</v>
      </c>
      <c r="T1583">
        <v>1</v>
      </c>
    </row>
    <row r="1584" spans="1:20" ht="16.5" x14ac:dyDescent="0.3">
      <c r="A1584" t="s">
        <v>1633</v>
      </c>
      <c r="B1584" s="1">
        <v>45533</v>
      </c>
      <c r="C1584">
        <v>2024</v>
      </c>
      <c r="D1584" t="s">
        <v>1261</v>
      </c>
      <c r="E1584" t="s">
        <v>1454</v>
      </c>
      <c r="F1584" t="s">
        <v>30</v>
      </c>
      <c r="G1584" t="s">
        <v>35</v>
      </c>
      <c r="H1584" t="s">
        <v>25</v>
      </c>
      <c r="I1584" t="s">
        <v>31</v>
      </c>
      <c r="J1584" t="s">
        <v>27</v>
      </c>
      <c r="K1584" t="s">
        <v>28</v>
      </c>
      <c r="L1584" s="2">
        <v>61.6</v>
      </c>
      <c r="M1584" s="3">
        <v>977</v>
      </c>
      <c r="N1584">
        <v>6</v>
      </c>
      <c r="O1584">
        <v>6</v>
      </c>
      <c r="P1584">
        <v>1</v>
      </c>
      <c r="Q1584">
        <v>0</v>
      </c>
      <c r="R1584" s="4">
        <v>37.979999999999997</v>
      </c>
      <c r="S1584">
        <v>0</v>
      </c>
      <c r="T1584">
        <v>1</v>
      </c>
    </row>
    <row r="1585" spans="1:20" ht="16.5" x14ac:dyDescent="0.3">
      <c r="A1585" t="s">
        <v>1634</v>
      </c>
      <c r="B1585" s="1">
        <v>45533</v>
      </c>
      <c r="C1585">
        <v>2024</v>
      </c>
      <c r="D1585" t="s">
        <v>1261</v>
      </c>
      <c r="E1585" t="s">
        <v>1454</v>
      </c>
      <c r="F1585" t="s">
        <v>57</v>
      </c>
      <c r="G1585" t="s">
        <v>35</v>
      </c>
      <c r="H1585" t="s">
        <v>36</v>
      </c>
      <c r="I1585" t="s">
        <v>26</v>
      </c>
      <c r="J1585" t="s">
        <v>27</v>
      </c>
      <c r="K1585" t="s">
        <v>32</v>
      </c>
      <c r="L1585" s="2">
        <v>10.9</v>
      </c>
      <c r="M1585" s="3">
        <v>249</v>
      </c>
      <c r="N1585">
        <v>3</v>
      </c>
      <c r="O1585">
        <v>7</v>
      </c>
      <c r="P1585">
        <v>0</v>
      </c>
      <c r="Q1585">
        <v>4</v>
      </c>
      <c r="R1585" s="4">
        <v>16.54</v>
      </c>
      <c r="S1585">
        <v>0</v>
      </c>
      <c r="T1585">
        <v>1</v>
      </c>
    </row>
    <row r="1586" spans="1:20" ht="16.5" x14ac:dyDescent="0.3">
      <c r="A1586" t="s">
        <v>1635</v>
      </c>
      <c r="B1586" s="1">
        <v>45533</v>
      </c>
      <c r="C1586">
        <v>2024</v>
      </c>
      <c r="D1586" t="s">
        <v>1261</v>
      </c>
      <c r="E1586" t="s">
        <v>1454</v>
      </c>
      <c r="F1586" t="s">
        <v>34</v>
      </c>
      <c r="G1586" t="s">
        <v>24</v>
      </c>
      <c r="H1586" t="s">
        <v>36</v>
      </c>
      <c r="I1586" t="s">
        <v>40</v>
      </c>
      <c r="J1586" t="s">
        <v>27</v>
      </c>
      <c r="K1586" t="s">
        <v>32</v>
      </c>
      <c r="L1586" s="2">
        <v>1.1000000000000001</v>
      </c>
      <c r="M1586" s="3">
        <v>300</v>
      </c>
      <c r="N1586">
        <v>1</v>
      </c>
      <c r="O1586">
        <v>1</v>
      </c>
      <c r="P1586">
        <v>1</v>
      </c>
      <c r="Q1586">
        <v>0</v>
      </c>
      <c r="R1586" s="4">
        <v>16.59</v>
      </c>
      <c r="S1586">
        <v>0</v>
      </c>
      <c r="T1586">
        <v>1</v>
      </c>
    </row>
    <row r="1587" spans="1:20" ht="16.5" x14ac:dyDescent="0.3">
      <c r="A1587" t="s">
        <v>1636</v>
      </c>
      <c r="B1587" s="1">
        <v>45533</v>
      </c>
      <c r="C1587">
        <v>2024</v>
      </c>
      <c r="D1587" t="s">
        <v>1261</v>
      </c>
      <c r="E1587" t="s">
        <v>1454</v>
      </c>
      <c r="F1587" t="s">
        <v>57</v>
      </c>
      <c r="G1587" t="s">
        <v>39</v>
      </c>
      <c r="H1587" t="s">
        <v>25</v>
      </c>
      <c r="I1587" t="s">
        <v>26</v>
      </c>
      <c r="J1587" t="s">
        <v>27</v>
      </c>
      <c r="K1587" t="s">
        <v>28</v>
      </c>
      <c r="L1587" s="2">
        <v>156.1</v>
      </c>
      <c r="M1587" s="3">
        <v>888</v>
      </c>
      <c r="N1587">
        <v>4</v>
      </c>
      <c r="O1587">
        <v>3</v>
      </c>
      <c r="P1587">
        <v>1</v>
      </c>
      <c r="Q1587">
        <v>0</v>
      </c>
      <c r="R1587" s="4">
        <v>76.52</v>
      </c>
      <c r="S1587">
        <v>0</v>
      </c>
      <c r="T1587">
        <v>1</v>
      </c>
    </row>
    <row r="1588" spans="1:20" ht="16.5" x14ac:dyDescent="0.3">
      <c r="A1588" t="s">
        <v>1637</v>
      </c>
      <c r="B1588" s="1">
        <v>45533</v>
      </c>
      <c r="C1588">
        <v>2024</v>
      </c>
      <c r="D1588" t="s">
        <v>1261</v>
      </c>
      <c r="E1588" t="s">
        <v>1454</v>
      </c>
      <c r="F1588" t="s">
        <v>34</v>
      </c>
      <c r="G1588" t="s">
        <v>39</v>
      </c>
      <c r="H1588" t="s">
        <v>48</v>
      </c>
      <c r="I1588" t="s">
        <v>26</v>
      </c>
      <c r="J1588" t="s">
        <v>27</v>
      </c>
      <c r="K1588" t="s">
        <v>32</v>
      </c>
      <c r="L1588" s="2">
        <v>4.7</v>
      </c>
      <c r="M1588" s="3">
        <v>529</v>
      </c>
      <c r="N1588">
        <v>4</v>
      </c>
      <c r="O1588">
        <v>4</v>
      </c>
      <c r="P1588">
        <v>1</v>
      </c>
      <c r="Q1588">
        <v>0</v>
      </c>
      <c r="R1588" s="4">
        <v>14.48</v>
      </c>
      <c r="S1588">
        <v>0</v>
      </c>
      <c r="T1588">
        <v>1</v>
      </c>
    </row>
    <row r="1589" spans="1:20" ht="16.5" x14ac:dyDescent="0.3">
      <c r="A1589" t="s">
        <v>1638</v>
      </c>
      <c r="B1589" s="1">
        <v>45533</v>
      </c>
      <c r="C1589">
        <v>2024</v>
      </c>
      <c r="D1589" t="s">
        <v>1261</v>
      </c>
      <c r="E1589" t="s">
        <v>1454</v>
      </c>
      <c r="F1589" t="s">
        <v>23</v>
      </c>
      <c r="G1589" t="s">
        <v>39</v>
      </c>
      <c r="H1589" t="s">
        <v>51</v>
      </c>
      <c r="I1589" t="s">
        <v>26</v>
      </c>
      <c r="J1589" t="s">
        <v>27</v>
      </c>
      <c r="K1589" t="s">
        <v>32</v>
      </c>
      <c r="L1589" s="2">
        <v>1.7</v>
      </c>
      <c r="M1589" s="3">
        <v>1043</v>
      </c>
      <c r="N1589">
        <v>5</v>
      </c>
      <c r="O1589">
        <v>5</v>
      </c>
      <c r="P1589">
        <v>1</v>
      </c>
      <c r="Q1589">
        <v>0</v>
      </c>
      <c r="R1589" s="4">
        <v>19.920000000000002</v>
      </c>
      <c r="S1589">
        <v>0</v>
      </c>
      <c r="T1589">
        <v>1</v>
      </c>
    </row>
    <row r="1590" spans="1:20" ht="16.5" x14ac:dyDescent="0.3">
      <c r="A1590" t="s">
        <v>1639</v>
      </c>
      <c r="B1590" s="1">
        <v>45533</v>
      </c>
      <c r="C1590">
        <v>2024</v>
      </c>
      <c r="D1590" t="s">
        <v>1261</v>
      </c>
      <c r="E1590" t="s">
        <v>1454</v>
      </c>
      <c r="F1590" t="s">
        <v>38</v>
      </c>
      <c r="G1590" t="s">
        <v>39</v>
      </c>
      <c r="H1590" t="s">
        <v>48</v>
      </c>
      <c r="I1590" t="s">
        <v>31</v>
      </c>
      <c r="J1590" t="s">
        <v>27</v>
      </c>
      <c r="K1590" t="s">
        <v>32</v>
      </c>
      <c r="L1590" s="2">
        <v>9.6</v>
      </c>
      <c r="M1590" s="3">
        <v>492</v>
      </c>
      <c r="N1590">
        <v>6</v>
      </c>
      <c r="O1590">
        <v>6</v>
      </c>
      <c r="P1590">
        <v>1</v>
      </c>
      <c r="Q1590">
        <v>0</v>
      </c>
      <c r="R1590" s="4">
        <v>14.66</v>
      </c>
      <c r="S1590">
        <v>0</v>
      </c>
      <c r="T1590">
        <v>1</v>
      </c>
    </row>
    <row r="1591" spans="1:20" ht="16.5" x14ac:dyDescent="0.3">
      <c r="A1591" t="s">
        <v>1640</v>
      </c>
      <c r="B1591" s="1">
        <v>45534</v>
      </c>
      <c r="C1591">
        <v>2024</v>
      </c>
      <c r="D1591" t="s">
        <v>1261</v>
      </c>
      <c r="E1591" t="s">
        <v>1454</v>
      </c>
      <c r="F1591" t="s">
        <v>38</v>
      </c>
      <c r="G1591" t="s">
        <v>39</v>
      </c>
      <c r="H1591" t="s">
        <v>25</v>
      </c>
      <c r="I1591" t="s">
        <v>26</v>
      </c>
      <c r="J1591" t="s">
        <v>27</v>
      </c>
      <c r="K1591" t="s">
        <v>28</v>
      </c>
      <c r="L1591" s="2">
        <v>116.8</v>
      </c>
      <c r="M1591" s="3">
        <v>1102</v>
      </c>
      <c r="N1591">
        <v>4</v>
      </c>
      <c r="O1591">
        <v>4</v>
      </c>
      <c r="P1591">
        <v>1</v>
      </c>
      <c r="Q1591">
        <v>0</v>
      </c>
      <c r="R1591" s="4">
        <v>77.33</v>
      </c>
      <c r="S1591">
        <v>0</v>
      </c>
      <c r="T1591">
        <v>1</v>
      </c>
    </row>
    <row r="1592" spans="1:20" ht="16.5" x14ac:dyDescent="0.3">
      <c r="A1592" t="s">
        <v>1641</v>
      </c>
      <c r="B1592" s="1">
        <v>45534</v>
      </c>
      <c r="C1592">
        <v>2024</v>
      </c>
      <c r="D1592" t="s">
        <v>1261</v>
      </c>
      <c r="E1592" t="s">
        <v>1454</v>
      </c>
      <c r="F1592" t="s">
        <v>57</v>
      </c>
      <c r="G1592" t="s">
        <v>39</v>
      </c>
      <c r="H1592" t="s">
        <v>43</v>
      </c>
      <c r="I1592" t="s">
        <v>31</v>
      </c>
      <c r="J1592" t="s">
        <v>27</v>
      </c>
      <c r="K1592" t="s">
        <v>32</v>
      </c>
      <c r="L1592" s="2">
        <v>15.2</v>
      </c>
      <c r="M1592" s="3">
        <v>1213</v>
      </c>
      <c r="N1592">
        <v>7</v>
      </c>
      <c r="O1592">
        <v>7</v>
      </c>
      <c r="P1592">
        <v>1</v>
      </c>
      <c r="Q1592">
        <v>0</v>
      </c>
      <c r="R1592" s="4">
        <v>21.17</v>
      </c>
      <c r="S1592">
        <v>0</v>
      </c>
      <c r="T1592">
        <v>1</v>
      </c>
    </row>
    <row r="1593" spans="1:20" ht="16.5" x14ac:dyDescent="0.3">
      <c r="A1593" t="s">
        <v>1642</v>
      </c>
      <c r="B1593" s="1">
        <v>45534</v>
      </c>
      <c r="C1593">
        <v>2024</v>
      </c>
      <c r="D1593" t="s">
        <v>1261</v>
      </c>
      <c r="E1593" t="s">
        <v>1454</v>
      </c>
      <c r="F1593" t="s">
        <v>23</v>
      </c>
      <c r="G1593" t="s">
        <v>39</v>
      </c>
      <c r="H1593" t="s">
        <v>48</v>
      </c>
      <c r="I1593" t="s">
        <v>31</v>
      </c>
      <c r="J1593" t="s">
        <v>27</v>
      </c>
      <c r="K1593" t="s">
        <v>28</v>
      </c>
      <c r="L1593" s="2">
        <v>76.900000000000006</v>
      </c>
      <c r="M1593" s="3">
        <v>485</v>
      </c>
      <c r="N1593">
        <v>6</v>
      </c>
      <c r="O1593">
        <v>7</v>
      </c>
      <c r="P1593">
        <v>0</v>
      </c>
      <c r="Q1593">
        <v>1</v>
      </c>
      <c r="R1593" s="4">
        <v>36.69</v>
      </c>
      <c r="S1593">
        <v>0</v>
      </c>
      <c r="T1593">
        <v>1</v>
      </c>
    </row>
    <row r="1594" spans="1:20" ht="16.5" x14ac:dyDescent="0.3">
      <c r="A1594" t="s">
        <v>1643</v>
      </c>
      <c r="B1594" s="1">
        <v>45534</v>
      </c>
      <c r="C1594">
        <v>2024</v>
      </c>
      <c r="D1594" t="s">
        <v>1261</v>
      </c>
      <c r="E1594" t="s">
        <v>1454</v>
      </c>
      <c r="F1594" t="s">
        <v>38</v>
      </c>
      <c r="G1594" t="s">
        <v>39</v>
      </c>
      <c r="H1594" t="s">
        <v>51</v>
      </c>
      <c r="I1594" t="s">
        <v>26</v>
      </c>
      <c r="J1594" t="s">
        <v>27</v>
      </c>
      <c r="K1594" t="s">
        <v>32</v>
      </c>
      <c r="L1594" s="2">
        <v>7.8</v>
      </c>
      <c r="M1594" s="3">
        <v>764</v>
      </c>
      <c r="N1594">
        <v>5</v>
      </c>
      <c r="O1594">
        <v>5</v>
      </c>
      <c r="P1594">
        <v>1</v>
      </c>
      <c r="Q1594">
        <v>0</v>
      </c>
      <c r="R1594" s="4">
        <v>21.97</v>
      </c>
      <c r="S1594">
        <v>0</v>
      </c>
      <c r="T1594">
        <v>1</v>
      </c>
    </row>
    <row r="1595" spans="1:20" ht="16.5" x14ac:dyDescent="0.3">
      <c r="A1595" t="s">
        <v>1644</v>
      </c>
      <c r="B1595" s="1">
        <v>45534</v>
      </c>
      <c r="C1595">
        <v>2024</v>
      </c>
      <c r="D1595" t="s">
        <v>1261</v>
      </c>
      <c r="E1595" t="s">
        <v>1454</v>
      </c>
      <c r="F1595" t="s">
        <v>23</v>
      </c>
      <c r="G1595" t="s">
        <v>39</v>
      </c>
      <c r="H1595" t="s">
        <v>48</v>
      </c>
      <c r="I1595" t="s">
        <v>40</v>
      </c>
      <c r="J1595" t="s">
        <v>27</v>
      </c>
      <c r="K1595" t="s">
        <v>32</v>
      </c>
      <c r="L1595" s="2">
        <v>7.5</v>
      </c>
      <c r="M1595" s="3">
        <v>545</v>
      </c>
      <c r="N1595">
        <v>2</v>
      </c>
      <c r="O1595">
        <v>1</v>
      </c>
      <c r="P1595">
        <v>1</v>
      </c>
      <c r="Q1595">
        <v>0</v>
      </c>
      <c r="R1595" s="4">
        <v>30.32</v>
      </c>
      <c r="S1595">
        <v>0</v>
      </c>
      <c r="T1595">
        <v>1</v>
      </c>
    </row>
    <row r="1596" spans="1:20" ht="16.5" x14ac:dyDescent="0.3">
      <c r="A1596" t="s">
        <v>1645</v>
      </c>
      <c r="B1596" s="1">
        <v>45534</v>
      </c>
      <c r="C1596">
        <v>2024</v>
      </c>
      <c r="D1596" t="s">
        <v>1261</v>
      </c>
      <c r="E1596" t="s">
        <v>1454</v>
      </c>
      <c r="F1596" t="s">
        <v>38</v>
      </c>
      <c r="G1596" t="s">
        <v>35</v>
      </c>
      <c r="H1596" t="s">
        <v>48</v>
      </c>
      <c r="I1596" t="s">
        <v>26</v>
      </c>
      <c r="J1596" t="s">
        <v>27</v>
      </c>
      <c r="K1596" t="s">
        <v>32</v>
      </c>
      <c r="L1596" s="2">
        <v>7.2</v>
      </c>
      <c r="M1596" s="3">
        <v>479</v>
      </c>
      <c r="N1596">
        <v>4</v>
      </c>
      <c r="O1596">
        <v>3</v>
      </c>
      <c r="P1596">
        <v>1</v>
      </c>
      <c r="Q1596">
        <v>0</v>
      </c>
      <c r="R1596" s="4">
        <v>18.579999999999998</v>
      </c>
      <c r="S1596">
        <v>0</v>
      </c>
      <c r="T1596">
        <v>1</v>
      </c>
    </row>
    <row r="1597" spans="1:20" ht="16.5" x14ac:dyDescent="0.3">
      <c r="A1597" t="s">
        <v>1646</v>
      </c>
      <c r="B1597" s="1">
        <v>45534</v>
      </c>
      <c r="C1597">
        <v>2024</v>
      </c>
      <c r="D1597" t="s">
        <v>1261</v>
      </c>
      <c r="E1597" t="s">
        <v>1454</v>
      </c>
      <c r="F1597" t="s">
        <v>57</v>
      </c>
      <c r="G1597" t="s">
        <v>35</v>
      </c>
      <c r="H1597" t="s">
        <v>51</v>
      </c>
      <c r="I1597" t="s">
        <v>26</v>
      </c>
      <c r="J1597" t="s">
        <v>27</v>
      </c>
      <c r="K1597" t="s">
        <v>32</v>
      </c>
      <c r="L1597" s="2">
        <v>5</v>
      </c>
      <c r="M1597" s="3">
        <v>970</v>
      </c>
      <c r="N1597">
        <v>5</v>
      </c>
      <c r="O1597">
        <v>5</v>
      </c>
      <c r="P1597">
        <v>1</v>
      </c>
      <c r="Q1597">
        <v>0</v>
      </c>
      <c r="R1597" s="4">
        <v>20.67</v>
      </c>
      <c r="S1597">
        <v>0</v>
      </c>
      <c r="T1597">
        <v>1</v>
      </c>
    </row>
    <row r="1598" spans="1:20" ht="16.5" x14ac:dyDescent="0.3">
      <c r="A1598" t="s">
        <v>1647</v>
      </c>
      <c r="B1598" s="1">
        <v>45535</v>
      </c>
      <c r="C1598">
        <v>2024</v>
      </c>
      <c r="D1598" t="s">
        <v>1261</v>
      </c>
      <c r="E1598" t="s">
        <v>1454</v>
      </c>
      <c r="F1598" t="s">
        <v>30</v>
      </c>
      <c r="G1598" t="s">
        <v>35</v>
      </c>
      <c r="H1598" t="s">
        <v>48</v>
      </c>
      <c r="I1598" t="s">
        <v>31</v>
      </c>
      <c r="J1598" t="s">
        <v>27</v>
      </c>
      <c r="K1598" t="s">
        <v>32</v>
      </c>
      <c r="L1598" s="2">
        <v>12.1</v>
      </c>
      <c r="M1598" s="3">
        <v>357</v>
      </c>
      <c r="N1598">
        <v>6</v>
      </c>
      <c r="O1598">
        <v>6</v>
      </c>
      <c r="P1598">
        <v>1</v>
      </c>
      <c r="Q1598">
        <v>0</v>
      </c>
      <c r="R1598" s="4">
        <v>13.92</v>
      </c>
      <c r="S1598">
        <v>0</v>
      </c>
      <c r="T1598">
        <v>1</v>
      </c>
    </row>
    <row r="1599" spans="1:20" ht="16.5" x14ac:dyDescent="0.3">
      <c r="A1599" t="s">
        <v>1648</v>
      </c>
      <c r="B1599" s="1">
        <v>45535</v>
      </c>
      <c r="C1599">
        <v>2024</v>
      </c>
      <c r="D1599" t="s">
        <v>1261</v>
      </c>
      <c r="E1599" t="s">
        <v>1454</v>
      </c>
      <c r="F1599" t="s">
        <v>57</v>
      </c>
      <c r="G1599" t="s">
        <v>24</v>
      </c>
      <c r="H1599" t="s">
        <v>25</v>
      </c>
      <c r="I1599" t="s">
        <v>31</v>
      </c>
      <c r="J1599" t="s">
        <v>27</v>
      </c>
      <c r="K1599" t="s">
        <v>28</v>
      </c>
      <c r="L1599" s="2">
        <v>90.6</v>
      </c>
      <c r="M1599" s="3">
        <v>983</v>
      </c>
      <c r="N1599">
        <v>6</v>
      </c>
      <c r="O1599">
        <v>5</v>
      </c>
      <c r="P1599">
        <v>1</v>
      </c>
      <c r="Q1599">
        <v>0</v>
      </c>
      <c r="R1599" s="4">
        <v>44.12</v>
      </c>
      <c r="S1599">
        <v>0</v>
      </c>
      <c r="T1599">
        <v>1</v>
      </c>
    </row>
    <row r="1600" spans="1:20" ht="16.5" x14ac:dyDescent="0.3">
      <c r="A1600" t="s">
        <v>1649</v>
      </c>
      <c r="B1600" s="1">
        <v>45535</v>
      </c>
      <c r="C1600">
        <v>2024</v>
      </c>
      <c r="D1600" t="s">
        <v>1261</v>
      </c>
      <c r="E1600" t="s">
        <v>1454</v>
      </c>
      <c r="F1600" t="s">
        <v>34</v>
      </c>
      <c r="G1600" t="s">
        <v>24</v>
      </c>
      <c r="H1600" t="s">
        <v>48</v>
      </c>
      <c r="I1600" t="s">
        <v>31</v>
      </c>
      <c r="J1600" t="s">
        <v>27</v>
      </c>
      <c r="K1600" t="s">
        <v>28</v>
      </c>
      <c r="L1600" s="2">
        <v>15</v>
      </c>
      <c r="M1600" s="3">
        <v>428</v>
      </c>
      <c r="N1600">
        <v>6</v>
      </c>
      <c r="O1600">
        <v>5</v>
      </c>
      <c r="P1600">
        <v>1</v>
      </c>
      <c r="Q1600">
        <v>0</v>
      </c>
      <c r="R1600" s="4">
        <v>11.69</v>
      </c>
      <c r="S1600">
        <v>1</v>
      </c>
      <c r="T1600">
        <v>1</v>
      </c>
    </row>
    <row r="1601" spans="1:20" ht="16.5" x14ac:dyDescent="0.3">
      <c r="A1601" t="s">
        <v>1650</v>
      </c>
      <c r="B1601" s="1">
        <v>45536</v>
      </c>
      <c r="C1601">
        <v>2024</v>
      </c>
      <c r="D1601" t="s">
        <v>1261</v>
      </c>
      <c r="E1601" t="s">
        <v>1651</v>
      </c>
      <c r="F1601" t="s">
        <v>34</v>
      </c>
      <c r="G1601" t="s">
        <v>35</v>
      </c>
      <c r="H1601" t="s">
        <v>36</v>
      </c>
      <c r="I1601" t="s">
        <v>26</v>
      </c>
      <c r="J1601" t="s">
        <v>27</v>
      </c>
      <c r="K1601" t="s">
        <v>28</v>
      </c>
      <c r="L1601" s="2">
        <v>101.2</v>
      </c>
      <c r="M1601" s="3">
        <v>274</v>
      </c>
      <c r="N1601">
        <v>3</v>
      </c>
      <c r="O1601">
        <v>2</v>
      </c>
      <c r="P1601">
        <v>1</v>
      </c>
      <c r="Q1601">
        <v>0</v>
      </c>
      <c r="R1601" s="4">
        <v>47.28</v>
      </c>
      <c r="S1601">
        <v>0</v>
      </c>
      <c r="T1601">
        <v>1</v>
      </c>
    </row>
    <row r="1602" spans="1:20" ht="16.5" x14ac:dyDescent="0.3">
      <c r="A1602" t="s">
        <v>1652</v>
      </c>
      <c r="B1602" s="1">
        <v>45536</v>
      </c>
      <c r="C1602">
        <v>2024</v>
      </c>
      <c r="D1602" t="s">
        <v>1261</v>
      </c>
      <c r="E1602" t="s">
        <v>1651</v>
      </c>
      <c r="F1602" t="s">
        <v>34</v>
      </c>
      <c r="G1602" t="s">
        <v>35</v>
      </c>
      <c r="H1602" t="s">
        <v>48</v>
      </c>
      <c r="I1602" t="s">
        <v>26</v>
      </c>
      <c r="J1602" t="s">
        <v>27</v>
      </c>
      <c r="K1602" t="s">
        <v>32</v>
      </c>
      <c r="L1602" s="2">
        <v>6.9</v>
      </c>
      <c r="M1602" s="3">
        <v>603</v>
      </c>
      <c r="N1602">
        <v>4</v>
      </c>
      <c r="O1602">
        <v>3</v>
      </c>
      <c r="P1602">
        <v>1</v>
      </c>
      <c r="Q1602">
        <v>0</v>
      </c>
      <c r="R1602" s="4">
        <v>15.89</v>
      </c>
      <c r="S1602">
        <v>0</v>
      </c>
      <c r="T1602">
        <v>1</v>
      </c>
    </row>
    <row r="1603" spans="1:20" ht="16.5" x14ac:dyDescent="0.3">
      <c r="A1603" t="s">
        <v>1653</v>
      </c>
      <c r="B1603" s="1">
        <v>45536</v>
      </c>
      <c r="C1603">
        <v>2024</v>
      </c>
      <c r="D1603" t="s">
        <v>1261</v>
      </c>
      <c r="E1603" t="s">
        <v>1651</v>
      </c>
      <c r="F1603" t="s">
        <v>57</v>
      </c>
      <c r="G1603" t="s">
        <v>39</v>
      </c>
      <c r="H1603" t="s">
        <v>48</v>
      </c>
      <c r="I1603" t="s">
        <v>26</v>
      </c>
      <c r="J1603" t="s">
        <v>27</v>
      </c>
      <c r="K1603" t="s">
        <v>32</v>
      </c>
      <c r="L1603" s="2">
        <v>5.5</v>
      </c>
      <c r="M1603" s="3">
        <v>447</v>
      </c>
      <c r="N1603">
        <v>4</v>
      </c>
      <c r="O1603">
        <v>4</v>
      </c>
      <c r="P1603">
        <v>1</v>
      </c>
      <c r="Q1603">
        <v>0</v>
      </c>
      <c r="R1603" s="4">
        <v>15.19</v>
      </c>
      <c r="S1603">
        <v>0</v>
      </c>
      <c r="T1603">
        <v>1</v>
      </c>
    </row>
    <row r="1604" spans="1:20" ht="16.5" x14ac:dyDescent="0.3">
      <c r="A1604" t="s">
        <v>1654</v>
      </c>
      <c r="B1604" s="1">
        <v>45536</v>
      </c>
      <c r="C1604">
        <v>2024</v>
      </c>
      <c r="D1604" t="s">
        <v>1261</v>
      </c>
      <c r="E1604" t="s">
        <v>1651</v>
      </c>
      <c r="F1604" t="s">
        <v>23</v>
      </c>
      <c r="G1604" t="s">
        <v>39</v>
      </c>
      <c r="H1604" t="s">
        <v>25</v>
      </c>
      <c r="I1604" t="s">
        <v>26</v>
      </c>
      <c r="J1604" t="s">
        <v>27</v>
      </c>
      <c r="K1604" t="s">
        <v>32</v>
      </c>
      <c r="L1604" s="2">
        <v>0.8</v>
      </c>
      <c r="M1604" s="3">
        <v>645</v>
      </c>
      <c r="N1604">
        <v>4</v>
      </c>
      <c r="O1604">
        <v>4</v>
      </c>
      <c r="P1604">
        <v>1</v>
      </c>
      <c r="Q1604">
        <v>0</v>
      </c>
      <c r="R1604" s="4">
        <v>13</v>
      </c>
      <c r="S1604">
        <v>0</v>
      </c>
      <c r="T1604">
        <v>1</v>
      </c>
    </row>
    <row r="1605" spans="1:20" ht="16.5" x14ac:dyDescent="0.3">
      <c r="A1605" t="s">
        <v>1655</v>
      </c>
      <c r="B1605" s="1">
        <v>45537</v>
      </c>
      <c r="C1605">
        <v>2024</v>
      </c>
      <c r="D1605" t="s">
        <v>1261</v>
      </c>
      <c r="E1605" t="s">
        <v>1651</v>
      </c>
      <c r="F1605" t="s">
        <v>57</v>
      </c>
      <c r="G1605" t="s">
        <v>39</v>
      </c>
      <c r="H1605" t="s">
        <v>36</v>
      </c>
      <c r="I1605" t="s">
        <v>26</v>
      </c>
      <c r="J1605" t="s">
        <v>27</v>
      </c>
      <c r="K1605" t="s">
        <v>32</v>
      </c>
      <c r="L1605" s="2">
        <v>10.1</v>
      </c>
      <c r="M1605" s="3">
        <v>285</v>
      </c>
      <c r="N1605">
        <v>3</v>
      </c>
      <c r="O1605">
        <v>3</v>
      </c>
      <c r="P1605">
        <v>1</v>
      </c>
      <c r="Q1605">
        <v>0</v>
      </c>
      <c r="R1605" s="4">
        <v>16</v>
      </c>
      <c r="S1605">
        <v>0</v>
      </c>
      <c r="T1605">
        <v>1</v>
      </c>
    </row>
    <row r="1606" spans="1:20" ht="16.5" x14ac:dyDescent="0.3">
      <c r="A1606" t="s">
        <v>1656</v>
      </c>
      <c r="B1606" s="1">
        <v>45537</v>
      </c>
      <c r="C1606">
        <v>2024</v>
      </c>
      <c r="D1606" t="s">
        <v>1261</v>
      </c>
      <c r="E1606" t="s">
        <v>1651</v>
      </c>
      <c r="F1606" t="s">
        <v>38</v>
      </c>
      <c r="G1606" t="s">
        <v>39</v>
      </c>
      <c r="H1606" t="s">
        <v>36</v>
      </c>
      <c r="I1606" t="s">
        <v>40</v>
      </c>
      <c r="J1606" t="s">
        <v>27</v>
      </c>
      <c r="K1606" t="s">
        <v>32</v>
      </c>
      <c r="L1606" s="2">
        <v>11.3</v>
      </c>
      <c r="M1606" s="3">
        <v>254</v>
      </c>
      <c r="N1606">
        <v>1</v>
      </c>
      <c r="O1606">
        <v>3</v>
      </c>
      <c r="P1606">
        <v>0</v>
      </c>
      <c r="Q1606">
        <v>2</v>
      </c>
      <c r="R1606" s="4">
        <v>37.47</v>
      </c>
      <c r="S1606">
        <v>0</v>
      </c>
      <c r="T1606">
        <v>1</v>
      </c>
    </row>
    <row r="1607" spans="1:20" ht="16.5" x14ac:dyDescent="0.3">
      <c r="A1607" t="s">
        <v>1657</v>
      </c>
      <c r="B1607" s="1">
        <v>45537</v>
      </c>
      <c r="C1607">
        <v>2024</v>
      </c>
      <c r="D1607" t="s">
        <v>1261</v>
      </c>
      <c r="E1607" t="s">
        <v>1651</v>
      </c>
      <c r="F1607" t="s">
        <v>57</v>
      </c>
      <c r="G1607" t="s">
        <v>35</v>
      </c>
      <c r="H1607" t="s">
        <v>51</v>
      </c>
      <c r="I1607" t="s">
        <v>40</v>
      </c>
      <c r="J1607" t="s">
        <v>41</v>
      </c>
      <c r="K1607" t="s">
        <v>32</v>
      </c>
      <c r="L1607" s="2">
        <v>13.1</v>
      </c>
      <c r="M1607" s="3">
        <v>1249</v>
      </c>
      <c r="N1607">
        <v>3</v>
      </c>
      <c r="O1607">
        <v>6</v>
      </c>
      <c r="P1607">
        <v>0</v>
      </c>
      <c r="Q1607">
        <v>3</v>
      </c>
      <c r="R1607" s="4">
        <v>81.040000000000006</v>
      </c>
      <c r="S1607">
        <v>0</v>
      </c>
      <c r="T1607">
        <v>1</v>
      </c>
    </row>
    <row r="1608" spans="1:20" ht="16.5" x14ac:dyDescent="0.3">
      <c r="A1608" t="s">
        <v>1658</v>
      </c>
      <c r="B1608" s="1">
        <v>45537</v>
      </c>
      <c r="C1608">
        <v>2024</v>
      </c>
      <c r="D1608" t="s">
        <v>1261</v>
      </c>
      <c r="E1608" t="s">
        <v>1651</v>
      </c>
      <c r="F1608" t="s">
        <v>38</v>
      </c>
      <c r="G1608" t="s">
        <v>39</v>
      </c>
      <c r="H1608" t="s">
        <v>48</v>
      </c>
      <c r="I1608" t="s">
        <v>31</v>
      </c>
      <c r="J1608" t="s">
        <v>27</v>
      </c>
      <c r="K1608" t="s">
        <v>28</v>
      </c>
      <c r="L1608" s="2">
        <v>124.7</v>
      </c>
      <c r="M1608" s="3">
        <v>390</v>
      </c>
      <c r="N1608">
        <v>6</v>
      </c>
      <c r="O1608">
        <v>5</v>
      </c>
      <c r="P1608">
        <v>1</v>
      </c>
      <c r="Q1608">
        <v>0</v>
      </c>
      <c r="R1608" s="4">
        <v>50.26</v>
      </c>
      <c r="S1608">
        <v>0</v>
      </c>
      <c r="T1608">
        <v>1</v>
      </c>
    </row>
    <row r="1609" spans="1:20" ht="16.5" x14ac:dyDescent="0.3">
      <c r="A1609" t="s">
        <v>1659</v>
      </c>
      <c r="B1609" s="1">
        <v>45537</v>
      </c>
      <c r="C1609">
        <v>2024</v>
      </c>
      <c r="D1609" t="s">
        <v>1261</v>
      </c>
      <c r="E1609" t="s">
        <v>1651</v>
      </c>
      <c r="F1609" t="s">
        <v>38</v>
      </c>
      <c r="G1609" t="s">
        <v>24</v>
      </c>
      <c r="H1609" t="s">
        <v>48</v>
      </c>
      <c r="I1609" t="s">
        <v>26</v>
      </c>
      <c r="J1609" t="s">
        <v>27</v>
      </c>
      <c r="K1609" t="s">
        <v>28</v>
      </c>
      <c r="L1609" s="2">
        <v>144</v>
      </c>
      <c r="M1609" s="3">
        <v>468</v>
      </c>
      <c r="N1609">
        <v>4</v>
      </c>
      <c r="O1609">
        <v>4</v>
      </c>
      <c r="P1609">
        <v>1</v>
      </c>
      <c r="Q1609">
        <v>0</v>
      </c>
      <c r="R1609" s="4">
        <v>72.47</v>
      </c>
      <c r="S1609">
        <v>0</v>
      </c>
      <c r="T1609">
        <v>1</v>
      </c>
    </row>
    <row r="1610" spans="1:20" ht="16.5" x14ac:dyDescent="0.3">
      <c r="A1610" t="s">
        <v>1660</v>
      </c>
      <c r="B1610" s="1">
        <v>45537</v>
      </c>
      <c r="C1610">
        <v>2024</v>
      </c>
      <c r="D1610" t="s">
        <v>1261</v>
      </c>
      <c r="E1610" t="s">
        <v>1651</v>
      </c>
      <c r="F1610" t="s">
        <v>57</v>
      </c>
      <c r="G1610" t="s">
        <v>35</v>
      </c>
      <c r="H1610" t="s">
        <v>51</v>
      </c>
      <c r="I1610" t="s">
        <v>40</v>
      </c>
      <c r="J1610" t="s">
        <v>41</v>
      </c>
      <c r="K1610" t="s">
        <v>32</v>
      </c>
      <c r="L1610" s="2">
        <v>3.9</v>
      </c>
      <c r="M1610" s="3">
        <v>1059</v>
      </c>
      <c r="N1610">
        <v>3</v>
      </c>
      <c r="O1610">
        <v>3</v>
      </c>
      <c r="P1610">
        <v>1</v>
      </c>
      <c r="Q1610">
        <v>0</v>
      </c>
      <c r="R1610" s="4">
        <v>64.010000000000005</v>
      </c>
      <c r="S1610">
        <v>0</v>
      </c>
      <c r="T1610">
        <v>1</v>
      </c>
    </row>
    <row r="1611" spans="1:20" ht="16.5" x14ac:dyDescent="0.3">
      <c r="A1611" t="s">
        <v>1661</v>
      </c>
      <c r="B1611" s="1">
        <v>45537</v>
      </c>
      <c r="C1611">
        <v>2024</v>
      </c>
      <c r="D1611" t="s">
        <v>1261</v>
      </c>
      <c r="E1611" t="s">
        <v>1651</v>
      </c>
      <c r="F1611" t="s">
        <v>57</v>
      </c>
      <c r="G1611" t="s">
        <v>39</v>
      </c>
      <c r="H1611" t="s">
        <v>51</v>
      </c>
      <c r="I1611" t="s">
        <v>31</v>
      </c>
      <c r="J1611" t="s">
        <v>27</v>
      </c>
      <c r="K1611" t="s">
        <v>28</v>
      </c>
      <c r="L1611" s="2">
        <v>52.7</v>
      </c>
      <c r="M1611" s="3">
        <v>1302</v>
      </c>
      <c r="N1611">
        <v>7</v>
      </c>
      <c r="O1611">
        <v>9</v>
      </c>
      <c r="P1611">
        <v>0</v>
      </c>
      <c r="Q1611">
        <v>2</v>
      </c>
      <c r="R1611" s="4">
        <v>33.65</v>
      </c>
      <c r="S1611">
        <v>0</v>
      </c>
      <c r="T1611">
        <v>1</v>
      </c>
    </row>
    <row r="1612" spans="1:20" ht="16.5" x14ac:dyDescent="0.3">
      <c r="A1612" t="s">
        <v>1662</v>
      </c>
      <c r="B1612" s="1">
        <v>45537</v>
      </c>
      <c r="C1612">
        <v>2024</v>
      </c>
      <c r="D1612" t="s">
        <v>1261</v>
      </c>
      <c r="E1612" t="s">
        <v>1651</v>
      </c>
      <c r="F1612" t="s">
        <v>57</v>
      </c>
      <c r="G1612" t="s">
        <v>39</v>
      </c>
      <c r="H1612" t="s">
        <v>48</v>
      </c>
      <c r="I1612" t="s">
        <v>26</v>
      </c>
      <c r="J1612" t="s">
        <v>27</v>
      </c>
      <c r="K1612" t="s">
        <v>28</v>
      </c>
      <c r="L1612" s="2">
        <v>163</v>
      </c>
      <c r="M1612" s="3">
        <v>460</v>
      </c>
      <c r="N1612">
        <v>4</v>
      </c>
      <c r="O1612">
        <v>3</v>
      </c>
      <c r="P1612">
        <v>1</v>
      </c>
      <c r="Q1612">
        <v>0</v>
      </c>
      <c r="R1612" s="4">
        <v>90.2</v>
      </c>
      <c r="S1612">
        <v>0</v>
      </c>
      <c r="T1612">
        <v>1</v>
      </c>
    </row>
    <row r="1613" spans="1:20" ht="16.5" x14ac:dyDescent="0.3">
      <c r="A1613" t="s">
        <v>1663</v>
      </c>
      <c r="B1613" s="1">
        <v>45537</v>
      </c>
      <c r="C1613">
        <v>2024</v>
      </c>
      <c r="D1613" t="s">
        <v>1261</v>
      </c>
      <c r="E1613" t="s">
        <v>1651</v>
      </c>
      <c r="F1613" t="s">
        <v>23</v>
      </c>
      <c r="G1613" t="s">
        <v>24</v>
      </c>
      <c r="H1613" t="s">
        <v>36</v>
      </c>
      <c r="I1613" t="s">
        <v>31</v>
      </c>
      <c r="J1613" t="s">
        <v>27</v>
      </c>
      <c r="K1613" t="s">
        <v>28</v>
      </c>
      <c r="L1613" s="2">
        <v>23.8</v>
      </c>
      <c r="M1613" s="3">
        <v>167</v>
      </c>
      <c r="N1613">
        <v>5</v>
      </c>
      <c r="O1613">
        <v>5</v>
      </c>
      <c r="P1613">
        <v>1</v>
      </c>
      <c r="Q1613">
        <v>0</v>
      </c>
      <c r="R1613" s="4">
        <v>14.59</v>
      </c>
      <c r="S1613">
        <v>0</v>
      </c>
      <c r="T1613">
        <v>1</v>
      </c>
    </row>
    <row r="1614" spans="1:20" ht="16.5" x14ac:dyDescent="0.3">
      <c r="A1614" t="s">
        <v>1664</v>
      </c>
      <c r="B1614" s="1">
        <v>45538</v>
      </c>
      <c r="C1614">
        <v>2024</v>
      </c>
      <c r="D1614" t="s">
        <v>1261</v>
      </c>
      <c r="E1614" t="s">
        <v>1651</v>
      </c>
      <c r="F1614" t="s">
        <v>38</v>
      </c>
      <c r="G1614" t="s">
        <v>39</v>
      </c>
      <c r="H1614" t="s">
        <v>25</v>
      </c>
      <c r="I1614" t="s">
        <v>26</v>
      </c>
      <c r="J1614" t="s">
        <v>27</v>
      </c>
      <c r="K1614" t="s">
        <v>32</v>
      </c>
      <c r="L1614" s="2">
        <v>6.1</v>
      </c>
      <c r="M1614" s="3">
        <v>781</v>
      </c>
      <c r="N1614">
        <v>4</v>
      </c>
      <c r="O1614">
        <v>3</v>
      </c>
      <c r="P1614">
        <v>1</v>
      </c>
      <c r="Q1614">
        <v>0</v>
      </c>
      <c r="R1614" s="4">
        <v>21.14</v>
      </c>
      <c r="S1614">
        <v>0</v>
      </c>
      <c r="T1614">
        <v>1</v>
      </c>
    </row>
    <row r="1615" spans="1:20" ht="16.5" x14ac:dyDescent="0.3">
      <c r="A1615" t="s">
        <v>1665</v>
      </c>
      <c r="B1615" s="1">
        <v>45538</v>
      </c>
      <c r="C1615">
        <v>2024</v>
      </c>
      <c r="D1615" t="s">
        <v>1261</v>
      </c>
      <c r="E1615" t="s">
        <v>1651</v>
      </c>
      <c r="F1615" t="s">
        <v>30</v>
      </c>
      <c r="G1615" t="s">
        <v>39</v>
      </c>
      <c r="H1615" t="s">
        <v>25</v>
      </c>
      <c r="I1615" t="s">
        <v>26</v>
      </c>
      <c r="J1615" t="s">
        <v>27</v>
      </c>
      <c r="K1615" t="s">
        <v>28</v>
      </c>
      <c r="L1615" s="2">
        <v>214.3</v>
      </c>
      <c r="M1615" s="3">
        <v>955</v>
      </c>
      <c r="N1615">
        <v>4</v>
      </c>
      <c r="O1615">
        <v>6</v>
      </c>
      <c r="P1615">
        <v>0</v>
      </c>
      <c r="Q1615">
        <v>2</v>
      </c>
      <c r="R1615" s="4">
        <v>101.7</v>
      </c>
      <c r="S1615">
        <v>0</v>
      </c>
      <c r="T1615">
        <v>1</v>
      </c>
    </row>
    <row r="1616" spans="1:20" ht="16.5" x14ac:dyDescent="0.3">
      <c r="A1616" t="s">
        <v>1666</v>
      </c>
      <c r="B1616" s="1">
        <v>45538</v>
      </c>
      <c r="C1616">
        <v>2024</v>
      </c>
      <c r="D1616" t="s">
        <v>1261</v>
      </c>
      <c r="E1616" t="s">
        <v>1651</v>
      </c>
      <c r="F1616" t="s">
        <v>34</v>
      </c>
      <c r="G1616" t="s">
        <v>39</v>
      </c>
      <c r="H1616" t="s">
        <v>25</v>
      </c>
      <c r="I1616" t="s">
        <v>26</v>
      </c>
      <c r="J1616" t="s">
        <v>27</v>
      </c>
      <c r="K1616" t="s">
        <v>32</v>
      </c>
      <c r="L1616" s="2">
        <v>6.2</v>
      </c>
      <c r="M1616" s="3">
        <v>1155</v>
      </c>
      <c r="N1616">
        <v>4</v>
      </c>
      <c r="O1616">
        <v>7</v>
      </c>
      <c r="P1616">
        <v>0</v>
      </c>
      <c r="Q1616">
        <v>3</v>
      </c>
      <c r="R1616" s="4">
        <v>19.98</v>
      </c>
      <c r="S1616">
        <v>0</v>
      </c>
      <c r="T1616">
        <v>1</v>
      </c>
    </row>
    <row r="1617" spans="1:20" ht="16.5" x14ac:dyDescent="0.3">
      <c r="A1617" t="s">
        <v>1667</v>
      </c>
      <c r="B1617" s="1">
        <v>45538</v>
      </c>
      <c r="C1617">
        <v>2024</v>
      </c>
      <c r="D1617" t="s">
        <v>1261</v>
      </c>
      <c r="E1617" t="s">
        <v>1651</v>
      </c>
      <c r="F1617" t="s">
        <v>23</v>
      </c>
      <c r="G1617" t="s">
        <v>39</v>
      </c>
      <c r="H1617" t="s">
        <v>36</v>
      </c>
      <c r="I1617" t="s">
        <v>26</v>
      </c>
      <c r="J1617" t="s">
        <v>27</v>
      </c>
      <c r="K1617" t="s">
        <v>28</v>
      </c>
      <c r="L1617" s="2">
        <v>86.3</v>
      </c>
      <c r="M1617" s="3">
        <v>292</v>
      </c>
      <c r="N1617">
        <v>3</v>
      </c>
      <c r="O1617">
        <v>3</v>
      </c>
      <c r="P1617">
        <v>1</v>
      </c>
      <c r="Q1617">
        <v>0</v>
      </c>
      <c r="R1617" s="4">
        <v>49.42</v>
      </c>
      <c r="S1617">
        <v>0</v>
      </c>
      <c r="T1617">
        <v>1</v>
      </c>
    </row>
    <row r="1618" spans="1:20" ht="16.5" x14ac:dyDescent="0.3">
      <c r="A1618" t="s">
        <v>1668</v>
      </c>
      <c r="B1618" s="1">
        <v>45538</v>
      </c>
      <c r="C1618">
        <v>2024</v>
      </c>
      <c r="D1618" t="s">
        <v>1261</v>
      </c>
      <c r="E1618" t="s">
        <v>1651</v>
      </c>
      <c r="F1618" t="s">
        <v>30</v>
      </c>
      <c r="G1618" t="s">
        <v>39</v>
      </c>
      <c r="H1618" t="s">
        <v>25</v>
      </c>
      <c r="I1618" t="s">
        <v>40</v>
      </c>
      <c r="J1618" t="s">
        <v>41</v>
      </c>
      <c r="K1618" t="s">
        <v>32</v>
      </c>
      <c r="L1618" s="2">
        <v>1.4</v>
      </c>
      <c r="M1618" s="3">
        <v>1079</v>
      </c>
      <c r="N1618">
        <v>2</v>
      </c>
      <c r="O1618">
        <v>2</v>
      </c>
      <c r="P1618">
        <v>1</v>
      </c>
      <c r="Q1618">
        <v>0</v>
      </c>
      <c r="R1618" s="4">
        <v>65.52</v>
      </c>
      <c r="S1618">
        <v>0</v>
      </c>
      <c r="T1618">
        <v>1</v>
      </c>
    </row>
    <row r="1619" spans="1:20" ht="16.5" x14ac:dyDescent="0.3">
      <c r="A1619" t="s">
        <v>1669</v>
      </c>
      <c r="B1619" s="1">
        <v>45538</v>
      </c>
      <c r="C1619">
        <v>2024</v>
      </c>
      <c r="D1619" t="s">
        <v>1261</v>
      </c>
      <c r="E1619" t="s">
        <v>1651</v>
      </c>
      <c r="F1619" t="s">
        <v>30</v>
      </c>
      <c r="G1619" t="s">
        <v>39</v>
      </c>
      <c r="H1619" t="s">
        <v>48</v>
      </c>
      <c r="I1619" t="s">
        <v>26</v>
      </c>
      <c r="J1619" t="s">
        <v>27</v>
      </c>
      <c r="K1619" t="s">
        <v>28</v>
      </c>
      <c r="L1619" s="2">
        <v>74.8</v>
      </c>
      <c r="M1619" s="3">
        <v>299</v>
      </c>
      <c r="N1619">
        <v>4</v>
      </c>
      <c r="O1619">
        <v>4</v>
      </c>
      <c r="P1619">
        <v>1</v>
      </c>
      <c r="Q1619">
        <v>0</v>
      </c>
      <c r="R1619" s="4">
        <v>52.15</v>
      </c>
      <c r="S1619">
        <v>0</v>
      </c>
      <c r="T1619">
        <v>1</v>
      </c>
    </row>
    <row r="1620" spans="1:20" ht="16.5" x14ac:dyDescent="0.3">
      <c r="A1620" t="s">
        <v>1670</v>
      </c>
      <c r="B1620" s="1">
        <v>45538</v>
      </c>
      <c r="C1620">
        <v>2024</v>
      </c>
      <c r="D1620" t="s">
        <v>1261</v>
      </c>
      <c r="E1620" t="s">
        <v>1651</v>
      </c>
      <c r="F1620" t="s">
        <v>38</v>
      </c>
      <c r="G1620" t="s">
        <v>35</v>
      </c>
      <c r="H1620" t="s">
        <v>36</v>
      </c>
      <c r="I1620" t="s">
        <v>26</v>
      </c>
      <c r="J1620" t="s">
        <v>27</v>
      </c>
      <c r="K1620" t="s">
        <v>32</v>
      </c>
      <c r="L1620" s="2">
        <v>0.6</v>
      </c>
      <c r="M1620" s="3">
        <v>277</v>
      </c>
      <c r="N1620">
        <v>3</v>
      </c>
      <c r="O1620">
        <v>2</v>
      </c>
      <c r="P1620">
        <v>1</v>
      </c>
      <c r="Q1620">
        <v>0</v>
      </c>
      <c r="R1620" s="4">
        <v>10.75</v>
      </c>
      <c r="S1620">
        <v>0</v>
      </c>
      <c r="T1620">
        <v>1</v>
      </c>
    </row>
    <row r="1621" spans="1:20" ht="16.5" x14ac:dyDescent="0.3">
      <c r="A1621" t="s">
        <v>1671</v>
      </c>
      <c r="B1621" s="1">
        <v>45538</v>
      </c>
      <c r="C1621">
        <v>2024</v>
      </c>
      <c r="D1621" t="s">
        <v>1261</v>
      </c>
      <c r="E1621" t="s">
        <v>1651</v>
      </c>
      <c r="F1621" t="s">
        <v>34</v>
      </c>
      <c r="G1621" t="s">
        <v>35</v>
      </c>
      <c r="H1621" t="s">
        <v>25</v>
      </c>
      <c r="I1621" t="s">
        <v>40</v>
      </c>
      <c r="J1621" t="s">
        <v>41</v>
      </c>
      <c r="K1621" t="s">
        <v>32</v>
      </c>
      <c r="L1621" s="2">
        <v>15.3</v>
      </c>
      <c r="M1621" s="3">
        <v>768</v>
      </c>
      <c r="N1621">
        <v>2</v>
      </c>
      <c r="O1621">
        <v>2</v>
      </c>
      <c r="P1621">
        <v>1</v>
      </c>
      <c r="Q1621">
        <v>0</v>
      </c>
      <c r="R1621" s="4">
        <v>64.489999999999995</v>
      </c>
      <c r="S1621">
        <v>0</v>
      </c>
      <c r="T1621">
        <v>1</v>
      </c>
    </row>
    <row r="1622" spans="1:20" ht="16.5" x14ac:dyDescent="0.3">
      <c r="A1622" t="s">
        <v>1672</v>
      </c>
      <c r="B1622" s="1">
        <v>45538</v>
      </c>
      <c r="C1622">
        <v>2024</v>
      </c>
      <c r="D1622" t="s">
        <v>1261</v>
      </c>
      <c r="E1622" t="s">
        <v>1651</v>
      </c>
      <c r="F1622" t="s">
        <v>38</v>
      </c>
      <c r="G1622" t="s">
        <v>24</v>
      </c>
      <c r="H1622" t="s">
        <v>48</v>
      </c>
      <c r="I1622" t="s">
        <v>26</v>
      </c>
      <c r="J1622" t="s">
        <v>27</v>
      </c>
      <c r="K1622" t="s">
        <v>32</v>
      </c>
      <c r="L1622" s="2">
        <v>3.8</v>
      </c>
      <c r="M1622" s="3">
        <v>470</v>
      </c>
      <c r="N1622">
        <v>4</v>
      </c>
      <c r="O1622">
        <v>4</v>
      </c>
      <c r="P1622">
        <v>1</v>
      </c>
      <c r="Q1622">
        <v>0</v>
      </c>
      <c r="R1622" s="4">
        <v>14.95</v>
      </c>
      <c r="S1622">
        <v>0</v>
      </c>
      <c r="T1622">
        <v>1</v>
      </c>
    </row>
    <row r="1623" spans="1:20" ht="16.5" x14ac:dyDescent="0.3">
      <c r="A1623" t="s">
        <v>1673</v>
      </c>
      <c r="B1623" s="1">
        <v>45538</v>
      </c>
      <c r="C1623">
        <v>2024</v>
      </c>
      <c r="D1623" t="s">
        <v>1261</v>
      </c>
      <c r="E1623" t="s">
        <v>1651</v>
      </c>
      <c r="F1623" t="s">
        <v>23</v>
      </c>
      <c r="G1623" t="s">
        <v>24</v>
      </c>
      <c r="H1623" t="s">
        <v>48</v>
      </c>
      <c r="I1623" t="s">
        <v>31</v>
      </c>
      <c r="J1623" t="s">
        <v>27</v>
      </c>
      <c r="K1623" t="s">
        <v>32</v>
      </c>
      <c r="L1623" s="2">
        <v>2.7</v>
      </c>
      <c r="M1623" s="3">
        <v>497</v>
      </c>
      <c r="N1623">
        <v>6</v>
      </c>
      <c r="O1623">
        <v>6</v>
      </c>
      <c r="P1623">
        <v>1</v>
      </c>
      <c r="Q1623">
        <v>0</v>
      </c>
      <c r="R1623" s="4">
        <v>9.65</v>
      </c>
      <c r="S1623">
        <v>0</v>
      </c>
      <c r="T1623">
        <v>1</v>
      </c>
    </row>
    <row r="1624" spans="1:20" ht="16.5" x14ac:dyDescent="0.3">
      <c r="A1624" t="s">
        <v>1674</v>
      </c>
      <c r="B1624" s="1">
        <v>45538</v>
      </c>
      <c r="C1624">
        <v>2024</v>
      </c>
      <c r="D1624" t="s">
        <v>1261</v>
      </c>
      <c r="E1624" t="s">
        <v>1651</v>
      </c>
      <c r="F1624" t="s">
        <v>38</v>
      </c>
      <c r="G1624" t="s">
        <v>39</v>
      </c>
      <c r="H1624" t="s">
        <v>48</v>
      </c>
      <c r="I1624" t="s">
        <v>26</v>
      </c>
      <c r="J1624" t="s">
        <v>27</v>
      </c>
      <c r="K1624" t="s">
        <v>32</v>
      </c>
      <c r="L1624" s="2">
        <v>8.4</v>
      </c>
      <c r="M1624" s="3">
        <v>508</v>
      </c>
      <c r="N1624">
        <v>4</v>
      </c>
      <c r="O1624">
        <v>4</v>
      </c>
      <c r="P1624">
        <v>1</v>
      </c>
      <c r="Q1624">
        <v>0</v>
      </c>
      <c r="R1624" s="4">
        <v>18.13</v>
      </c>
      <c r="S1624">
        <v>0</v>
      </c>
      <c r="T1624">
        <v>1</v>
      </c>
    </row>
    <row r="1625" spans="1:20" ht="16.5" x14ac:dyDescent="0.3">
      <c r="A1625" t="s">
        <v>1675</v>
      </c>
      <c r="B1625" s="1">
        <v>45538</v>
      </c>
      <c r="C1625">
        <v>2024</v>
      </c>
      <c r="D1625" t="s">
        <v>1261</v>
      </c>
      <c r="E1625" t="s">
        <v>1651</v>
      </c>
      <c r="F1625" t="s">
        <v>23</v>
      </c>
      <c r="G1625" t="s">
        <v>39</v>
      </c>
      <c r="H1625" t="s">
        <v>51</v>
      </c>
      <c r="I1625" t="s">
        <v>40</v>
      </c>
      <c r="J1625" t="s">
        <v>41</v>
      </c>
      <c r="K1625" t="s">
        <v>32</v>
      </c>
      <c r="L1625" s="2">
        <v>4.7</v>
      </c>
      <c r="M1625" s="3">
        <v>1195</v>
      </c>
      <c r="N1625">
        <v>3</v>
      </c>
      <c r="O1625">
        <v>6</v>
      </c>
      <c r="P1625">
        <v>0</v>
      </c>
      <c r="Q1625">
        <v>3</v>
      </c>
      <c r="R1625" s="4">
        <v>69.260000000000005</v>
      </c>
      <c r="S1625">
        <v>0</v>
      </c>
      <c r="T1625">
        <v>1</v>
      </c>
    </row>
    <row r="1626" spans="1:20" ht="16.5" x14ac:dyDescent="0.3">
      <c r="A1626" t="s">
        <v>1676</v>
      </c>
      <c r="B1626" s="1">
        <v>45539</v>
      </c>
      <c r="C1626">
        <v>2024</v>
      </c>
      <c r="D1626" t="s">
        <v>1261</v>
      </c>
      <c r="E1626" t="s">
        <v>1651</v>
      </c>
      <c r="F1626" t="s">
        <v>57</v>
      </c>
      <c r="G1626" t="s">
        <v>24</v>
      </c>
      <c r="H1626" t="s">
        <v>36</v>
      </c>
      <c r="I1626" t="s">
        <v>26</v>
      </c>
      <c r="J1626" t="s">
        <v>27</v>
      </c>
      <c r="K1626" t="s">
        <v>32</v>
      </c>
      <c r="L1626" s="2">
        <v>12.7</v>
      </c>
      <c r="M1626" s="3">
        <v>198</v>
      </c>
      <c r="N1626">
        <v>3</v>
      </c>
      <c r="O1626">
        <v>3</v>
      </c>
      <c r="P1626">
        <v>1</v>
      </c>
      <c r="Q1626">
        <v>0</v>
      </c>
      <c r="R1626" s="4">
        <v>15.75</v>
      </c>
      <c r="S1626">
        <v>0</v>
      </c>
      <c r="T1626">
        <v>1</v>
      </c>
    </row>
    <row r="1627" spans="1:20" ht="16.5" x14ac:dyDescent="0.3">
      <c r="A1627" t="s">
        <v>1677</v>
      </c>
      <c r="B1627" s="1">
        <v>45539</v>
      </c>
      <c r="C1627">
        <v>2024</v>
      </c>
      <c r="D1627" t="s">
        <v>1261</v>
      </c>
      <c r="E1627" t="s">
        <v>1651</v>
      </c>
      <c r="F1627" t="s">
        <v>57</v>
      </c>
      <c r="G1627" t="s">
        <v>39</v>
      </c>
      <c r="H1627" t="s">
        <v>36</v>
      </c>
      <c r="I1627" t="s">
        <v>26</v>
      </c>
      <c r="J1627" t="s">
        <v>27</v>
      </c>
      <c r="K1627" t="s">
        <v>28</v>
      </c>
      <c r="L1627" s="2">
        <v>183.9</v>
      </c>
      <c r="M1627" s="3">
        <v>175</v>
      </c>
      <c r="N1627">
        <v>3</v>
      </c>
      <c r="O1627">
        <v>3</v>
      </c>
      <c r="P1627">
        <v>1</v>
      </c>
      <c r="Q1627">
        <v>0</v>
      </c>
      <c r="R1627" s="4">
        <v>86.74</v>
      </c>
      <c r="S1627">
        <v>0</v>
      </c>
      <c r="T1627">
        <v>1</v>
      </c>
    </row>
    <row r="1628" spans="1:20" ht="16.5" x14ac:dyDescent="0.3">
      <c r="A1628" t="s">
        <v>1678</v>
      </c>
      <c r="B1628" s="1">
        <v>45539</v>
      </c>
      <c r="C1628">
        <v>2024</v>
      </c>
      <c r="D1628" t="s">
        <v>1261</v>
      </c>
      <c r="E1628" t="s">
        <v>1651</v>
      </c>
      <c r="F1628" t="s">
        <v>38</v>
      </c>
      <c r="G1628" t="s">
        <v>35</v>
      </c>
      <c r="H1628" t="s">
        <v>25</v>
      </c>
      <c r="I1628" t="s">
        <v>40</v>
      </c>
      <c r="J1628" t="s">
        <v>41</v>
      </c>
      <c r="K1628" t="s">
        <v>28</v>
      </c>
      <c r="L1628" s="2">
        <v>178.9</v>
      </c>
      <c r="M1628" s="3">
        <v>610</v>
      </c>
      <c r="N1628">
        <v>2</v>
      </c>
      <c r="O1628">
        <v>3</v>
      </c>
      <c r="P1628">
        <v>0</v>
      </c>
      <c r="Q1628">
        <v>1</v>
      </c>
      <c r="R1628" s="4">
        <v>323.08999999999997</v>
      </c>
      <c r="S1628">
        <v>0</v>
      </c>
      <c r="T1628">
        <v>1</v>
      </c>
    </row>
    <row r="1629" spans="1:20" ht="16.5" x14ac:dyDescent="0.3">
      <c r="A1629" t="s">
        <v>1679</v>
      </c>
      <c r="B1629" s="1">
        <v>45539</v>
      </c>
      <c r="C1629">
        <v>2024</v>
      </c>
      <c r="D1629" t="s">
        <v>1261</v>
      </c>
      <c r="E1629" t="s">
        <v>1651</v>
      </c>
      <c r="F1629" t="s">
        <v>38</v>
      </c>
      <c r="G1629" t="s">
        <v>24</v>
      </c>
      <c r="H1629" t="s">
        <v>43</v>
      </c>
      <c r="I1629" t="s">
        <v>40</v>
      </c>
      <c r="J1629" t="s">
        <v>41</v>
      </c>
      <c r="K1629" t="s">
        <v>32</v>
      </c>
      <c r="L1629" s="2">
        <v>11.1</v>
      </c>
      <c r="M1629" s="3">
        <v>1310</v>
      </c>
      <c r="N1629">
        <v>3</v>
      </c>
      <c r="O1629">
        <v>3</v>
      </c>
      <c r="P1629">
        <v>1</v>
      </c>
      <c r="Q1629">
        <v>0</v>
      </c>
      <c r="R1629" s="4">
        <v>92.76</v>
      </c>
      <c r="S1629">
        <v>0</v>
      </c>
      <c r="T1629">
        <v>1</v>
      </c>
    </row>
    <row r="1630" spans="1:20" ht="16.5" x14ac:dyDescent="0.3">
      <c r="A1630" t="s">
        <v>1680</v>
      </c>
      <c r="B1630" s="1">
        <v>45540</v>
      </c>
      <c r="C1630">
        <v>2024</v>
      </c>
      <c r="D1630" t="s">
        <v>1261</v>
      </c>
      <c r="E1630" t="s">
        <v>1651</v>
      </c>
      <c r="F1630" t="s">
        <v>23</v>
      </c>
      <c r="G1630" t="s">
        <v>39</v>
      </c>
      <c r="H1630" t="s">
        <v>36</v>
      </c>
      <c r="I1630" t="s">
        <v>26</v>
      </c>
      <c r="J1630" t="s">
        <v>27</v>
      </c>
      <c r="K1630" t="s">
        <v>32</v>
      </c>
      <c r="L1630" s="2">
        <v>14.8</v>
      </c>
      <c r="M1630" s="3">
        <v>319</v>
      </c>
      <c r="N1630">
        <v>3</v>
      </c>
      <c r="O1630">
        <v>3</v>
      </c>
      <c r="P1630">
        <v>1</v>
      </c>
      <c r="Q1630">
        <v>0</v>
      </c>
      <c r="R1630" s="4">
        <v>17.079999999999998</v>
      </c>
      <c r="S1630">
        <v>0</v>
      </c>
      <c r="T1630">
        <v>1</v>
      </c>
    </row>
    <row r="1631" spans="1:20" ht="16.5" x14ac:dyDescent="0.3">
      <c r="A1631" t="s">
        <v>1681</v>
      </c>
      <c r="B1631" s="1">
        <v>45540</v>
      </c>
      <c r="C1631">
        <v>2024</v>
      </c>
      <c r="D1631" t="s">
        <v>1261</v>
      </c>
      <c r="E1631" t="s">
        <v>1651</v>
      </c>
      <c r="F1631" t="s">
        <v>23</v>
      </c>
      <c r="G1631" t="s">
        <v>35</v>
      </c>
      <c r="H1631" t="s">
        <v>25</v>
      </c>
      <c r="I1631" t="s">
        <v>26</v>
      </c>
      <c r="J1631" t="s">
        <v>27</v>
      </c>
      <c r="K1631" t="s">
        <v>32</v>
      </c>
      <c r="L1631" s="2">
        <v>9.5</v>
      </c>
      <c r="M1631" s="3">
        <v>775</v>
      </c>
      <c r="N1631">
        <v>4</v>
      </c>
      <c r="O1631">
        <v>3</v>
      </c>
      <c r="P1631">
        <v>1</v>
      </c>
      <c r="Q1631">
        <v>0</v>
      </c>
      <c r="R1631" s="4">
        <v>19.989999999999998</v>
      </c>
      <c r="S1631">
        <v>0</v>
      </c>
      <c r="T1631">
        <v>1</v>
      </c>
    </row>
    <row r="1632" spans="1:20" ht="16.5" x14ac:dyDescent="0.3">
      <c r="A1632" t="s">
        <v>1682</v>
      </c>
      <c r="B1632" s="1">
        <v>45540</v>
      </c>
      <c r="C1632">
        <v>2024</v>
      </c>
      <c r="D1632" t="s">
        <v>1261</v>
      </c>
      <c r="E1632" t="s">
        <v>1651</v>
      </c>
      <c r="F1632" t="s">
        <v>38</v>
      </c>
      <c r="G1632" t="s">
        <v>35</v>
      </c>
      <c r="H1632" t="s">
        <v>48</v>
      </c>
      <c r="I1632" t="s">
        <v>26</v>
      </c>
      <c r="J1632" t="s">
        <v>27</v>
      </c>
      <c r="K1632" t="s">
        <v>32</v>
      </c>
      <c r="L1632" s="2">
        <v>15.6</v>
      </c>
      <c r="M1632" s="3">
        <v>550</v>
      </c>
      <c r="N1632">
        <v>4</v>
      </c>
      <c r="O1632">
        <v>4</v>
      </c>
      <c r="P1632">
        <v>1</v>
      </c>
      <c r="Q1632">
        <v>0</v>
      </c>
      <c r="R1632" s="4">
        <v>24.11</v>
      </c>
      <c r="S1632">
        <v>0</v>
      </c>
      <c r="T1632">
        <v>1</v>
      </c>
    </row>
    <row r="1633" spans="1:20" ht="16.5" x14ac:dyDescent="0.3">
      <c r="A1633" t="s">
        <v>1683</v>
      </c>
      <c r="B1633" s="1">
        <v>45540</v>
      </c>
      <c r="C1633">
        <v>2024</v>
      </c>
      <c r="D1633" t="s">
        <v>1261</v>
      </c>
      <c r="E1633" t="s">
        <v>1651</v>
      </c>
      <c r="F1633" t="s">
        <v>57</v>
      </c>
      <c r="G1633" t="s">
        <v>39</v>
      </c>
      <c r="H1633" t="s">
        <v>36</v>
      </c>
      <c r="I1633" t="s">
        <v>31</v>
      </c>
      <c r="J1633" t="s">
        <v>27</v>
      </c>
      <c r="K1633" t="s">
        <v>28</v>
      </c>
      <c r="L1633" s="2">
        <v>207.1</v>
      </c>
      <c r="M1633" s="3">
        <v>204</v>
      </c>
      <c r="N1633">
        <v>5</v>
      </c>
      <c r="O1633">
        <v>4</v>
      </c>
      <c r="P1633">
        <v>1</v>
      </c>
      <c r="Q1633">
        <v>0</v>
      </c>
      <c r="R1633" s="4">
        <v>62.84</v>
      </c>
      <c r="S1633">
        <v>0</v>
      </c>
      <c r="T1633">
        <v>1</v>
      </c>
    </row>
    <row r="1634" spans="1:20" ht="16.5" x14ac:dyDescent="0.3">
      <c r="A1634" t="s">
        <v>1684</v>
      </c>
      <c r="B1634" s="1">
        <v>45540</v>
      </c>
      <c r="C1634">
        <v>2024</v>
      </c>
      <c r="D1634" t="s">
        <v>1261</v>
      </c>
      <c r="E1634" t="s">
        <v>1651</v>
      </c>
      <c r="F1634" t="s">
        <v>38</v>
      </c>
      <c r="G1634" t="s">
        <v>39</v>
      </c>
      <c r="H1634" t="s">
        <v>48</v>
      </c>
      <c r="I1634" t="s">
        <v>40</v>
      </c>
      <c r="J1634" t="s">
        <v>27</v>
      </c>
      <c r="K1634" t="s">
        <v>28</v>
      </c>
      <c r="L1634" s="2">
        <v>289.2</v>
      </c>
      <c r="M1634" s="3">
        <v>424</v>
      </c>
      <c r="N1634">
        <v>2</v>
      </c>
      <c r="O1634">
        <v>2</v>
      </c>
      <c r="P1634">
        <v>1</v>
      </c>
      <c r="Q1634">
        <v>0</v>
      </c>
      <c r="R1634" s="4">
        <v>264.95999999999998</v>
      </c>
      <c r="S1634">
        <v>0</v>
      </c>
      <c r="T1634">
        <v>1</v>
      </c>
    </row>
    <row r="1635" spans="1:20" ht="16.5" x14ac:dyDescent="0.3">
      <c r="A1635" t="s">
        <v>1685</v>
      </c>
      <c r="B1635" s="1">
        <v>45540</v>
      </c>
      <c r="C1635">
        <v>2024</v>
      </c>
      <c r="D1635" t="s">
        <v>1261</v>
      </c>
      <c r="E1635" t="s">
        <v>1651</v>
      </c>
      <c r="F1635" t="s">
        <v>23</v>
      </c>
      <c r="G1635" t="s">
        <v>39</v>
      </c>
      <c r="H1635" t="s">
        <v>36</v>
      </c>
      <c r="I1635" t="s">
        <v>26</v>
      </c>
      <c r="J1635" t="s">
        <v>27</v>
      </c>
      <c r="K1635" t="s">
        <v>28</v>
      </c>
      <c r="L1635" s="2">
        <v>52.8</v>
      </c>
      <c r="M1635" s="3">
        <v>204</v>
      </c>
      <c r="N1635">
        <v>3</v>
      </c>
      <c r="O1635">
        <v>3</v>
      </c>
      <c r="P1635">
        <v>1</v>
      </c>
      <c r="Q1635">
        <v>0</v>
      </c>
      <c r="R1635" s="4">
        <v>32.770000000000003</v>
      </c>
      <c r="S1635">
        <v>0</v>
      </c>
      <c r="T1635">
        <v>1</v>
      </c>
    </row>
    <row r="1636" spans="1:20" ht="16.5" x14ac:dyDescent="0.3">
      <c r="A1636" t="s">
        <v>1686</v>
      </c>
      <c r="B1636" s="1">
        <v>45540</v>
      </c>
      <c r="C1636">
        <v>2024</v>
      </c>
      <c r="D1636" t="s">
        <v>1261</v>
      </c>
      <c r="E1636" t="s">
        <v>1651</v>
      </c>
      <c r="F1636" t="s">
        <v>23</v>
      </c>
      <c r="G1636" t="s">
        <v>39</v>
      </c>
      <c r="H1636" t="s">
        <v>36</v>
      </c>
      <c r="I1636" t="s">
        <v>26</v>
      </c>
      <c r="J1636" t="s">
        <v>27</v>
      </c>
      <c r="K1636" t="s">
        <v>32</v>
      </c>
      <c r="L1636" s="2">
        <v>5.9</v>
      </c>
      <c r="M1636" s="3">
        <v>198</v>
      </c>
      <c r="N1636">
        <v>3</v>
      </c>
      <c r="O1636">
        <v>2</v>
      </c>
      <c r="P1636">
        <v>1</v>
      </c>
      <c r="Q1636">
        <v>0</v>
      </c>
      <c r="R1636" s="4">
        <v>12.97</v>
      </c>
      <c r="S1636">
        <v>0</v>
      </c>
      <c r="T1636">
        <v>1</v>
      </c>
    </row>
    <row r="1637" spans="1:20" ht="16.5" x14ac:dyDescent="0.3">
      <c r="A1637" t="s">
        <v>1687</v>
      </c>
      <c r="B1637" s="1">
        <v>45541</v>
      </c>
      <c r="C1637">
        <v>2024</v>
      </c>
      <c r="D1637" t="s">
        <v>1261</v>
      </c>
      <c r="E1637" t="s">
        <v>1651</v>
      </c>
      <c r="F1637" t="s">
        <v>57</v>
      </c>
      <c r="G1637" t="s">
        <v>24</v>
      </c>
      <c r="H1637" t="s">
        <v>36</v>
      </c>
      <c r="I1637" t="s">
        <v>40</v>
      </c>
      <c r="J1637" t="s">
        <v>27</v>
      </c>
      <c r="K1637" t="s">
        <v>32</v>
      </c>
      <c r="L1637" s="2">
        <v>6.5</v>
      </c>
      <c r="M1637" s="3">
        <v>243</v>
      </c>
      <c r="N1637">
        <v>1</v>
      </c>
      <c r="O1637">
        <v>1</v>
      </c>
      <c r="P1637">
        <v>1</v>
      </c>
      <c r="Q1637">
        <v>0</v>
      </c>
      <c r="R1637" s="4">
        <v>25.18</v>
      </c>
      <c r="S1637">
        <v>0</v>
      </c>
      <c r="T1637">
        <v>1</v>
      </c>
    </row>
    <row r="1638" spans="1:20" ht="16.5" x14ac:dyDescent="0.3">
      <c r="A1638" t="s">
        <v>1688</v>
      </c>
      <c r="B1638" s="1">
        <v>45541</v>
      </c>
      <c r="C1638">
        <v>2024</v>
      </c>
      <c r="D1638" t="s">
        <v>1261</v>
      </c>
      <c r="E1638" t="s">
        <v>1651</v>
      </c>
      <c r="F1638" t="s">
        <v>23</v>
      </c>
      <c r="G1638" t="s">
        <v>24</v>
      </c>
      <c r="H1638" t="s">
        <v>51</v>
      </c>
      <c r="I1638" t="s">
        <v>31</v>
      </c>
      <c r="J1638" t="s">
        <v>27</v>
      </c>
      <c r="K1638" t="s">
        <v>32</v>
      </c>
      <c r="L1638" s="2">
        <v>3.1</v>
      </c>
      <c r="M1638" s="3">
        <v>876</v>
      </c>
      <c r="N1638">
        <v>7</v>
      </c>
      <c r="O1638">
        <v>8</v>
      </c>
      <c r="P1638">
        <v>0</v>
      </c>
      <c r="Q1638">
        <v>1</v>
      </c>
      <c r="R1638" s="4">
        <v>13.29</v>
      </c>
      <c r="S1638">
        <v>0</v>
      </c>
      <c r="T1638">
        <v>1</v>
      </c>
    </row>
    <row r="1639" spans="1:20" ht="16.5" x14ac:dyDescent="0.3">
      <c r="A1639" t="s">
        <v>1689</v>
      </c>
      <c r="B1639" s="1">
        <v>45541</v>
      </c>
      <c r="C1639">
        <v>2024</v>
      </c>
      <c r="D1639" t="s">
        <v>1261</v>
      </c>
      <c r="E1639" t="s">
        <v>1651</v>
      </c>
      <c r="F1639" t="s">
        <v>34</v>
      </c>
      <c r="G1639" t="s">
        <v>24</v>
      </c>
      <c r="H1639" t="s">
        <v>43</v>
      </c>
      <c r="I1639" t="s">
        <v>31</v>
      </c>
      <c r="J1639" t="s">
        <v>27</v>
      </c>
      <c r="K1639" t="s">
        <v>28</v>
      </c>
      <c r="L1639" s="2">
        <v>154.9</v>
      </c>
      <c r="M1639" s="3">
        <v>1270</v>
      </c>
      <c r="N1639">
        <v>7</v>
      </c>
      <c r="O1639">
        <v>7</v>
      </c>
      <c r="P1639">
        <v>1</v>
      </c>
      <c r="Q1639">
        <v>0</v>
      </c>
      <c r="R1639" s="4">
        <v>49.93</v>
      </c>
      <c r="S1639">
        <v>0</v>
      </c>
      <c r="T1639">
        <v>1</v>
      </c>
    </row>
    <row r="1640" spans="1:20" ht="16.5" x14ac:dyDescent="0.3">
      <c r="A1640" t="s">
        <v>1690</v>
      </c>
      <c r="B1640" s="1">
        <v>45541</v>
      </c>
      <c r="C1640">
        <v>2024</v>
      </c>
      <c r="D1640" t="s">
        <v>1261</v>
      </c>
      <c r="E1640" t="s">
        <v>1651</v>
      </c>
      <c r="F1640" t="s">
        <v>23</v>
      </c>
      <c r="G1640" t="s">
        <v>39</v>
      </c>
      <c r="H1640" t="s">
        <v>43</v>
      </c>
      <c r="I1640" t="s">
        <v>31</v>
      </c>
      <c r="J1640" t="s">
        <v>27</v>
      </c>
      <c r="K1640" t="s">
        <v>32</v>
      </c>
      <c r="L1640" s="2">
        <v>7.3</v>
      </c>
      <c r="M1640" s="3">
        <v>816</v>
      </c>
      <c r="N1640">
        <v>7</v>
      </c>
      <c r="O1640">
        <v>7</v>
      </c>
      <c r="P1640">
        <v>1</v>
      </c>
      <c r="Q1640">
        <v>0</v>
      </c>
      <c r="R1640" s="4">
        <v>12.88</v>
      </c>
      <c r="S1640">
        <v>0</v>
      </c>
      <c r="T1640">
        <v>1</v>
      </c>
    </row>
    <row r="1641" spans="1:20" ht="16.5" x14ac:dyDescent="0.3">
      <c r="A1641" t="s">
        <v>1691</v>
      </c>
      <c r="B1641" s="1">
        <v>45541</v>
      </c>
      <c r="C1641">
        <v>2024</v>
      </c>
      <c r="D1641" t="s">
        <v>1261</v>
      </c>
      <c r="E1641" t="s">
        <v>1651</v>
      </c>
      <c r="F1641" t="s">
        <v>34</v>
      </c>
      <c r="G1641" t="s">
        <v>39</v>
      </c>
      <c r="H1641" t="s">
        <v>25</v>
      </c>
      <c r="I1641" t="s">
        <v>26</v>
      </c>
      <c r="J1641" t="s">
        <v>27</v>
      </c>
      <c r="K1641" t="s">
        <v>32</v>
      </c>
      <c r="L1641" s="2">
        <v>9.1</v>
      </c>
      <c r="M1641" s="3">
        <v>1088</v>
      </c>
      <c r="N1641">
        <v>4</v>
      </c>
      <c r="O1641">
        <v>3</v>
      </c>
      <c r="P1641">
        <v>1</v>
      </c>
      <c r="Q1641">
        <v>0</v>
      </c>
      <c r="R1641" s="4">
        <v>22.09</v>
      </c>
      <c r="S1641">
        <v>0</v>
      </c>
      <c r="T1641">
        <v>1</v>
      </c>
    </row>
    <row r="1642" spans="1:20" ht="16.5" x14ac:dyDescent="0.3">
      <c r="A1642" t="s">
        <v>1692</v>
      </c>
      <c r="B1642" s="1">
        <v>45541</v>
      </c>
      <c r="C1642">
        <v>2024</v>
      </c>
      <c r="D1642" t="s">
        <v>1261</v>
      </c>
      <c r="E1642" t="s">
        <v>1651</v>
      </c>
      <c r="F1642" t="s">
        <v>38</v>
      </c>
      <c r="G1642" t="s">
        <v>39</v>
      </c>
      <c r="H1642" t="s">
        <v>51</v>
      </c>
      <c r="I1642" t="s">
        <v>26</v>
      </c>
      <c r="J1642" t="s">
        <v>27</v>
      </c>
      <c r="K1642" t="s">
        <v>32</v>
      </c>
      <c r="L1642" s="2">
        <v>4.8</v>
      </c>
      <c r="M1642" s="3">
        <v>1124</v>
      </c>
      <c r="N1642">
        <v>5</v>
      </c>
      <c r="O1642">
        <v>5</v>
      </c>
      <c r="P1642">
        <v>1</v>
      </c>
      <c r="Q1642">
        <v>0</v>
      </c>
      <c r="R1642" s="4">
        <v>26.24</v>
      </c>
      <c r="S1642">
        <v>0</v>
      </c>
      <c r="T1642">
        <v>1</v>
      </c>
    </row>
    <row r="1643" spans="1:20" ht="16.5" x14ac:dyDescent="0.3">
      <c r="A1643" t="s">
        <v>1693</v>
      </c>
      <c r="B1643" s="1">
        <v>45541</v>
      </c>
      <c r="C1643">
        <v>2024</v>
      </c>
      <c r="D1643" t="s">
        <v>1261</v>
      </c>
      <c r="E1643" t="s">
        <v>1651</v>
      </c>
      <c r="F1643" t="s">
        <v>38</v>
      </c>
      <c r="G1643" t="s">
        <v>35</v>
      </c>
      <c r="H1643" t="s">
        <v>25</v>
      </c>
      <c r="I1643" t="s">
        <v>26</v>
      </c>
      <c r="J1643" t="s">
        <v>27</v>
      </c>
      <c r="K1643" t="s">
        <v>32</v>
      </c>
      <c r="L1643" s="2">
        <v>1.4</v>
      </c>
      <c r="M1643" s="3">
        <v>762</v>
      </c>
      <c r="N1643">
        <v>4</v>
      </c>
      <c r="O1643">
        <v>4</v>
      </c>
      <c r="P1643">
        <v>1</v>
      </c>
      <c r="Q1643">
        <v>0</v>
      </c>
      <c r="R1643" s="4">
        <v>17.25</v>
      </c>
      <c r="S1643">
        <v>0</v>
      </c>
      <c r="T1643">
        <v>1</v>
      </c>
    </row>
    <row r="1644" spans="1:20" ht="16.5" x14ac:dyDescent="0.3">
      <c r="A1644" t="s">
        <v>1694</v>
      </c>
      <c r="B1644" s="1">
        <v>45541</v>
      </c>
      <c r="C1644">
        <v>2024</v>
      </c>
      <c r="D1644" t="s">
        <v>1261</v>
      </c>
      <c r="E1644" t="s">
        <v>1651</v>
      </c>
      <c r="F1644" t="s">
        <v>34</v>
      </c>
      <c r="G1644" t="s">
        <v>39</v>
      </c>
      <c r="H1644" t="s">
        <v>25</v>
      </c>
      <c r="I1644" t="s">
        <v>26</v>
      </c>
      <c r="J1644" t="s">
        <v>27</v>
      </c>
      <c r="K1644" t="s">
        <v>28</v>
      </c>
      <c r="L1644" s="2">
        <v>303.39999999999998</v>
      </c>
      <c r="M1644" s="3">
        <v>680</v>
      </c>
      <c r="N1644">
        <v>4</v>
      </c>
      <c r="O1644">
        <v>3</v>
      </c>
      <c r="P1644">
        <v>1</v>
      </c>
      <c r="Q1644">
        <v>0</v>
      </c>
      <c r="R1644" s="4">
        <v>96.54</v>
      </c>
      <c r="S1644">
        <v>0</v>
      </c>
      <c r="T1644">
        <v>1</v>
      </c>
    </row>
    <row r="1645" spans="1:20" ht="16.5" x14ac:dyDescent="0.3">
      <c r="A1645" t="s">
        <v>1695</v>
      </c>
      <c r="B1645" s="1">
        <v>45542</v>
      </c>
      <c r="C1645">
        <v>2024</v>
      </c>
      <c r="D1645" t="s">
        <v>1261</v>
      </c>
      <c r="E1645" t="s">
        <v>1651</v>
      </c>
      <c r="F1645" t="s">
        <v>23</v>
      </c>
      <c r="G1645" t="s">
        <v>35</v>
      </c>
      <c r="H1645" t="s">
        <v>36</v>
      </c>
      <c r="I1645" t="s">
        <v>26</v>
      </c>
      <c r="J1645" t="s">
        <v>27</v>
      </c>
      <c r="K1645" t="s">
        <v>32</v>
      </c>
      <c r="L1645" s="2">
        <v>2.6</v>
      </c>
      <c r="M1645" s="3">
        <v>218</v>
      </c>
      <c r="N1645">
        <v>3</v>
      </c>
      <c r="O1645">
        <v>2</v>
      </c>
      <c r="P1645">
        <v>1</v>
      </c>
      <c r="Q1645">
        <v>0</v>
      </c>
      <c r="R1645" s="4">
        <v>11.19</v>
      </c>
      <c r="S1645">
        <v>0</v>
      </c>
      <c r="T1645">
        <v>1</v>
      </c>
    </row>
    <row r="1646" spans="1:20" ht="16.5" x14ac:dyDescent="0.3">
      <c r="A1646" t="s">
        <v>1696</v>
      </c>
      <c r="B1646" s="1">
        <v>45542</v>
      </c>
      <c r="C1646">
        <v>2024</v>
      </c>
      <c r="D1646" t="s">
        <v>1261</v>
      </c>
      <c r="E1646" t="s">
        <v>1651</v>
      </c>
      <c r="F1646" t="s">
        <v>23</v>
      </c>
      <c r="G1646" t="s">
        <v>35</v>
      </c>
      <c r="H1646" t="s">
        <v>43</v>
      </c>
      <c r="I1646" t="s">
        <v>26</v>
      </c>
      <c r="J1646" t="s">
        <v>27</v>
      </c>
      <c r="K1646" t="s">
        <v>32</v>
      </c>
      <c r="L1646" s="2">
        <v>0.8</v>
      </c>
      <c r="M1646" s="3">
        <v>1004</v>
      </c>
      <c r="N1646">
        <v>5</v>
      </c>
      <c r="O1646">
        <v>6</v>
      </c>
      <c r="P1646">
        <v>0</v>
      </c>
      <c r="Q1646">
        <v>1</v>
      </c>
      <c r="R1646" s="4">
        <v>18.23</v>
      </c>
      <c r="S1646">
        <v>0</v>
      </c>
      <c r="T1646">
        <v>1</v>
      </c>
    </row>
    <row r="1647" spans="1:20" ht="16.5" x14ac:dyDescent="0.3">
      <c r="A1647" t="s">
        <v>1697</v>
      </c>
      <c r="B1647" s="1">
        <v>45542</v>
      </c>
      <c r="C1647">
        <v>2024</v>
      </c>
      <c r="D1647" t="s">
        <v>1261</v>
      </c>
      <c r="E1647" t="s">
        <v>1651</v>
      </c>
      <c r="F1647" t="s">
        <v>38</v>
      </c>
      <c r="G1647" t="s">
        <v>39</v>
      </c>
      <c r="H1647" t="s">
        <v>36</v>
      </c>
      <c r="I1647" t="s">
        <v>26</v>
      </c>
      <c r="J1647" t="s">
        <v>27</v>
      </c>
      <c r="K1647" t="s">
        <v>28</v>
      </c>
      <c r="L1647" s="2">
        <v>301.7</v>
      </c>
      <c r="M1647" s="3">
        <v>319</v>
      </c>
      <c r="N1647">
        <v>3</v>
      </c>
      <c r="O1647">
        <v>3</v>
      </c>
      <c r="P1647">
        <v>1</v>
      </c>
      <c r="Q1647">
        <v>0</v>
      </c>
      <c r="R1647" s="4">
        <v>141.34</v>
      </c>
      <c r="S1647">
        <v>0</v>
      </c>
      <c r="T1647">
        <v>1</v>
      </c>
    </row>
    <row r="1648" spans="1:20" ht="16.5" x14ac:dyDescent="0.3">
      <c r="A1648" t="s">
        <v>1698</v>
      </c>
      <c r="B1648" s="1">
        <v>45542</v>
      </c>
      <c r="C1648">
        <v>2024</v>
      </c>
      <c r="D1648" t="s">
        <v>1261</v>
      </c>
      <c r="E1648" t="s">
        <v>1651</v>
      </c>
      <c r="F1648" t="s">
        <v>30</v>
      </c>
      <c r="G1648" t="s">
        <v>39</v>
      </c>
      <c r="H1648" t="s">
        <v>25</v>
      </c>
      <c r="I1648" t="s">
        <v>31</v>
      </c>
      <c r="J1648" t="s">
        <v>27</v>
      </c>
      <c r="K1648" t="s">
        <v>28</v>
      </c>
      <c r="L1648" s="2">
        <v>228.4</v>
      </c>
      <c r="M1648" s="3">
        <v>1028</v>
      </c>
      <c r="N1648">
        <v>6</v>
      </c>
      <c r="O1648">
        <v>6</v>
      </c>
      <c r="P1648">
        <v>1</v>
      </c>
      <c r="Q1648">
        <v>0</v>
      </c>
      <c r="R1648" s="4">
        <v>85.14</v>
      </c>
      <c r="S1648">
        <v>0</v>
      </c>
      <c r="T1648">
        <v>1</v>
      </c>
    </row>
    <row r="1649" spans="1:20" ht="16.5" x14ac:dyDescent="0.3">
      <c r="A1649" t="s">
        <v>1699</v>
      </c>
      <c r="B1649" s="1">
        <v>45542</v>
      </c>
      <c r="C1649">
        <v>2024</v>
      </c>
      <c r="D1649" t="s">
        <v>1261</v>
      </c>
      <c r="E1649" t="s">
        <v>1651</v>
      </c>
      <c r="F1649" t="s">
        <v>38</v>
      </c>
      <c r="G1649" t="s">
        <v>24</v>
      </c>
      <c r="H1649" t="s">
        <v>48</v>
      </c>
      <c r="I1649" t="s">
        <v>26</v>
      </c>
      <c r="J1649" t="s">
        <v>27</v>
      </c>
      <c r="K1649" t="s">
        <v>28</v>
      </c>
      <c r="L1649" s="2">
        <v>110.1</v>
      </c>
      <c r="M1649" s="3">
        <v>508</v>
      </c>
      <c r="N1649">
        <v>4</v>
      </c>
      <c r="O1649">
        <v>4</v>
      </c>
      <c r="P1649">
        <v>1</v>
      </c>
      <c r="Q1649">
        <v>0</v>
      </c>
      <c r="R1649" s="4">
        <v>66.86</v>
      </c>
      <c r="S1649">
        <v>0</v>
      </c>
      <c r="T1649">
        <v>1</v>
      </c>
    </row>
    <row r="1650" spans="1:20" ht="16.5" x14ac:dyDescent="0.3">
      <c r="A1650" t="s">
        <v>1700</v>
      </c>
      <c r="B1650" s="1">
        <v>45542</v>
      </c>
      <c r="C1650">
        <v>2024</v>
      </c>
      <c r="D1650" t="s">
        <v>1261</v>
      </c>
      <c r="E1650" t="s">
        <v>1651</v>
      </c>
      <c r="F1650" t="s">
        <v>57</v>
      </c>
      <c r="G1650" t="s">
        <v>35</v>
      </c>
      <c r="H1650" t="s">
        <v>25</v>
      </c>
      <c r="I1650" t="s">
        <v>40</v>
      </c>
      <c r="J1650" t="s">
        <v>41</v>
      </c>
      <c r="K1650" t="s">
        <v>32</v>
      </c>
      <c r="L1650" s="2">
        <v>9.1</v>
      </c>
      <c r="M1650" s="3">
        <v>754</v>
      </c>
      <c r="N1650">
        <v>2</v>
      </c>
      <c r="O1650">
        <v>2</v>
      </c>
      <c r="P1650">
        <v>1</v>
      </c>
      <c r="Q1650">
        <v>0</v>
      </c>
      <c r="R1650" s="4">
        <v>63.19</v>
      </c>
      <c r="S1650">
        <v>0</v>
      </c>
      <c r="T1650">
        <v>1</v>
      </c>
    </row>
    <row r="1651" spans="1:20" ht="16.5" x14ac:dyDescent="0.3">
      <c r="A1651" t="s">
        <v>1701</v>
      </c>
      <c r="B1651" s="1">
        <v>45543</v>
      </c>
      <c r="C1651">
        <v>2024</v>
      </c>
      <c r="D1651" t="s">
        <v>1261</v>
      </c>
      <c r="E1651" t="s">
        <v>1651</v>
      </c>
      <c r="F1651" t="s">
        <v>23</v>
      </c>
      <c r="G1651" t="s">
        <v>24</v>
      </c>
      <c r="H1651" t="s">
        <v>36</v>
      </c>
      <c r="I1651" t="s">
        <v>31</v>
      </c>
      <c r="J1651" t="s">
        <v>27</v>
      </c>
      <c r="K1651" t="s">
        <v>32</v>
      </c>
      <c r="L1651" s="2">
        <v>2</v>
      </c>
      <c r="M1651" s="3">
        <v>273</v>
      </c>
      <c r="N1651">
        <v>5</v>
      </c>
      <c r="O1651">
        <v>4</v>
      </c>
      <c r="P1651">
        <v>1</v>
      </c>
      <c r="Q1651">
        <v>0</v>
      </c>
      <c r="R1651" s="4">
        <v>7.7</v>
      </c>
      <c r="S1651">
        <v>0</v>
      </c>
      <c r="T1651">
        <v>1</v>
      </c>
    </row>
    <row r="1652" spans="1:20" ht="16.5" x14ac:dyDescent="0.3">
      <c r="A1652" t="s">
        <v>1702</v>
      </c>
      <c r="B1652" s="1">
        <v>45543</v>
      </c>
      <c r="C1652">
        <v>2024</v>
      </c>
      <c r="D1652" t="s">
        <v>1261</v>
      </c>
      <c r="E1652" t="s">
        <v>1651</v>
      </c>
      <c r="F1652" t="s">
        <v>57</v>
      </c>
      <c r="G1652" t="s">
        <v>39</v>
      </c>
      <c r="H1652" t="s">
        <v>36</v>
      </c>
      <c r="I1652" t="s">
        <v>31</v>
      </c>
      <c r="J1652" t="s">
        <v>27</v>
      </c>
      <c r="K1652" t="s">
        <v>32</v>
      </c>
      <c r="L1652" s="2">
        <v>4.5</v>
      </c>
      <c r="M1652" s="3">
        <v>272</v>
      </c>
      <c r="N1652">
        <v>5</v>
      </c>
      <c r="O1652">
        <v>5</v>
      </c>
      <c r="P1652">
        <v>1</v>
      </c>
      <c r="Q1652">
        <v>0</v>
      </c>
      <c r="R1652" s="4">
        <v>9.51</v>
      </c>
      <c r="S1652">
        <v>0</v>
      </c>
      <c r="T1652">
        <v>1</v>
      </c>
    </row>
    <row r="1653" spans="1:20" ht="16.5" x14ac:dyDescent="0.3">
      <c r="A1653" t="s">
        <v>1703</v>
      </c>
      <c r="B1653" s="1">
        <v>45543</v>
      </c>
      <c r="C1653">
        <v>2024</v>
      </c>
      <c r="D1653" t="s">
        <v>1261</v>
      </c>
      <c r="E1653" t="s">
        <v>1651</v>
      </c>
      <c r="F1653" t="s">
        <v>34</v>
      </c>
      <c r="G1653" t="s">
        <v>35</v>
      </c>
      <c r="H1653" t="s">
        <v>48</v>
      </c>
      <c r="I1653" t="s">
        <v>26</v>
      </c>
      <c r="J1653" t="s">
        <v>27</v>
      </c>
      <c r="K1653" t="s">
        <v>32</v>
      </c>
      <c r="L1653" s="2">
        <v>1.9</v>
      </c>
      <c r="M1653" s="3">
        <v>474</v>
      </c>
      <c r="N1653">
        <v>4</v>
      </c>
      <c r="O1653">
        <v>3</v>
      </c>
      <c r="P1653">
        <v>1</v>
      </c>
      <c r="Q1653">
        <v>0</v>
      </c>
      <c r="R1653" s="4">
        <v>11.21</v>
      </c>
      <c r="S1653">
        <v>0</v>
      </c>
      <c r="T1653">
        <v>1</v>
      </c>
    </row>
    <row r="1654" spans="1:20" ht="16.5" x14ac:dyDescent="0.3">
      <c r="A1654" t="s">
        <v>1704</v>
      </c>
      <c r="B1654" s="1">
        <v>45544</v>
      </c>
      <c r="C1654">
        <v>2024</v>
      </c>
      <c r="D1654" t="s">
        <v>1261</v>
      </c>
      <c r="E1654" t="s">
        <v>1651</v>
      </c>
      <c r="F1654" t="s">
        <v>57</v>
      </c>
      <c r="G1654" t="s">
        <v>24</v>
      </c>
      <c r="H1654" t="s">
        <v>43</v>
      </c>
      <c r="I1654" t="s">
        <v>40</v>
      </c>
      <c r="J1654" t="s">
        <v>41</v>
      </c>
      <c r="K1654" t="s">
        <v>28</v>
      </c>
      <c r="L1654" s="2">
        <v>75.7</v>
      </c>
      <c r="M1654" s="3">
        <v>943</v>
      </c>
      <c r="N1654">
        <v>3</v>
      </c>
      <c r="O1654">
        <v>3</v>
      </c>
      <c r="P1654">
        <v>1</v>
      </c>
      <c r="Q1654">
        <v>0</v>
      </c>
      <c r="R1654" s="4">
        <v>162.68</v>
      </c>
      <c r="S1654">
        <v>0</v>
      </c>
      <c r="T1654">
        <v>1</v>
      </c>
    </row>
    <row r="1655" spans="1:20" ht="16.5" x14ac:dyDescent="0.3">
      <c r="A1655" t="s">
        <v>1705</v>
      </c>
      <c r="B1655" s="1">
        <v>45544</v>
      </c>
      <c r="C1655">
        <v>2024</v>
      </c>
      <c r="D1655" t="s">
        <v>1261</v>
      </c>
      <c r="E1655" t="s">
        <v>1651</v>
      </c>
      <c r="F1655" t="s">
        <v>38</v>
      </c>
      <c r="G1655" t="s">
        <v>24</v>
      </c>
      <c r="H1655" t="s">
        <v>25</v>
      </c>
      <c r="I1655" t="s">
        <v>26</v>
      </c>
      <c r="J1655" t="s">
        <v>27</v>
      </c>
      <c r="K1655" t="s">
        <v>28</v>
      </c>
      <c r="L1655" s="2">
        <v>292.8</v>
      </c>
      <c r="M1655" s="3">
        <v>1181</v>
      </c>
      <c r="N1655">
        <v>4</v>
      </c>
      <c r="O1655">
        <v>4</v>
      </c>
      <c r="P1655">
        <v>1</v>
      </c>
      <c r="Q1655">
        <v>0</v>
      </c>
      <c r="R1655" s="4">
        <v>146.19</v>
      </c>
      <c r="S1655">
        <v>0</v>
      </c>
      <c r="T1655">
        <v>1</v>
      </c>
    </row>
    <row r="1656" spans="1:20" ht="16.5" x14ac:dyDescent="0.3">
      <c r="A1656" t="s">
        <v>1706</v>
      </c>
      <c r="B1656" s="1">
        <v>45544</v>
      </c>
      <c r="C1656">
        <v>2024</v>
      </c>
      <c r="D1656" t="s">
        <v>1261</v>
      </c>
      <c r="E1656" t="s">
        <v>1651</v>
      </c>
      <c r="F1656" t="s">
        <v>57</v>
      </c>
      <c r="G1656" t="s">
        <v>39</v>
      </c>
      <c r="H1656" t="s">
        <v>51</v>
      </c>
      <c r="I1656" t="s">
        <v>31</v>
      </c>
      <c r="J1656" t="s">
        <v>27</v>
      </c>
      <c r="K1656" t="s">
        <v>32</v>
      </c>
      <c r="L1656" s="2">
        <v>4.7</v>
      </c>
      <c r="M1656" s="3">
        <v>940</v>
      </c>
      <c r="N1656">
        <v>7</v>
      </c>
      <c r="O1656">
        <v>6</v>
      </c>
      <c r="P1656">
        <v>1</v>
      </c>
      <c r="Q1656">
        <v>0</v>
      </c>
      <c r="R1656" s="4">
        <v>15.01</v>
      </c>
      <c r="S1656">
        <v>0</v>
      </c>
      <c r="T1656">
        <v>1</v>
      </c>
    </row>
    <row r="1657" spans="1:20" ht="16.5" x14ac:dyDescent="0.3">
      <c r="A1657" t="s">
        <v>1707</v>
      </c>
      <c r="B1657" s="1">
        <v>45544</v>
      </c>
      <c r="C1657">
        <v>2024</v>
      </c>
      <c r="D1657" t="s">
        <v>1261</v>
      </c>
      <c r="E1657" t="s">
        <v>1651</v>
      </c>
      <c r="F1657" t="s">
        <v>57</v>
      </c>
      <c r="G1657" t="s">
        <v>35</v>
      </c>
      <c r="H1657" t="s">
        <v>25</v>
      </c>
      <c r="I1657" t="s">
        <v>31</v>
      </c>
      <c r="J1657" t="s">
        <v>27</v>
      </c>
      <c r="K1657" t="s">
        <v>32</v>
      </c>
      <c r="L1657" s="2">
        <v>3.8</v>
      </c>
      <c r="M1657" s="3">
        <v>859</v>
      </c>
      <c r="N1657">
        <v>6</v>
      </c>
      <c r="O1657">
        <v>6</v>
      </c>
      <c r="P1657">
        <v>1</v>
      </c>
      <c r="Q1657">
        <v>0</v>
      </c>
      <c r="R1657" s="4">
        <v>14.63</v>
      </c>
      <c r="S1657">
        <v>1</v>
      </c>
      <c r="T1657">
        <v>1</v>
      </c>
    </row>
    <row r="1658" spans="1:20" ht="16.5" x14ac:dyDescent="0.3">
      <c r="A1658" t="s">
        <v>1708</v>
      </c>
      <c r="B1658" s="1">
        <v>45544</v>
      </c>
      <c r="C1658">
        <v>2024</v>
      </c>
      <c r="D1658" t="s">
        <v>1261</v>
      </c>
      <c r="E1658" t="s">
        <v>1651</v>
      </c>
      <c r="F1658" t="s">
        <v>38</v>
      </c>
      <c r="G1658" t="s">
        <v>35</v>
      </c>
      <c r="H1658" t="s">
        <v>48</v>
      </c>
      <c r="I1658" t="s">
        <v>26</v>
      </c>
      <c r="J1658" t="s">
        <v>27</v>
      </c>
      <c r="K1658" t="s">
        <v>28</v>
      </c>
      <c r="L1658" s="2">
        <v>110.8</v>
      </c>
      <c r="M1658" s="3">
        <v>452</v>
      </c>
      <c r="N1658">
        <v>4</v>
      </c>
      <c r="O1658">
        <v>4</v>
      </c>
      <c r="P1658">
        <v>1</v>
      </c>
      <c r="Q1658">
        <v>0</v>
      </c>
      <c r="R1658" s="4">
        <v>66.33</v>
      </c>
      <c r="S1658">
        <v>0</v>
      </c>
      <c r="T1658">
        <v>1</v>
      </c>
    </row>
    <row r="1659" spans="1:20" ht="16.5" x14ac:dyDescent="0.3">
      <c r="A1659" t="s">
        <v>1709</v>
      </c>
      <c r="B1659" s="1">
        <v>45544</v>
      </c>
      <c r="C1659">
        <v>2024</v>
      </c>
      <c r="D1659" t="s">
        <v>1261</v>
      </c>
      <c r="E1659" t="s">
        <v>1651</v>
      </c>
      <c r="F1659" t="s">
        <v>38</v>
      </c>
      <c r="G1659" t="s">
        <v>35</v>
      </c>
      <c r="H1659" t="s">
        <v>51</v>
      </c>
      <c r="I1659" t="s">
        <v>26</v>
      </c>
      <c r="J1659" t="s">
        <v>27</v>
      </c>
      <c r="K1659" t="s">
        <v>28</v>
      </c>
      <c r="L1659" s="2">
        <v>330.9</v>
      </c>
      <c r="M1659" s="3">
        <v>1081</v>
      </c>
      <c r="N1659">
        <v>5</v>
      </c>
      <c r="O1659">
        <v>4</v>
      </c>
      <c r="P1659">
        <v>1</v>
      </c>
      <c r="Q1659">
        <v>0</v>
      </c>
      <c r="R1659" s="4">
        <v>167.03</v>
      </c>
      <c r="S1659">
        <v>0</v>
      </c>
      <c r="T1659">
        <v>1</v>
      </c>
    </row>
    <row r="1660" spans="1:20" ht="16.5" x14ac:dyDescent="0.3">
      <c r="A1660" t="s">
        <v>1710</v>
      </c>
      <c r="B1660" s="1">
        <v>45544</v>
      </c>
      <c r="C1660">
        <v>2024</v>
      </c>
      <c r="D1660" t="s">
        <v>1261</v>
      </c>
      <c r="E1660" t="s">
        <v>1651</v>
      </c>
      <c r="F1660" t="s">
        <v>34</v>
      </c>
      <c r="G1660" t="s">
        <v>35</v>
      </c>
      <c r="H1660" t="s">
        <v>36</v>
      </c>
      <c r="I1660" t="s">
        <v>26</v>
      </c>
      <c r="J1660" t="s">
        <v>27</v>
      </c>
      <c r="K1660" t="s">
        <v>32</v>
      </c>
      <c r="L1660" s="2">
        <v>10.199999999999999</v>
      </c>
      <c r="M1660" s="3">
        <v>313</v>
      </c>
      <c r="N1660">
        <v>3</v>
      </c>
      <c r="O1660">
        <v>3</v>
      </c>
      <c r="P1660">
        <v>1</v>
      </c>
      <c r="Q1660">
        <v>0</v>
      </c>
      <c r="R1660" s="4">
        <v>14.65</v>
      </c>
      <c r="S1660">
        <v>0</v>
      </c>
      <c r="T1660">
        <v>1</v>
      </c>
    </row>
    <row r="1661" spans="1:20" ht="16.5" x14ac:dyDescent="0.3">
      <c r="A1661" t="s">
        <v>1711</v>
      </c>
      <c r="B1661" s="1">
        <v>45545</v>
      </c>
      <c r="C1661">
        <v>2024</v>
      </c>
      <c r="D1661" t="s">
        <v>1261</v>
      </c>
      <c r="E1661" t="s">
        <v>1651</v>
      </c>
      <c r="F1661" t="s">
        <v>38</v>
      </c>
      <c r="G1661" t="s">
        <v>39</v>
      </c>
      <c r="H1661" t="s">
        <v>25</v>
      </c>
      <c r="I1661" t="s">
        <v>26</v>
      </c>
      <c r="J1661" t="s">
        <v>27</v>
      </c>
      <c r="K1661" t="s">
        <v>28</v>
      </c>
      <c r="L1661" s="2">
        <v>203.3</v>
      </c>
      <c r="M1661" s="3">
        <v>1006</v>
      </c>
      <c r="N1661">
        <v>4</v>
      </c>
      <c r="O1661">
        <v>3</v>
      </c>
      <c r="P1661">
        <v>1</v>
      </c>
      <c r="Q1661">
        <v>0</v>
      </c>
      <c r="R1661" s="4">
        <v>122.65</v>
      </c>
      <c r="S1661">
        <v>0</v>
      </c>
      <c r="T1661">
        <v>1</v>
      </c>
    </row>
    <row r="1662" spans="1:20" ht="16.5" x14ac:dyDescent="0.3">
      <c r="A1662" t="s">
        <v>1712</v>
      </c>
      <c r="B1662" s="1">
        <v>45545</v>
      </c>
      <c r="C1662">
        <v>2024</v>
      </c>
      <c r="D1662" t="s">
        <v>1261</v>
      </c>
      <c r="E1662" t="s">
        <v>1651</v>
      </c>
      <c r="F1662" t="s">
        <v>57</v>
      </c>
      <c r="G1662" t="s">
        <v>35</v>
      </c>
      <c r="H1662" t="s">
        <v>36</v>
      </c>
      <c r="I1662" t="s">
        <v>26</v>
      </c>
      <c r="J1662" t="s">
        <v>27</v>
      </c>
      <c r="K1662" t="s">
        <v>32</v>
      </c>
      <c r="L1662" s="2">
        <v>4</v>
      </c>
      <c r="M1662" s="3">
        <v>253</v>
      </c>
      <c r="N1662">
        <v>3</v>
      </c>
      <c r="O1662">
        <v>2</v>
      </c>
      <c r="P1662">
        <v>1</v>
      </c>
      <c r="Q1662">
        <v>0</v>
      </c>
      <c r="R1662" s="4">
        <v>10.85</v>
      </c>
      <c r="S1662">
        <v>0</v>
      </c>
      <c r="T1662">
        <v>1</v>
      </c>
    </row>
    <row r="1663" spans="1:20" ht="16.5" x14ac:dyDescent="0.3">
      <c r="A1663" t="s">
        <v>1713</v>
      </c>
      <c r="B1663" s="1">
        <v>45545</v>
      </c>
      <c r="C1663">
        <v>2024</v>
      </c>
      <c r="D1663" t="s">
        <v>1261</v>
      </c>
      <c r="E1663" t="s">
        <v>1651</v>
      </c>
      <c r="F1663" t="s">
        <v>38</v>
      </c>
      <c r="G1663" t="s">
        <v>35</v>
      </c>
      <c r="H1663" t="s">
        <v>36</v>
      </c>
      <c r="I1663" t="s">
        <v>31</v>
      </c>
      <c r="J1663" t="s">
        <v>27</v>
      </c>
      <c r="K1663" t="s">
        <v>28</v>
      </c>
      <c r="L1663" s="2">
        <v>7</v>
      </c>
      <c r="M1663" s="3">
        <v>226</v>
      </c>
      <c r="N1663">
        <v>5</v>
      </c>
      <c r="O1663">
        <v>5</v>
      </c>
      <c r="P1663">
        <v>1</v>
      </c>
      <c r="Q1663">
        <v>0</v>
      </c>
      <c r="R1663" s="4">
        <v>11.84</v>
      </c>
      <c r="S1663">
        <v>0</v>
      </c>
      <c r="T1663">
        <v>1</v>
      </c>
    </row>
    <row r="1664" spans="1:20" ht="16.5" x14ac:dyDescent="0.3">
      <c r="A1664" t="s">
        <v>1714</v>
      </c>
      <c r="B1664" s="1">
        <v>45545</v>
      </c>
      <c r="C1664">
        <v>2024</v>
      </c>
      <c r="D1664" t="s">
        <v>1261</v>
      </c>
      <c r="E1664" t="s">
        <v>1651</v>
      </c>
      <c r="F1664" t="s">
        <v>23</v>
      </c>
      <c r="G1664" t="s">
        <v>39</v>
      </c>
      <c r="H1664" t="s">
        <v>48</v>
      </c>
      <c r="I1664" t="s">
        <v>26</v>
      </c>
      <c r="J1664" t="s">
        <v>27</v>
      </c>
      <c r="K1664" t="s">
        <v>32</v>
      </c>
      <c r="L1664" s="2">
        <v>2</v>
      </c>
      <c r="M1664" s="3">
        <v>336</v>
      </c>
      <c r="N1664">
        <v>4</v>
      </c>
      <c r="O1664">
        <v>4</v>
      </c>
      <c r="P1664">
        <v>1</v>
      </c>
      <c r="Q1664">
        <v>0</v>
      </c>
      <c r="R1664" s="4">
        <v>11.7</v>
      </c>
      <c r="S1664">
        <v>0</v>
      </c>
      <c r="T1664">
        <v>1</v>
      </c>
    </row>
    <row r="1665" spans="1:20" ht="16.5" x14ac:dyDescent="0.3">
      <c r="A1665" t="s">
        <v>1715</v>
      </c>
      <c r="B1665" s="1">
        <v>45546</v>
      </c>
      <c r="C1665">
        <v>2024</v>
      </c>
      <c r="D1665" t="s">
        <v>1261</v>
      </c>
      <c r="E1665" t="s">
        <v>1651</v>
      </c>
      <c r="F1665" t="s">
        <v>38</v>
      </c>
      <c r="G1665" t="s">
        <v>24</v>
      </c>
      <c r="H1665" t="s">
        <v>48</v>
      </c>
      <c r="I1665" t="s">
        <v>31</v>
      </c>
      <c r="J1665" t="s">
        <v>27</v>
      </c>
      <c r="K1665" t="s">
        <v>32</v>
      </c>
      <c r="L1665" s="2">
        <v>10.199999999999999</v>
      </c>
      <c r="M1665" s="3">
        <v>377</v>
      </c>
      <c r="N1665">
        <v>6</v>
      </c>
      <c r="O1665">
        <v>6</v>
      </c>
      <c r="P1665">
        <v>1</v>
      </c>
      <c r="Q1665">
        <v>0</v>
      </c>
      <c r="R1665" s="4">
        <v>12.83</v>
      </c>
      <c r="S1665">
        <v>0</v>
      </c>
      <c r="T1665">
        <v>1</v>
      </c>
    </row>
    <row r="1666" spans="1:20" ht="16.5" x14ac:dyDescent="0.3">
      <c r="A1666" t="s">
        <v>1716</v>
      </c>
      <c r="B1666" s="1">
        <v>45546</v>
      </c>
      <c r="C1666">
        <v>2024</v>
      </c>
      <c r="D1666" t="s">
        <v>1261</v>
      </c>
      <c r="E1666" t="s">
        <v>1651</v>
      </c>
      <c r="F1666" t="s">
        <v>23</v>
      </c>
      <c r="G1666" t="s">
        <v>39</v>
      </c>
      <c r="H1666" t="s">
        <v>36</v>
      </c>
      <c r="I1666" t="s">
        <v>40</v>
      </c>
      <c r="J1666" t="s">
        <v>27</v>
      </c>
      <c r="K1666" t="s">
        <v>32</v>
      </c>
      <c r="L1666" s="2">
        <v>3.2</v>
      </c>
      <c r="M1666" s="3">
        <v>246</v>
      </c>
      <c r="N1666">
        <v>1</v>
      </c>
      <c r="O1666">
        <v>1</v>
      </c>
      <c r="P1666">
        <v>1</v>
      </c>
      <c r="Q1666">
        <v>0</v>
      </c>
      <c r="R1666" s="4">
        <v>20.92</v>
      </c>
      <c r="S1666">
        <v>0</v>
      </c>
      <c r="T1666">
        <v>1</v>
      </c>
    </row>
    <row r="1667" spans="1:20" ht="16.5" x14ac:dyDescent="0.3">
      <c r="A1667" t="s">
        <v>1717</v>
      </c>
      <c r="B1667" s="1">
        <v>45546</v>
      </c>
      <c r="C1667">
        <v>2024</v>
      </c>
      <c r="D1667" t="s">
        <v>1261</v>
      </c>
      <c r="E1667" t="s">
        <v>1651</v>
      </c>
      <c r="F1667" t="s">
        <v>34</v>
      </c>
      <c r="G1667" t="s">
        <v>35</v>
      </c>
      <c r="H1667" t="s">
        <v>25</v>
      </c>
      <c r="I1667" t="s">
        <v>31</v>
      </c>
      <c r="J1667" t="s">
        <v>27</v>
      </c>
      <c r="K1667" t="s">
        <v>32</v>
      </c>
      <c r="L1667" s="2">
        <v>12.2</v>
      </c>
      <c r="M1667" s="3">
        <v>853</v>
      </c>
      <c r="N1667">
        <v>6</v>
      </c>
      <c r="O1667">
        <v>6</v>
      </c>
      <c r="P1667">
        <v>1</v>
      </c>
      <c r="Q1667">
        <v>0</v>
      </c>
      <c r="R1667" s="4">
        <v>13.94</v>
      </c>
      <c r="S1667">
        <v>0</v>
      </c>
      <c r="T1667">
        <v>1</v>
      </c>
    </row>
    <row r="1668" spans="1:20" ht="16.5" x14ac:dyDescent="0.3">
      <c r="A1668" t="s">
        <v>1718</v>
      </c>
      <c r="B1668" s="1">
        <v>45546</v>
      </c>
      <c r="C1668">
        <v>2024</v>
      </c>
      <c r="D1668" t="s">
        <v>1261</v>
      </c>
      <c r="E1668" t="s">
        <v>1651</v>
      </c>
      <c r="F1668" t="s">
        <v>57</v>
      </c>
      <c r="G1668" t="s">
        <v>39</v>
      </c>
      <c r="H1668" t="s">
        <v>43</v>
      </c>
      <c r="I1668" t="s">
        <v>40</v>
      </c>
      <c r="J1668" t="s">
        <v>41</v>
      </c>
      <c r="K1668" t="s">
        <v>28</v>
      </c>
      <c r="L1668" s="2">
        <v>97.9</v>
      </c>
      <c r="M1668" s="3">
        <v>1140</v>
      </c>
      <c r="N1668">
        <v>3</v>
      </c>
      <c r="O1668">
        <v>6</v>
      </c>
      <c r="P1668">
        <v>0</v>
      </c>
      <c r="Q1668">
        <v>3</v>
      </c>
      <c r="R1668" s="4">
        <v>195.7</v>
      </c>
      <c r="S1668">
        <v>0</v>
      </c>
      <c r="T1668">
        <v>1</v>
      </c>
    </row>
    <row r="1669" spans="1:20" ht="16.5" x14ac:dyDescent="0.3">
      <c r="A1669" t="s">
        <v>1719</v>
      </c>
      <c r="B1669" s="1">
        <v>45546</v>
      </c>
      <c r="C1669">
        <v>2024</v>
      </c>
      <c r="D1669" t="s">
        <v>1261</v>
      </c>
      <c r="E1669" t="s">
        <v>1651</v>
      </c>
      <c r="F1669" t="s">
        <v>34</v>
      </c>
      <c r="G1669" t="s">
        <v>39</v>
      </c>
      <c r="H1669" t="s">
        <v>36</v>
      </c>
      <c r="I1669" t="s">
        <v>26</v>
      </c>
      <c r="J1669" t="s">
        <v>27</v>
      </c>
      <c r="K1669" t="s">
        <v>32</v>
      </c>
      <c r="L1669" s="2">
        <v>17.2</v>
      </c>
      <c r="M1669" s="3">
        <v>254</v>
      </c>
      <c r="N1669">
        <v>3</v>
      </c>
      <c r="O1669">
        <v>2</v>
      </c>
      <c r="P1669">
        <v>1</v>
      </c>
      <c r="Q1669">
        <v>0</v>
      </c>
      <c r="R1669" s="4">
        <v>15.95</v>
      </c>
      <c r="S1669">
        <v>0</v>
      </c>
      <c r="T1669">
        <v>1</v>
      </c>
    </row>
    <row r="1670" spans="1:20" ht="16.5" x14ac:dyDescent="0.3">
      <c r="A1670" t="s">
        <v>1720</v>
      </c>
      <c r="B1670" s="1">
        <v>45546</v>
      </c>
      <c r="C1670">
        <v>2024</v>
      </c>
      <c r="D1670" t="s">
        <v>1261</v>
      </c>
      <c r="E1670" t="s">
        <v>1651</v>
      </c>
      <c r="F1670" t="s">
        <v>38</v>
      </c>
      <c r="G1670" t="s">
        <v>35</v>
      </c>
      <c r="H1670" t="s">
        <v>25</v>
      </c>
      <c r="I1670" t="s">
        <v>31</v>
      </c>
      <c r="J1670" t="s">
        <v>27</v>
      </c>
      <c r="K1670" t="s">
        <v>28</v>
      </c>
      <c r="L1670" s="2">
        <v>44.9</v>
      </c>
      <c r="M1670" s="3">
        <v>1043</v>
      </c>
      <c r="N1670">
        <v>6</v>
      </c>
      <c r="O1670">
        <v>6</v>
      </c>
      <c r="P1670">
        <v>1</v>
      </c>
      <c r="Q1670">
        <v>0</v>
      </c>
      <c r="R1670" s="4">
        <v>32.36</v>
      </c>
      <c r="S1670">
        <v>0</v>
      </c>
      <c r="T1670">
        <v>1</v>
      </c>
    </row>
    <row r="1671" spans="1:20" ht="16.5" x14ac:dyDescent="0.3">
      <c r="A1671" t="s">
        <v>1721</v>
      </c>
      <c r="B1671" s="1">
        <v>45546</v>
      </c>
      <c r="C1671">
        <v>2024</v>
      </c>
      <c r="D1671" t="s">
        <v>1261</v>
      </c>
      <c r="E1671" t="s">
        <v>1651</v>
      </c>
      <c r="F1671" t="s">
        <v>38</v>
      </c>
      <c r="G1671" t="s">
        <v>35</v>
      </c>
      <c r="H1671" t="s">
        <v>36</v>
      </c>
      <c r="I1671" t="s">
        <v>31</v>
      </c>
      <c r="J1671" t="s">
        <v>27</v>
      </c>
      <c r="K1671" t="s">
        <v>32</v>
      </c>
      <c r="L1671" s="2">
        <v>1.3</v>
      </c>
      <c r="M1671" s="3">
        <v>248</v>
      </c>
      <c r="N1671">
        <v>5</v>
      </c>
      <c r="O1671">
        <v>4</v>
      </c>
      <c r="P1671">
        <v>1</v>
      </c>
      <c r="Q1671">
        <v>0</v>
      </c>
      <c r="R1671" s="4">
        <v>7.98</v>
      </c>
      <c r="S1671">
        <v>0</v>
      </c>
      <c r="T1671">
        <v>1</v>
      </c>
    </row>
    <row r="1672" spans="1:20" ht="16.5" x14ac:dyDescent="0.3">
      <c r="A1672" t="s">
        <v>1722</v>
      </c>
      <c r="B1672" s="1">
        <v>45547</v>
      </c>
      <c r="C1672">
        <v>2024</v>
      </c>
      <c r="D1672" t="s">
        <v>1261</v>
      </c>
      <c r="E1672" t="s">
        <v>1651</v>
      </c>
      <c r="F1672" t="s">
        <v>38</v>
      </c>
      <c r="G1672" t="s">
        <v>24</v>
      </c>
      <c r="H1672" t="s">
        <v>36</v>
      </c>
      <c r="I1672" t="s">
        <v>40</v>
      </c>
      <c r="J1672" t="s">
        <v>27</v>
      </c>
      <c r="K1672" t="s">
        <v>32</v>
      </c>
      <c r="L1672" s="2">
        <v>9.5</v>
      </c>
      <c r="M1672" s="3">
        <v>295</v>
      </c>
      <c r="N1672">
        <v>1</v>
      </c>
      <c r="O1672">
        <v>1</v>
      </c>
      <c r="P1672">
        <v>1</v>
      </c>
      <c r="Q1672">
        <v>0</v>
      </c>
      <c r="R1672" s="4">
        <v>31.82</v>
      </c>
      <c r="S1672">
        <v>0</v>
      </c>
      <c r="T1672">
        <v>1</v>
      </c>
    </row>
    <row r="1673" spans="1:20" ht="16.5" x14ac:dyDescent="0.3">
      <c r="A1673" t="s">
        <v>1723</v>
      </c>
      <c r="B1673" s="1">
        <v>45547</v>
      </c>
      <c r="C1673">
        <v>2024</v>
      </c>
      <c r="D1673" t="s">
        <v>1261</v>
      </c>
      <c r="E1673" t="s">
        <v>1651</v>
      </c>
      <c r="F1673" t="s">
        <v>30</v>
      </c>
      <c r="G1673" t="s">
        <v>39</v>
      </c>
      <c r="H1673" t="s">
        <v>48</v>
      </c>
      <c r="I1673" t="s">
        <v>26</v>
      </c>
      <c r="J1673" t="s">
        <v>27</v>
      </c>
      <c r="K1673" t="s">
        <v>28</v>
      </c>
      <c r="L1673" s="2">
        <v>147.9</v>
      </c>
      <c r="M1673" s="3">
        <v>450</v>
      </c>
      <c r="N1673">
        <v>4</v>
      </c>
      <c r="O1673">
        <v>4</v>
      </c>
      <c r="P1673">
        <v>1</v>
      </c>
      <c r="Q1673">
        <v>0</v>
      </c>
      <c r="R1673" s="4">
        <v>75.709999999999994</v>
      </c>
      <c r="S1673">
        <v>0</v>
      </c>
      <c r="T1673">
        <v>1</v>
      </c>
    </row>
    <row r="1674" spans="1:20" ht="16.5" x14ac:dyDescent="0.3">
      <c r="A1674" t="s">
        <v>1724</v>
      </c>
      <c r="B1674" s="1">
        <v>45547</v>
      </c>
      <c r="C1674">
        <v>2024</v>
      </c>
      <c r="D1674" t="s">
        <v>1261</v>
      </c>
      <c r="E1674" t="s">
        <v>1651</v>
      </c>
      <c r="F1674" t="s">
        <v>23</v>
      </c>
      <c r="G1674" t="s">
        <v>39</v>
      </c>
      <c r="H1674" t="s">
        <v>25</v>
      </c>
      <c r="I1674" t="s">
        <v>26</v>
      </c>
      <c r="J1674" t="s">
        <v>27</v>
      </c>
      <c r="K1674" t="s">
        <v>32</v>
      </c>
      <c r="L1674" s="2">
        <v>11.5</v>
      </c>
      <c r="M1674" s="3">
        <v>981</v>
      </c>
      <c r="N1674">
        <v>4</v>
      </c>
      <c r="O1674">
        <v>7</v>
      </c>
      <c r="P1674">
        <v>0</v>
      </c>
      <c r="Q1674">
        <v>3</v>
      </c>
      <c r="R1674" s="4">
        <v>24.26</v>
      </c>
      <c r="S1674">
        <v>0</v>
      </c>
      <c r="T1674">
        <v>1</v>
      </c>
    </row>
    <row r="1675" spans="1:20" ht="16.5" x14ac:dyDescent="0.3">
      <c r="A1675" t="s">
        <v>1725</v>
      </c>
      <c r="B1675" s="1">
        <v>45547</v>
      </c>
      <c r="C1675">
        <v>2024</v>
      </c>
      <c r="D1675" t="s">
        <v>1261</v>
      </c>
      <c r="E1675" t="s">
        <v>1651</v>
      </c>
      <c r="F1675" t="s">
        <v>38</v>
      </c>
      <c r="G1675" t="s">
        <v>39</v>
      </c>
      <c r="H1675" t="s">
        <v>36</v>
      </c>
      <c r="I1675" t="s">
        <v>31</v>
      </c>
      <c r="J1675" t="s">
        <v>27</v>
      </c>
      <c r="K1675" t="s">
        <v>32</v>
      </c>
      <c r="L1675" s="2">
        <v>4.5999999999999996</v>
      </c>
      <c r="M1675" s="3">
        <v>255</v>
      </c>
      <c r="N1675">
        <v>5</v>
      </c>
      <c r="O1675">
        <v>4</v>
      </c>
      <c r="P1675">
        <v>1</v>
      </c>
      <c r="Q1675">
        <v>0</v>
      </c>
      <c r="R1675" s="4">
        <v>9.91</v>
      </c>
      <c r="S1675">
        <v>0</v>
      </c>
      <c r="T1675">
        <v>1</v>
      </c>
    </row>
    <row r="1676" spans="1:20" ht="16.5" x14ac:dyDescent="0.3">
      <c r="A1676" t="s">
        <v>1726</v>
      </c>
      <c r="B1676" s="1">
        <v>45547</v>
      </c>
      <c r="C1676">
        <v>2024</v>
      </c>
      <c r="D1676" t="s">
        <v>1261</v>
      </c>
      <c r="E1676" t="s">
        <v>1651</v>
      </c>
      <c r="F1676" t="s">
        <v>38</v>
      </c>
      <c r="G1676" t="s">
        <v>24</v>
      </c>
      <c r="H1676" t="s">
        <v>36</v>
      </c>
      <c r="I1676" t="s">
        <v>40</v>
      </c>
      <c r="J1676" t="s">
        <v>27</v>
      </c>
      <c r="K1676" t="s">
        <v>32</v>
      </c>
      <c r="L1676" s="2">
        <v>4.7</v>
      </c>
      <c r="M1676" s="3">
        <v>275</v>
      </c>
      <c r="N1676">
        <v>1</v>
      </c>
      <c r="O1676">
        <v>1</v>
      </c>
      <c r="P1676">
        <v>1</v>
      </c>
      <c r="Q1676">
        <v>0</v>
      </c>
      <c r="R1676" s="4">
        <v>27.37</v>
      </c>
      <c r="S1676">
        <v>0</v>
      </c>
      <c r="T1676">
        <v>1</v>
      </c>
    </row>
    <row r="1677" spans="1:20" ht="16.5" x14ac:dyDescent="0.3">
      <c r="A1677" t="s">
        <v>1727</v>
      </c>
      <c r="B1677" s="1">
        <v>45547</v>
      </c>
      <c r="C1677">
        <v>2024</v>
      </c>
      <c r="D1677" t="s">
        <v>1261</v>
      </c>
      <c r="E1677" t="s">
        <v>1651</v>
      </c>
      <c r="F1677" t="s">
        <v>23</v>
      </c>
      <c r="G1677" t="s">
        <v>35</v>
      </c>
      <c r="H1677" t="s">
        <v>51</v>
      </c>
      <c r="I1677" t="s">
        <v>31</v>
      </c>
      <c r="J1677" t="s">
        <v>27</v>
      </c>
      <c r="K1677" t="s">
        <v>32</v>
      </c>
      <c r="L1677" s="2">
        <v>3.2</v>
      </c>
      <c r="M1677" s="3">
        <v>955</v>
      </c>
      <c r="N1677">
        <v>7</v>
      </c>
      <c r="O1677">
        <v>7</v>
      </c>
      <c r="P1677">
        <v>1</v>
      </c>
      <c r="Q1677">
        <v>0</v>
      </c>
      <c r="R1677" s="4">
        <v>14.89</v>
      </c>
      <c r="S1677">
        <v>0</v>
      </c>
      <c r="T1677">
        <v>1</v>
      </c>
    </row>
    <row r="1678" spans="1:20" ht="16.5" x14ac:dyDescent="0.3">
      <c r="A1678" t="s">
        <v>1728</v>
      </c>
      <c r="B1678" s="1">
        <v>45547</v>
      </c>
      <c r="C1678">
        <v>2024</v>
      </c>
      <c r="D1678" t="s">
        <v>1261</v>
      </c>
      <c r="E1678" t="s">
        <v>1651</v>
      </c>
      <c r="F1678" t="s">
        <v>30</v>
      </c>
      <c r="G1678" t="s">
        <v>24</v>
      </c>
      <c r="H1678" t="s">
        <v>36</v>
      </c>
      <c r="I1678" t="s">
        <v>26</v>
      </c>
      <c r="J1678" t="s">
        <v>27</v>
      </c>
      <c r="K1678" t="s">
        <v>28</v>
      </c>
      <c r="L1678" s="2">
        <v>285.8</v>
      </c>
      <c r="M1678" s="3">
        <v>239</v>
      </c>
      <c r="N1678">
        <v>3</v>
      </c>
      <c r="O1678">
        <v>3</v>
      </c>
      <c r="P1678">
        <v>1</v>
      </c>
      <c r="Q1678">
        <v>0</v>
      </c>
      <c r="R1678" s="4">
        <v>127.94</v>
      </c>
      <c r="S1678">
        <v>0</v>
      </c>
      <c r="T1678">
        <v>1</v>
      </c>
    </row>
    <row r="1679" spans="1:20" ht="16.5" x14ac:dyDescent="0.3">
      <c r="A1679" t="s">
        <v>1729</v>
      </c>
      <c r="B1679" s="1">
        <v>45547</v>
      </c>
      <c r="C1679">
        <v>2024</v>
      </c>
      <c r="D1679" t="s">
        <v>1261</v>
      </c>
      <c r="E1679" t="s">
        <v>1651</v>
      </c>
      <c r="F1679" t="s">
        <v>57</v>
      </c>
      <c r="G1679" t="s">
        <v>35</v>
      </c>
      <c r="H1679" t="s">
        <v>36</v>
      </c>
      <c r="I1679" t="s">
        <v>26</v>
      </c>
      <c r="J1679" t="s">
        <v>27</v>
      </c>
      <c r="K1679" t="s">
        <v>32</v>
      </c>
      <c r="L1679" s="2">
        <v>6.1</v>
      </c>
      <c r="M1679" s="3">
        <v>229</v>
      </c>
      <c r="N1679">
        <v>3</v>
      </c>
      <c r="O1679">
        <v>3</v>
      </c>
      <c r="P1679">
        <v>1</v>
      </c>
      <c r="Q1679">
        <v>0</v>
      </c>
      <c r="R1679" s="4">
        <v>12.64</v>
      </c>
      <c r="S1679">
        <v>0</v>
      </c>
      <c r="T1679">
        <v>1</v>
      </c>
    </row>
    <row r="1680" spans="1:20" ht="16.5" x14ac:dyDescent="0.3">
      <c r="A1680" t="s">
        <v>1730</v>
      </c>
      <c r="B1680" s="1">
        <v>45547</v>
      </c>
      <c r="C1680">
        <v>2024</v>
      </c>
      <c r="D1680" t="s">
        <v>1261</v>
      </c>
      <c r="E1680" t="s">
        <v>1651</v>
      </c>
      <c r="F1680" t="s">
        <v>23</v>
      </c>
      <c r="G1680" t="s">
        <v>24</v>
      </c>
      <c r="H1680" t="s">
        <v>43</v>
      </c>
      <c r="I1680" t="s">
        <v>31</v>
      </c>
      <c r="J1680" t="s">
        <v>27</v>
      </c>
      <c r="K1680" t="s">
        <v>32</v>
      </c>
      <c r="L1680" s="2">
        <v>3.8</v>
      </c>
      <c r="M1680" s="3">
        <v>1286</v>
      </c>
      <c r="N1680">
        <v>7</v>
      </c>
      <c r="O1680">
        <v>8</v>
      </c>
      <c r="P1680">
        <v>0</v>
      </c>
      <c r="Q1680">
        <v>1</v>
      </c>
      <c r="R1680" s="4">
        <v>17.829999999999998</v>
      </c>
      <c r="S1680">
        <v>0</v>
      </c>
      <c r="T1680">
        <v>1</v>
      </c>
    </row>
    <row r="1681" spans="1:20" ht="16.5" x14ac:dyDescent="0.3">
      <c r="A1681" t="s">
        <v>1731</v>
      </c>
      <c r="B1681" s="1">
        <v>45547</v>
      </c>
      <c r="C1681">
        <v>2024</v>
      </c>
      <c r="D1681" t="s">
        <v>1261</v>
      </c>
      <c r="E1681" t="s">
        <v>1651</v>
      </c>
      <c r="F1681" t="s">
        <v>57</v>
      </c>
      <c r="G1681" t="s">
        <v>35</v>
      </c>
      <c r="H1681" t="s">
        <v>36</v>
      </c>
      <c r="I1681" t="s">
        <v>26</v>
      </c>
      <c r="J1681" t="s">
        <v>27</v>
      </c>
      <c r="K1681" t="s">
        <v>28</v>
      </c>
      <c r="L1681" s="2">
        <v>96.6</v>
      </c>
      <c r="M1681" s="3">
        <v>256</v>
      </c>
      <c r="N1681">
        <v>3</v>
      </c>
      <c r="O1681">
        <v>2</v>
      </c>
      <c r="P1681">
        <v>1</v>
      </c>
      <c r="Q1681">
        <v>0</v>
      </c>
      <c r="R1681" s="4">
        <v>47.94</v>
      </c>
      <c r="S1681">
        <v>0</v>
      </c>
      <c r="T1681">
        <v>1</v>
      </c>
    </row>
    <row r="1682" spans="1:20" ht="16.5" x14ac:dyDescent="0.3">
      <c r="A1682" t="s">
        <v>1732</v>
      </c>
      <c r="B1682" s="1">
        <v>45547</v>
      </c>
      <c r="C1682">
        <v>2024</v>
      </c>
      <c r="D1682" t="s">
        <v>1261</v>
      </c>
      <c r="E1682" t="s">
        <v>1651</v>
      </c>
      <c r="F1682" t="s">
        <v>23</v>
      </c>
      <c r="G1682" t="s">
        <v>24</v>
      </c>
      <c r="H1682" t="s">
        <v>43</v>
      </c>
      <c r="I1682" t="s">
        <v>40</v>
      </c>
      <c r="J1682" t="s">
        <v>41</v>
      </c>
      <c r="K1682" t="s">
        <v>32</v>
      </c>
      <c r="L1682" s="2">
        <v>9.4</v>
      </c>
      <c r="M1682" s="3">
        <v>1216</v>
      </c>
      <c r="N1682">
        <v>3</v>
      </c>
      <c r="O1682">
        <v>3</v>
      </c>
      <c r="P1682">
        <v>1</v>
      </c>
      <c r="Q1682">
        <v>0</v>
      </c>
      <c r="R1682" s="4">
        <v>80.010000000000005</v>
      </c>
      <c r="S1682">
        <v>0</v>
      </c>
      <c r="T1682">
        <v>1</v>
      </c>
    </row>
    <row r="1683" spans="1:20" ht="16.5" x14ac:dyDescent="0.3">
      <c r="A1683" t="s">
        <v>1733</v>
      </c>
      <c r="B1683" s="1">
        <v>45547</v>
      </c>
      <c r="C1683">
        <v>2024</v>
      </c>
      <c r="D1683" t="s">
        <v>1261</v>
      </c>
      <c r="E1683" t="s">
        <v>1651</v>
      </c>
      <c r="F1683" t="s">
        <v>38</v>
      </c>
      <c r="G1683" t="s">
        <v>24</v>
      </c>
      <c r="H1683" t="s">
        <v>51</v>
      </c>
      <c r="I1683" t="s">
        <v>26</v>
      </c>
      <c r="J1683" t="s">
        <v>27</v>
      </c>
      <c r="K1683" t="s">
        <v>28</v>
      </c>
      <c r="L1683" s="2">
        <v>33.700000000000003</v>
      </c>
      <c r="M1683" s="3">
        <v>1034</v>
      </c>
      <c r="N1683">
        <v>5</v>
      </c>
      <c r="O1683">
        <v>5</v>
      </c>
      <c r="P1683">
        <v>1</v>
      </c>
      <c r="Q1683">
        <v>0</v>
      </c>
      <c r="R1683" s="4">
        <v>42.21</v>
      </c>
      <c r="S1683">
        <v>0</v>
      </c>
      <c r="T1683">
        <v>1</v>
      </c>
    </row>
    <row r="1684" spans="1:20" ht="16.5" x14ac:dyDescent="0.3">
      <c r="A1684" t="s">
        <v>1734</v>
      </c>
      <c r="B1684" s="1">
        <v>45547</v>
      </c>
      <c r="C1684">
        <v>2024</v>
      </c>
      <c r="D1684" t="s">
        <v>1261</v>
      </c>
      <c r="E1684" t="s">
        <v>1651</v>
      </c>
      <c r="F1684" t="s">
        <v>23</v>
      </c>
      <c r="G1684" t="s">
        <v>39</v>
      </c>
      <c r="H1684" t="s">
        <v>48</v>
      </c>
      <c r="I1684" t="s">
        <v>40</v>
      </c>
      <c r="J1684" t="s">
        <v>27</v>
      </c>
      <c r="K1684" t="s">
        <v>32</v>
      </c>
      <c r="L1684" s="2">
        <v>4.8</v>
      </c>
      <c r="M1684" s="3">
        <v>469</v>
      </c>
      <c r="N1684">
        <v>2</v>
      </c>
      <c r="O1684">
        <v>2</v>
      </c>
      <c r="P1684">
        <v>1</v>
      </c>
      <c r="Q1684">
        <v>0</v>
      </c>
      <c r="R1684" s="4">
        <v>27.21</v>
      </c>
      <c r="S1684">
        <v>0</v>
      </c>
      <c r="T1684">
        <v>1</v>
      </c>
    </row>
    <row r="1685" spans="1:20" ht="16.5" x14ac:dyDescent="0.3">
      <c r="A1685" t="s">
        <v>1735</v>
      </c>
      <c r="B1685" s="1">
        <v>45548</v>
      </c>
      <c r="C1685">
        <v>2024</v>
      </c>
      <c r="D1685" t="s">
        <v>1261</v>
      </c>
      <c r="E1685" t="s">
        <v>1651</v>
      </c>
      <c r="F1685" t="s">
        <v>57</v>
      </c>
      <c r="G1685" t="s">
        <v>39</v>
      </c>
      <c r="H1685" t="s">
        <v>36</v>
      </c>
      <c r="I1685" t="s">
        <v>31</v>
      </c>
      <c r="J1685" t="s">
        <v>27</v>
      </c>
      <c r="K1685" t="s">
        <v>28</v>
      </c>
      <c r="L1685" s="2">
        <v>115.8</v>
      </c>
      <c r="M1685" s="3">
        <v>283</v>
      </c>
      <c r="N1685">
        <v>5</v>
      </c>
      <c r="O1685">
        <v>7</v>
      </c>
      <c r="P1685">
        <v>0</v>
      </c>
      <c r="Q1685">
        <v>2</v>
      </c>
      <c r="R1685" s="4">
        <v>41.6</v>
      </c>
      <c r="S1685">
        <v>0</v>
      </c>
      <c r="T1685">
        <v>1</v>
      </c>
    </row>
    <row r="1686" spans="1:20" ht="16.5" x14ac:dyDescent="0.3">
      <c r="A1686" t="s">
        <v>1736</v>
      </c>
      <c r="B1686" s="1">
        <v>45548</v>
      </c>
      <c r="C1686">
        <v>2024</v>
      </c>
      <c r="D1686" t="s">
        <v>1261</v>
      </c>
      <c r="E1686" t="s">
        <v>1651</v>
      </c>
      <c r="F1686" t="s">
        <v>30</v>
      </c>
      <c r="G1686" t="s">
        <v>35</v>
      </c>
      <c r="H1686" t="s">
        <v>43</v>
      </c>
      <c r="I1686" t="s">
        <v>26</v>
      </c>
      <c r="J1686" t="s">
        <v>27</v>
      </c>
      <c r="K1686" t="s">
        <v>32</v>
      </c>
      <c r="L1686" s="2">
        <v>2.2999999999999998</v>
      </c>
      <c r="M1686" s="3">
        <v>1482</v>
      </c>
      <c r="N1686">
        <v>5</v>
      </c>
      <c r="O1686">
        <v>5</v>
      </c>
      <c r="P1686">
        <v>1</v>
      </c>
      <c r="Q1686">
        <v>0</v>
      </c>
      <c r="R1686" s="4">
        <v>30.22</v>
      </c>
      <c r="S1686">
        <v>0</v>
      </c>
      <c r="T1686">
        <v>1</v>
      </c>
    </row>
    <row r="1687" spans="1:20" ht="16.5" x14ac:dyDescent="0.3">
      <c r="A1687" t="s">
        <v>1737</v>
      </c>
      <c r="B1687" s="1">
        <v>45548</v>
      </c>
      <c r="C1687">
        <v>2024</v>
      </c>
      <c r="D1687" t="s">
        <v>1261</v>
      </c>
      <c r="E1687" t="s">
        <v>1651</v>
      </c>
      <c r="F1687" t="s">
        <v>38</v>
      </c>
      <c r="G1687" t="s">
        <v>35</v>
      </c>
      <c r="H1687" t="s">
        <v>43</v>
      </c>
      <c r="I1687" t="s">
        <v>26</v>
      </c>
      <c r="J1687" t="s">
        <v>27</v>
      </c>
      <c r="K1687" t="s">
        <v>32</v>
      </c>
      <c r="L1687" s="2">
        <v>1.2</v>
      </c>
      <c r="M1687" s="3">
        <v>1077</v>
      </c>
      <c r="N1687">
        <v>5</v>
      </c>
      <c r="O1687">
        <v>5</v>
      </c>
      <c r="P1687">
        <v>1</v>
      </c>
      <c r="Q1687">
        <v>0</v>
      </c>
      <c r="R1687" s="4">
        <v>23.15</v>
      </c>
      <c r="S1687">
        <v>0</v>
      </c>
      <c r="T1687">
        <v>1</v>
      </c>
    </row>
    <row r="1688" spans="1:20" ht="16.5" x14ac:dyDescent="0.3">
      <c r="A1688" t="s">
        <v>1738</v>
      </c>
      <c r="B1688" s="1">
        <v>45548</v>
      </c>
      <c r="C1688">
        <v>2024</v>
      </c>
      <c r="D1688" t="s">
        <v>1261</v>
      </c>
      <c r="E1688" t="s">
        <v>1651</v>
      </c>
      <c r="F1688" t="s">
        <v>57</v>
      </c>
      <c r="G1688" t="s">
        <v>24</v>
      </c>
      <c r="H1688" t="s">
        <v>36</v>
      </c>
      <c r="I1688" t="s">
        <v>31</v>
      </c>
      <c r="J1688" t="s">
        <v>27</v>
      </c>
      <c r="K1688" t="s">
        <v>32</v>
      </c>
      <c r="L1688" s="2">
        <v>18.399999999999999</v>
      </c>
      <c r="M1688" s="3">
        <v>253</v>
      </c>
      <c r="N1688">
        <v>5</v>
      </c>
      <c r="O1688">
        <v>5</v>
      </c>
      <c r="P1688">
        <v>1</v>
      </c>
      <c r="Q1688">
        <v>0</v>
      </c>
      <c r="R1688" s="4">
        <v>15.19</v>
      </c>
      <c r="S1688">
        <v>0</v>
      </c>
      <c r="T1688">
        <v>1</v>
      </c>
    </row>
    <row r="1689" spans="1:20" ht="16.5" x14ac:dyDescent="0.3">
      <c r="A1689" t="s">
        <v>1739</v>
      </c>
      <c r="B1689" s="1">
        <v>45549</v>
      </c>
      <c r="C1689">
        <v>2024</v>
      </c>
      <c r="D1689" t="s">
        <v>1261</v>
      </c>
      <c r="E1689" t="s">
        <v>1651</v>
      </c>
      <c r="F1689" t="s">
        <v>38</v>
      </c>
      <c r="G1689" t="s">
        <v>39</v>
      </c>
      <c r="H1689" t="s">
        <v>48</v>
      </c>
      <c r="I1689" t="s">
        <v>26</v>
      </c>
      <c r="J1689" t="s">
        <v>27</v>
      </c>
      <c r="K1689" t="s">
        <v>28</v>
      </c>
      <c r="L1689" s="2">
        <v>99</v>
      </c>
      <c r="M1689" s="3">
        <v>319</v>
      </c>
      <c r="N1689">
        <v>4</v>
      </c>
      <c r="O1689">
        <v>4</v>
      </c>
      <c r="P1689">
        <v>1</v>
      </c>
      <c r="Q1689">
        <v>0</v>
      </c>
      <c r="R1689" s="4">
        <v>61.78</v>
      </c>
      <c r="S1689">
        <v>0</v>
      </c>
      <c r="T1689">
        <v>1</v>
      </c>
    </row>
    <row r="1690" spans="1:20" ht="16.5" x14ac:dyDescent="0.3">
      <c r="A1690" t="s">
        <v>1740</v>
      </c>
      <c r="B1690" s="1">
        <v>45549</v>
      </c>
      <c r="C1690">
        <v>2024</v>
      </c>
      <c r="D1690" t="s">
        <v>1261</v>
      </c>
      <c r="E1690" t="s">
        <v>1651</v>
      </c>
      <c r="F1690" t="s">
        <v>34</v>
      </c>
      <c r="G1690" t="s">
        <v>39</v>
      </c>
      <c r="H1690" t="s">
        <v>43</v>
      </c>
      <c r="I1690" t="s">
        <v>26</v>
      </c>
      <c r="J1690" t="s">
        <v>27</v>
      </c>
      <c r="K1690" t="s">
        <v>32</v>
      </c>
      <c r="L1690" s="2">
        <v>9</v>
      </c>
      <c r="M1690" s="3">
        <v>662</v>
      </c>
      <c r="N1690">
        <v>5</v>
      </c>
      <c r="O1690">
        <v>5</v>
      </c>
      <c r="P1690">
        <v>1</v>
      </c>
      <c r="Q1690">
        <v>0</v>
      </c>
      <c r="R1690" s="4">
        <v>17.350000000000001</v>
      </c>
      <c r="S1690">
        <v>0</v>
      </c>
      <c r="T1690">
        <v>1</v>
      </c>
    </row>
    <row r="1691" spans="1:20" ht="16.5" x14ac:dyDescent="0.3">
      <c r="A1691" t="s">
        <v>1741</v>
      </c>
      <c r="B1691" s="1">
        <v>45549</v>
      </c>
      <c r="C1691">
        <v>2024</v>
      </c>
      <c r="D1691" t="s">
        <v>1261</v>
      </c>
      <c r="E1691" t="s">
        <v>1651</v>
      </c>
      <c r="F1691" t="s">
        <v>57</v>
      </c>
      <c r="G1691" t="s">
        <v>39</v>
      </c>
      <c r="H1691" t="s">
        <v>48</v>
      </c>
      <c r="I1691" t="s">
        <v>40</v>
      </c>
      <c r="J1691" t="s">
        <v>27</v>
      </c>
      <c r="K1691" t="s">
        <v>32</v>
      </c>
      <c r="L1691" s="2">
        <v>6.2</v>
      </c>
      <c r="M1691" s="3">
        <v>386</v>
      </c>
      <c r="N1691">
        <v>2</v>
      </c>
      <c r="O1691">
        <v>2</v>
      </c>
      <c r="P1691">
        <v>1</v>
      </c>
      <c r="Q1691">
        <v>0</v>
      </c>
      <c r="R1691" s="4">
        <v>29.42</v>
      </c>
      <c r="S1691">
        <v>0</v>
      </c>
      <c r="T1691">
        <v>1</v>
      </c>
    </row>
    <row r="1692" spans="1:20" ht="16.5" x14ac:dyDescent="0.3">
      <c r="A1692" t="s">
        <v>1742</v>
      </c>
      <c r="B1692" s="1">
        <v>45549</v>
      </c>
      <c r="C1692">
        <v>2024</v>
      </c>
      <c r="D1692" t="s">
        <v>1261</v>
      </c>
      <c r="E1692" t="s">
        <v>1651</v>
      </c>
      <c r="F1692" t="s">
        <v>38</v>
      </c>
      <c r="G1692" t="s">
        <v>35</v>
      </c>
      <c r="H1692" t="s">
        <v>36</v>
      </c>
      <c r="I1692" t="s">
        <v>40</v>
      </c>
      <c r="J1692" t="s">
        <v>27</v>
      </c>
      <c r="K1692" t="s">
        <v>32</v>
      </c>
      <c r="L1692" s="2">
        <v>9.4</v>
      </c>
      <c r="M1692" s="3">
        <v>244</v>
      </c>
      <c r="N1692">
        <v>1</v>
      </c>
      <c r="O1692">
        <v>3</v>
      </c>
      <c r="P1692">
        <v>0</v>
      </c>
      <c r="Q1692">
        <v>2</v>
      </c>
      <c r="R1692" s="4">
        <v>33.4</v>
      </c>
      <c r="S1692">
        <v>0</v>
      </c>
      <c r="T1692">
        <v>1</v>
      </c>
    </row>
    <row r="1693" spans="1:20" ht="16.5" x14ac:dyDescent="0.3">
      <c r="A1693" t="s">
        <v>1743</v>
      </c>
      <c r="B1693" s="1">
        <v>45549</v>
      </c>
      <c r="C1693">
        <v>2024</v>
      </c>
      <c r="D1693" t="s">
        <v>1261</v>
      </c>
      <c r="E1693" t="s">
        <v>1651</v>
      </c>
      <c r="F1693" t="s">
        <v>57</v>
      </c>
      <c r="G1693" t="s">
        <v>35</v>
      </c>
      <c r="H1693" t="s">
        <v>36</v>
      </c>
      <c r="I1693" t="s">
        <v>31</v>
      </c>
      <c r="J1693" t="s">
        <v>27</v>
      </c>
      <c r="K1693" t="s">
        <v>28</v>
      </c>
      <c r="L1693" s="2">
        <v>52.1</v>
      </c>
      <c r="M1693" s="3">
        <v>263</v>
      </c>
      <c r="N1693">
        <v>5</v>
      </c>
      <c r="O1693">
        <v>7</v>
      </c>
      <c r="P1693">
        <v>0</v>
      </c>
      <c r="Q1693">
        <v>2</v>
      </c>
      <c r="R1693" s="4">
        <v>26.98</v>
      </c>
      <c r="S1693">
        <v>0</v>
      </c>
      <c r="T1693">
        <v>1</v>
      </c>
    </row>
    <row r="1694" spans="1:20" ht="16.5" x14ac:dyDescent="0.3">
      <c r="A1694" t="s">
        <v>1744</v>
      </c>
      <c r="B1694" s="1">
        <v>45549</v>
      </c>
      <c r="C1694">
        <v>2024</v>
      </c>
      <c r="D1694" t="s">
        <v>1261</v>
      </c>
      <c r="E1694" t="s">
        <v>1651</v>
      </c>
      <c r="F1694" t="s">
        <v>23</v>
      </c>
      <c r="G1694" t="s">
        <v>39</v>
      </c>
      <c r="H1694" t="s">
        <v>51</v>
      </c>
      <c r="I1694" t="s">
        <v>40</v>
      </c>
      <c r="J1694" t="s">
        <v>41</v>
      </c>
      <c r="K1694" t="s">
        <v>28</v>
      </c>
      <c r="L1694" s="2">
        <v>382.3</v>
      </c>
      <c r="M1694" s="3">
        <v>1298</v>
      </c>
      <c r="N1694">
        <v>3</v>
      </c>
      <c r="O1694">
        <v>3</v>
      </c>
      <c r="P1694">
        <v>1</v>
      </c>
      <c r="Q1694">
        <v>0</v>
      </c>
      <c r="R1694" s="4">
        <v>463</v>
      </c>
      <c r="S1694">
        <v>0</v>
      </c>
      <c r="T1694">
        <v>1</v>
      </c>
    </row>
    <row r="1695" spans="1:20" ht="16.5" x14ac:dyDescent="0.3">
      <c r="A1695" t="s">
        <v>1745</v>
      </c>
      <c r="B1695" s="1">
        <v>45549</v>
      </c>
      <c r="C1695">
        <v>2024</v>
      </c>
      <c r="D1695" t="s">
        <v>1261</v>
      </c>
      <c r="E1695" t="s">
        <v>1651</v>
      </c>
      <c r="F1695" t="s">
        <v>38</v>
      </c>
      <c r="G1695" t="s">
        <v>39</v>
      </c>
      <c r="H1695" t="s">
        <v>36</v>
      </c>
      <c r="I1695" t="s">
        <v>31</v>
      </c>
      <c r="J1695" t="s">
        <v>27</v>
      </c>
      <c r="K1695" t="s">
        <v>32</v>
      </c>
      <c r="L1695" s="2">
        <v>3.9</v>
      </c>
      <c r="M1695" s="3">
        <v>230</v>
      </c>
      <c r="N1695">
        <v>5</v>
      </c>
      <c r="O1695">
        <v>9</v>
      </c>
      <c r="P1695">
        <v>0</v>
      </c>
      <c r="Q1695">
        <v>4</v>
      </c>
      <c r="R1695" s="4">
        <v>9.3800000000000008</v>
      </c>
      <c r="S1695">
        <v>0</v>
      </c>
      <c r="T1695">
        <v>1</v>
      </c>
    </row>
    <row r="1696" spans="1:20" ht="16.5" x14ac:dyDescent="0.3">
      <c r="A1696" t="s">
        <v>1746</v>
      </c>
      <c r="B1696" s="1">
        <v>45549</v>
      </c>
      <c r="C1696">
        <v>2024</v>
      </c>
      <c r="D1696" t="s">
        <v>1261</v>
      </c>
      <c r="E1696" t="s">
        <v>1651</v>
      </c>
      <c r="F1696" t="s">
        <v>38</v>
      </c>
      <c r="G1696" t="s">
        <v>35</v>
      </c>
      <c r="H1696" t="s">
        <v>48</v>
      </c>
      <c r="I1696" t="s">
        <v>26</v>
      </c>
      <c r="J1696" t="s">
        <v>27</v>
      </c>
      <c r="K1696" t="s">
        <v>28</v>
      </c>
      <c r="L1696" s="2">
        <v>126</v>
      </c>
      <c r="M1696" s="3">
        <v>502</v>
      </c>
      <c r="N1696">
        <v>4</v>
      </c>
      <c r="O1696">
        <v>4</v>
      </c>
      <c r="P1696">
        <v>1</v>
      </c>
      <c r="Q1696">
        <v>0</v>
      </c>
      <c r="R1696" s="4">
        <v>85.06</v>
      </c>
      <c r="S1696">
        <v>0</v>
      </c>
      <c r="T1696">
        <v>1</v>
      </c>
    </row>
    <row r="1697" spans="1:20" ht="16.5" x14ac:dyDescent="0.3">
      <c r="A1697" t="s">
        <v>1747</v>
      </c>
      <c r="B1697" s="1">
        <v>45550</v>
      </c>
      <c r="C1697">
        <v>2024</v>
      </c>
      <c r="D1697" t="s">
        <v>1261</v>
      </c>
      <c r="E1697" t="s">
        <v>1651</v>
      </c>
      <c r="F1697" t="s">
        <v>57</v>
      </c>
      <c r="G1697" t="s">
        <v>39</v>
      </c>
      <c r="H1697" t="s">
        <v>36</v>
      </c>
      <c r="I1697" t="s">
        <v>40</v>
      </c>
      <c r="J1697" t="s">
        <v>27</v>
      </c>
      <c r="K1697" t="s">
        <v>32</v>
      </c>
      <c r="L1697" s="2">
        <v>16.600000000000001</v>
      </c>
      <c r="M1697" s="3">
        <v>246</v>
      </c>
      <c r="N1697">
        <v>1</v>
      </c>
      <c r="O1697">
        <v>1</v>
      </c>
      <c r="P1697">
        <v>1</v>
      </c>
      <c r="Q1697">
        <v>0</v>
      </c>
      <c r="R1697" s="4">
        <v>37.159999999999997</v>
      </c>
      <c r="S1697">
        <v>0</v>
      </c>
      <c r="T1697">
        <v>1</v>
      </c>
    </row>
    <row r="1698" spans="1:20" ht="16.5" x14ac:dyDescent="0.3">
      <c r="A1698" t="s">
        <v>1748</v>
      </c>
      <c r="B1698" s="1">
        <v>45550</v>
      </c>
      <c r="C1698">
        <v>2024</v>
      </c>
      <c r="D1698" t="s">
        <v>1261</v>
      </c>
      <c r="E1698" t="s">
        <v>1651</v>
      </c>
      <c r="F1698" t="s">
        <v>34</v>
      </c>
      <c r="G1698" t="s">
        <v>35</v>
      </c>
      <c r="H1698" t="s">
        <v>43</v>
      </c>
      <c r="I1698" t="s">
        <v>26</v>
      </c>
      <c r="J1698" t="s">
        <v>27</v>
      </c>
      <c r="K1698" t="s">
        <v>28</v>
      </c>
      <c r="L1698" s="2">
        <v>59.1</v>
      </c>
      <c r="M1698" s="3">
        <v>996</v>
      </c>
      <c r="N1698">
        <v>5</v>
      </c>
      <c r="O1698">
        <v>4</v>
      </c>
      <c r="P1698">
        <v>1</v>
      </c>
      <c r="Q1698">
        <v>0</v>
      </c>
      <c r="R1698" s="4">
        <v>42.2</v>
      </c>
      <c r="S1698">
        <v>0</v>
      </c>
      <c r="T1698">
        <v>1</v>
      </c>
    </row>
    <row r="1699" spans="1:20" ht="16.5" x14ac:dyDescent="0.3">
      <c r="A1699" t="s">
        <v>1749</v>
      </c>
      <c r="B1699" s="1">
        <v>45550</v>
      </c>
      <c r="C1699">
        <v>2024</v>
      </c>
      <c r="D1699" t="s">
        <v>1261</v>
      </c>
      <c r="E1699" t="s">
        <v>1651</v>
      </c>
      <c r="F1699" t="s">
        <v>23</v>
      </c>
      <c r="G1699" t="s">
        <v>35</v>
      </c>
      <c r="H1699" t="s">
        <v>48</v>
      </c>
      <c r="I1699" t="s">
        <v>40</v>
      </c>
      <c r="J1699" t="s">
        <v>27</v>
      </c>
      <c r="K1699" t="s">
        <v>28</v>
      </c>
      <c r="L1699" s="2">
        <v>328.2</v>
      </c>
      <c r="M1699" s="3">
        <v>352</v>
      </c>
      <c r="N1699">
        <v>2</v>
      </c>
      <c r="O1699">
        <v>1</v>
      </c>
      <c r="P1699">
        <v>1</v>
      </c>
      <c r="Q1699">
        <v>0</v>
      </c>
      <c r="R1699" s="4">
        <v>244.53</v>
      </c>
      <c r="S1699">
        <v>0</v>
      </c>
      <c r="T1699">
        <v>1</v>
      </c>
    </row>
    <row r="1700" spans="1:20" ht="16.5" x14ac:dyDescent="0.3">
      <c r="A1700" t="s">
        <v>1750</v>
      </c>
      <c r="B1700" s="1">
        <v>45550</v>
      </c>
      <c r="C1700">
        <v>2024</v>
      </c>
      <c r="D1700" t="s">
        <v>1261</v>
      </c>
      <c r="E1700" t="s">
        <v>1651</v>
      </c>
      <c r="F1700" t="s">
        <v>34</v>
      </c>
      <c r="G1700" t="s">
        <v>39</v>
      </c>
      <c r="H1700" t="s">
        <v>48</v>
      </c>
      <c r="I1700" t="s">
        <v>31</v>
      </c>
      <c r="J1700" t="s">
        <v>27</v>
      </c>
      <c r="K1700" t="s">
        <v>28</v>
      </c>
      <c r="L1700" s="2">
        <v>44.2</v>
      </c>
      <c r="M1700" s="3">
        <v>362</v>
      </c>
      <c r="N1700">
        <v>6</v>
      </c>
      <c r="O1700">
        <v>5</v>
      </c>
      <c r="P1700">
        <v>1</v>
      </c>
      <c r="Q1700">
        <v>0</v>
      </c>
      <c r="R1700" s="4">
        <v>18.350000000000001</v>
      </c>
      <c r="S1700">
        <v>0</v>
      </c>
      <c r="T1700">
        <v>1</v>
      </c>
    </row>
    <row r="1701" spans="1:20" ht="16.5" x14ac:dyDescent="0.3">
      <c r="A1701" t="s">
        <v>1751</v>
      </c>
      <c r="B1701" s="1">
        <v>45550</v>
      </c>
      <c r="C1701">
        <v>2024</v>
      </c>
      <c r="D1701" t="s">
        <v>1261</v>
      </c>
      <c r="E1701" t="s">
        <v>1651</v>
      </c>
      <c r="F1701" t="s">
        <v>23</v>
      </c>
      <c r="G1701" t="s">
        <v>39</v>
      </c>
      <c r="H1701" t="s">
        <v>36</v>
      </c>
      <c r="I1701" t="s">
        <v>26</v>
      </c>
      <c r="J1701" t="s">
        <v>27</v>
      </c>
      <c r="K1701" t="s">
        <v>28</v>
      </c>
      <c r="L1701" s="2">
        <v>25.6</v>
      </c>
      <c r="M1701" s="3">
        <v>175</v>
      </c>
      <c r="N1701">
        <v>3</v>
      </c>
      <c r="O1701">
        <v>2</v>
      </c>
      <c r="P1701">
        <v>1</v>
      </c>
      <c r="Q1701">
        <v>0</v>
      </c>
      <c r="R1701" s="4">
        <v>22.68</v>
      </c>
      <c r="S1701">
        <v>0</v>
      </c>
      <c r="T1701">
        <v>1</v>
      </c>
    </row>
    <row r="1702" spans="1:20" ht="16.5" x14ac:dyDescent="0.3">
      <c r="A1702" t="s">
        <v>1752</v>
      </c>
      <c r="B1702" s="1">
        <v>45550</v>
      </c>
      <c r="C1702">
        <v>2024</v>
      </c>
      <c r="D1702" t="s">
        <v>1261</v>
      </c>
      <c r="E1702" t="s">
        <v>1651</v>
      </c>
      <c r="F1702" t="s">
        <v>38</v>
      </c>
      <c r="G1702" t="s">
        <v>39</v>
      </c>
      <c r="H1702" t="s">
        <v>25</v>
      </c>
      <c r="I1702" t="s">
        <v>26</v>
      </c>
      <c r="J1702" t="s">
        <v>27</v>
      </c>
      <c r="K1702" t="s">
        <v>32</v>
      </c>
      <c r="L1702" s="2">
        <v>9.4</v>
      </c>
      <c r="M1702" s="3">
        <v>907</v>
      </c>
      <c r="N1702">
        <v>4</v>
      </c>
      <c r="O1702">
        <v>6</v>
      </c>
      <c r="P1702">
        <v>0</v>
      </c>
      <c r="Q1702">
        <v>2</v>
      </c>
      <c r="R1702" s="4">
        <v>24.94</v>
      </c>
      <c r="S1702">
        <v>0</v>
      </c>
      <c r="T1702">
        <v>1</v>
      </c>
    </row>
    <row r="1703" spans="1:20" ht="16.5" x14ac:dyDescent="0.3">
      <c r="A1703" t="s">
        <v>1753</v>
      </c>
      <c r="B1703" s="1">
        <v>45550</v>
      </c>
      <c r="C1703">
        <v>2024</v>
      </c>
      <c r="D1703" t="s">
        <v>1261</v>
      </c>
      <c r="E1703" t="s">
        <v>1651</v>
      </c>
      <c r="F1703" t="s">
        <v>57</v>
      </c>
      <c r="G1703" t="s">
        <v>39</v>
      </c>
      <c r="H1703" t="s">
        <v>43</v>
      </c>
      <c r="I1703" t="s">
        <v>26</v>
      </c>
      <c r="J1703" t="s">
        <v>27</v>
      </c>
      <c r="K1703" t="s">
        <v>32</v>
      </c>
      <c r="L1703" s="2">
        <v>6</v>
      </c>
      <c r="M1703" s="3">
        <v>1348</v>
      </c>
      <c r="N1703">
        <v>5</v>
      </c>
      <c r="O1703">
        <v>9</v>
      </c>
      <c r="P1703">
        <v>0</v>
      </c>
      <c r="Q1703">
        <v>4</v>
      </c>
      <c r="R1703" s="4">
        <v>27.38</v>
      </c>
      <c r="S1703">
        <v>0</v>
      </c>
      <c r="T1703">
        <v>1</v>
      </c>
    </row>
    <row r="1704" spans="1:20" ht="16.5" x14ac:dyDescent="0.3">
      <c r="A1704" t="s">
        <v>1754</v>
      </c>
      <c r="B1704" s="1">
        <v>45550</v>
      </c>
      <c r="C1704">
        <v>2024</v>
      </c>
      <c r="D1704" t="s">
        <v>1261</v>
      </c>
      <c r="E1704" t="s">
        <v>1651</v>
      </c>
      <c r="F1704" t="s">
        <v>34</v>
      </c>
      <c r="G1704" t="s">
        <v>35</v>
      </c>
      <c r="H1704" t="s">
        <v>25</v>
      </c>
      <c r="I1704" t="s">
        <v>40</v>
      </c>
      <c r="J1704" t="s">
        <v>41</v>
      </c>
      <c r="K1704" t="s">
        <v>28</v>
      </c>
      <c r="L1704" s="2">
        <v>99.3</v>
      </c>
      <c r="M1704" s="3">
        <v>830</v>
      </c>
      <c r="N1704">
        <v>2</v>
      </c>
      <c r="O1704">
        <v>2</v>
      </c>
      <c r="P1704">
        <v>1</v>
      </c>
      <c r="Q1704">
        <v>0</v>
      </c>
      <c r="R1704" s="4">
        <v>159.44</v>
      </c>
      <c r="S1704">
        <v>0</v>
      </c>
      <c r="T1704">
        <v>1</v>
      </c>
    </row>
    <row r="1705" spans="1:20" ht="16.5" x14ac:dyDescent="0.3">
      <c r="A1705" t="s">
        <v>1755</v>
      </c>
      <c r="B1705" s="1">
        <v>45550</v>
      </c>
      <c r="C1705">
        <v>2024</v>
      </c>
      <c r="D1705" t="s">
        <v>1261</v>
      </c>
      <c r="E1705" t="s">
        <v>1651</v>
      </c>
      <c r="F1705" t="s">
        <v>38</v>
      </c>
      <c r="G1705" t="s">
        <v>39</v>
      </c>
      <c r="H1705" t="s">
        <v>36</v>
      </c>
      <c r="I1705" t="s">
        <v>26</v>
      </c>
      <c r="J1705" t="s">
        <v>27</v>
      </c>
      <c r="K1705" t="s">
        <v>28</v>
      </c>
      <c r="L1705" s="2">
        <v>167.3</v>
      </c>
      <c r="M1705" s="3">
        <v>276</v>
      </c>
      <c r="N1705">
        <v>3</v>
      </c>
      <c r="O1705">
        <v>2</v>
      </c>
      <c r="P1705">
        <v>1</v>
      </c>
      <c r="Q1705">
        <v>0</v>
      </c>
      <c r="R1705" s="4">
        <v>90.45</v>
      </c>
      <c r="S1705">
        <v>0</v>
      </c>
      <c r="T1705">
        <v>1</v>
      </c>
    </row>
    <row r="1706" spans="1:20" ht="16.5" x14ac:dyDescent="0.3">
      <c r="A1706" t="s">
        <v>1756</v>
      </c>
      <c r="B1706" s="1">
        <v>45551</v>
      </c>
      <c r="C1706">
        <v>2024</v>
      </c>
      <c r="D1706" t="s">
        <v>1261</v>
      </c>
      <c r="E1706" t="s">
        <v>1651</v>
      </c>
      <c r="F1706" t="s">
        <v>23</v>
      </c>
      <c r="G1706" t="s">
        <v>24</v>
      </c>
      <c r="H1706" t="s">
        <v>48</v>
      </c>
      <c r="I1706" t="s">
        <v>31</v>
      </c>
      <c r="J1706" t="s">
        <v>27</v>
      </c>
      <c r="K1706" t="s">
        <v>28</v>
      </c>
      <c r="L1706" s="2">
        <v>58</v>
      </c>
      <c r="M1706" s="3">
        <v>499</v>
      </c>
      <c r="N1706">
        <v>6</v>
      </c>
      <c r="O1706">
        <v>5</v>
      </c>
      <c r="P1706">
        <v>1</v>
      </c>
      <c r="Q1706">
        <v>0</v>
      </c>
      <c r="R1706" s="4">
        <v>30.15</v>
      </c>
      <c r="S1706">
        <v>0</v>
      </c>
      <c r="T1706">
        <v>1</v>
      </c>
    </row>
    <row r="1707" spans="1:20" ht="16.5" x14ac:dyDescent="0.3">
      <c r="A1707" t="s">
        <v>1757</v>
      </c>
      <c r="B1707" s="1">
        <v>45551</v>
      </c>
      <c r="C1707">
        <v>2024</v>
      </c>
      <c r="D1707" t="s">
        <v>1261</v>
      </c>
      <c r="E1707" t="s">
        <v>1651</v>
      </c>
      <c r="F1707" t="s">
        <v>23</v>
      </c>
      <c r="G1707" t="s">
        <v>39</v>
      </c>
      <c r="H1707" t="s">
        <v>48</v>
      </c>
      <c r="I1707" t="s">
        <v>26</v>
      </c>
      <c r="J1707" t="s">
        <v>27</v>
      </c>
      <c r="K1707" t="s">
        <v>32</v>
      </c>
      <c r="L1707" s="2">
        <v>16.5</v>
      </c>
      <c r="M1707" s="3">
        <v>500</v>
      </c>
      <c r="N1707">
        <v>4</v>
      </c>
      <c r="O1707">
        <v>6</v>
      </c>
      <c r="P1707">
        <v>0</v>
      </c>
      <c r="Q1707">
        <v>2</v>
      </c>
      <c r="R1707" s="4">
        <v>20.85</v>
      </c>
      <c r="S1707">
        <v>0</v>
      </c>
      <c r="T1707">
        <v>1</v>
      </c>
    </row>
    <row r="1708" spans="1:20" ht="16.5" x14ac:dyDescent="0.3">
      <c r="A1708" t="s">
        <v>1758</v>
      </c>
      <c r="B1708" s="1">
        <v>45551</v>
      </c>
      <c r="C1708">
        <v>2024</v>
      </c>
      <c r="D1708" t="s">
        <v>1261</v>
      </c>
      <c r="E1708" t="s">
        <v>1651</v>
      </c>
      <c r="F1708" t="s">
        <v>57</v>
      </c>
      <c r="G1708" t="s">
        <v>35</v>
      </c>
      <c r="H1708" t="s">
        <v>36</v>
      </c>
      <c r="I1708" t="s">
        <v>40</v>
      </c>
      <c r="J1708" t="s">
        <v>27</v>
      </c>
      <c r="K1708" t="s">
        <v>28</v>
      </c>
      <c r="L1708" s="2">
        <v>198.4</v>
      </c>
      <c r="M1708" s="3">
        <v>256</v>
      </c>
      <c r="N1708">
        <v>1</v>
      </c>
      <c r="O1708">
        <v>1</v>
      </c>
      <c r="P1708">
        <v>1</v>
      </c>
      <c r="Q1708">
        <v>0</v>
      </c>
      <c r="R1708" s="4">
        <v>174.05</v>
      </c>
      <c r="S1708">
        <v>0</v>
      </c>
      <c r="T1708">
        <v>1</v>
      </c>
    </row>
    <row r="1709" spans="1:20" ht="16.5" x14ac:dyDescent="0.3">
      <c r="A1709" t="s">
        <v>1759</v>
      </c>
      <c r="B1709" s="1">
        <v>45551</v>
      </c>
      <c r="C1709">
        <v>2024</v>
      </c>
      <c r="D1709" t="s">
        <v>1261</v>
      </c>
      <c r="E1709" t="s">
        <v>1651</v>
      </c>
      <c r="F1709" t="s">
        <v>57</v>
      </c>
      <c r="G1709" t="s">
        <v>35</v>
      </c>
      <c r="H1709" t="s">
        <v>25</v>
      </c>
      <c r="I1709" t="s">
        <v>26</v>
      </c>
      <c r="J1709" t="s">
        <v>27</v>
      </c>
      <c r="K1709" t="s">
        <v>32</v>
      </c>
      <c r="L1709" s="2">
        <v>9</v>
      </c>
      <c r="M1709" s="3">
        <v>896</v>
      </c>
      <c r="N1709">
        <v>4</v>
      </c>
      <c r="O1709">
        <v>3</v>
      </c>
      <c r="P1709">
        <v>1</v>
      </c>
      <c r="Q1709">
        <v>0</v>
      </c>
      <c r="R1709" s="4">
        <v>21.32</v>
      </c>
      <c r="S1709">
        <v>0</v>
      </c>
      <c r="T1709">
        <v>1</v>
      </c>
    </row>
    <row r="1710" spans="1:20" ht="16.5" x14ac:dyDescent="0.3">
      <c r="A1710" t="s">
        <v>1760</v>
      </c>
      <c r="B1710" s="1">
        <v>45551</v>
      </c>
      <c r="C1710">
        <v>2024</v>
      </c>
      <c r="D1710" t="s">
        <v>1261</v>
      </c>
      <c r="E1710" t="s">
        <v>1651</v>
      </c>
      <c r="F1710" t="s">
        <v>34</v>
      </c>
      <c r="G1710" t="s">
        <v>35</v>
      </c>
      <c r="H1710" t="s">
        <v>25</v>
      </c>
      <c r="I1710" t="s">
        <v>26</v>
      </c>
      <c r="J1710" t="s">
        <v>27</v>
      </c>
      <c r="K1710" t="s">
        <v>32</v>
      </c>
      <c r="L1710" s="2">
        <v>11.4</v>
      </c>
      <c r="M1710" s="3">
        <v>825</v>
      </c>
      <c r="N1710">
        <v>4</v>
      </c>
      <c r="O1710">
        <v>4</v>
      </c>
      <c r="P1710">
        <v>1</v>
      </c>
      <c r="Q1710">
        <v>0</v>
      </c>
      <c r="R1710" s="4">
        <v>17.489999999999998</v>
      </c>
      <c r="S1710">
        <v>0</v>
      </c>
      <c r="T1710">
        <v>1</v>
      </c>
    </row>
    <row r="1711" spans="1:20" ht="16.5" x14ac:dyDescent="0.3">
      <c r="A1711" t="s">
        <v>1761</v>
      </c>
      <c r="B1711" s="1">
        <v>45551</v>
      </c>
      <c r="C1711">
        <v>2024</v>
      </c>
      <c r="D1711" t="s">
        <v>1261</v>
      </c>
      <c r="E1711" t="s">
        <v>1651</v>
      </c>
      <c r="F1711" t="s">
        <v>38</v>
      </c>
      <c r="G1711" t="s">
        <v>35</v>
      </c>
      <c r="H1711" t="s">
        <v>51</v>
      </c>
      <c r="I1711" t="s">
        <v>26</v>
      </c>
      <c r="J1711" t="s">
        <v>27</v>
      </c>
      <c r="K1711" t="s">
        <v>28</v>
      </c>
      <c r="L1711" s="2">
        <v>93.4</v>
      </c>
      <c r="M1711" s="3">
        <v>763</v>
      </c>
      <c r="N1711">
        <v>5</v>
      </c>
      <c r="O1711">
        <v>5</v>
      </c>
      <c r="P1711">
        <v>1</v>
      </c>
      <c r="Q1711">
        <v>0</v>
      </c>
      <c r="R1711" s="4">
        <v>61.88</v>
      </c>
      <c r="S1711">
        <v>0</v>
      </c>
      <c r="T1711">
        <v>1</v>
      </c>
    </row>
    <row r="1712" spans="1:20" ht="16.5" x14ac:dyDescent="0.3">
      <c r="A1712" t="s">
        <v>1762</v>
      </c>
      <c r="B1712" s="1">
        <v>45551</v>
      </c>
      <c r="C1712">
        <v>2024</v>
      </c>
      <c r="D1712" t="s">
        <v>1261</v>
      </c>
      <c r="E1712" t="s">
        <v>1651</v>
      </c>
      <c r="F1712" t="s">
        <v>23</v>
      </c>
      <c r="G1712" t="s">
        <v>39</v>
      </c>
      <c r="H1712" t="s">
        <v>48</v>
      </c>
      <c r="I1712" t="s">
        <v>26</v>
      </c>
      <c r="J1712" t="s">
        <v>27</v>
      </c>
      <c r="K1712" t="s">
        <v>32</v>
      </c>
      <c r="L1712" s="2">
        <v>6.1</v>
      </c>
      <c r="M1712" s="3">
        <v>405</v>
      </c>
      <c r="N1712">
        <v>4</v>
      </c>
      <c r="O1712">
        <v>4</v>
      </c>
      <c r="P1712">
        <v>1</v>
      </c>
      <c r="Q1712">
        <v>0</v>
      </c>
      <c r="R1712" s="4">
        <v>14.86</v>
      </c>
      <c r="S1712">
        <v>0</v>
      </c>
      <c r="T1712">
        <v>1</v>
      </c>
    </row>
    <row r="1713" spans="1:20" ht="16.5" x14ac:dyDescent="0.3">
      <c r="A1713" t="s">
        <v>1763</v>
      </c>
      <c r="B1713" s="1">
        <v>45551</v>
      </c>
      <c r="C1713">
        <v>2024</v>
      </c>
      <c r="D1713" t="s">
        <v>1261</v>
      </c>
      <c r="E1713" t="s">
        <v>1651</v>
      </c>
      <c r="F1713" t="s">
        <v>34</v>
      </c>
      <c r="G1713" t="s">
        <v>35</v>
      </c>
      <c r="H1713" t="s">
        <v>36</v>
      </c>
      <c r="I1713" t="s">
        <v>26</v>
      </c>
      <c r="J1713" t="s">
        <v>27</v>
      </c>
      <c r="K1713" t="s">
        <v>32</v>
      </c>
      <c r="L1713" s="2">
        <v>3.8</v>
      </c>
      <c r="M1713" s="3">
        <v>256</v>
      </c>
      <c r="N1713">
        <v>3</v>
      </c>
      <c r="O1713">
        <v>3</v>
      </c>
      <c r="P1713">
        <v>1</v>
      </c>
      <c r="Q1713">
        <v>0</v>
      </c>
      <c r="R1713" s="4">
        <v>10.66</v>
      </c>
      <c r="S1713">
        <v>0</v>
      </c>
      <c r="T1713">
        <v>1</v>
      </c>
    </row>
    <row r="1714" spans="1:20" ht="16.5" x14ac:dyDescent="0.3">
      <c r="A1714" t="s">
        <v>1764</v>
      </c>
      <c r="B1714" s="1">
        <v>45552</v>
      </c>
      <c r="C1714">
        <v>2024</v>
      </c>
      <c r="D1714" t="s">
        <v>1261</v>
      </c>
      <c r="E1714" t="s">
        <v>1651</v>
      </c>
      <c r="F1714" t="s">
        <v>23</v>
      </c>
      <c r="G1714" t="s">
        <v>24</v>
      </c>
      <c r="H1714" t="s">
        <v>25</v>
      </c>
      <c r="I1714" t="s">
        <v>26</v>
      </c>
      <c r="J1714" t="s">
        <v>27</v>
      </c>
      <c r="K1714" t="s">
        <v>28</v>
      </c>
      <c r="L1714" s="2">
        <v>122.3</v>
      </c>
      <c r="M1714" s="3">
        <v>968</v>
      </c>
      <c r="N1714">
        <v>4</v>
      </c>
      <c r="O1714">
        <v>4</v>
      </c>
      <c r="P1714">
        <v>1</v>
      </c>
      <c r="Q1714">
        <v>0</v>
      </c>
      <c r="R1714" s="4">
        <v>70.239999999999995</v>
      </c>
      <c r="S1714">
        <v>0</v>
      </c>
      <c r="T1714">
        <v>1</v>
      </c>
    </row>
    <row r="1715" spans="1:20" ht="16.5" x14ac:dyDescent="0.3">
      <c r="A1715" t="s">
        <v>1765</v>
      </c>
      <c r="B1715" s="1">
        <v>45552</v>
      </c>
      <c r="C1715">
        <v>2024</v>
      </c>
      <c r="D1715" t="s">
        <v>1261</v>
      </c>
      <c r="E1715" t="s">
        <v>1651</v>
      </c>
      <c r="F1715" t="s">
        <v>38</v>
      </c>
      <c r="G1715" t="s">
        <v>35</v>
      </c>
      <c r="H1715" t="s">
        <v>48</v>
      </c>
      <c r="I1715" t="s">
        <v>26</v>
      </c>
      <c r="J1715" t="s">
        <v>27</v>
      </c>
      <c r="K1715" t="s">
        <v>28</v>
      </c>
      <c r="L1715" s="2">
        <v>93.4</v>
      </c>
      <c r="M1715" s="3">
        <v>666</v>
      </c>
      <c r="N1715">
        <v>4</v>
      </c>
      <c r="O1715">
        <v>4</v>
      </c>
      <c r="P1715">
        <v>1</v>
      </c>
      <c r="Q1715">
        <v>0</v>
      </c>
      <c r="R1715" s="4">
        <v>61.48</v>
      </c>
      <c r="S1715">
        <v>0</v>
      </c>
      <c r="T1715">
        <v>1</v>
      </c>
    </row>
    <row r="1716" spans="1:20" ht="16.5" x14ac:dyDescent="0.3">
      <c r="A1716" t="s">
        <v>1766</v>
      </c>
      <c r="B1716" s="1">
        <v>45552</v>
      </c>
      <c r="C1716">
        <v>2024</v>
      </c>
      <c r="D1716" t="s">
        <v>1261</v>
      </c>
      <c r="E1716" t="s">
        <v>1651</v>
      </c>
      <c r="F1716" t="s">
        <v>34</v>
      </c>
      <c r="G1716" t="s">
        <v>35</v>
      </c>
      <c r="H1716" t="s">
        <v>48</v>
      </c>
      <c r="I1716" t="s">
        <v>26</v>
      </c>
      <c r="J1716" t="s">
        <v>27</v>
      </c>
      <c r="K1716" t="s">
        <v>28</v>
      </c>
      <c r="L1716" s="2">
        <v>153.6</v>
      </c>
      <c r="M1716" s="3">
        <v>384</v>
      </c>
      <c r="N1716">
        <v>4</v>
      </c>
      <c r="O1716">
        <v>4</v>
      </c>
      <c r="P1716">
        <v>1</v>
      </c>
      <c r="Q1716">
        <v>0</v>
      </c>
      <c r="R1716" s="4">
        <v>71.56</v>
      </c>
      <c r="S1716">
        <v>0</v>
      </c>
      <c r="T1716">
        <v>1</v>
      </c>
    </row>
    <row r="1717" spans="1:20" ht="16.5" x14ac:dyDescent="0.3">
      <c r="A1717" t="s">
        <v>1767</v>
      </c>
      <c r="B1717" s="1">
        <v>45552</v>
      </c>
      <c r="C1717">
        <v>2024</v>
      </c>
      <c r="D1717" t="s">
        <v>1261</v>
      </c>
      <c r="E1717" t="s">
        <v>1651</v>
      </c>
      <c r="F1717" t="s">
        <v>38</v>
      </c>
      <c r="G1717" t="s">
        <v>39</v>
      </c>
      <c r="H1717" t="s">
        <v>36</v>
      </c>
      <c r="I1717" t="s">
        <v>26</v>
      </c>
      <c r="J1717" t="s">
        <v>27</v>
      </c>
      <c r="K1717" t="s">
        <v>28</v>
      </c>
      <c r="L1717" s="2">
        <v>46.8</v>
      </c>
      <c r="M1717" s="3">
        <v>224</v>
      </c>
      <c r="N1717">
        <v>3</v>
      </c>
      <c r="O1717">
        <v>3</v>
      </c>
      <c r="P1717">
        <v>1</v>
      </c>
      <c r="Q1717">
        <v>0</v>
      </c>
      <c r="R1717" s="4">
        <v>33.700000000000003</v>
      </c>
      <c r="S1717">
        <v>0</v>
      </c>
      <c r="T1717">
        <v>1</v>
      </c>
    </row>
    <row r="1718" spans="1:20" ht="16.5" x14ac:dyDescent="0.3">
      <c r="A1718" t="s">
        <v>1768</v>
      </c>
      <c r="B1718" s="1">
        <v>45552</v>
      </c>
      <c r="C1718">
        <v>2024</v>
      </c>
      <c r="D1718" t="s">
        <v>1261</v>
      </c>
      <c r="E1718" t="s">
        <v>1651</v>
      </c>
      <c r="F1718" t="s">
        <v>57</v>
      </c>
      <c r="G1718" t="s">
        <v>35</v>
      </c>
      <c r="H1718" t="s">
        <v>48</v>
      </c>
      <c r="I1718" t="s">
        <v>40</v>
      </c>
      <c r="J1718" t="s">
        <v>27</v>
      </c>
      <c r="K1718" t="s">
        <v>28</v>
      </c>
      <c r="L1718" s="2">
        <v>74</v>
      </c>
      <c r="M1718" s="3">
        <v>495</v>
      </c>
      <c r="N1718">
        <v>2</v>
      </c>
      <c r="O1718">
        <v>2</v>
      </c>
      <c r="P1718">
        <v>1</v>
      </c>
      <c r="Q1718">
        <v>0</v>
      </c>
      <c r="R1718" s="4">
        <v>81.53</v>
      </c>
      <c r="S1718">
        <v>0</v>
      </c>
      <c r="T1718">
        <v>1</v>
      </c>
    </row>
    <row r="1719" spans="1:20" ht="16.5" x14ac:dyDescent="0.3">
      <c r="A1719" t="s">
        <v>1769</v>
      </c>
      <c r="B1719" s="1">
        <v>45552</v>
      </c>
      <c r="C1719">
        <v>2024</v>
      </c>
      <c r="D1719" t="s">
        <v>1261</v>
      </c>
      <c r="E1719" t="s">
        <v>1651</v>
      </c>
      <c r="F1719" t="s">
        <v>23</v>
      </c>
      <c r="G1719" t="s">
        <v>35</v>
      </c>
      <c r="H1719" t="s">
        <v>36</v>
      </c>
      <c r="I1719" t="s">
        <v>40</v>
      </c>
      <c r="J1719" t="s">
        <v>27</v>
      </c>
      <c r="K1719" t="s">
        <v>28</v>
      </c>
      <c r="L1719" s="2">
        <v>65.900000000000006</v>
      </c>
      <c r="M1719" s="3">
        <v>284</v>
      </c>
      <c r="N1719">
        <v>1</v>
      </c>
      <c r="O1719">
        <v>1</v>
      </c>
      <c r="P1719">
        <v>1</v>
      </c>
      <c r="Q1719">
        <v>0</v>
      </c>
      <c r="R1719" s="4">
        <v>74.08</v>
      </c>
      <c r="S1719">
        <v>0</v>
      </c>
      <c r="T1719">
        <v>1</v>
      </c>
    </row>
    <row r="1720" spans="1:20" ht="16.5" x14ac:dyDescent="0.3">
      <c r="A1720" t="s">
        <v>1770</v>
      </c>
      <c r="B1720" s="1">
        <v>45552</v>
      </c>
      <c r="C1720">
        <v>2024</v>
      </c>
      <c r="D1720" t="s">
        <v>1261</v>
      </c>
      <c r="E1720" t="s">
        <v>1651</v>
      </c>
      <c r="F1720" t="s">
        <v>34</v>
      </c>
      <c r="G1720" t="s">
        <v>35</v>
      </c>
      <c r="H1720" t="s">
        <v>48</v>
      </c>
      <c r="I1720" t="s">
        <v>26</v>
      </c>
      <c r="J1720" t="s">
        <v>27</v>
      </c>
      <c r="K1720" t="s">
        <v>32</v>
      </c>
      <c r="L1720" s="2">
        <v>15.1</v>
      </c>
      <c r="M1720" s="3">
        <v>399</v>
      </c>
      <c r="N1720">
        <v>4</v>
      </c>
      <c r="O1720">
        <v>7</v>
      </c>
      <c r="P1720">
        <v>0</v>
      </c>
      <c r="Q1720">
        <v>3</v>
      </c>
      <c r="R1720" s="4">
        <v>19.22</v>
      </c>
      <c r="S1720">
        <v>0</v>
      </c>
      <c r="T1720">
        <v>1</v>
      </c>
    </row>
    <row r="1721" spans="1:20" ht="16.5" x14ac:dyDescent="0.3">
      <c r="A1721" t="s">
        <v>1771</v>
      </c>
      <c r="B1721" s="1">
        <v>45552</v>
      </c>
      <c r="C1721">
        <v>2024</v>
      </c>
      <c r="D1721" t="s">
        <v>1261</v>
      </c>
      <c r="E1721" t="s">
        <v>1651</v>
      </c>
      <c r="F1721" t="s">
        <v>23</v>
      </c>
      <c r="G1721" t="s">
        <v>35</v>
      </c>
      <c r="H1721" t="s">
        <v>43</v>
      </c>
      <c r="I1721" t="s">
        <v>26</v>
      </c>
      <c r="J1721" t="s">
        <v>27</v>
      </c>
      <c r="K1721" t="s">
        <v>28</v>
      </c>
      <c r="L1721" s="2">
        <v>114.9</v>
      </c>
      <c r="M1721" s="3">
        <v>1033</v>
      </c>
      <c r="N1721">
        <v>5</v>
      </c>
      <c r="O1721">
        <v>5</v>
      </c>
      <c r="P1721">
        <v>1</v>
      </c>
      <c r="Q1721">
        <v>0</v>
      </c>
      <c r="R1721" s="4">
        <v>70.16</v>
      </c>
      <c r="S1721">
        <v>0</v>
      </c>
      <c r="T1721">
        <v>1</v>
      </c>
    </row>
    <row r="1722" spans="1:20" ht="16.5" x14ac:dyDescent="0.3">
      <c r="A1722" t="s">
        <v>1772</v>
      </c>
      <c r="B1722" s="1">
        <v>45552</v>
      </c>
      <c r="C1722">
        <v>2024</v>
      </c>
      <c r="D1722" t="s">
        <v>1261</v>
      </c>
      <c r="E1722" t="s">
        <v>1651</v>
      </c>
      <c r="F1722" t="s">
        <v>57</v>
      </c>
      <c r="G1722" t="s">
        <v>35</v>
      </c>
      <c r="H1722" t="s">
        <v>36</v>
      </c>
      <c r="I1722" t="s">
        <v>26</v>
      </c>
      <c r="J1722" t="s">
        <v>27</v>
      </c>
      <c r="K1722" t="s">
        <v>28</v>
      </c>
      <c r="L1722" s="2">
        <v>151.1</v>
      </c>
      <c r="M1722" s="3">
        <v>312</v>
      </c>
      <c r="N1722">
        <v>3</v>
      </c>
      <c r="O1722">
        <v>3</v>
      </c>
      <c r="P1722">
        <v>1</v>
      </c>
      <c r="Q1722">
        <v>0</v>
      </c>
      <c r="R1722" s="4">
        <v>69.42</v>
      </c>
      <c r="S1722">
        <v>0</v>
      </c>
      <c r="T1722">
        <v>1</v>
      </c>
    </row>
    <row r="1723" spans="1:20" ht="16.5" x14ac:dyDescent="0.3">
      <c r="A1723" t="s">
        <v>1773</v>
      </c>
      <c r="B1723" s="1">
        <v>45552</v>
      </c>
      <c r="C1723">
        <v>2024</v>
      </c>
      <c r="D1723" t="s">
        <v>1261</v>
      </c>
      <c r="E1723" t="s">
        <v>1651</v>
      </c>
      <c r="F1723" t="s">
        <v>38</v>
      </c>
      <c r="G1723" t="s">
        <v>39</v>
      </c>
      <c r="H1723" t="s">
        <v>36</v>
      </c>
      <c r="I1723" t="s">
        <v>26</v>
      </c>
      <c r="J1723" t="s">
        <v>27</v>
      </c>
      <c r="K1723" t="s">
        <v>32</v>
      </c>
      <c r="L1723" s="2">
        <v>3</v>
      </c>
      <c r="M1723" s="3">
        <v>273</v>
      </c>
      <c r="N1723">
        <v>3</v>
      </c>
      <c r="O1723">
        <v>3</v>
      </c>
      <c r="P1723">
        <v>1</v>
      </c>
      <c r="Q1723">
        <v>0</v>
      </c>
      <c r="R1723" s="4">
        <v>12.54</v>
      </c>
      <c r="S1723">
        <v>0</v>
      </c>
      <c r="T1723">
        <v>1</v>
      </c>
    </row>
    <row r="1724" spans="1:20" ht="16.5" x14ac:dyDescent="0.3">
      <c r="A1724" t="s">
        <v>1774</v>
      </c>
      <c r="B1724" s="1">
        <v>45552</v>
      </c>
      <c r="C1724">
        <v>2024</v>
      </c>
      <c r="D1724" t="s">
        <v>1261</v>
      </c>
      <c r="E1724" t="s">
        <v>1651</v>
      </c>
      <c r="F1724" t="s">
        <v>34</v>
      </c>
      <c r="G1724" t="s">
        <v>39</v>
      </c>
      <c r="H1724" t="s">
        <v>36</v>
      </c>
      <c r="I1724" t="s">
        <v>31</v>
      </c>
      <c r="J1724" t="s">
        <v>27</v>
      </c>
      <c r="K1724" t="s">
        <v>32</v>
      </c>
      <c r="L1724" s="2">
        <v>7.9</v>
      </c>
      <c r="M1724" s="3">
        <v>245</v>
      </c>
      <c r="N1724">
        <v>5</v>
      </c>
      <c r="O1724">
        <v>5</v>
      </c>
      <c r="P1724">
        <v>1</v>
      </c>
      <c r="Q1724">
        <v>0</v>
      </c>
      <c r="R1724" s="4">
        <v>8.48</v>
      </c>
      <c r="S1724">
        <v>0</v>
      </c>
      <c r="T1724">
        <v>1</v>
      </c>
    </row>
    <row r="1725" spans="1:20" ht="16.5" x14ac:dyDescent="0.3">
      <c r="A1725" t="s">
        <v>1775</v>
      </c>
      <c r="B1725" s="1">
        <v>45552</v>
      </c>
      <c r="C1725">
        <v>2024</v>
      </c>
      <c r="D1725" t="s">
        <v>1261</v>
      </c>
      <c r="E1725" t="s">
        <v>1651</v>
      </c>
      <c r="F1725" t="s">
        <v>38</v>
      </c>
      <c r="G1725" t="s">
        <v>35</v>
      </c>
      <c r="H1725" t="s">
        <v>25</v>
      </c>
      <c r="I1725" t="s">
        <v>26</v>
      </c>
      <c r="J1725" t="s">
        <v>27</v>
      </c>
      <c r="K1725" t="s">
        <v>32</v>
      </c>
      <c r="L1725" s="2">
        <v>4.0999999999999996</v>
      </c>
      <c r="M1725" s="3">
        <v>791</v>
      </c>
      <c r="N1725">
        <v>4</v>
      </c>
      <c r="O1725">
        <v>4</v>
      </c>
      <c r="P1725">
        <v>1</v>
      </c>
      <c r="Q1725">
        <v>0</v>
      </c>
      <c r="R1725" s="4">
        <v>21.31</v>
      </c>
      <c r="S1725">
        <v>0</v>
      </c>
      <c r="T1725">
        <v>1</v>
      </c>
    </row>
    <row r="1726" spans="1:20" ht="16.5" x14ac:dyDescent="0.3">
      <c r="A1726" t="s">
        <v>1776</v>
      </c>
      <c r="B1726" s="1">
        <v>45552</v>
      </c>
      <c r="C1726">
        <v>2024</v>
      </c>
      <c r="D1726" t="s">
        <v>1261</v>
      </c>
      <c r="E1726" t="s">
        <v>1651</v>
      </c>
      <c r="F1726" t="s">
        <v>23</v>
      </c>
      <c r="G1726" t="s">
        <v>24</v>
      </c>
      <c r="H1726" t="s">
        <v>48</v>
      </c>
      <c r="I1726" t="s">
        <v>40</v>
      </c>
      <c r="J1726" t="s">
        <v>27</v>
      </c>
      <c r="K1726" t="s">
        <v>28</v>
      </c>
      <c r="L1726" s="2">
        <v>376.8</v>
      </c>
      <c r="M1726" s="3">
        <v>411</v>
      </c>
      <c r="N1726">
        <v>2</v>
      </c>
      <c r="O1726">
        <v>1</v>
      </c>
      <c r="P1726">
        <v>1</v>
      </c>
      <c r="Q1726">
        <v>0</v>
      </c>
      <c r="R1726" s="4">
        <v>249.32</v>
      </c>
      <c r="S1726">
        <v>0</v>
      </c>
      <c r="T1726">
        <v>1</v>
      </c>
    </row>
    <row r="1727" spans="1:20" ht="16.5" x14ac:dyDescent="0.3">
      <c r="A1727" t="s">
        <v>1777</v>
      </c>
      <c r="B1727" s="1">
        <v>45552</v>
      </c>
      <c r="C1727">
        <v>2024</v>
      </c>
      <c r="D1727" t="s">
        <v>1261</v>
      </c>
      <c r="E1727" t="s">
        <v>1651</v>
      </c>
      <c r="F1727" t="s">
        <v>23</v>
      </c>
      <c r="G1727" t="s">
        <v>35</v>
      </c>
      <c r="H1727" t="s">
        <v>48</v>
      </c>
      <c r="I1727" t="s">
        <v>26</v>
      </c>
      <c r="J1727" t="s">
        <v>27</v>
      </c>
      <c r="K1727" t="s">
        <v>28</v>
      </c>
      <c r="L1727" s="2">
        <v>108.8</v>
      </c>
      <c r="M1727" s="3">
        <v>512</v>
      </c>
      <c r="N1727">
        <v>4</v>
      </c>
      <c r="O1727">
        <v>3</v>
      </c>
      <c r="P1727">
        <v>1</v>
      </c>
      <c r="Q1727">
        <v>0</v>
      </c>
      <c r="R1727" s="4">
        <v>59.07</v>
      </c>
      <c r="S1727">
        <v>0</v>
      </c>
      <c r="T1727">
        <v>1</v>
      </c>
    </row>
    <row r="1728" spans="1:20" ht="16.5" x14ac:dyDescent="0.3">
      <c r="A1728" t="s">
        <v>1778</v>
      </c>
      <c r="B1728" s="1">
        <v>45553</v>
      </c>
      <c r="C1728">
        <v>2024</v>
      </c>
      <c r="D1728" t="s">
        <v>1261</v>
      </c>
      <c r="E1728" t="s">
        <v>1651</v>
      </c>
      <c r="F1728" t="s">
        <v>57</v>
      </c>
      <c r="G1728" t="s">
        <v>39</v>
      </c>
      <c r="H1728" t="s">
        <v>36</v>
      </c>
      <c r="I1728" t="s">
        <v>31</v>
      </c>
      <c r="J1728" t="s">
        <v>27</v>
      </c>
      <c r="K1728" t="s">
        <v>32</v>
      </c>
      <c r="L1728" s="2">
        <v>1.6</v>
      </c>
      <c r="M1728" s="3">
        <v>210</v>
      </c>
      <c r="N1728">
        <v>5</v>
      </c>
      <c r="O1728">
        <v>4</v>
      </c>
      <c r="P1728">
        <v>1</v>
      </c>
      <c r="Q1728">
        <v>0</v>
      </c>
      <c r="R1728" s="4">
        <v>6.91</v>
      </c>
      <c r="S1728">
        <v>0</v>
      </c>
      <c r="T1728">
        <v>1</v>
      </c>
    </row>
    <row r="1729" spans="1:20" ht="16.5" x14ac:dyDescent="0.3">
      <c r="A1729" t="s">
        <v>1779</v>
      </c>
      <c r="B1729" s="1">
        <v>45553</v>
      </c>
      <c r="C1729">
        <v>2024</v>
      </c>
      <c r="D1729" t="s">
        <v>1261</v>
      </c>
      <c r="E1729" t="s">
        <v>1651</v>
      </c>
      <c r="F1729" t="s">
        <v>34</v>
      </c>
      <c r="G1729" t="s">
        <v>35</v>
      </c>
      <c r="H1729" t="s">
        <v>25</v>
      </c>
      <c r="I1729" t="s">
        <v>26</v>
      </c>
      <c r="J1729" t="s">
        <v>27</v>
      </c>
      <c r="K1729" t="s">
        <v>32</v>
      </c>
      <c r="L1729" s="2">
        <v>5.4</v>
      </c>
      <c r="M1729" s="3">
        <v>1097</v>
      </c>
      <c r="N1729">
        <v>4</v>
      </c>
      <c r="O1729">
        <v>3</v>
      </c>
      <c r="P1729">
        <v>1</v>
      </c>
      <c r="Q1729">
        <v>0</v>
      </c>
      <c r="R1729" s="4">
        <v>19.96</v>
      </c>
      <c r="S1729">
        <v>0</v>
      </c>
      <c r="T1729">
        <v>1</v>
      </c>
    </row>
    <row r="1730" spans="1:20" ht="16.5" x14ac:dyDescent="0.3">
      <c r="A1730" t="s">
        <v>1780</v>
      </c>
      <c r="B1730" s="1">
        <v>45553</v>
      </c>
      <c r="C1730">
        <v>2024</v>
      </c>
      <c r="D1730" t="s">
        <v>1261</v>
      </c>
      <c r="E1730" t="s">
        <v>1651</v>
      </c>
      <c r="F1730" t="s">
        <v>57</v>
      </c>
      <c r="G1730" t="s">
        <v>39</v>
      </c>
      <c r="H1730" t="s">
        <v>51</v>
      </c>
      <c r="I1730" t="s">
        <v>26</v>
      </c>
      <c r="J1730" t="s">
        <v>27</v>
      </c>
      <c r="K1730" t="s">
        <v>32</v>
      </c>
      <c r="L1730" s="2">
        <v>9.6999999999999993</v>
      </c>
      <c r="M1730" s="3">
        <v>985</v>
      </c>
      <c r="N1730">
        <v>5</v>
      </c>
      <c r="O1730">
        <v>9</v>
      </c>
      <c r="P1730">
        <v>0</v>
      </c>
      <c r="Q1730">
        <v>4</v>
      </c>
      <c r="R1730" s="4">
        <v>25.65</v>
      </c>
      <c r="S1730">
        <v>0</v>
      </c>
      <c r="T1730">
        <v>1</v>
      </c>
    </row>
    <row r="1731" spans="1:20" ht="16.5" x14ac:dyDescent="0.3">
      <c r="A1731" t="s">
        <v>1781</v>
      </c>
      <c r="B1731" s="1">
        <v>45553</v>
      </c>
      <c r="C1731">
        <v>2024</v>
      </c>
      <c r="D1731" t="s">
        <v>1261</v>
      </c>
      <c r="E1731" t="s">
        <v>1651</v>
      </c>
      <c r="F1731" t="s">
        <v>30</v>
      </c>
      <c r="G1731" t="s">
        <v>35</v>
      </c>
      <c r="H1731" t="s">
        <v>25</v>
      </c>
      <c r="I1731" t="s">
        <v>40</v>
      </c>
      <c r="J1731" t="s">
        <v>41</v>
      </c>
      <c r="K1731" t="s">
        <v>32</v>
      </c>
      <c r="L1731" s="2">
        <v>2.2999999999999998</v>
      </c>
      <c r="M1731" s="3">
        <v>1017</v>
      </c>
      <c r="N1731">
        <v>2</v>
      </c>
      <c r="O1731">
        <v>2</v>
      </c>
      <c r="P1731">
        <v>1</v>
      </c>
      <c r="Q1731">
        <v>0</v>
      </c>
      <c r="R1731" s="4">
        <v>62.33</v>
      </c>
      <c r="S1731">
        <v>0</v>
      </c>
      <c r="T1731">
        <v>1</v>
      </c>
    </row>
    <row r="1732" spans="1:20" ht="16.5" x14ac:dyDescent="0.3">
      <c r="A1732" t="s">
        <v>1782</v>
      </c>
      <c r="B1732" s="1">
        <v>45553</v>
      </c>
      <c r="C1732">
        <v>2024</v>
      </c>
      <c r="D1732" t="s">
        <v>1261</v>
      </c>
      <c r="E1732" t="s">
        <v>1651</v>
      </c>
      <c r="F1732" t="s">
        <v>34</v>
      </c>
      <c r="G1732" t="s">
        <v>35</v>
      </c>
      <c r="H1732" t="s">
        <v>25</v>
      </c>
      <c r="I1732" t="s">
        <v>40</v>
      </c>
      <c r="J1732" t="s">
        <v>41</v>
      </c>
      <c r="K1732" t="s">
        <v>28</v>
      </c>
      <c r="L1732" s="2">
        <v>32.799999999999997</v>
      </c>
      <c r="M1732" s="3">
        <v>859</v>
      </c>
      <c r="N1732">
        <v>2</v>
      </c>
      <c r="O1732">
        <v>2</v>
      </c>
      <c r="P1732">
        <v>1</v>
      </c>
      <c r="Q1732">
        <v>0</v>
      </c>
      <c r="R1732" s="4">
        <v>90.43</v>
      </c>
      <c r="S1732">
        <v>0</v>
      </c>
      <c r="T1732">
        <v>1</v>
      </c>
    </row>
    <row r="1733" spans="1:20" ht="16.5" x14ac:dyDescent="0.3">
      <c r="A1733" t="s">
        <v>1783</v>
      </c>
      <c r="B1733" s="1">
        <v>45553</v>
      </c>
      <c r="C1733">
        <v>2024</v>
      </c>
      <c r="D1733" t="s">
        <v>1261</v>
      </c>
      <c r="E1733" t="s">
        <v>1651</v>
      </c>
      <c r="F1733" t="s">
        <v>38</v>
      </c>
      <c r="G1733" t="s">
        <v>35</v>
      </c>
      <c r="H1733" t="s">
        <v>43</v>
      </c>
      <c r="I1733" t="s">
        <v>26</v>
      </c>
      <c r="J1733" t="s">
        <v>27</v>
      </c>
      <c r="K1733" t="s">
        <v>32</v>
      </c>
      <c r="L1733" s="2">
        <v>9.1</v>
      </c>
      <c r="M1733" s="3">
        <v>1409</v>
      </c>
      <c r="N1733">
        <v>5</v>
      </c>
      <c r="O1733">
        <v>5</v>
      </c>
      <c r="P1733">
        <v>1</v>
      </c>
      <c r="Q1733">
        <v>0</v>
      </c>
      <c r="R1733" s="4">
        <v>32.06</v>
      </c>
      <c r="S1733">
        <v>0</v>
      </c>
      <c r="T1733">
        <v>1</v>
      </c>
    </row>
    <row r="1734" spans="1:20" ht="16.5" x14ac:dyDescent="0.3">
      <c r="A1734" t="s">
        <v>1784</v>
      </c>
      <c r="B1734" s="1">
        <v>45553</v>
      </c>
      <c r="C1734">
        <v>2024</v>
      </c>
      <c r="D1734" t="s">
        <v>1261</v>
      </c>
      <c r="E1734" t="s">
        <v>1651</v>
      </c>
      <c r="F1734" t="s">
        <v>34</v>
      </c>
      <c r="G1734" t="s">
        <v>35</v>
      </c>
      <c r="H1734" t="s">
        <v>48</v>
      </c>
      <c r="I1734" t="s">
        <v>40</v>
      </c>
      <c r="J1734" t="s">
        <v>27</v>
      </c>
      <c r="K1734" t="s">
        <v>28</v>
      </c>
      <c r="L1734" s="2">
        <v>73.2</v>
      </c>
      <c r="M1734" s="3">
        <v>505</v>
      </c>
      <c r="N1734">
        <v>2</v>
      </c>
      <c r="O1734">
        <v>1</v>
      </c>
      <c r="P1734">
        <v>1</v>
      </c>
      <c r="Q1734">
        <v>0</v>
      </c>
      <c r="R1734" s="4">
        <v>67.81</v>
      </c>
      <c r="S1734">
        <v>0</v>
      </c>
      <c r="T1734">
        <v>1</v>
      </c>
    </row>
    <row r="1735" spans="1:20" ht="16.5" x14ac:dyDescent="0.3">
      <c r="A1735" t="s">
        <v>1785</v>
      </c>
      <c r="B1735" s="1">
        <v>45553</v>
      </c>
      <c r="C1735">
        <v>2024</v>
      </c>
      <c r="D1735" t="s">
        <v>1261</v>
      </c>
      <c r="E1735" t="s">
        <v>1651</v>
      </c>
      <c r="F1735" t="s">
        <v>38</v>
      </c>
      <c r="G1735" t="s">
        <v>24</v>
      </c>
      <c r="H1735" t="s">
        <v>51</v>
      </c>
      <c r="I1735" t="s">
        <v>31</v>
      </c>
      <c r="J1735" t="s">
        <v>27</v>
      </c>
      <c r="K1735" t="s">
        <v>32</v>
      </c>
      <c r="L1735" s="2">
        <v>8.8000000000000007</v>
      </c>
      <c r="M1735" s="3">
        <v>1176</v>
      </c>
      <c r="N1735">
        <v>7</v>
      </c>
      <c r="O1735">
        <v>7</v>
      </c>
      <c r="P1735">
        <v>1</v>
      </c>
      <c r="Q1735">
        <v>0</v>
      </c>
      <c r="R1735" s="4">
        <v>20.71</v>
      </c>
      <c r="S1735">
        <v>0</v>
      </c>
      <c r="T1735">
        <v>1</v>
      </c>
    </row>
    <row r="1736" spans="1:20" ht="16.5" x14ac:dyDescent="0.3">
      <c r="A1736" t="s">
        <v>1786</v>
      </c>
      <c r="B1736" s="1">
        <v>45553</v>
      </c>
      <c r="C1736">
        <v>2024</v>
      </c>
      <c r="D1736" t="s">
        <v>1261</v>
      </c>
      <c r="E1736" t="s">
        <v>1651</v>
      </c>
      <c r="F1736" t="s">
        <v>38</v>
      </c>
      <c r="G1736" t="s">
        <v>24</v>
      </c>
      <c r="H1736" t="s">
        <v>43</v>
      </c>
      <c r="I1736" t="s">
        <v>31</v>
      </c>
      <c r="J1736" t="s">
        <v>27</v>
      </c>
      <c r="K1736" t="s">
        <v>28</v>
      </c>
      <c r="L1736" s="2">
        <v>96.9</v>
      </c>
      <c r="M1736" s="3">
        <v>1292</v>
      </c>
      <c r="N1736">
        <v>7</v>
      </c>
      <c r="O1736">
        <v>12</v>
      </c>
      <c r="P1736">
        <v>0</v>
      </c>
      <c r="Q1736">
        <v>5</v>
      </c>
      <c r="R1736" s="4">
        <v>51.94</v>
      </c>
      <c r="S1736">
        <v>0</v>
      </c>
      <c r="T1736">
        <v>1</v>
      </c>
    </row>
    <row r="1737" spans="1:20" ht="16.5" x14ac:dyDescent="0.3">
      <c r="A1737" t="s">
        <v>1787</v>
      </c>
      <c r="B1737" s="1">
        <v>45554</v>
      </c>
      <c r="C1737">
        <v>2024</v>
      </c>
      <c r="D1737" t="s">
        <v>1261</v>
      </c>
      <c r="E1737" t="s">
        <v>1651</v>
      </c>
      <c r="F1737" t="s">
        <v>23</v>
      </c>
      <c r="G1737" t="s">
        <v>39</v>
      </c>
      <c r="H1737" t="s">
        <v>25</v>
      </c>
      <c r="I1737" t="s">
        <v>31</v>
      </c>
      <c r="J1737" t="s">
        <v>27</v>
      </c>
      <c r="K1737" t="s">
        <v>32</v>
      </c>
      <c r="L1737" s="2">
        <v>18.7</v>
      </c>
      <c r="M1737" s="3">
        <v>747</v>
      </c>
      <c r="N1737">
        <v>6</v>
      </c>
      <c r="O1737">
        <v>6</v>
      </c>
      <c r="P1737">
        <v>1</v>
      </c>
      <c r="Q1737">
        <v>0</v>
      </c>
      <c r="R1737" s="4">
        <v>18.899999999999999</v>
      </c>
      <c r="S1737">
        <v>0</v>
      </c>
      <c r="T1737">
        <v>1</v>
      </c>
    </row>
    <row r="1738" spans="1:20" ht="16.5" x14ac:dyDescent="0.3">
      <c r="A1738" t="s">
        <v>1788</v>
      </c>
      <c r="B1738" s="1">
        <v>45554</v>
      </c>
      <c r="C1738">
        <v>2024</v>
      </c>
      <c r="D1738" t="s">
        <v>1261</v>
      </c>
      <c r="E1738" t="s">
        <v>1651</v>
      </c>
      <c r="F1738" t="s">
        <v>57</v>
      </c>
      <c r="G1738" t="s">
        <v>24</v>
      </c>
      <c r="H1738" t="s">
        <v>48</v>
      </c>
      <c r="I1738" t="s">
        <v>31</v>
      </c>
      <c r="J1738" t="s">
        <v>27</v>
      </c>
      <c r="K1738" t="s">
        <v>28</v>
      </c>
      <c r="L1738" s="2">
        <v>17.899999999999999</v>
      </c>
      <c r="M1738" s="3">
        <v>435</v>
      </c>
      <c r="N1738">
        <v>6</v>
      </c>
      <c r="O1738">
        <v>6</v>
      </c>
      <c r="P1738">
        <v>1</v>
      </c>
      <c r="Q1738">
        <v>0</v>
      </c>
      <c r="R1738" s="4">
        <v>15.73</v>
      </c>
      <c r="S1738">
        <v>0</v>
      </c>
      <c r="T1738">
        <v>1</v>
      </c>
    </row>
    <row r="1739" spans="1:20" ht="16.5" x14ac:dyDescent="0.3">
      <c r="A1739" t="s">
        <v>1789</v>
      </c>
      <c r="B1739" s="1">
        <v>45554</v>
      </c>
      <c r="C1739">
        <v>2024</v>
      </c>
      <c r="D1739" t="s">
        <v>1261</v>
      </c>
      <c r="E1739" t="s">
        <v>1651</v>
      </c>
      <c r="F1739" t="s">
        <v>38</v>
      </c>
      <c r="G1739" t="s">
        <v>35</v>
      </c>
      <c r="H1739" t="s">
        <v>25</v>
      </c>
      <c r="I1739" t="s">
        <v>31</v>
      </c>
      <c r="J1739" t="s">
        <v>27</v>
      </c>
      <c r="K1739" t="s">
        <v>28</v>
      </c>
      <c r="L1739" s="2">
        <v>81.3</v>
      </c>
      <c r="M1739" s="3">
        <v>990</v>
      </c>
      <c r="N1739">
        <v>6</v>
      </c>
      <c r="O1739">
        <v>5</v>
      </c>
      <c r="P1739">
        <v>1</v>
      </c>
      <c r="Q1739">
        <v>0</v>
      </c>
      <c r="R1739" s="4">
        <v>43.24</v>
      </c>
      <c r="S1739">
        <v>0</v>
      </c>
      <c r="T1739">
        <v>1</v>
      </c>
    </row>
    <row r="1740" spans="1:20" ht="16.5" x14ac:dyDescent="0.3">
      <c r="A1740" t="s">
        <v>1790</v>
      </c>
      <c r="B1740" s="1">
        <v>45554</v>
      </c>
      <c r="C1740">
        <v>2024</v>
      </c>
      <c r="D1740" t="s">
        <v>1261</v>
      </c>
      <c r="E1740" t="s">
        <v>1651</v>
      </c>
      <c r="F1740" t="s">
        <v>38</v>
      </c>
      <c r="G1740" t="s">
        <v>39</v>
      </c>
      <c r="H1740" t="s">
        <v>25</v>
      </c>
      <c r="I1740" t="s">
        <v>31</v>
      </c>
      <c r="J1740" t="s">
        <v>27</v>
      </c>
      <c r="K1740" t="s">
        <v>32</v>
      </c>
      <c r="L1740" s="2">
        <v>3.9</v>
      </c>
      <c r="M1740" s="3">
        <v>987</v>
      </c>
      <c r="N1740">
        <v>6</v>
      </c>
      <c r="O1740">
        <v>6</v>
      </c>
      <c r="P1740">
        <v>1</v>
      </c>
      <c r="Q1740">
        <v>0</v>
      </c>
      <c r="R1740" s="4">
        <v>16.079999999999998</v>
      </c>
      <c r="S1740">
        <v>0</v>
      </c>
      <c r="T1740">
        <v>1</v>
      </c>
    </row>
    <row r="1741" spans="1:20" ht="16.5" x14ac:dyDescent="0.3">
      <c r="A1741" t="s">
        <v>1791</v>
      </c>
      <c r="B1741" s="1">
        <v>45554</v>
      </c>
      <c r="C1741">
        <v>2024</v>
      </c>
      <c r="D1741" t="s">
        <v>1261</v>
      </c>
      <c r="E1741" t="s">
        <v>1651</v>
      </c>
      <c r="F1741" t="s">
        <v>38</v>
      </c>
      <c r="G1741" t="s">
        <v>35</v>
      </c>
      <c r="H1741" t="s">
        <v>25</v>
      </c>
      <c r="I1741" t="s">
        <v>26</v>
      </c>
      <c r="J1741" t="s">
        <v>27</v>
      </c>
      <c r="K1741" t="s">
        <v>28</v>
      </c>
      <c r="L1741" s="2">
        <v>423.2</v>
      </c>
      <c r="M1741" s="3">
        <v>1102</v>
      </c>
      <c r="N1741">
        <v>4</v>
      </c>
      <c r="O1741">
        <v>4</v>
      </c>
      <c r="P1741">
        <v>1</v>
      </c>
      <c r="Q1741">
        <v>0</v>
      </c>
      <c r="R1741" s="4">
        <v>201.88</v>
      </c>
      <c r="S1741">
        <v>0</v>
      </c>
      <c r="T1741">
        <v>1</v>
      </c>
    </row>
    <row r="1742" spans="1:20" ht="16.5" x14ac:dyDescent="0.3">
      <c r="A1742" t="s">
        <v>1792</v>
      </c>
      <c r="B1742" s="1">
        <v>45554</v>
      </c>
      <c r="C1742">
        <v>2024</v>
      </c>
      <c r="D1742" t="s">
        <v>1261</v>
      </c>
      <c r="E1742" t="s">
        <v>1651</v>
      </c>
      <c r="F1742" t="s">
        <v>38</v>
      </c>
      <c r="G1742" t="s">
        <v>39</v>
      </c>
      <c r="H1742" t="s">
        <v>48</v>
      </c>
      <c r="I1742" t="s">
        <v>26</v>
      </c>
      <c r="J1742" t="s">
        <v>27</v>
      </c>
      <c r="K1742" t="s">
        <v>28</v>
      </c>
      <c r="L1742" s="2">
        <v>411</v>
      </c>
      <c r="M1742" s="3">
        <v>481</v>
      </c>
      <c r="N1742">
        <v>4</v>
      </c>
      <c r="O1742">
        <v>4</v>
      </c>
      <c r="P1742">
        <v>1</v>
      </c>
      <c r="Q1742">
        <v>0</v>
      </c>
      <c r="R1742" s="4">
        <v>177.19</v>
      </c>
      <c r="S1742">
        <v>0</v>
      </c>
      <c r="T1742">
        <v>1</v>
      </c>
    </row>
    <row r="1743" spans="1:20" ht="16.5" x14ac:dyDescent="0.3">
      <c r="A1743" t="s">
        <v>1793</v>
      </c>
      <c r="B1743" s="1">
        <v>45554</v>
      </c>
      <c r="C1743">
        <v>2024</v>
      </c>
      <c r="D1743" t="s">
        <v>1261</v>
      </c>
      <c r="E1743" t="s">
        <v>1651</v>
      </c>
      <c r="F1743" t="s">
        <v>34</v>
      </c>
      <c r="G1743" t="s">
        <v>35</v>
      </c>
      <c r="H1743" t="s">
        <v>48</v>
      </c>
      <c r="I1743" t="s">
        <v>26</v>
      </c>
      <c r="J1743" t="s">
        <v>27</v>
      </c>
      <c r="K1743" t="s">
        <v>32</v>
      </c>
      <c r="L1743" s="2">
        <v>15.6</v>
      </c>
      <c r="M1743" s="3">
        <v>390</v>
      </c>
      <c r="N1743">
        <v>4</v>
      </c>
      <c r="O1743">
        <v>4</v>
      </c>
      <c r="P1743">
        <v>1</v>
      </c>
      <c r="Q1743">
        <v>0</v>
      </c>
      <c r="R1743" s="4">
        <v>17.23</v>
      </c>
      <c r="S1743">
        <v>0</v>
      </c>
      <c r="T1743">
        <v>1</v>
      </c>
    </row>
    <row r="1744" spans="1:20" ht="16.5" x14ac:dyDescent="0.3">
      <c r="A1744" t="s">
        <v>1794</v>
      </c>
      <c r="B1744" s="1">
        <v>45554</v>
      </c>
      <c r="C1744">
        <v>2024</v>
      </c>
      <c r="D1744" t="s">
        <v>1261</v>
      </c>
      <c r="E1744" t="s">
        <v>1651</v>
      </c>
      <c r="F1744" t="s">
        <v>34</v>
      </c>
      <c r="G1744" t="s">
        <v>35</v>
      </c>
      <c r="H1744" t="s">
        <v>43</v>
      </c>
      <c r="I1744" t="s">
        <v>40</v>
      </c>
      <c r="J1744" t="s">
        <v>41</v>
      </c>
      <c r="K1744" t="s">
        <v>32</v>
      </c>
      <c r="L1744" s="2">
        <v>21.4</v>
      </c>
      <c r="M1744" s="3">
        <v>1147</v>
      </c>
      <c r="N1744">
        <v>3</v>
      </c>
      <c r="O1744">
        <v>3</v>
      </c>
      <c r="P1744">
        <v>1</v>
      </c>
      <c r="Q1744">
        <v>0</v>
      </c>
      <c r="R1744" s="4">
        <v>87.69</v>
      </c>
      <c r="S1744">
        <v>0</v>
      </c>
      <c r="T1744">
        <v>1</v>
      </c>
    </row>
    <row r="1745" spans="1:20" ht="16.5" x14ac:dyDescent="0.3">
      <c r="A1745" t="s">
        <v>1795</v>
      </c>
      <c r="B1745" s="1">
        <v>45554</v>
      </c>
      <c r="C1745">
        <v>2024</v>
      </c>
      <c r="D1745" t="s">
        <v>1261</v>
      </c>
      <c r="E1745" t="s">
        <v>1651</v>
      </c>
      <c r="F1745" t="s">
        <v>38</v>
      </c>
      <c r="G1745" t="s">
        <v>39</v>
      </c>
      <c r="H1745" t="s">
        <v>25</v>
      </c>
      <c r="I1745" t="s">
        <v>26</v>
      </c>
      <c r="J1745" t="s">
        <v>27</v>
      </c>
      <c r="K1745" t="s">
        <v>28</v>
      </c>
      <c r="L1745" s="2">
        <v>136.69999999999999</v>
      </c>
      <c r="M1745" s="3">
        <v>620</v>
      </c>
      <c r="N1745">
        <v>4</v>
      </c>
      <c r="O1745">
        <v>4</v>
      </c>
      <c r="P1745">
        <v>1</v>
      </c>
      <c r="Q1745">
        <v>0</v>
      </c>
      <c r="R1745" s="4">
        <v>82.96</v>
      </c>
      <c r="S1745">
        <v>0</v>
      </c>
      <c r="T1745">
        <v>1</v>
      </c>
    </row>
    <row r="1746" spans="1:20" ht="16.5" x14ac:dyDescent="0.3">
      <c r="A1746" t="s">
        <v>1796</v>
      </c>
      <c r="B1746" s="1">
        <v>45554</v>
      </c>
      <c r="C1746">
        <v>2024</v>
      </c>
      <c r="D1746" t="s">
        <v>1261</v>
      </c>
      <c r="E1746" t="s">
        <v>1651</v>
      </c>
      <c r="F1746" t="s">
        <v>30</v>
      </c>
      <c r="G1746" t="s">
        <v>39</v>
      </c>
      <c r="H1746" t="s">
        <v>25</v>
      </c>
      <c r="I1746" t="s">
        <v>40</v>
      </c>
      <c r="J1746" t="s">
        <v>41</v>
      </c>
      <c r="K1746" t="s">
        <v>32</v>
      </c>
      <c r="L1746" s="2">
        <v>4.2</v>
      </c>
      <c r="M1746" s="3">
        <v>1061</v>
      </c>
      <c r="N1746">
        <v>2</v>
      </c>
      <c r="O1746">
        <v>3</v>
      </c>
      <c r="P1746">
        <v>0</v>
      </c>
      <c r="Q1746">
        <v>1</v>
      </c>
      <c r="R1746" s="4">
        <v>59.76</v>
      </c>
      <c r="S1746">
        <v>0</v>
      </c>
      <c r="T1746">
        <v>1</v>
      </c>
    </row>
    <row r="1747" spans="1:20" ht="16.5" x14ac:dyDescent="0.3">
      <c r="A1747" t="s">
        <v>1797</v>
      </c>
      <c r="B1747" s="1">
        <v>45555</v>
      </c>
      <c r="C1747">
        <v>2024</v>
      </c>
      <c r="D1747" t="s">
        <v>1261</v>
      </c>
      <c r="E1747" t="s">
        <v>1651</v>
      </c>
      <c r="F1747" t="s">
        <v>57</v>
      </c>
      <c r="G1747" t="s">
        <v>24</v>
      </c>
      <c r="H1747" t="s">
        <v>36</v>
      </c>
      <c r="I1747" t="s">
        <v>31</v>
      </c>
      <c r="J1747" t="s">
        <v>27</v>
      </c>
      <c r="K1747" t="s">
        <v>28</v>
      </c>
      <c r="L1747" s="2">
        <v>134.30000000000001</v>
      </c>
      <c r="M1747" s="3">
        <v>259</v>
      </c>
      <c r="N1747">
        <v>5</v>
      </c>
      <c r="O1747">
        <v>4</v>
      </c>
      <c r="P1747">
        <v>1</v>
      </c>
      <c r="Q1747">
        <v>0</v>
      </c>
      <c r="R1747" s="4">
        <v>47.2</v>
      </c>
      <c r="S1747">
        <v>0</v>
      </c>
      <c r="T1747">
        <v>1</v>
      </c>
    </row>
    <row r="1748" spans="1:20" ht="16.5" x14ac:dyDescent="0.3">
      <c r="A1748" t="s">
        <v>1798</v>
      </c>
      <c r="B1748" s="1">
        <v>45555</v>
      </c>
      <c r="C1748">
        <v>2024</v>
      </c>
      <c r="D1748" t="s">
        <v>1261</v>
      </c>
      <c r="E1748" t="s">
        <v>1651</v>
      </c>
      <c r="F1748" t="s">
        <v>23</v>
      </c>
      <c r="G1748" t="s">
        <v>39</v>
      </c>
      <c r="H1748" t="s">
        <v>51</v>
      </c>
      <c r="I1748" t="s">
        <v>26</v>
      </c>
      <c r="J1748" t="s">
        <v>27</v>
      </c>
      <c r="K1748" t="s">
        <v>28</v>
      </c>
      <c r="L1748" s="2">
        <v>42.8</v>
      </c>
      <c r="M1748" s="3">
        <v>1072</v>
      </c>
      <c r="N1748">
        <v>5</v>
      </c>
      <c r="O1748">
        <v>5</v>
      </c>
      <c r="P1748">
        <v>1</v>
      </c>
      <c r="Q1748">
        <v>0</v>
      </c>
      <c r="R1748" s="4">
        <v>41.05</v>
      </c>
      <c r="S1748">
        <v>0</v>
      </c>
      <c r="T1748">
        <v>1</v>
      </c>
    </row>
    <row r="1749" spans="1:20" ht="16.5" x14ac:dyDescent="0.3">
      <c r="A1749" t="s">
        <v>1799</v>
      </c>
      <c r="B1749" s="1">
        <v>45555</v>
      </c>
      <c r="C1749">
        <v>2024</v>
      </c>
      <c r="D1749" t="s">
        <v>1261</v>
      </c>
      <c r="E1749" t="s">
        <v>1651</v>
      </c>
      <c r="F1749" t="s">
        <v>57</v>
      </c>
      <c r="G1749" t="s">
        <v>39</v>
      </c>
      <c r="H1749" t="s">
        <v>48</v>
      </c>
      <c r="I1749" t="s">
        <v>31</v>
      </c>
      <c r="J1749" t="s">
        <v>27</v>
      </c>
      <c r="K1749" t="s">
        <v>32</v>
      </c>
      <c r="L1749" s="2">
        <v>6</v>
      </c>
      <c r="M1749" s="3">
        <v>577</v>
      </c>
      <c r="N1749">
        <v>6</v>
      </c>
      <c r="O1749">
        <v>6</v>
      </c>
      <c r="P1749">
        <v>1</v>
      </c>
      <c r="Q1749">
        <v>0</v>
      </c>
      <c r="R1749" s="4">
        <v>12.92</v>
      </c>
      <c r="S1749">
        <v>0</v>
      </c>
      <c r="T1749">
        <v>1</v>
      </c>
    </row>
    <row r="1750" spans="1:20" ht="16.5" x14ac:dyDescent="0.3">
      <c r="A1750" t="s">
        <v>1800</v>
      </c>
      <c r="B1750" s="1">
        <v>45555</v>
      </c>
      <c r="C1750">
        <v>2024</v>
      </c>
      <c r="D1750" t="s">
        <v>1261</v>
      </c>
      <c r="E1750" t="s">
        <v>1651</v>
      </c>
      <c r="F1750" t="s">
        <v>38</v>
      </c>
      <c r="G1750" t="s">
        <v>24</v>
      </c>
      <c r="H1750" t="s">
        <v>36</v>
      </c>
      <c r="I1750" t="s">
        <v>40</v>
      </c>
      <c r="J1750" t="s">
        <v>27</v>
      </c>
      <c r="K1750" t="s">
        <v>32</v>
      </c>
      <c r="L1750" s="2">
        <v>1.4</v>
      </c>
      <c r="M1750" s="3">
        <v>244</v>
      </c>
      <c r="N1750">
        <v>1</v>
      </c>
      <c r="O1750">
        <v>1</v>
      </c>
      <c r="P1750">
        <v>1</v>
      </c>
      <c r="Q1750">
        <v>0</v>
      </c>
      <c r="R1750" s="4">
        <v>23.71</v>
      </c>
      <c r="S1750">
        <v>0</v>
      </c>
      <c r="T1750">
        <v>1</v>
      </c>
    </row>
    <row r="1751" spans="1:20" ht="16.5" x14ac:dyDescent="0.3">
      <c r="A1751" t="s">
        <v>1801</v>
      </c>
      <c r="B1751" s="1">
        <v>45555</v>
      </c>
      <c r="C1751">
        <v>2024</v>
      </c>
      <c r="D1751" t="s">
        <v>1261</v>
      </c>
      <c r="E1751" t="s">
        <v>1651</v>
      </c>
      <c r="F1751" t="s">
        <v>38</v>
      </c>
      <c r="G1751" t="s">
        <v>35</v>
      </c>
      <c r="H1751" t="s">
        <v>25</v>
      </c>
      <c r="I1751" t="s">
        <v>40</v>
      </c>
      <c r="J1751" t="s">
        <v>41</v>
      </c>
      <c r="K1751" t="s">
        <v>28</v>
      </c>
      <c r="L1751" s="2">
        <v>59.8</v>
      </c>
      <c r="M1751" s="3">
        <v>1106</v>
      </c>
      <c r="N1751">
        <v>2</v>
      </c>
      <c r="O1751">
        <v>2</v>
      </c>
      <c r="P1751">
        <v>1</v>
      </c>
      <c r="Q1751">
        <v>0</v>
      </c>
      <c r="R1751" s="4">
        <v>175.6</v>
      </c>
      <c r="S1751">
        <v>0</v>
      </c>
      <c r="T1751">
        <v>1</v>
      </c>
    </row>
    <row r="1752" spans="1:20" ht="16.5" x14ac:dyDescent="0.3">
      <c r="A1752" t="s">
        <v>1802</v>
      </c>
      <c r="B1752" s="1">
        <v>45555</v>
      </c>
      <c r="C1752">
        <v>2024</v>
      </c>
      <c r="D1752" t="s">
        <v>1261</v>
      </c>
      <c r="E1752" t="s">
        <v>1651</v>
      </c>
      <c r="F1752" t="s">
        <v>23</v>
      </c>
      <c r="G1752" t="s">
        <v>35</v>
      </c>
      <c r="H1752" t="s">
        <v>43</v>
      </c>
      <c r="I1752" t="s">
        <v>26</v>
      </c>
      <c r="J1752" t="s">
        <v>27</v>
      </c>
      <c r="K1752" t="s">
        <v>32</v>
      </c>
      <c r="L1752" s="2">
        <v>4.0999999999999996</v>
      </c>
      <c r="M1752" s="3">
        <v>1244</v>
      </c>
      <c r="N1752">
        <v>5</v>
      </c>
      <c r="O1752">
        <v>5</v>
      </c>
      <c r="P1752">
        <v>1</v>
      </c>
      <c r="Q1752">
        <v>0</v>
      </c>
      <c r="R1752" s="4">
        <v>23.14</v>
      </c>
      <c r="S1752">
        <v>0</v>
      </c>
      <c r="T1752">
        <v>1</v>
      </c>
    </row>
    <row r="1753" spans="1:20" ht="16.5" x14ac:dyDescent="0.3">
      <c r="A1753" t="s">
        <v>1803</v>
      </c>
      <c r="B1753" s="1">
        <v>45555</v>
      </c>
      <c r="C1753">
        <v>2024</v>
      </c>
      <c r="D1753" t="s">
        <v>1261</v>
      </c>
      <c r="E1753" t="s">
        <v>1651</v>
      </c>
      <c r="F1753" t="s">
        <v>34</v>
      </c>
      <c r="G1753" t="s">
        <v>24</v>
      </c>
      <c r="H1753" t="s">
        <v>36</v>
      </c>
      <c r="I1753" t="s">
        <v>40</v>
      </c>
      <c r="J1753" t="s">
        <v>27</v>
      </c>
      <c r="K1753" t="s">
        <v>28</v>
      </c>
      <c r="L1753" s="2">
        <v>75.400000000000006</v>
      </c>
      <c r="M1753" s="3">
        <v>280</v>
      </c>
      <c r="N1753">
        <v>1</v>
      </c>
      <c r="O1753">
        <v>1</v>
      </c>
      <c r="P1753">
        <v>1</v>
      </c>
      <c r="Q1753">
        <v>0</v>
      </c>
      <c r="R1753" s="4">
        <v>72.150000000000006</v>
      </c>
      <c r="S1753">
        <v>0</v>
      </c>
      <c r="T1753">
        <v>1</v>
      </c>
    </row>
    <row r="1754" spans="1:20" ht="16.5" x14ac:dyDescent="0.3">
      <c r="A1754" t="s">
        <v>1804</v>
      </c>
      <c r="B1754" s="1">
        <v>45556</v>
      </c>
      <c r="C1754">
        <v>2024</v>
      </c>
      <c r="D1754" t="s">
        <v>1261</v>
      </c>
      <c r="E1754" t="s">
        <v>1651</v>
      </c>
      <c r="F1754" t="s">
        <v>57</v>
      </c>
      <c r="G1754" t="s">
        <v>39</v>
      </c>
      <c r="H1754" t="s">
        <v>25</v>
      </c>
      <c r="I1754" t="s">
        <v>26</v>
      </c>
      <c r="J1754" t="s">
        <v>27</v>
      </c>
      <c r="K1754" t="s">
        <v>32</v>
      </c>
      <c r="L1754" s="2">
        <v>3.6</v>
      </c>
      <c r="M1754" s="3">
        <v>523</v>
      </c>
      <c r="N1754">
        <v>4</v>
      </c>
      <c r="O1754">
        <v>4</v>
      </c>
      <c r="P1754">
        <v>1</v>
      </c>
      <c r="Q1754">
        <v>0</v>
      </c>
      <c r="R1754" s="4">
        <v>16.36</v>
      </c>
      <c r="S1754">
        <v>0</v>
      </c>
      <c r="T1754">
        <v>1</v>
      </c>
    </row>
    <row r="1755" spans="1:20" ht="16.5" x14ac:dyDescent="0.3">
      <c r="A1755" t="s">
        <v>1805</v>
      </c>
      <c r="B1755" s="1">
        <v>45556</v>
      </c>
      <c r="C1755">
        <v>2024</v>
      </c>
      <c r="D1755" t="s">
        <v>1261</v>
      </c>
      <c r="E1755" t="s">
        <v>1651</v>
      </c>
      <c r="F1755" t="s">
        <v>57</v>
      </c>
      <c r="G1755" t="s">
        <v>35</v>
      </c>
      <c r="H1755" t="s">
        <v>25</v>
      </c>
      <c r="I1755" t="s">
        <v>40</v>
      </c>
      <c r="J1755" t="s">
        <v>41</v>
      </c>
      <c r="K1755" t="s">
        <v>28</v>
      </c>
      <c r="L1755" s="2">
        <v>280.2</v>
      </c>
      <c r="M1755" s="3">
        <v>1125</v>
      </c>
      <c r="N1755">
        <v>2</v>
      </c>
      <c r="O1755">
        <v>2</v>
      </c>
      <c r="P1755">
        <v>1</v>
      </c>
      <c r="Q1755">
        <v>0</v>
      </c>
      <c r="R1755" s="4">
        <v>386.02</v>
      </c>
      <c r="S1755">
        <v>0</v>
      </c>
      <c r="T1755">
        <v>1</v>
      </c>
    </row>
    <row r="1756" spans="1:20" ht="16.5" x14ac:dyDescent="0.3">
      <c r="A1756" t="s">
        <v>1806</v>
      </c>
      <c r="B1756" s="1">
        <v>45556</v>
      </c>
      <c r="C1756">
        <v>2024</v>
      </c>
      <c r="D1756" t="s">
        <v>1261</v>
      </c>
      <c r="E1756" t="s">
        <v>1651</v>
      </c>
      <c r="F1756" t="s">
        <v>57</v>
      </c>
      <c r="G1756" t="s">
        <v>39</v>
      </c>
      <c r="H1756" t="s">
        <v>36</v>
      </c>
      <c r="I1756" t="s">
        <v>26</v>
      </c>
      <c r="J1756" t="s">
        <v>27</v>
      </c>
      <c r="K1756" t="s">
        <v>28</v>
      </c>
      <c r="L1756" s="2">
        <v>163.80000000000001</v>
      </c>
      <c r="M1756" s="3">
        <v>187</v>
      </c>
      <c r="N1756">
        <v>3</v>
      </c>
      <c r="O1756">
        <v>3</v>
      </c>
      <c r="P1756">
        <v>1</v>
      </c>
      <c r="Q1756">
        <v>0</v>
      </c>
      <c r="R1756" s="4">
        <v>78.09</v>
      </c>
      <c r="S1756">
        <v>0</v>
      </c>
      <c r="T1756">
        <v>1</v>
      </c>
    </row>
    <row r="1757" spans="1:20" ht="16.5" x14ac:dyDescent="0.3">
      <c r="A1757" t="s">
        <v>1807</v>
      </c>
      <c r="B1757" s="1">
        <v>45556</v>
      </c>
      <c r="C1757">
        <v>2024</v>
      </c>
      <c r="D1757" t="s">
        <v>1261</v>
      </c>
      <c r="E1757" t="s">
        <v>1651</v>
      </c>
      <c r="F1757" t="s">
        <v>57</v>
      </c>
      <c r="G1757" t="s">
        <v>35</v>
      </c>
      <c r="H1757" t="s">
        <v>25</v>
      </c>
      <c r="I1757" t="s">
        <v>26</v>
      </c>
      <c r="J1757" t="s">
        <v>27</v>
      </c>
      <c r="K1757" t="s">
        <v>32</v>
      </c>
      <c r="L1757" s="2">
        <v>1.1000000000000001</v>
      </c>
      <c r="M1757" s="3">
        <v>1088</v>
      </c>
      <c r="N1757">
        <v>4</v>
      </c>
      <c r="O1757">
        <v>4</v>
      </c>
      <c r="P1757">
        <v>1</v>
      </c>
      <c r="Q1757">
        <v>0</v>
      </c>
      <c r="R1757" s="4">
        <v>20.010000000000002</v>
      </c>
      <c r="S1757">
        <v>0</v>
      </c>
      <c r="T1757">
        <v>1</v>
      </c>
    </row>
    <row r="1758" spans="1:20" ht="16.5" x14ac:dyDescent="0.3">
      <c r="A1758" t="s">
        <v>1808</v>
      </c>
      <c r="B1758" s="1">
        <v>45557</v>
      </c>
      <c r="C1758">
        <v>2024</v>
      </c>
      <c r="D1758" t="s">
        <v>1261</v>
      </c>
      <c r="E1758" t="s">
        <v>1651</v>
      </c>
      <c r="F1758" t="s">
        <v>57</v>
      </c>
      <c r="G1758" t="s">
        <v>39</v>
      </c>
      <c r="H1758" t="s">
        <v>48</v>
      </c>
      <c r="I1758" t="s">
        <v>26</v>
      </c>
      <c r="J1758" t="s">
        <v>27</v>
      </c>
      <c r="K1758" t="s">
        <v>28</v>
      </c>
      <c r="L1758" s="2">
        <v>124.7</v>
      </c>
      <c r="M1758" s="3">
        <v>517</v>
      </c>
      <c r="N1758">
        <v>4</v>
      </c>
      <c r="O1758">
        <v>4</v>
      </c>
      <c r="P1758">
        <v>1</v>
      </c>
      <c r="Q1758">
        <v>0</v>
      </c>
      <c r="R1758" s="4">
        <v>69.599999999999994</v>
      </c>
      <c r="S1758">
        <v>0</v>
      </c>
      <c r="T1758">
        <v>1</v>
      </c>
    </row>
    <row r="1759" spans="1:20" ht="16.5" x14ac:dyDescent="0.3">
      <c r="A1759" t="s">
        <v>1809</v>
      </c>
      <c r="B1759" s="1">
        <v>45557</v>
      </c>
      <c r="C1759">
        <v>2024</v>
      </c>
      <c r="D1759" t="s">
        <v>1261</v>
      </c>
      <c r="E1759" t="s">
        <v>1651</v>
      </c>
      <c r="F1759" t="s">
        <v>34</v>
      </c>
      <c r="G1759" t="s">
        <v>24</v>
      </c>
      <c r="H1759" t="s">
        <v>36</v>
      </c>
      <c r="I1759" t="s">
        <v>31</v>
      </c>
      <c r="J1759" t="s">
        <v>27</v>
      </c>
      <c r="K1759" t="s">
        <v>28</v>
      </c>
      <c r="L1759" s="2">
        <v>29.6</v>
      </c>
      <c r="M1759" s="3">
        <v>258</v>
      </c>
      <c r="N1759">
        <v>5</v>
      </c>
      <c r="O1759">
        <v>6</v>
      </c>
      <c r="P1759">
        <v>0</v>
      </c>
      <c r="Q1759">
        <v>1</v>
      </c>
      <c r="R1759" s="4">
        <v>16.34</v>
      </c>
      <c r="S1759">
        <v>0</v>
      </c>
      <c r="T1759">
        <v>1</v>
      </c>
    </row>
    <row r="1760" spans="1:20" ht="16.5" x14ac:dyDescent="0.3">
      <c r="A1760" t="s">
        <v>1810</v>
      </c>
      <c r="B1760" s="1">
        <v>45557</v>
      </c>
      <c r="C1760">
        <v>2024</v>
      </c>
      <c r="D1760" t="s">
        <v>1261</v>
      </c>
      <c r="E1760" t="s">
        <v>1651</v>
      </c>
      <c r="F1760" t="s">
        <v>23</v>
      </c>
      <c r="G1760" t="s">
        <v>39</v>
      </c>
      <c r="H1760" t="s">
        <v>25</v>
      </c>
      <c r="I1760" t="s">
        <v>31</v>
      </c>
      <c r="J1760" t="s">
        <v>27</v>
      </c>
      <c r="K1760" t="s">
        <v>32</v>
      </c>
      <c r="L1760" s="2">
        <v>1.2</v>
      </c>
      <c r="M1760" s="3">
        <v>1108</v>
      </c>
      <c r="N1760">
        <v>6</v>
      </c>
      <c r="O1760">
        <v>6</v>
      </c>
      <c r="P1760">
        <v>1</v>
      </c>
      <c r="Q1760">
        <v>0</v>
      </c>
      <c r="R1760" s="4">
        <v>15.18</v>
      </c>
      <c r="S1760">
        <v>0</v>
      </c>
      <c r="T1760">
        <v>1</v>
      </c>
    </row>
    <row r="1761" spans="1:20" ht="16.5" x14ac:dyDescent="0.3">
      <c r="A1761" t="s">
        <v>1811</v>
      </c>
      <c r="B1761" s="1">
        <v>45557</v>
      </c>
      <c r="C1761">
        <v>2024</v>
      </c>
      <c r="D1761" t="s">
        <v>1261</v>
      </c>
      <c r="E1761" t="s">
        <v>1651</v>
      </c>
      <c r="F1761" t="s">
        <v>34</v>
      </c>
      <c r="G1761" t="s">
        <v>35</v>
      </c>
      <c r="H1761" t="s">
        <v>43</v>
      </c>
      <c r="I1761" t="s">
        <v>40</v>
      </c>
      <c r="J1761" t="s">
        <v>41</v>
      </c>
      <c r="K1761" t="s">
        <v>28</v>
      </c>
      <c r="L1761" s="2">
        <v>39.200000000000003</v>
      </c>
      <c r="M1761" s="3">
        <v>1137</v>
      </c>
      <c r="N1761">
        <v>3</v>
      </c>
      <c r="O1761">
        <v>7</v>
      </c>
      <c r="P1761">
        <v>0</v>
      </c>
      <c r="Q1761">
        <v>4</v>
      </c>
      <c r="R1761" s="4">
        <v>104.16</v>
      </c>
      <c r="S1761">
        <v>0</v>
      </c>
      <c r="T1761">
        <v>1</v>
      </c>
    </row>
    <row r="1762" spans="1:20" ht="16.5" x14ac:dyDescent="0.3">
      <c r="A1762" t="s">
        <v>1812</v>
      </c>
      <c r="B1762" s="1">
        <v>45557</v>
      </c>
      <c r="C1762">
        <v>2024</v>
      </c>
      <c r="D1762" t="s">
        <v>1261</v>
      </c>
      <c r="E1762" t="s">
        <v>1651</v>
      </c>
      <c r="F1762" t="s">
        <v>30</v>
      </c>
      <c r="G1762" t="s">
        <v>39</v>
      </c>
      <c r="H1762" t="s">
        <v>51</v>
      </c>
      <c r="I1762" t="s">
        <v>31</v>
      </c>
      <c r="J1762" t="s">
        <v>27</v>
      </c>
      <c r="K1762" t="s">
        <v>32</v>
      </c>
      <c r="L1762" s="2">
        <v>10.199999999999999</v>
      </c>
      <c r="M1762" s="3">
        <v>1127</v>
      </c>
      <c r="N1762">
        <v>7</v>
      </c>
      <c r="O1762">
        <v>7</v>
      </c>
      <c r="P1762">
        <v>1</v>
      </c>
      <c r="Q1762">
        <v>0</v>
      </c>
      <c r="R1762" s="4">
        <v>20.65</v>
      </c>
      <c r="S1762">
        <v>0</v>
      </c>
      <c r="T1762">
        <v>1</v>
      </c>
    </row>
    <row r="1763" spans="1:20" ht="16.5" x14ac:dyDescent="0.3">
      <c r="A1763" t="s">
        <v>1813</v>
      </c>
      <c r="B1763" s="1">
        <v>45558</v>
      </c>
      <c r="C1763">
        <v>2024</v>
      </c>
      <c r="D1763" t="s">
        <v>1261</v>
      </c>
      <c r="E1763" t="s">
        <v>1651</v>
      </c>
      <c r="F1763" t="s">
        <v>38</v>
      </c>
      <c r="G1763" t="s">
        <v>39</v>
      </c>
      <c r="H1763" t="s">
        <v>25</v>
      </c>
      <c r="I1763" t="s">
        <v>26</v>
      </c>
      <c r="J1763" t="s">
        <v>27</v>
      </c>
      <c r="K1763" t="s">
        <v>28</v>
      </c>
      <c r="L1763" s="2">
        <v>212.9</v>
      </c>
      <c r="M1763" s="3">
        <v>745</v>
      </c>
      <c r="N1763">
        <v>4</v>
      </c>
      <c r="O1763">
        <v>3</v>
      </c>
      <c r="P1763">
        <v>1</v>
      </c>
      <c r="Q1763">
        <v>0</v>
      </c>
      <c r="R1763" s="4">
        <v>104.76</v>
      </c>
      <c r="S1763">
        <v>0</v>
      </c>
      <c r="T1763">
        <v>1</v>
      </c>
    </row>
    <row r="1764" spans="1:20" ht="16.5" x14ac:dyDescent="0.3">
      <c r="A1764" t="s">
        <v>1814</v>
      </c>
      <c r="B1764" s="1">
        <v>45558</v>
      </c>
      <c r="C1764">
        <v>2024</v>
      </c>
      <c r="D1764" t="s">
        <v>1261</v>
      </c>
      <c r="E1764" t="s">
        <v>1651</v>
      </c>
      <c r="F1764" t="s">
        <v>34</v>
      </c>
      <c r="G1764" t="s">
        <v>39</v>
      </c>
      <c r="H1764" t="s">
        <v>36</v>
      </c>
      <c r="I1764" t="s">
        <v>40</v>
      </c>
      <c r="J1764" t="s">
        <v>27</v>
      </c>
      <c r="K1764" t="s">
        <v>32</v>
      </c>
      <c r="L1764" s="2">
        <v>1.7</v>
      </c>
      <c r="M1764" s="3">
        <v>262</v>
      </c>
      <c r="N1764">
        <v>1</v>
      </c>
      <c r="O1764">
        <v>2</v>
      </c>
      <c r="P1764">
        <v>0</v>
      </c>
      <c r="Q1764">
        <v>1</v>
      </c>
      <c r="R1764" s="4">
        <v>17.23</v>
      </c>
      <c r="S1764">
        <v>0</v>
      </c>
      <c r="T1764">
        <v>1</v>
      </c>
    </row>
    <row r="1765" spans="1:20" ht="16.5" x14ac:dyDescent="0.3">
      <c r="A1765" t="s">
        <v>1815</v>
      </c>
      <c r="B1765" s="1">
        <v>45558</v>
      </c>
      <c r="C1765">
        <v>2024</v>
      </c>
      <c r="D1765" t="s">
        <v>1261</v>
      </c>
      <c r="E1765" t="s">
        <v>1651</v>
      </c>
      <c r="F1765" t="s">
        <v>38</v>
      </c>
      <c r="G1765" t="s">
        <v>24</v>
      </c>
      <c r="H1765" t="s">
        <v>25</v>
      </c>
      <c r="I1765" t="s">
        <v>31</v>
      </c>
      <c r="J1765" t="s">
        <v>27</v>
      </c>
      <c r="K1765" t="s">
        <v>32</v>
      </c>
      <c r="L1765" s="2">
        <v>14.3</v>
      </c>
      <c r="M1765" s="3">
        <v>920</v>
      </c>
      <c r="N1765">
        <v>6</v>
      </c>
      <c r="O1765">
        <v>6</v>
      </c>
      <c r="P1765">
        <v>1</v>
      </c>
      <c r="Q1765">
        <v>0</v>
      </c>
      <c r="R1765" s="4">
        <v>22.45</v>
      </c>
      <c r="S1765">
        <v>0</v>
      </c>
      <c r="T1765">
        <v>1</v>
      </c>
    </row>
    <row r="1766" spans="1:20" ht="16.5" x14ac:dyDescent="0.3">
      <c r="A1766" t="s">
        <v>1816</v>
      </c>
      <c r="B1766" s="1">
        <v>45558</v>
      </c>
      <c r="C1766">
        <v>2024</v>
      </c>
      <c r="D1766" t="s">
        <v>1261</v>
      </c>
      <c r="E1766" t="s">
        <v>1651</v>
      </c>
      <c r="F1766" t="s">
        <v>34</v>
      </c>
      <c r="G1766" t="s">
        <v>24</v>
      </c>
      <c r="H1766" t="s">
        <v>36</v>
      </c>
      <c r="I1766" t="s">
        <v>26</v>
      </c>
      <c r="J1766" t="s">
        <v>27</v>
      </c>
      <c r="K1766" t="s">
        <v>32</v>
      </c>
      <c r="L1766" s="2">
        <v>2.8</v>
      </c>
      <c r="M1766" s="3">
        <v>291</v>
      </c>
      <c r="N1766">
        <v>3</v>
      </c>
      <c r="O1766">
        <v>2</v>
      </c>
      <c r="P1766">
        <v>1</v>
      </c>
      <c r="Q1766">
        <v>0</v>
      </c>
      <c r="R1766" s="4">
        <v>10.33</v>
      </c>
      <c r="S1766">
        <v>0</v>
      </c>
      <c r="T1766">
        <v>1</v>
      </c>
    </row>
    <row r="1767" spans="1:20" ht="16.5" x14ac:dyDescent="0.3">
      <c r="A1767" t="s">
        <v>1817</v>
      </c>
      <c r="B1767" s="1">
        <v>45558</v>
      </c>
      <c r="C1767">
        <v>2024</v>
      </c>
      <c r="D1767" t="s">
        <v>1261</v>
      </c>
      <c r="E1767" t="s">
        <v>1651</v>
      </c>
      <c r="F1767" t="s">
        <v>30</v>
      </c>
      <c r="G1767" t="s">
        <v>39</v>
      </c>
      <c r="H1767" t="s">
        <v>36</v>
      </c>
      <c r="I1767" t="s">
        <v>26</v>
      </c>
      <c r="J1767" t="s">
        <v>27</v>
      </c>
      <c r="K1767" t="s">
        <v>32</v>
      </c>
      <c r="L1767" s="2">
        <v>3.7</v>
      </c>
      <c r="M1767" s="3">
        <v>219</v>
      </c>
      <c r="N1767">
        <v>3</v>
      </c>
      <c r="O1767">
        <v>3</v>
      </c>
      <c r="P1767">
        <v>1</v>
      </c>
      <c r="Q1767">
        <v>0</v>
      </c>
      <c r="R1767" s="4">
        <v>11.99</v>
      </c>
      <c r="S1767">
        <v>0</v>
      </c>
      <c r="T1767">
        <v>1</v>
      </c>
    </row>
    <row r="1768" spans="1:20" ht="16.5" x14ac:dyDescent="0.3">
      <c r="A1768" t="s">
        <v>1818</v>
      </c>
      <c r="B1768" s="1">
        <v>45558</v>
      </c>
      <c r="C1768">
        <v>2024</v>
      </c>
      <c r="D1768" t="s">
        <v>1261</v>
      </c>
      <c r="E1768" t="s">
        <v>1651</v>
      </c>
      <c r="F1768" t="s">
        <v>23</v>
      </c>
      <c r="G1768" t="s">
        <v>24</v>
      </c>
      <c r="H1768" t="s">
        <v>51</v>
      </c>
      <c r="I1768" t="s">
        <v>26</v>
      </c>
      <c r="J1768" t="s">
        <v>27</v>
      </c>
      <c r="K1768" t="s">
        <v>32</v>
      </c>
      <c r="L1768" s="2">
        <v>4.8</v>
      </c>
      <c r="M1768" s="3">
        <v>1023</v>
      </c>
      <c r="N1768">
        <v>5</v>
      </c>
      <c r="O1768">
        <v>5</v>
      </c>
      <c r="P1768">
        <v>1</v>
      </c>
      <c r="Q1768">
        <v>0</v>
      </c>
      <c r="R1768" s="4">
        <v>19.66</v>
      </c>
      <c r="S1768">
        <v>0</v>
      </c>
      <c r="T1768">
        <v>1</v>
      </c>
    </row>
    <row r="1769" spans="1:20" ht="16.5" x14ac:dyDescent="0.3">
      <c r="A1769" t="s">
        <v>1819</v>
      </c>
      <c r="B1769" s="1">
        <v>45559</v>
      </c>
      <c r="C1769">
        <v>2024</v>
      </c>
      <c r="D1769" t="s">
        <v>1261</v>
      </c>
      <c r="E1769" t="s">
        <v>1651</v>
      </c>
      <c r="F1769" t="s">
        <v>34</v>
      </c>
      <c r="G1769" t="s">
        <v>39</v>
      </c>
      <c r="H1769" t="s">
        <v>48</v>
      </c>
      <c r="I1769" t="s">
        <v>26</v>
      </c>
      <c r="J1769" t="s">
        <v>27</v>
      </c>
      <c r="K1769" t="s">
        <v>32</v>
      </c>
      <c r="L1769" s="2">
        <v>5.5</v>
      </c>
      <c r="M1769" s="3">
        <v>472</v>
      </c>
      <c r="N1769">
        <v>4</v>
      </c>
      <c r="O1769">
        <v>4</v>
      </c>
      <c r="P1769">
        <v>1</v>
      </c>
      <c r="Q1769">
        <v>0</v>
      </c>
      <c r="R1769" s="4">
        <v>12.83</v>
      </c>
      <c r="S1769">
        <v>0</v>
      </c>
      <c r="T1769">
        <v>1</v>
      </c>
    </row>
    <row r="1770" spans="1:20" ht="16.5" x14ac:dyDescent="0.3">
      <c r="A1770" t="s">
        <v>1820</v>
      </c>
      <c r="B1770" s="1">
        <v>45559</v>
      </c>
      <c r="C1770">
        <v>2024</v>
      </c>
      <c r="D1770" t="s">
        <v>1261</v>
      </c>
      <c r="E1770" t="s">
        <v>1651</v>
      </c>
      <c r="F1770" t="s">
        <v>38</v>
      </c>
      <c r="G1770" t="s">
        <v>39</v>
      </c>
      <c r="H1770" t="s">
        <v>36</v>
      </c>
      <c r="I1770" t="s">
        <v>26</v>
      </c>
      <c r="J1770" t="s">
        <v>27</v>
      </c>
      <c r="K1770" t="s">
        <v>28</v>
      </c>
      <c r="L1770" s="2">
        <v>78.900000000000006</v>
      </c>
      <c r="M1770" s="3">
        <v>227</v>
      </c>
      <c r="N1770">
        <v>3</v>
      </c>
      <c r="O1770">
        <v>4</v>
      </c>
      <c r="P1770">
        <v>0</v>
      </c>
      <c r="Q1770">
        <v>1</v>
      </c>
      <c r="R1770" s="4">
        <v>54.46</v>
      </c>
      <c r="S1770">
        <v>0</v>
      </c>
      <c r="T1770">
        <v>1</v>
      </c>
    </row>
    <row r="1771" spans="1:20" ht="16.5" x14ac:dyDescent="0.3">
      <c r="A1771" t="s">
        <v>1821</v>
      </c>
      <c r="B1771" s="1">
        <v>45559</v>
      </c>
      <c r="C1771">
        <v>2024</v>
      </c>
      <c r="D1771" t="s">
        <v>1261</v>
      </c>
      <c r="E1771" t="s">
        <v>1651</v>
      </c>
      <c r="F1771" t="s">
        <v>34</v>
      </c>
      <c r="G1771" t="s">
        <v>39</v>
      </c>
      <c r="H1771" t="s">
        <v>36</v>
      </c>
      <c r="I1771" t="s">
        <v>26</v>
      </c>
      <c r="J1771" t="s">
        <v>27</v>
      </c>
      <c r="K1771" t="s">
        <v>32</v>
      </c>
      <c r="L1771" s="2">
        <v>9</v>
      </c>
      <c r="M1771" s="3">
        <v>247</v>
      </c>
      <c r="N1771">
        <v>3</v>
      </c>
      <c r="O1771">
        <v>3</v>
      </c>
      <c r="P1771">
        <v>1</v>
      </c>
      <c r="Q1771">
        <v>0</v>
      </c>
      <c r="R1771" s="4">
        <v>13.34</v>
      </c>
      <c r="S1771">
        <v>0</v>
      </c>
      <c r="T1771">
        <v>1</v>
      </c>
    </row>
    <row r="1772" spans="1:20" ht="16.5" x14ac:dyDescent="0.3">
      <c r="A1772" t="s">
        <v>1822</v>
      </c>
      <c r="B1772" s="1">
        <v>45559</v>
      </c>
      <c r="C1772">
        <v>2024</v>
      </c>
      <c r="D1772" t="s">
        <v>1261</v>
      </c>
      <c r="E1772" t="s">
        <v>1651</v>
      </c>
      <c r="F1772" t="s">
        <v>38</v>
      </c>
      <c r="G1772" t="s">
        <v>39</v>
      </c>
      <c r="H1772" t="s">
        <v>36</v>
      </c>
      <c r="I1772" t="s">
        <v>31</v>
      </c>
      <c r="J1772" t="s">
        <v>27</v>
      </c>
      <c r="K1772" t="s">
        <v>32</v>
      </c>
      <c r="L1772" s="2">
        <v>8.6999999999999993</v>
      </c>
      <c r="M1772" s="3">
        <v>269</v>
      </c>
      <c r="N1772">
        <v>5</v>
      </c>
      <c r="O1772">
        <v>5</v>
      </c>
      <c r="P1772">
        <v>1</v>
      </c>
      <c r="Q1772">
        <v>0</v>
      </c>
      <c r="R1772" s="4">
        <v>11.99</v>
      </c>
      <c r="S1772">
        <v>0</v>
      </c>
      <c r="T1772">
        <v>1</v>
      </c>
    </row>
    <row r="1773" spans="1:20" ht="16.5" x14ac:dyDescent="0.3">
      <c r="A1773" t="s">
        <v>1823</v>
      </c>
      <c r="B1773" s="1">
        <v>45559</v>
      </c>
      <c r="C1773">
        <v>2024</v>
      </c>
      <c r="D1773" t="s">
        <v>1261</v>
      </c>
      <c r="E1773" t="s">
        <v>1651</v>
      </c>
      <c r="F1773" t="s">
        <v>23</v>
      </c>
      <c r="G1773" t="s">
        <v>35</v>
      </c>
      <c r="H1773" t="s">
        <v>36</v>
      </c>
      <c r="I1773" t="s">
        <v>31</v>
      </c>
      <c r="J1773" t="s">
        <v>27</v>
      </c>
      <c r="K1773" t="s">
        <v>32</v>
      </c>
      <c r="L1773" s="2">
        <v>11.2</v>
      </c>
      <c r="M1773" s="3">
        <v>269</v>
      </c>
      <c r="N1773">
        <v>5</v>
      </c>
      <c r="O1773">
        <v>5</v>
      </c>
      <c r="P1773">
        <v>1</v>
      </c>
      <c r="Q1773">
        <v>0</v>
      </c>
      <c r="R1773" s="4">
        <v>10.81</v>
      </c>
      <c r="S1773">
        <v>0</v>
      </c>
      <c r="T1773">
        <v>1</v>
      </c>
    </row>
    <row r="1774" spans="1:20" ht="16.5" x14ac:dyDescent="0.3">
      <c r="A1774" t="s">
        <v>1824</v>
      </c>
      <c r="B1774" s="1">
        <v>45560</v>
      </c>
      <c r="C1774">
        <v>2024</v>
      </c>
      <c r="D1774" t="s">
        <v>1261</v>
      </c>
      <c r="E1774" t="s">
        <v>1651</v>
      </c>
      <c r="F1774" t="s">
        <v>57</v>
      </c>
      <c r="G1774" t="s">
        <v>35</v>
      </c>
      <c r="H1774" t="s">
        <v>25</v>
      </c>
      <c r="I1774" t="s">
        <v>26</v>
      </c>
      <c r="J1774" t="s">
        <v>27</v>
      </c>
      <c r="K1774" t="s">
        <v>32</v>
      </c>
      <c r="L1774" s="2">
        <v>3.9</v>
      </c>
      <c r="M1774" s="3">
        <v>1083</v>
      </c>
      <c r="N1774">
        <v>4</v>
      </c>
      <c r="O1774">
        <v>4</v>
      </c>
      <c r="P1774">
        <v>1</v>
      </c>
      <c r="Q1774">
        <v>0</v>
      </c>
      <c r="R1774" s="4">
        <v>19.73</v>
      </c>
      <c r="S1774">
        <v>0</v>
      </c>
      <c r="T1774">
        <v>1</v>
      </c>
    </row>
    <row r="1775" spans="1:20" ht="16.5" x14ac:dyDescent="0.3">
      <c r="A1775" t="s">
        <v>1825</v>
      </c>
      <c r="B1775" s="1">
        <v>45560</v>
      </c>
      <c r="C1775">
        <v>2024</v>
      </c>
      <c r="D1775" t="s">
        <v>1261</v>
      </c>
      <c r="E1775" t="s">
        <v>1651</v>
      </c>
      <c r="F1775" t="s">
        <v>38</v>
      </c>
      <c r="G1775" t="s">
        <v>39</v>
      </c>
      <c r="H1775" t="s">
        <v>48</v>
      </c>
      <c r="I1775" t="s">
        <v>31</v>
      </c>
      <c r="J1775" t="s">
        <v>27</v>
      </c>
      <c r="K1775" t="s">
        <v>32</v>
      </c>
      <c r="L1775" s="2">
        <v>17.3</v>
      </c>
      <c r="M1775" s="3">
        <v>442</v>
      </c>
      <c r="N1775">
        <v>6</v>
      </c>
      <c r="O1775">
        <v>5</v>
      </c>
      <c r="P1775">
        <v>1</v>
      </c>
      <c r="Q1775">
        <v>0</v>
      </c>
      <c r="R1775" s="4">
        <v>18.7</v>
      </c>
      <c r="S1775">
        <v>0</v>
      </c>
      <c r="T1775">
        <v>1</v>
      </c>
    </row>
    <row r="1776" spans="1:20" ht="16.5" x14ac:dyDescent="0.3">
      <c r="A1776" t="s">
        <v>1826</v>
      </c>
      <c r="B1776" s="1">
        <v>45560</v>
      </c>
      <c r="C1776">
        <v>2024</v>
      </c>
      <c r="D1776" t="s">
        <v>1261</v>
      </c>
      <c r="E1776" t="s">
        <v>1651</v>
      </c>
      <c r="F1776" t="s">
        <v>23</v>
      </c>
      <c r="G1776" t="s">
        <v>35</v>
      </c>
      <c r="H1776" t="s">
        <v>48</v>
      </c>
      <c r="I1776" t="s">
        <v>31</v>
      </c>
      <c r="J1776" t="s">
        <v>27</v>
      </c>
      <c r="K1776" t="s">
        <v>28</v>
      </c>
      <c r="L1776" s="2">
        <v>99.3</v>
      </c>
      <c r="M1776" s="3">
        <v>463</v>
      </c>
      <c r="N1776">
        <v>6</v>
      </c>
      <c r="O1776">
        <v>6</v>
      </c>
      <c r="P1776">
        <v>1</v>
      </c>
      <c r="Q1776">
        <v>0</v>
      </c>
      <c r="R1776" s="4">
        <v>39.450000000000003</v>
      </c>
      <c r="S1776">
        <v>0</v>
      </c>
      <c r="T1776">
        <v>1</v>
      </c>
    </row>
    <row r="1777" spans="1:20" ht="16.5" x14ac:dyDescent="0.3">
      <c r="A1777" t="s">
        <v>1827</v>
      </c>
      <c r="B1777" s="1">
        <v>45560</v>
      </c>
      <c r="C1777">
        <v>2024</v>
      </c>
      <c r="D1777" t="s">
        <v>1261</v>
      </c>
      <c r="E1777" t="s">
        <v>1651</v>
      </c>
      <c r="F1777" t="s">
        <v>23</v>
      </c>
      <c r="G1777" t="s">
        <v>39</v>
      </c>
      <c r="H1777" t="s">
        <v>43</v>
      </c>
      <c r="I1777" t="s">
        <v>26</v>
      </c>
      <c r="J1777" t="s">
        <v>27</v>
      </c>
      <c r="K1777" t="s">
        <v>32</v>
      </c>
      <c r="L1777" s="2">
        <v>3.1</v>
      </c>
      <c r="M1777" s="3">
        <v>1231</v>
      </c>
      <c r="N1777">
        <v>5</v>
      </c>
      <c r="O1777">
        <v>5</v>
      </c>
      <c r="P1777">
        <v>1</v>
      </c>
      <c r="Q1777">
        <v>0</v>
      </c>
      <c r="R1777" s="4">
        <v>23.04</v>
      </c>
      <c r="S1777">
        <v>0</v>
      </c>
      <c r="T1777">
        <v>1</v>
      </c>
    </row>
    <row r="1778" spans="1:20" ht="16.5" x14ac:dyDescent="0.3">
      <c r="A1778" t="s">
        <v>1828</v>
      </c>
      <c r="B1778" s="1">
        <v>45560</v>
      </c>
      <c r="C1778">
        <v>2024</v>
      </c>
      <c r="D1778" t="s">
        <v>1261</v>
      </c>
      <c r="E1778" t="s">
        <v>1651</v>
      </c>
      <c r="F1778" t="s">
        <v>38</v>
      </c>
      <c r="G1778" t="s">
        <v>24</v>
      </c>
      <c r="H1778" t="s">
        <v>25</v>
      </c>
      <c r="I1778" t="s">
        <v>40</v>
      </c>
      <c r="J1778" t="s">
        <v>41</v>
      </c>
      <c r="K1778" t="s">
        <v>28</v>
      </c>
      <c r="L1778" s="2">
        <v>15.8</v>
      </c>
      <c r="M1778" s="3">
        <v>995</v>
      </c>
      <c r="N1778">
        <v>2</v>
      </c>
      <c r="O1778">
        <v>2</v>
      </c>
      <c r="P1778">
        <v>1</v>
      </c>
      <c r="Q1778">
        <v>0</v>
      </c>
      <c r="R1778" s="4">
        <v>94.36</v>
      </c>
      <c r="S1778">
        <v>0</v>
      </c>
      <c r="T1778">
        <v>1</v>
      </c>
    </row>
    <row r="1779" spans="1:20" ht="16.5" x14ac:dyDescent="0.3">
      <c r="A1779" t="s">
        <v>1829</v>
      </c>
      <c r="B1779" s="1">
        <v>45560</v>
      </c>
      <c r="C1779">
        <v>2024</v>
      </c>
      <c r="D1779" t="s">
        <v>1261</v>
      </c>
      <c r="E1779" t="s">
        <v>1651</v>
      </c>
      <c r="F1779" t="s">
        <v>30</v>
      </c>
      <c r="G1779" t="s">
        <v>35</v>
      </c>
      <c r="H1779" t="s">
        <v>36</v>
      </c>
      <c r="I1779" t="s">
        <v>26</v>
      </c>
      <c r="J1779" t="s">
        <v>27</v>
      </c>
      <c r="K1779" t="s">
        <v>28</v>
      </c>
      <c r="L1779" s="2">
        <v>263.7</v>
      </c>
      <c r="M1779" s="3">
        <v>271</v>
      </c>
      <c r="N1779">
        <v>3</v>
      </c>
      <c r="O1779">
        <v>3</v>
      </c>
      <c r="P1779">
        <v>1</v>
      </c>
      <c r="Q1779">
        <v>0</v>
      </c>
      <c r="R1779" s="4">
        <v>116.95</v>
      </c>
      <c r="S1779">
        <v>0</v>
      </c>
      <c r="T1779">
        <v>1</v>
      </c>
    </row>
    <row r="1780" spans="1:20" ht="16.5" x14ac:dyDescent="0.3">
      <c r="A1780" t="s">
        <v>1830</v>
      </c>
      <c r="B1780" s="1">
        <v>45560</v>
      </c>
      <c r="C1780">
        <v>2024</v>
      </c>
      <c r="D1780" t="s">
        <v>1261</v>
      </c>
      <c r="E1780" t="s">
        <v>1651</v>
      </c>
      <c r="F1780" t="s">
        <v>38</v>
      </c>
      <c r="G1780" t="s">
        <v>35</v>
      </c>
      <c r="H1780" t="s">
        <v>48</v>
      </c>
      <c r="I1780" t="s">
        <v>40</v>
      </c>
      <c r="J1780" t="s">
        <v>27</v>
      </c>
      <c r="K1780" t="s">
        <v>32</v>
      </c>
      <c r="L1780" s="2">
        <v>13</v>
      </c>
      <c r="M1780" s="3">
        <v>510</v>
      </c>
      <c r="N1780">
        <v>2</v>
      </c>
      <c r="O1780">
        <v>1</v>
      </c>
      <c r="P1780">
        <v>1</v>
      </c>
      <c r="Q1780">
        <v>0</v>
      </c>
      <c r="R1780" s="4">
        <v>43.14</v>
      </c>
      <c r="S1780">
        <v>0</v>
      </c>
      <c r="T1780">
        <v>1</v>
      </c>
    </row>
    <row r="1781" spans="1:20" ht="16.5" x14ac:dyDescent="0.3">
      <c r="A1781" t="s">
        <v>1831</v>
      </c>
      <c r="B1781" s="1">
        <v>45560</v>
      </c>
      <c r="C1781">
        <v>2024</v>
      </c>
      <c r="D1781" t="s">
        <v>1261</v>
      </c>
      <c r="E1781" t="s">
        <v>1651</v>
      </c>
      <c r="F1781" t="s">
        <v>38</v>
      </c>
      <c r="G1781" t="s">
        <v>24</v>
      </c>
      <c r="H1781" t="s">
        <v>48</v>
      </c>
      <c r="I1781" t="s">
        <v>40</v>
      </c>
      <c r="J1781" t="s">
        <v>27</v>
      </c>
      <c r="K1781" t="s">
        <v>32</v>
      </c>
      <c r="L1781" s="2">
        <v>0.9</v>
      </c>
      <c r="M1781" s="3">
        <v>525</v>
      </c>
      <c r="N1781">
        <v>2</v>
      </c>
      <c r="O1781">
        <v>1</v>
      </c>
      <c r="P1781">
        <v>1</v>
      </c>
      <c r="Q1781">
        <v>0</v>
      </c>
      <c r="R1781" s="4">
        <v>27.48</v>
      </c>
      <c r="S1781">
        <v>0</v>
      </c>
      <c r="T1781">
        <v>1</v>
      </c>
    </row>
    <row r="1782" spans="1:20" ht="16.5" x14ac:dyDescent="0.3">
      <c r="A1782" t="s">
        <v>1832</v>
      </c>
      <c r="B1782" s="1">
        <v>45560</v>
      </c>
      <c r="C1782">
        <v>2024</v>
      </c>
      <c r="D1782" t="s">
        <v>1261</v>
      </c>
      <c r="E1782" t="s">
        <v>1651</v>
      </c>
      <c r="F1782" t="s">
        <v>57</v>
      </c>
      <c r="G1782" t="s">
        <v>24</v>
      </c>
      <c r="H1782" t="s">
        <v>48</v>
      </c>
      <c r="I1782" t="s">
        <v>40</v>
      </c>
      <c r="J1782" t="s">
        <v>27</v>
      </c>
      <c r="K1782" t="s">
        <v>28</v>
      </c>
      <c r="L1782" s="2">
        <v>44.6</v>
      </c>
      <c r="M1782" s="3">
        <v>542</v>
      </c>
      <c r="N1782">
        <v>2</v>
      </c>
      <c r="O1782">
        <v>1</v>
      </c>
      <c r="P1782">
        <v>1</v>
      </c>
      <c r="Q1782">
        <v>0</v>
      </c>
      <c r="R1782" s="4">
        <v>68.150000000000006</v>
      </c>
      <c r="S1782">
        <v>0</v>
      </c>
      <c r="T1782">
        <v>1</v>
      </c>
    </row>
    <row r="1783" spans="1:20" ht="16.5" x14ac:dyDescent="0.3">
      <c r="A1783" t="s">
        <v>1833</v>
      </c>
      <c r="B1783" s="1">
        <v>45561</v>
      </c>
      <c r="C1783">
        <v>2024</v>
      </c>
      <c r="D1783" t="s">
        <v>1261</v>
      </c>
      <c r="E1783" t="s">
        <v>1651</v>
      </c>
      <c r="F1783" t="s">
        <v>30</v>
      </c>
      <c r="G1783" t="s">
        <v>39</v>
      </c>
      <c r="H1783" t="s">
        <v>25</v>
      </c>
      <c r="I1783" t="s">
        <v>26</v>
      </c>
      <c r="J1783" t="s">
        <v>27</v>
      </c>
      <c r="K1783" t="s">
        <v>32</v>
      </c>
      <c r="L1783" s="2">
        <v>3.5</v>
      </c>
      <c r="M1783" s="3">
        <v>1126</v>
      </c>
      <c r="N1783">
        <v>4</v>
      </c>
      <c r="O1783">
        <v>4</v>
      </c>
      <c r="P1783">
        <v>1</v>
      </c>
      <c r="Q1783">
        <v>0</v>
      </c>
      <c r="R1783" s="4">
        <v>24.46</v>
      </c>
      <c r="S1783">
        <v>0</v>
      </c>
      <c r="T1783">
        <v>1</v>
      </c>
    </row>
    <row r="1784" spans="1:20" ht="16.5" x14ac:dyDescent="0.3">
      <c r="A1784" t="s">
        <v>1834</v>
      </c>
      <c r="B1784" s="1">
        <v>45561</v>
      </c>
      <c r="C1784">
        <v>2024</v>
      </c>
      <c r="D1784" t="s">
        <v>1261</v>
      </c>
      <c r="E1784" t="s">
        <v>1651</v>
      </c>
      <c r="F1784" t="s">
        <v>23</v>
      </c>
      <c r="G1784" t="s">
        <v>35</v>
      </c>
      <c r="H1784" t="s">
        <v>43</v>
      </c>
      <c r="I1784" t="s">
        <v>31</v>
      </c>
      <c r="J1784" t="s">
        <v>27</v>
      </c>
      <c r="K1784" t="s">
        <v>32</v>
      </c>
      <c r="L1784" s="2">
        <v>6.4</v>
      </c>
      <c r="M1784" s="3">
        <v>1185</v>
      </c>
      <c r="N1784">
        <v>7</v>
      </c>
      <c r="O1784">
        <v>7</v>
      </c>
      <c r="P1784">
        <v>1</v>
      </c>
      <c r="Q1784">
        <v>0</v>
      </c>
      <c r="R1784" s="4">
        <v>17.100000000000001</v>
      </c>
      <c r="S1784">
        <v>0</v>
      </c>
      <c r="T1784">
        <v>1</v>
      </c>
    </row>
    <row r="1785" spans="1:20" ht="16.5" x14ac:dyDescent="0.3">
      <c r="A1785" t="s">
        <v>1835</v>
      </c>
      <c r="B1785" s="1">
        <v>45561</v>
      </c>
      <c r="C1785">
        <v>2024</v>
      </c>
      <c r="D1785" t="s">
        <v>1261</v>
      </c>
      <c r="E1785" t="s">
        <v>1651</v>
      </c>
      <c r="F1785" t="s">
        <v>38</v>
      </c>
      <c r="G1785" t="s">
        <v>24</v>
      </c>
      <c r="H1785" t="s">
        <v>25</v>
      </c>
      <c r="I1785" t="s">
        <v>31</v>
      </c>
      <c r="J1785" t="s">
        <v>27</v>
      </c>
      <c r="K1785" t="s">
        <v>32</v>
      </c>
      <c r="L1785" s="2">
        <v>13.3</v>
      </c>
      <c r="M1785" s="3">
        <v>924</v>
      </c>
      <c r="N1785">
        <v>6</v>
      </c>
      <c r="O1785">
        <v>6</v>
      </c>
      <c r="P1785">
        <v>1</v>
      </c>
      <c r="Q1785">
        <v>0</v>
      </c>
      <c r="R1785" s="4">
        <v>18.98</v>
      </c>
      <c r="S1785">
        <v>0</v>
      </c>
      <c r="T1785">
        <v>1</v>
      </c>
    </row>
    <row r="1786" spans="1:20" ht="16.5" x14ac:dyDescent="0.3">
      <c r="A1786" t="s">
        <v>1836</v>
      </c>
      <c r="B1786" s="1">
        <v>45561</v>
      </c>
      <c r="C1786">
        <v>2024</v>
      </c>
      <c r="D1786" t="s">
        <v>1261</v>
      </c>
      <c r="E1786" t="s">
        <v>1651</v>
      </c>
      <c r="F1786" t="s">
        <v>57</v>
      </c>
      <c r="G1786" t="s">
        <v>24</v>
      </c>
      <c r="H1786" t="s">
        <v>43</v>
      </c>
      <c r="I1786" t="s">
        <v>40</v>
      </c>
      <c r="J1786" t="s">
        <v>41</v>
      </c>
      <c r="K1786" t="s">
        <v>32</v>
      </c>
      <c r="L1786" s="2">
        <v>19.2</v>
      </c>
      <c r="M1786" s="3">
        <v>1100</v>
      </c>
      <c r="N1786">
        <v>3</v>
      </c>
      <c r="O1786">
        <v>3</v>
      </c>
      <c r="P1786">
        <v>1</v>
      </c>
      <c r="Q1786">
        <v>0</v>
      </c>
      <c r="R1786" s="4">
        <v>91.69</v>
      </c>
      <c r="S1786">
        <v>0</v>
      </c>
      <c r="T1786">
        <v>1</v>
      </c>
    </row>
    <row r="1787" spans="1:20" ht="16.5" x14ac:dyDescent="0.3">
      <c r="A1787" t="s">
        <v>1837</v>
      </c>
      <c r="B1787" s="1">
        <v>45561</v>
      </c>
      <c r="C1787">
        <v>2024</v>
      </c>
      <c r="D1787" t="s">
        <v>1261</v>
      </c>
      <c r="E1787" t="s">
        <v>1651</v>
      </c>
      <c r="F1787" t="s">
        <v>34</v>
      </c>
      <c r="G1787" t="s">
        <v>39</v>
      </c>
      <c r="H1787" t="s">
        <v>25</v>
      </c>
      <c r="I1787" t="s">
        <v>31</v>
      </c>
      <c r="J1787" t="s">
        <v>27</v>
      </c>
      <c r="K1787" t="s">
        <v>28</v>
      </c>
      <c r="L1787" s="2">
        <v>43.9</v>
      </c>
      <c r="M1787" s="3">
        <v>811</v>
      </c>
      <c r="N1787">
        <v>6</v>
      </c>
      <c r="O1787">
        <v>5</v>
      </c>
      <c r="P1787">
        <v>1</v>
      </c>
      <c r="Q1787">
        <v>0</v>
      </c>
      <c r="R1787" s="4">
        <v>21.42</v>
      </c>
      <c r="S1787">
        <v>0</v>
      </c>
      <c r="T1787">
        <v>1</v>
      </c>
    </row>
    <row r="1788" spans="1:20" ht="16.5" x14ac:dyDescent="0.3">
      <c r="A1788" t="s">
        <v>1838</v>
      </c>
      <c r="B1788" s="1">
        <v>45561</v>
      </c>
      <c r="C1788">
        <v>2024</v>
      </c>
      <c r="D1788" t="s">
        <v>1261</v>
      </c>
      <c r="E1788" t="s">
        <v>1651</v>
      </c>
      <c r="F1788" t="s">
        <v>38</v>
      </c>
      <c r="G1788" t="s">
        <v>39</v>
      </c>
      <c r="H1788" t="s">
        <v>43</v>
      </c>
      <c r="I1788" t="s">
        <v>26</v>
      </c>
      <c r="J1788" t="s">
        <v>27</v>
      </c>
      <c r="K1788" t="s">
        <v>28</v>
      </c>
      <c r="L1788" s="2">
        <v>210.1</v>
      </c>
      <c r="M1788" s="3">
        <v>1174</v>
      </c>
      <c r="N1788">
        <v>5</v>
      </c>
      <c r="O1788">
        <v>5</v>
      </c>
      <c r="P1788">
        <v>1</v>
      </c>
      <c r="Q1788">
        <v>0</v>
      </c>
      <c r="R1788" s="4">
        <v>118.1</v>
      </c>
      <c r="S1788">
        <v>0</v>
      </c>
      <c r="T1788">
        <v>1</v>
      </c>
    </row>
    <row r="1789" spans="1:20" ht="16.5" x14ac:dyDescent="0.3">
      <c r="A1789" t="s">
        <v>1839</v>
      </c>
      <c r="B1789" s="1">
        <v>45561</v>
      </c>
      <c r="C1789">
        <v>2024</v>
      </c>
      <c r="D1789" t="s">
        <v>1261</v>
      </c>
      <c r="E1789" t="s">
        <v>1651</v>
      </c>
      <c r="F1789" t="s">
        <v>23</v>
      </c>
      <c r="G1789" t="s">
        <v>35</v>
      </c>
      <c r="H1789" t="s">
        <v>48</v>
      </c>
      <c r="I1789" t="s">
        <v>31</v>
      </c>
      <c r="J1789" t="s">
        <v>27</v>
      </c>
      <c r="K1789" t="s">
        <v>28</v>
      </c>
      <c r="L1789" s="2">
        <v>330.5</v>
      </c>
      <c r="M1789" s="3">
        <v>616</v>
      </c>
      <c r="N1789">
        <v>6</v>
      </c>
      <c r="O1789">
        <v>6</v>
      </c>
      <c r="P1789">
        <v>1</v>
      </c>
      <c r="Q1789">
        <v>0</v>
      </c>
      <c r="R1789" s="4">
        <v>97.11</v>
      </c>
      <c r="S1789">
        <v>0</v>
      </c>
      <c r="T1789">
        <v>1</v>
      </c>
    </row>
    <row r="1790" spans="1:20" ht="16.5" x14ac:dyDescent="0.3">
      <c r="A1790" t="s">
        <v>1840</v>
      </c>
      <c r="B1790" s="1">
        <v>45561</v>
      </c>
      <c r="C1790">
        <v>2024</v>
      </c>
      <c r="D1790" t="s">
        <v>1261</v>
      </c>
      <c r="E1790" t="s">
        <v>1651</v>
      </c>
      <c r="F1790" t="s">
        <v>34</v>
      </c>
      <c r="G1790" t="s">
        <v>39</v>
      </c>
      <c r="H1790" t="s">
        <v>48</v>
      </c>
      <c r="I1790" t="s">
        <v>31</v>
      </c>
      <c r="J1790" t="s">
        <v>27</v>
      </c>
      <c r="K1790" t="s">
        <v>32</v>
      </c>
      <c r="L1790" s="2">
        <v>5.5</v>
      </c>
      <c r="M1790" s="3">
        <v>460</v>
      </c>
      <c r="N1790">
        <v>6</v>
      </c>
      <c r="O1790">
        <v>5</v>
      </c>
      <c r="P1790">
        <v>1</v>
      </c>
      <c r="Q1790">
        <v>0</v>
      </c>
      <c r="R1790" s="4">
        <v>9.0399999999999991</v>
      </c>
      <c r="S1790">
        <v>0</v>
      </c>
      <c r="T1790">
        <v>1</v>
      </c>
    </row>
    <row r="1791" spans="1:20" ht="16.5" x14ac:dyDescent="0.3">
      <c r="A1791" t="s">
        <v>1841</v>
      </c>
      <c r="B1791" s="1">
        <v>45561</v>
      </c>
      <c r="C1791">
        <v>2024</v>
      </c>
      <c r="D1791" t="s">
        <v>1261</v>
      </c>
      <c r="E1791" t="s">
        <v>1651</v>
      </c>
      <c r="F1791" t="s">
        <v>23</v>
      </c>
      <c r="G1791" t="s">
        <v>39</v>
      </c>
      <c r="H1791" t="s">
        <v>25</v>
      </c>
      <c r="I1791" t="s">
        <v>31</v>
      </c>
      <c r="J1791" t="s">
        <v>27</v>
      </c>
      <c r="K1791" t="s">
        <v>28</v>
      </c>
      <c r="L1791" s="2">
        <v>364.7</v>
      </c>
      <c r="M1791" s="3">
        <v>1034</v>
      </c>
      <c r="N1791">
        <v>6</v>
      </c>
      <c r="O1791">
        <v>6</v>
      </c>
      <c r="P1791">
        <v>1</v>
      </c>
      <c r="Q1791">
        <v>0</v>
      </c>
      <c r="R1791" s="4">
        <v>97.53</v>
      </c>
      <c r="S1791">
        <v>0</v>
      </c>
      <c r="T1791">
        <v>1</v>
      </c>
    </row>
    <row r="1792" spans="1:20" ht="16.5" x14ac:dyDescent="0.3">
      <c r="A1792" t="s">
        <v>1842</v>
      </c>
      <c r="B1792" s="1">
        <v>45561</v>
      </c>
      <c r="C1792">
        <v>2024</v>
      </c>
      <c r="D1792" t="s">
        <v>1261</v>
      </c>
      <c r="E1792" t="s">
        <v>1651</v>
      </c>
      <c r="F1792" t="s">
        <v>34</v>
      </c>
      <c r="G1792" t="s">
        <v>39</v>
      </c>
      <c r="H1792" t="s">
        <v>36</v>
      </c>
      <c r="I1792" t="s">
        <v>26</v>
      </c>
      <c r="J1792" t="s">
        <v>27</v>
      </c>
      <c r="K1792" t="s">
        <v>28</v>
      </c>
      <c r="L1792" s="2">
        <v>157.19999999999999</v>
      </c>
      <c r="M1792" s="3">
        <v>209</v>
      </c>
      <c r="N1792">
        <v>3</v>
      </c>
      <c r="O1792">
        <v>3</v>
      </c>
      <c r="P1792">
        <v>1</v>
      </c>
      <c r="Q1792">
        <v>0</v>
      </c>
      <c r="R1792" s="4">
        <v>60.51</v>
      </c>
      <c r="S1792">
        <v>0</v>
      </c>
      <c r="T1792">
        <v>1</v>
      </c>
    </row>
    <row r="1793" spans="1:20" ht="16.5" x14ac:dyDescent="0.3">
      <c r="A1793" t="s">
        <v>1843</v>
      </c>
      <c r="B1793" s="1">
        <v>45562</v>
      </c>
      <c r="C1793">
        <v>2024</v>
      </c>
      <c r="D1793" t="s">
        <v>1261</v>
      </c>
      <c r="E1793" t="s">
        <v>1651</v>
      </c>
      <c r="F1793" t="s">
        <v>38</v>
      </c>
      <c r="G1793" t="s">
        <v>35</v>
      </c>
      <c r="H1793" t="s">
        <v>25</v>
      </c>
      <c r="I1793" t="s">
        <v>26</v>
      </c>
      <c r="J1793" t="s">
        <v>27</v>
      </c>
      <c r="K1793" t="s">
        <v>32</v>
      </c>
      <c r="L1793" s="2">
        <v>1.2</v>
      </c>
      <c r="M1793" s="3">
        <v>872</v>
      </c>
      <c r="N1793">
        <v>4</v>
      </c>
      <c r="O1793">
        <v>4</v>
      </c>
      <c r="P1793">
        <v>1</v>
      </c>
      <c r="Q1793">
        <v>0</v>
      </c>
      <c r="R1793" s="4">
        <v>22.88</v>
      </c>
      <c r="S1793">
        <v>0</v>
      </c>
      <c r="T1793">
        <v>1</v>
      </c>
    </row>
    <row r="1794" spans="1:20" ht="16.5" x14ac:dyDescent="0.3">
      <c r="A1794" t="s">
        <v>1844</v>
      </c>
      <c r="B1794" s="1">
        <v>45562</v>
      </c>
      <c r="C1794">
        <v>2024</v>
      </c>
      <c r="D1794" t="s">
        <v>1261</v>
      </c>
      <c r="E1794" t="s">
        <v>1651</v>
      </c>
      <c r="F1794" t="s">
        <v>23</v>
      </c>
      <c r="G1794" t="s">
        <v>35</v>
      </c>
      <c r="H1794" t="s">
        <v>36</v>
      </c>
      <c r="I1794" t="s">
        <v>26</v>
      </c>
      <c r="J1794" t="s">
        <v>27</v>
      </c>
      <c r="K1794" t="s">
        <v>28</v>
      </c>
      <c r="L1794" s="2">
        <v>125.3</v>
      </c>
      <c r="M1794" s="3">
        <v>272</v>
      </c>
      <c r="N1794">
        <v>3</v>
      </c>
      <c r="O1794">
        <v>6</v>
      </c>
      <c r="P1794">
        <v>0</v>
      </c>
      <c r="Q1794">
        <v>3</v>
      </c>
      <c r="R1794" s="4">
        <v>58.68</v>
      </c>
      <c r="S1794">
        <v>0</v>
      </c>
      <c r="T1794">
        <v>1</v>
      </c>
    </row>
    <row r="1795" spans="1:20" ht="16.5" x14ac:dyDescent="0.3">
      <c r="A1795" t="s">
        <v>1845</v>
      </c>
      <c r="B1795" s="1">
        <v>45562</v>
      </c>
      <c r="C1795">
        <v>2024</v>
      </c>
      <c r="D1795" t="s">
        <v>1261</v>
      </c>
      <c r="E1795" t="s">
        <v>1651</v>
      </c>
      <c r="F1795" t="s">
        <v>57</v>
      </c>
      <c r="G1795" t="s">
        <v>35</v>
      </c>
      <c r="H1795" t="s">
        <v>36</v>
      </c>
      <c r="I1795" t="s">
        <v>26</v>
      </c>
      <c r="J1795" t="s">
        <v>27</v>
      </c>
      <c r="K1795" t="s">
        <v>32</v>
      </c>
      <c r="L1795" s="2">
        <v>13</v>
      </c>
      <c r="M1795" s="3">
        <v>289</v>
      </c>
      <c r="N1795">
        <v>3</v>
      </c>
      <c r="O1795">
        <v>3</v>
      </c>
      <c r="P1795">
        <v>1</v>
      </c>
      <c r="Q1795">
        <v>0</v>
      </c>
      <c r="R1795" s="4">
        <v>17.63</v>
      </c>
      <c r="S1795">
        <v>0</v>
      </c>
      <c r="T1795">
        <v>1</v>
      </c>
    </row>
    <row r="1796" spans="1:20" ht="16.5" x14ac:dyDescent="0.3">
      <c r="A1796" t="s">
        <v>1846</v>
      </c>
      <c r="B1796" s="1">
        <v>45562</v>
      </c>
      <c r="C1796">
        <v>2024</v>
      </c>
      <c r="D1796" t="s">
        <v>1261</v>
      </c>
      <c r="E1796" t="s">
        <v>1651</v>
      </c>
      <c r="F1796" t="s">
        <v>57</v>
      </c>
      <c r="G1796" t="s">
        <v>35</v>
      </c>
      <c r="H1796" t="s">
        <v>25</v>
      </c>
      <c r="I1796" t="s">
        <v>40</v>
      </c>
      <c r="J1796" t="s">
        <v>41</v>
      </c>
      <c r="K1796" t="s">
        <v>32</v>
      </c>
      <c r="L1796" s="2">
        <v>3.5</v>
      </c>
      <c r="M1796" s="3">
        <v>930</v>
      </c>
      <c r="N1796">
        <v>2</v>
      </c>
      <c r="O1796">
        <v>2</v>
      </c>
      <c r="P1796">
        <v>1</v>
      </c>
      <c r="Q1796">
        <v>0</v>
      </c>
      <c r="R1796" s="4">
        <v>61.56</v>
      </c>
      <c r="S1796">
        <v>0</v>
      </c>
      <c r="T1796">
        <v>1</v>
      </c>
    </row>
    <row r="1797" spans="1:20" ht="16.5" x14ac:dyDescent="0.3">
      <c r="A1797" t="s">
        <v>1847</v>
      </c>
      <c r="B1797" s="1">
        <v>45562</v>
      </c>
      <c r="C1797">
        <v>2024</v>
      </c>
      <c r="D1797" t="s">
        <v>1261</v>
      </c>
      <c r="E1797" t="s">
        <v>1651</v>
      </c>
      <c r="F1797" t="s">
        <v>57</v>
      </c>
      <c r="G1797" t="s">
        <v>35</v>
      </c>
      <c r="H1797" t="s">
        <v>43</v>
      </c>
      <c r="I1797" t="s">
        <v>26</v>
      </c>
      <c r="J1797" t="s">
        <v>27</v>
      </c>
      <c r="K1797" t="s">
        <v>32</v>
      </c>
      <c r="L1797" s="2">
        <v>7.6</v>
      </c>
      <c r="M1797" s="3">
        <v>1249</v>
      </c>
      <c r="N1797">
        <v>5</v>
      </c>
      <c r="O1797">
        <v>5</v>
      </c>
      <c r="P1797">
        <v>1</v>
      </c>
      <c r="Q1797">
        <v>0</v>
      </c>
      <c r="R1797" s="4">
        <v>27.24</v>
      </c>
      <c r="S1797">
        <v>0</v>
      </c>
      <c r="T1797">
        <v>1</v>
      </c>
    </row>
    <row r="1798" spans="1:20" ht="16.5" x14ac:dyDescent="0.3">
      <c r="A1798" t="s">
        <v>1848</v>
      </c>
      <c r="B1798" s="1">
        <v>45562</v>
      </c>
      <c r="C1798">
        <v>2024</v>
      </c>
      <c r="D1798" t="s">
        <v>1261</v>
      </c>
      <c r="E1798" t="s">
        <v>1651</v>
      </c>
      <c r="F1798" t="s">
        <v>34</v>
      </c>
      <c r="G1798" t="s">
        <v>24</v>
      </c>
      <c r="H1798" t="s">
        <v>48</v>
      </c>
      <c r="I1798" t="s">
        <v>40</v>
      </c>
      <c r="J1798" t="s">
        <v>27</v>
      </c>
      <c r="K1798" t="s">
        <v>32</v>
      </c>
      <c r="L1798" s="2">
        <v>16.899999999999999</v>
      </c>
      <c r="M1798" s="3">
        <v>658</v>
      </c>
      <c r="N1798">
        <v>2</v>
      </c>
      <c r="O1798">
        <v>2</v>
      </c>
      <c r="P1798">
        <v>1</v>
      </c>
      <c r="Q1798">
        <v>0</v>
      </c>
      <c r="R1798" s="4">
        <v>38.01</v>
      </c>
      <c r="S1798">
        <v>0</v>
      </c>
      <c r="T1798">
        <v>1</v>
      </c>
    </row>
    <row r="1799" spans="1:20" ht="16.5" x14ac:dyDescent="0.3">
      <c r="A1799" t="s">
        <v>1849</v>
      </c>
      <c r="B1799" s="1">
        <v>45563</v>
      </c>
      <c r="C1799">
        <v>2024</v>
      </c>
      <c r="D1799" t="s">
        <v>1261</v>
      </c>
      <c r="E1799" t="s">
        <v>1651</v>
      </c>
      <c r="F1799" t="s">
        <v>30</v>
      </c>
      <c r="G1799" t="s">
        <v>35</v>
      </c>
      <c r="H1799" t="s">
        <v>25</v>
      </c>
      <c r="I1799" t="s">
        <v>26</v>
      </c>
      <c r="J1799" t="s">
        <v>27</v>
      </c>
      <c r="K1799" t="s">
        <v>28</v>
      </c>
      <c r="L1799" s="2">
        <v>189.8</v>
      </c>
      <c r="M1799" s="3">
        <v>668</v>
      </c>
      <c r="N1799">
        <v>4</v>
      </c>
      <c r="O1799">
        <v>4</v>
      </c>
      <c r="P1799">
        <v>1</v>
      </c>
      <c r="Q1799">
        <v>0</v>
      </c>
      <c r="R1799" s="4">
        <v>108.71</v>
      </c>
      <c r="S1799">
        <v>0</v>
      </c>
      <c r="T1799">
        <v>1</v>
      </c>
    </row>
    <row r="1800" spans="1:20" ht="16.5" x14ac:dyDescent="0.3">
      <c r="A1800" t="s">
        <v>1850</v>
      </c>
      <c r="B1800" s="1">
        <v>45563</v>
      </c>
      <c r="C1800">
        <v>2024</v>
      </c>
      <c r="D1800" t="s">
        <v>1261</v>
      </c>
      <c r="E1800" t="s">
        <v>1651</v>
      </c>
      <c r="F1800" t="s">
        <v>30</v>
      </c>
      <c r="G1800" t="s">
        <v>24</v>
      </c>
      <c r="H1800" t="s">
        <v>43</v>
      </c>
      <c r="I1800" t="s">
        <v>26</v>
      </c>
      <c r="J1800" t="s">
        <v>27</v>
      </c>
      <c r="K1800" t="s">
        <v>32</v>
      </c>
      <c r="L1800" s="2">
        <v>1</v>
      </c>
      <c r="M1800" s="3">
        <v>1395</v>
      </c>
      <c r="N1800">
        <v>5</v>
      </c>
      <c r="O1800">
        <v>4</v>
      </c>
      <c r="P1800">
        <v>1</v>
      </c>
      <c r="Q1800">
        <v>0</v>
      </c>
      <c r="R1800" s="4">
        <v>26.18</v>
      </c>
      <c r="S1800">
        <v>0</v>
      </c>
      <c r="T1800">
        <v>1</v>
      </c>
    </row>
    <row r="1801" spans="1:20" ht="16.5" x14ac:dyDescent="0.3">
      <c r="A1801" t="s">
        <v>1851</v>
      </c>
      <c r="B1801" s="1">
        <v>45563</v>
      </c>
      <c r="C1801">
        <v>2024</v>
      </c>
      <c r="D1801" t="s">
        <v>1261</v>
      </c>
      <c r="E1801" t="s">
        <v>1651</v>
      </c>
      <c r="F1801" t="s">
        <v>57</v>
      </c>
      <c r="G1801" t="s">
        <v>35</v>
      </c>
      <c r="H1801" t="s">
        <v>51</v>
      </c>
      <c r="I1801" t="s">
        <v>31</v>
      </c>
      <c r="J1801" t="s">
        <v>27</v>
      </c>
      <c r="K1801" t="s">
        <v>28</v>
      </c>
      <c r="L1801" s="2">
        <v>157.9</v>
      </c>
      <c r="M1801" s="3">
        <v>899</v>
      </c>
      <c r="N1801">
        <v>7</v>
      </c>
      <c r="O1801">
        <v>7</v>
      </c>
      <c r="P1801">
        <v>1</v>
      </c>
      <c r="Q1801">
        <v>0</v>
      </c>
      <c r="R1801" s="4">
        <v>64.849999999999994</v>
      </c>
      <c r="S1801">
        <v>0</v>
      </c>
      <c r="T1801">
        <v>1</v>
      </c>
    </row>
    <row r="1802" spans="1:20" ht="16.5" x14ac:dyDescent="0.3">
      <c r="A1802" t="s">
        <v>1852</v>
      </c>
      <c r="B1802" s="1">
        <v>45563</v>
      </c>
      <c r="C1802">
        <v>2024</v>
      </c>
      <c r="D1802" t="s">
        <v>1261</v>
      </c>
      <c r="E1802" t="s">
        <v>1651</v>
      </c>
      <c r="F1802" t="s">
        <v>23</v>
      </c>
      <c r="G1802" t="s">
        <v>39</v>
      </c>
      <c r="H1802" t="s">
        <v>48</v>
      </c>
      <c r="I1802" t="s">
        <v>26</v>
      </c>
      <c r="J1802" t="s">
        <v>27</v>
      </c>
      <c r="K1802" t="s">
        <v>28</v>
      </c>
      <c r="L1802" s="2">
        <v>14</v>
      </c>
      <c r="M1802" s="3">
        <v>574</v>
      </c>
      <c r="N1802">
        <v>4</v>
      </c>
      <c r="O1802">
        <v>4</v>
      </c>
      <c r="P1802">
        <v>1</v>
      </c>
      <c r="Q1802">
        <v>0</v>
      </c>
      <c r="R1802" s="4">
        <v>20.440000000000001</v>
      </c>
      <c r="S1802">
        <v>0</v>
      </c>
      <c r="T1802">
        <v>1</v>
      </c>
    </row>
    <row r="1803" spans="1:20" ht="16.5" x14ac:dyDescent="0.3">
      <c r="A1803" t="s">
        <v>1853</v>
      </c>
      <c r="B1803" s="1">
        <v>45563</v>
      </c>
      <c r="C1803">
        <v>2024</v>
      </c>
      <c r="D1803" t="s">
        <v>1261</v>
      </c>
      <c r="E1803" t="s">
        <v>1651</v>
      </c>
      <c r="F1803" t="s">
        <v>23</v>
      </c>
      <c r="G1803" t="s">
        <v>35</v>
      </c>
      <c r="H1803" t="s">
        <v>36</v>
      </c>
      <c r="I1803" t="s">
        <v>26</v>
      </c>
      <c r="J1803" t="s">
        <v>27</v>
      </c>
      <c r="K1803" t="s">
        <v>32</v>
      </c>
      <c r="L1803" s="2">
        <v>1.9</v>
      </c>
      <c r="M1803" s="3">
        <v>223</v>
      </c>
      <c r="N1803">
        <v>3</v>
      </c>
      <c r="O1803">
        <v>2</v>
      </c>
      <c r="P1803">
        <v>1</v>
      </c>
      <c r="Q1803">
        <v>0</v>
      </c>
      <c r="R1803" s="4">
        <v>10.29</v>
      </c>
      <c r="S1803">
        <v>0</v>
      </c>
      <c r="T1803">
        <v>1</v>
      </c>
    </row>
    <row r="1804" spans="1:20" ht="16.5" x14ac:dyDescent="0.3">
      <c r="A1804" t="s">
        <v>1854</v>
      </c>
      <c r="B1804" s="1">
        <v>45563</v>
      </c>
      <c r="C1804">
        <v>2024</v>
      </c>
      <c r="D1804" t="s">
        <v>1261</v>
      </c>
      <c r="E1804" t="s">
        <v>1651</v>
      </c>
      <c r="F1804" t="s">
        <v>23</v>
      </c>
      <c r="G1804" t="s">
        <v>39</v>
      </c>
      <c r="H1804" t="s">
        <v>36</v>
      </c>
      <c r="I1804" t="s">
        <v>31</v>
      </c>
      <c r="J1804" t="s">
        <v>27</v>
      </c>
      <c r="K1804" t="s">
        <v>28</v>
      </c>
      <c r="L1804" s="2">
        <v>258.7</v>
      </c>
      <c r="M1804" s="3">
        <v>308</v>
      </c>
      <c r="N1804">
        <v>5</v>
      </c>
      <c r="O1804">
        <v>5</v>
      </c>
      <c r="P1804">
        <v>1</v>
      </c>
      <c r="Q1804">
        <v>0</v>
      </c>
      <c r="R1804" s="4">
        <v>75.930000000000007</v>
      </c>
      <c r="S1804">
        <v>0</v>
      </c>
      <c r="T1804">
        <v>1</v>
      </c>
    </row>
    <row r="1805" spans="1:20" ht="16.5" x14ac:dyDescent="0.3">
      <c r="A1805" t="s">
        <v>1855</v>
      </c>
      <c r="B1805" s="1">
        <v>45563</v>
      </c>
      <c r="C1805">
        <v>2024</v>
      </c>
      <c r="D1805" t="s">
        <v>1261</v>
      </c>
      <c r="E1805" t="s">
        <v>1651</v>
      </c>
      <c r="F1805" t="s">
        <v>30</v>
      </c>
      <c r="G1805" t="s">
        <v>39</v>
      </c>
      <c r="H1805" t="s">
        <v>25</v>
      </c>
      <c r="I1805" t="s">
        <v>26</v>
      </c>
      <c r="J1805" t="s">
        <v>27</v>
      </c>
      <c r="K1805" t="s">
        <v>32</v>
      </c>
      <c r="L1805" s="2">
        <v>9.1999999999999993</v>
      </c>
      <c r="M1805" s="3">
        <v>884</v>
      </c>
      <c r="N1805">
        <v>4</v>
      </c>
      <c r="O1805">
        <v>4</v>
      </c>
      <c r="P1805">
        <v>1</v>
      </c>
      <c r="Q1805">
        <v>0</v>
      </c>
      <c r="R1805" s="4">
        <v>26.77</v>
      </c>
      <c r="S1805">
        <v>0</v>
      </c>
      <c r="T1805">
        <v>1</v>
      </c>
    </row>
    <row r="1806" spans="1:20" ht="16.5" x14ac:dyDescent="0.3">
      <c r="A1806" t="s">
        <v>1856</v>
      </c>
      <c r="B1806" s="1">
        <v>45563</v>
      </c>
      <c r="C1806">
        <v>2024</v>
      </c>
      <c r="D1806" t="s">
        <v>1261</v>
      </c>
      <c r="E1806" t="s">
        <v>1651</v>
      </c>
      <c r="F1806" t="s">
        <v>30</v>
      </c>
      <c r="G1806" t="s">
        <v>39</v>
      </c>
      <c r="H1806" t="s">
        <v>36</v>
      </c>
      <c r="I1806" t="s">
        <v>40</v>
      </c>
      <c r="J1806" t="s">
        <v>27</v>
      </c>
      <c r="K1806" t="s">
        <v>32</v>
      </c>
      <c r="L1806" s="2">
        <v>3.1</v>
      </c>
      <c r="M1806" s="3">
        <v>260</v>
      </c>
      <c r="N1806">
        <v>1</v>
      </c>
      <c r="O1806">
        <v>5</v>
      </c>
      <c r="P1806">
        <v>0</v>
      </c>
      <c r="Q1806">
        <v>4</v>
      </c>
      <c r="R1806" s="4">
        <v>22.9</v>
      </c>
      <c r="S1806">
        <v>0</v>
      </c>
      <c r="T1806">
        <v>1</v>
      </c>
    </row>
    <row r="1807" spans="1:20" ht="16.5" x14ac:dyDescent="0.3">
      <c r="A1807" t="s">
        <v>1857</v>
      </c>
      <c r="B1807" s="1">
        <v>45563</v>
      </c>
      <c r="C1807">
        <v>2024</v>
      </c>
      <c r="D1807" t="s">
        <v>1261</v>
      </c>
      <c r="E1807" t="s">
        <v>1651</v>
      </c>
      <c r="F1807" t="s">
        <v>34</v>
      </c>
      <c r="G1807" t="s">
        <v>39</v>
      </c>
      <c r="H1807" t="s">
        <v>43</v>
      </c>
      <c r="I1807" t="s">
        <v>40</v>
      </c>
      <c r="J1807" t="s">
        <v>41</v>
      </c>
      <c r="K1807" t="s">
        <v>32</v>
      </c>
      <c r="L1807" s="2">
        <v>6.1</v>
      </c>
      <c r="M1807" s="3">
        <v>1229</v>
      </c>
      <c r="N1807">
        <v>3</v>
      </c>
      <c r="O1807">
        <v>3</v>
      </c>
      <c r="P1807">
        <v>1</v>
      </c>
      <c r="Q1807">
        <v>0</v>
      </c>
      <c r="R1807" s="4">
        <v>65.900000000000006</v>
      </c>
      <c r="S1807">
        <v>0</v>
      </c>
      <c r="T1807">
        <v>1</v>
      </c>
    </row>
    <row r="1808" spans="1:20" ht="16.5" x14ac:dyDescent="0.3">
      <c r="A1808" t="s">
        <v>1858</v>
      </c>
      <c r="B1808" s="1">
        <v>45563</v>
      </c>
      <c r="C1808">
        <v>2024</v>
      </c>
      <c r="D1808" t="s">
        <v>1261</v>
      </c>
      <c r="E1808" t="s">
        <v>1651</v>
      </c>
      <c r="F1808" t="s">
        <v>57</v>
      </c>
      <c r="G1808" t="s">
        <v>35</v>
      </c>
      <c r="H1808" t="s">
        <v>36</v>
      </c>
      <c r="I1808" t="s">
        <v>26</v>
      </c>
      <c r="J1808" t="s">
        <v>27</v>
      </c>
      <c r="K1808" t="s">
        <v>32</v>
      </c>
      <c r="L1808" s="2">
        <v>2.2999999999999998</v>
      </c>
      <c r="M1808" s="3">
        <v>234</v>
      </c>
      <c r="N1808">
        <v>3</v>
      </c>
      <c r="O1808">
        <v>3</v>
      </c>
      <c r="P1808">
        <v>1</v>
      </c>
      <c r="Q1808">
        <v>0</v>
      </c>
      <c r="R1808" s="4">
        <v>10.82</v>
      </c>
      <c r="S1808">
        <v>0</v>
      </c>
      <c r="T1808">
        <v>1</v>
      </c>
    </row>
    <row r="1809" spans="1:20" ht="16.5" x14ac:dyDescent="0.3">
      <c r="A1809" t="s">
        <v>1859</v>
      </c>
      <c r="B1809" s="1">
        <v>45563</v>
      </c>
      <c r="C1809">
        <v>2024</v>
      </c>
      <c r="D1809" t="s">
        <v>1261</v>
      </c>
      <c r="E1809" t="s">
        <v>1651</v>
      </c>
      <c r="F1809" t="s">
        <v>30</v>
      </c>
      <c r="G1809" t="s">
        <v>35</v>
      </c>
      <c r="H1809" t="s">
        <v>36</v>
      </c>
      <c r="I1809" t="s">
        <v>40</v>
      </c>
      <c r="J1809" t="s">
        <v>27</v>
      </c>
      <c r="K1809" t="s">
        <v>28</v>
      </c>
      <c r="L1809" s="2">
        <v>181.3</v>
      </c>
      <c r="M1809" s="3">
        <v>252</v>
      </c>
      <c r="N1809">
        <v>1</v>
      </c>
      <c r="O1809">
        <v>1</v>
      </c>
      <c r="P1809">
        <v>1</v>
      </c>
      <c r="Q1809">
        <v>0</v>
      </c>
      <c r="R1809" s="4">
        <v>176.87</v>
      </c>
      <c r="S1809">
        <v>0</v>
      </c>
      <c r="T1809">
        <v>1</v>
      </c>
    </row>
    <row r="1810" spans="1:20" ht="16.5" x14ac:dyDescent="0.3">
      <c r="A1810" t="s">
        <v>1860</v>
      </c>
      <c r="B1810" s="1">
        <v>45564</v>
      </c>
      <c r="C1810">
        <v>2024</v>
      </c>
      <c r="D1810" t="s">
        <v>1261</v>
      </c>
      <c r="E1810" t="s">
        <v>1651</v>
      </c>
      <c r="F1810" t="s">
        <v>57</v>
      </c>
      <c r="G1810" t="s">
        <v>24</v>
      </c>
      <c r="H1810" t="s">
        <v>25</v>
      </c>
      <c r="I1810" t="s">
        <v>40</v>
      </c>
      <c r="J1810" t="s">
        <v>41</v>
      </c>
      <c r="K1810" t="s">
        <v>28</v>
      </c>
      <c r="L1810" s="2">
        <v>18.100000000000001</v>
      </c>
      <c r="M1810" s="3">
        <v>618</v>
      </c>
      <c r="N1810">
        <v>2</v>
      </c>
      <c r="O1810">
        <v>2</v>
      </c>
      <c r="P1810">
        <v>1</v>
      </c>
      <c r="Q1810">
        <v>0</v>
      </c>
      <c r="R1810" s="4">
        <v>72.44</v>
      </c>
      <c r="S1810">
        <v>0</v>
      </c>
      <c r="T1810">
        <v>1</v>
      </c>
    </row>
    <row r="1811" spans="1:20" ht="16.5" x14ac:dyDescent="0.3">
      <c r="A1811" t="s">
        <v>1861</v>
      </c>
      <c r="B1811" s="1">
        <v>45564</v>
      </c>
      <c r="C1811">
        <v>2024</v>
      </c>
      <c r="D1811" t="s">
        <v>1261</v>
      </c>
      <c r="E1811" t="s">
        <v>1651</v>
      </c>
      <c r="F1811" t="s">
        <v>23</v>
      </c>
      <c r="G1811" t="s">
        <v>35</v>
      </c>
      <c r="H1811" t="s">
        <v>25</v>
      </c>
      <c r="I1811" t="s">
        <v>26</v>
      </c>
      <c r="J1811" t="s">
        <v>27</v>
      </c>
      <c r="K1811" t="s">
        <v>32</v>
      </c>
      <c r="L1811" s="2">
        <v>1.7</v>
      </c>
      <c r="M1811" s="3">
        <v>817</v>
      </c>
      <c r="N1811">
        <v>4</v>
      </c>
      <c r="O1811">
        <v>3</v>
      </c>
      <c r="P1811">
        <v>1</v>
      </c>
      <c r="Q1811">
        <v>0</v>
      </c>
      <c r="R1811" s="4">
        <v>15.84</v>
      </c>
      <c r="S1811">
        <v>0</v>
      </c>
      <c r="T1811">
        <v>1</v>
      </c>
    </row>
    <row r="1812" spans="1:20" ht="16.5" x14ac:dyDescent="0.3">
      <c r="A1812" t="s">
        <v>1862</v>
      </c>
      <c r="B1812" s="1">
        <v>45564</v>
      </c>
      <c r="C1812">
        <v>2024</v>
      </c>
      <c r="D1812" t="s">
        <v>1261</v>
      </c>
      <c r="E1812" t="s">
        <v>1651</v>
      </c>
      <c r="F1812" t="s">
        <v>57</v>
      </c>
      <c r="G1812" t="s">
        <v>35</v>
      </c>
      <c r="H1812" t="s">
        <v>36</v>
      </c>
      <c r="I1812" t="s">
        <v>26</v>
      </c>
      <c r="J1812" t="s">
        <v>27</v>
      </c>
      <c r="K1812" t="s">
        <v>32</v>
      </c>
      <c r="L1812" s="2">
        <v>5.3</v>
      </c>
      <c r="M1812" s="3">
        <v>228</v>
      </c>
      <c r="N1812">
        <v>3</v>
      </c>
      <c r="O1812">
        <v>3</v>
      </c>
      <c r="P1812">
        <v>1</v>
      </c>
      <c r="Q1812">
        <v>0</v>
      </c>
      <c r="R1812" s="4">
        <v>14.01</v>
      </c>
      <c r="S1812">
        <v>0</v>
      </c>
      <c r="T1812">
        <v>1</v>
      </c>
    </row>
    <row r="1813" spans="1:20" ht="16.5" x14ac:dyDescent="0.3">
      <c r="A1813" t="s">
        <v>1863</v>
      </c>
      <c r="B1813" s="1">
        <v>45565</v>
      </c>
      <c r="C1813">
        <v>2024</v>
      </c>
      <c r="D1813" t="s">
        <v>1261</v>
      </c>
      <c r="E1813" t="s">
        <v>1651</v>
      </c>
      <c r="F1813" t="s">
        <v>57</v>
      </c>
      <c r="G1813" t="s">
        <v>39</v>
      </c>
      <c r="H1813" t="s">
        <v>43</v>
      </c>
      <c r="I1813" t="s">
        <v>26</v>
      </c>
      <c r="J1813" t="s">
        <v>27</v>
      </c>
      <c r="K1813" t="s">
        <v>32</v>
      </c>
      <c r="L1813" s="2">
        <v>5.2</v>
      </c>
      <c r="M1813" s="3">
        <v>802</v>
      </c>
      <c r="N1813">
        <v>5</v>
      </c>
      <c r="O1813">
        <v>5</v>
      </c>
      <c r="P1813">
        <v>1</v>
      </c>
      <c r="Q1813">
        <v>0</v>
      </c>
      <c r="R1813" s="4">
        <v>19.62</v>
      </c>
      <c r="S1813">
        <v>0</v>
      </c>
      <c r="T1813">
        <v>1</v>
      </c>
    </row>
    <row r="1814" spans="1:20" ht="16.5" x14ac:dyDescent="0.3">
      <c r="A1814" t="s">
        <v>1864</v>
      </c>
      <c r="B1814" s="1">
        <v>45565</v>
      </c>
      <c r="C1814">
        <v>2024</v>
      </c>
      <c r="D1814" t="s">
        <v>1261</v>
      </c>
      <c r="E1814" t="s">
        <v>1651</v>
      </c>
      <c r="F1814" t="s">
        <v>30</v>
      </c>
      <c r="G1814" t="s">
        <v>39</v>
      </c>
      <c r="H1814" t="s">
        <v>25</v>
      </c>
      <c r="I1814" t="s">
        <v>31</v>
      </c>
      <c r="J1814" t="s">
        <v>27</v>
      </c>
      <c r="K1814" t="s">
        <v>28</v>
      </c>
      <c r="L1814" s="2">
        <v>116.2</v>
      </c>
      <c r="M1814" s="3">
        <v>723</v>
      </c>
      <c r="N1814">
        <v>6</v>
      </c>
      <c r="O1814">
        <v>6</v>
      </c>
      <c r="P1814">
        <v>1</v>
      </c>
      <c r="Q1814">
        <v>0</v>
      </c>
      <c r="R1814" s="4">
        <v>52.45</v>
      </c>
      <c r="S1814">
        <v>0</v>
      </c>
      <c r="T1814">
        <v>1</v>
      </c>
    </row>
    <row r="1815" spans="1:20" ht="16.5" x14ac:dyDescent="0.3">
      <c r="A1815" t="s">
        <v>1865</v>
      </c>
      <c r="B1815" s="1">
        <v>45565</v>
      </c>
      <c r="C1815">
        <v>2024</v>
      </c>
      <c r="D1815" t="s">
        <v>1261</v>
      </c>
      <c r="E1815" t="s">
        <v>1651</v>
      </c>
      <c r="F1815" t="s">
        <v>38</v>
      </c>
      <c r="G1815" t="s">
        <v>39</v>
      </c>
      <c r="H1815" t="s">
        <v>36</v>
      </c>
      <c r="I1815" t="s">
        <v>26</v>
      </c>
      <c r="J1815" t="s">
        <v>27</v>
      </c>
      <c r="K1815" t="s">
        <v>32</v>
      </c>
      <c r="L1815" s="2">
        <v>6.5</v>
      </c>
      <c r="M1815" s="3">
        <v>252</v>
      </c>
      <c r="N1815">
        <v>3</v>
      </c>
      <c r="O1815">
        <v>3</v>
      </c>
      <c r="P1815">
        <v>1</v>
      </c>
      <c r="Q1815">
        <v>0</v>
      </c>
      <c r="R1815" s="4">
        <v>15.16</v>
      </c>
      <c r="S1815">
        <v>0</v>
      </c>
      <c r="T1815">
        <v>1</v>
      </c>
    </row>
    <row r="1816" spans="1:20" ht="16.5" x14ac:dyDescent="0.3">
      <c r="A1816" t="s">
        <v>1866</v>
      </c>
      <c r="B1816" s="1">
        <v>45565</v>
      </c>
      <c r="C1816">
        <v>2024</v>
      </c>
      <c r="D1816" t="s">
        <v>1261</v>
      </c>
      <c r="E1816" t="s">
        <v>1651</v>
      </c>
      <c r="F1816" t="s">
        <v>23</v>
      </c>
      <c r="G1816" t="s">
        <v>39</v>
      </c>
      <c r="H1816" t="s">
        <v>51</v>
      </c>
      <c r="I1816" t="s">
        <v>31</v>
      </c>
      <c r="J1816" t="s">
        <v>27</v>
      </c>
      <c r="K1816" t="s">
        <v>28</v>
      </c>
      <c r="L1816" s="2">
        <v>127.2</v>
      </c>
      <c r="M1816" s="3">
        <v>1159</v>
      </c>
      <c r="N1816">
        <v>7</v>
      </c>
      <c r="O1816">
        <v>6</v>
      </c>
      <c r="P1816">
        <v>1</v>
      </c>
      <c r="Q1816">
        <v>0</v>
      </c>
      <c r="R1816" s="4">
        <v>53.25</v>
      </c>
      <c r="S1816">
        <v>0</v>
      </c>
      <c r="T1816">
        <v>1</v>
      </c>
    </row>
    <row r="1817" spans="1:20" ht="16.5" x14ac:dyDescent="0.3">
      <c r="A1817" t="s">
        <v>1867</v>
      </c>
      <c r="B1817" s="1">
        <v>45565</v>
      </c>
      <c r="C1817">
        <v>2024</v>
      </c>
      <c r="D1817" t="s">
        <v>1261</v>
      </c>
      <c r="E1817" t="s">
        <v>1651</v>
      </c>
      <c r="F1817" t="s">
        <v>34</v>
      </c>
      <c r="G1817" t="s">
        <v>39</v>
      </c>
      <c r="H1817" t="s">
        <v>25</v>
      </c>
      <c r="I1817" t="s">
        <v>31</v>
      </c>
      <c r="J1817" t="s">
        <v>27</v>
      </c>
      <c r="K1817" t="s">
        <v>32</v>
      </c>
      <c r="L1817" s="2">
        <v>8.6999999999999993</v>
      </c>
      <c r="M1817" s="3">
        <v>934</v>
      </c>
      <c r="N1817">
        <v>6</v>
      </c>
      <c r="O1817">
        <v>5</v>
      </c>
      <c r="P1817">
        <v>1</v>
      </c>
      <c r="Q1817">
        <v>0</v>
      </c>
      <c r="R1817" s="4">
        <v>13.38</v>
      </c>
      <c r="S1817">
        <v>0</v>
      </c>
      <c r="T1817">
        <v>1</v>
      </c>
    </row>
    <row r="1818" spans="1:20" ht="16.5" x14ac:dyDescent="0.3">
      <c r="A1818" t="s">
        <v>1868</v>
      </c>
      <c r="B1818" s="1">
        <v>45565</v>
      </c>
      <c r="C1818">
        <v>2024</v>
      </c>
      <c r="D1818" t="s">
        <v>1261</v>
      </c>
      <c r="E1818" t="s">
        <v>1651</v>
      </c>
      <c r="F1818" t="s">
        <v>38</v>
      </c>
      <c r="G1818" t="s">
        <v>35</v>
      </c>
      <c r="H1818" t="s">
        <v>25</v>
      </c>
      <c r="I1818" t="s">
        <v>26</v>
      </c>
      <c r="J1818" t="s">
        <v>27</v>
      </c>
      <c r="K1818" t="s">
        <v>32</v>
      </c>
      <c r="L1818" s="2">
        <v>4.8</v>
      </c>
      <c r="M1818" s="3">
        <v>948</v>
      </c>
      <c r="N1818">
        <v>4</v>
      </c>
      <c r="O1818">
        <v>4</v>
      </c>
      <c r="P1818">
        <v>1</v>
      </c>
      <c r="Q1818">
        <v>0</v>
      </c>
      <c r="R1818" s="4">
        <v>23.34</v>
      </c>
      <c r="S1818">
        <v>0</v>
      </c>
      <c r="T1818">
        <v>1</v>
      </c>
    </row>
    <row r="1819" spans="1:20" ht="16.5" x14ac:dyDescent="0.3">
      <c r="A1819" t="s">
        <v>1869</v>
      </c>
      <c r="B1819" s="1">
        <v>45565</v>
      </c>
      <c r="C1819">
        <v>2024</v>
      </c>
      <c r="D1819" t="s">
        <v>1261</v>
      </c>
      <c r="E1819" t="s">
        <v>1651</v>
      </c>
      <c r="F1819" t="s">
        <v>38</v>
      </c>
      <c r="G1819" t="s">
        <v>39</v>
      </c>
      <c r="H1819" t="s">
        <v>36</v>
      </c>
      <c r="I1819" t="s">
        <v>31</v>
      </c>
      <c r="J1819" t="s">
        <v>27</v>
      </c>
      <c r="K1819" t="s">
        <v>32</v>
      </c>
      <c r="L1819" s="2">
        <v>3.4</v>
      </c>
      <c r="M1819" s="3">
        <v>268</v>
      </c>
      <c r="N1819">
        <v>5</v>
      </c>
      <c r="O1819">
        <v>5</v>
      </c>
      <c r="P1819">
        <v>1</v>
      </c>
      <c r="Q1819">
        <v>0</v>
      </c>
      <c r="R1819" s="4">
        <v>8.61</v>
      </c>
      <c r="S1819">
        <v>0</v>
      </c>
      <c r="T1819">
        <v>1</v>
      </c>
    </row>
    <row r="1820" spans="1:20" ht="16.5" x14ac:dyDescent="0.3">
      <c r="A1820" t="s">
        <v>1870</v>
      </c>
      <c r="B1820" s="1">
        <v>45565</v>
      </c>
      <c r="C1820">
        <v>2024</v>
      </c>
      <c r="D1820" t="s">
        <v>1261</v>
      </c>
      <c r="E1820" t="s">
        <v>1651</v>
      </c>
      <c r="F1820" t="s">
        <v>34</v>
      </c>
      <c r="G1820" t="s">
        <v>24</v>
      </c>
      <c r="H1820" t="s">
        <v>43</v>
      </c>
      <c r="I1820" t="s">
        <v>26</v>
      </c>
      <c r="J1820" t="s">
        <v>27</v>
      </c>
      <c r="K1820" t="s">
        <v>32</v>
      </c>
      <c r="L1820" s="2">
        <v>2</v>
      </c>
      <c r="M1820" s="3">
        <v>1009</v>
      </c>
      <c r="N1820">
        <v>5</v>
      </c>
      <c r="O1820">
        <v>5</v>
      </c>
      <c r="P1820">
        <v>1</v>
      </c>
      <c r="Q1820">
        <v>0</v>
      </c>
      <c r="R1820" s="4">
        <v>17.98</v>
      </c>
      <c r="S1820">
        <v>0</v>
      </c>
      <c r="T1820">
        <v>1</v>
      </c>
    </row>
    <row r="1821" spans="1:20" ht="16.5" x14ac:dyDescent="0.3">
      <c r="A1821" t="s">
        <v>1871</v>
      </c>
      <c r="B1821" s="1">
        <v>45565</v>
      </c>
      <c r="C1821">
        <v>2024</v>
      </c>
      <c r="D1821" t="s">
        <v>1261</v>
      </c>
      <c r="E1821" t="s">
        <v>1651</v>
      </c>
      <c r="F1821" t="s">
        <v>34</v>
      </c>
      <c r="G1821" t="s">
        <v>35</v>
      </c>
      <c r="H1821" t="s">
        <v>48</v>
      </c>
      <c r="I1821" t="s">
        <v>26</v>
      </c>
      <c r="J1821" t="s">
        <v>27</v>
      </c>
      <c r="K1821" t="s">
        <v>32</v>
      </c>
      <c r="L1821" s="2">
        <v>16.2</v>
      </c>
      <c r="M1821" s="3">
        <v>551</v>
      </c>
      <c r="N1821">
        <v>4</v>
      </c>
      <c r="O1821">
        <v>4</v>
      </c>
      <c r="P1821">
        <v>1</v>
      </c>
      <c r="Q1821">
        <v>0</v>
      </c>
      <c r="R1821" s="4">
        <v>19.899999999999999</v>
      </c>
      <c r="S1821">
        <v>0</v>
      </c>
      <c r="T1821">
        <v>1</v>
      </c>
    </row>
    <row r="1822" spans="1:20" ht="16.5" x14ac:dyDescent="0.3">
      <c r="A1822" t="s">
        <v>1872</v>
      </c>
      <c r="B1822" s="1">
        <v>45566</v>
      </c>
      <c r="C1822">
        <v>2024</v>
      </c>
      <c r="D1822" t="s">
        <v>1873</v>
      </c>
      <c r="E1822" t="s">
        <v>1874</v>
      </c>
      <c r="F1822" t="s">
        <v>57</v>
      </c>
      <c r="G1822" t="s">
        <v>35</v>
      </c>
      <c r="H1822" t="s">
        <v>43</v>
      </c>
      <c r="I1822" t="s">
        <v>26</v>
      </c>
      <c r="J1822" t="s">
        <v>27</v>
      </c>
      <c r="K1822" t="s">
        <v>32</v>
      </c>
      <c r="L1822" s="2">
        <v>6.7</v>
      </c>
      <c r="M1822" s="3">
        <v>1269</v>
      </c>
      <c r="N1822">
        <v>5</v>
      </c>
      <c r="O1822">
        <v>5</v>
      </c>
      <c r="P1822">
        <v>1</v>
      </c>
      <c r="Q1822">
        <v>0</v>
      </c>
      <c r="R1822" s="4">
        <v>25.55</v>
      </c>
      <c r="S1822">
        <v>0</v>
      </c>
      <c r="T1822">
        <v>1</v>
      </c>
    </row>
    <row r="1823" spans="1:20" ht="16.5" x14ac:dyDescent="0.3">
      <c r="A1823" t="s">
        <v>1875</v>
      </c>
      <c r="B1823" s="1">
        <v>45566</v>
      </c>
      <c r="C1823">
        <v>2024</v>
      </c>
      <c r="D1823" t="s">
        <v>1873</v>
      </c>
      <c r="E1823" t="s">
        <v>1874</v>
      </c>
      <c r="F1823" t="s">
        <v>30</v>
      </c>
      <c r="G1823" t="s">
        <v>39</v>
      </c>
      <c r="H1823" t="s">
        <v>43</v>
      </c>
      <c r="I1823" t="s">
        <v>31</v>
      </c>
      <c r="J1823" t="s">
        <v>27</v>
      </c>
      <c r="K1823" t="s">
        <v>32</v>
      </c>
      <c r="L1823" s="2">
        <v>23.4</v>
      </c>
      <c r="M1823" s="3">
        <v>1509</v>
      </c>
      <c r="N1823">
        <v>7</v>
      </c>
      <c r="O1823">
        <v>6</v>
      </c>
      <c r="P1823">
        <v>1</v>
      </c>
      <c r="Q1823">
        <v>0</v>
      </c>
      <c r="R1823" s="4">
        <v>30.57</v>
      </c>
      <c r="S1823">
        <v>0</v>
      </c>
      <c r="T1823">
        <v>1</v>
      </c>
    </row>
    <row r="1824" spans="1:20" ht="16.5" x14ac:dyDescent="0.3">
      <c r="A1824" t="s">
        <v>1876</v>
      </c>
      <c r="B1824" s="1">
        <v>45566</v>
      </c>
      <c r="C1824">
        <v>2024</v>
      </c>
      <c r="D1824" t="s">
        <v>1873</v>
      </c>
      <c r="E1824" t="s">
        <v>1874</v>
      </c>
      <c r="F1824" t="s">
        <v>57</v>
      </c>
      <c r="G1824" t="s">
        <v>39</v>
      </c>
      <c r="H1824" t="s">
        <v>36</v>
      </c>
      <c r="I1824" t="s">
        <v>26</v>
      </c>
      <c r="J1824" t="s">
        <v>27</v>
      </c>
      <c r="K1824" t="s">
        <v>32</v>
      </c>
      <c r="L1824" s="2">
        <v>6.9</v>
      </c>
      <c r="M1824" s="3">
        <v>266</v>
      </c>
      <c r="N1824">
        <v>3</v>
      </c>
      <c r="O1824">
        <v>3</v>
      </c>
      <c r="P1824">
        <v>1</v>
      </c>
      <c r="Q1824">
        <v>0</v>
      </c>
      <c r="R1824" s="4">
        <v>13.8</v>
      </c>
      <c r="S1824">
        <v>0</v>
      </c>
      <c r="T1824">
        <v>1</v>
      </c>
    </row>
    <row r="1825" spans="1:20" ht="16.5" x14ac:dyDescent="0.3">
      <c r="A1825" t="s">
        <v>1877</v>
      </c>
      <c r="B1825" s="1">
        <v>45566</v>
      </c>
      <c r="C1825">
        <v>2024</v>
      </c>
      <c r="D1825" t="s">
        <v>1873</v>
      </c>
      <c r="E1825" t="s">
        <v>1874</v>
      </c>
      <c r="F1825" t="s">
        <v>30</v>
      </c>
      <c r="G1825" t="s">
        <v>24</v>
      </c>
      <c r="H1825" t="s">
        <v>25</v>
      </c>
      <c r="I1825" t="s">
        <v>31</v>
      </c>
      <c r="J1825" t="s">
        <v>27</v>
      </c>
      <c r="K1825" t="s">
        <v>28</v>
      </c>
      <c r="L1825" s="2">
        <v>121</v>
      </c>
      <c r="M1825" s="3">
        <v>915</v>
      </c>
      <c r="N1825">
        <v>6</v>
      </c>
      <c r="O1825">
        <v>5</v>
      </c>
      <c r="P1825">
        <v>1</v>
      </c>
      <c r="Q1825">
        <v>0</v>
      </c>
      <c r="R1825" s="4">
        <v>50.5</v>
      </c>
      <c r="S1825">
        <v>0</v>
      </c>
      <c r="T1825">
        <v>1</v>
      </c>
    </row>
    <row r="1826" spans="1:20" ht="16.5" x14ac:dyDescent="0.3">
      <c r="A1826" t="s">
        <v>1878</v>
      </c>
      <c r="B1826" s="1">
        <v>45566</v>
      </c>
      <c r="C1826">
        <v>2024</v>
      </c>
      <c r="D1826" t="s">
        <v>1873</v>
      </c>
      <c r="E1826" t="s">
        <v>1874</v>
      </c>
      <c r="F1826" t="s">
        <v>34</v>
      </c>
      <c r="G1826" t="s">
        <v>39</v>
      </c>
      <c r="H1826" t="s">
        <v>25</v>
      </c>
      <c r="I1826" t="s">
        <v>40</v>
      </c>
      <c r="J1826" t="s">
        <v>41</v>
      </c>
      <c r="K1826" t="s">
        <v>28</v>
      </c>
      <c r="L1826" s="2">
        <v>158</v>
      </c>
      <c r="M1826" s="3">
        <v>873</v>
      </c>
      <c r="N1826">
        <v>2</v>
      </c>
      <c r="O1826">
        <v>4</v>
      </c>
      <c r="P1826">
        <v>0</v>
      </c>
      <c r="Q1826">
        <v>2</v>
      </c>
      <c r="R1826" s="4">
        <v>218.96</v>
      </c>
      <c r="S1826">
        <v>0</v>
      </c>
      <c r="T1826">
        <v>1</v>
      </c>
    </row>
    <row r="1827" spans="1:20" ht="16.5" x14ac:dyDescent="0.3">
      <c r="A1827" t="s">
        <v>1879</v>
      </c>
      <c r="B1827" s="1">
        <v>45566</v>
      </c>
      <c r="C1827">
        <v>2024</v>
      </c>
      <c r="D1827" t="s">
        <v>1873</v>
      </c>
      <c r="E1827" t="s">
        <v>1874</v>
      </c>
      <c r="F1827" t="s">
        <v>30</v>
      </c>
      <c r="G1827" t="s">
        <v>35</v>
      </c>
      <c r="H1827" t="s">
        <v>36</v>
      </c>
      <c r="I1827" t="s">
        <v>26</v>
      </c>
      <c r="J1827" t="s">
        <v>27</v>
      </c>
      <c r="K1827" t="s">
        <v>28</v>
      </c>
      <c r="L1827" s="2">
        <v>34.6</v>
      </c>
      <c r="M1827" s="3">
        <v>268</v>
      </c>
      <c r="N1827">
        <v>3</v>
      </c>
      <c r="O1827">
        <v>7</v>
      </c>
      <c r="P1827">
        <v>0</v>
      </c>
      <c r="Q1827">
        <v>4</v>
      </c>
      <c r="R1827" s="4">
        <v>25.92</v>
      </c>
      <c r="S1827">
        <v>0</v>
      </c>
      <c r="T1827">
        <v>1</v>
      </c>
    </row>
    <row r="1828" spans="1:20" ht="16.5" x14ac:dyDescent="0.3">
      <c r="A1828" t="s">
        <v>1880</v>
      </c>
      <c r="B1828" s="1">
        <v>45566</v>
      </c>
      <c r="C1828">
        <v>2024</v>
      </c>
      <c r="D1828" t="s">
        <v>1873</v>
      </c>
      <c r="E1828" t="s">
        <v>1874</v>
      </c>
      <c r="F1828" t="s">
        <v>23</v>
      </c>
      <c r="G1828" t="s">
        <v>39</v>
      </c>
      <c r="H1828" t="s">
        <v>43</v>
      </c>
      <c r="I1828" t="s">
        <v>31</v>
      </c>
      <c r="J1828" t="s">
        <v>27</v>
      </c>
      <c r="K1828" t="s">
        <v>28</v>
      </c>
      <c r="L1828" s="2">
        <v>93.1</v>
      </c>
      <c r="M1828" s="3">
        <v>1307</v>
      </c>
      <c r="N1828">
        <v>7</v>
      </c>
      <c r="O1828">
        <v>7</v>
      </c>
      <c r="P1828">
        <v>1</v>
      </c>
      <c r="Q1828">
        <v>0</v>
      </c>
      <c r="R1828" s="4">
        <v>48.34</v>
      </c>
      <c r="S1828">
        <v>0</v>
      </c>
      <c r="T1828">
        <v>1</v>
      </c>
    </row>
    <row r="1829" spans="1:20" ht="16.5" x14ac:dyDescent="0.3">
      <c r="A1829" t="s">
        <v>1881</v>
      </c>
      <c r="B1829" s="1">
        <v>45566</v>
      </c>
      <c r="C1829">
        <v>2024</v>
      </c>
      <c r="D1829" t="s">
        <v>1873</v>
      </c>
      <c r="E1829" t="s">
        <v>1874</v>
      </c>
      <c r="F1829" t="s">
        <v>34</v>
      </c>
      <c r="G1829" t="s">
        <v>24</v>
      </c>
      <c r="H1829" t="s">
        <v>25</v>
      </c>
      <c r="I1829" t="s">
        <v>26</v>
      </c>
      <c r="J1829" t="s">
        <v>27</v>
      </c>
      <c r="K1829" t="s">
        <v>32</v>
      </c>
      <c r="L1829" s="2">
        <v>2</v>
      </c>
      <c r="M1829" s="3">
        <v>775</v>
      </c>
      <c r="N1829">
        <v>4</v>
      </c>
      <c r="O1829">
        <v>4</v>
      </c>
      <c r="P1829">
        <v>1</v>
      </c>
      <c r="Q1829">
        <v>0</v>
      </c>
      <c r="R1829" s="4">
        <v>13.46</v>
      </c>
      <c r="S1829">
        <v>0</v>
      </c>
      <c r="T1829">
        <v>1</v>
      </c>
    </row>
    <row r="1830" spans="1:20" ht="16.5" x14ac:dyDescent="0.3">
      <c r="A1830" t="s">
        <v>1882</v>
      </c>
      <c r="B1830" s="1">
        <v>45567</v>
      </c>
      <c r="C1830">
        <v>2024</v>
      </c>
      <c r="D1830" t="s">
        <v>1873</v>
      </c>
      <c r="E1830" t="s">
        <v>1874</v>
      </c>
      <c r="F1830" t="s">
        <v>57</v>
      </c>
      <c r="G1830" t="s">
        <v>39</v>
      </c>
      <c r="H1830" t="s">
        <v>48</v>
      </c>
      <c r="I1830" t="s">
        <v>26</v>
      </c>
      <c r="J1830" t="s">
        <v>27</v>
      </c>
      <c r="K1830" t="s">
        <v>28</v>
      </c>
      <c r="L1830" s="2">
        <v>30.3</v>
      </c>
      <c r="M1830" s="3">
        <v>390</v>
      </c>
      <c r="N1830">
        <v>4</v>
      </c>
      <c r="O1830">
        <v>3</v>
      </c>
      <c r="P1830">
        <v>1</v>
      </c>
      <c r="Q1830">
        <v>0</v>
      </c>
      <c r="R1830" s="4">
        <v>25.94</v>
      </c>
      <c r="S1830">
        <v>0</v>
      </c>
      <c r="T1830">
        <v>1</v>
      </c>
    </row>
    <row r="1831" spans="1:20" ht="16.5" x14ac:dyDescent="0.3">
      <c r="A1831" t="s">
        <v>1883</v>
      </c>
      <c r="B1831" s="1">
        <v>45567</v>
      </c>
      <c r="C1831">
        <v>2024</v>
      </c>
      <c r="D1831" t="s">
        <v>1873</v>
      </c>
      <c r="E1831" t="s">
        <v>1874</v>
      </c>
      <c r="F1831" t="s">
        <v>34</v>
      </c>
      <c r="G1831" t="s">
        <v>35</v>
      </c>
      <c r="H1831" t="s">
        <v>48</v>
      </c>
      <c r="I1831" t="s">
        <v>26</v>
      </c>
      <c r="J1831" t="s">
        <v>27</v>
      </c>
      <c r="K1831" t="s">
        <v>32</v>
      </c>
      <c r="L1831" s="2">
        <v>10</v>
      </c>
      <c r="M1831" s="3">
        <v>407</v>
      </c>
      <c r="N1831">
        <v>4</v>
      </c>
      <c r="O1831">
        <v>4</v>
      </c>
      <c r="P1831">
        <v>1</v>
      </c>
      <c r="Q1831">
        <v>0</v>
      </c>
      <c r="R1831" s="4">
        <v>17.73</v>
      </c>
      <c r="S1831">
        <v>0</v>
      </c>
      <c r="T1831">
        <v>1</v>
      </c>
    </row>
    <row r="1832" spans="1:20" ht="16.5" x14ac:dyDescent="0.3">
      <c r="A1832" t="s">
        <v>1884</v>
      </c>
      <c r="B1832" s="1">
        <v>45567</v>
      </c>
      <c r="C1832">
        <v>2024</v>
      </c>
      <c r="D1832" t="s">
        <v>1873</v>
      </c>
      <c r="E1832" t="s">
        <v>1874</v>
      </c>
      <c r="F1832" t="s">
        <v>30</v>
      </c>
      <c r="G1832" t="s">
        <v>24</v>
      </c>
      <c r="H1832" t="s">
        <v>51</v>
      </c>
      <c r="I1832" t="s">
        <v>26</v>
      </c>
      <c r="J1832" t="s">
        <v>27</v>
      </c>
      <c r="K1832" t="s">
        <v>28</v>
      </c>
      <c r="L1832" s="2">
        <v>65</v>
      </c>
      <c r="M1832" s="3">
        <v>1043</v>
      </c>
      <c r="N1832">
        <v>5</v>
      </c>
      <c r="O1832">
        <v>5</v>
      </c>
      <c r="P1832">
        <v>1</v>
      </c>
      <c r="Q1832">
        <v>0</v>
      </c>
      <c r="R1832" s="4">
        <v>47.7</v>
      </c>
      <c r="S1832">
        <v>0</v>
      </c>
      <c r="T1832">
        <v>1</v>
      </c>
    </row>
    <row r="1833" spans="1:20" ht="16.5" x14ac:dyDescent="0.3">
      <c r="A1833" t="s">
        <v>1885</v>
      </c>
      <c r="B1833" s="1">
        <v>45567</v>
      </c>
      <c r="C1833">
        <v>2024</v>
      </c>
      <c r="D1833" t="s">
        <v>1873</v>
      </c>
      <c r="E1833" t="s">
        <v>1874</v>
      </c>
      <c r="F1833" t="s">
        <v>34</v>
      </c>
      <c r="G1833" t="s">
        <v>35</v>
      </c>
      <c r="H1833" t="s">
        <v>36</v>
      </c>
      <c r="I1833" t="s">
        <v>31</v>
      </c>
      <c r="J1833" t="s">
        <v>27</v>
      </c>
      <c r="K1833" t="s">
        <v>32</v>
      </c>
      <c r="L1833" s="2">
        <v>8.8000000000000007</v>
      </c>
      <c r="M1833" s="3">
        <v>274</v>
      </c>
      <c r="N1833">
        <v>5</v>
      </c>
      <c r="O1833">
        <v>4</v>
      </c>
      <c r="P1833">
        <v>1</v>
      </c>
      <c r="Q1833">
        <v>0</v>
      </c>
      <c r="R1833" s="4">
        <v>9.2100000000000009</v>
      </c>
      <c r="S1833">
        <v>0</v>
      </c>
      <c r="T1833">
        <v>1</v>
      </c>
    </row>
    <row r="1834" spans="1:20" ht="16.5" x14ac:dyDescent="0.3">
      <c r="A1834" t="s">
        <v>1886</v>
      </c>
      <c r="B1834" s="1">
        <v>45567</v>
      </c>
      <c r="C1834">
        <v>2024</v>
      </c>
      <c r="D1834" t="s">
        <v>1873</v>
      </c>
      <c r="E1834" t="s">
        <v>1874</v>
      </c>
      <c r="F1834" t="s">
        <v>34</v>
      </c>
      <c r="G1834" t="s">
        <v>35</v>
      </c>
      <c r="H1834" t="s">
        <v>36</v>
      </c>
      <c r="I1834" t="s">
        <v>31</v>
      </c>
      <c r="J1834" t="s">
        <v>27</v>
      </c>
      <c r="K1834" t="s">
        <v>28</v>
      </c>
      <c r="L1834" s="2">
        <v>37.299999999999997</v>
      </c>
      <c r="M1834" s="3">
        <v>219</v>
      </c>
      <c r="N1834">
        <v>5</v>
      </c>
      <c r="O1834">
        <v>5</v>
      </c>
      <c r="P1834">
        <v>1</v>
      </c>
      <c r="Q1834">
        <v>0</v>
      </c>
      <c r="R1834" s="4">
        <v>18.48</v>
      </c>
      <c r="S1834">
        <v>0</v>
      </c>
      <c r="T1834">
        <v>1</v>
      </c>
    </row>
    <row r="1835" spans="1:20" ht="16.5" x14ac:dyDescent="0.3">
      <c r="A1835" t="s">
        <v>1887</v>
      </c>
      <c r="B1835" s="1">
        <v>45567</v>
      </c>
      <c r="C1835">
        <v>2024</v>
      </c>
      <c r="D1835" t="s">
        <v>1873</v>
      </c>
      <c r="E1835" t="s">
        <v>1874</v>
      </c>
      <c r="F1835" t="s">
        <v>23</v>
      </c>
      <c r="G1835" t="s">
        <v>35</v>
      </c>
      <c r="H1835" t="s">
        <v>36</v>
      </c>
      <c r="I1835" t="s">
        <v>40</v>
      </c>
      <c r="J1835" t="s">
        <v>27</v>
      </c>
      <c r="K1835" t="s">
        <v>28</v>
      </c>
      <c r="L1835" s="2">
        <v>24.7</v>
      </c>
      <c r="M1835" s="3">
        <v>285</v>
      </c>
      <c r="N1835">
        <v>1</v>
      </c>
      <c r="O1835">
        <v>1</v>
      </c>
      <c r="P1835">
        <v>1</v>
      </c>
      <c r="Q1835">
        <v>0</v>
      </c>
      <c r="R1835" s="4">
        <v>41.92</v>
      </c>
      <c r="S1835">
        <v>0</v>
      </c>
      <c r="T1835">
        <v>1</v>
      </c>
    </row>
    <row r="1836" spans="1:20" ht="16.5" x14ac:dyDescent="0.3">
      <c r="A1836" t="s">
        <v>1888</v>
      </c>
      <c r="B1836" s="1">
        <v>45567</v>
      </c>
      <c r="C1836">
        <v>2024</v>
      </c>
      <c r="D1836" t="s">
        <v>1873</v>
      </c>
      <c r="E1836" t="s">
        <v>1874</v>
      </c>
      <c r="F1836" t="s">
        <v>30</v>
      </c>
      <c r="G1836" t="s">
        <v>35</v>
      </c>
      <c r="H1836" t="s">
        <v>48</v>
      </c>
      <c r="I1836" t="s">
        <v>26</v>
      </c>
      <c r="J1836" t="s">
        <v>27</v>
      </c>
      <c r="K1836" t="s">
        <v>32</v>
      </c>
      <c r="L1836" s="2">
        <v>1.5</v>
      </c>
      <c r="M1836" s="3">
        <v>557</v>
      </c>
      <c r="N1836">
        <v>4</v>
      </c>
      <c r="O1836">
        <v>5</v>
      </c>
      <c r="P1836">
        <v>0</v>
      </c>
      <c r="Q1836">
        <v>1</v>
      </c>
      <c r="R1836" s="4">
        <v>13.54</v>
      </c>
      <c r="S1836">
        <v>0</v>
      </c>
      <c r="T1836">
        <v>1</v>
      </c>
    </row>
    <row r="1837" spans="1:20" ht="16.5" x14ac:dyDescent="0.3">
      <c r="A1837" t="s">
        <v>1889</v>
      </c>
      <c r="B1837" s="1">
        <v>45567</v>
      </c>
      <c r="C1837">
        <v>2024</v>
      </c>
      <c r="D1837" t="s">
        <v>1873</v>
      </c>
      <c r="E1837" t="s">
        <v>1874</v>
      </c>
      <c r="F1837" t="s">
        <v>30</v>
      </c>
      <c r="G1837" t="s">
        <v>35</v>
      </c>
      <c r="H1837" t="s">
        <v>36</v>
      </c>
      <c r="I1837" t="s">
        <v>26</v>
      </c>
      <c r="J1837" t="s">
        <v>27</v>
      </c>
      <c r="K1837" t="s">
        <v>32</v>
      </c>
      <c r="L1837" s="2">
        <v>4.5999999999999996</v>
      </c>
      <c r="M1837" s="3">
        <v>270</v>
      </c>
      <c r="N1837">
        <v>3</v>
      </c>
      <c r="O1837">
        <v>3</v>
      </c>
      <c r="P1837">
        <v>1</v>
      </c>
      <c r="Q1837">
        <v>0</v>
      </c>
      <c r="R1837" s="4">
        <v>12.31</v>
      </c>
      <c r="S1837">
        <v>0</v>
      </c>
      <c r="T1837">
        <v>1</v>
      </c>
    </row>
    <row r="1838" spans="1:20" ht="16.5" x14ac:dyDescent="0.3">
      <c r="A1838" t="s">
        <v>1890</v>
      </c>
      <c r="B1838" s="1">
        <v>45567</v>
      </c>
      <c r="C1838">
        <v>2024</v>
      </c>
      <c r="D1838" t="s">
        <v>1873</v>
      </c>
      <c r="E1838" t="s">
        <v>1874</v>
      </c>
      <c r="F1838" t="s">
        <v>38</v>
      </c>
      <c r="G1838" t="s">
        <v>39</v>
      </c>
      <c r="H1838" t="s">
        <v>48</v>
      </c>
      <c r="I1838" t="s">
        <v>31</v>
      </c>
      <c r="J1838" t="s">
        <v>27</v>
      </c>
      <c r="K1838" t="s">
        <v>28</v>
      </c>
      <c r="L1838" s="2">
        <v>134.4</v>
      </c>
      <c r="M1838" s="3">
        <v>455</v>
      </c>
      <c r="N1838">
        <v>6</v>
      </c>
      <c r="O1838">
        <v>6</v>
      </c>
      <c r="P1838">
        <v>1</v>
      </c>
      <c r="Q1838">
        <v>0</v>
      </c>
      <c r="R1838" s="4">
        <v>56.39</v>
      </c>
      <c r="S1838">
        <v>0</v>
      </c>
      <c r="T1838">
        <v>1</v>
      </c>
    </row>
    <row r="1839" spans="1:20" ht="16.5" x14ac:dyDescent="0.3">
      <c r="A1839" t="s">
        <v>1891</v>
      </c>
      <c r="B1839" s="1">
        <v>45567</v>
      </c>
      <c r="C1839">
        <v>2024</v>
      </c>
      <c r="D1839" t="s">
        <v>1873</v>
      </c>
      <c r="E1839" t="s">
        <v>1874</v>
      </c>
      <c r="F1839" t="s">
        <v>57</v>
      </c>
      <c r="G1839" t="s">
        <v>39</v>
      </c>
      <c r="H1839" t="s">
        <v>25</v>
      </c>
      <c r="I1839" t="s">
        <v>26</v>
      </c>
      <c r="J1839" t="s">
        <v>27</v>
      </c>
      <c r="K1839" t="s">
        <v>28</v>
      </c>
      <c r="L1839" s="2">
        <v>83.3</v>
      </c>
      <c r="M1839" s="3">
        <v>959</v>
      </c>
      <c r="N1839">
        <v>4</v>
      </c>
      <c r="O1839">
        <v>3</v>
      </c>
      <c r="P1839">
        <v>1</v>
      </c>
      <c r="Q1839">
        <v>0</v>
      </c>
      <c r="R1839" s="4">
        <v>59.94</v>
      </c>
      <c r="S1839">
        <v>0</v>
      </c>
      <c r="T1839">
        <v>1</v>
      </c>
    </row>
    <row r="1840" spans="1:20" ht="16.5" x14ac:dyDescent="0.3">
      <c r="A1840" t="s">
        <v>1892</v>
      </c>
      <c r="B1840" s="1">
        <v>45568</v>
      </c>
      <c r="C1840">
        <v>2024</v>
      </c>
      <c r="D1840" t="s">
        <v>1873</v>
      </c>
      <c r="E1840" t="s">
        <v>1874</v>
      </c>
      <c r="F1840" t="s">
        <v>23</v>
      </c>
      <c r="G1840" t="s">
        <v>35</v>
      </c>
      <c r="H1840" t="s">
        <v>43</v>
      </c>
      <c r="I1840" t="s">
        <v>26</v>
      </c>
      <c r="J1840" t="s">
        <v>27</v>
      </c>
      <c r="K1840" t="s">
        <v>32</v>
      </c>
      <c r="L1840" s="2">
        <v>3.9</v>
      </c>
      <c r="M1840" s="3">
        <v>1266</v>
      </c>
      <c r="N1840">
        <v>5</v>
      </c>
      <c r="O1840">
        <v>10</v>
      </c>
      <c r="P1840">
        <v>0</v>
      </c>
      <c r="Q1840">
        <v>5</v>
      </c>
      <c r="R1840" s="4">
        <v>20.440000000000001</v>
      </c>
      <c r="S1840">
        <v>0</v>
      </c>
      <c r="T1840">
        <v>1</v>
      </c>
    </row>
    <row r="1841" spans="1:20" ht="16.5" x14ac:dyDescent="0.3">
      <c r="A1841" t="s">
        <v>1893</v>
      </c>
      <c r="B1841" s="1">
        <v>45568</v>
      </c>
      <c r="C1841">
        <v>2024</v>
      </c>
      <c r="D1841" t="s">
        <v>1873</v>
      </c>
      <c r="E1841" t="s">
        <v>1874</v>
      </c>
      <c r="F1841" t="s">
        <v>30</v>
      </c>
      <c r="G1841" t="s">
        <v>35</v>
      </c>
      <c r="H1841" t="s">
        <v>48</v>
      </c>
      <c r="I1841" t="s">
        <v>31</v>
      </c>
      <c r="J1841" t="s">
        <v>27</v>
      </c>
      <c r="K1841" t="s">
        <v>32</v>
      </c>
      <c r="L1841" s="2">
        <v>2.5</v>
      </c>
      <c r="M1841" s="3">
        <v>484</v>
      </c>
      <c r="N1841">
        <v>6</v>
      </c>
      <c r="O1841">
        <v>6</v>
      </c>
      <c r="P1841">
        <v>1</v>
      </c>
      <c r="Q1841">
        <v>0</v>
      </c>
      <c r="R1841" s="4">
        <v>9.8800000000000008</v>
      </c>
      <c r="S1841">
        <v>0</v>
      </c>
      <c r="T1841">
        <v>1</v>
      </c>
    </row>
    <row r="1842" spans="1:20" ht="16.5" x14ac:dyDescent="0.3">
      <c r="A1842" t="s">
        <v>1894</v>
      </c>
      <c r="B1842" s="1">
        <v>45568</v>
      </c>
      <c r="C1842">
        <v>2024</v>
      </c>
      <c r="D1842" t="s">
        <v>1873</v>
      </c>
      <c r="E1842" t="s">
        <v>1874</v>
      </c>
      <c r="F1842" t="s">
        <v>30</v>
      </c>
      <c r="G1842" t="s">
        <v>24</v>
      </c>
      <c r="H1842" t="s">
        <v>48</v>
      </c>
      <c r="I1842" t="s">
        <v>26</v>
      </c>
      <c r="J1842" t="s">
        <v>27</v>
      </c>
      <c r="K1842" t="s">
        <v>32</v>
      </c>
      <c r="L1842" s="2">
        <v>8.6999999999999993</v>
      </c>
      <c r="M1842" s="3">
        <v>560</v>
      </c>
      <c r="N1842">
        <v>4</v>
      </c>
      <c r="O1842">
        <v>4</v>
      </c>
      <c r="P1842">
        <v>1</v>
      </c>
      <c r="Q1842">
        <v>0</v>
      </c>
      <c r="R1842" s="4">
        <v>20.8</v>
      </c>
      <c r="S1842">
        <v>0</v>
      </c>
      <c r="T1842">
        <v>1</v>
      </c>
    </row>
    <row r="1843" spans="1:20" ht="16.5" x14ac:dyDescent="0.3">
      <c r="A1843" t="s">
        <v>1895</v>
      </c>
      <c r="B1843" s="1">
        <v>45568</v>
      </c>
      <c r="C1843">
        <v>2024</v>
      </c>
      <c r="D1843" t="s">
        <v>1873</v>
      </c>
      <c r="E1843" t="s">
        <v>1874</v>
      </c>
      <c r="F1843" t="s">
        <v>57</v>
      </c>
      <c r="G1843" t="s">
        <v>24</v>
      </c>
      <c r="H1843" t="s">
        <v>25</v>
      </c>
      <c r="I1843" t="s">
        <v>26</v>
      </c>
      <c r="J1843" t="s">
        <v>27</v>
      </c>
      <c r="K1843" t="s">
        <v>32</v>
      </c>
      <c r="L1843" s="2">
        <v>2.9</v>
      </c>
      <c r="M1843" s="3">
        <v>886</v>
      </c>
      <c r="N1843">
        <v>4</v>
      </c>
      <c r="O1843">
        <v>3</v>
      </c>
      <c r="P1843">
        <v>1</v>
      </c>
      <c r="Q1843">
        <v>0</v>
      </c>
      <c r="R1843" s="4">
        <v>19.16</v>
      </c>
      <c r="S1843">
        <v>0</v>
      </c>
      <c r="T1843">
        <v>1</v>
      </c>
    </row>
    <row r="1844" spans="1:20" ht="16.5" x14ac:dyDescent="0.3">
      <c r="A1844" t="s">
        <v>1896</v>
      </c>
      <c r="B1844" s="1">
        <v>45568</v>
      </c>
      <c r="C1844">
        <v>2024</v>
      </c>
      <c r="D1844" t="s">
        <v>1873</v>
      </c>
      <c r="E1844" t="s">
        <v>1874</v>
      </c>
      <c r="F1844" t="s">
        <v>38</v>
      </c>
      <c r="G1844" t="s">
        <v>39</v>
      </c>
      <c r="H1844" t="s">
        <v>36</v>
      </c>
      <c r="I1844" t="s">
        <v>26</v>
      </c>
      <c r="J1844" t="s">
        <v>27</v>
      </c>
      <c r="K1844" t="s">
        <v>32</v>
      </c>
      <c r="L1844" s="2">
        <v>1.2</v>
      </c>
      <c r="M1844" s="3">
        <v>240</v>
      </c>
      <c r="N1844">
        <v>3</v>
      </c>
      <c r="O1844">
        <v>2</v>
      </c>
      <c r="P1844">
        <v>1</v>
      </c>
      <c r="Q1844">
        <v>0</v>
      </c>
      <c r="R1844" s="4">
        <v>10.83</v>
      </c>
      <c r="S1844">
        <v>0</v>
      </c>
      <c r="T1844">
        <v>1</v>
      </c>
    </row>
    <row r="1845" spans="1:20" ht="16.5" x14ac:dyDescent="0.3">
      <c r="A1845" t="s">
        <v>1897</v>
      </c>
      <c r="B1845" s="1">
        <v>45568</v>
      </c>
      <c r="C1845">
        <v>2024</v>
      </c>
      <c r="D1845" t="s">
        <v>1873</v>
      </c>
      <c r="E1845" t="s">
        <v>1874</v>
      </c>
      <c r="F1845" t="s">
        <v>57</v>
      </c>
      <c r="G1845" t="s">
        <v>24</v>
      </c>
      <c r="H1845" t="s">
        <v>51</v>
      </c>
      <c r="I1845" t="s">
        <v>26</v>
      </c>
      <c r="J1845" t="s">
        <v>27</v>
      </c>
      <c r="K1845" t="s">
        <v>32</v>
      </c>
      <c r="L1845" s="2">
        <v>4.2</v>
      </c>
      <c r="M1845" s="3">
        <v>1061</v>
      </c>
      <c r="N1845">
        <v>5</v>
      </c>
      <c r="O1845">
        <v>5</v>
      </c>
      <c r="P1845">
        <v>1</v>
      </c>
      <c r="Q1845">
        <v>0</v>
      </c>
      <c r="R1845" s="4">
        <v>18.95</v>
      </c>
      <c r="S1845">
        <v>0</v>
      </c>
      <c r="T1845">
        <v>1</v>
      </c>
    </row>
    <row r="1846" spans="1:20" ht="16.5" x14ac:dyDescent="0.3">
      <c r="A1846" t="s">
        <v>1898</v>
      </c>
      <c r="B1846" s="1">
        <v>45568</v>
      </c>
      <c r="C1846">
        <v>2024</v>
      </c>
      <c r="D1846" t="s">
        <v>1873</v>
      </c>
      <c r="E1846" t="s">
        <v>1874</v>
      </c>
      <c r="F1846" t="s">
        <v>38</v>
      </c>
      <c r="G1846" t="s">
        <v>39</v>
      </c>
      <c r="H1846" t="s">
        <v>36</v>
      </c>
      <c r="I1846" t="s">
        <v>26</v>
      </c>
      <c r="J1846" t="s">
        <v>27</v>
      </c>
      <c r="K1846" t="s">
        <v>28</v>
      </c>
      <c r="L1846" s="2">
        <v>74</v>
      </c>
      <c r="M1846" s="3">
        <v>228</v>
      </c>
      <c r="N1846">
        <v>3</v>
      </c>
      <c r="O1846">
        <v>3</v>
      </c>
      <c r="P1846">
        <v>1</v>
      </c>
      <c r="Q1846">
        <v>0</v>
      </c>
      <c r="R1846" s="4">
        <v>51.4</v>
      </c>
      <c r="S1846">
        <v>0</v>
      </c>
      <c r="T1846">
        <v>1</v>
      </c>
    </row>
    <row r="1847" spans="1:20" ht="16.5" x14ac:dyDescent="0.3">
      <c r="A1847" t="s">
        <v>1899</v>
      </c>
      <c r="B1847" s="1">
        <v>45568</v>
      </c>
      <c r="C1847">
        <v>2024</v>
      </c>
      <c r="D1847" t="s">
        <v>1873</v>
      </c>
      <c r="E1847" t="s">
        <v>1874</v>
      </c>
      <c r="F1847" t="s">
        <v>57</v>
      </c>
      <c r="G1847" t="s">
        <v>39</v>
      </c>
      <c r="H1847" t="s">
        <v>43</v>
      </c>
      <c r="I1847" t="s">
        <v>40</v>
      </c>
      <c r="J1847" t="s">
        <v>41</v>
      </c>
      <c r="K1847" t="s">
        <v>32</v>
      </c>
      <c r="L1847" s="2">
        <v>8.1</v>
      </c>
      <c r="M1847" s="3">
        <v>995</v>
      </c>
      <c r="N1847">
        <v>3</v>
      </c>
      <c r="O1847">
        <v>3</v>
      </c>
      <c r="P1847">
        <v>1</v>
      </c>
      <c r="Q1847">
        <v>0</v>
      </c>
      <c r="R1847" s="4">
        <v>76.709999999999994</v>
      </c>
      <c r="S1847">
        <v>0</v>
      </c>
      <c r="T1847">
        <v>1</v>
      </c>
    </row>
    <row r="1848" spans="1:20" ht="16.5" x14ac:dyDescent="0.3">
      <c r="A1848" t="s">
        <v>1900</v>
      </c>
      <c r="B1848" s="1">
        <v>45568</v>
      </c>
      <c r="C1848">
        <v>2024</v>
      </c>
      <c r="D1848" t="s">
        <v>1873</v>
      </c>
      <c r="E1848" t="s">
        <v>1874</v>
      </c>
      <c r="F1848" t="s">
        <v>38</v>
      </c>
      <c r="G1848" t="s">
        <v>35</v>
      </c>
      <c r="H1848" t="s">
        <v>43</v>
      </c>
      <c r="I1848" t="s">
        <v>40</v>
      </c>
      <c r="J1848" t="s">
        <v>41</v>
      </c>
      <c r="K1848" t="s">
        <v>32</v>
      </c>
      <c r="L1848" s="2">
        <v>6.6</v>
      </c>
      <c r="M1848" s="3">
        <v>1036</v>
      </c>
      <c r="N1848">
        <v>3</v>
      </c>
      <c r="O1848">
        <v>3</v>
      </c>
      <c r="P1848">
        <v>1</v>
      </c>
      <c r="Q1848">
        <v>0</v>
      </c>
      <c r="R1848" s="4">
        <v>81.16</v>
      </c>
      <c r="S1848">
        <v>0</v>
      </c>
      <c r="T1848">
        <v>1</v>
      </c>
    </row>
    <row r="1849" spans="1:20" ht="16.5" x14ac:dyDescent="0.3">
      <c r="A1849" t="s">
        <v>1901</v>
      </c>
      <c r="B1849" s="1">
        <v>45569</v>
      </c>
      <c r="C1849">
        <v>2024</v>
      </c>
      <c r="D1849" t="s">
        <v>1873</v>
      </c>
      <c r="E1849" t="s">
        <v>1874</v>
      </c>
      <c r="F1849" t="s">
        <v>57</v>
      </c>
      <c r="G1849" t="s">
        <v>39</v>
      </c>
      <c r="H1849" t="s">
        <v>36</v>
      </c>
      <c r="I1849" t="s">
        <v>26</v>
      </c>
      <c r="J1849" t="s">
        <v>27</v>
      </c>
      <c r="K1849" t="s">
        <v>32</v>
      </c>
      <c r="L1849" s="2">
        <v>12.3</v>
      </c>
      <c r="M1849" s="3">
        <v>188</v>
      </c>
      <c r="N1849">
        <v>3</v>
      </c>
      <c r="O1849">
        <v>3</v>
      </c>
      <c r="P1849">
        <v>1</v>
      </c>
      <c r="Q1849">
        <v>0</v>
      </c>
      <c r="R1849" s="4">
        <v>16.260000000000002</v>
      </c>
      <c r="S1849">
        <v>0</v>
      </c>
      <c r="T1849">
        <v>1</v>
      </c>
    </row>
    <row r="1850" spans="1:20" ht="16.5" x14ac:dyDescent="0.3">
      <c r="A1850" t="s">
        <v>1902</v>
      </c>
      <c r="B1850" s="1">
        <v>45569</v>
      </c>
      <c r="C1850">
        <v>2024</v>
      </c>
      <c r="D1850" t="s">
        <v>1873</v>
      </c>
      <c r="E1850" t="s">
        <v>1874</v>
      </c>
      <c r="F1850" t="s">
        <v>38</v>
      </c>
      <c r="G1850" t="s">
        <v>39</v>
      </c>
      <c r="H1850" t="s">
        <v>25</v>
      </c>
      <c r="I1850" t="s">
        <v>26</v>
      </c>
      <c r="J1850" t="s">
        <v>27</v>
      </c>
      <c r="K1850" t="s">
        <v>32</v>
      </c>
      <c r="L1850" s="2">
        <v>14.6</v>
      </c>
      <c r="M1850" s="3">
        <v>910</v>
      </c>
      <c r="N1850">
        <v>4</v>
      </c>
      <c r="O1850">
        <v>4</v>
      </c>
      <c r="P1850">
        <v>1</v>
      </c>
      <c r="Q1850">
        <v>0</v>
      </c>
      <c r="R1850" s="4">
        <v>32.47</v>
      </c>
      <c r="S1850">
        <v>0</v>
      </c>
      <c r="T1850">
        <v>1</v>
      </c>
    </row>
    <row r="1851" spans="1:20" ht="16.5" x14ac:dyDescent="0.3">
      <c r="A1851" t="s">
        <v>1903</v>
      </c>
      <c r="B1851" s="1">
        <v>45569</v>
      </c>
      <c r="C1851">
        <v>2024</v>
      </c>
      <c r="D1851" t="s">
        <v>1873</v>
      </c>
      <c r="E1851" t="s">
        <v>1874</v>
      </c>
      <c r="F1851" t="s">
        <v>38</v>
      </c>
      <c r="G1851" t="s">
        <v>24</v>
      </c>
      <c r="H1851" t="s">
        <v>43</v>
      </c>
      <c r="I1851" t="s">
        <v>26</v>
      </c>
      <c r="J1851" t="s">
        <v>27</v>
      </c>
      <c r="K1851" t="s">
        <v>32</v>
      </c>
      <c r="L1851" s="2">
        <v>20</v>
      </c>
      <c r="M1851" s="3">
        <v>1228</v>
      </c>
      <c r="N1851">
        <v>5</v>
      </c>
      <c r="O1851">
        <v>5</v>
      </c>
      <c r="P1851">
        <v>1</v>
      </c>
      <c r="Q1851">
        <v>0</v>
      </c>
      <c r="R1851" s="4">
        <v>35.47</v>
      </c>
      <c r="S1851">
        <v>0</v>
      </c>
      <c r="T1851">
        <v>1</v>
      </c>
    </row>
    <row r="1852" spans="1:20" ht="16.5" x14ac:dyDescent="0.3">
      <c r="A1852" t="s">
        <v>1904</v>
      </c>
      <c r="B1852" s="1">
        <v>45569</v>
      </c>
      <c r="C1852">
        <v>2024</v>
      </c>
      <c r="D1852" t="s">
        <v>1873</v>
      </c>
      <c r="E1852" t="s">
        <v>1874</v>
      </c>
      <c r="F1852" t="s">
        <v>30</v>
      </c>
      <c r="G1852" t="s">
        <v>39</v>
      </c>
      <c r="H1852" t="s">
        <v>25</v>
      </c>
      <c r="I1852" t="s">
        <v>26</v>
      </c>
      <c r="J1852" t="s">
        <v>27</v>
      </c>
      <c r="K1852" t="s">
        <v>32</v>
      </c>
      <c r="L1852" s="2">
        <v>8.9</v>
      </c>
      <c r="M1852" s="3">
        <v>1017</v>
      </c>
      <c r="N1852">
        <v>4</v>
      </c>
      <c r="O1852">
        <v>3</v>
      </c>
      <c r="P1852">
        <v>1</v>
      </c>
      <c r="Q1852">
        <v>0</v>
      </c>
      <c r="R1852" s="4">
        <v>22.42</v>
      </c>
      <c r="S1852">
        <v>0</v>
      </c>
      <c r="T1852">
        <v>1</v>
      </c>
    </row>
    <row r="1853" spans="1:20" ht="16.5" x14ac:dyDescent="0.3">
      <c r="A1853" t="s">
        <v>1905</v>
      </c>
      <c r="B1853" s="1">
        <v>45570</v>
      </c>
      <c r="C1853">
        <v>2024</v>
      </c>
      <c r="D1853" t="s">
        <v>1873</v>
      </c>
      <c r="E1853" t="s">
        <v>1874</v>
      </c>
      <c r="F1853" t="s">
        <v>34</v>
      </c>
      <c r="G1853" t="s">
        <v>24</v>
      </c>
      <c r="H1853" t="s">
        <v>36</v>
      </c>
      <c r="I1853" t="s">
        <v>26</v>
      </c>
      <c r="J1853" t="s">
        <v>27</v>
      </c>
      <c r="K1853" t="s">
        <v>32</v>
      </c>
      <c r="L1853" s="2">
        <v>4.7</v>
      </c>
      <c r="M1853" s="3">
        <v>196</v>
      </c>
      <c r="N1853">
        <v>3</v>
      </c>
      <c r="O1853">
        <v>3</v>
      </c>
      <c r="P1853">
        <v>1</v>
      </c>
      <c r="Q1853">
        <v>0</v>
      </c>
      <c r="R1853" s="4">
        <v>10.42</v>
      </c>
      <c r="S1853">
        <v>0</v>
      </c>
      <c r="T1853">
        <v>1</v>
      </c>
    </row>
    <row r="1854" spans="1:20" ht="16.5" x14ac:dyDescent="0.3">
      <c r="A1854" t="s">
        <v>1906</v>
      </c>
      <c r="B1854" s="1">
        <v>45570</v>
      </c>
      <c r="C1854">
        <v>2024</v>
      </c>
      <c r="D1854" t="s">
        <v>1873</v>
      </c>
      <c r="E1854" t="s">
        <v>1874</v>
      </c>
      <c r="F1854" t="s">
        <v>57</v>
      </c>
      <c r="G1854" t="s">
        <v>39</v>
      </c>
      <c r="H1854" t="s">
        <v>48</v>
      </c>
      <c r="I1854" t="s">
        <v>26</v>
      </c>
      <c r="J1854" t="s">
        <v>27</v>
      </c>
      <c r="K1854" t="s">
        <v>32</v>
      </c>
      <c r="L1854" s="2">
        <v>14.2</v>
      </c>
      <c r="M1854" s="3">
        <v>376</v>
      </c>
      <c r="N1854">
        <v>4</v>
      </c>
      <c r="O1854">
        <v>4</v>
      </c>
      <c r="P1854">
        <v>1</v>
      </c>
      <c r="Q1854">
        <v>0</v>
      </c>
      <c r="R1854" s="4">
        <v>19</v>
      </c>
      <c r="S1854">
        <v>0</v>
      </c>
      <c r="T1854">
        <v>1</v>
      </c>
    </row>
    <row r="1855" spans="1:20" ht="16.5" x14ac:dyDescent="0.3">
      <c r="A1855" t="s">
        <v>1907</v>
      </c>
      <c r="B1855" s="1">
        <v>45570</v>
      </c>
      <c r="C1855">
        <v>2024</v>
      </c>
      <c r="D1855" t="s">
        <v>1873</v>
      </c>
      <c r="E1855" t="s">
        <v>1874</v>
      </c>
      <c r="F1855" t="s">
        <v>57</v>
      </c>
      <c r="G1855" t="s">
        <v>39</v>
      </c>
      <c r="H1855" t="s">
        <v>48</v>
      </c>
      <c r="I1855" t="s">
        <v>26</v>
      </c>
      <c r="J1855" t="s">
        <v>27</v>
      </c>
      <c r="K1855" t="s">
        <v>28</v>
      </c>
      <c r="L1855" s="2">
        <v>96.5</v>
      </c>
      <c r="M1855" s="3">
        <v>408</v>
      </c>
      <c r="N1855">
        <v>4</v>
      </c>
      <c r="O1855">
        <v>4</v>
      </c>
      <c r="P1855">
        <v>1</v>
      </c>
      <c r="Q1855">
        <v>0</v>
      </c>
      <c r="R1855" s="4">
        <v>53.7</v>
      </c>
      <c r="S1855">
        <v>0</v>
      </c>
      <c r="T1855">
        <v>1</v>
      </c>
    </row>
    <row r="1856" spans="1:20" ht="16.5" x14ac:dyDescent="0.3">
      <c r="A1856" t="s">
        <v>1908</v>
      </c>
      <c r="B1856" s="1">
        <v>45570</v>
      </c>
      <c r="C1856">
        <v>2024</v>
      </c>
      <c r="D1856" t="s">
        <v>1873</v>
      </c>
      <c r="E1856" t="s">
        <v>1874</v>
      </c>
      <c r="F1856" t="s">
        <v>23</v>
      </c>
      <c r="G1856" t="s">
        <v>39</v>
      </c>
      <c r="H1856" t="s">
        <v>36</v>
      </c>
      <c r="I1856" t="s">
        <v>40</v>
      </c>
      <c r="J1856" t="s">
        <v>27</v>
      </c>
      <c r="K1856" t="s">
        <v>32</v>
      </c>
      <c r="L1856" s="2">
        <v>3.5</v>
      </c>
      <c r="M1856" s="3">
        <v>237</v>
      </c>
      <c r="N1856">
        <v>1</v>
      </c>
      <c r="O1856">
        <v>1</v>
      </c>
      <c r="P1856">
        <v>1</v>
      </c>
      <c r="Q1856">
        <v>0</v>
      </c>
      <c r="R1856" s="4">
        <v>20.67</v>
      </c>
      <c r="S1856">
        <v>0</v>
      </c>
      <c r="T1856">
        <v>1</v>
      </c>
    </row>
    <row r="1857" spans="1:20" ht="16.5" x14ac:dyDescent="0.3">
      <c r="A1857" t="s">
        <v>1909</v>
      </c>
      <c r="B1857" s="1">
        <v>45571</v>
      </c>
      <c r="C1857">
        <v>2024</v>
      </c>
      <c r="D1857" t="s">
        <v>1873</v>
      </c>
      <c r="E1857" t="s">
        <v>1874</v>
      </c>
      <c r="F1857" t="s">
        <v>30</v>
      </c>
      <c r="G1857" t="s">
        <v>24</v>
      </c>
      <c r="H1857" t="s">
        <v>36</v>
      </c>
      <c r="I1857" t="s">
        <v>40</v>
      </c>
      <c r="J1857" t="s">
        <v>27</v>
      </c>
      <c r="K1857" t="s">
        <v>32</v>
      </c>
      <c r="L1857" s="2">
        <v>4.7</v>
      </c>
      <c r="M1857" s="3">
        <v>249</v>
      </c>
      <c r="N1857">
        <v>1</v>
      </c>
      <c r="O1857">
        <v>1</v>
      </c>
      <c r="P1857">
        <v>1</v>
      </c>
      <c r="Q1857">
        <v>0</v>
      </c>
      <c r="R1857" s="4">
        <v>24.15</v>
      </c>
      <c r="S1857">
        <v>0</v>
      </c>
      <c r="T1857">
        <v>1</v>
      </c>
    </row>
    <row r="1858" spans="1:20" ht="16.5" x14ac:dyDescent="0.3">
      <c r="A1858" t="s">
        <v>1910</v>
      </c>
      <c r="B1858" s="1">
        <v>45571</v>
      </c>
      <c r="C1858">
        <v>2024</v>
      </c>
      <c r="D1858" t="s">
        <v>1873</v>
      </c>
      <c r="E1858" t="s">
        <v>1874</v>
      </c>
      <c r="F1858" t="s">
        <v>57</v>
      </c>
      <c r="G1858" t="s">
        <v>39</v>
      </c>
      <c r="H1858" t="s">
        <v>25</v>
      </c>
      <c r="I1858" t="s">
        <v>26</v>
      </c>
      <c r="J1858" t="s">
        <v>27</v>
      </c>
      <c r="K1858" t="s">
        <v>28</v>
      </c>
      <c r="L1858" s="2">
        <v>117.1</v>
      </c>
      <c r="M1858" s="3">
        <v>819</v>
      </c>
      <c r="N1858">
        <v>4</v>
      </c>
      <c r="O1858">
        <v>4</v>
      </c>
      <c r="P1858">
        <v>1</v>
      </c>
      <c r="Q1858">
        <v>0</v>
      </c>
      <c r="R1858" s="4">
        <v>66.39</v>
      </c>
      <c r="S1858">
        <v>0</v>
      </c>
      <c r="T1858">
        <v>1</v>
      </c>
    </row>
    <row r="1859" spans="1:20" ht="16.5" x14ac:dyDescent="0.3">
      <c r="A1859" t="s">
        <v>1911</v>
      </c>
      <c r="B1859" s="1">
        <v>45571</v>
      </c>
      <c r="C1859">
        <v>2024</v>
      </c>
      <c r="D1859" t="s">
        <v>1873</v>
      </c>
      <c r="E1859" t="s">
        <v>1874</v>
      </c>
      <c r="F1859" t="s">
        <v>23</v>
      </c>
      <c r="G1859" t="s">
        <v>39</v>
      </c>
      <c r="H1859" t="s">
        <v>43</v>
      </c>
      <c r="I1859" t="s">
        <v>40</v>
      </c>
      <c r="J1859" t="s">
        <v>41</v>
      </c>
      <c r="K1859" t="s">
        <v>32</v>
      </c>
      <c r="L1859" s="2">
        <v>2.6</v>
      </c>
      <c r="M1859" s="3">
        <v>954</v>
      </c>
      <c r="N1859">
        <v>3</v>
      </c>
      <c r="O1859">
        <v>3</v>
      </c>
      <c r="P1859">
        <v>1</v>
      </c>
      <c r="Q1859">
        <v>0</v>
      </c>
      <c r="R1859" s="4">
        <v>60.75</v>
      </c>
      <c r="S1859">
        <v>0</v>
      </c>
      <c r="T1859">
        <v>1</v>
      </c>
    </row>
    <row r="1860" spans="1:20" ht="16.5" x14ac:dyDescent="0.3">
      <c r="A1860" t="s">
        <v>1912</v>
      </c>
      <c r="B1860" s="1">
        <v>45571</v>
      </c>
      <c r="C1860">
        <v>2024</v>
      </c>
      <c r="D1860" t="s">
        <v>1873</v>
      </c>
      <c r="E1860" t="s">
        <v>1874</v>
      </c>
      <c r="F1860" t="s">
        <v>57</v>
      </c>
      <c r="G1860" t="s">
        <v>39</v>
      </c>
      <c r="H1860" t="s">
        <v>51</v>
      </c>
      <c r="I1860" t="s">
        <v>26</v>
      </c>
      <c r="J1860" t="s">
        <v>27</v>
      </c>
      <c r="K1860" t="s">
        <v>28</v>
      </c>
      <c r="L1860" s="2">
        <v>31.7</v>
      </c>
      <c r="M1860" s="3">
        <v>1159</v>
      </c>
      <c r="N1860">
        <v>5</v>
      </c>
      <c r="O1860">
        <v>7</v>
      </c>
      <c r="P1860">
        <v>0</v>
      </c>
      <c r="Q1860">
        <v>2</v>
      </c>
      <c r="R1860" s="4">
        <v>37.380000000000003</v>
      </c>
      <c r="S1860">
        <v>0</v>
      </c>
      <c r="T1860">
        <v>1</v>
      </c>
    </row>
    <row r="1861" spans="1:20" ht="16.5" x14ac:dyDescent="0.3">
      <c r="A1861" t="s">
        <v>1913</v>
      </c>
      <c r="B1861" s="1">
        <v>45571</v>
      </c>
      <c r="C1861">
        <v>2024</v>
      </c>
      <c r="D1861" t="s">
        <v>1873</v>
      </c>
      <c r="E1861" t="s">
        <v>1874</v>
      </c>
      <c r="F1861" t="s">
        <v>23</v>
      </c>
      <c r="G1861" t="s">
        <v>39</v>
      </c>
      <c r="H1861" t="s">
        <v>51</v>
      </c>
      <c r="I1861" t="s">
        <v>26</v>
      </c>
      <c r="J1861" t="s">
        <v>27</v>
      </c>
      <c r="K1861" t="s">
        <v>32</v>
      </c>
      <c r="L1861" s="2">
        <v>1.8</v>
      </c>
      <c r="M1861" s="3">
        <v>775</v>
      </c>
      <c r="N1861">
        <v>5</v>
      </c>
      <c r="O1861">
        <v>5</v>
      </c>
      <c r="P1861">
        <v>1</v>
      </c>
      <c r="Q1861">
        <v>0</v>
      </c>
      <c r="R1861" s="4">
        <v>17.09</v>
      </c>
      <c r="S1861">
        <v>0</v>
      </c>
      <c r="T1861">
        <v>1</v>
      </c>
    </row>
    <row r="1862" spans="1:20" ht="16.5" x14ac:dyDescent="0.3">
      <c r="A1862" t="s">
        <v>1914</v>
      </c>
      <c r="B1862" s="1">
        <v>45572</v>
      </c>
      <c r="C1862">
        <v>2024</v>
      </c>
      <c r="D1862" t="s">
        <v>1873</v>
      </c>
      <c r="E1862" t="s">
        <v>1874</v>
      </c>
      <c r="F1862" t="s">
        <v>34</v>
      </c>
      <c r="G1862" t="s">
        <v>39</v>
      </c>
      <c r="H1862" t="s">
        <v>25</v>
      </c>
      <c r="I1862" t="s">
        <v>31</v>
      </c>
      <c r="J1862" t="s">
        <v>27</v>
      </c>
      <c r="K1862" t="s">
        <v>32</v>
      </c>
      <c r="L1862" s="2">
        <v>11.2</v>
      </c>
      <c r="M1862" s="3">
        <v>806</v>
      </c>
      <c r="N1862">
        <v>6</v>
      </c>
      <c r="O1862">
        <v>6</v>
      </c>
      <c r="P1862">
        <v>1</v>
      </c>
      <c r="Q1862">
        <v>0</v>
      </c>
      <c r="R1862" s="4">
        <v>11.95</v>
      </c>
      <c r="S1862">
        <v>0</v>
      </c>
      <c r="T1862">
        <v>1</v>
      </c>
    </row>
    <row r="1863" spans="1:20" ht="16.5" x14ac:dyDescent="0.3">
      <c r="A1863" t="s">
        <v>1915</v>
      </c>
      <c r="B1863" s="1">
        <v>45572</v>
      </c>
      <c r="C1863">
        <v>2024</v>
      </c>
      <c r="D1863" t="s">
        <v>1873</v>
      </c>
      <c r="E1863" t="s">
        <v>1874</v>
      </c>
      <c r="F1863" t="s">
        <v>57</v>
      </c>
      <c r="G1863" t="s">
        <v>39</v>
      </c>
      <c r="H1863" t="s">
        <v>36</v>
      </c>
      <c r="I1863" t="s">
        <v>31</v>
      </c>
      <c r="J1863" t="s">
        <v>27</v>
      </c>
      <c r="K1863" t="s">
        <v>32</v>
      </c>
      <c r="L1863" s="2">
        <v>12.6</v>
      </c>
      <c r="M1863" s="3">
        <v>264</v>
      </c>
      <c r="N1863">
        <v>5</v>
      </c>
      <c r="O1863">
        <v>5</v>
      </c>
      <c r="P1863">
        <v>1</v>
      </c>
      <c r="Q1863">
        <v>0</v>
      </c>
      <c r="R1863" s="4">
        <v>12.11</v>
      </c>
      <c r="S1863">
        <v>0</v>
      </c>
      <c r="T1863">
        <v>1</v>
      </c>
    </row>
    <row r="1864" spans="1:20" ht="16.5" x14ac:dyDescent="0.3">
      <c r="A1864" t="s">
        <v>1916</v>
      </c>
      <c r="B1864" s="1">
        <v>45572</v>
      </c>
      <c r="C1864">
        <v>2024</v>
      </c>
      <c r="D1864" t="s">
        <v>1873</v>
      </c>
      <c r="E1864" t="s">
        <v>1874</v>
      </c>
      <c r="F1864" t="s">
        <v>34</v>
      </c>
      <c r="G1864" t="s">
        <v>39</v>
      </c>
      <c r="H1864" t="s">
        <v>25</v>
      </c>
      <c r="I1864" t="s">
        <v>26</v>
      </c>
      <c r="J1864" t="s">
        <v>27</v>
      </c>
      <c r="K1864" t="s">
        <v>28</v>
      </c>
      <c r="L1864" s="2">
        <v>14.2</v>
      </c>
      <c r="M1864" s="3">
        <v>1118</v>
      </c>
      <c r="N1864">
        <v>4</v>
      </c>
      <c r="O1864">
        <v>3</v>
      </c>
      <c r="P1864">
        <v>1</v>
      </c>
      <c r="Q1864">
        <v>0</v>
      </c>
      <c r="R1864" s="4">
        <v>23.49</v>
      </c>
      <c r="S1864">
        <v>0</v>
      </c>
      <c r="T1864">
        <v>1</v>
      </c>
    </row>
    <row r="1865" spans="1:20" ht="16.5" x14ac:dyDescent="0.3">
      <c r="A1865" t="s">
        <v>1917</v>
      </c>
      <c r="B1865" s="1">
        <v>45572</v>
      </c>
      <c r="C1865">
        <v>2024</v>
      </c>
      <c r="D1865" t="s">
        <v>1873</v>
      </c>
      <c r="E1865" t="s">
        <v>1874</v>
      </c>
      <c r="F1865" t="s">
        <v>23</v>
      </c>
      <c r="G1865" t="s">
        <v>39</v>
      </c>
      <c r="H1865" t="s">
        <v>43</v>
      </c>
      <c r="I1865" t="s">
        <v>26</v>
      </c>
      <c r="J1865" t="s">
        <v>27</v>
      </c>
      <c r="K1865" t="s">
        <v>32</v>
      </c>
      <c r="L1865" s="2">
        <v>4.3</v>
      </c>
      <c r="M1865" s="3">
        <v>1442</v>
      </c>
      <c r="N1865">
        <v>5</v>
      </c>
      <c r="O1865">
        <v>7</v>
      </c>
      <c r="P1865">
        <v>0</v>
      </c>
      <c r="Q1865">
        <v>2</v>
      </c>
      <c r="R1865" s="4">
        <v>28.06</v>
      </c>
      <c r="S1865">
        <v>0</v>
      </c>
      <c r="T1865">
        <v>1</v>
      </c>
    </row>
    <row r="1866" spans="1:20" ht="16.5" x14ac:dyDescent="0.3">
      <c r="A1866" t="s">
        <v>1918</v>
      </c>
      <c r="B1866" s="1">
        <v>45572</v>
      </c>
      <c r="C1866">
        <v>2024</v>
      </c>
      <c r="D1866" t="s">
        <v>1873</v>
      </c>
      <c r="E1866" t="s">
        <v>1874</v>
      </c>
      <c r="F1866" t="s">
        <v>30</v>
      </c>
      <c r="G1866" t="s">
        <v>35</v>
      </c>
      <c r="H1866" t="s">
        <v>25</v>
      </c>
      <c r="I1866" t="s">
        <v>40</v>
      </c>
      <c r="J1866" t="s">
        <v>41</v>
      </c>
      <c r="K1866" t="s">
        <v>32</v>
      </c>
      <c r="L1866" s="2">
        <v>11.8</v>
      </c>
      <c r="M1866" s="3">
        <v>879</v>
      </c>
      <c r="N1866">
        <v>2</v>
      </c>
      <c r="O1866">
        <v>2</v>
      </c>
      <c r="P1866">
        <v>1</v>
      </c>
      <c r="Q1866">
        <v>0</v>
      </c>
      <c r="R1866" s="4">
        <v>75.459999999999994</v>
      </c>
      <c r="S1866">
        <v>0</v>
      </c>
      <c r="T1866">
        <v>1</v>
      </c>
    </row>
    <row r="1867" spans="1:20" ht="16.5" x14ac:dyDescent="0.3">
      <c r="A1867" t="s">
        <v>1919</v>
      </c>
      <c r="B1867" s="1">
        <v>45572</v>
      </c>
      <c r="C1867">
        <v>2024</v>
      </c>
      <c r="D1867" t="s">
        <v>1873</v>
      </c>
      <c r="E1867" t="s">
        <v>1874</v>
      </c>
      <c r="F1867" t="s">
        <v>23</v>
      </c>
      <c r="G1867" t="s">
        <v>39</v>
      </c>
      <c r="H1867" t="s">
        <v>43</v>
      </c>
      <c r="I1867" t="s">
        <v>40</v>
      </c>
      <c r="J1867" t="s">
        <v>41</v>
      </c>
      <c r="K1867" t="s">
        <v>32</v>
      </c>
      <c r="L1867" s="2">
        <v>3</v>
      </c>
      <c r="M1867" s="3">
        <v>912</v>
      </c>
      <c r="N1867">
        <v>3</v>
      </c>
      <c r="O1867">
        <v>3</v>
      </c>
      <c r="P1867">
        <v>1</v>
      </c>
      <c r="Q1867">
        <v>0</v>
      </c>
      <c r="R1867" s="4">
        <v>56.46</v>
      </c>
      <c r="S1867">
        <v>0</v>
      </c>
      <c r="T1867">
        <v>1</v>
      </c>
    </row>
    <row r="1868" spans="1:20" ht="16.5" x14ac:dyDescent="0.3">
      <c r="A1868" t="s">
        <v>1920</v>
      </c>
      <c r="B1868" s="1">
        <v>45572</v>
      </c>
      <c r="C1868">
        <v>2024</v>
      </c>
      <c r="D1868" t="s">
        <v>1873</v>
      </c>
      <c r="E1868" t="s">
        <v>1874</v>
      </c>
      <c r="F1868" t="s">
        <v>30</v>
      </c>
      <c r="G1868" t="s">
        <v>35</v>
      </c>
      <c r="H1868" t="s">
        <v>51</v>
      </c>
      <c r="I1868" t="s">
        <v>26</v>
      </c>
      <c r="J1868" t="s">
        <v>27</v>
      </c>
      <c r="K1868" t="s">
        <v>32</v>
      </c>
      <c r="L1868" s="2">
        <v>4.7</v>
      </c>
      <c r="M1868" s="3">
        <v>1019</v>
      </c>
      <c r="N1868">
        <v>5</v>
      </c>
      <c r="O1868">
        <v>6</v>
      </c>
      <c r="P1868">
        <v>0</v>
      </c>
      <c r="Q1868">
        <v>1</v>
      </c>
      <c r="R1868" s="4">
        <v>23.56</v>
      </c>
      <c r="S1868">
        <v>0</v>
      </c>
      <c r="T1868">
        <v>1</v>
      </c>
    </row>
    <row r="1869" spans="1:20" ht="16.5" x14ac:dyDescent="0.3">
      <c r="A1869" t="s">
        <v>1921</v>
      </c>
      <c r="B1869" s="1">
        <v>45572</v>
      </c>
      <c r="C1869">
        <v>2024</v>
      </c>
      <c r="D1869" t="s">
        <v>1873</v>
      </c>
      <c r="E1869" t="s">
        <v>1874</v>
      </c>
      <c r="F1869" t="s">
        <v>23</v>
      </c>
      <c r="G1869" t="s">
        <v>39</v>
      </c>
      <c r="H1869" t="s">
        <v>51</v>
      </c>
      <c r="I1869" t="s">
        <v>40</v>
      </c>
      <c r="J1869" t="s">
        <v>41</v>
      </c>
      <c r="K1869" t="s">
        <v>32</v>
      </c>
      <c r="L1869" s="2">
        <v>4.5</v>
      </c>
      <c r="M1869" s="3">
        <v>1081</v>
      </c>
      <c r="N1869">
        <v>3</v>
      </c>
      <c r="O1869">
        <v>8</v>
      </c>
      <c r="P1869">
        <v>0</v>
      </c>
      <c r="Q1869">
        <v>5</v>
      </c>
      <c r="R1869" s="4">
        <v>61.01</v>
      </c>
      <c r="S1869">
        <v>0</v>
      </c>
      <c r="T1869">
        <v>1</v>
      </c>
    </row>
    <row r="1870" spans="1:20" ht="16.5" x14ac:dyDescent="0.3">
      <c r="A1870" t="s">
        <v>1922</v>
      </c>
      <c r="B1870" s="1">
        <v>45572</v>
      </c>
      <c r="C1870">
        <v>2024</v>
      </c>
      <c r="D1870" t="s">
        <v>1873</v>
      </c>
      <c r="E1870" t="s">
        <v>1874</v>
      </c>
      <c r="F1870" t="s">
        <v>34</v>
      </c>
      <c r="G1870" t="s">
        <v>24</v>
      </c>
      <c r="H1870" t="s">
        <v>51</v>
      </c>
      <c r="I1870" t="s">
        <v>31</v>
      </c>
      <c r="J1870" t="s">
        <v>27</v>
      </c>
      <c r="K1870" t="s">
        <v>32</v>
      </c>
      <c r="L1870" s="2">
        <v>7.9</v>
      </c>
      <c r="M1870" s="3">
        <v>1048</v>
      </c>
      <c r="N1870">
        <v>7</v>
      </c>
      <c r="O1870">
        <v>7</v>
      </c>
      <c r="P1870">
        <v>1</v>
      </c>
      <c r="Q1870">
        <v>0</v>
      </c>
      <c r="R1870" s="4">
        <v>13.71</v>
      </c>
      <c r="S1870">
        <v>0</v>
      </c>
      <c r="T1870">
        <v>1</v>
      </c>
    </row>
    <row r="1871" spans="1:20" ht="16.5" x14ac:dyDescent="0.3">
      <c r="A1871" t="s">
        <v>1923</v>
      </c>
      <c r="B1871" s="1">
        <v>45573</v>
      </c>
      <c r="C1871">
        <v>2024</v>
      </c>
      <c r="D1871" t="s">
        <v>1873</v>
      </c>
      <c r="E1871" t="s">
        <v>1874</v>
      </c>
      <c r="F1871" t="s">
        <v>57</v>
      </c>
      <c r="G1871" t="s">
        <v>39</v>
      </c>
      <c r="H1871" t="s">
        <v>51</v>
      </c>
      <c r="I1871" t="s">
        <v>40</v>
      </c>
      <c r="J1871" t="s">
        <v>41</v>
      </c>
      <c r="K1871" t="s">
        <v>28</v>
      </c>
      <c r="L1871" s="2">
        <v>120.9</v>
      </c>
      <c r="M1871" s="3">
        <v>1045</v>
      </c>
      <c r="N1871">
        <v>3</v>
      </c>
      <c r="O1871">
        <v>3</v>
      </c>
      <c r="P1871">
        <v>1</v>
      </c>
      <c r="Q1871">
        <v>0</v>
      </c>
      <c r="R1871" s="4">
        <v>194.94</v>
      </c>
      <c r="S1871">
        <v>0</v>
      </c>
      <c r="T1871">
        <v>1</v>
      </c>
    </row>
    <row r="1872" spans="1:20" ht="16.5" x14ac:dyDescent="0.3">
      <c r="A1872" t="s">
        <v>1924</v>
      </c>
      <c r="B1872" s="1">
        <v>45573</v>
      </c>
      <c r="C1872">
        <v>2024</v>
      </c>
      <c r="D1872" t="s">
        <v>1873</v>
      </c>
      <c r="E1872" t="s">
        <v>1874</v>
      </c>
      <c r="F1872" t="s">
        <v>30</v>
      </c>
      <c r="G1872" t="s">
        <v>39</v>
      </c>
      <c r="H1872" t="s">
        <v>43</v>
      </c>
      <c r="I1872" t="s">
        <v>31</v>
      </c>
      <c r="J1872" t="s">
        <v>27</v>
      </c>
      <c r="K1872" t="s">
        <v>32</v>
      </c>
      <c r="L1872" s="2">
        <v>9.1</v>
      </c>
      <c r="M1872" s="3">
        <v>1110</v>
      </c>
      <c r="N1872">
        <v>7</v>
      </c>
      <c r="O1872">
        <v>7</v>
      </c>
      <c r="P1872">
        <v>1</v>
      </c>
      <c r="Q1872">
        <v>0</v>
      </c>
      <c r="R1872" s="4">
        <v>18.03</v>
      </c>
      <c r="S1872">
        <v>0</v>
      </c>
      <c r="T1872">
        <v>1</v>
      </c>
    </row>
    <row r="1873" spans="1:20" ht="16.5" x14ac:dyDescent="0.3">
      <c r="A1873" t="s">
        <v>1925</v>
      </c>
      <c r="B1873" s="1">
        <v>45573</v>
      </c>
      <c r="C1873">
        <v>2024</v>
      </c>
      <c r="D1873" t="s">
        <v>1873</v>
      </c>
      <c r="E1873" t="s">
        <v>1874</v>
      </c>
      <c r="F1873" t="s">
        <v>38</v>
      </c>
      <c r="G1873" t="s">
        <v>35</v>
      </c>
      <c r="H1873" t="s">
        <v>51</v>
      </c>
      <c r="I1873" t="s">
        <v>26</v>
      </c>
      <c r="J1873" t="s">
        <v>27</v>
      </c>
      <c r="K1873" t="s">
        <v>32</v>
      </c>
      <c r="L1873" s="2">
        <v>16.2</v>
      </c>
      <c r="M1873" s="3">
        <v>1280</v>
      </c>
      <c r="N1873">
        <v>5</v>
      </c>
      <c r="O1873">
        <v>5</v>
      </c>
      <c r="P1873">
        <v>1</v>
      </c>
      <c r="Q1873">
        <v>0</v>
      </c>
      <c r="R1873" s="4">
        <v>40.14</v>
      </c>
      <c r="S1873">
        <v>0</v>
      </c>
      <c r="T1873">
        <v>1</v>
      </c>
    </row>
    <row r="1874" spans="1:20" ht="16.5" x14ac:dyDescent="0.3">
      <c r="A1874" t="s">
        <v>1926</v>
      </c>
      <c r="B1874" s="1">
        <v>45573</v>
      </c>
      <c r="C1874">
        <v>2024</v>
      </c>
      <c r="D1874" t="s">
        <v>1873</v>
      </c>
      <c r="E1874" t="s">
        <v>1874</v>
      </c>
      <c r="F1874" t="s">
        <v>23</v>
      </c>
      <c r="G1874" t="s">
        <v>35</v>
      </c>
      <c r="H1874" t="s">
        <v>25</v>
      </c>
      <c r="I1874" t="s">
        <v>26</v>
      </c>
      <c r="J1874" t="s">
        <v>27</v>
      </c>
      <c r="K1874" t="s">
        <v>32</v>
      </c>
      <c r="L1874" s="2">
        <v>1.8</v>
      </c>
      <c r="M1874" s="3">
        <v>848</v>
      </c>
      <c r="N1874">
        <v>4</v>
      </c>
      <c r="O1874">
        <v>4</v>
      </c>
      <c r="P1874">
        <v>1</v>
      </c>
      <c r="Q1874">
        <v>0</v>
      </c>
      <c r="R1874" s="4">
        <v>17.670000000000002</v>
      </c>
      <c r="S1874">
        <v>0</v>
      </c>
      <c r="T1874">
        <v>1</v>
      </c>
    </row>
    <row r="1875" spans="1:20" ht="16.5" x14ac:dyDescent="0.3">
      <c r="A1875" t="s">
        <v>1927</v>
      </c>
      <c r="B1875" s="1">
        <v>45574</v>
      </c>
      <c r="C1875">
        <v>2024</v>
      </c>
      <c r="D1875" t="s">
        <v>1873</v>
      </c>
      <c r="E1875" t="s">
        <v>1874</v>
      </c>
      <c r="F1875" t="s">
        <v>57</v>
      </c>
      <c r="G1875" t="s">
        <v>24</v>
      </c>
      <c r="H1875" t="s">
        <v>36</v>
      </c>
      <c r="I1875" t="s">
        <v>26</v>
      </c>
      <c r="J1875" t="s">
        <v>27</v>
      </c>
      <c r="K1875" t="s">
        <v>32</v>
      </c>
      <c r="L1875" s="2">
        <v>4.9000000000000004</v>
      </c>
      <c r="M1875" s="3">
        <v>229</v>
      </c>
      <c r="N1875">
        <v>3</v>
      </c>
      <c r="O1875">
        <v>3</v>
      </c>
      <c r="P1875">
        <v>1</v>
      </c>
      <c r="Q1875">
        <v>0</v>
      </c>
      <c r="R1875" s="4">
        <v>12.41</v>
      </c>
      <c r="S1875">
        <v>0</v>
      </c>
      <c r="T1875">
        <v>1</v>
      </c>
    </row>
    <row r="1876" spans="1:20" ht="16.5" x14ac:dyDescent="0.3">
      <c r="A1876" t="s">
        <v>1928</v>
      </c>
      <c r="B1876" s="1">
        <v>45574</v>
      </c>
      <c r="C1876">
        <v>2024</v>
      </c>
      <c r="D1876" t="s">
        <v>1873</v>
      </c>
      <c r="E1876" t="s">
        <v>1874</v>
      </c>
      <c r="F1876" t="s">
        <v>30</v>
      </c>
      <c r="G1876" t="s">
        <v>24</v>
      </c>
      <c r="H1876" t="s">
        <v>48</v>
      </c>
      <c r="I1876" t="s">
        <v>26</v>
      </c>
      <c r="J1876" t="s">
        <v>27</v>
      </c>
      <c r="K1876" t="s">
        <v>32</v>
      </c>
      <c r="L1876" s="2">
        <v>6</v>
      </c>
      <c r="M1876" s="3">
        <v>338</v>
      </c>
      <c r="N1876">
        <v>4</v>
      </c>
      <c r="O1876">
        <v>4</v>
      </c>
      <c r="P1876">
        <v>1</v>
      </c>
      <c r="Q1876">
        <v>0</v>
      </c>
      <c r="R1876" s="4">
        <v>12.72</v>
      </c>
      <c r="S1876">
        <v>0</v>
      </c>
      <c r="T1876">
        <v>1</v>
      </c>
    </row>
    <row r="1877" spans="1:20" ht="16.5" x14ac:dyDescent="0.3">
      <c r="A1877" t="s">
        <v>1929</v>
      </c>
      <c r="B1877" s="1">
        <v>45574</v>
      </c>
      <c r="C1877">
        <v>2024</v>
      </c>
      <c r="D1877" t="s">
        <v>1873</v>
      </c>
      <c r="E1877" t="s">
        <v>1874</v>
      </c>
      <c r="F1877" t="s">
        <v>30</v>
      </c>
      <c r="G1877" t="s">
        <v>24</v>
      </c>
      <c r="H1877" t="s">
        <v>51</v>
      </c>
      <c r="I1877" t="s">
        <v>26</v>
      </c>
      <c r="J1877" t="s">
        <v>27</v>
      </c>
      <c r="K1877" t="s">
        <v>32</v>
      </c>
      <c r="L1877" s="2">
        <v>8.6</v>
      </c>
      <c r="M1877" s="3">
        <v>1125</v>
      </c>
      <c r="N1877">
        <v>5</v>
      </c>
      <c r="O1877">
        <v>8</v>
      </c>
      <c r="P1877">
        <v>0</v>
      </c>
      <c r="Q1877">
        <v>3</v>
      </c>
      <c r="R1877" s="4">
        <v>23.89</v>
      </c>
      <c r="S1877">
        <v>0</v>
      </c>
      <c r="T1877">
        <v>1</v>
      </c>
    </row>
    <row r="1878" spans="1:20" ht="16.5" x14ac:dyDescent="0.3">
      <c r="A1878" t="s">
        <v>1930</v>
      </c>
      <c r="B1878" s="1">
        <v>45574</v>
      </c>
      <c r="C1878">
        <v>2024</v>
      </c>
      <c r="D1878" t="s">
        <v>1873</v>
      </c>
      <c r="E1878" t="s">
        <v>1874</v>
      </c>
      <c r="F1878" t="s">
        <v>38</v>
      </c>
      <c r="G1878" t="s">
        <v>39</v>
      </c>
      <c r="H1878" t="s">
        <v>25</v>
      </c>
      <c r="I1878" t="s">
        <v>26</v>
      </c>
      <c r="J1878" t="s">
        <v>27</v>
      </c>
      <c r="K1878" t="s">
        <v>28</v>
      </c>
      <c r="L1878" s="2">
        <v>35.9</v>
      </c>
      <c r="M1878" s="3">
        <v>771</v>
      </c>
      <c r="N1878">
        <v>4</v>
      </c>
      <c r="O1878">
        <v>4</v>
      </c>
      <c r="P1878">
        <v>1</v>
      </c>
      <c r="Q1878">
        <v>0</v>
      </c>
      <c r="R1878" s="4">
        <v>37.549999999999997</v>
      </c>
      <c r="S1878">
        <v>0</v>
      </c>
      <c r="T1878">
        <v>1</v>
      </c>
    </row>
    <row r="1879" spans="1:20" ht="16.5" x14ac:dyDescent="0.3">
      <c r="A1879" t="s">
        <v>1931</v>
      </c>
      <c r="B1879" s="1">
        <v>45574</v>
      </c>
      <c r="C1879">
        <v>2024</v>
      </c>
      <c r="D1879" t="s">
        <v>1873</v>
      </c>
      <c r="E1879" t="s">
        <v>1874</v>
      </c>
      <c r="F1879" t="s">
        <v>30</v>
      </c>
      <c r="G1879" t="s">
        <v>35</v>
      </c>
      <c r="H1879" t="s">
        <v>25</v>
      </c>
      <c r="I1879" t="s">
        <v>26</v>
      </c>
      <c r="J1879" t="s">
        <v>27</v>
      </c>
      <c r="K1879" t="s">
        <v>32</v>
      </c>
      <c r="L1879" s="2">
        <v>4.5999999999999996</v>
      </c>
      <c r="M1879" s="3">
        <v>1160</v>
      </c>
      <c r="N1879">
        <v>4</v>
      </c>
      <c r="O1879">
        <v>3</v>
      </c>
      <c r="P1879">
        <v>1</v>
      </c>
      <c r="Q1879">
        <v>0</v>
      </c>
      <c r="R1879" s="4">
        <v>26</v>
      </c>
      <c r="S1879">
        <v>0</v>
      </c>
      <c r="T1879">
        <v>1</v>
      </c>
    </row>
    <row r="1880" spans="1:20" ht="16.5" x14ac:dyDescent="0.3">
      <c r="A1880" t="s">
        <v>1932</v>
      </c>
      <c r="B1880" s="1">
        <v>45574</v>
      </c>
      <c r="C1880">
        <v>2024</v>
      </c>
      <c r="D1880" t="s">
        <v>1873</v>
      </c>
      <c r="E1880" t="s">
        <v>1874</v>
      </c>
      <c r="F1880" t="s">
        <v>57</v>
      </c>
      <c r="G1880" t="s">
        <v>24</v>
      </c>
      <c r="H1880" t="s">
        <v>43</v>
      </c>
      <c r="I1880" t="s">
        <v>31</v>
      </c>
      <c r="J1880" t="s">
        <v>27</v>
      </c>
      <c r="K1880" t="s">
        <v>28</v>
      </c>
      <c r="L1880" s="2">
        <v>161.1</v>
      </c>
      <c r="M1880" s="3">
        <v>953</v>
      </c>
      <c r="N1880">
        <v>7</v>
      </c>
      <c r="O1880">
        <v>7</v>
      </c>
      <c r="P1880">
        <v>1</v>
      </c>
      <c r="Q1880">
        <v>0</v>
      </c>
      <c r="R1880" s="4">
        <v>60.07</v>
      </c>
      <c r="S1880">
        <v>0</v>
      </c>
      <c r="T1880">
        <v>1</v>
      </c>
    </row>
    <row r="1881" spans="1:20" ht="16.5" x14ac:dyDescent="0.3">
      <c r="A1881" t="s">
        <v>1933</v>
      </c>
      <c r="B1881" s="1">
        <v>45574</v>
      </c>
      <c r="C1881">
        <v>2024</v>
      </c>
      <c r="D1881" t="s">
        <v>1873</v>
      </c>
      <c r="E1881" t="s">
        <v>1874</v>
      </c>
      <c r="F1881" t="s">
        <v>34</v>
      </c>
      <c r="G1881" t="s">
        <v>24</v>
      </c>
      <c r="H1881" t="s">
        <v>25</v>
      </c>
      <c r="I1881" t="s">
        <v>26</v>
      </c>
      <c r="J1881" t="s">
        <v>27</v>
      </c>
      <c r="K1881" t="s">
        <v>32</v>
      </c>
      <c r="L1881" s="2">
        <v>6.4</v>
      </c>
      <c r="M1881" s="3">
        <v>1094</v>
      </c>
      <c r="N1881">
        <v>4</v>
      </c>
      <c r="O1881">
        <v>4</v>
      </c>
      <c r="P1881">
        <v>1</v>
      </c>
      <c r="Q1881">
        <v>0</v>
      </c>
      <c r="R1881" s="4">
        <v>20.440000000000001</v>
      </c>
      <c r="S1881">
        <v>0</v>
      </c>
      <c r="T1881">
        <v>1</v>
      </c>
    </row>
    <row r="1882" spans="1:20" ht="16.5" x14ac:dyDescent="0.3">
      <c r="A1882" t="s">
        <v>1934</v>
      </c>
      <c r="B1882" s="1">
        <v>45574</v>
      </c>
      <c r="C1882">
        <v>2024</v>
      </c>
      <c r="D1882" t="s">
        <v>1873</v>
      </c>
      <c r="E1882" t="s">
        <v>1874</v>
      </c>
      <c r="F1882" t="s">
        <v>57</v>
      </c>
      <c r="G1882" t="s">
        <v>24</v>
      </c>
      <c r="H1882" t="s">
        <v>51</v>
      </c>
      <c r="I1882" t="s">
        <v>31</v>
      </c>
      <c r="J1882" t="s">
        <v>27</v>
      </c>
      <c r="K1882" t="s">
        <v>32</v>
      </c>
      <c r="L1882" s="2">
        <v>3.9</v>
      </c>
      <c r="M1882" s="3">
        <v>1485</v>
      </c>
      <c r="N1882">
        <v>7</v>
      </c>
      <c r="O1882">
        <v>7</v>
      </c>
      <c r="P1882">
        <v>1</v>
      </c>
      <c r="Q1882">
        <v>0</v>
      </c>
      <c r="R1882" s="4">
        <v>18.7</v>
      </c>
      <c r="S1882">
        <v>0</v>
      </c>
      <c r="T1882">
        <v>1</v>
      </c>
    </row>
    <row r="1883" spans="1:20" ht="16.5" x14ac:dyDescent="0.3">
      <c r="A1883" t="s">
        <v>1935</v>
      </c>
      <c r="B1883" s="1">
        <v>45574</v>
      </c>
      <c r="C1883">
        <v>2024</v>
      </c>
      <c r="D1883" t="s">
        <v>1873</v>
      </c>
      <c r="E1883" t="s">
        <v>1874</v>
      </c>
      <c r="F1883" t="s">
        <v>34</v>
      </c>
      <c r="G1883" t="s">
        <v>35</v>
      </c>
      <c r="H1883" t="s">
        <v>36</v>
      </c>
      <c r="I1883" t="s">
        <v>31</v>
      </c>
      <c r="J1883" t="s">
        <v>27</v>
      </c>
      <c r="K1883" t="s">
        <v>32</v>
      </c>
      <c r="L1883" s="2">
        <v>5.5</v>
      </c>
      <c r="M1883" s="3">
        <v>292</v>
      </c>
      <c r="N1883">
        <v>5</v>
      </c>
      <c r="O1883">
        <v>5</v>
      </c>
      <c r="P1883">
        <v>1</v>
      </c>
      <c r="Q1883">
        <v>0</v>
      </c>
      <c r="R1883" s="4">
        <v>9.14</v>
      </c>
      <c r="S1883">
        <v>1</v>
      </c>
      <c r="T1883">
        <v>1</v>
      </c>
    </row>
    <row r="1884" spans="1:20" ht="16.5" x14ac:dyDescent="0.3">
      <c r="A1884" t="s">
        <v>1936</v>
      </c>
      <c r="B1884" s="1">
        <v>45575</v>
      </c>
      <c r="C1884">
        <v>2024</v>
      </c>
      <c r="D1884" t="s">
        <v>1873</v>
      </c>
      <c r="E1884" t="s">
        <v>1874</v>
      </c>
      <c r="F1884" t="s">
        <v>57</v>
      </c>
      <c r="G1884" t="s">
        <v>39</v>
      </c>
      <c r="H1884" t="s">
        <v>51</v>
      </c>
      <c r="I1884" t="s">
        <v>26</v>
      </c>
      <c r="J1884" t="s">
        <v>27</v>
      </c>
      <c r="K1884" t="s">
        <v>32</v>
      </c>
      <c r="L1884" s="2">
        <v>1.2</v>
      </c>
      <c r="M1884" s="3">
        <v>1200</v>
      </c>
      <c r="N1884">
        <v>5</v>
      </c>
      <c r="O1884">
        <v>5</v>
      </c>
      <c r="P1884">
        <v>1</v>
      </c>
      <c r="Q1884">
        <v>0</v>
      </c>
      <c r="R1884" s="4">
        <v>22.06</v>
      </c>
      <c r="S1884">
        <v>0</v>
      </c>
      <c r="T1884">
        <v>1</v>
      </c>
    </row>
    <row r="1885" spans="1:20" ht="16.5" x14ac:dyDescent="0.3">
      <c r="A1885" t="s">
        <v>1937</v>
      </c>
      <c r="B1885" s="1">
        <v>45575</v>
      </c>
      <c r="C1885">
        <v>2024</v>
      </c>
      <c r="D1885" t="s">
        <v>1873</v>
      </c>
      <c r="E1885" t="s">
        <v>1874</v>
      </c>
      <c r="F1885" t="s">
        <v>38</v>
      </c>
      <c r="G1885" t="s">
        <v>24</v>
      </c>
      <c r="H1885" t="s">
        <v>36</v>
      </c>
      <c r="I1885" t="s">
        <v>26</v>
      </c>
      <c r="J1885" t="s">
        <v>27</v>
      </c>
      <c r="K1885" t="s">
        <v>32</v>
      </c>
      <c r="L1885" s="2">
        <v>2.4</v>
      </c>
      <c r="M1885" s="3">
        <v>274</v>
      </c>
      <c r="N1885">
        <v>3</v>
      </c>
      <c r="O1885">
        <v>3</v>
      </c>
      <c r="P1885">
        <v>1</v>
      </c>
      <c r="Q1885">
        <v>0</v>
      </c>
      <c r="R1885" s="4">
        <v>12.3</v>
      </c>
      <c r="S1885">
        <v>0</v>
      </c>
      <c r="T1885">
        <v>1</v>
      </c>
    </row>
    <row r="1886" spans="1:20" ht="16.5" x14ac:dyDescent="0.3">
      <c r="A1886" t="s">
        <v>1938</v>
      </c>
      <c r="B1886" s="1">
        <v>45575</v>
      </c>
      <c r="C1886">
        <v>2024</v>
      </c>
      <c r="D1886" t="s">
        <v>1873</v>
      </c>
      <c r="E1886" t="s">
        <v>1874</v>
      </c>
      <c r="F1886" t="s">
        <v>30</v>
      </c>
      <c r="G1886" t="s">
        <v>39</v>
      </c>
      <c r="H1886" t="s">
        <v>36</v>
      </c>
      <c r="I1886" t="s">
        <v>26</v>
      </c>
      <c r="J1886" t="s">
        <v>27</v>
      </c>
      <c r="K1886" t="s">
        <v>32</v>
      </c>
      <c r="L1886" s="2">
        <v>1.8</v>
      </c>
      <c r="M1886" s="3">
        <v>302</v>
      </c>
      <c r="N1886">
        <v>3</v>
      </c>
      <c r="O1886">
        <v>2</v>
      </c>
      <c r="P1886">
        <v>1</v>
      </c>
      <c r="Q1886">
        <v>0</v>
      </c>
      <c r="R1886" s="4">
        <v>12.28</v>
      </c>
      <c r="S1886">
        <v>0</v>
      </c>
      <c r="T1886">
        <v>1</v>
      </c>
    </row>
    <row r="1887" spans="1:20" ht="16.5" x14ac:dyDescent="0.3">
      <c r="A1887" t="s">
        <v>1939</v>
      </c>
      <c r="B1887" s="1">
        <v>45575</v>
      </c>
      <c r="C1887">
        <v>2024</v>
      </c>
      <c r="D1887" t="s">
        <v>1873</v>
      </c>
      <c r="E1887" t="s">
        <v>1874</v>
      </c>
      <c r="F1887" t="s">
        <v>38</v>
      </c>
      <c r="G1887" t="s">
        <v>39</v>
      </c>
      <c r="H1887" t="s">
        <v>51</v>
      </c>
      <c r="I1887" t="s">
        <v>26</v>
      </c>
      <c r="J1887" t="s">
        <v>27</v>
      </c>
      <c r="K1887" t="s">
        <v>32</v>
      </c>
      <c r="L1887" s="2">
        <v>9.5</v>
      </c>
      <c r="M1887" s="3">
        <v>1106</v>
      </c>
      <c r="N1887">
        <v>5</v>
      </c>
      <c r="O1887">
        <v>4</v>
      </c>
      <c r="P1887">
        <v>1</v>
      </c>
      <c r="Q1887">
        <v>0</v>
      </c>
      <c r="R1887" s="4">
        <v>30.95</v>
      </c>
      <c r="S1887">
        <v>0</v>
      </c>
      <c r="T1887">
        <v>1</v>
      </c>
    </row>
    <row r="1888" spans="1:20" ht="16.5" x14ac:dyDescent="0.3">
      <c r="A1888" t="s">
        <v>1940</v>
      </c>
      <c r="B1888" s="1">
        <v>45575</v>
      </c>
      <c r="C1888">
        <v>2024</v>
      </c>
      <c r="D1888" t="s">
        <v>1873</v>
      </c>
      <c r="E1888" t="s">
        <v>1874</v>
      </c>
      <c r="F1888" t="s">
        <v>57</v>
      </c>
      <c r="G1888" t="s">
        <v>39</v>
      </c>
      <c r="H1888" t="s">
        <v>36</v>
      </c>
      <c r="I1888" t="s">
        <v>26</v>
      </c>
      <c r="J1888" t="s">
        <v>27</v>
      </c>
      <c r="K1888" t="s">
        <v>32</v>
      </c>
      <c r="L1888" s="2">
        <v>4.9000000000000004</v>
      </c>
      <c r="M1888" s="3">
        <v>230</v>
      </c>
      <c r="N1888">
        <v>3</v>
      </c>
      <c r="O1888">
        <v>5</v>
      </c>
      <c r="P1888">
        <v>0</v>
      </c>
      <c r="Q1888">
        <v>2</v>
      </c>
      <c r="R1888" s="4">
        <v>12.86</v>
      </c>
      <c r="S1888">
        <v>0</v>
      </c>
      <c r="T1888">
        <v>1</v>
      </c>
    </row>
    <row r="1889" spans="1:20" ht="16.5" x14ac:dyDescent="0.3">
      <c r="A1889" t="s">
        <v>1941</v>
      </c>
      <c r="B1889" s="1">
        <v>45575</v>
      </c>
      <c r="C1889">
        <v>2024</v>
      </c>
      <c r="D1889" t="s">
        <v>1873</v>
      </c>
      <c r="E1889" t="s">
        <v>1874</v>
      </c>
      <c r="F1889" t="s">
        <v>57</v>
      </c>
      <c r="G1889" t="s">
        <v>35</v>
      </c>
      <c r="H1889" t="s">
        <v>48</v>
      </c>
      <c r="I1889" t="s">
        <v>26</v>
      </c>
      <c r="J1889" t="s">
        <v>27</v>
      </c>
      <c r="K1889" t="s">
        <v>32</v>
      </c>
      <c r="L1889" s="2">
        <v>2.2999999999999998</v>
      </c>
      <c r="M1889" s="3">
        <v>476</v>
      </c>
      <c r="N1889">
        <v>4</v>
      </c>
      <c r="O1889">
        <v>6</v>
      </c>
      <c r="P1889">
        <v>0</v>
      </c>
      <c r="Q1889">
        <v>2</v>
      </c>
      <c r="R1889" s="4">
        <v>12.11</v>
      </c>
      <c r="S1889">
        <v>0</v>
      </c>
      <c r="T1889">
        <v>1</v>
      </c>
    </row>
    <row r="1890" spans="1:20" ht="16.5" x14ac:dyDescent="0.3">
      <c r="A1890" t="s">
        <v>1942</v>
      </c>
      <c r="B1890" s="1">
        <v>45576</v>
      </c>
      <c r="C1890">
        <v>2024</v>
      </c>
      <c r="D1890" t="s">
        <v>1873</v>
      </c>
      <c r="E1890" t="s">
        <v>1874</v>
      </c>
      <c r="F1890" t="s">
        <v>57</v>
      </c>
      <c r="G1890" t="s">
        <v>24</v>
      </c>
      <c r="H1890" t="s">
        <v>25</v>
      </c>
      <c r="I1890" t="s">
        <v>31</v>
      </c>
      <c r="J1890" t="s">
        <v>27</v>
      </c>
      <c r="K1890" t="s">
        <v>32</v>
      </c>
      <c r="L1890" s="2">
        <v>11.1</v>
      </c>
      <c r="M1890" s="3">
        <v>999</v>
      </c>
      <c r="N1890">
        <v>6</v>
      </c>
      <c r="O1890">
        <v>6</v>
      </c>
      <c r="P1890">
        <v>1</v>
      </c>
      <c r="Q1890">
        <v>0</v>
      </c>
      <c r="R1890" s="4">
        <v>17.95</v>
      </c>
      <c r="S1890">
        <v>0</v>
      </c>
      <c r="T1890">
        <v>1</v>
      </c>
    </row>
    <row r="1891" spans="1:20" ht="16.5" x14ac:dyDescent="0.3">
      <c r="A1891" t="s">
        <v>1943</v>
      </c>
      <c r="B1891" s="1">
        <v>45576</v>
      </c>
      <c r="C1891">
        <v>2024</v>
      </c>
      <c r="D1891" t="s">
        <v>1873</v>
      </c>
      <c r="E1891" t="s">
        <v>1874</v>
      </c>
      <c r="F1891" t="s">
        <v>38</v>
      </c>
      <c r="G1891" t="s">
        <v>39</v>
      </c>
      <c r="H1891" t="s">
        <v>36</v>
      </c>
      <c r="I1891" t="s">
        <v>40</v>
      </c>
      <c r="J1891" t="s">
        <v>27</v>
      </c>
      <c r="K1891" t="s">
        <v>32</v>
      </c>
      <c r="L1891" s="2">
        <v>8.6999999999999993</v>
      </c>
      <c r="M1891" s="3">
        <v>225</v>
      </c>
      <c r="N1891">
        <v>1</v>
      </c>
      <c r="O1891">
        <v>1</v>
      </c>
      <c r="P1891">
        <v>1</v>
      </c>
      <c r="Q1891">
        <v>0</v>
      </c>
      <c r="R1891" s="4">
        <v>33.26</v>
      </c>
      <c r="S1891">
        <v>0</v>
      </c>
      <c r="T1891">
        <v>1</v>
      </c>
    </row>
    <row r="1892" spans="1:20" ht="16.5" x14ac:dyDescent="0.3">
      <c r="A1892" t="s">
        <v>1944</v>
      </c>
      <c r="B1892" s="1">
        <v>45576</v>
      </c>
      <c r="C1892">
        <v>2024</v>
      </c>
      <c r="D1892" t="s">
        <v>1873</v>
      </c>
      <c r="E1892" t="s">
        <v>1874</v>
      </c>
      <c r="F1892" t="s">
        <v>57</v>
      </c>
      <c r="G1892" t="s">
        <v>35</v>
      </c>
      <c r="H1892" t="s">
        <v>48</v>
      </c>
      <c r="I1892" t="s">
        <v>26</v>
      </c>
      <c r="J1892" t="s">
        <v>27</v>
      </c>
      <c r="K1892" t="s">
        <v>28</v>
      </c>
      <c r="L1892" s="2">
        <v>289.5</v>
      </c>
      <c r="M1892" s="3">
        <v>643</v>
      </c>
      <c r="N1892">
        <v>4</v>
      </c>
      <c r="O1892">
        <v>4</v>
      </c>
      <c r="P1892">
        <v>1</v>
      </c>
      <c r="Q1892">
        <v>0</v>
      </c>
      <c r="R1892" s="4">
        <v>118.4</v>
      </c>
      <c r="S1892">
        <v>0</v>
      </c>
      <c r="T1892">
        <v>1</v>
      </c>
    </row>
    <row r="1893" spans="1:20" ht="16.5" x14ac:dyDescent="0.3">
      <c r="A1893" t="s">
        <v>1945</v>
      </c>
      <c r="B1893" s="1">
        <v>45576</v>
      </c>
      <c r="C1893">
        <v>2024</v>
      </c>
      <c r="D1893" t="s">
        <v>1873</v>
      </c>
      <c r="E1893" t="s">
        <v>1874</v>
      </c>
      <c r="F1893" t="s">
        <v>34</v>
      </c>
      <c r="G1893" t="s">
        <v>39</v>
      </c>
      <c r="H1893" t="s">
        <v>48</v>
      </c>
      <c r="I1893" t="s">
        <v>26</v>
      </c>
      <c r="J1893" t="s">
        <v>27</v>
      </c>
      <c r="K1893" t="s">
        <v>32</v>
      </c>
      <c r="L1893" s="2">
        <v>2.7</v>
      </c>
      <c r="M1893" s="3">
        <v>483</v>
      </c>
      <c r="N1893">
        <v>4</v>
      </c>
      <c r="O1893">
        <v>4</v>
      </c>
      <c r="P1893">
        <v>1</v>
      </c>
      <c r="Q1893">
        <v>0</v>
      </c>
      <c r="R1893" s="4">
        <v>11.27</v>
      </c>
      <c r="S1893">
        <v>0</v>
      </c>
      <c r="T1893">
        <v>1</v>
      </c>
    </row>
    <row r="1894" spans="1:20" ht="16.5" x14ac:dyDescent="0.3">
      <c r="A1894" t="s">
        <v>1946</v>
      </c>
      <c r="B1894" s="1">
        <v>45576</v>
      </c>
      <c r="C1894">
        <v>2024</v>
      </c>
      <c r="D1894" t="s">
        <v>1873</v>
      </c>
      <c r="E1894" t="s">
        <v>1874</v>
      </c>
      <c r="F1894" t="s">
        <v>23</v>
      </c>
      <c r="G1894" t="s">
        <v>24</v>
      </c>
      <c r="H1894" t="s">
        <v>43</v>
      </c>
      <c r="I1894" t="s">
        <v>26</v>
      </c>
      <c r="J1894" t="s">
        <v>27</v>
      </c>
      <c r="K1894" t="s">
        <v>32</v>
      </c>
      <c r="L1894" s="2">
        <v>4.7</v>
      </c>
      <c r="M1894" s="3">
        <v>1036</v>
      </c>
      <c r="N1894">
        <v>5</v>
      </c>
      <c r="O1894">
        <v>5</v>
      </c>
      <c r="P1894">
        <v>1</v>
      </c>
      <c r="Q1894">
        <v>0</v>
      </c>
      <c r="R1894" s="4">
        <v>20.37</v>
      </c>
      <c r="S1894">
        <v>0</v>
      </c>
      <c r="T1894">
        <v>1</v>
      </c>
    </row>
    <row r="1895" spans="1:20" ht="16.5" x14ac:dyDescent="0.3">
      <c r="A1895" t="s">
        <v>1947</v>
      </c>
      <c r="B1895" s="1">
        <v>45576</v>
      </c>
      <c r="C1895">
        <v>2024</v>
      </c>
      <c r="D1895" t="s">
        <v>1873</v>
      </c>
      <c r="E1895" t="s">
        <v>1874</v>
      </c>
      <c r="F1895" t="s">
        <v>23</v>
      </c>
      <c r="G1895" t="s">
        <v>39</v>
      </c>
      <c r="H1895" t="s">
        <v>43</v>
      </c>
      <c r="I1895" t="s">
        <v>26</v>
      </c>
      <c r="J1895" t="s">
        <v>27</v>
      </c>
      <c r="K1895" t="s">
        <v>32</v>
      </c>
      <c r="L1895" s="2">
        <v>8.1</v>
      </c>
      <c r="M1895" s="3">
        <v>1047</v>
      </c>
      <c r="N1895">
        <v>5</v>
      </c>
      <c r="O1895">
        <v>4</v>
      </c>
      <c r="P1895">
        <v>1</v>
      </c>
      <c r="Q1895">
        <v>0</v>
      </c>
      <c r="R1895" s="4">
        <v>19.809999999999999</v>
      </c>
      <c r="S1895">
        <v>0</v>
      </c>
      <c r="T1895">
        <v>1</v>
      </c>
    </row>
    <row r="1896" spans="1:20" ht="16.5" x14ac:dyDescent="0.3">
      <c r="A1896" t="s">
        <v>1948</v>
      </c>
      <c r="B1896" s="1">
        <v>45576</v>
      </c>
      <c r="C1896">
        <v>2024</v>
      </c>
      <c r="D1896" t="s">
        <v>1873</v>
      </c>
      <c r="E1896" t="s">
        <v>1874</v>
      </c>
      <c r="F1896" t="s">
        <v>30</v>
      </c>
      <c r="G1896" t="s">
        <v>39</v>
      </c>
      <c r="H1896" t="s">
        <v>51</v>
      </c>
      <c r="I1896" t="s">
        <v>26</v>
      </c>
      <c r="J1896" t="s">
        <v>27</v>
      </c>
      <c r="K1896" t="s">
        <v>28</v>
      </c>
      <c r="L1896" s="2">
        <v>273.2</v>
      </c>
      <c r="M1896" s="3">
        <v>1310</v>
      </c>
      <c r="N1896">
        <v>5</v>
      </c>
      <c r="O1896">
        <v>5</v>
      </c>
      <c r="P1896">
        <v>1</v>
      </c>
      <c r="Q1896">
        <v>0</v>
      </c>
      <c r="R1896" s="4">
        <v>133.27000000000001</v>
      </c>
      <c r="S1896">
        <v>0</v>
      </c>
      <c r="T1896">
        <v>1</v>
      </c>
    </row>
    <row r="1897" spans="1:20" ht="16.5" x14ac:dyDescent="0.3">
      <c r="A1897" t="s">
        <v>1949</v>
      </c>
      <c r="B1897" s="1">
        <v>45576</v>
      </c>
      <c r="C1897">
        <v>2024</v>
      </c>
      <c r="D1897" t="s">
        <v>1873</v>
      </c>
      <c r="E1897" t="s">
        <v>1874</v>
      </c>
      <c r="F1897" t="s">
        <v>34</v>
      </c>
      <c r="G1897" t="s">
        <v>39</v>
      </c>
      <c r="H1897" t="s">
        <v>36</v>
      </c>
      <c r="I1897" t="s">
        <v>31</v>
      </c>
      <c r="J1897" t="s">
        <v>27</v>
      </c>
      <c r="K1897" t="s">
        <v>28</v>
      </c>
      <c r="L1897" s="2">
        <v>124</v>
      </c>
      <c r="M1897" s="3">
        <v>222</v>
      </c>
      <c r="N1897">
        <v>5</v>
      </c>
      <c r="O1897">
        <v>5</v>
      </c>
      <c r="P1897">
        <v>1</v>
      </c>
      <c r="Q1897">
        <v>0</v>
      </c>
      <c r="R1897" s="4">
        <v>43.77</v>
      </c>
      <c r="S1897">
        <v>0</v>
      </c>
      <c r="T1897">
        <v>1</v>
      </c>
    </row>
    <row r="1898" spans="1:20" ht="16.5" x14ac:dyDescent="0.3">
      <c r="A1898" t="s">
        <v>1950</v>
      </c>
      <c r="B1898" s="1">
        <v>45576</v>
      </c>
      <c r="C1898">
        <v>2024</v>
      </c>
      <c r="D1898" t="s">
        <v>1873</v>
      </c>
      <c r="E1898" t="s">
        <v>1874</v>
      </c>
      <c r="F1898" t="s">
        <v>23</v>
      </c>
      <c r="G1898" t="s">
        <v>24</v>
      </c>
      <c r="H1898" t="s">
        <v>43</v>
      </c>
      <c r="I1898" t="s">
        <v>26</v>
      </c>
      <c r="J1898" t="s">
        <v>27</v>
      </c>
      <c r="K1898" t="s">
        <v>28</v>
      </c>
      <c r="L1898" s="2">
        <v>112.9</v>
      </c>
      <c r="M1898" s="3">
        <v>1032</v>
      </c>
      <c r="N1898">
        <v>5</v>
      </c>
      <c r="O1898">
        <v>4</v>
      </c>
      <c r="P1898">
        <v>1</v>
      </c>
      <c r="Q1898">
        <v>0</v>
      </c>
      <c r="R1898" s="4">
        <v>64.28</v>
      </c>
      <c r="S1898">
        <v>0</v>
      </c>
      <c r="T1898">
        <v>1</v>
      </c>
    </row>
    <row r="1899" spans="1:20" ht="16.5" x14ac:dyDescent="0.3">
      <c r="A1899" t="s">
        <v>1951</v>
      </c>
      <c r="B1899" s="1">
        <v>45576</v>
      </c>
      <c r="C1899">
        <v>2024</v>
      </c>
      <c r="D1899" t="s">
        <v>1873</v>
      </c>
      <c r="E1899" t="s">
        <v>1874</v>
      </c>
      <c r="F1899" t="s">
        <v>34</v>
      </c>
      <c r="G1899" t="s">
        <v>35</v>
      </c>
      <c r="H1899" t="s">
        <v>25</v>
      </c>
      <c r="I1899" t="s">
        <v>26</v>
      </c>
      <c r="J1899" t="s">
        <v>27</v>
      </c>
      <c r="K1899" t="s">
        <v>32</v>
      </c>
      <c r="L1899" s="2">
        <v>0.7</v>
      </c>
      <c r="M1899" s="3">
        <v>968</v>
      </c>
      <c r="N1899">
        <v>4</v>
      </c>
      <c r="O1899">
        <v>3</v>
      </c>
      <c r="P1899">
        <v>1</v>
      </c>
      <c r="Q1899">
        <v>0</v>
      </c>
      <c r="R1899" s="4">
        <v>16.420000000000002</v>
      </c>
      <c r="S1899">
        <v>0</v>
      </c>
      <c r="T1899">
        <v>1</v>
      </c>
    </row>
    <row r="1900" spans="1:20" ht="16.5" x14ac:dyDescent="0.3">
      <c r="A1900" t="s">
        <v>1952</v>
      </c>
      <c r="B1900" s="1">
        <v>45576</v>
      </c>
      <c r="C1900">
        <v>2024</v>
      </c>
      <c r="D1900" t="s">
        <v>1873</v>
      </c>
      <c r="E1900" t="s">
        <v>1874</v>
      </c>
      <c r="F1900" t="s">
        <v>57</v>
      </c>
      <c r="G1900" t="s">
        <v>35</v>
      </c>
      <c r="H1900" t="s">
        <v>43</v>
      </c>
      <c r="I1900" t="s">
        <v>26</v>
      </c>
      <c r="J1900" t="s">
        <v>27</v>
      </c>
      <c r="K1900" t="s">
        <v>32</v>
      </c>
      <c r="L1900" s="2">
        <v>3</v>
      </c>
      <c r="M1900" s="3">
        <v>1102</v>
      </c>
      <c r="N1900">
        <v>5</v>
      </c>
      <c r="O1900">
        <v>4</v>
      </c>
      <c r="P1900">
        <v>1</v>
      </c>
      <c r="Q1900">
        <v>0</v>
      </c>
      <c r="R1900" s="4">
        <v>22.24</v>
      </c>
      <c r="S1900">
        <v>0</v>
      </c>
      <c r="T1900">
        <v>1</v>
      </c>
    </row>
    <row r="1901" spans="1:20" ht="16.5" x14ac:dyDescent="0.3">
      <c r="A1901" t="s">
        <v>1953</v>
      </c>
      <c r="B1901" s="1">
        <v>45576</v>
      </c>
      <c r="C1901">
        <v>2024</v>
      </c>
      <c r="D1901" t="s">
        <v>1873</v>
      </c>
      <c r="E1901" t="s">
        <v>1874</v>
      </c>
      <c r="F1901" t="s">
        <v>34</v>
      </c>
      <c r="G1901" t="s">
        <v>35</v>
      </c>
      <c r="H1901" t="s">
        <v>51</v>
      </c>
      <c r="I1901" t="s">
        <v>26</v>
      </c>
      <c r="J1901" t="s">
        <v>27</v>
      </c>
      <c r="K1901" t="s">
        <v>28</v>
      </c>
      <c r="L1901" s="2">
        <v>49.5</v>
      </c>
      <c r="M1901" s="3">
        <v>1198</v>
      </c>
      <c r="N1901">
        <v>5</v>
      </c>
      <c r="O1901">
        <v>8</v>
      </c>
      <c r="P1901">
        <v>0</v>
      </c>
      <c r="Q1901">
        <v>3</v>
      </c>
      <c r="R1901" s="4">
        <v>37.22</v>
      </c>
      <c r="S1901">
        <v>0</v>
      </c>
      <c r="T1901">
        <v>1</v>
      </c>
    </row>
    <row r="1902" spans="1:20" ht="16.5" x14ac:dyDescent="0.3">
      <c r="A1902" t="s">
        <v>1954</v>
      </c>
      <c r="B1902" s="1">
        <v>45576</v>
      </c>
      <c r="C1902">
        <v>2024</v>
      </c>
      <c r="D1902" t="s">
        <v>1873</v>
      </c>
      <c r="E1902" t="s">
        <v>1874</v>
      </c>
      <c r="F1902" t="s">
        <v>57</v>
      </c>
      <c r="G1902" t="s">
        <v>35</v>
      </c>
      <c r="H1902" t="s">
        <v>25</v>
      </c>
      <c r="I1902" t="s">
        <v>26</v>
      </c>
      <c r="J1902" t="s">
        <v>27</v>
      </c>
      <c r="K1902" t="s">
        <v>32</v>
      </c>
      <c r="L1902" s="2">
        <v>2.6</v>
      </c>
      <c r="M1902" s="3">
        <v>832</v>
      </c>
      <c r="N1902">
        <v>4</v>
      </c>
      <c r="O1902">
        <v>6</v>
      </c>
      <c r="P1902">
        <v>0</v>
      </c>
      <c r="Q1902">
        <v>2</v>
      </c>
      <c r="R1902" s="4">
        <v>18.87</v>
      </c>
      <c r="S1902">
        <v>0</v>
      </c>
      <c r="T1902">
        <v>1</v>
      </c>
    </row>
    <row r="1903" spans="1:20" ht="16.5" x14ac:dyDescent="0.3">
      <c r="A1903" t="s">
        <v>1955</v>
      </c>
      <c r="B1903" s="1">
        <v>45576</v>
      </c>
      <c r="C1903">
        <v>2024</v>
      </c>
      <c r="D1903" t="s">
        <v>1873</v>
      </c>
      <c r="E1903" t="s">
        <v>1874</v>
      </c>
      <c r="F1903" t="s">
        <v>38</v>
      </c>
      <c r="G1903" t="s">
        <v>39</v>
      </c>
      <c r="H1903" t="s">
        <v>25</v>
      </c>
      <c r="I1903" t="s">
        <v>26</v>
      </c>
      <c r="J1903" t="s">
        <v>27</v>
      </c>
      <c r="K1903" t="s">
        <v>28</v>
      </c>
      <c r="L1903" s="2">
        <v>120.7</v>
      </c>
      <c r="M1903" s="3">
        <v>1109</v>
      </c>
      <c r="N1903">
        <v>4</v>
      </c>
      <c r="O1903">
        <v>4</v>
      </c>
      <c r="P1903">
        <v>1</v>
      </c>
      <c r="Q1903">
        <v>0</v>
      </c>
      <c r="R1903" s="4">
        <v>80.89</v>
      </c>
      <c r="S1903">
        <v>0</v>
      </c>
      <c r="T1903">
        <v>1</v>
      </c>
    </row>
    <row r="1904" spans="1:20" ht="16.5" x14ac:dyDescent="0.3">
      <c r="A1904" t="s">
        <v>1956</v>
      </c>
      <c r="B1904" s="1">
        <v>45576</v>
      </c>
      <c r="C1904">
        <v>2024</v>
      </c>
      <c r="D1904" t="s">
        <v>1873</v>
      </c>
      <c r="E1904" t="s">
        <v>1874</v>
      </c>
      <c r="F1904" t="s">
        <v>38</v>
      </c>
      <c r="G1904" t="s">
        <v>39</v>
      </c>
      <c r="H1904" t="s">
        <v>36</v>
      </c>
      <c r="I1904" t="s">
        <v>31</v>
      </c>
      <c r="J1904" t="s">
        <v>27</v>
      </c>
      <c r="K1904" t="s">
        <v>28</v>
      </c>
      <c r="L1904" s="2">
        <v>47.1</v>
      </c>
      <c r="M1904" s="3">
        <v>235</v>
      </c>
      <c r="N1904">
        <v>5</v>
      </c>
      <c r="O1904">
        <v>5</v>
      </c>
      <c r="P1904">
        <v>1</v>
      </c>
      <c r="Q1904">
        <v>0</v>
      </c>
      <c r="R1904" s="4">
        <v>25.27</v>
      </c>
      <c r="S1904">
        <v>0</v>
      </c>
      <c r="T1904">
        <v>1</v>
      </c>
    </row>
    <row r="1905" spans="1:20" ht="16.5" x14ac:dyDescent="0.3">
      <c r="A1905" t="s">
        <v>1957</v>
      </c>
      <c r="B1905" s="1">
        <v>45577</v>
      </c>
      <c r="C1905">
        <v>2024</v>
      </c>
      <c r="D1905" t="s">
        <v>1873</v>
      </c>
      <c r="E1905" t="s">
        <v>1874</v>
      </c>
      <c r="F1905" t="s">
        <v>38</v>
      </c>
      <c r="G1905" t="s">
        <v>24</v>
      </c>
      <c r="H1905" t="s">
        <v>48</v>
      </c>
      <c r="I1905" t="s">
        <v>26</v>
      </c>
      <c r="J1905" t="s">
        <v>27</v>
      </c>
      <c r="K1905" t="s">
        <v>28</v>
      </c>
      <c r="L1905" s="2">
        <v>47.3</v>
      </c>
      <c r="M1905" s="3">
        <v>531</v>
      </c>
      <c r="N1905">
        <v>4</v>
      </c>
      <c r="O1905">
        <v>4</v>
      </c>
      <c r="P1905">
        <v>1</v>
      </c>
      <c r="Q1905">
        <v>0</v>
      </c>
      <c r="R1905" s="4">
        <v>42.88</v>
      </c>
      <c r="S1905">
        <v>0</v>
      </c>
      <c r="T1905">
        <v>1</v>
      </c>
    </row>
    <row r="1906" spans="1:20" ht="16.5" x14ac:dyDescent="0.3">
      <c r="A1906" t="s">
        <v>1958</v>
      </c>
      <c r="B1906" s="1">
        <v>45577</v>
      </c>
      <c r="C1906">
        <v>2024</v>
      </c>
      <c r="D1906" t="s">
        <v>1873</v>
      </c>
      <c r="E1906" t="s">
        <v>1874</v>
      </c>
      <c r="F1906" t="s">
        <v>34</v>
      </c>
      <c r="G1906" t="s">
        <v>35</v>
      </c>
      <c r="H1906" t="s">
        <v>25</v>
      </c>
      <c r="I1906" t="s">
        <v>26</v>
      </c>
      <c r="J1906" t="s">
        <v>27</v>
      </c>
      <c r="K1906" t="s">
        <v>32</v>
      </c>
      <c r="L1906" s="2">
        <v>9.6</v>
      </c>
      <c r="M1906" s="3">
        <v>708</v>
      </c>
      <c r="N1906">
        <v>4</v>
      </c>
      <c r="O1906">
        <v>4</v>
      </c>
      <c r="P1906">
        <v>1</v>
      </c>
      <c r="Q1906">
        <v>0</v>
      </c>
      <c r="R1906" s="4">
        <v>17.2</v>
      </c>
      <c r="S1906">
        <v>0</v>
      </c>
      <c r="T1906">
        <v>1</v>
      </c>
    </row>
    <row r="1907" spans="1:20" ht="16.5" x14ac:dyDescent="0.3">
      <c r="A1907" t="s">
        <v>1959</v>
      </c>
      <c r="B1907" s="1">
        <v>45577</v>
      </c>
      <c r="C1907">
        <v>2024</v>
      </c>
      <c r="D1907" t="s">
        <v>1873</v>
      </c>
      <c r="E1907" t="s">
        <v>1874</v>
      </c>
      <c r="F1907" t="s">
        <v>38</v>
      </c>
      <c r="G1907" t="s">
        <v>39</v>
      </c>
      <c r="H1907" t="s">
        <v>36</v>
      </c>
      <c r="I1907" t="s">
        <v>31</v>
      </c>
      <c r="J1907" t="s">
        <v>27</v>
      </c>
      <c r="K1907" t="s">
        <v>32</v>
      </c>
      <c r="L1907" s="2">
        <v>22.8</v>
      </c>
      <c r="M1907" s="3">
        <v>219</v>
      </c>
      <c r="N1907">
        <v>5</v>
      </c>
      <c r="O1907">
        <v>5</v>
      </c>
      <c r="P1907">
        <v>1</v>
      </c>
      <c r="Q1907">
        <v>0</v>
      </c>
      <c r="R1907" s="4">
        <v>18.260000000000002</v>
      </c>
      <c r="S1907">
        <v>0</v>
      </c>
      <c r="T1907">
        <v>1</v>
      </c>
    </row>
    <row r="1908" spans="1:20" ht="16.5" x14ac:dyDescent="0.3">
      <c r="A1908" t="s">
        <v>1960</v>
      </c>
      <c r="B1908" s="1">
        <v>45577</v>
      </c>
      <c r="C1908">
        <v>2024</v>
      </c>
      <c r="D1908" t="s">
        <v>1873</v>
      </c>
      <c r="E1908" t="s">
        <v>1874</v>
      </c>
      <c r="F1908" t="s">
        <v>34</v>
      </c>
      <c r="G1908" t="s">
        <v>35</v>
      </c>
      <c r="H1908" t="s">
        <v>25</v>
      </c>
      <c r="I1908" t="s">
        <v>31</v>
      </c>
      <c r="J1908" t="s">
        <v>27</v>
      </c>
      <c r="K1908" t="s">
        <v>32</v>
      </c>
      <c r="L1908" s="2">
        <v>13.4</v>
      </c>
      <c r="M1908" s="3">
        <v>920</v>
      </c>
      <c r="N1908">
        <v>6</v>
      </c>
      <c r="O1908">
        <v>6</v>
      </c>
      <c r="P1908">
        <v>1</v>
      </c>
      <c r="Q1908">
        <v>0</v>
      </c>
      <c r="R1908" s="4">
        <v>17.510000000000002</v>
      </c>
      <c r="S1908">
        <v>0</v>
      </c>
      <c r="T1908">
        <v>1</v>
      </c>
    </row>
    <row r="1909" spans="1:20" ht="16.5" x14ac:dyDescent="0.3">
      <c r="A1909" t="s">
        <v>1961</v>
      </c>
      <c r="B1909" s="1">
        <v>45577</v>
      </c>
      <c r="C1909">
        <v>2024</v>
      </c>
      <c r="D1909" t="s">
        <v>1873</v>
      </c>
      <c r="E1909" t="s">
        <v>1874</v>
      </c>
      <c r="F1909" t="s">
        <v>57</v>
      </c>
      <c r="G1909" t="s">
        <v>35</v>
      </c>
      <c r="H1909" t="s">
        <v>36</v>
      </c>
      <c r="I1909" t="s">
        <v>40</v>
      </c>
      <c r="J1909" t="s">
        <v>27</v>
      </c>
      <c r="K1909" t="s">
        <v>28</v>
      </c>
      <c r="L1909" s="2">
        <v>113.7</v>
      </c>
      <c r="M1909" s="3">
        <v>244</v>
      </c>
      <c r="N1909">
        <v>1</v>
      </c>
      <c r="O1909">
        <v>1</v>
      </c>
      <c r="P1909">
        <v>1</v>
      </c>
      <c r="Q1909">
        <v>0</v>
      </c>
      <c r="R1909" s="4">
        <v>115.12</v>
      </c>
      <c r="S1909">
        <v>0</v>
      </c>
      <c r="T1909">
        <v>1</v>
      </c>
    </row>
    <row r="1910" spans="1:20" ht="16.5" x14ac:dyDescent="0.3">
      <c r="A1910" t="s">
        <v>1962</v>
      </c>
      <c r="B1910" s="1">
        <v>45578</v>
      </c>
      <c r="C1910">
        <v>2024</v>
      </c>
      <c r="D1910" t="s">
        <v>1873</v>
      </c>
      <c r="E1910" t="s">
        <v>1874</v>
      </c>
      <c r="F1910" t="s">
        <v>38</v>
      </c>
      <c r="G1910" t="s">
        <v>39</v>
      </c>
      <c r="H1910" t="s">
        <v>48</v>
      </c>
      <c r="I1910" t="s">
        <v>31</v>
      </c>
      <c r="J1910" t="s">
        <v>27</v>
      </c>
      <c r="K1910" t="s">
        <v>32</v>
      </c>
      <c r="L1910" s="2">
        <v>2.7</v>
      </c>
      <c r="M1910" s="3">
        <v>610</v>
      </c>
      <c r="N1910">
        <v>6</v>
      </c>
      <c r="O1910">
        <v>6</v>
      </c>
      <c r="P1910">
        <v>1</v>
      </c>
      <c r="Q1910">
        <v>0</v>
      </c>
      <c r="R1910" s="4">
        <v>12.63</v>
      </c>
      <c r="S1910">
        <v>0</v>
      </c>
      <c r="T1910">
        <v>1</v>
      </c>
    </row>
    <row r="1911" spans="1:20" ht="16.5" x14ac:dyDescent="0.3">
      <c r="A1911" t="s">
        <v>1963</v>
      </c>
      <c r="B1911" s="1">
        <v>45578</v>
      </c>
      <c r="C1911">
        <v>2024</v>
      </c>
      <c r="D1911" t="s">
        <v>1873</v>
      </c>
      <c r="E1911" t="s">
        <v>1874</v>
      </c>
      <c r="F1911" t="s">
        <v>57</v>
      </c>
      <c r="G1911" t="s">
        <v>24</v>
      </c>
      <c r="H1911" t="s">
        <v>36</v>
      </c>
      <c r="I1911" t="s">
        <v>26</v>
      </c>
      <c r="J1911" t="s">
        <v>27</v>
      </c>
      <c r="K1911" t="s">
        <v>32</v>
      </c>
      <c r="L1911" s="2">
        <v>9.1</v>
      </c>
      <c r="M1911" s="3">
        <v>229</v>
      </c>
      <c r="N1911">
        <v>3</v>
      </c>
      <c r="O1911">
        <v>3</v>
      </c>
      <c r="P1911">
        <v>1</v>
      </c>
      <c r="Q1911">
        <v>0</v>
      </c>
      <c r="R1911" s="4">
        <v>14.99</v>
      </c>
      <c r="S1911">
        <v>0</v>
      </c>
      <c r="T1911">
        <v>1</v>
      </c>
    </row>
    <row r="1912" spans="1:20" ht="16.5" x14ac:dyDescent="0.3">
      <c r="A1912" t="s">
        <v>1964</v>
      </c>
      <c r="B1912" s="1">
        <v>45578</v>
      </c>
      <c r="C1912">
        <v>2024</v>
      </c>
      <c r="D1912" t="s">
        <v>1873</v>
      </c>
      <c r="E1912" t="s">
        <v>1874</v>
      </c>
      <c r="F1912" t="s">
        <v>38</v>
      </c>
      <c r="G1912" t="s">
        <v>39</v>
      </c>
      <c r="H1912" t="s">
        <v>51</v>
      </c>
      <c r="I1912" t="s">
        <v>26</v>
      </c>
      <c r="J1912" t="s">
        <v>27</v>
      </c>
      <c r="K1912" t="s">
        <v>32</v>
      </c>
      <c r="L1912" s="2">
        <v>4.8</v>
      </c>
      <c r="M1912" s="3">
        <v>1375</v>
      </c>
      <c r="N1912">
        <v>5</v>
      </c>
      <c r="O1912">
        <v>5</v>
      </c>
      <c r="P1912">
        <v>1</v>
      </c>
      <c r="Q1912">
        <v>0</v>
      </c>
      <c r="R1912" s="4">
        <v>27.39</v>
      </c>
      <c r="S1912">
        <v>0</v>
      </c>
      <c r="T1912">
        <v>1</v>
      </c>
    </row>
    <row r="1913" spans="1:20" ht="16.5" x14ac:dyDescent="0.3">
      <c r="A1913" t="s">
        <v>1965</v>
      </c>
      <c r="B1913" s="1">
        <v>45578</v>
      </c>
      <c r="C1913">
        <v>2024</v>
      </c>
      <c r="D1913" t="s">
        <v>1873</v>
      </c>
      <c r="E1913" t="s">
        <v>1874</v>
      </c>
      <c r="F1913" t="s">
        <v>34</v>
      </c>
      <c r="G1913" t="s">
        <v>24</v>
      </c>
      <c r="H1913" t="s">
        <v>25</v>
      </c>
      <c r="I1913" t="s">
        <v>40</v>
      </c>
      <c r="J1913" t="s">
        <v>41</v>
      </c>
      <c r="K1913" t="s">
        <v>28</v>
      </c>
      <c r="L1913" s="2">
        <v>38.799999999999997</v>
      </c>
      <c r="M1913" s="3">
        <v>764</v>
      </c>
      <c r="N1913">
        <v>2</v>
      </c>
      <c r="O1913">
        <v>2</v>
      </c>
      <c r="P1913">
        <v>1</v>
      </c>
      <c r="Q1913">
        <v>0</v>
      </c>
      <c r="R1913" s="4">
        <v>96.65</v>
      </c>
      <c r="S1913">
        <v>0</v>
      </c>
      <c r="T1913">
        <v>1</v>
      </c>
    </row>
    <row r="1914" spans="1:20" ht="16.5" x14ac:dyDescent="0.3">
      <c r="A1914" t="s">
        <v>1966</v>
      </c>
      <c r="B1914" s="1">
        <v>45578</v>
      </c>
      <c r="C1914">
        <v>2024</v>
      </c>
      <c r="D1914" t="s">
        <v>1873</v>
      </c>
      <c r="E1914" t="s">
        <v>1874</v>
      </c>
      <c r="F1914" t="s">
        <v>23</v>
      </c>
      <c r="G1914" t="s">
        <v>39</v>
      </c>
      <c r="H1914" t="s">
        <v>36</v>
      </c>
      <c r="I1914" t="s">
        <v>40</v>
      </c>
      <c r="J1914" t="s">
        <v>27</v>
      </c>
      <c r="K1914" t="s">
        <v>32</v>
      </c>
      <c r="L1914" s="2">
        <v>3.4</v>
      </c>
      <c r="M1914" s="3">
        <v>250</v>
      </c>
      <c r="N1914">
        <v>1</v>
      </c>
      <c r="O1914">
        <v>1</v>
      </c>
      <c r="P1914">
        <v>1</v>
      </c>
      <c r="Q1914">
        <v>0</v>
      </c>
      <c r="R1914" s="4">
        <v>22.48</v>
      </c>
      <c r="S1914">
        <v>0</v>
      </c>
      <c r="T1914">
        <v>1</v>
      </c>
    </row>
    <row r="1915" spans="1:20" ht="16.5" x14ac:dyDescent="0.3">
      <c r="A1915" t="s">
        <v>1967</v>
      </c>
      <c r="B1915" s="1">
        <v>45579</v>
      </c>
      <c r="C1915">
        <v>2024</v>
      </c>
      <c r="D1915" t="s">
        <v>1873</v>
      </c>
      <c r="E1915" t="s">
        <v>1874</v>
      </c>
      <c r="F1915" t="s">
        <v>57</v>
      </c>
      <c r="G1915" t="s">
        <v>24</v>
      </c>
      <c r="H1915" t="s">
        <v>48</v>
      </c>
      <c r="I1915" t="s">
        <v>26</v>
      </c>
      <c r="J1915" t="s">
        <v>27</v>
      </c>
      <c r="K1915" t="s">
        <v>32</v>
      </c>
      <c r="L1915" s="2">
        <v>6.5</v>
      </c>
      <c r="M1915" s="3">
        <v>419</v>
      </c>
      <c r="N1915">
        <v>4</v>
      </c>
      <c r="O1915">
        <v>3</v>
      </c>
      <c r="P1915">
        <v>1</v>
      </c>
      <c r="Q1915">
        <v>0</v>
      </c>
      <c r="R1915" s="4">
        <v>15.37</v>
      </c>
      <c r="S1915">
        <v>0</v>
      </c>
      <c r="T1915">
        <v>1</v>
      </c>
    </row>
    <row r="1916" spans="1:20" ht="16.5" x14ac:dyDescent="0.3">
      <c r="A1916" t="s">
        <v>1968</v>
      </c>
      <c r="B1916" s="1">
        <v>45579</v>
      </c>
      <c r="C1916">
        <v>2024</v>
      </c>
      <c r="D1916" t="s">
        <v>1873</v>
      </c>
      <c r="E1916" t="s">
        <v>1874</v>
      </c>
      <c r="F1916" t="s">
        <v>30</v>
      </c>
      <c r="G1916" t="s">
        <v>39</v>
      </c>
      <c r="H1916" t="s">
        <v>48</v>
      </c>
      <c r="I1916" t="s">
        <v>26</v>
      </c>
      <c r="J1916" t="s">
        <v>27</v>
      </c>
      <c r="K1916" t="s">
        <v>28</v>
      </c>
      <c r="L1916" s="2">
        <v>199</v>
      </c>
      <c r="M1916" s="3">
        <v>511</v>
      </c>
      <c r="N1916">
        <v>4</v>
      </c>
      <c r="O1916">
        <v>4</v>
      </c>
      <c r="P1916">
        <v>1</v>
      </c>
      <c r="Q1916">
        <v>0</v>
      </c>
      <c r="R1916" s="4">
        <v>105.21</v>
      </c>
      <c r="S1916">
        <v>0</v>
      </c>
      <c r="T1916">
        <v>1</v>
      </c>
    </row>
    <row r="1917" spans="1:20" ht="16.5" x14ac:dyDescent="0.3">
      <c r="A1917" t="s">
        <v>1969</v>
      </c>
      <c r="B1917" s="1">
        <v>45579</v>
      </c>
      <c r="C1917">
        <v>2024</v>
      </c>
      <c r="D1917" t="s">
        <v>1873</v>
      </c>
      <c r="E1917" t="s">
        <v>1874</v>
      </c>
      <c r="F1917" t="s">
        <v>38</v>
      </c>
      <c r="G1917" t="s">
        <v>35</v>
      </c>
      <c r="H1917" t="s">
        <v>48</v>
      </c>
      <c r="I1917" t="s">
        <v>31</v>
      </c>
      <c r="J1917" t="s">
        <v>27</v>
      </c>
      <c r="K1917" t="s">
        <v>32</v>
      </c>
      <c r="L1917" s="2">
        <v>11.3</v>
      </c>
      <c r="M1917" s="3">
        <v>311</v>
      </c>
      <c r="N1917">
        <v>6</v>
      </c>
      <c r="O1917">
        <v>6</v>
      </c>
      <c r="P1917">
        <v>1</v>
      </c>
      <c r="Q1917">
        <v>0</v>
      </c>
      <c r="R1917" s="4">
        <v>12.82</v>
      </c>
      <c r="S1917">
        <v>0</v>
      </c>
      <c r="T1917">
        <v>1</v>
      </c>
    </row>
    <row r="1918" spans="1:20" ht="16.5" x14ac:dyDescent="0.3">
      <c r="A1918" t="s">
        <v>1970</v>
      </c>
      <c r="B1918" s="1">
        <v>45579</v>
      </c>
      <c r="C1918">
        <v>2024</v>
      </c>
      <c r="D1918" t="s">
        <v>1873</v>
      </c>
      <c r="E1918" t="s">
        <v>1874</v>
      </c>
      <c r="F1918" t="s">
        <v>57</v>
      </c>
      <c r="G1918" t="s">
        <v>35</v>
      </c>
      <c r="H1918" t="s">
        <v>25</v>
      </c>
      <c r="I1918" t="s">
        <v>26</v>
      </c>
      <c r="J1918" t="s">
        <v>27</v>
      </c>
      <c r="K1918" t="s">
        <v>32</v>
      </c>
      <c r="L1918" s="2">
        <v>8.6</v>
      </c>
      <c r="M1918" s="3">
        <v>1064</v>
      </c>
      <c r="N1918">
        <v>4</v>
      </c>
      <c r="O1918">
        <v>4</v>
      </c>
      <c r="P1918">
        <v>1</v>
      </c>
      <c r="Q1918">
        <v>0</v>
      </c>
      <c r="R1918" s="4">
        <v>24.43</v>
      </c>
      <c r="S1918">
        <v>0</v>
      </c>
      <c r="T1918">
        <v>1</v>
      </c>
    </row>
    <row r="1919" spans="1:20" ht="16.5" x14ac:dyDescent="0.3">
      <c r="A1919" t="s">
        <v>1971</v>
      </c>
      <c r="B1919" s="1">
        <v>45579</v>
      </c>
      <c r="C1919">
        <v>2024</v>
      </c>
      <c r="D1919" t="s">
        <v>1873</v>
      </c>
      <c r="E1919" t="s">
        <v>1874</v>
      </c>
      <c r="F1919" t="s">
        <v>23</v>
      </c>
      <c r="G1919" t="s">
        <v>35</v>
      </c>
      <c r="H1919" t="s">
        <v>48</v>
      </c>
      <c r="I1919" t="s">
        <v>26</v>
      </c>
      <c r="J1919" t="s">
        <v>27</v>
      </c>
      <c r="K1919" t="s">
        <v>28</v>
      </c>
      <c r="L1919" s="2">
        <v>63.3</v>
      </c>
      <c r="M1919" s="3">
        <v>368</v>
      </c>
      <c r="N1919">
        <v>4</v>
      </c>
      <c r="O1919">
        <v>4</v>
      </c>
      <c r="P1919">
        <v>1</v>
      </c>
      <c r="Q1919">
        <v>0</v>
      </c>
      <c r="R1919" s="4">
        <v>39.4</v>
      </c>
      <c r="S1919">
        <v>0</v>
      </c>
      <c r="T1919">
        <v>1</v>
      </c>
    </row>
    <row r="1920" spans="1:20" ht="16.5" x14ac:dyDescent="0.3">
      <c r="A1920" t="s">
        <v>1972</v>
      </c>
      <c r="B1920" s="1">
        <v>45579</v>
      </c>
      <c r="C1920">
        <v>2024</v>
      </c>
      <c r="D1920" t="s">
        <v>1873</v>
      </c>
      <c r="E1920" t="s">
        <v>1874</v>
      </c>
      <c r="F1920" t="s">
        <v>30</v>
      </c>
      <c r="G1920" t="s">
        <v>39</v>
      </c>
      <c r="H1920" t="s">
        <v>43</v>
      </c>
      <c r="I1920" t="s">
        <v>26</v>
      </c>
      <c r="J1920" t="s">
        <v>27</v>
      </c>
      <c r="K1920" t="s">
        <v>32</v>
      </c>
      <c r="L1920" s="2">
        <v>6.1</v>
      </c>
      <c r="M1920" s="3">
        <v>1301</v>
      </c>
      <c r="N1920">
        <v>5</v>
      </c>
      <c r="O1920">
        <v>5</v>
      </c>
      <c r="P1920">
        <v>1</v>
      </c>
      <c r="Q1920">
        <v>0</v>
      </c>
      <c r="R1920" s="4">
        <v>27.28</v>
      </c>
      <c r="S1920">
        <v>0</v>
      </c>
      <c r="T1920">
        <v>1</v>
      </c>
    </row>
    <row r="1921" spans="1:20" ht="16.5" x14ac:dyDescent="0.3">
      <c r="A1921" t="s">
        <v>1973</v>
      </c>
      <c r="B1921" s="1">
        <v>45579</v>
      </c>
      <c r="C1921">
        <v>2024</v>
      </c>
      <c r="D1921" t="s">
        <v>1873</v>
      </c>
      <c r="E1921" t="s">
        <v>1874</v>
      </c>
      <c r="F1921" t="s">
        <v>23</v>
      </c>
      <c r="G1921" t="s">
        <v>35</v>
      </c>
      <c r="H1921" t="s">
        <v>51</v>
      </c>
      <c r="I1921" t="s">
        <v>40</v>
      </c>
      <c r="J1921" t="s">
        <v>41</v>
      </c>
      <c r="K1921" t="s">
        <v>28</v>
      </c>
      <c r="L1921" s="2">
        <v>195.9</v>
      </c>
      <c r="M1921" s="3">
        <v>1089</v>
      </c>
      <c r="N1921">
        <v>3</v>
      </c>
      <c r="O1921">
        <v>2</v>
      </c>
      <c r="P1921">
        <v>1</v>
      </c>
      <c r="Q1921">
        <v>0</v>
      </c>
      <c r="R1921" s="4">
        <v>326.45</v>
      </c>
      <c r="S1921">
        <v>0</v>
      </c>
      <c r="T1921">
        <v>1</v>
      </c>
    </row>
    <row r="1922" spans="1:20" ht="16.5" x14ac:dyDescent="0.3">
      <c r="A1922" t="s">
        <v>1974</v>
      </c>
      <c r="B1922" s="1">
        <v>45579</v>
      </c>
      <c r="C1922">
        <v>2024</v>
      </c>
      <c r="D1922" t="s">
        <v>1873</v>
      </c>
      <c r="E1922" t="s">
        <v>1874</v>
      </c>
      <c r="F1922" t="s">
        <v>57</v>
      </c>
      <c r="G1922" t="s">
        <v>39</v>
      </c>
      <c r="H1922" t="s">
        <v>48</v>
      </c>
      <c r="I1922" t="s">
        <v>31</v>
      </c>
      <c r="J1922" t="s">
        <v>27</v>
      </c>
      <c r="K1922" t="s">
        <v>28</v>
      </c>
      <c r="L1922" s="2">
        <v>76.8</v>
      </c>
      <c r="M1922" s="3">
        <v>543</v>
      </c>
      <c r="N1922">
        <v>6</v>
      </c>
      <c r="O1922">
        <v>8</v>
      </c>
      <c r="P1922">
        <v>0</v>
      </c>
      <c r="Q1922">
        <v>2</v>
      </c>
      <c r="R1922" s="4">
        <v>34.61</v>
      </c>
      <c r="S1922">
        <v>0</v>
      </c>
      <c r="T1922">
        <v>1</v>
      </c>
    </row>
    <row r="1923" spans="1:20" ht="16.5" x14ac:dyDescent="0.3">
      <c r="A1923" t="s">
        <v>1975</v>
      </c>
      <c r="B1923" s="1">
        <v>45579</v>
      </c>
      <c r="C1923">
        <v>2024</v>
      </c>
      <c r="D1923" t="s">
        <v>1873</v>
      </c>
      <c r="E1923" t="s">
        <v>1874</v>
      </c>
      <c r="F1923" t="s">
        <v>57</v>
      </c>
      <c r="G1923" t="s">
        <v>39</v>
      </c>
      <c r="H1923" t="s">
        <v>51</v>
      </c>
      <c r="I1923" t="s">
        <v>31</v>
      </c>
      <c r="J1923" t="s">
        <v>27</v>
      </c>
      <c r="K1923" t="s">
        <v>28</v>
      </c>
      <c r="L1923" s="2">
        <v>75.599999999999994</v>
      </c>
      <c r="M1923" s="3">
        <v>933</v>
      </c>
      <c r="N1923">
        <v>7</v>
      </c>
      <c r="O1923">
        <v>7</v>
      </c>
      <c r="P1923">
        <v>1</v>
      </c>
      <c r="Q1923">
        <v>0</v>
      </c>
      <c r="R1923" s="4">
        <v>39.909999999999997</v>
      </c>
      <c r="S1923">
        <v>0</v>
      </c>
      <c r="T1923">
        <v>1</v>
      </c>
    </row>
    <row r="1924" spans="1:20" ht="16.5" x14ac:dyDescent="0.3">
      <c r="A1924" t="s">
        <v>1976</v>
      </c>
      <c r="B1924" s="1">
        <v>45580</v>
      </c>
      <c r="C1924">
        <v>2024</v>
      </c>
      <c r="D1924" t="s">
        <v>1873</v>
      </c>
      <c r="E1924" t="s">
        <v>1874</v>
      </c>
      <c r="F1924" t="s">
        <v>30</v>
      </c>
      <c r="G1924" t="s">
        <v>35</v>
      </c>
      <c r="H1924" t="s">
        <v>25</v>
      </c>
      <c r="I1924" t="s">
        <v>26</v>
      </c>
      <c r="J1924" t="s">
        <v>27</v>
      </c>
      <c r="K1924" t="s">
        <v>32</v>
      </c>
      <c r="L1924" s="2">
        <v>2.4</v>
      </c>
      <c r="M1924" s="3">
        <v>999</v>
      </c>
      <c r="N1924">
        <v>4</v>
      </c>
      <c r="O1924">
        <v>3</v>
      </c>
      <c r="P1924">
        <v>1</v>
      </c>
      <c r="Q1924">
        <v>0</v>
      </c>
      <c r="R1924" s="4">
        <v>21.02</v>
      </c>
      <c r="S1924">
        <v>0</v>
      </c>
      <c r="T1924">
        <v>1</v>
      </c>
    </row>
    <row r="1925" spans="1:20" ht="16.5" x14ac:dyDescent="0.3">
      <c r="A1925" t="s">
        <v>1977</v>
      </c>
      <c r="B1925" s="1">
        <v>45580</v>
      </c>
      <c r="C1925">
        <v>2024</v>
      </c>
      <c r="D1925" t="s">
        <v>1873</v>
      </c>
      <c r="E1925" t="s">
        <v>1874</v>
      </c>
      <c r="F1925" t="s">
        <v>23</v>
      </c>
      <c r="G1925" t="s">
        <v>39</v>
      </c>
      <c r="H1925" t="s">
        <v>36</v>
      </c>
      <c r="I1925" t="s">
        <v>31</v>
      </c>
      <c r="J1925" t="s">
        <v>27</v>
      </c>
      <c r="K1925" t="s">
        <v>32</v>
      </c>
      <c r="L1925" s="2">
        <v>12.7</v>
      </c>
      <c r="M1925" s="3">
        <v>234</v>
      </c>
      <c r="N1925">
        <v>5</v>
      </c>
      <c r="O1925">
        <v>4</v>
      </c>
      <c r="P1925">
        <v>1</v>
      </c>
      <c r="Q1925">
        <v>0</v>
      </c>
      <c r="R1925" s="4">
        <v>11.03</v>
      </c>
      <c r="S1925">
        <v>0</v>
      </c>
      <c r="T1925">
        <v>1</v>
      </c>
    </row>
    <row r="1926" spans="1:20" ht="16.5" x14ac:dyDescent="0.3">
      <c r="A1926" t="s">
        <v>1978</v>
      </c>
      <c r="B1926" s="1">
        <v>45580</v>
      </c>
      <c r="C1926">
        <v>2024</v>
      </c>
      <c r="D1926" t="s">
        <v>1873</v>
      </c>
      <c r="E1926" t="s">
        <v>1874</v>
      </c>
      <c r="F1926" t="s">
        <v>23</v>
      </c>
      <c r="G1926" t="s">
        <v>24</v>
      </c>
      <c r="H1926" t="s">
        <v>25</v>
      </c>
      <c r="I1926" t="s">
        <v>31</v>
      </c>
      <c r="J1926" t="s">
        <v>27</v>
      </c>
      <c r="K1926" t="s">
        <v>32</v>
      </c>
      <c r="L1926" s="2">
        <v>1.8</v>
      </c>
      <c r="M1926" s="3">
        <v>1159</v>
      </c>
      <c r="N1926">
        <v>6</v>
      </c>
      <c r="O1926">
        <v>7</v>
      </c>
      <c r="P1926">
        <v>0</v>
      </c>
      <c r="Q1926">
        <v>1</v>
      </c>
      <c r="R1926" s="4">
        <v>13.69</v>
      </c>
      <c r="S1926">
        <v>0</v>
      </c>
      <c r="T1926">
        <v>1</v>
      </c>
    </row>
    <row r="1927" spans="1:20" ht="16.5" x14ac:dyDescent="0.3">
      <c r="A1927" t="s">
        <v>1979</v>
      </c>
      <c r="B1927" s="1">
        <v>45580</v>
      </c>
      <c r="C1927">
        <v>2024</v>
      </c>
      <c r="D1927" t="s">
        <v>1873</v>
      </c>
      <c r="E1927" t="s">
        <v>1874</v>
      </c>
      <c r="F1927" t="s">
        <v>23</v>
      </c>
      <c r="G1927" t="s">
        <v>35</v>
      </c>
      <c r="H1927" t="s">
        <v>51</v>
      </c>
      <c r="I1927" t="s">
        <v>40</v>
      </c>
      <c r="J1927" t="s">
        <v>41</v>
      </c>
      <c r="K1927" t="s">
        <v>32</v>
      </c>
      <c r="L1927" s="2">
        <v>5.3</v>
      </c>
      <c r="M1927" s="3">
        <v>796</v>
      </c>
      <c r="N1927">
        <v>3</v>
      </c>
      <c r="O1927">
        <v>3</v>
      </c>
      <c r="P1927">
        <v>1</v>
      </c>
      <c r="Q1927">
        <v>0</v>
      </c>
      <c r="R1927" s="4">
        <v>56.07</v>
      </c>
      <c r="S1927">
        <v>0</v>
      </c>
      <c r="T1927">
        <v>1</v>
      </c>
    </row>
    <row r="1928" spans="1:20" ht="16.5" x14ac:dyDescent="0.3">
      <c r="A1928" t="s">
        <v>1980</v>
      </c>
      <c r="B1928" s="1">
        <v>45580</v>
      </c>
      <c r="C1928">
        <v>2024</v>
      </c>
      <c r="D1928" t="s">
        <v>1873</v>
      </c>
      <c r="E1928" t="s">
        <v>1874</v>
      </c>
      <c r="F1928" t="s">
        <v>57</v>
      </c>
      <c r="G1928" t="s">
        <v>35</v>
      </c>
      <c r="H1928" t="s">
        <v>25</v>
      </c>
      <c r="I1928" t="s">
        <v>26</v>
      </c>
      <c r="J1928" t="s">
        <v>27</v>
      </c>
      <c r="K1928" t="s">
        <v>32</v>
      </c>
      <c r="L1928" s="2">
        <v>4.0999999999999996</v>
      </c>
      <c r="M1928" s="3">
        <v>688</v>
      </c>
      <c r="N1928">
        <v>4</v>
      </c>
      <c r="O1928">
        <v>4</v>
      </c>
      <c r="P1928">
        <v>1</v>
      </c>
      <c r="Q1928">
        <v>0</v>
      </c>
      <c r="R1928" s="4">
        <v>16.329999999999998</v>
      </c>
      <c r="S1928">
        <v>0</v>
      </c>
      <c r="T1928">
        <v>1</v>
      </c>
    </row>
    <row r="1929" spans="1:20" ht="16.5" x14ac:dyDescent="0.3">
      <c r="A1929" t="s">
        <v>1981</v>
      </c>
      <c r="B1929" s="1">
        <v>45580</v>
      </c>
      <c r="C1929">
        <v>2024</v>
      </c>
      <c r="D1929" t="s">
        <v>1873</v>
      </c>
      <c r="E1929" t="s">
        <v>1874</v>
      </c>
      <c r="F1929" t="s">
        <v>34</v>
      </c>
      <c r="G1929" t="s">
        <v>24</v>
      </c>
      <c r="H1929" t="s">
        <v>36</v>
      </c>
      <c r="I1929" t="s">
        <v>31</v>
      </c>
      <c r="J1929" t="s">
        <v>27</v>
      </c>
      <c r="K1929" t="s">
        <v>28</v>
      </c>
      <c r="L1929" s="2">
        <v>281.2</v>
      </c>
      <c r="M1929" s="3">
        <v>200</v>
      </c>
      <c r="N1929">
        <v>5</v>
      </c>
      <c r="O1929">
        <v>5</v>
      </c>
      <c r="P1929">
        <v>1</v>
      </c>
      <c r="Q1929">
        <v>0</v>
      </c>
      <c r="R1929" s="4">
        <v>75.150000000000006</v>
      </c>
      <c r="S1929">
        <v>0</v>
      </c>
      <c r="T1929">
        <v>1</v>
      </c>
    </row>
    <row r="1930" spans="1:20" ht="16.5" x14ac:dyDescent="0.3">
      <c r="A1930" t="s">
        <v>1982</v>
      </c>
      <c r="B1930" s="1">
        <v>45580</v>
      </c>
      <c r="C1930">
        <v>2024</v>
      </c>
      <c r="D1930" t="s">
        <v>1873</v>
      </c>
      <c r="E1930" t="s">
        <v>1874</v>
      </c>
      <c r="F1930" t="s">
        <v>34</v>
      </c>
      <c r="G1930" t="s">
        <v>39</v>
      </c>
      <c r="H1930" t="s">
        <v>25</v>
      </c>
      <c r="I1930" t="s">
        <v>26</v>
      </c>
      <c r="J1930" t="s">
        <v>27</v>
      </c>
      <c r="K1930" t="s">
        <v>32</v>
      </c>
      <c r="L1930" s="2">
        <v>11.1</v>
      </c>
      <c r="M1930" s="3">
        <v>957</v>
      </c>
      <c r="N1930">
        <v>4</v>
      </c>
      <c r="O1930">
        <v>3</v>
      </c>
      <c r="P1930">
        <v>1</v>
      </c>
      <c r="Q1930">
        <v>0</v>
      </c>
      <c r="R1930" s="4">
        <v>20.399999999999999</v>
      </c>
      <c r="S1930">
        <v>0</v>
      </c>
      <c r="T1930">
        <v>1</v>
      </c>
    </row>
    <row r="1931" spans="1:20" ht="16.5" x14ac:dyDescent="0.3">
      <c r="A1931" t="s">
        <v>1983</v>
      </c>
      <c r="B1931" s="1">
        <v>45580</v>
      </c>
      <c r="C1931">
        <v>2024</v>
      </c>
      <c r="D1931" t="s">
        <v>1873</v>
      </c>
      <c r="E1931" t="s">
        <v>1874</v>
      </c>
      <c r="F1931" t="s">
        <v>38</v>
      </c>
      <c r="G1931" t="s">
        <v>35</v>
      </c>
      <c r="H1931" t="s">
        <v>25</v>
      </c>
      <c r="I1931" t="s">
        <v>31</v>
      </c>
      <c r="J1931" t="s">
        <v>27</v>
      </c>
      <c r="K1931" t="s">
        <v>32</v>
      </c>
      <c r="L1931" s="2">
        <v>10.9</v>
      </c>
      <c r="M1931" s="3">
        <v>952</v>
      </c>
      <c r="N1931">
        <v>6</v>
      </c>
      <c r="O1931">
        <v>6</v>
      </c>
      <c r="P1931">
        <v>1</v>
      </c>
      <c r="Q1931">
        <v>0</v>
      </c>
      <c r="R1931" s="4">
        <v>19</v>
      </c>
      <c r="S1931">
        <v>0</v>
      </c>
      <c r="T1931">
        <v>1</v>
      </c>
    </row>
    <row r="1932" spans="1:20" ht="16.5" x14ac:dyDescent="0.3">
      <c r="A1932" t="s">
        <v>1984</v>
      </c>
      <c r="B1932" s="1">
        <v>45581</v>
      </c>
      <c r="C1932">
        <v>2024</v>
      </c>
      <c r="D1932" t="s">
        <v>1873</v>
      </c>
      <c r="E1932" t="s">
        <v>1874</v>
      </c>
      <c r="F1932" t="s">
        <v>30</v>
      </c>
      <c r="G1932" t="s">
        <v>24</v>
      </c>
      <c r="H1932" t="s">
        <v>36</v>
      </c>
      <c r="I1932" t="s">
        <v>40</v>
      </c>
      <c r="J1932" t="s">
        <v>27</v>
      </c>
      <c r="K1932" t="s">
        <v>32</v>
      </c>
      <c r="L1932" s="2">
        <v>1.4</v>
      </c>
      <c r="M1932" s="3">
        <v>267</v>
      </c>
      <c r="N1932">
        <v>1</v>
      </c>
      <c r="O1932">
        <v>1</v>
      </c>
      <c r="P1932">
        <v>1</v>
      </c>
      <c r="Q1932">
        <v>0</v>
      </c>
      <c r="R1932" s="4">
        <v>19.239999999999998</v>
      </c>
      <c r="S1932">
        <v>0</v>
      </c>
      <c r="T1932">
        <v>1</v>
      </c>
    </row>
    <row r="1933" spans="1:20" ht="16.5" x14ac:dyDescent="0.3">
      <c r="A1933" t="s">
        <v>1985</v>
      </c>
      <c r="B1933" s="1">
        <v>45581</v>
      </c>
      <c r="C1933">
        <v>2024</v>
      </c>
      <c r="D1933" t="s">
        <v>1873</v>
      </c>
      <c r="E1933" t="s">
        <v>1874</v>
      </c>
      <c r="F1933" t="s">
        <v>38</v>
      </c>
      <c r="G1933" t="s">
        <v>39</v>
      </c>
      <c r="H1933" t="s">
        <v>48</v>
      </c>
      <c r="I1933" t="s">
        <v>26</v>
      </c>
      <c r="J1933" t="s">
        <v>27</v>
      </c>
      <c r="K1933" t="s">
        <v>32</v>
      </c>
      <c r="L1933" s="2">
        <v>13.9</v>
      </c>
      <c r="M1933" s="3">
        <v>379</v>
      </c>
      <c r="N1933">
        <v>4</v>
      </c>
      <c r="O1933">
        <v>4</v>
      </c>
      <c r="P1933">
        <v>1</v>
      </c>
      <c r="Q1933">
        <v>0</v>
      </c>
      <c r="R1933" s="4">
        <v>20.82</v>
      </c>
      <c r="S1933">
        <v>0</v>
      </c>
      <c r="T1933">
        <v>1</v>
      </c>
    </row>
    <row r="1934" spans="1:20" ht="16.5" x14ac:dyDescent="0.3">
      <c r="A1934" t="s">
        <v>1986</v>
      </c>
      <c r="B1934" s="1">
        <v>45581</v>
      </c>
      <c r="C1934">
        <v>2024</v>
      </c>
      <c r="D1934" t="s">
        <v>1873</v>
      </c>
      <c r="E1934" t="s">
        <v>1874</v>
      </c>
      <c r="F1934" t="s">
        <v>30</v>
      </c>
      <c r="G1934" t="s">
        <v>39</v>
      </c>
      <c r="H1934" t="s">
        <v>36</v>
      </c>
      <c r="I1934" t="s">
        <v>26</v>
      </c>
      <c r="J1934" t="s">
        <v>27</v>
      </c>
      <c r="K1934" t="s">
        <v>32</v>
      </c>
      <c r="L1934" s="2">
        <v>6.7</v>
      </c>
      <c r="M1934" s="3">
        <v>238</v>
      </c>
      <c r="N1934">
        <v>3</v>
      </c>
      <c r="O1934">
        <v>3</v>
      </c>
      <c r="P1934">
        <v>1</v>
      </c>
      <c r="Q1934">
        <v>0</v>
      </c>
      <c r="R1934" s="4">
        <v>12.19</v>
      </c>
      <c r="S1934">
        <v>0</v>
      </c>
      <c r="T1934">
        <v>1</v>
      </c>
    </row>
    <row r="1935" spans="1:20" ht="16.5" x14ac:dyDescent="0.3">
      <c r="A1935" t="s">
        <v>1987</v>
      </c>
      <c r="B1935" s="1">
        <v>45581</v>
      </c>
      <c r="C1935">
        <v>2024</v>
      </c>
      <c r="D1935" t="s">
        <v>1873</v>
      </c>
      <c r="E1935" t="s">
        <v>1874</v>
      </c>
      <c r="F1935" t="s">
        <v>38</v>
      </c>
      <c r="G1935" t="s">
        <v>35</v>
      </c>
      <c r="H1935" t="s">
        <v>36</v>
      </c>
      <c r="I1935" t="s">
        <v>26</v>
      </c>
      <c r="J1935" t="s">
        <v>27</v>
      </c>
      <c r="K1935" t="s">
        <v>28</v>
      </c>
      <c r="L1935" s="2">
        <v>29.6</v>
      </c>
      <c r="M1935" s="3">
        <v>184</v>
      </c>
      <c r="N1935">
        <v>3</v>
      </c>
      <c r="O1935">
        <v>3</v>
      </c>
      <c r="P1935">
        <v>1</v>
      </c>
      <c r="Q1935">
        <v>0</v>
      </c>
      <c r="R1935" s="4">
        <v>28.13</v>
      </c>
      <c r="S1935">
        <v>0</v>
      </c>
      <c r="T1935">
        <v>1</v>
      </c>
    </row>
    <row r="1936" spans="1:20" ht="16.5" x14ac:dyDescent="0.3">
      <c r="A1936" t="s">
        <v>1988</v>
      </c>
      <c r="B1936" s="1">
        <v>45581</v>
      </c>
      <c r="C1936">
        <v>2024</v>
      </c>
      <c r="D1936" t="s">
        <v>1873</v>
      </c>
      <c r="E1936" t="s">
        <v>1874</v>
      </c>
      <c r="F1936" t="s">
        <v>57</v>
      </c>
      <c r="G1936" t="s">
        <v>35</v>
      </c>
      <c r="H1936" t="s">
        <v>25</v>
      </c>
      <c r="I1936" t="s">
        <v>40</v>
      </c>
      <c r="J1936" t="s">
        <v>41</v>
      </c>
      <c r="K1936" t="s">
        <v>32</v>
      </c>
      <c r="L1936" s="2">
        <v>1.7</v>
      </c>
      <c r="M1936" s="3">
        <v>923</v>
      </c>
      <c r="N1936">
        <v>2</v>
      </c>
      <c r="O1936">
        <v>1</v>
      </c>
      <c r="P1936">
        <v>1</v>
      </c>
      <c r="Q1936">
        <v>0</v>
      </c>
      <c r="R1936" s="4">
        <v>53.41</v>
      </c>
      <c r="S1936">
        <v>0</v>
      </c>
      <c r="T1936">
        <v>1</v>
      </c>
    </row>
    <row r="1937" spans="1:20" ht="16.5" x14ac:dyDescent="0.3">
      <c r="A1937" t="s">
        <v>1989</v>
      </c>
      <c r="B1937" s="1">
        <v>45581</v>
      </c>
      <c r="C1937">
        <v>2024</v>
      </c>
      <c r="D1937" t="s">
        <v>1873</v>
      </c>
      <c r="E1937" t="s">
        <v>1874</v>
      </c>
      <c r="F1937" t="s">
        <v>30</v>
      </c>
      <c r="G1937" t="s">
        <v>24</v>
      </c>
      <c r="H1937" t="s">
        <v>25</v>
      </c>
      <c r="I1937" t="s">
        <v>26</v>
      </c>
      <c r="J1937" t="s">
        <v>27</v>
      </c>
      <c r="K1937" t="s">
        <v>32</v>
      </c>
      <c r="L1937" s="2">
        <v>11.6</v>
      </c>
      <c r="M1937" s="3">
        <v>870</v>
      </c>
      <c r="N1937">
        <v>4</v>
      </c>
      <c r="O1937">
        <v>3</v>
      </c>
      <c r="P1937">
        <v>1</v>
      </c>
      <c r="Q1937">
        <v>0</v>
      </c>
      <c r="R1937" s="4">
        <v>26.86</v>
      </c>
      <c r="S1937">
        <v>0</v>
      </c>
      <c r="T1937">
        <v>1</v>
      </c>
    </row>
    <row r="1938" spans="1:20" ht="16.5" x14ac:dyDescent="0.3">
      <c r="A1938" t="s">
        <v>1990</v>
      </c>
      <c r="B1938" s="1">
        <v>45581</v>
      </c>
      <c r="C1938">
        <v>2024</v>
      </c>
      <c r="D1938" t="s">
        <v>1873</v>
      </c>
      <c r="E1938" t="s">
        <v>1874</v>
      </c>
      <c r="F1938" t="s">
        <v>38</v>
      </c>
      <c r="G1938" t="s">
        <v>39</v>
      </c>
      <c r="H1938" t="s">
        <v>36</v>
      </c>
      <c r="I1938" t="s">
        <v>26</v>
      </c>
      <c r="J1938" t="s">
        <v>27</v>
      </c>
      <c r="K1938" t="s">
        <v>28</v>
      </c>
      <c r="L1938" s="2">
        <v>75.3</v>
      </c>
      <c r="M1938" s="3">
        <v>244</v>
      </c>
      <c r="N1938">
        <v>3</v>
      </c>
      <c r="O1938">
        <v>3</v>
      </c>
      <c r="P1938">
        <v>1</v>
      </c>
      <c r="Q1938">
        <v>0</v>
      </c>
      <c r="R1938" s="4">
        <v>50.54</v>
      </c>
      <c r="S1938">
        <v>0</v>
      </c>
      <c r="T1938">
        <v>1</v>
      </c>
    </row>
    <row r="1939" spans="1:20" ht="16.5" x14ac:dyDescent="0.3">
      <c r="A1939" t="s">
        <v>1991</v>
      </c>
      <c r="B1939" s="1">
        <v>45581</v>
      </c>
      <c r="C1939">
        <v>2024</v>
      </c>
      <c r="D1939" t="s">
        <v>1873</v>
      </c>
      <c r="E1939" t="s">
        <v>1874</v>
      </c>
      <c r="F1939" t="s">
        <v>23</v>
      </c>
      <c r="G1939" t="s">
        <v>24</v>
      </c>
      <c r="H1939" t="s">
        <v>51</v>
      </c>
      <c r="I1939" t="s">
        <v>40</v>
      </c>
      <c r="J1939" t="s">
        <v>41</v>
      </c>
      <c r="K1939" t="s">
        <v>32</v>
      </c>
      <c r="L1939" s="2">
        <v>2.8</v>
      </c>
      <c r="M1939" s="3">
        <v>849</v>
      </c>
      <c r="N1939">
        <v>3</v>
      </c>
      <c r="O1939">
        <v>3</v>
      </c>
      <c r="P1939">
        <v>1</v>
      </c>
      <c r="Q1939">
        <v>0</v>
      </c>
      <c r="R1939" s="4">
        <v>55.71</v>
      </c>
      <c r="S1939">
        <v>0</v>
      </c>
      <c r="T1939">
        <v>1</v>
      </c>
    </row>
    <row r="1940" spans="1:20" ht="16.5" x14ac:dyDescent="0.3">
      <c r="A1940" t="s">
        <v>1992</v>
      </c>
      <c r="B1940" s="1">
        <v>45581</v>
      </c>
      <c r="C1940">
        <v>2024</v>
      </c>
      <c r="D1940" t="s">
        <v>1873</v>
      </c>
      <c r="E1940" t="s">
        <v>1874</v>
      </c>
      <c r="F1940" t="s">
        <v>30</v>
      </c>
      <c r="G1940" t="s">
        <v>35</v>
      </c>
      <c r="H1940" t="s">
        <v>48</v>
      </c>
      <c r="I1940" t="s">
        <v>26</v>
      </c>
      <c r="J1940" t="s">
        <v>27</v>
      </c>
      <c r="K1940" t="s">
        <v>32</v>
      </c>
      <c r="L1940" s="2">
        <v>7.4</v>
      </c>
      <c r="M1940" s="3">
        <v>437</v>
      </c>
      <c r="N1940">
        <v>4</v>
      </c>
      <c r="O1940">
        <v>4</v>
      </c>
      <c r="P1940">
        <v>1</v>
      </c>
      <c r="Q1940">
        <v>0</v>
      </c>
      <c r="R1940" s="4">
        <v>18.47</v>
      </c>
      <c r="S1940">
        <v>0</v>
      </c>
      <c r="T1940">
        <v>1</v>
      </c>
    </row>
    <row r="1941" spans="1:20" ht="16.5" x14ac:dyDescent="0.3">
      <c r="A1941" t="s">
        <v>1993</v>
      </c>
      <c r="B1941" s="1">
        <v>45581</v>
      </c>
      <c r="C1941">
        <v>2024</v>
      </c>
      <c r="D1941" t="s">
        <v>1873</v>
      </c>
      <c r="E1941" t="s">
        <v>1874</v>
      </c>
      <c r="F1941" t="s">
        <v>38</v>
      </c>
      <c r="G1941" t="s">
        <v>39</v>
      </c>
      <c r="H1941" t="s">
        <v>25</v>
      </c>
      <c r="I1941" t="s">
        <v>26</v>
      </c>
      <c r="J1941" t="s">
        <v>27</v>
      </c>
      <c r="K1941" t="s">
        <v>28</v>
      </c>
      <c r="L1941" s="2">
        <v>94.5</v>
      </c>
      <c r="M1941" s="3">
        <v>541</v>
      </c>
      <c r="N1941">
        <v>4</v>
      </c>
      <c r="O1941">
        <v>4</v>
      </c>
      <c r="P1941">
        <v>1</v>
      </c>
      <c r="Q1941">
        <v>0</v>
      </c>
      <c r="R1941" s="4">
        <v>55.19</v>
      </c>
      <c r="S1941">
        <v>0</v>
      </c>
      <c r="T1941">
        <v>1</v>
      </c>
    </row>
    <row r="1942" spans="1:20" ht="16.5" x14ac:dyDescent="0.3">
      <c r="A1942" t="s">
        <v>1994</v>
      </c>
      <c r="B1942" s="1">
        <v>45581</v>
      </c>
      <c r="C1942">
        <v>2024</v>
      </c>
      <c r="D1942" t="s">
        <v>1873</v>
      </c>
      <c r="E1942" t="s">
        <v>1874</v>
      </c>
      <c r="F1942" t="s">
        <v>34</v>
      </c>
      <c r="G1942" t="s">
        <v>35</v>
      </c>
      <c r="H1942" t="s">
        <v>36</v>
      </c>
      <c r="I1942" t="s">
        <v>31</v>
      </c>
      <c r="J1942" t="s">
        <v>27</v>
      </c>
      <c r="K1942" t="s">
        <v>32</v>
      </c>
      <c r="L1942" s="2">
        <v>2.2000000000000002</v>
      </c>
      <c r="M1942" s="3">
        <v>265</v>
      </c>
      <c r="N1942">
        <v>5</v>
      </c>
      <c r="O1942">
        <v>6</v>
      </c>
      <c r="P1942">
        <v>0</v>
      </c>
      <c r="Q1942">
        <v>1</v>
      </c>
      <c r="R1942" s="4">
        <v>6.69</v>
      </c>
      <c r="S1942">
        <v>0</v>
      </c>
      <c r="T1942">
        <v>1</v>
      </c>
    </row>
    <row r="1943" spans="1:20" ht="16.5" x14ac:dyDescent="0.3">
      <c r="A1943" t="s">
        <v>1995</v>
      </c>
      <c r="B1943" s="1">
        <v>45582</v>
      </c>
      <c r="C1943">
        <v>2024</v>
      </c>
      <c r="D1943" t="s">
        <v>1873</v>
      </c>
      <c r="E1943" t="s">
        <v>1874</v>
      </c>
      <c r="F1943" t="s">
        <v>38</v>
      </c>
      <c r="G1943" t="s">
        <v>39</v>
      </c>
      <c r="H1943" t="s">
        <v>36</v>
      </c>
      <c r="I1943" t="s">
        <v>31</v>
      </c>
      <c r="J1943" t="s">
        <v>27</v>
      </c>
      <c r="K1943" t="s">
        <v>32</v>
      </c>
      <c r="L1943" s="2">
        <v>8.1</v>
      </c>
      <c r="M1943" s="3">
        <v>206</v>
      </c>
      <c r="N1943">
        <v>5</v>
      </c>
      <c r="O1943">
        <v>5</v>
      </c>
      <c r="P1943">
        <v>1</v>
      </c>
      <c r="Q1943">
        <v>0</v>
      </c>
      <c r="R1943" s="4">
        <v>11.18</v>
      </c>
      <c r="S1943">
        <v>0</v>
      </c>
      <c r="T1943">
        <v>1</v>
      </c>
    </row>
    <row r="1944" spans="1:20" ht="16.5" x14ac:dyDescent="0.3">
      <c r="A1944" t="s">
        <v>1996</v>
      </c>
      <c r="B1944" s="1">
        <v>45582</v>
      </c>
      <c r="C1944">
        <v>2024</v>
      </c>
      <c r="D1944" t="s">
        <v>1873</v>
      </c>
      <c r="E1944" t="s">
        <v>1874</v>
      </c>
      <c r="F1944" t="s">
        <v>38</v>
      </c>
      <c r="G1944" t="s">
        <v>39</v>
      </c>
      <c r="H1944" t="s">
        <v>51</v>
      </c>
      <c r="I1944" t="s">
        <v>40</v>
      </c>
      <c r="J1944" t="s">
        <v>41</v>
      </c>
      <c r="K1944" t="s">
        <v>32</v>
      </c>
      <c r="L1944" s="2">
        <v>2.9</v>
      </c>
      <c r="M1944" s="3">
        <v>1155</v>
      </c>
      <c r="N1944">
        <v>3</v>
      </c>
      <c r="O1944">
        <v>3</v>
      </c>
      <c r="P1944">
        <v>1</v>
      </c>
      <c r="Q1944">
        <v>0</v>
      </c>
      <c r="R1944" s="4">
        <v>74.17</v>
      </c>
      <c r="S1944">
        <v>0</v>
      </c>
      <c r="T1944">
        <v>1</v>
      </c>
    </row>
    <row r="1945" spans="1:20" ht="16.5" x14ac:dyDescent="0.3">
      <c r="A1945" t="s">
        <v>1997</v>
      </c>
      <c r="B1945" s="1">
        <v>45582</v>
      </c>
      <c r="C1945">
        <v>2024</v>
      </c>
      <c r="D1945" t="s">
        <v>1873</v>
      </c>
      <c r="E1945" t="s">
        <v>1874</v>
      </c>
      <c r="F1945" t="s">
        <v>30</v>
      </c>
      <c r="G1945" t="s">
        <v>35</v>
      </c>
      <c r="H1945" t="s">
        <v>36</v>
      </c>
      <c r="I1945" t="s">
        <v>31</v>
      </c>
      <c r="J1945" t="s">
        <v>27</v>
      </c>
      <c r="K1945" t="s">
        <v>32</v>
      </c>
      <c r="L1945" s="2">
        <v>2.7</v>
      </c>
      <c r="M1945" s="3">
        <v>336</v>
      </c>
      <c r="N1945">
        <v>5</v>
      </c>
      <c r="O1945">
        <v>4</v>
      </c>
      <c r="P1945">
        <v>1</v>
      </c>
      <c r="Q1945">
        <v>0</v>
      </c>
      <c r="R1945" s="4">
        <v>9.56</v>
      </c>
      <c r="S1945">
        <v>0</v>
      </c>
      <c r="T1945">
        <v>1</v>
      </c>
    </row>
    <row r="1946" spans="1:20" ht="16.5" x14ac:dyDescent="0.3">
      <c r="A1946" t="s">
        <v>1998</v>
      </c>
      <c r="B1946" s="1">
        <v>45582</v>
      </c>
      <c r="C1946">
        <v>2024</v>
      </c>
      <c r="D1946" t="s">
        <v>1873</v>
      </c>
      <c r="E1946" t="s">
        <v>1874</v>
      </c>
      <c r="F1946" t="s">
        <v>23</v>
      </c>
      <c r="G1946" t="s">
        <v>35</v>
      </c>
      <c r="H1946" t="s">
        <v>36</v>
      </c>
      <c r="I1946" t="s">
        <v>26</v>
      </c>
      <c r="J1946" t="s">
        <v>27</v>
      </c>
      <c r="K1946" t="s">
        <v>28</v>
      </c>
      <c r="L1946" s="2">
        <v>149.30000000000001</v>
      </c>
      <c r="M1946" s="3">
        <v>263</v>
      </c>
      <c r="N1946">
        <v>3</v>
      </c>
      <c r="O1946">
        <v>3</v>
      </c>
      <c r="P1946">
        <v>1</v>
      </c>
      <c r="Q1946">
        <v>0</v>
      </c>
      <c r="R1946" s="4">
        <v>65.73</v>
      </c>
      <c r="S1946">
        <v>0</v>
      </c>
      <c r="T1946">
        <v>1</v>
      </c>
    </row>
    <row r="1947" spans="1:20" ht="16.5" x14ac:dyDescent="0.3">
      <c r="A1947" t="s">
        <v>1999</v>
      </c>
      <c r="B1947" s="1">
        <v>45582</v>
      </c>
      <c r="C1947">
        <v>2024</v>
      </c>
      <c r="D1947" t="s">
        <v>1873</v>
      </c>
      <c r="E1947" t="s">
        <v>1874</v>
      </c>
      <c r="F1947" t="s">
        <v>23</v>
      </c>
      <c r="G1947" t="s">
        <v>35</v>
      </c>
      <c r="H1947" t="s">
        <v>43</v>
      </c>
      <c r="I1947" t="s">
        <v>40</v>
      </c>
      <c r="J1947" t="s">
        <v>41</v>
      </c>
      <c r="K1947" t="s">
        <v>28</v>
      </c>
      <c r="L1947" s="2">
        <v>54.5</v>
      </c>
      <c r="M1947" s="3">
        <v>1473</v>
      </c>
      <c r="N1947">
        <v>3</v>
      </c>
      <c r="O1947">
        <v>3</v>
      </c>
      <c r="P1947">
        <v>1</v>
      </c>
      <c r="Q1947">
        <v>0</v>
      </c>
      <c r="R1947" s="4">
        <v>136.72999999999999</v>
      </c>
      <c r="S1947">
        <v>0</v>
      </c>
      <c r="T1947">
        <v>1</v>
      </c>
    </row>
    <row r="1948" spans="1:20" ht="16.5" x14ac:dyDescent="0.3">
      <c r="A1948" t="s">
        <v>2000</v>
      </c>
      <c r="B1948" s="1">
        <v>45582</v>
      </c>
      <c r="C1948">
        <v>2024</v>
      </c>
      <c r="D1948" t="s">
        <v>1873</v>
      </c>
      <c r="E1948" t="s">
        <v>1874</v>
      </c>
      <c r="F1948" t="s">
        <v>30</v>
      </c>
      <c r="G1948" t="s">
        <v>24</v>
      </c>
      <c r="H1948" t="s">
        <v>51</v>
      </c>
      <c r="I1948" t="s">
        <v>31</v>
      </c>
      <c r="J1948" t="s">
        <v>27</v>
      </c>
      <c r="K1948" t="s">
        <v>32</v>
      </c>
      <c r="L1948" s="2">
        <v>7.9</v>
      </c>
      <c r="M1948" s="3">
        <v>745</v>
      </c>
      <c r="N1948">
        <v>7</v>
      </c>
      <c r="O1948">
        <v>7</v>
      </c>
      <c r="P1948">
        <v>1</v>
      </c>
      <c r="Q1948">
        <v>0</v>
      </c>
      <c r="R1948" s="4">
        <v>15.66</v>
      </c>
      <c r="S1948">
        <v>0</v>
      </c>
      <c r="T1948">
        <v>1</v>
      </c>
    </row>
    <row r="1949" spans="1:20" ht="16.5" x14ac:dyDescent="0.3">
      <c r="A1949" t="s">
        <v>2001</v>
      </c>
      <c r="B1949" s="1">
        <v>45583</v>
      </c>
      <c r="C1949">
        <v>2024</v>
      </c>
      <c r="D1949" t="s">
        <v>1873</v>
      </c>
      <c r="E1949" t="s">
        <v>1874</v>
      </c>
      <c r="F1949" t="s">
        <v>34</v>
      </c>
      <c r="G1949" t="s">
        <v>35</v>
      </c>
      <c r="H1949" t="s">
        <v>36</v>
      </c>
      <c r="I1949" t="s">
        <v>31</v>
      </c>
      <c r="J1949" t="s">
        <v>27</v>
      </c>
      <c r="K1949" t="s">
        <v>28</v>
      </c>
      <c r="L1949" s="2">
        <v>14.6</v>
      </c>
      <c r="M1949" s="3">
        <v>205</v>
      </c>
      <c r="N1949">
        <v>5</v>
      </c>
      <c r="O1949">
        <v>5</v>
      </c>
      <c r="P1949">
        <v>1</v>
      </c>
      <c r="Q1949">
        <v>0</v>
      </c>
      <c r="R1949" s="4">
        <v>10.5</v>
      </c>
      <c r="S1949">
        <v>0</v>
      </c>
      <c r="T1949">
        <v>1</v>
      </c>
    </row>
    <row r="1950" spans="1:20" ht="16.5" x14ac:dyDescent="0.3">
      <c r="A1950" t="s">
        <v>2002</v>
      </c>
      <c r="B1950" s="1">
        <v>45583</v>
      </c>
      <c r="C1950">
        <v>2024</v>
      </c>
      <c r="D1950" t="s">
        <v>1873</v>
      </c>
      <c r="E1950" t="s">
        <v>1874</v>
      </c>
      <c r="F1950" t="s">
        <v>23</v>
      </c>
      <c r="G1950" t="s">
        <v>24</v>
      </c>
      <c r="H1950" t="s">
        <v>25</v>
      </c>
      <c r="I1950" t="s">
        <v>40</v>
      </c>
      <c r="J1950" t="s">
        <v>41</v>
      </c>
      <c r="K1950" t="s">
        <v>32</v>
      </c>
      <c r="L1950" s="2">
        <v>3.8</v>
      </c>
      <c r="M1950" s="3">
        <v>868</v>
      </c>
      <c r="N1950">
        <v>2</v>
      </c>
      <c r="O1950">
        <v>3</v>
      </c>
      <c r="P1950">
        <v>0</v>
      </c>
      <c r="Q1950">
        <v>1</v>
      </c>
      <c r="R1950" s="4">
        <v>54.59</v>
      </c>
      <c r="S1950">
        <v>0</v>
      </c>
      <c r="T1950">
        <v>1</v>
      </c>
    </row>
    <row r="1951" spans="1:20" ht="16.5" x14ac:dyDescent="0.3">
      <c r="A1951" t="s">
        <v>2003</v>
      </c>
      <c r="B1951" s="1">
        <v>45583</v>
      </c>
      <c r="C1951">
        <v>2024</v>
      </c>
      <c r="D1951" t="s">
        <v>1873</v>
      </c>
      <c r="E1951" t="s">
        <v>1874</v>
      </c>
      <c r="F1951" t="s">
        <v>30</v>
      </c>
      <c r="G1951" t="s">
        <v>35</v>
      </c>
      <c r="H1951" t="s">
        <v>48</v>
      </c>
      <c r="I1951" t="s">
        <v>26</v>
      </c>
      <c r="J1951" t="s">
        <v>27</v>
      </c>
      <c r="K1951" t="s">
        <v>32</v>
      </c>
      <c r="L1951" s="2">
        <v>5.3</v>
      </c>
      <c r="M1951" s="3">
        <v>447</v>
      </c>
      <c r="N1951">
        <v>4</v>
      </c>
      <c r="O1951">
        <v>4</v>
      </c>
      <c r="P1951">
        <v>1</v>
      </c>
      <c r="Q1951">
        <v>0</v>
      </c>
      <c r="R1951" s="4">
        <v>16.170000000000002</v>
      </c>
      <c r="S1951">
        <v>0</v>
      </c>
      <c r="T1951">
        <v>1</v>
      </c>
    </row>
    <row r="1952" spans="1:20" ht="16.5" x14ac:dyDescent="0.3">
      <c r="A1952" t="s">
        <v>2004</v>
      </c>
      <c r="B1952" s="1">
        <v>45583</v>
      </c>
      <c r="C1952">
        <v>2024</v>
      </c>
      <c r="D1952" t="s">
        <v>1873</v>
      </c>
      <c r="E1952" t="s">
        <v>1874</v>
      </c>
      <c r="F1952" t="s">
        <v>23</v>
      </c>
      <c r="G1952" t="s">
        <v>24</v>
      </c>
      <c r="H1952" t="s">
        <v>36</v>
      </c>
      <c r="I1952" t="s">
        <v>26</v>
      </c>
      <c r="J1952" t="s">
        <v>27</v>
      </c>
      <c r="K1952" t="s">
        <v>28</v>
      </c>
      <c r="L1952" s="2">
        <v>126.6</v>
      </c>
      <c r="M1952" s="3">
        <v>237</v>
      </c>
      <c r="N1952">
        <v>3</v>
      </c>
      <c r="O1952">
        <v>3</v>
      </c>
      <c r="P1952">
        <v>1</v>
      </c>
      <c r="Q1952">
        <v>0</v>
      </c>
      <c r="R1952" s="4">
        <v>57.45</v>
      </c>
      <c r="S1952">
        <v>0</v>
      </c>
      <c r="T1952">
        <v>1</v>
      </c>
    </row>
    <row r="1953" spans="1:20" ht="16.5" x14ac:dyDescent="0.3">
      <c r="A1953" t="s">
        <v>2005</v>
      </c>
      <c r="B1953" s="1">
        <v>45583</v>
      </c>
      <c r="C1953">
        <v>2024</v>
      </c>
      <c r="D1953" t="s">
        <v>1873</v>
      </c>
      <c r="E1953" t="s">
        <v>1874</v>
      </c>
      <c r="F1953" t="s">
        <v>57</v>
      </c>
      <c r="G1953" t="s">
        <v>35</v>
      </c>
      <c r="H1953" t="s">
        <v>48</v>
      </c>
      <c r="I1953" t="s">
        <v>40</v>
      </c>
      <c r="J1953" t="s">
        <v>27</v>
      </c>
      <c r="K1953" t="s">
        <v>32</v>
      </c>
      <c r="L1953" s="2">
        <v>1.8</v>
      </c>
      <c r="M1953" s="3">
        <v>496</v>
      </c>
      <c r="N1953">
        <v>2</v>
      </c>
      <c r="O1953">
        <v>1</v>
      </c>
      <c r="P1953">
        <v>1</v>
      </c>
      <c r="Q1953">
        <v>0</v>
      </c>
      <c r="R1953" s="4">
        <v>24.51</v>
      </c>
      <c r="S1953">
        <v>0</v>
      </c>
      <c r="T1953">
        <v>1</v>
      </c>
    </row>
    <row r="1954" spans="1:20" ht="16.5" x14ac:dyDescent="0.3">
      <c r="A1954" t="s">
        <v>2006</v>
      </c>
      <c r="B1954" s="1">
        <v>45583</v>
      </c>
      <c r="C1954">
        <v>2024</v>
      </c>
      <c r="D1954" t="s">
        <v>1873</v>
      </c>
      <c r="E1954" t="s">
        <v>1874</v>
      </c>
      <c r="F1954" t="s">
        <v>38</v>
      </c>
      <c r="G1954" t="s">
        <v>35</v>
      </c>
      <c r="H1954" t="s">
        <v>48</v>
      </c>
      <c r="I1954" t="s">
        <v>31</v>
      </c>
      <c r="J1954" t="s">
        <v>27</v>
      </c>
      <c r="K1954" t="s">
        <v>28</v>
      </c>
      <c r="L1954" s="2">
        <v>45.3</v>
      </c>
      <c r="M1954" s="3">
        <v>483</v>
      </c>
      <c r="N1954">
        <v>6</v>
      </c>
      <c r="O1954">
        <v>6</v>
      </c>
      <c r="P1954">
        <v>1</v>
      </c>
      <c r="Q1954">
        <v>0</v>
      </c>
      <c r="R1954" s="4">
        <v>29.11</v>
      </c>
      <c r="S1954">
        <v>0</v>
      </c>
      <c r="T1954">
        <v>1</v>
      </c>
    </row>
    <row r="1955" spans="1:20" ht="16.5" x14ac:dyDescent="0.3">
      <c r="A1955" t="s">
        <v>2007</v>
      </c>
      <c r="B1955" s="1">
        <v>45583</v>
      </c>
      <c r="C1955">
        <v>2024</v>
      </c>
      <c r="D1955" t="s">
        <v>1873</v>
      </c>
      <c r="E1955" t="s">
        <v>1874</v>
      </c>
      <c r="F1955" t="s">
        <v>34</v>
      </c>
      <c r="G1955" t="s">
        <v>39</v>
      </c>
      <c r="H1955" t="s">
        <v>48</v>
      </c>
      <c r="I1955" t="s">
        <v>26</v>
      </c>
      <c r="J1955" t="s">
        <v>27</v>
      </c>
      <c r="K1955" t="s">
        <v>32</v>
      </c>
      <c r="L1955" s="2">
        <v>2.1</v>
      </c>
      <c r="M1955" s="3">
        <v>440</v>
      </c>
      <c r="N1955">
        <v>4</v>
      </c>
      <c r="O1955">
        <v>7</v>
      </c>
      <c r="P1955">
        <v>0</v>
      </c>
      <c r="Q1955">
        <v>3</v>
      </c>
      <c r="R1955" s="4">
        <v>12.08</v>
      </c>
      <c r="S1955">
        <v>0</v>
      </c>
      <c r="T1955">
        <v>1</v>
      </c>
    </row>
    <row r="1956" spans="1:20" ht="16.5" x14ac:dyDescent="0.3">
      <c r="A1956" t="s">
        <v>2008</v>
      </c>
      <c r="B1956" s="1">
        <v>45583</v>
      </c>
      <c r="C1956">
        <v>2024</v>
      </c>
      <c r="D1956" t="s">
        <v>1873</v>
      </c>
      <c r="E1956" t="s">
        <v>1874</v>
      </c>
      <c r="F1956" t="s">
        <v>34</v>
      </c>
      <c r="G1956" t="s">
        <v>24</v>
      </c>
      <c r="H1956" t="s">
        <v>25</v>
      </c>
      <c r="I1956" t="s">
        <v>31</v>
      </c>
      <c r="J1956" t="s">
        <v>27</v>
      </c>
      <c r="K1956" t="s">
        <v>32</v>
      </c>
      <c r="L1956" s="2">
        <v>13.6</v>
      </c>
      <c r="M1956" s="3">
        <v>1085</v>
      </c>
      <c r="N1956">
        <v>6</v>
      </c>
      <c r="O1956">
        <v>6</v>
      </c>
      <c r="P1956">
        <v>1</v>
      </c>
      <c r="Q1956">
        <v>0</v>
      </c>
      <c r="R1956" s="4">
        <v>17.440000000000001</v>
      </c>
      <c r="S1956">
        <v>1</v>
      </c>
      <c r="T1956">
        <v>1</v>
      </c>
    </row>
    <row r="1957" spans="1:20" ht="16.5" x14ac:dyDescent="0.3">
      <c r="A1957" t="s">
        <v>2009</v>
      </c>
      <c r="B1957" s="1">
        <v>45583</v>
      </c>
      <c r="C1957">
        <v>2024</v>
      </c>
      <c r="D1957" t="s">
        <v>1873</v>
      </c>
      <c r="E1957" t="s">
        <v>1874</v>
      </c>
      <c r="F1957" t="s">
        <v>23</v>
      </c>
      <c r="G1957" t="s">
        <v>24</v>
      </c>
      <c r="H1957" t="s">
        <v>36</v>
      </c>
      <c r="I1957" t="s">
        <v>26</v>
      </c>
      <c r="J1957" t="s">
        <v>27</v>
      </c>
      <c r="K1957" t="s">
        <v>28</v>
      </c>
      <c r="L1957" s="2">
        <v>213.8</v>
      </c>
      <c r="M1957" s="3">
        <v>219</v>
      </c>
      <c r="N1957">
        <v>3</v>
      </c>
      <c r="O1957">
        <v>3</v>
      </c>
      <c r="P1957">
        <v>1</v>
      </c>
      <c r="Q1957">
        <v>0</v>
      </c>
      <c r="R1957" s="4">
        <v>87.61</v>
      </c>
      <c r="S1957">
        <v>0</v>
      </c>
      <c r="T1957">
        <v>1</v>
      </c>
    </row>
    <row r="1958" spans="1:20" ht="16.5" x14ac:dyDescent="0.3">
      <c r="A1958" t="s">
        <v>2010</v>
      </c>
      <c r="B1958" s="1">
        <v>45583</v>
      </c>
      <c r="C1958">
        <v>2024</v>
      </c>
      <c r="D1958" t="s">
        <v>1873</v>
      </c>
      <c r="E1958" t="s">
        <v>1874</v>
      </c>
      <c r="F1958" t="s">
        <v>57</v>
      </c>
      <c r="G1958" t="s">
        <v>39</v>
      </c>
      <c r="H1958" t="s">
        <v>48</v>
      </c>
      <c r="I1958" t="s">
        <v>40</v>
      </c>
      <c r="J1958" t="s">
        <v>27</v>
      </c>
      <c r="K1958" t="s">
        <v>32</v>
      </c>
      <c r="L1958" s="2">
        <v>8.4</v>
      </c>
      <c r="M1958" s="3">
        <v>363</v>
      </c>
      <c r="N1958">
        <v>2</v>
      </c>
      <c r="O1958">
        <v>2</v>
      </c>
      <c r="P1958">
        <v>1</v>
      </c>
      <c r="Q1958">
        <v>0</v>
      </c>
      <c r="R1958" s="4">
        <v>31.8</v>
      </c>
      <c r="S1958">
        <v>0</v>
      </c>
      <c r="T1958">
        <v>1</v>
      </c>
    </row>
    <row r="1959" spans="1:20" ht="16.5" x14ac:dyDescent="0.3">
      <c r="A1959" t="s">
        <v>2011</v>
      </c>
      <c r="B1959" s="1">
        <v>45583</v>
      </c>
      <c r="C1959">
        <v>2024</v>
      </c>
      <c r="D1959" t="s">
        <v>1873</v>
      </c>
      <c r="E1959" t="s">
        <v>1874</v>
      </c>
      <c r="F1959" t="s">
        <v>57</v>
      </c>
      <c r="G1959" t="s">
        <v>35</v>
      </c>
      <c r="H1959" t="s">
        <v>43</v>
      </c>
      <c r="I1959" t="s">
        <v>26</v>
      </c>
      <c r="J1959" t="s">
        <v>27</v>
      </c>
      <c r="K1959" t="s">
        <v>32</v>
      </c>
      <c r="L1959" s="2">
        <v>3.5</v>
      </c>
      <c r="M1959" s="3">
        <v>718</v>
      </c>
      <c r="N1959">
        <v>5</v>
      </c>
      <c r="O1959">
        <v>4</v>
      </c>
      <c r="P1959">
        <v>1</v>
      </c>
      <c r="Q1959">
        <v>0</v>
      </c>
      <c r="R1959" s="4">
        <v>18.27</v>
      </c>
      <c r="S1959">
        <v>0</v>
      </c>
      <c r="T1959">
        <v>1</v>
      </c>
    </row>
    <row r="1960" spans="1:20" ht="16.5" x14ac:dyDescent="0.3">
      <c r="A1960" t="s">
        <v>2012</v>
      </c>
      <c r="B1960" s="1">
        <v>45584</v>
      </c>
      <c r="C1960">
        <v>2024</v>
      </c>
      <c r="D1960" t="s">
        <v>1873</v>
      </c>
      <c r="E1960" t="s">
        <v>1874</v>
      </c>
      <c r="F1960" t="s">
        <v>38</v>
      </c>
      <c r="G1960" t="s">
        <v>35</v>
      </c>
      <c r="H1960" t="s">
        <v>25</v>
      </c>
      <c r="I1960" t="s">
        <v>40</v>
      </c>
      <c r="J1960" t="s">
        <v>41</v>
      </c>
      <c r="K1960" t="s">
        <v>32</v>
      </c>
      <c r="L1960" s="2">
        <v>11</v>
      </c>
      <c r="M1960" s="3">
        <v>965</v>
      </c>
      <c r="N1960">
        <v>2</v>
      </c>
      <c r="O1960">
        <v>2</v>
      </c>
      <c r="P1960">
        <v>1</v>
      </c>
      <c r="Q1960">
        <v>0</v>
      </c>
      <c r="R1960" s="4">
        <v>87.77</v>
      </c>
      <c r="S1960">
        <v>0</v>
      </c>
      <c r="T1960">
        <v>1</v>
      </c>
    </row>
    <row r="1961" spans="1:20" ht="16.5" x14ac:dyDescent="0.3">
      <c r="A1961" t="s">
        <v>2013</v>
      </c>
      <c r="B1961" s="1">
        <v>45584</v>
      </c>
      <c r="C1961">
        <v>2024</v>
      </c>
      <c r="D1961" t="s">
        <v>1873</v>
      </c>
      <c r="E1961" t="s">
        <v>1874</v>
      </c>
      <c r="F1961" t="s">
        <v>34</v>
      </c>
      <c r="G1961" t="s">
        <v>39</v>
      </c>
      <c r="H1961" t="s">
        <v>43</v>
      </c>
      <c r="I1961" t="s">
        <v>31</v>
      </c>
      <c r="J1961" t="s">
        <v>27</v>
      </c>
      <c r="K1961" t="s">
        <v>32</v>
      </c>
      <c r="L1961" s="2">
        <v>8.1</v>
      </c>
      <c r="M1961" s="3">
        <v>1271</v>
      </c>
      <c r="N1961">
        <v>7</v>
      </c>
      <c r="O1961">
        <v>7</v>
      </c>
      <c r="P1961">
        <v>1</v>
      </c>
      <c r="Q1961">
        <v>0</v>
      </c>
      <c r="R1961" s="4">
        <v>18.149999999999999</v>
      </c>
      <c r="S1961">
        <v>0</v>
      </c>
      <c r="T1961">
        <v>1</v>
      </c>
    </row>
    <row r="1962" spans="1:20" ht="16.5" x14ac:dyDescent="0.3">
      <c r="A1962" t="s">
        <v>2014</v>
      </c>
      <c r="B1962" s="1">
        <v>45584</v>
      </c>
      <c r="C1962">
        <v>2024</v>
      </c>
      <c r="D1962" t="s">
        <v>1873</v>
      </c>
      <c r="E1962" t="s">
        <v>1874</v>
      </c>
      <c r="F1962" t="s">
        <v>38</v>
      </c>
      <c r="G1962" t="s">
        <v>39</v>
      </c>
      <c r="H1962" t="s">
        <v>36</v>
      </c>
      <c r="I1962" t="s">
        <v>40</v>
      </c>
      <c r="J1962" t="s">
        <v>27</v>
      </c>
      <c r="K1962" t="s">
        <v>32</v>
      </c>
      <c r="L1962" s="2">
        <v>4.2</v>
      </c>
      <c r="M1962" s="3">
        <v>267</v>
      </c>
      <c r="N1962">
        <v>1</v>
      </c>
      <c r="O1962">
        <v>1</v>
      </c>
      <c r="P1962">
        <v>1</v>
      </c>
      <c r="Q1962">
        <v>0</v>
      </c>
      <c r="R1962" s="4">
        <v>26.39</v>
      </c>
      <c r="S1962">
        <v>0</v>
      </c>
      <c r="T1962">
        <v>1</v>
      </c>
    </row>
    <row r="1963" spans="1:20" ht="16.5" x14ac:dyDescent="0.3">
      <c r="A1963" t="s">
        <v>2015</v>
      </c>
      <c r="B1963" s="1">
        <v>45584</v>
      </c>
      <c r="C1963">
        <v>2024</v>
      </c>
      <c r="D1963" t="s">
        <v>1873</v>
      </c>
      <c r="E1963" t="s">
        <v>1874</v>
      </c>
      <c r="F1963" t="s">
        <v>57</v>
      </c>
      <c r="G1963" t="s">
        <v>39</v>
      </c>
      <c r="H1963" t="s">
        <v>48</v>
      </c>
      <c r="I1963" t="s">
        <v>26</v>
      </c>
      <c r="J1963" t="s">
        <v>27</v>
      </c>
      <c r="K1963" t="s">
        <v>32</v>
      </c>
      <c r="L1963" s="2">
        <v>8.4</v>
      </c>
      <c r="M1963" s="3">
        <v>516</v>
      </c>
      <c r="N1963">
        <v>4</v>
      </c>
      <c r="O1963">
        <v>4</v>
      </c>
      <c r="P1963">
        <v>1</v>
      </c>
      <c r="Q1963">
        <v>0</v>
      </c>
      <c r="R1963" s="4">
        <v>16.73</v>
      </c>
      <c r="S1963">
        <v>0</v>
      </c>
      <c r="T1963">
        <v>1</v>
      </c>
    </row>
    <row r="1964" spans="1:20" ht="16.5" x14ac:dyDescent="0.3">
      <c r="A1964" t="s">
        <v>2016</v>
      </c>
      <c r="B1964" s="1">
        <v>45585</v>
      </c>
      <c r="C1964">
        <v>2024</v>
      </c>
      <c r="D1964" t="s">
        <v>1873</v>
      </c>
      <c r="E1964" t="s">
        <v>1874</v>
      </c>
      <c r="F1964" t="s">
        <v>30</v>
      </c>
      <c r="G1964" t="s">
        <v>35</v>
      </c>
      <c r="H1964" t="s">
        <v>43</v>
      </c>
      <c r="I1964" t="s">
        <v>40</v>
      </c>
      <c r="J1964" t="s">
        <v>41</v>
      </c>
      <c r="K1964" t="s">
        <v>28</v>
      </c>
      <c r="L1964" s="2">
        <v>113.7</v>
      </c>
      <c r="M1964" s="3">
        <v>1228</v>
      </c>
      <c r="N1964">
        <v>3</v>
      </c>
      <c r="O1964">
        <v>4</v>
      </c>
      <c r="P1964">
        <v>0</v>
      </c>
      <c r="Q1964">
        <v>1</v>
      </c>
      <c r="R1964" s="4">
        <v>235.79</v>
      </c>
      <c r="S1964">
        <v>0</v>
      </c>
      <c r="T1964">
        <v>1</v>
      </c>
    </row>
    <row r="1965" spans="1:20" ht="16.5" x14ac:dyDescent="0.3">
      <c r="A1965" t="s">
        <v>2017</v>
      </c>
      <c r="B1965" s="1">
        <v>45585</v>
      </c>
      <c r="C1965">
        <v>2024</v>
      </c>
      <c r="D1965" t="s">
        <v>1873</v>
      </c>
      <c r="E1965" t="s">
        <v>1874</v>
      </c>
      <c r="F1965" t="s">
        <v>30</v>
      </c>
      <c r="G1965" t="s">
        <v>24</v>
      </c>
      <c r="H1965" t="s">
        <v>43</v>
      </c>
      <c r="I1965" t="s">
        <v>40</v>
      </c>
      <c r="J1965" t="s">
        <v>41</v>
      </c>
      <c r="K1965" t="s">
        <v>32</v>
      </c>
      <c r="L1965" s="2">
        <v>5</v>
      </c>
      <c r="M1965" s="3">
        <v>1226</v>
      </c>
      <c r="N1965">
        <v>3</v>
      </c>
      <c r="O1965">
        <v>3</v>
      </c>
      <c r="P1965">
        <v>1</v>
      </c>
      <c r="Q1965">
        <v>0</v>
      </c>
      <c r="R1965" s="4">
        <v>72.040000000000006</v>
      </c>
      <c r="S1965">
        <v>0</v>
      </c>
      <c r="T1965">
        <v>1</v>
      </c>
    </row>
    <row r="1966" spans="1:20" ht="16.5" x14ac:dyDescent="0.3">
      <c r="A1966" t="s">
        <v>2018</v>
      </c>
      <c r="B1966" s="1">
        <v>45585</v>
      </c>
      <c r="C1966">
        <v>2024</v>
      </c>
      <c r="D1966" t="s">
        <v>1873</v>
      </c>
      <c r="E1966" t="s">
        <v>1874</v>
      </c>
      <c r="F1966" t="s">
        <v>23</v>
      </c>
      <c r="G1966" t="s">
        <v>24</v>
      </c>
      <c r="H1966" t="s">
        <v>36</v>
      </c>
      <c r="I1966" t="s">
        <v>26</v>
      </c>
      <c r="J1966" t="s">
        <v>27</v>
      </c>
      <c r="K1966" t="s">
        <v>32</v>
      </c>
      <c r="L1966" s="2">
        <v>6.8</v>
      </c>
      <c r="M1966" s="3">
        <v>194</v>
      </c>
      <c r="N1966">
        <v>3</v>
      </c>
      <c r="O1966">
        <v>3</v>
      </c>
      <c r="P1966">
        <v>1</v>
      </c>
      <c r="Q1966">
        <v>0</v>
      </c>
      <c r="R1966" s="4">
        <v>11.69</v>
      </c>
      <c r="S1966">
        <v>0</v>
      </c>
      <c r="T1966">
        <v>1</v>
      </c>
    </row>
    <row r="1967" spans="1:20" ht="16.5" x14ac:dyDescent="0.3">
      <c r="A1967" t="s">
        <v>2019</v>
      </c>
      <c r="B1967" s="1">
        <v>45585</v>
      </c>
      <c r="C1967">
        <v>2024</v>
      </c>
      <c r="D1967" t="s">
        <v>1873</v>
      </c>
      <c r="E1967" t="s">
        <v>1874</v>
      </c>
      <c r="F1967" t="s">
        <v>23</v>
      </c>
      <c r="G1967" t="s">
        <v>39</v>
      </c>
      <c r="H1967" t="s">
        <v>25</v>
      </c>
      <c r="I1967" t="s">
        <v>26</v>
      </c>
      <c r="J1967" t="s">
        <v>27</v>
      </c>
      <c r="K1967" t="s">
        <v>28</v>
      </c>
      <c r="L1967" s="2">
        <v>80.5</v>
      </c>
      <c r="M1967" s="3">
        <v>1139</v>
      </c>
      <c r="N1967">
        <v>4</v>
      </c>
      <c r="O1967">
        <v>5</v>
      </c>
      <c r="P1967">
        <v>0</v>
      </c>
      <c r="Q1967">
        <v>1</v>
      </c>
      <c r="R1967" s="4">
        <v>52.2</v>
      </c>
      <c r="S1967">
        <v>0</v>
      </c>
      <c r="T1967">
        <v>1</v>
      </c>
    </row>
    <row r="1968" spans="1:20" ht="16.5" x14ac:dyDescent="0.3">
      <c r="A1968" t="s">
        <v>2020</v>
      </c>
      <c r="B1968" s="1">
        <v>45585</v>
      </c>
      <c r="C1968">
        <v>2024</v>
      </c>
      <c r="D1968" t="s">
        <v>1873</v>
      </c>
      <c r="E1968" t="s">
        <v>1874</v>
      </c>
      <c r="F1968" t="s">
        <v>57</v>
      </c>
      <c r="G1968" t="s">
        <v>39</v>
      </c>
      <c r="H1968" t="s">
        <v>25</v>
      </c>
      <c r="I1968" t="s">
        <v>31</v>
      </c>
      <c r="J1968" t="s">
        <v>27</v>
      </c>
      <c r="K1968" t="s">
        <v>32</v>
      </c>
      <c r="L1968" s="2">
        <v>12</v>
      </c>
      <c r="M1968" s="3">
        <v>756</v>
      </c>
      <c r="N1968">
        <v>6</v>
      </c>
      <c r="O1968">
        <v>6</v>
      </c>
      <c r="P1968">
        <v>1</v>
      </c>
      <c r="Q1968">
        <v>0</v>
      </c>
      <c r="R1968" s="4">
        <v>15.47</v>
      </c>
      <c r="S1968">
        <v>0</v>
      </c>
      <c r="T1968">
        <v>1</v>
      </c>
    </row>
    <row r="1969" spans="1:20" ht="16.5" x14ac:dyDescent="0.3">
      <c r="A1969" t="s">
        <v>2021</v>
      </c>
      <c r="B1969" s="1">
        <v>45586</v>
      </c>
      <c r="C1969">
        <v>2024</v>
      </c>
      <c r="D1969" t="s">
        <v>1873</v>
      </c>
      <c r="E1969" t="s">
        <v>1874</v>
      </c>
      <c r="F1969" t="s">
        <v>34</v>
      </c>
      <c r="G1969" t="s">
        <v>39</v>
      </c>
      <c r="H1969" t="s">
        <v>25</v>
      </c>
      <c r="I1969" t="s">
        <v>26</v>
      </c>
      <c r="J1969" t="s">
        <v>27</v>
      </c>
      <c r="K1969" t="s">
        <v>28</v>
      </c>
      <c r="L1969" s="2">
        <v>58.1</v>
      </c>
      <c r="M1969" s="3">
        <v>952</v>
      </c>
      <c r="N1969">
        <v>4</v>
      </c>
      <c r="O1969">
        <v>4</v>
      </c>
      <c r="P1969">
        <v>1</v>
      </c>
      <c r="Q1969">
        <v>0</v>
      </c>
      <c r="R1969" s="4">
        <v>38.630000000000003</v>
      </c>
      <c r="S1969">
        <v>0</v>
      </c>
      <c r="T1969">
        <v>1</v>
      </c>
    </row>
    <row r="1970" spans="1:20" ht="16.5" x14ac:dyDescent="0.3">
      <c r="A1970" t="s">
        <v>2022</v>
      </c>
      <c r="B1970" s="1">
        <v>45586</v>
      </c>
      <c r="C1970">
        <v>2024</v>
      </c>
      <c r="D1970" t="s">
        <v>1873</v>
      </c>
      <c r="E1970" t="s">
        <v>1874</v>
      </c>
      <c r="F1970" t="s">
        <v>57</v>
      </c>
      <c r="G1970" t="s">
        <v>39</v>
      </c>
      <c r="H1970" t="s">
        <v>36</v>
      </c>
      <c r="I1970" t="s">
        <v>26</v>
      </c>
      <c r="J1970" t="s">
        <v>27</v>
      </c>
      <c r="K1970" t="s">
        <v>32</v>
      </c>
      <c r="L1970" s="2">
        <v>8.5</v>
      </c>
      <c r="M1970" s="3">
        <v>306</v>
      </c>
      <c r="N1970">
        <v>3</v>
      </c>
      <c r="O1970">
        <v>2</v>
      </c>
      <c r="P1970">
        <v>1</v>
      </c>
      <c r="Q1970">
        <v>0</v>
      </c>
      <c r="R1970" s="4">
        <v>15.28</v>
      </c>
      <c r="S1970">
        <v>0</v>
      </c>
      <c r="T1970">
        <v>1</v>
      </c>
    </row>
    <row r="1971" spans="1:20" ht="16.5" x14ac:dyDescent="0.3">
      <c r="A1971" t="s">
        <v>2023</v>
      </c>
      <c r="B1971" s="1">
        <v>45586</v>
      </c>
      <c r="C1971">
        <v>2024</v>
      </c>
      <c r="D1971" t="s">
        <v>1873</v>
      </c>
      <c r="E1971" t="s">
        <v>1874</v>
      </c>
      <c r="F1971" t="s">
        <v>30</v>
      </c>
      <c r="G1971" t="s">
        <v>24</v>
      </c>
      <c r="H1971" t="s">
        <v>36</v>
      </c>
      <c r="I1971" t="s">
        <v>26</v>
      </c>
      <c r="J1971" t="s">
        <v>27</v>
      </c>
      <c r="K1971" t="s">
        <v>32</v>
      </c>
      <c r="L1971" s="2">
        <v>4.2</v>
      </c>
      <c r="M1971" s="3">
        <v>257</v>
      </c>
      <c r="N1971">
        <v>3</v>
      </c>
      <c r="O1971">
        <v>3</v>
      </c>
      <c r="P1971">
        <v>1</v>
      </c>
      <c r="Q1971">
        <v>0</v>
      </c>
      <c r="R1971" s="4">
        <v>12.73</v>
      </c>
      <c r="S1971">
        <v>0</v>
      </c>
      <c r="T1971">
        <v>1</v>
      </c>
    </row>
    <row r="1972" spans="1:20" ht="16.5" x14ac:dyDescent="0.3">
      <c r="A1972" t="s">
        <v>2024</v>
      </c>
      <c r="B1972" s="1">
        <v>45586</v>
      </c>
      <c r="C1972">
        <v>2024</v>
      </c>
      <c r="D1972" t="s">
        <v>1873</v>
      </c>
      <c r="E1972" t="s">
        <v>1874</v>
      </c>
      <c r="F1972" t="s">
        <v>57</v>
      </c>
      <c r="G1972" t="s">
        <v>35</v>
      </c>
      <c r="H1972" t="s">
        <v>25</v>
      </c>
      <c r="I1972" t="s">
        <v>26</v>
      </c>
      <c r="J1972" t="s">
        <v>27</v>
      </c>
      <c r="K1972" t="s">
        <v>32</v>
      </c>
      <c r="L1972" s="2">
        <v>6.9</v>
      </c>
      <c r="M1972" s="3">
        <v>1147</v>
      </c>
      <c r="N1972">
        <v>4</v>
      </c>
      <c r="O1972">
        <v>4</v>
      </c>
      <c r="P1972">
        <v>1</v>
      </c>
      <c r="Q1972">
        <v>0</v>
      </c>
      <c r="R1972" s="4">
        <v>23.47</v>
      </c>
      <c r="S1972">
        <v>0</v>
      </c>
      <c r="T1972">
        <v>1</v>
      </c>
    </row>
    <row r="1973" spans="1:20" ht="16.5" x14ac:dyDescent="0.3">
      <c r="A1973" t="s">
        <v>2025</v>
      </c>
      <c r="B1973" s="1">
        <v>45586</v>
      </c>
      <c r="C1973">
        <v>2024</v>
      </c>
      <c r="D1973" t="s">
        <v>1873</v>
      </c>
      <c r="E1973" t="s">
        <v>1874</v>
      </c>
      <c r="F1973" t="s">
        <v>23</v>
      </c>
      <c r="G1973" t="s">
        <v>39</v>
      </c>
      <c r="H1973" t="s">
        <v>25</v>
      </c>
      <c r="I1973" t="s">
        <v>40</v>
      </c>
      <c r="J1973" t="s">
        <v>41</v>
      </c>
      <c r="K1973" t="s">
        <v>28</v>
      </c>
      <c r="L1973" s="2">
        <v>166.4</v>
      </c>
      <c r="M1973" s="3">
        <v>911</v>
      </c>
      <c r="N1973">
        <v>2</v>
      </c>
      <c r="O1973">
        <v>2</v>
      </c>
      <c r="P1973">
        <v>1</v>
      </c>
      <c r="Q1973">
        <v>0</v>
      </c>
      <c r="R1973" s="4">
        <v>265.77</v>
      </c>
      <c r="S1973">
        <v>0</v>
      </c>
      <c r="T1973">
        <v>1</v>
      </c>
    </row>
    <row r="1974" spans="1:20" ht="16.5" x14ac:dyDescent="0.3">
      <c r="A1974" t="s">
        <v>2026</v>
      </c>
      <c r="B1974" s="1">
        <v>45586</v>
      </c>
      <c r="C1974">
        <v>2024</v>
      </c>
      <c r="D1974" t="s">
        <v>1873</v>
      </c>
      <c r="E1974" t="s">
        <v>1874</v>
      </c>
      <c r="F1974" t="s">
        <v>23</v>
      </c>
      <c r="G1974" t="s">
        <v>35</v>
      </c>
      <c r="H1974" t="s">
        <v>25</v>
      </c>
      <c r="I1974" t="s">
        <v>26</v>
      </c>
      <c r="J1974" t="s">
        <v>27</v>
      </c>
      <c r="K1974" t="s">
        <v>32</v>
      </c>
      <c r="L1974" s="2">
        <v>1.7</v>
      </c>
      <c r="M1974" s="3">
        <v>1025</v>
      </c>
      <c r="N1974">
        <v>4</v>
      </c>
      <c r="O1974">
        <v>4</v>
      </c>
      <c r="P1974">
        <v>1</v>
      </c>
      <c r="Q1974">
        <v>0</v>
      </c>
      <c r="R1974" s="4">
        <v>19.79</v>
      </c>
      <c r="S1974">
        <v>0</v>
      </c>
      <c r="T1974">
        <v>1</v>
      </c>
    </row>
    <row r="1975" spans="1:20" ht="16.5" x14ac:dyDescent="0.3">
      <c r="A1975" t="s">
        <v>2027</v>
      </c>
      <c r="B1975" s="1">
        <v>45586</v>
      </c>
      <c r="C1975">
        <v>2024</v>
      </c>
      <c r="D1975" t="s">
        <v>1873</v>
      </c>
      <c r="E1975" t="s">
        <v>1874</v>
      </c>
      <c r="F1975" t="s">
        <v>38</v>
      </c>
      <c r="G1975" t="s">
        <v>24</v>
      </c>
      <c r="H1975" t="s">
        <v>43</v>
      </c>
      <c r="I1975" t="s">
        <v>26</v>
      </c>
      <c r="J1975" t="s">
        <v>27</v>
      </c>
      <c r="K1975" t="s">
        <v>32</v>
      </c>
      <c r="L1975" s="2">
        <v>19.8</v>
      </c>
      <c r="M1975" s="3">
        <v>1039</v>
      </c>
      <c r="N1975">
        <v>5</v>
      </c>
      <c r="O1975">
        <v>5</v>
      </c>
      <c r="P1975">
        <v>1</v>
      </c>
      <c r="Q1975">
        <v>0</v>
      </c>
      <c r="R1975" s="4">
        <v>32.47</v>
      </c>
      <c r="S1975">
        <v>0</v>
      </c>
      <c r="T1975">
        <v>1</v>
      </c>
    </row>
    <row r="1976" spans="1:20" ht="16.5" x14ac:dyDescent="0.3">
      <c r="A1976" t="s">
        <v>2028</v>
      </c>
      <c r="B1976" s="1">
        <v>45586</v>
      </c>
      <c r="C1976">
        <v>2024</v>
      </c>
      <c r="D1976" t="s">
        <v>1873</v>
      </c>
      <c r="E1976" t="s">
        <v>1874</v>
      </c>
      <c r="F1976" t="s">
        <v>34</v>
      </c>
      <c r="G1976" t="s">
        <v>35</v>
      </c>
      <c r="H1976" t="s">
        <v>36</v>
      </c>
      <c r="I1976" t="s">
        <v>40</v>
      </c>
      <c r="J1976" t="s">
        <v>27</v>
      </c>
      <c r="K1976" t="s">
        <v>28</v>
      </c>
      <c r="L1976" s="2">
        <v>43.3</v>
      </c>
      <c r="M1976" s="3">
        <v>278</v>
      </c>
      <c r="N1976">
        <v>1</v>
      </c>
      <c r="O1976">
        <v>2</v>
      </c>
      <c r="P1976">
        <v>0</v>
      </c>
      <c r="Q1976">
        <v>1</v>
      </c>
      <c r="R1976" s="4">
        <v>54.86</v>
      </c>
      <c r="S1976">
        <v>0</v>
      </c>
      <c r="T1976">
        <v>1</v>
      </c>
    </row>
    <row r="1977" spans="1:20" ht="16.5" x14ac:dyDescent="0.3">
      <c r="A1977" t="s">
        <v>2029</v>
      </c>
      <c r="B1977" s="1">
        <v>45586</v>
      </c>
      <c r="C1977">
        <v>2024</v>
      </c>
      <c r="D1977" t="s">
        <v>1873</v>
      </c>
      <c r="E1977" t="s">
        <v>1874</v>
      </c>
      <c r="F1977" t="s">
        <v>38</v>
      </c>
      <c r="G1977" t="s">
        <v>35</v>
      </c>
      <c r="H1977" t="s">
        <v>43</v>
      </c>
      <c r="I1977" t="s">
        <v>31</v>
      </c>
      <c r="J1977" t="s">
        <v>27</v>
      </c>
      <c r="K1977" t="s">
        <v>32</v>
      </c>
      <c r="L1977" s="2">
        <v>3.4</v>
      </c>
      <c r="M1977" s="3">
        <v>1322</v>
      </c>
      <c r="N1977">
        <v>7</v>
      </c>
      <c r="O1977">
        <v>7</v>
      </c>
      <c r="P1977">
        <v>1</v>
      </c>
      <c r="Q1977">
        <v>0</v>
      </c>
      <c r="R1977" s="4">
        <v>18.52</v>
      </c>
      <c r="S1977">
        <v>0</v>
      </c>
      <c r="T1977">
        <v>1</v>
      </c>
    </row>
    <row r="1978" spans="1:20" ht="16.5" x14ac:dyDescent="0.3">
      <c r="A1978" t="s">
        <v>2030</v>
      </c>
      <c r="B1978" s="1">
        <v>45586</v>
      </c>
      <c r="C1978">
        <v>2024</v>
      </c>
      <c r="D1978" t="s">
        <v>1873</v>
      </c>
      <c r="E1978" t="s">
        <v>1874</v>
      </c>
      <c r="F1978" t="s">
        <v>57</v>
      </c>
      <c r="G1978" t="s">
        <v>35</v>
      </c>
      <c r="H1978" t="s">
        <v>51</v>
      </c>
      <c r="I1978" t="s">
        <v>26</v>
      </c>
      <c r="J1978" t="s">
        <v>27</v>
      </c>
      <c r="K1978" t="s">
        <v>28</v>
      </c>
      <c r="L1978" s="2">
        <v>50.7</v>
      </c>
      <c r="M1978" s="3">
        <v>920</v>
      </c>
      <c r="N1978">
        <v>5</v>
      </c>
      <c r="O1978">
        <v>5</v>
      </c>
      <c r="P1978">
        <v>1</v>
      </c>
      <c r="Q1978">
        <v>0</v>
      </c>
      <c r="R1978" s="4">
        <v>42.82</v>
      </c>
      <c r="S1978">
        <v>0</v>
      </c>
      <c r="T1978">
        <v>1</v>
      </c>
    </row>
    <row r="1979" spans="1:20" ht="16.5" x14ac:dyDescent="0.3">
      <c r="A1979" t="s">
        <v>2031</v>
      </c>
      <c r="B1979" s="1">
        <v>45586</v>
      </c>
      <c r="C1979">
        <v>2024</v>
      </c>
      <c r="D1979" t="s">
        <v>1873</v>
      </c>
      <c r="E1979" t="s">
        <v>1874</v>
      </c>
      <c r="F1979" t="s">
        <v>38</v>
      </c>
      <c r="G1979" t="s">
        <v>35</v>
      </c>
      <c r="H1979" t="s">
        <v>51</v>
      </c>
      <c r="I1979" t="s">
        <v>31</v>
      </c>
      <c r="J1979" t="s">
        <v>27</v>
      </c>
      <c r="K1979" t="s">
        <v>28</v>
      </c>
      <c r="L1979" s="2">
        <v>15.7</v>
      </c>
      <c r="M1979" s="3">
        <v>1122</v>
      </c>
      <c r="N1979">
        <v>7</v>
      </c>
      <c r="O1979">
        <v>6</v>
      </c>
      <c r="P1979">
        <v>1</v>
      </c>
      <c r="Q1979">
        <v>0</v>
      </c>
      <c r="R1979" s="4">
        <v>21.59</v>
      </c>
      <c r="S1979">
        <v>0</v>
      </c>
      <c r="T1979">
        <v>1</v>
      </c>
    </row>
    <row r="1980" spans="1:20" ht="16.5" x14ac:dyDescent="0.3">
      <c r="A1980" t="s">
        <v>2032</v>
      </c>
      <c r="B1980" s="1">
        <v>45587</v>
      </c>
      <c r="C1980">
        <v>2024</v>
      </c>
      <c r="D1980" t="s">
        <v>1873</v>
      </c>
      <c r="E1980" t="s">
        <v>1874</v>
      </c>
      <c r="F1980" t="s">
        <v>38</v>
      </c>
      <c r="G1980" t="s">
        <v>39</v>
      </c>
      <c r="H1980" t="s">
        <v>25</v>
      </c>
      <c r="I1980" t="s">
        <v>26</v>
      </c>
      <c r="J1980" t="s">
        <v>27</v>
      </c>
      <c r="K1980" t="s">
        <v>32</v>
      </c>
      <c r="L1980" s="2">
        <v>2.4</v>
      </c>
      <c r="M1980" s="3">
        <v>1060</v>
      </c>
      <c r="N1980">
        <v>4</v>
      </c>
      <c r="O1980">
        <v>4</v>
      </c>
      <c r="P1980">
        <v>1</v>
      </c>
      <c r="Q1980">
        <v>0</v>
      </c>
      <c r="R1980" s="4">
        <v>23.5</v>
      </c>
      <c r="S1980">
        <v>0</v>
      </c>
      <c r="T1980">
        <v>1</v>
      </c>
    </row>
    <row r="1981" spans="1:20" ht="16.5" x14ac:dyDescent="0.3">
      <c r="A1981" t="s">
        <v>2033</v>
      </c>
      <c r="B1981" s="1">
        <v>45587</v>
      </c>
      <c r="C1981">
        <v>2024</v>
      </c>
      <c r="D1981" t="s">
        <v>1873</v>
      </c>
      <c r="E1981" t="s">
        <v>1874</v>
      </c>
      <c r="F1981" t="s">
        <v>57</v>
      </c>
      <c r="G1981" t="s">
        <v>39</v>
      </c>
      <c r="H1981" t="s">
        <v>48</v>
      </c>
      <c r="I1981" t="s">
        <v>26</v>
      </c>
      <c r="J1981" t="s">
        <v>27</v>
      </c>
      <c r="K1981" t="s">
        <v>32</v>
      </c>
      <c r="L1981" s="2">
        <v>9.3000000000000007</v>
      </c>
      <c r="M1981" s="3">
        <v>384</v>
      </c>
      <c r="N1981">
        <v>4</v>
      </c>
      <c r="O1981">
        <v>4</v>
      </c>
      <c r="P1981">
        <v>1</v>
      </c>
      <c r="Q1981">
        <v>0</v>
      </c>
      <c r="R1981" s="4">
        <v>15.89</v>
      </c>
      <c r="S1981">
        <v>0</v>
      </c>
      <c r="T1981">
        <v>1</v>
      </c>
    </row>
    <row r="1982" spans="1:20" ht="16.5" x14ac:dyDescent="0.3">
      <c r="A1982" t="s">
        <v>2034</v>
      </c>
      <c r="B1982" s="1">
        <v>45587</v>
      </c>
      <c r="C1982">
        <v>2024</v>
      </c>
      <c r="D1982" t="s">
        <v>1873</v>
      </c>
      <c r="E1982" t="s">
        <v>1874</v>
      </c>
      <c r="F1982" t="s">
        <v>57</v>
      </c>
      <c r="G1982" t="s">
        <v>24</v>
      </c>
      <c r="H1982" t="s">
        <v>48</v>
      </c>
      <c r="I1982" t="s">
        <v>26</v>
      </c>
      <c r="J1982" t="s">
        <v>27</v>
      </c>
      <c r="K1982" t="s">
        <v>28</v>
      </c>
      <c r="L1982" s="2">
        <v>217.8</v>
      </c>
      <c r="M1982" s="3">
        <v>485</v>
      </c>
      <c r="N1982">
        <v>4</v>
      </c>
      <c r="O1982">
        <v>3</v>
      </c>
      <c r="P1982">
        <v>1</v>
      </c>
      <c r="Q1982">
        <v>0</v>
      </c>
      <c r="R1982" s="4">
        <v>104.57</v>
      </c>
      <c r="S1982">
        <v>0</v>
      </c>
      <c r="T1982">
        <v>1</v>
      </c>
    </row>
    <row r="1983" spans="1:20" ht="16.5" x14ac:dyDescent="0.3">
      <c r="A1983" t="s">
        <v>2035</v>
      </c>
      <c r="B1983" s="1">
        <v>45587</v>
      </c>
      <c r="C1983">
        <v>2024</v>
      </c>
      <c r="D1983" t="s">
        <v>1873</v>
      </c>
      <c r="E1983" t="s">
        <v>1874</v>
      </c>
      <c r="F1983" t="s">
        <v>34</v>
      </c>
      <c r="G1983" t="s">
        <v>39</v>
      </c>
      <c r="H1983" t="s">
        <v>25</v>
      </c>
      <c r="I1983" t="s">
        <v>31</v>
      </c>
      <c r="J1983" t="s">
        <v>27</v>
      </c>
      <c r="K1983" t="s">
        <v>32</v>
      </c>
      <c r="L1983" s="2">
        <v>1.4</v>
      </c>
      <c r="M1983" s="3">
        <v>1026</v>
      </c>
      <c r="N1983">
        <v>6</v>
      </c>
      <c r="O1983">
        <v>6</v>
      </c>
      <c r="P1983">
        <v>1</v>
      </c>
      <c r="Q1983">
        <v>0</v>
      </c>
      <c r="R1983" s="4">
        <v>11.99</v>
      </c>
      <c r="S1983">
        <v>0</v>
      </c>
      <c r="T1983">
        <v>1</v>
      </c>
    </row>
    <row r="1984" spans="1:20" ht="16.5" x14ac:dyDescent="0.3">
      <c r="A1984" t="s">
        <v>2036</v>
      </c>
      <c r="B1984" s="1">
        <v>45587</v>
      </c>
      <c r="C1984">
        <v>2024</v>
      </c>
      <c r="D1984" t="s">
        <v>1873</v>
      </c>
      <c r="E1984" t="s">
        <v>1874</v>
      </c>
      <c r="F1984" t="s">
        <v>57</v>
      </c>
      <c r="G1984" t="s">
        <v>39</v>
      </c>
      <c r="H1984" t="s">
        <v>43</v>
      </c>
      <c r="I1984" t="s">
        <v>31</v>
      </c>
      <c r="J1984" t="s">
        <v>27</v>
      </c>
      <c r="K1984" t="s">
        <v>28</v>
      </c>
      <c r="L1984" s="2">
        <v>73</v>
      </c>
      <c r="M1984" s="3">
        <v>1110</v>
      </c>
      <c r="N1984">
        <v>7</v>
      </c>
      <c r="O1984">
        <v>9</v>
      </c>
      <c r="P1984">
        <v>0</v>
      </c>
      <c r="Q1984">
        <v>2</v>
      </c>
      <c r="R1984" s="4">
        <v>40.68</v>
      </c>
      <c r="S1984">
        <v>0</v>
      </c>
      <c r="T1984">
        <v>1</v>
      </c>
    </row>
    <row r="1985" spans="1:20" ht="16.5" x14ac:dyDescent="0.3">
      <c r="A1985" t="s">
        <v>2037</v>
      </c>
      <c r="B1985" s="1">
        <v>45587</v>
      </c>
      <c r="C1985">
        <v>2024</v>
      </c>
      <c r="D1985" t="s">
        <v>1873</v>
      </c>
      <c r="E1985" t="s">
        <v>1874</v>
      </c>
      <c r="F1985" t="s">
        <v>57</v>
      </c>
      <c r="G1985" t="s">
        <v>39</v>
      </c>
      <c r="H1985" t="s">
        <v>43</v>
      </c>
      <c r="I1985" t="s">
        <v>26</v>
      </c>
      <c r="J1985" t="s">
        <v>27</v>
      </c>
      <c r="K1985" t="s">
        <v>28</v>
      </c>
      <c r="L1985" s="2">
        <v>73.099999999999994</v>
      </c>
      <c r="M1985" s="3">
        <v>850</v>
      </c>
      <c r="N1985">
        <v>5</v>
      </c>
      <c r="O1985">
        <v>5</v>
      </c>
      <c r="P1985">
        <v>1</v>
      </c>
      <c r="Q1985">
        <v>0</v>
      </c>
      <c r="R1985" s="4">
        <v>49.33</v>
      </c>
      <c r="S1985">
        <v>0</v>
      </c>
      <c r="T1985">
        <v>1</v>
      </c>
    </row>
    <row r="1986" spans="1:20" ht="16.5" x14ac:dyDescent="0.3">
      <c r="A1986" t="s">
        <v>2038</v>
      </c>
      <c r="B1986" s="1">
        <v>45588</v>
      </c>
      <c r="C1986">
        <v>2024</v>
      </c>
      <c r="D1986" t="s">
        <v>1873</v>
      </c>
      <c r="E1986" t="s">
        <v>1874</v>
      </c>
      <c r="F1986" t="s">
        <v>23</v>
      </c>
      <c r="G1986" t="s">
        <v>24</v>
      </c>
      <c r="H1986" t="s">
        <v>48</v>
      </c>
      <c r="I1986" t="s">
        <v>26</v>
      </c>
      <c r="J1986" t="s">
        <v>27</v>
      </c>
      <c r="K1986" t="s">
        <v>32</v>
      </c>
      <c r="L1986" s="2">
        <v>14.3</v>
      </c>
      <c r="M1986" s="3">
        <v>532</v>
      </c>
      <c r="N1986">
        <v>4</v>
      </c>
      <c r="O1986">
        <v>6</v>
      </c>
      <c r="P1986">
        <v>0</v>
      </c>
      <c r="Q1986">
        <v>2</v>
      </c>
      <c r="R1986" s="4">
        <v>18.739999999999998</v>
      </c>
      <c r="S1986">
        <v>0</v>
      </c>
      <c r="T1986">
        <v>1</v>
      </c>
    </row>
    <row r="1987" spans="1:20" ht="16.5" x14ac:dyDescent="0.3">
      <c r="A1987" t="s">
        <v>2039</v>
      </c>
      <c r="B1987" s="1">
        <v>45588</v>
      </c>
      <c r="C1987">
        <v>2024</v>
      </c>
      <c r="D1987" t="s">
        <v>1873</v>
      </c>
      <c r="E1987" t="s">
        <v>1874</v>
      </c>
      <c r="F1987" t="s">
        <v>23</v>
      </c>
      <c r="G1987" t="s">
        <v>39</v>
      </c>
      <c r="H1987" t="s">
        <v>48</v>
      </c>
      <c r="I1987" t="s">
        <v>31</v>
      </c>
      <c r="J1987" t="s">
        <v>27</v>
      </c>
      <c r="K1987" t="s">
        <v>32</v>
      </c>
      <c r="L1987" s="2">
        <v>6.1</v>
      </c>
      <c r="M1987" s="3">
        <v>473</v>
      </c>
      <c r="N1987">
        <v>6</v>
      </c>
      <c r="O1987">
        <v>6</v>
      </c>
      <c r="P1987">
        <v>1</v>
      </c>
      <c r="Q1987">
        <v>0</v>
      </c>
      <c r="R1987" s="4">
        <v>11.11</v>
      </c>
      <c r="S1987">
        <v>0</v>
      </c>
      <c r="T1987">
        <v>1</v>
      </c>
    </row>
    <row r="1988" spans="1:20" ht="16.5" x14ac:dyDescent="0.3">
      <c r="A1988" t="s">
        <v>2040</v>
      </c>
      <c r="B1988" s="1">
        <v>45588</v>
      </c>
      <c r="C1988">
        <v>2024</v>
      </c>
      <c r="D1988" t="s">
        <v>1873</v>
      </c>
      <c r="E1988" t="s">
        <v>1874</v>
      </c>
      <c r="F1988" t="s">
        <v>34</v>
      </c>
      <c r="G1988" t="s">
        <v>39</v>
      </c>
      <c r="H1988" t="s">
        <v>51</v>
      </c>
      <c r="I1988" t="s">
        <v>40</v>
      </c>
      <c r="J1988" t="s">
        <v>41</v>
      </c>
      <c r="K1988" t="s">
        <v>28</v>
      </c>
      <c r="L1988" s="2">
        <v>361.4</v>
      </c>
      <c r="M1988" s="3">
        <v>812</v>
      </c>
      <c r="N1988">
        <v>3</v>
      </c>
      <c r="O1988">
        <v>3</v>
      </c>
      <c r="P1988">
        <v>1</v>
      </c>
      <c r="Q1988">
        <v>0</v>
      </c>
      <c r="R1988" s="4">
        <v>398.11</v>
      </c>
      <c r="S1988">
        <v>0</v>
      </c>
      <c r="T1988">
        <v>1</v>
      </c>
    </row>
    <row r="1989" spans="1:20" ht="16.5" x14ac:dyDescent="0.3">
      <c r="A1989" t="s">
        <v>2041</v>
      </c>
      <c r="B1989" s="1">
        <v>45588</v>
      </c>
      <c r="C1989">
        <v>2024</v>
      </c>
      <c r="D1989" t="s">
        <v>1873</v>
      </c>
      <c r="E1989" t="s">
        <v>1874</v>
      </c>
      <c r="F1989" t="s">
        <v>57</v>
      </c>
      <c r="G1989" t="s">
        <v>35</v>
      </c>
      <c r="H1989" t="s">
        <v>36</v>
      </c>
      <c r="I1989" t="s">
        <v>31</v>
      </c>
      <c r="J1989" t="s">
        <v>27</v>
      </c>
      <c r="K1989" t="s">
        <v>28</v>
      </c>
      <c r="L1989" s="2">
        <v>233.2</v>
      </c>
      <c r="M1989" s="3">
        <v>226</v>
      </c>
      <c r="N1989">
        <v>5</v>
      </c>
      <c r="O1989">
        <v>8</v>
      </c>
      <c r="P1989">
        <v>0</v>
      </c>
      <c r="Q1989">
        <v>3</v>
      </c>
      <c r="R1989" s="4">
        <v>73.19</v>
      </c>
      <c r="S1989">
        <v>0</v>
      </c>
      <c r="T1989">
        <v>1</v>
      </c>
    </row>
    <row r="1990" spans="1:20" ht="16.5" x14ac:dyDescent="0.3">
      <c r="A1990" t="s">
        <v>2042</v>
      </c>
      <c r="B1990" s="1">
        <v>45588</v>
      </c>
      <c r="C1990">
        <v>2024</v>
      </c>
      <c r="D1990" t="s">
        <v>1873</v>
      </c>
      <c r="E1990" t="s">
        <v>1874</v>
      </c>
      <c r="F1990" t="s">
        <v>34</v>
      </c>
      <c r="G1990" t="s">
        <v>35</v>
      </c>
      <c r="H1990" t="s">
        <v>43</v>
      </c>
      <c r="I1990" t="s">
        <v>26</v>
      </c>
      <c r="J1990" t="s">
        <v>27</v>
      </c>
      <c r="K1990" t="s">
        <v>28</v>
      </c>
      <c r="L1990" s="2">
        <v>87.6</v>
      </c>
      <c r="M1990" s="3">
        <v>891</v>
      </c>
      <c r="N1990">
        <v>5</v>
      </c>
      <c r="O1990">
        <v>4</v>
      </c>
      <c r="P1990">
        <v>1</v>
      </c>
      <c r="Q1990">
        <v>0</v>
      </c>
      <c r="R1990" s="4">
        <v>46.56</v>
      </c>
      <c r="S1990">
        <v>0</v>
      </c>
      <c r="T1990">
        <v>1</v>
      </c>
    </row>
    <row r="1991" spans="1:20" ht="16.5" x14ac:dyDescent="0.3">
      <c r="A1991" t="s">
        <v>2043</v>
      </c>
      <c r="B1991" s="1">
        <v>45588</v>
      </c>
      <c r="C1991">
        <v>2024</v>
      </c>
      <c r="D1991" t="s">
        <v>1873</v>
      </c>
      <c r="E1991" t="s">
        <v>1874</v>
      </c>
      <c r="F1991" t="s">
        <v>34</v>
      </c>
      <c r="G1991" t="s">
        <v>35</v>
      </c>
      <c r="H1991" t="s">
        <v>36</v>
      </c>
      <c r="I1991" t="s">
        <v>26</v>
      </c>
      <c r="J1991" t="s">
        <v>27</v>
      </c>
      <c r="K1991" t="s">
        <v>28</v>
      </c>
      <c r="L1991" s="2">
        <v>139.9</v>
      </c>
      <c r="M1991" s="3">
        <v>218</v>
      </c>
      <c r="N1991">
        <v>3</v>
      </c>
      <c r="O1991">
        <v>3</v>
      </c>
      <c r="P1991">
        <v>1</v>
      </c>
      <c r="Q1991">
        <v>0</v>
      </c>
      <c r="R1991" s="4">
        <v>61.14</v>
      </c>
      <c r="S1991">
        <v>0</v>
      </c>
      <c r="T1991">
        <v>1</v>
      </c>
    </row>
    <row r="1992" spans="1:20" ht="16.5" x14ac:dyDescent="0.3">
      <c r="A1992" t="s">
        <v>2044</v>
      </c>
      <c r="B1992" s="1">
        <v>45588</v>
      </c>
      <c r="C1992">
        <v>2024</v>
      </c>
      <c r="D1992" t="s">
        <v>1873</v>
      </c>
      <c r="E1992" t="s">
        <v>1874</v>
      </c>
      <c r="F1992" t="s">
        <v>57</v>
      </c>
      <c r="G1992" t="s">
        <v>39</v>
      </c>
      <c r="H1992" t="s">
        <v>43</v>
      </c>
      <c r="I1992" t="s">
        <v>26</v>
      </c>
      <c r="J1992" t="s">
        <v>27</v>
      </c>
      <c r="K1992" t="s">
        <v>32</v>
      </c>
      <c r="L1992" s="2">
        <v>4.7</v>
      </c>
      <c r="M1992" s="3">
        <v>1343</v>
      </c>
      <c r="N1992">
        <v>5</v>
      </c>
      <c r="O1992">
        <v>5</v>
      </c>
      <c r="P1992">
        <v>1</v>
      </c>
      <c r="Q1992">
        <v>0</v>
      </c>
      <c r="R1992" s="4">
        <v>27.08</v>
      </c>
      <c r="S1992">
        <v>0</v>
      </c>
      <c r="T1992">
        <v>1</v>
      </c>
    </row>
    <row r="1993" spans="1:20" ht="16.5" x14ac:dyDescent="0.3">
      <c r="A1993" t="s">
        <v>2045</v>
      </c>
      <c r="B1993" s="1">
        <v>45588</v>
      </c>
      <c r="C1993">
        <v>2024</v>
      </c>
      <c r="D1993" t="s">
        <v>1873</v>
      </c>
      <c r="E1993" t="s">
        <v>1874</v>
      </c>
      <c r="F1993" t="s">
        <v>34</v>
      </c>
      <c r="G1993" t="s">
        <v>35</v>
      </c>
      <c r="H1993" t="s">
        <v>36</v>
      </c>
      <c r="I1993" t="s">
        <v>26</v>
      </c>
      <c r="J1993" t="s">
        <v>27</v>
      </c>
      <c r="K1993" t="s">
        <v>28</v>
      </c>
      <c r="L1993" s="2">
        <v>203.6</v>
      </c>
      <c r="M1993" s="3">
        <v>302</v>
      </c>
      <c r="N1993">
        <v>3</v>
      </c>
      <c r="O1993">
        <v>8</v>
      </c>
      <c r="P1993">
        <v>0</v>
      </c>
      <c r="Q1993">
        <v>5</v>
      </c>
      <c r="R1993" s="4">
        <v>79.97</v>
      </c>
      <c r="S1993">
        <v>0</v>
      </c>
      <c r="T1993">
        <v>1</v>
      </c>
    </row>
    <row r="1994" spans="1:20" ht="16.5" x14ac:dyDescent="0.3">
      <c r="A1994" t="s">
        <v>2046</v>
      </c>
      <c r="B1994" s="1">
        <v>45588</v>
      </c>
      <c r="C1994">
        <v>2024</v>
      </c>
      <c r="D1994" t="s">
        <v>1873</v>
      </c>
      <c r="E1994" t="s">
        <v>1874</v>
      </c>
      <c r="F1994" t="s">
        <v>57</v>
      </c>
      <c r="G1994" t="s">
        <v>24</v>
      </c>
      <c r="H1994" t="s">
        <v>36</v>
      </c>
      <c r="I1994" t="s">
        <v>31</v>
      </c>
      <c r="J1994" t="s">
        <v>27</v>
      </c>
      <c r="K1994" t="s">
        <v>32</v>
      </c>
      <c r="L1994" s="2">
        <v>9.3000000000000007</v>
      </c>
      <c r="M1994" s="3">
        <v>292</v>
      </c>
      <c r="N1994">
        <v>5</v>
      </c>
      <c r="O1994">
        <v>5</v>
      </c>
      <c r="P1994">
        <v>1</v>
      </c>
      <c r="Q1994">
        <v>0</v>
      </c>
      <c r="R1994" s="4">
        <v>11.48</v>
      </c>
      <c r="S1994">
        <v>0</v>
      </c>
      <c r="T1994">
        <v>1</v>
      </c>
    </row>
    <row r="1995" spans="1:20" ht="16.5" x14ac:dyDescent="0.3">
      <c r="A1995" t="s">
        <v>2047</v>
      </c>
      <c r="B1995" s="1">
        <v>45588</v>
      </c>
      <c r="C1995">
        <v>2024</v>
      </c>
      <c r="D1995" t="s">
        <v>1873</v>
      </c>
      <c r="E1995" t="s">
        <v>1874</v>
      </c>
      <c r="F1995" t="s">
        <v>23</v>
      </c>
      <c r="G1995" t="s">
        <v>39</v>
      </c>
      <c r="H1995" t="s">
        <v>48</v>
      </c>
      <c r="I1995" t="s">
        <v>26</v>
      </c>
      <c r="J1995" t="s">
        <v>27</v>
      </c>
      <c r="K1995" t="s">
        <v>32</v>
      </c>
      <c r="L1995" s="2">
        <v>3.6</v>
      </c>
      <c r="M1995" s="3">
        <v>507</v>
      </c>
      <c r="N1995">
        <v>4</v>
      </c>
      <c r="O1995">
        <v>4</v>
      </c>
      <c r="P1995">
        <v>1</v>
      </c>
      <c r="Q1995">
        <v>0</v>
      </c>
      <c r="R1995" s="4">
        <v>16.95</v>
      </c>
      <c r="S1995">
        <v>0</v>
      </c>
      <c r="T1995">
        <v>1</v>
      </c>
    </row>
    <row r="1996" spans="1:20" ht="16.5" x14ac:dyDescent="0.3">
      <c r="A1996" t="s">
        <v>2048</v>
      </c>
      <c r="B1996" s="1">
        <v>45588</v>
      </c>
      <c r="C1996">
        <v>2024</v>
      </c>
      <c r="D1996" t="s">
        <v>1873</v>
      </c>
      <c r="E1996" t="s">
        <v>1874</v>
      </c>
      <c r="F1996" t="s">
        <v>23</v>
      </c>
      <c r="G1996" t="s">
        <v>39</v>
      </c>
      <c r="H1996" t="s">
        <v>36</v>
      </c>
      <c r="I1996" t="s">
        <v>26</v>
      </c>
      <c r="J1996" t="s">
        <v>27</v>
      </c>
      <c r="K1996" t="s">
        <v>32</v>
      </c>
      <c r="L1996" s="2">
        <v>3.8</v>
      </c>
      <c r="M1996" s="3">
        <v>285</v>
      </c>
      <c r="N1996">
        <v>3</v>
      </c>
      <c r="O1996">
        <v>3</v>
      </c>
      <c r="P1996">
        <v>1</v>
      </c>
      <c r="Q1996">
        <v>0</v>
      </c>
      <c r="R1996" s="4">
        <v>12.27</v>
      </c>
      <c r="S1996">
        <v>0</v>
      </c>
      <c r="T1996">
        <v>1</v>
      </c>
    </row>
    <row r="1997" spans="1:20" ht="16.5" x14ac:dyDescent="0.3">
      <c r="A1997" t="s">
        <v>2049</v>
      </c>
      <c r="B1997" s="1">
        <v>45589</v>
      </c>
      <c r="C1997">
        <v>2024</v>
      </c>
      <c r="D1997" t="s">
        <v>1873</v>
      </c>
      <c r="E1997" t="s">
        <v>1874</v>
      </c>
      <c r="F1997" t="s">
        <v>30</v>
      </c>
      <c r="G1997" t="s">
        <v>35</v>
      </c>
      <c r="H1997" t="s">
        <v>51</v>
      </c>
      <c r="I1997" t="s">
        <v>26</v>
      </c>
      <c r="J1997" t="s">
        <v>27</v>
      </c>
      <c r="K1997" t="s">
        <v>28</v>
      </c>
      <c r="L1997" s="2">
        <v>234.2</v>
      </c>
      <c r="M1997" s="3">
        <v>860</v>
      </c>
      <c r="N1997">
        <v>5</v>
      </c>
      <c r="O1997">
        <v>5</v>
      </c>
      <c r="P1997">
        <v>1</v>
      </c>
      <c r="Q1997">
        <v>0</v>
      </c>
      <c r="R1997" s="4">
        <v>123.21</v>
      </c>
      <c r="S1997">
        <v>0</v>
      </c>
      <c r="T1997">
        <v>1</v>
      </c>
    </row>
    <row r="1998" spans="1:20" ht="16.5" x14ac:dyDescent="0.3">
      <c r="A1998" t="s">
        <v>2050</v>
      </c>
      <c r="B1998" s="1">
        <v>45589</v>
      </c>
      <c r="C1998">
        <v>2024</v>
      </c>
      <c r="D1998" t="s">
        <v>1873</v>
      </c>
      <c r="E1998" t="s">
        <v>1874</v>
      </c>
      <c r="F1998" t="s">
        <v>57</v>
      </c>
      <c r="G1998" t="s">
        <v>35</v>
      </c>
      <c r="H1998" t="s">
        <v>36</v>
      </c>
      <c r="I1998" t="s">
        <v>26</v>
      </c>
      <c r="J1998" t="s">
        <v>27</v>
      </c>
      <c r="K1998" t="s">
        <v>32</v>
      </c>
      <c r="L1998" s="2">
        <v>8</v>
      </c>
      <c r="M1998" s="3">
        <v>267</v>
      </c>
      <c r="N1998">
        <v>3</v>
      </c>
      <c r="O1998">
        <v>2</v>
      </c>
      <c r="P1998">
        <v>1</v>
      </c>
      <c r="Q1998">
        <v>0</v>
      </c>
      <c r="R1998" s="4">
        <v>15.59</v>
      </c>
      <c r="S1998">
        <v>0</v>
      </c>
      <c r="T1998">
        <v>1</v>
      </c>
    </row>
    <row r="1999" spans="1:20" ht="16.5" x14ac:dyDescent="0.3">
      <c r="A1999" t="s">
        <v>2051</v>
      </c>
      <c r="B1999" s="1">
        <v>45589</v>
      </c>
      <c r="C1999">
        <v>2024</v>
      </c>
      <c r="D1999" t="s">
        <v>1873</v>
      </c>
      <c r="E1999" t="s">
        <v>1874</v>
      </c>
      <c r="F1999" t="s">
        <v>23</v>
      </c>
      <c r="G1999" t="s">
        <v>39</v>
      </c>
      <c r="H1999" t="s">
        <v>48</v>
      </c>
      <c r="I1999" t="s">
        <v>26</v>
      </c>
      <c r="J1999" t="s">
        <v>27</v>
      </c>
      <c r="K1999" t="s">
        <v>32</v>
      </c>
      <c r="L1999" s="2">
        <v>5.6</v>
      </c>
      <c r="M1999" s="3">
        <v>442</v>
      </c>
      <c r="N1999">
        <v>4</v>
      </c>
      <c r="O1999">
        <v>4</v>
      </c>
      <c r="P1999">
        <v>1</v>
      </c>
      <c r="Q1999">
        <v>0</v>
      </c>
      <c r="R1999" s="4">
        <v>13.66</v>
      </c>
      <c r="S1999">
        <v>0</v>
      </c>
      <c r="T1999">
        <v>1</v>
      </c>
    </row>
    <row r="2000" spans="1:20" ht="16.5" x14ac:dyDescent="0.3">
      <c r="A2000" t="s">
        <v>2052</v>
      </c>
      <c r="B2000" s="1">
        <v>45589</v>
      </c>
      <c r="C2000">
        <v>2024</v>
      </c>
      <c r="D2000" t="s">
        <v>1873</v>
      </c>
      <c r="E2000" t="s">
        <v>1874</v>
      </c>
      <c r="F2000" t="s">
        <v>57</v>
      </c>
      <c r="G2000" t="s">
        <v>39</v>
      </c>
      <c r="H2000" t="s">
        <v>48</v>
      </c>
      <c r="I2000" t="s">
        <v>26</v>
      </c>
      <c r="J2000" t="s">
        <v>27</v>
      </c>
      <c r="K2000" t="s">
        <v>32</v>
      </c>
      <c r="L2000" s="2">
        <v>2.6</v>
      </c>
      <c r="M2000" s="3">
        <v>514</v>
      </c>
      <c r="N2000">
        <v>4</v>
      </c>
      <c r="O2000">
        <v>5</v>
      </c>
      <c r="P2000">
        <v>0</v>
      </c>
      <c r="Q2000">
        <v>1</v>
      </c>
      <c r="R2000" s="4">
        <v>12.86</v>
      </c>
      <c r="S2000">
        <v>0</v>
      </c>
      <c r="T2000">
        <v>1</v>
      </c>
    </row>
    <row r="2001" spans="1:20" ht="16.5" x14ac:dyDescent="0.3">
      <c r="A2001" t="s">
        <v>2053</v>
      </c>
      <c r="B2001" s="1">
        <v>45589</v>
      </c>
      <c r="C2001">
        <v>2024</v>
      </c>
      <c r="D2001" t="s">
        <v>1873</v>
      </c>
      <c r="E2001" t="s">
        <v>1874</v>
      </c>
      <c r="F2001" t="s">
        <v>23</v>
      </c>
      <c r="G2001" t="s">
        <v>39</v>
      </c>
      <c r="H2001" t="s">
        <v>43</v>
      </c>
      <c r="I2001" t="s">
        <v>26</v>
      </c>
      <c r="J2001" t="s">
        <v>27</v>
      </c>
      <c r="K2001" t="s">
        <v>32</v>
      </c>
      <c r="L2001" s="2">
        <v>16.600000000000001</v>
      </c>
      <c r="M2001" s="3">
        <v>1238</v>
      </c>
      <c r="N2001">
        <v>5</v>
      </c>
      <c r="O2001">
        <v>5</v>
      </c>
      <c r="P2001">
        <v>1</v>
      </c>
      <c r="Q2001">
        <v>0</v>
      </c>
      <c r="R2001" s="4">
        <v>29.61</v>
      </c>
      <c r="S2001">
        <v>0</v>
      </c>
      <c r="T2001">
        <v>1</v>
      </c>
    </row>
    <row r="2002" spans="1:20" ht="16.5" x14ac:dyDescent="0.3">
      <c r="A2002" t="s">
        <v>2054</v>
      </c>
      <c r="B2002" s="1">
        <v>45589</v>
      </c>
      <c r="C2002">
        <v>2024</v>
      </c>
      <c r="D2002" t="s">
        <v>1873</v>
      </c>
      <c r="E2002" t="s">
        <v>1874</v>
      </c>
      <c r="F2002" t="s">
        <v>34</v>
      </c>
      <c r="G2002" t="s">
        <v>39</v>
      </c>
      <c r="H2002" t="s">
        <v>43</v>
      </c>
      <c r="I2002" t="s">
        <v>26</v>
      </c>
      <c r="J2002" t="s">
        <v>27</v>
      </c>
      <c r="K2002" t="s">
        <v>32</v>
      </c>
      <c r="L2002" s="2">
        <v>4.3</v>
      </c>
      <c r="M2002" s="3">
        <v>1070</v>
      </c>
      <c r="N2002">
        <v>5</v>
      </c>
      <c r="O2002">
        <v>5</v>
      </c>
      <c r="P2002">
        <v>1</v>
      </c>
      <c r="Q2002">
        <v>0</v>
      </c>
      <c r="R2002" s="4">
        <v>18.63</v>
      </c>
      <c r="S2002">
        <v>0</v>
      </c>
      <c r="T2002">
        <v>1</v>
      </c>
    </row>
    <row r="2003" spans="1:20" ht="16.5" x14ac:dyDescent="0.3">
      <c r="A2003" t="s">
        <v>2055</v>
      </c>
      <c r="B2003" s="1">
        <v>45589</v>
      </c>
      <c r="C2003">
        <v>2024</v>
      </c>
      <c r="D2003" t="s">
        <v>1873</v>
      </c>
      <c r="E2003" t="s">
        <v>1874</v>
      </c>
      <c r="F2003" t="s">
        <v>38</v>
      </c>
      <c r="G2003" t="s">
        <v>35</v>
      </c>
      <c r="H2003" t="s">
        <v>36</v>
      </c>
      <c r="I2003" t="s">
        <v>40</v>
      </c>
      <c r="J2003" t="s">
        <v>27</v>
      </c>
      <c r="K2003" t="s">
        <v>32</v>
      </c>
      <c r="L2003" s="2">
        <v>3.2</v>
      </c>
      <c r="M2003" s="3">
        <v>283</v>
      </c>
      <c r="N2003">
        <v>1</v>
      </c>
      <c r="O2003">
        <v>1</v>
      </c>
      <c r="P2003">
        <v>1</v>
      </c>
      <c r="Q2003">
        <v>0</v>
      </c>
      <c r="R2003" s="4">
        <v>23.58</v>
      </c>
      <c r="S2003">
        <v>0</v>
      </c>
      <c r="T2003">
        <v>1</v>
      </c>
    </row>
    <row r="2004" spans="1:20" ht="16.5" x14ac:dyDescent="0.3">
      <c r="A2004" t="s">
        <v>2056</v>
      </c>
      <c r="B2004" s="1">
        <v>45589</v>
      </c>
      <c r="C2004">
        <v>2024</v>
      </c>
      <c r="D2004" t="s">
        <v>1873</v>
      </c>
      <c r="E2004" t="s">
        <v>1874</v>
      </c>
      <c r="F2004" t="s">
        <v>38</v>
      </c>
      <c r="G2004" t="s">
        <v>35</v>
      </c>
      <c r="H2004" t="s">
        <v>25</v>
      </c>
      <c r="I2004" t="s">
        <v>26</v>
      </c>
      <c r="J2004" t="s">
        <v>27</v>
      </c>
      <c r="K2004" t="s">
        <v>32</v>
      </c>
      <c r="L2004" s="2">
        <v>5.7</v>
      </c>
      <c r="M2004" s="3">
        <v>931</v>
      </c>
      <c r="N2004">
        <v>4</v>
      </c>
      <c r="O2004">
        <v>4</v>
      </c>
      <c r="P2004">
        <v>1</v>
      </c>
      <c r="Q2004">
        <v>0</v>
      </c>
      <c r="R2004" s="4">
        <v>25.88</v>
      </c>
      <c r="S2004">
        <v>0</v>
      </c>
      <c r="T2004">
        <v>1</v>
      </c>
    </row>
    <row r="2005" spans="1:20" ht="16.5" x14ac:dyDescent="0.3">
      <c r="A2005" t="s">
        <v>2057</v>
      </c>
      <c r="B2005" s="1">
        <v>45590</v>
      </c>
      <c r="C2005">
        <v>2024</v>
      </c>
      <c r="D2005" t="s">
        <v>1873</v>
      </c>
      <c r="E2005" t="s">
        <v>1874</v>
      </c>
      <c r="F2005" t="s">
        <v>23</v>
      </c>
      <c r="G2005" t="s">
        <v>35</v>
      </c>
      <c r="H2005" t="s">
        <v>36</v>
      </c>
      <c r="I2005" t="s">
        <v>31</v>
      </c>
      <c r="J2005" t="s">
        <v>27</v>
      </c>
      <c r="K2005" t="s">
        <v>32</v>
      </c>
      <c r="L2005" s="2">
        <v>4.2</v>
      </c>
      <c r="M2005" s="3">
        <v>317</v>
      </c>
      <c r="N2005">
        <v>5</v>
      </c>
      <c r="O2005">
        <v>5</v>
      </c>
      <c r="P2005">
        <v>1</v>
      </c>
      <c r="Q2005">
        <v>0</v>
      </c>
      <c r="R2005" s="4">
        <v>9.1999999999999993</v>
      </c>
      <c r="S2005">
        <v>0</v>
      </c>
      <c r="T2005">
        <v>1</v>
      </c>
    </row>
    <row r="2006" spans="1:20" ht="16.5" x14ac:dyDescent="0.3">
      <c r="A2006" t="s">
        <v>2058</v>
      </c>
      <c r="B2006" s="1">
        <v>45590</v>
      </c>
      <c r="C2006">
        <v>2024</v>
      </c>
      <c r="D2006" t="s">
        <v>1873</v>
      </c>
      <c r="E2006" t="s">
        <v>1874</v>
      </c>
      <c r="F2006" t="s">
        <v>30</v>
      </c>
      <c r="G2006" t="s">
        <v>35</v>
      </c>
      <c r="H2006" t="s">
        <v>43</v>
      </c>
      <c r="I2006" t="s">
        <v>26</v>
      </c>
      <c r="J2006" t="s">
        <v>27</v>
      </c>
      <c r="K2006" t="s">
        <v>28</v>
      </c>
      <c r="L2006" s="2">
        <v>77.7</v>
      </c>
      <c r="M2006" s="3">
        <v>866</v>
      </c>
      <c r="N2006">
        <v>5</v>
      </c>
      <c r="O2006">
        <v>5</v>
      </c>
      <c r="P2006">
        <v>1</v>
      </c>
      <c r="Q2006">
        <v>0</v>
      </c>
      <c r="R2006" s="4">
        <v>53.31</v>
      </c>
      <c r="S2006">
        <v>0</v>
      </c>
      <c r="T2006">
        <v>1</v>
      </c>
    </row>
    <row r="2007" spans="1:20" ht="16.5" x14ac:dyDescent="0.3">
      <c r="A2007" t="s">
        <v>2059</v>
      </c>
      <c r="B2007" s="1">
        <v>45590</v>
      </c>
      <c r="C2007">
        <v>2024</v>
      </c>
      <c r="D2007" t="s">
        <v>1873</v>
      </c>
      <c r="E2007" t="s">
        <v>1874</v>
      </c>
      <c r="F2007" t="s">
        <v>30</v>
      </c>
      <c r="G2007" t="s">
        <v>35</v>
      </c>
      <c r="H2007" t="s">
        <v>25</v>
      </c>
      <c r="I2007" t="s">
        <v>26</v>
      </c>
      <c r="J2007" t="s">
        <v>27</v>
      </c>
      <c r="K2007" t="s">
        <v>32</v>
      </c>
      <c r="L2007" s="2">
        <v>4.7</v>
      </c>
      <c r="M2007" s="3">
        <v>711</v>
      </c>
      <c r="N2007">
        <v>4</v>
      </c>
      <c r="O2007">
        <v>4</v>
      </c>
      <c r="P2007">
        <v>1</v>
      </c>
      <c r="Q2007">
        <v>0</v>
      </c>
      <c r="R2007" s="4">
        <v>19.059999999999999</v>
      </c>
      <c r="S2007">
        <v>0</v>
      </c>
      <c r="T2007">
        <v>1</v>
      </c>
    </row>
    <row r="2008" spans="1:20" ht="16.5" x14ac:dyDescent="0.3">
      <c r="A2008" t="s">
        <v>2060</v>
      </c>
      <c r="B2008" s="1">
        <v>45590</v>
      </c>
      <c r="C2008">
        <v>2024</v>
      </c>
      <c r="D2008" t="s">
        <v>1873</v>
      </c>
      <c r="E2008" t="s">
        <v>1874</v>
      </c>
      <c r="F2008" t="s">
        <v>57</v>
      </c>
      <c r="G2008" t="s">
        <v>35</v>
      </c>
      <c r="H2008" t="s">
        <v>25</v>
      </c>
      <c r="I2008" t="s">
        <v>26</v>
      </c>
      <c r="J2008" t="s">
        <v>27</v>
      </c>
      <c r="K2008" t="s">
        <v>28</v>
      </c>
      <c r="L2008" s="2">
        <v>250</v>
      </c>
      <c r="M2008" s="3">
        <v>1055</v>
      </c>
      <c r="N2008">
        <v>4</v>
      </c>
      <c r="O2008">
        <v>3</v>
      </c>
      <c r="P2008">
        <v>1</v>
      </c>
      <c r="Q2008">
        <v>0</v>
      </c>
      <c r="R2008" s="4">
        <v>118.1</v>
      </c>
      <c r="S2008">
        <v>0</v>
      </c>
      <c r="T2008">
        <v>1</v>
      </c>
    </row>
    <row r="2009" spans="1:20" ht="16.5" x14ac:dyDescent="0.3">
      <c r="A2009" t="s">
        <v>2061</v>
      </c>
      <c r="B2009" s="1">
        <v>45590</v>
      </c>
      <c r="C2009">
        <v>2024</v>
      </c>
      <c r="D2009" t="s">
        <v>1873</v>
      </c>
      <c r="E2009" t="s">
        <v>1874</v>
      </c>
      <c r="F2009" t="s">
        <v>23</v>
      </c>
      <c r="G2009" t="s">
        <v>39</v>
      </c>
      <c r="H2009" t="s">
        <v>36</v>
      </c>
      <c r="I2009" t="s">
        <v>31</v>
      </c>
      <c r="J2009" t="s">
        <v>27</v>
      </c>
      <c r="K2009" t="s">
        <v>32</v>
      </c>
      <c r="L2009" s="2">
        <v>18.899999999999999</v>
      </c>
      <c r="M2009" s="3">
        <v>270</v>
      </c>
      <c r="N2009">
        <v>5</v>
      </c>
      <c r="O2009">
        <v>5</v>
      </c>
      <c r="P2009">
        <v>1</v>
      </c>
      <c r="Q2009">
        <v>0</v>
      </c>
      <c r="R2009" s="4">
        <v>13.18</v>
      </c>
      <c r="S2009">
        <v>0</v>
      </c>
      <c r="T2009">
        <v>1</v>
      </c>
    </row>
    <row r="2010" spans="1:20" ht="16.5" x14ac:dyDescent="0.3">
      <c r="A2010" t="s">
        <v>2062</v>
      </c>
      <c r="B2010" s="1">
        <v>45590</v>
      </c>
      <c r="C2010">
        <v>2024</v>
      </c>
      <c r="D2010" t="s">
        <v>1873</v>
      </c>
      <c r="E2010" t="s">
        <v>1874</v>
      </c>
      <c r="F2010" t="s">
        <v>34</v>
      </c>
      <c r="G2010" t="s">
        <v>39</v>
      </c>
      <c r="H2010" t="s">
        <v>25</v>
      </c>
      <c r="I2010" t="s">
        <v>26</v>
      </c>
      <c r="J2010" t="s">
        <v>27</v>
      </c>
      <c r="K2010" t="s">
        <v>32</v>
      </c>
      <c r="L2010" s="2">
        <v>5</v>
      </c>
      <c r="M2010" s="3">
        <v>950</v>
      </c>
      <c r="N2010">
        <v>4</v>
      </c>
      <c r="O2010">
        <v>3</v>
      </c>
      <c r="P2010">
        <v>1</v>
      </c>
      <c r="Q2010">
        <v>0</v>
      </c>
      <c r="R2010" s="4">
        <v>17.440000000000001</v>
      </c>
      <c r="S2010">
        <v>1</v>
      </c>
      <c r="T2010">
        <v>1</v>
      </c>
    </row>
    <row r="2011" spans="1:20" ht="16.5" x14ac:dyDescent="0.3">
      <c r="A2011" t="s">
        <v>2063</v>
      </c>
      <c r="B2011" s="1">
        <v>45590</v>
      </c>
      <c r="C2011">
        <v>2024</v>
      </c>
      <c r="D2011" t="s">
        <v>1873</v>
      </c>
      <c r="E2011" t="s">
        <v>1874</v>
      </c>
      <c r="F2011" t="s">
        <v>38</v>
      </c>
      <c r="G2011" t="s">
        <v>35</v>
      </c>
      <c r="H2011" t="s">
        <v>25</v>
      </c>
      <c r="I2011" t="s">
        <v>26</v>
      </c>
      <c r="J2011" t="s">
        <v>27</v>
      </c>
      <c r="K2011" t="s">
        <v>28</v>
      </c>
      <c r="L2011" s="2">
        <v>169.8</v>
      </c>
      <c r="M2011" s="3">
        <v>768</v>
      </c>
      <c r="N2011">
        <v>4</v>
      </c>
      <c r="O2011">
        <v>3</v>
      </c>
      <c r="P2011">
        <v>1</v>
      </c>
      <c r="Q2011">
        <v>0</v>
      </c>
      <c r="R2011" s="4">
        <v>96.21</v>
      </c>
      <c r="S2011">
        <v>0</v>
      </c>
      <c r="T2011">
        <v>1</v>
      </c>
    </row>
    <row r="2012" spans="1:20" ht="16.5" x14ac:dyDescent="0.3">
      <c r="A2012" t="s">
        <v>2064</v>
      </c>
      <c r="B2012" s="1">
        <v>45590</v>
      </c>
      <c r="C2012">
        <v>2024</v>
      </c>
      <c r="D2012" t="s">
        <v>1873</v>
      </c>
      <c r="E2012" t="s">
        <v>1874</v>
      </c>
      <c r="F2012" t="s">
        <v>23</v>
      </c>
      <c r="G2012" t="s">
        <v>24</v>
      </c>
      <c r="H2012" t="s">
        <v>36</v>
      </c>
      <c r="I2012" t="s">
        <v>26</v>
      </c>
      <c r="J2012" t="s">
        <v>27</v>
      </c>
      <c r="K2012" t="s">
        <v>28</v>
      </c>
      <c r="L2012" s="2">
        <v>143.30000000000001</v>
      </c>
      <c r="M2012" s="3">
        <v>226</v>
      </c>
      <c r="N2012">
        <v>3</v>
      </c>
      <c r="O2012">
        <v>3</v>
      </c>
      <c r="P2012">
        <v>1</v>
      </c>
      <c r="Q2012">
        <v>0</v>
      </c>
      <c r="R2012" s="4">
        <v>69.72</v>
      </c>
      <c r="S2012">
        <v>0</v>
      </c>
      <c r="T2012">
        <v>1</v>
      </c>
    </row>
    <row r="2013" spans="1:20" ht="16.5" x14ac:dyDescent="0.3">
      <c r="A2013" t="s">
        <v>2065</v>
      </c>
      <c r="B2013" s="1">
        <v>45590</v>
      </c>
      <c r="C2013">
        <v>2024</v>
      </c>
      <c r="D2013" t="s">
        <v>1873</v>
      </c>
      <c r="E2013" t="s">
        <v>1874</v>
      </c>
      <c r="F2013" t="s">
        <v>34</v>
      </c>
      <c r="G2013" t="s">
        <v>24</v>
      </c>
      <c r="H2013" t="s">
        <v>48</v>
      </c>
      <c r="I2013" t="s">
        <v>40</v>
      </c>
      <c r="J2013" t="s">
        <v>27</v>
      </c>
      <c r="K2013" t="s">
        <v>28</v>
      </c>
      <c r="L2013" s="2">
        <v>119.9</v>
      </c>
      <c r="M2013" s="3">
        <v>488</v>
      </c>
      <c r="N2013">
        <v>2</v>
      </c>
      <c r="O2013">
        <v>3</v>
      </c>
      <c r="P2013">
        <v>0</v>
      </c>
      <c r="Q2013">
        <v>1</v>
      </c>
      <c r="R2013" s="4">
        <v>99.23</v>
      </c>
      <c r="S2013">
        <v>0</v>
      </c>
      <c r="T2013">
        <v>1</v>
      </c>
    </row>
    <row r="2014" spans="1:20" ht="16.5" x14ac:dyDescent="0.3">
      <c r="A2014" t="s">
        <v>2066</v>
      </c>
      <c r="B2014" s="1">
        <v>45590</v>
      </c>
      <c r="C2014">
        <v>2024</v>
      </c>
      <c r="D2014" t="s">
        <v>1873</v>
      </c>
      <c r="E2014" t="s">
        <v>1874</v>
      </c>
      <c r="F2014" t="s">
        <v>23</v>
      </c>
      <c r="G2014" t="s">
        <v>35</v>
      </c>
      <c r="H2014" t="s">
        <v>48</v>
      </c>
      <c r="I2014" t="s">
        <v>31</v>
      </c>
      <c r="J2014" t="s">
        <v>27</v>
      </c>
      <c r="K2014" t="s">
        <v>32</v>
      </c>
      <c r="L2014" s="2">
        <v>1.4</v>
      </c>
      <c r="M2014" s="3">
        <v>366</v>
      </c>
      <c r="N2014">
        <v>6</v>
      </c>
      <c r="O2014">
        <v>6</v>
      </c>
      <c r="P2014">
        <v>1</v>
      </c>
      <c r="Q2014">
        <v>0</v>
      </c>
      <c r="R2014" s="4">
        <v>8.15</v>
      </c>
      <c r="S2014">
        <v>0</v>
      </c>
      <c r="T2014">
        <v>1</v>
      </c>
    </row>
    <row r="2015" spans="1:20" ht="16.5" x14ac:dyDescent="0.3">
      <c r="A2015" t="s">
        <v>2067</v>
      </c>
      <c r="B2015" s="1">
        <v>45590</v>
      </c>
      <c r="C2015">
        <v>2024</v>
      </c>
      <c r="D2015" t="s">
        <v>1873</v>
      </c>
      <c r="E2015" t="s">
        <v>1874</v>
      </c>
      <c r="F2015" t="s">
        <v>57</v>
      </c>
      <c r="G2015" t="s">
        <v>35</v>
      </c>
      <c r="H2015" t="s">
        <v>36</v>
      </c>
      <c r="I2015" t="s">
        <v>26</v>
      </c>
      <c r="J2015" t="s">
        <v>27</v>
      </c>
      <c r="K2015" t="s">
        <v>32</v>
      </c>
      <c r="L2015" s="2">
        <v>0.9</v>
      </c>
      <c r="M2015" s="3">
        <v>256</v>
      </c>
      <c r="N2015">
        <v>3</v>
      </c>
      <c r="O2015">
        <v>3</v>
      </c>
      <c r="P2015">
        <v>1</v>
      </c>
      <c r="Q2015">
        <v>0</v>
      </c>
      <c r="R2015" s="4">
        <v>10.41</v>
      </c>
      <c r="S2015">
        <v>0</v>
      </c>
      <c r="T2015">
        <v>1</v>
      </c>
    </row>
    <row r="2016" spans="1:20" ht="16.5" x14ac:dyDescent="0.3">
      <c r="A2016" t="s">
        <v>2068</v>
      </c>
      <c r="B2016" s="1">
        <v>45591</v>
      </c>
      <c r="C2016">
        <v>2024</v>
      </c>
      <c r="D2016" t="s">
        <v>1873</v>
      </c>
      <c r="E2016" t="s">
        <v>1874</v>
      </c>
      <c r="F2016" t="s">
        <v>57</v>
      </c>
      <c r="G2016" t="s">
        <v>35</v>
      </c>
      <c r="H2016" t="s">
        <v>36</v>
      </c>
      <c r="I2016" t="s">
        <v>31</v>
      </c>
      <c r="J2016" t="s">
        <v>27</v>
      </c>
      <c r="K2016" t="s">
        <v>28</v>
      </c>
      <c r="L2016" s="2">
        <v>340.8</v>
      </c>
      <c r="M2016" s="3">
        <v>230</v>
      </c>
      <c r="N2016">
        <v>5</v>
      </c>
      <c r="O2016">
        <v>5</v>
      </c>
      <c r="P2016">
        <v>1</v>
      </c>
      <c r="Q2016">
        <v>0</v>
      </c>
      <c r="R2016" s="4">
        <v>92.44</v>
      </c>
      <c r="S2016">
        <v>0</v>
      </c>
      <c r="T2016">
        <v>1</v>
      </c>
    </row>
    <row r="2017" spans="1:20" ht="16.5" x14ac:dyDescent="0.3">
      <c r="A2017" t="s">
        <v>2069</v>
      </c>
      <c r="B2017" s="1">
        <v>45591</v>
      </c>
      <c r="C2017">
        <v>2024</v>
      </c>
      <c r="D2017" t="s">
        <v>1873</v>
      </c>
      <c r="E2017" t="s">
        <v>1874</v>
      </c>
      <c r="F2017" t="s">
        <v>57</v>
      </c>
      <c r="G2017" t="s">
        <v>24</v>
      </c>
      <c r="H2017" t="s">
        <v>36</v>
      </c>
      <c r="I2017" t="s">
        <v>40</v>
      </c>
      <c r="J2017" t="s">
        <v>27</v>
      </c>
      <c r="K2017" t="s">
        <v>32</v>
      </c>
      <c r="L2017" s="2">
        <v>1.3</v>
      </c>
      <c r="M2017" s="3">
        <v>241</v>
      </c>
      <c r="N2017">
        <v>1</v>
      </c>
      <c r="O2017">
        <v>1</v>
      </c>
      <c r="P2017">
        <v>1</v>
      </c>
      <c r="Q2017">
        <v>0</v>
      </c>
      <c r="R2017" s="4">
        <v>20.61</v>
      </c>
      <c r="S2017">
        <v>0</v>
      </c>
      <c r="T2017">
        <v>1</v>
      </c>
    </row>
    <row r="2018" spans="1:20" ht="16.5" x14ac:dyDescent="0.3">
      <c r="A2018" t="s">
        <v>2070</v>
      </c>
      <c r="B2018" s="1">
        <v>45591</v>
      </c>
      <c r="C2018">
        <v>2024</v>
      </c>
      <c r="D2018" t="s">
        <v>1873</v>
      </c>
      <c r="E2018" t="s">
        <v>1874</v>
      </c>
      <c r="F2018" t="s">
        <v>30</v>
      </c>
      <c r="G2018" t="s">
        <v>39</v>
      </c>
      <c r="H2018" t="s">
        <v>43</v>
      </c>
      <c r="I2018" t="s">
        <v>40</v>
      </c>
      <c r="J2018" t="s">
        <v>41</v>
      </c>
      <c r="K2018" t="s">
        <v>28</v>
      </c>
      <c r="L2018" s="2">
        <v>64.900000000000006</v>
      </c>
      <c r="M2018" s="3">
        <v>1141</v>
      </c>
      <c r="N2018">
        <v>3</v>
      </c>
      <c r="O2018">
        <v>3</v>
      </c>
      <c r="P2018">
        <v>1</v>
      </c>
      <c r="Q2018">
        <v>0</v>
      </c>
      <c r="R2018" s="4">
        <v>166.77</v>
      </c>
      <c r="S2018">
        <v>0</v>
      </c>
      <c r="T2018">
        <v>1</v>
      </c>
    </row>
    <row r="2019" spans="1:20" ht="16.5" x14ac:dyDescent="0.3">
      <c r="A2019" t="s">
        <v>2071</v>
      </c>
      <c r="B2019" s="1">
        <v>45591</v>
      </c>
      <c r="C2019">
        <v>2024</v>
      </c>
      <c r="D2019" t="s">
        <v>1873</v>
      </c>
      <c r="E2019" t="s">
        <v>1874</v>
      </c>
      <c r="F2019" t="s">
        <v>23</v>
      </c>
      <c r="G2019" t="s">
        <v>35</v>
      </c>
      <c r="H2019" t="s">
        <v>48</v>
      </c>
      <c r="I2019" t="s">
        <v>31</v>
      </c>
      <c r="J2019" t="s">
        <v>27</v>
      </c>
      <c r="K2019" t="s">
        <v>28</v>
      </c>
      <c r="L2019" s="2">
        <v>216.7</v>
      </c>
      <c r="M2019" s="3">
        <v>422</v>
      </c>
      <c r="N2019">
        <v>6</v>
      </c>
      <c r="O2019">
        <v>6</v>
      </c>
      <c r="P2019">
        <v>1</v>
      </c>
      <c r="Q2019">
        <v>0</v>
      </c>
      <c r="R2019" s="4">
        <v>75.680000000000007</v>
      </c>
      <c r="S2019">
        <v>0</v>
      </c>
      <c r="T2019">
        <v>1</v>
      </c>
    </row>
    <row r="2020" spans="1:20" ht="16.5" x14ac:dyDescent="0.3">
      <c r="A2020" t="s">
        <v>2072</v>
      </c>
      <c r="B2020" s="1">
        <v>45591</v>
      </c>
      <c r="C2020">
        <v>2024</v>
      </c>
      <c r="D2020" t="s">
        <v>1873</v>
      </c>
      <c r="E2020" t="s">
        <v>1874</v>
      </c>
      <c r="F2020" t="s">
        <v>57</v>
      </c>
      <c r="G2020" t="s">
        <v>39</v>
      </c>
      <c r="H2020" t="s">
        <v>43</v>
      </c>
      <c r="I2020" t="s">
        <v>31</v>
      </c>
      <c r="J2020" t="s">
        <v>27</v>
      </c>
      <c r="K2020" t="s">
        <v>28</v>
      </c>
      <c r="L2020" s="2">
        <v>77.7</v>
      </c>
      <c r="M2020" s="3">
        <v>1258</v>
      </c>
      <c r="N2020">
        <v>7</v>
      </c>
      <c r="O2020">
        <v>7</v>
      </c>
      <c r="P2020">
        <v>1</v>
      </c>
      <c r="Q2020">
        <v>0</v>
      </c>
      <c r="R2020" s="4">
        <v>39.74</v>
      </c>
      <c r="S2020">
        <v>0</v>
      </c>
      <c r="T2020">
        <v>1</v>
      </c>
    </row>
    <row r="2021" spans="1:20" ht="16.5" x14ac:dyDescent="0.3">
      <c r="A2021" t="s">
        <v>2073</v>
      </c>
      <c r="B2021" s="1">
        <v>45592</v>
      </c>
      <c r="C2021">
        <v>2024</v>
      </c>
      <c r="D2021" t="s">
        <v>1873</v>
      </c>
      <c r="E2021" t="s">
        <v>1874</v>
      </c>
      <c r="F2021" t="s">
        <v>38</v>
      </c>
      <c r="G2021" t="s">
        <v>39</v>
      </c>
      <c r="H2021" t="s">
        <v>36</v>
      </c>
      <c r="I2021" t="s">
        <v>26</v>
      </c>
      <c r="J2021" t="s">
        <v>27</v>
      </c>
      <c r="K2021" t="s">
        <v>32</v>
      </c>
      <c r="L2021" s="2">
        <v>4.5</v>
      </c>
      <c r="M2021" s="3">
        <v>277</v>
      </c>
      <c r="N2021">
        <v>3</v>
      </c>
      <c r="O2021">
        <v>3</v>
      </c>
      <c r="P2021">
        <v>1</v>
      </c>
      <c r="Q2021">
        <v>0</v>
      </c>
      <c r="R2021" s="4">
        <v>13.64</v>
      </c>
      <c r="S2021">
        <v>0</v>
      </c>
      <c r="T2021">
        <v>1</v>
      </c>
    </row>
    <row r="2022" spans="1:20" ht="16.5" x14ac:dyDescent="0.3">
      <c r="A2022" t="s">
        <v>2074</v>
      </c>
      <c r="B2022" s="1">
        <v>45592</v>
      </c>
      <c r="C2022">
        <v>2024</v>
      </c>
      <c r="D2022" t="s">
        <v>1873</v>
      </c>
      <c r="E2022" t="s">
        <v>1874</v>
      </c>
      <c r="F2022" t="s">
        <v>57</v>
      </c>
      <c r="G2022" t="s">
        <v>35</v>
      </c>
      <c r="H2022" t="s">
        <v>43</v>
      </c>
      <c r="I2022" t="s">
        <v>31</v>
      </c>
      <c r="J2022" t="s">
        <v>27</v>
      </c>
      <c r="K2022" t="s">
        <v>28</v>
      </c>
      <c r="L2022" s="2">
        <v>156.1</v>
      </c>
      <c r="M2022" s="3">
        <v>1266</v>
      </c>
      <c r="N2022">
        <v>7</v>
      </c>
      <c r="O2022">
        <v>7</v>
      </c>
      <c r="P2022">
        <v>1</v>
      </c>
      <c r="Q2022">
        <v>0</v>
      </c>
      <c r="R2022" s="4">
        <v>64.92</v>
      </c>
      <c r="S2022">
        <v>0</v>
      </c>
      <c r="T2022">
        <v>1</v>
      </c>
    </row>
    <row r="2023" spans="1:20" ht="16.5" x14ac:dyDescent="0.3">
      <c r="A2023" t="s">
        <v>2075</v>
      </c>
      <c r="B2023" s="1">
        <v>45593</v>
      </c>
      <c r="C2023">
        <v>2024</v>
      </c>
      <c r="D2023" t="s">
        <v>1873</v>
      </c>
      <c r="E2023" t="s">
        <v>1874</v>
      </c>
      <c r="F2023" t="s">
        <v>38</v>
      </c>
      <c r="G2023" t="s">
        <v>39</v>
      </c>
      <c r="H2023" t="s">
        <v>36</v>
      </c>
      <c r="I2023" t="s">
        <v>26</v>
      </c>
      <c r="J2023" t="s">
        <v>27</v>
      </c>
      <c r="K2023" t="s">
        <v>32</v>
      </c>
      <c r="L2023" s="2">
        <v>5.6</v>
      </c>
      <c r="M2023" s="3">
        <v>307</v>
      </c>
      <c r="N2023">
        <v>3</v>
      </c>
      <c r="O2023">
        <v>3</v>
      </c>
      <c r="P2023">
        <v>1</v>
      </c>
      <c r="Q2023">
        <v>0</v>
      </c>
      <c r="R2023" s="4">
        <v>17.23</v>
      </c>
      <c r="S2023">
        <v>0</v>
      </c>
      <c r="T2023">
        <v>1</v>
      </c>
    </row>
    <row r="2024" spans="1:20" ht="16.5" x14ac:dyDescent="0.3">
      <c r="A2024" t="s">
        <v>2076</v>
      </c>
      <c r="B2024" s="1">
        <v>45593</v>
      </c>
      <c r="C2024">
        <v>2024</v>
      </c>
      <c r="D2024" t="s">
        <v>1873</v>
      </c>
      <c r="E2024" t="s">
        <v>1874</v>
      </c>
      <c r="F2024" t="s">
        <v>30</v>
      </c>
      <c r="G2024" t="s">
        <v>35</v>
      </c>
      <c r="H2024" t="s">
        <v>43</v>
      </c>
      <c r="I2024" t="s">
        <v>31</v>
      </c>
      <c r="J2024" t="s">
        <v>27</v>
      </c>
      <c r="K2024" t="s">
        <v>32</v>
      </c>
      <c r="L2024" s="2">
        <v>3.4</v>
      </c>
      <c r="M2024" s="3">
        <v>1176</v>
      </c>
      <c r="N2024">
        <v>7</v>
      </c>
      <c r="O2024">
        <v>6</v>
      </c>
      <c r="P2024">
        <v>1</v>
      </c>
      <c r="Q2024">
        <v>0</v>
      </c>
      <c r="R2024" s="4">
        <v>18.91</v>
      </c>
      <c r="S2024">
        <v>0</v>
      </c>
      <c r="T2024">
        <v>1</v>
      </c>
    </row>
    <row r="2025" spans="1:20" ht="16.5" x14ac:dyDescent="0.3">
      <c r="A2025" t="s">
        <v>2077</v>
      </c>
      <c r="B2025" s="1">
        <v>45593</v>
      </c>
      <c r="C2025">
        <v>2024</v>
      </c>
      <c r="D2025" t="s">
        <v>1873</v>
      </c>
      <c r="E2025" t="s">
        <v>1874</v>
      </c>
      <c r="F2025" t="s">
        <v>57</v>
      </c>
      <c r="G2025" t="s">
        <v>39</v>
      </c>
      <c r="H2025" t="s">
        <v>25</v>
      </c>
      <c r="I2025" t="s">
        <v>31</v>
      </c>
      <c r="J2025" t="s">
        <v>27</v>
      </c>
      <c r="K2025" t="s">
        <v>32</v>
      </c>
      <c r="L2025" s="2">
        <v>19.2</v>
      </c>
      <c r="M2025" s="3">
        <v>1039</v>
      </c>
      <c r="N2025">
        <v>6</v>
      </c>
      <c r="O2025">
        <v>5</v>
      </c>
      <c r="P2025">
        <v>1</v>
      </c>
      <c r="Q2025">
        <v>0</v>
      </c>
      <c r="R2025" s="4">
        <v>22.69</v>
      </c>
      <c r="S2025">
        <v>0</v>
      </c>
      <c r="T2025">
        <v>1</v>
      </c>
    </row>
    <row r="2026" spans="1:20" ht="16.5" x14ac:dyDescent="0.3">
      <c r="A2026" t="s">
        <v>2078</v>
      </c>
      <c r="B2026" s="1">
        <v>45593</v>
      </c>
      <c r="C2026">
        <v>2024</v>
      </c>
      <c r="D2026" t="s">
        <v>1873</v>
      </c>
      <c r="E2026" t="s">
        <v>1874</v>
      </c>
      <c r="F2026" t="s">
        <v>57</v>
      </c>
      <c r="G2026" t="s">
        <v>35</v>
      </c>
      <c r="H2026" t="s">
        <v>48</v>
      </c>
      <c r="I2026" t="s">
        <v>26</v>
      </c>
      <c r="J2026" t="s">
        <v>27</v>
      </c>
      <c r="K2026" t="s">
        <v>32</v>
      </c>
      <c r="L2026" s="2">
        <v>4.2</v>
      </c>
      <c r="M2026" s="3">
        <v>388</v>
      </c>
      <c r="N2026">
        <v>4</v>
      </c>
      <c r="O2026">
        <v>3</v>
      </c>
      <c r="P2026">
        <v>1</v>
      </c>
      <c r="Q2026">
        <v>0</v>
      </c>
      <c r="R2026" s="4">
        <v>13.62</v>
      </c>
      <c r="S2026">
        <v>0</v>
      </c>
      <c r="T2026">
        <v>1</v>
      </c>
    </row>
    <row r="2027" spans="1:20" ht="16.5" x14ac:dyDescent="0.3">
      <c r="A2027" t="s">
        <v>2079</v>
      </c>
      <c r="B2027" s="1">
        <v>45593</v>
      </c>
      <c r="C2027">
        <v>2024</v>
      </c>
      <c r="D2027" t="s">
        <v>1873</v>
      </c>
      <c r="E2027" t="s">
        <v>1874</v>
      </c>
      <c r="F2027" t="s">
        <v>30</v>
      </c>
      <c r="G2027" t="s">
        <v>39</v>
      </c>
      <c r="H2027" t="s">
        <v>36</v>
      </c>
      <c r="I2027" t="s">
        <v>40</v>
      </c>
      <c r="J2027" t="s">
        <v>27</v>
      </c>
      <c r="K2027" t="s">
        <v>28</v>
      </c>
      <c r="L2027" s="2">
        <v>108.4</v>
      </c>
      <c r="M2027" s="3">
        <v>251</v>
      </c>
      <c r="N2027">
        <v>1</v>
      </c>
      <c r="O2027">
        <v>3</v>
      </c>
      <c r="P2027">
        <v>0</v>
      </c>
      <c r="Q2027">
        <v>2</v>
      </c>
      <c r="R2027" s="4">
        <v>112.68</v>
      </c>
      <c r="S2027">
        <v>0</v>
      </c>
      <c r="T2027">
        <v>1</v>
      </c>
    </row>
    <row r="2028" spans="1:20" ht="16.5" x14ac:dyDescent="0.3">
      <c r="A2028" t="s">
        <v>2080</v>
      </c>
      <c r="B2028" s="1">
        <v>45593</v>
      </c>
      <c r="C2028">
        <v>2024</v>
      </c>
      <c r="D2028" t="s">
        <v>1873</v>
      </c>
      <c r="E2028" t="s">
        <v>1874</v>
      </c>
      <c r="F2028" t="s">
        <v>57</v>
      </c>
      <c r="G2028" t="s">
        <v>24</v>
      </c>
      <c r="H2028" t="s">
        <v>36</v>
      </c>
      <c r="I2028" t="s">
        <v>26</v>
      </c>
      <c r="J2028" t="s">
        <v>27</v>
      </c>
      <c r="K2028" t="s">
        <v>28</v>
      </c>
      <c r="L2028" s="2">
        <v>241.4</v>
      </c>
      <c r="M2028" s="3">
        <v>208</v>
      </c>
      <c r="N2028">
        <v>3</v>
      </c>
      <c r="O2028">
        <v>3</v>
      </c>
      <c r="P2028">
        <v>1</v>
      </c>
      <c r="Q2028">
        <v>0</v>
      </c>
      <c r="R2028" s="4">
        <v>102.36</v>
      </c>
      <c r="S2028">
        <v>0</v>
      </c>
      <c r="T2028">
        <v>1</v>
      </c>
    </row>
    <row r="2029" spans="1:20" ht="16.5" x14ac:dyDescent="0.3">
      <c r="A2029" t="s">
        <v>2081</v>
      </c>
      <c r="B2029" s="1">
        <v>45593</v>
      </c>
      <c r="C2029">
        <v>2024</v>
      </c>
      <c r="D2029" t="s">
        <v>1873</v>
      </c>
      <c r="E2029" t="s">
        <v>1874</v>
      </c>
      <c r="F2029" t="s">
        <v>23</v>
      </c>
      <c r="G2029" t="s">
        <v>24</v>
      </c>
      <c r="H2029" t="s">
        <v>36</v>
      </c>
      <c r="I2029" t="s">
        <v>26</v>
      </c>
      <c r="J2029" t="s">
        <v>27</v>
      </c>
      <c r="K2029" t="s">
        <v>32</v>
      </c>
      <c r="L2029" s="2">
        <v>7.7</v>
      </c>
      <c r="M2029" s="3">
        <v>274</v>
      </c>
      <c r="N2029">
        <v>3</v>
      </c>
      <c r="O2029">
        <v>3</v>
      </c>
      <c r="P2029">
        <v>1</v>
      </c>
      <c r="Q2029">
        <v>0</v>
      </c>
      <c r="R2029" s="4">
        <v>13.8</v>
      </c>
      <c r="S2029">
        <v>0</v>
      </c>
      <c r="T2029">
        <v>1</v>
      </c>
    </row>
    <row r="2030" spans="1:20" ht="16.5" x14ac:dyDescent="0.3">
      <c r="A2030" t="s">
        <v>2082</v>
      </c>
      <c r="B2030" s="1">
        <v>45594</v>
      </c>
      <c r="C2030">
        <v>2024</v>
      </c>
      <c r="D2030" t="s">
        <v>1873</v>
      </c>
      <c r="E2030" t="s">
        <v>1874</v>
      </c>
      <c r="F2030" t="s">
        <v>38</v>
      </c>
      <c r="G2030" t="s">
        <v>35</v>
      </c>
      <c r="H2030" t="s">
        <v>36</v>
      </c>
      <c r="I2030" t="s">
        <v>40</v>
      </c>
      <c r="J2030" t="s">
        <v>27</v>
      </c>
      <c r="K2030" t="s">
        <v>28</v>
      </c>
      <c r="L2030" s="2">
        <v>172.2</v>
      </c>
      <c r="M2030" s="3">
        <v>253</v>
      </c>
      <c r="N2030">
        <v>1</v>
      </c>
      <c r="O2030">
        <v>1</v>
      </c>
      <c r="P2030">
        <v>1</v>
      </c>
      <c r="Q2030">
        <v>0</v>
      </c>
      <c r="R2030" s="4">
        <v>172.55</v>
      </c>
      <c r="S2030">
        <v>0</v>
      </c>
      <c r="T2030">
        <v>1</v>
      </c>
    </row>
    <row r="2031" spans="1:20" ht="16.5" x14ac:dyDescent="0.3">
      <c r="A2031" t="s">
        <v>2083</v>
      </c>
      <c r="B2031" s="1">
        <v>45594</v>
      </c>
      <c r="C2031">
        <v>2024</v>
      </c>
      <c r="D2031" t="s">
        <v>1873</v>
      </c>
      <c r="E2031" t="s">
        <v>1874</v>
      </c>
      <c r="F2031" t="s">
        <v>34</v>
      </c>
      <c r="G2031" t="s">
        <v>35</v>
      </c>
      <c r="H2031" t="s">
        <v>36</v>
      </c>
      <c r="I2031" t="s">
        <v>40</v>
      </c>
      <c r="J2031" t="s">
        <v>27</v>
      </c>
      <c r="K2031" t="s">
        <v>32</v>
      </c>
      <c r="L2031" s="2">
        <v>3.9</v>
      </c>
      <c r="M2031" s="3">
        <v>254</v>
      </c>
      <c r="N2031">
        <v>1</v>
      </c>
      <c r="O2031">
        <v>2</v>
      </c>
      <c r="P2031">
        <v>0</v>
      </c>
      <c r="Q2031">
        <v>1</v>
      </c>
      <c r="R2031" s="4">
        <v>18.82</v>
      </c>
      <c r="S2031">
        <v>0</v>
      </c>
      <c r="T2031">
        <v>1</v>
      </c>
    </row>
    <row r="2032" spans="1:20" ht="16.5" x14ac:dyDescent="0.3">
      <c r="A2032" t="s">
        <v>2084</v>
      </c>
      <c r="B2032" s="1">
        <v>45594</v>
      </c>
      <c r="C2032">
        <v>2024</v>
      </c>
      <c r="D2032" t="s">
        <v>1873</v>
      </c>
      <c r="E2032" t="s">
        <v>1874</v>
      </c>
      <c r="F2032" t="s">
        <v>38</v>
      </c>
      <c r="G2032" t="s">
        <v>39</v>
      </c>
      <c r="H2032" t="s">
        <v>48</v>
      </c>
      <c r="I2032" t="s">
        <v>40</v>
      </c>
      <c r="J2032" t="s">
        <v>27</v>
      </c>
      <c r="K2032" t="s">
        <v>28</v>
      </c>
      <c r="L2032" s="2">
        <v>22.5</v>
      </c>
      <c r="M2032" s="3">
        <v>468</v>
      </c>
      <c r="N2032">
        <v>2</v>
      </c>
      <c r="O2032">
        <v>1</v>
      </c>
      <c r="P2032">
        <v>1</v>
      </c>
      <c r="Q2032">
        <v>0</v>
      </c>
      <c r="R2032" s="4">
        <v>51.3</v>
      </c>
      <c r="S2032">
        <v>0</v>
      </c>
      <c r="T2032">
        <v>1</v>
      </c>
    </row>
    <row r="2033" spans="1:20" ht="16.5" x14ac:dyDescent="0.3">
      <c r="A2033" t="s">
        <v>2085</v>
      </c>
      <c r="B2033" s="1">
        <v>45594</v>
      </c>
      <c r="C2033">
        <v>2024</v>
      </c>
      <c r="D2033" t="s">
        <v>1873</v>
      </c>
      <c r="E2033" t="s">
        <v>1874</v>
      </c>
      <c r="F2033" t="s">
        <v>34</v>
      </c>
      <c r="G2033" t="s">
        <v>35</v>
      </c>
      <c r="H2033" t="s">
        <v>36</v>
      </c>
      <c r="I2033" t="s">
        <v>26</v>
      </c>
      <c r="J2033" t="s">
        <v>27</v>
      </c>
      <c r="K2033" t="s">
        <v>28</v>
      </c>
      <c r="L2033" s="2">
        <v>28.7</v>
      </c>
      <c r="M2033" s="3">
        <v>331</v>
      </c>
      <c r="N2033">
        <v>3</v>
      </c>
      <c r="O2033">
        <v>2</v>
      </c>
      <c r="P2033">
        <v>1</v>
      </c>
      <c r="Q2033">
        <v>0</v>
      </c>
      <c r="R2033" s="4">
        <v>21.65</v>
      </c>
      <c r="S2033">
        <v>0</v>
      </c>
      <c r="T2033">
        <v>1</v>
      </c>
    </row>
    <row r="2034" spans="1:20" ht="16.5" x14ac:dyDescent="0.3">
      <c r="A2034" t="s">
        <v>2086</v>
      </c>
      <c r="B2034" s="1">
        <v>45594</v>
      </c>
      <c r="C2034">
        <v>2024</v>
      </c>
      <c r="D2034" t="s">
        <v>1873</v>
      </c>
      <c r="E2034" t="s">
        <v>1874</v>
      </c>
      <c r="F2034" t="s">
        <v>30</v>
      </c>
      <c r="G2034" t="s">
        <v>39</v>
      </c>
      <c r="H2034" t="s">
        <v>43</v>
      </c>
      <c r="I2034" t="s">
        <v>26</v>
      </c>
      <c r="J2034" t="s">
        <v>27</v>
      </c>
      <c r="K2034" t="s">
        <v>32</v>
      </c>
      <c r="L2034" s="2">
        <v>7.8</v>
      </c>
      <c r="M2034" s="3">
        <v>1001</v>
      </c>
      <c r="N2034">
        <v>5</v>
      </c>
      <c r="O2034">
        <v>5</v>
      </c>
      <c r="P2034">
        <v>1</v>
      </c>
      <c r="Q2034">
        <v>0</v>
      </c>
      <c r="R2034" s="4">
        <v>23.62</v>
      </c>
      <c r="S2034">
        <v>0</v>
      </c>
      <c r="T2034">
        <v>1</v>
      </c>
    </row>
    <row r="2035" spans="1:20" ht="16.5" x14ac:dyDescent="0.3">
      <c r="A2035" t="s">
        <v>2087</v>
      </c>
      <c r="B2035" s="1">
        <v>45595</v>
      </c>
      <c r="C2035">
        <v>2024</v>
      </c>
      <c r="D2035" t="s">
        <v>1873</v>
      </c>
      <c r="E2035" t="s">
        <v>1874</v>
      </c>
      <c r="F2035" t="s">
        <v>57</v>
      </c>
      <c r="G2035" t="s">
        <v>24</v>
      </c>
      <c r="H2035" t="s">
        <v>43</v>
      </c>
      <c r="I2035" t="s">
        <v>31</v>
      </c>
      <c r="J2035" t="s">
        <v>27</v>
      </c>
      <c r="K2035" t="s">
        <v>28</v>
      </c>
      <c r="L2035" s="2">
        <v>23.7</v>
      </c>
      <c r="M2035" s="3">
        <v>1153</v>
      </c>
      <c r="N2035">
        <v>7</v>
      </c>
      <c r="O2035">
        <v>6</v>
      </c>
      <c r="P2035">
        <v>1</v>
      </c>
      <c r="Q2035">
        <v>0</v>
      </c>
      <c r="R2035" s="4">
        <v>27.89</v>
      </c>
      <c r="S2035">
        <v>0</v>
      </c>
      <c r="T2035">
        <v>1</v>
      </c>
    </row>
    <row r="2036" spans="1:20" ht="16.5" x14ac:dyDescent="0.3">
      <c r="A2036" t="s">
        <v>2088</v>
      </c>
      <c r="B2036" s="1">
        <v>45595</v>
      </c>
      <c r="C2036">
        <v>2024</v>
      </c>
      <c r="D2036" t="s">
        <v>1873</v>
      </c>
      <c r="E2036" t="s">
        <v>1874</v>
      </c>
      <c r="F2036" t="s">
        <v>30</v>
      </c>
      <c r="G2036" t="s">
        <v>24</v>
      </c>
      <c r="H2036" t="s">
        <v>36</v>
      </c>
      <c r="I2036" t="s">
        <v>26</v>
      </c>
      <c r="J2036" t="s">
        <v>27</v>
      </c>
      <c r="K2036" t="s">
        <v>32</v>
      </c>
      <c r="L2036" s="2">
        <v>15.5</v>
      </c>
      <c r="M2036" s="3">
        <v>186</v>
      </c>
      <c r="N2036">
        <v>3</v>
      </c>
      <c r="O2036">
        <v>3</v>
      </c>
      <c r="P2036">
        <v>1</v>
      </c>
      <c r="Q2036">
        <v>0</v>
      </c>
      <c r="R2036" s="4">
        <v>16.95</v>
      </c>
      <c r="S2036">
        <v>0</v>
      </c>
      <c r="T2036">
        <v>1</v>
      </c>
    </row>
    <row r="2037" spans="1:20" ht="16.5" x14ac:dyDescent="0.3">
      <c r="A2037" t="s">
        <v>2089</v>
      </c>
      <c r="B2037" s="1">
        <v>45595</v>
      </c>
      <c r="C2037">
        <v>2024</v>
      </c>
      <c r="D2037" t="s">
        <v>1873</v>
      </c>
      <c r="E2037" t="s">
        <v>1874</v>
      </c>
      <c r="F2037" t="s">
        <v>38</v>
      </c>
      <c r="G2037" t="s">
        <v>35</v>
      </c>
      <c r="H2037" t="s">
        <v>48</v>
      </c>
      <c r="I2037" t="s">
        <v>31</v>
      </c>
      <c r="J2037" t="s">
        <v>27</v>
      </c>
      <c r="K2037" t="s">
        <v>32</v>
      </c>
      <c r="L2037" s="2">
        <v>2.2999999999999998</v>
      </c>
      <c r="M2037" s="3">
        <v>572</v>
      </c>
      <c r="N2037">
        <v>6</v>
      </c>
      <c r="O2037">
        <v>6</v>
      </c>
      <c r="P2037">
        <v>1</v>
      </c>
      <c r="Q2037">
        <v>0</v>
      </c>
      <c r="R2037" s="4">
        <v>11.74</v>
      </c>
      <c r="S2037">
        <v>0</v>
      </c>
      <c r="T2037">
        <v>1</v>
      </c>
    </row>
    <row r="2038" spans="1:20" ht="16.5" x14ac:dyDescent="0.3">
      <c r="A2038" t="s">
        <v>2090</v>
      </c>
      <c r="B2038" s="1">
        <v>45595</v>
      </c>
      <c r="C2038">
        <v>2024</v>
      </c>
      <c r="D2038" t="s">
        <v>1873</v>
      </c>
      <c r="E2038" t="s">
        <v>1874</v>
      </c>
      <c r="F2038" t="s">
        <v>23</v>
      </c>
      <c r="G2038" t="s">
        <v>39</v>
      </c>
      <c r="H2038" t="s">
        <v>43</v>
      </c>
      <c r="I2038" t="s">
        <v>31</v>
      </c>
      <c r="J2038" t="s">
        <v>27</v>
      </c>
      <c r="K2038" t="s">
        <v>32</v>
      </c>
      <c r="L2038" s="2">
        <v>5.9</v>
      </c>
      <c r="M2038" s="3">
        <v>1076</v>
      </c>
      <c r="N2038">
        <v>7</v>
      </c>
      <c r="O2038">
        <v>7</v>
      </c>
      <c r="P2038">
        <v>1</v>
      </c>
      <c r="Q2038">
        <v>0</v>
      </c>
      <c r="R2038" s="4">
        <v>17.04</v>
      </c>
      <c r="S2038">
        <v>0</v>
      </c>
      <c r="T2038">
        <v>1</v>
      </c>
    </row>
    <row r="2039" spans="1:20" ht="16.5" x14ac:dyDescent="0.3">
      <c r="A2039" t="s">
        <v>2091</v>
      </c>
      <c r="B2039" s="1">
        <v>45595</v>
      </c>
      <c r="C2039">
        <v>2024</v>
      </c>
      <c r="D2039" t="s">
        <v>1873</v>
      </c>
      <c r="E2039" t="s">
        <v>1874</v>
      </c>
      <c r="F2039" t="s">
        <v>38</v>
      </c>
      <c r="G2039" t="s">
        <v>24</v>
      </c>
      <c r="H2039" t="s">
        <v>36</v>
      </c>
      <c r="I2039" t="s">
        <v>31</v>
      </c>
      <c r="J2039" t="s">
        <v>27</v>
      </c>
      <c r="K2039" t="s">
        <v>32</v>
      </c>
      <c r="L2039" s="2">
        <v>10.1</v>
      </c>
      <c r="M2039" s="3">
        <v>250</v>
      </c>
      <c r="N2039">
        <v>5</v>
      </c>
      <c r="O2039">
        <v>5</v>
      </c>
      <c r="P2039">
        <v>1</v>
      </c>
      <c r="Q2039">
        <v>0</v>
      </c>
      <c r="R2039" s="4">
        <v>11.07</v>
      </c>
      <c r="S2039">
        <v>0</v>
      </c>
      <c r="T2039">
        <v>1</v>
      </c>
    </row>
    <row r="2040" spans="1:20" ht="16.5" x14ac:dyDescent="0.3">
      <c r="A2040" t="s">
        <v>2092</v>
      </c>
      <c r="B2040" s="1">
        <v>45595</v>
      </c>
      <c r="C2040">
        <v>2024</v>
      </c>
      <c r="D2040" t="s">
        <v>1873</v>
      </c>
      <c r="E2040" t="s">
        <v>1874</v>
      </c>
      <c r="F2040" t="s">
        <v>23</v>
      </c>
      <c r="G2040" t="s">
        <v>39</v>
      </c>
      <c r="H2040" t="s">
        <v>36</v>
      </c>
      <c r="I2040" t="s">
        <v>26</v>
      </c>
      <c r="J2040" t="s">
        <v>27</v>
      </c>
      <c r="K2040" t="s">
        <v>32</v>
      </c>
      <c r="L2040" s="2">
        <v>7.6</v>
      </c>
      <c r="M2040" s="3">
        <v>287</v>
      </c>
      <c r="N2040">
        <v>3</v>
      </c>
      <c r="O2040">
        <v>3</v>
      </c>
      <c r="P2040">
        <v>1</v>
      </c>
      <c r="Q2040">
        <v>0</v>
      </c>
      <c r="R2040" s="4">
        <v>14.99</v>
      </c>
      <c r="S2040">
        <v>0</v>
      </c>
      <c r="T2040">
        <v>1</v>
      </c>
    </row>
    <row r="2041" spans="1:20" ht="16.5" x14ac:dyDescent="0.3">
      <c r="A2041" t="s">
        <v>2093</v>
      </c>
      <c r="B2041" s="1">
        <v>45595</v>
      </c>
      <c r="C2041">
        <v>2024</v>
      </c>
      <c r="D2041" t="s">
        <v>1873</v>
      </c>
      <c r="E2041" t="s">
        <v>1874</v>
      </c>
      <c r="F2041" t="s">
        <v>23</v>
      </c>
      <c r="G2041" t="s">
        <v>24</v>
      </c>
      <c r="H2041" t="s">
        <v>25</v>
      </c>
      <c r="I2041" t="s">
        <v>40</v>
      </c>
      <c r="J2041" t="s">
        <v>41</v>
      </c>
      <c r="K2041" t="s">
        <v>28</v>
      </c>
      <c r="L2041" s="2">
        <v>137.9</v>
      </c>
      <c r="M2041" s="3">
        <v>1016</v>
      </c>
      <c r="N2041">
        <v>2</v>
      </c>
      <c r="O2041">
        <v>2</v>
      </c>
      <c r="P2041">
        <v>1</v>
      </c>
      <c r="Q2041">
        <v>0</v>
      </c>
      <c r="R2041" s="4">
        <v>236.24</v>
      </c>
      <c r="S2041">
        <v>0</v>
      </c>
      <c r="T2041">
        <v>1</v>
      </c>
    </row>
    <row r="2042" spans="1:20" ht="16.5" x14ac:dyDescent="0.3">
      <c r="A2042" t="s">
        <v>2094</v>
      </c>
      <c r="B2042" s="1">
        <v>45595</v>
      </c>
      <c r="C2042">
        <v>2024</v>
      </c>
      <c r="D2042" t="s">
        <v>1873</v>
      </c>
      <c r="E2042" t="s">
        <v>1874</v>
      </c>
      <c r="F2042" t="s">
        <v>38</v>
      </c>
      <c r="G2042" t="s">
        <v>24</v>
      </c>
      <c r="H2042" t="s">
        <v>25</v>
      </c>
      <c r="I2042" t="s">
        <v>26</v>
      </c>
      <c r="J2042" t="s">
        <v>27</v>
      </c>
      <c r="K2042" t="s">
        <v>28</v>
      </c>
      <c r="L2042" s="2">
        <v>74</v>
      </c>
      <c r="M2042" s="3">
        <v>994</v>
      </c>
      <c r="N2042">
        <v>4</v>
      </c>
      <c r="O2042">
        <v>7</v>
      </c>
      <c r="P2042">
        <v>0</v>
      </c>
      <c r="Q2042">
        <v>3</v>
      </c>
      <c r="R2042" s="4">
        <v>58.17</v>
      </c>
      <c r="S2042">
        <v>0</v>
      </c>
      <c r="T2042">
        <v>1</v>
      </c>
    </row>
    <row r="2043" spans="1:20" ht="16.5" x14ac:dyDescent="0.3">
      <c r="A2043" t="s">
        <v>2095</v>
      </c>
      <c r="B2043" s="1">
        <v>45595</v>
      </c>
      <c r="C2043">
        <v>2024</v>
      </c>
      <c r="D2043" t="s">
        <v>1873</v>
      </c>
      <c r="E2043" t="s">
        <v>1874</v>
      </c>
      <c r="F2043" t="s">
        <v>57</v>
      </c>
      <c r="G2043" t="s">
        <v>39</v>
      </c>
      <c r="H2043" t="s">
        <v>51</v>
      </c>
      <c r="I2043" t="s">
        <v>26</v>
      </c>
      <c r="J2043" t="s">
        <v>27</v>
      </c>
      <c r="K2043" t="s">
        <v>32</v>
      </c>
      <c r="L2043" s="2">
        <v>8.1999999999999993</v>
      </c>
      <c r="M2043" s="3">
        <v>1144</v>
      </c>
      <c r="N2043">
        <v>5</v>
      </c>
      <c r="O2043">
        <v>5</v>
      </c>
      <c r="P2043">
        <v>1</v>
      </c>
      <c r="Q2043">
        <v>0</v>
      </c>
      <c r="R2043" s="4">
        <v>26.81</v>
      </c>
      <c r="S2043">
        <v>0</v>
      </c>
      <c r="T2043">
        <v>1</v>
      </c>
    </row>
    <row r="2044" spans="1:20" ht="16.5" x14ac:dyDescent="0.3">
      <c r="A2044" t="s">
        <v>2096</v>
      </c>
      <c r="B2044" s="1">
        <v>45596</v>
      </c>
      <c r="C2044">
        <v>2024</v>
      </c>
      <c r="D2044" t="s">
        <v>1873</v>
      </c>
      <c r="E2044" t="s">
        <v>1874</v>
      </c>
      <c r="F2044" t="s">
        <v>57</v>
      </c>
      <c r="G2044" t="s">
        <v>39</v>
      </c>
      <c r="H2044" t="s">
        <v>51</v>
      </c>
      <c r="I2044" t="s">
        <v>31</v>
      </c>
      <c r="J2044" t="s">
        <v>27</v>
      </c>
      <c r="K2044" t="s">
        <v>28</v>
      </c>
      <c r="L2044" s="2">
        <v>34.1</v>
      </c>
      <c r="M2044" s="3">
        <v>1414</v>
      </c>
      <c r="N2044">
        <v>7</v>
      </c>
      <c r="O2044">
        <v>7</v>
      </c>
      <c r="P2044">
        <v>1</v>
      </c>
      <c r="Q2044">
        <v>0</v>
      </c>
      <c r="R2044" s="4">
        <v>30.42</v>
      </c>
      <c r="S2044">
        <v>0</v>
      </c>
      <c r="T2044">
        <v>1</v>
      </c>
    </row>
    <row r="2045" spans="1:20" ht="16.5" x14ac:dyDescent="0.3">
      <c r="A2045" t="s">
        <v>2097</v>
      </c>
      <c r="B2045" s="1">
        <v>45596</v>
      </c>
      <c r="C2045">
        <v>2024</v>
      </c>
      <c r="D2045" t="s">
        <v>1873</v>
      </c>
      <c r="E2045" t="s">
        <v>1874</v>
      </c>
      <c r="F2045" t="s">
        <v>57</v>
      </c>
      <c r="G2045" t="s">
        <v>39</v>
      </c>
      <c r="H2045" t="s">
        <v>51</v>
      </c>
      <c r="I2045" t="s">
        <v>31</v>
      </c>
      <c r="J2045" t="s">
        <v>27</v>
      </c>
      <c r="K2045" t="s">
        <v>28</v>
      </c>
      <c r="L2045" s="2">
        <v>12.5</v>
      </c>
      <c r="M2045" s="3">
        <v>731</v>
      </c>
      <c r="N2045">
        <v>7</v>
      </c>
      <c r="O2045">
        <v>6</v>
      </c>
      <c r="P2045">
        <v>1</v>
      </c>
      <c r="Q2045">
        <v>0</v>
      </c>
      <c r="R2045" s="4">
        <v>14.95</v>
      </c>
      <c r="S2045">
        <v>0</v>
      </c>
      <c r="T2045">
        <v>1</v>
      </c>
    </row>
    <row r="2046" spans="1:20" ht="16.5" x14ac:dyDescent="0.3">
      <c r="A2046" t="s">
        <v>2098</v>
      </c>
      <c r="B2046" s="1">
        <v>45596</v>
      </c>
      <c r="C2046">
        <v>2024</v>
      </c>
      <c r="D2046" t="s">
        <v>1873</v>
      </c>
      <c r="E2046" t="s">
        <v>1874</v>
      </c>
      <c r="F2046" t="s">
        <v>57</v>
      </c>
      <c r="G2046" t="s">
        <v>39</v>
      </c>
      <c r="H2046" t="s">
        <v>43</v>
      </c>
      <c r="I2046" t="s">
        <v>26</v>
      </c>
      <c r="J2046" t="s">
        <v>27</v>
      </c>
      <c r="K2046" t="s">
        <v>32</v>
      </c>
      <c r="L2046" s="2">
        <v>8</v>
      </c>
      <c r="M2046" s="3">
        <v>1266</v>
      </c>
      <c r="N2046">
        <v>5</v>
      </c>
      <c r="O2046">
        <v>4</v>
      </c>
      <c r="P2046">
        <v>1</v>
      </c>
      <c r="Q2046">
        <v>0</v>
      </c>
      <c r="R2046" s="4">
        <v>26.1</v>
      </c>
      <c r="S2046">
        <v>0</v>
      </c>
      <c r="T2046">
        <v>1</v>
      </c>
    </row>
    <row r="2047" spans="1:20" ht="16.5" x14ac:dyDescent="0.3">
      <c r="A2047" t="s">
        <v>2099</v>
      </c>
      <c r="B2047" s="1">
        <v>45596</v>
      </c>
      <c r="C2047">
        <v>2024</v>
      </c>
      <c r="D2047" t="s">
        <v>1873</v>
      </c>
      <c r="E2047" t="s">
        <v>1874</v>
      </c>
      <c r="F2047" t="s">
        <v>57</v>
      </c>
      <c r="G2047" t="s">
        <v>35</v>
      </c>
      <c r="H2047" t="s">
        <v>25</v>
      </c>
      <c r="I2047" t="s">
        <v>40</v>
      </c>
      <c r="J2047" t="s">
        <v>41</v>
      </c>
      <c r="K2047" t="s">
        <v>32</v>
      </c>
      <c r="L2047" s="2">
        <v>4.4000000000000004</v>
      </c>
      <c r="M2047" s="3">
        <v>908</v>
      </c>
      <c r="N2047">
        <v>2</v>
      </c>
      <c r="O2047">
        <v>2</v>
      </c>
      <c r="P2047">
        <v>1</v>
      </c>
      <c r="Q2047">
        <v>0</v>
      </c>
      <c r="R2047" s="4">
        <v>57.31</v>
      </c>
      <c r="S2047">
        <v>0</v>
      </c>
      <c r="T2047">
        <v>1</v>
      </c>
    </row>
    <row r="2048" spans="1:20" ht="16.5" x14ac:dyDescent="0.3">
      <c r="A2048" t="s">
        <v>2100</v>
      </c>
      <c r="B2048" s="1">
        <v>45596</v>
      </c>
      <c r="C2048">
        <v>2024</v>
      </c>
      <c r="D2048" t="s">
        <v>1873</v>
      </c>
      <c r="E2048" t="s">
        <v>1874</v>
      </c>
      <c r="F2048" t="s">
        <v>38</v>
      </c>
      <c r="G2048" t="s">
        <v>35</v>
      </c>
      <c r="H2048" t="s">
        <v>43</v>
      </c>
      <c r="I2048" t="s">
        <v>40</v>
      </c>
      <c r="J2048" t="s">
        <v>41</v>
      </c>
      <c r="K2048" t="s">
        <v>32</v>
      </c>
      <c r="L2048" s="2">
        <v>9.1999999999999993</v>
      </c>
      <c r="M2048" s="3">
        <v>1257</v>
      </c>
      <c r="N2048">
        <v>3</v>
      </c>
      <c r="O2048">
        <v>3</v>
      </c>
      <c r="P2048">
        <v>1</v>
      </c>
      <c r="Q2048">
        <v>0</v>
      </c>
      <c r="R2048" s="4">
        <v>92.23</v>
      </c>
      <c r="S2048">
        <v>0</v>
      </c>
      <c r="T2048">
        <v>1</v>
      </c>
    </row>
    <row r="2049" spans="1:20" ht="16.5" x14ac:dyDescent="0.3">
      <c r="A2049" t="s">
        <v>2101</v>
      </c>
      <c r="B2049" s="1">
        <v>45596</v>
      </c>
      <c r="C2049">
        <v>2024</v>
      </c>
      <c r="D2049" t="s">
        <v>1873</v>
      </c>
      <c r="E2049" t="s">
        <v>1874</v>
      </c>
      <c r="F2049" t="s">
        <v>23</v>
      </c>
      <c r="G2049" t="s">
        <v>35</v>
      </c>
      <c r="H2049" t="s">
        <v>43</v>
      </c>
      <c r="I2049" t="s">
        <v>26</v>
      </c>
      <c r="J2049" t="s">
        <v>27</v>
      </c>
      <c r="K2049" t="s">
        <v>32</v>
      </c>
      <c r="L2049" s="2">
        <v>14.6</v>
      </c>
      <c r="M2049" s="3">
        <v>1194</v>
      </c>
      <c r="N2049">
        <v>5</v>
      </c>
      <c r="O2049">
        <v>5</v>
      </c>
      <c r="P2049">
        <v>1</v>
      </c>
      <c r="Q2049">
        <v>0</v>
      </c>
      <c r="R2049" s="4">
        <v>29.34</v>
      </c>
      <c r="S2049">
        <v>0</v>
      </c>
      <c r="T2049">
        <v>1</v>
      </c>
    </row>
    <row r="2050" spans="1:20" ht="16.5" x14ac:dyDescent="0.3">
      <c r="A2050" t="s">
        <v>2102</v>
      </c>
      <c r="B2050" s="1">
        <v>45596</v>
      </c>
      <c r="C2050">
        <v>2024</v>
      </c>
      <c r="D2050" t="s">
        <v>1873</v>
      </c>
      <c r="E2050" t="s">
        <v>1874</v>
      </c>
      <c r="F2050" t="s">
        <v>57</v>
      </c>
      <c r="G2050" t="s">
        <v>39</v>
      </c>
      <c r="H2050" t="s">
        <v>36</v>
      </c>
      <c r="I2050" t="s">
        <v>26</v>
      </c>
      <c r="J2050" t="s">
        <v>27</v>
      </c>
      <c r="K2050" t="s">
        <v>32</v>
      </c>
      <c r="L2050" s="2">
        <v>12.3</v>
      </c>
      <c r="M2050" s="3">
        <v>276</v>
      </c>
      <c r="N2050">
        <v>3</v>
      </c>
      <c r="O2050">
        <v>2</v>
      </c>
      <c r="P2050">
        <v>1</v>
      </c>
      <c r="Q2050">
        <v>0</v>
      </c>
      <c r="R2050" s="4">
        <v>15.67</v>
      </c>
      <c r="S2050">
        <v>0</v>
      </c>
      <c r="T2050">
        <v>1</v>
      </c>
    </row>
    <row r="2051" spans="1:20" ht="16.5" x14ac:dyDescent="0.3">
      <c r="A2051" t="s">
        <v>2103</v>
      </c>
      <c r="B2051" s="1">
        <v>45596</v>
      </c>
      <c r="C2051">
        <v>2024</v>
      </c>
      <c r="D2051" t="s">
        <v>1873</v>
      </c>
      <c r="E2051" t="s">
        <v>1874</v>
      </c>
      <c r="F2051" t="s">
        <v>38</v>
      </c>
      <c r="G2051" t="s">
        <v>39</v>
      </c>
      <c r="H2051" t="s">
        <v>48</v>
      </c>
      <c r="I2051" t="s">
        <v>26</v>
      </c>
      <c r="J2051" t="s">
        <v>27</v>
      </c>
      <c r="K2051" t="s">
        <v>28</v>
      </c>
      <c r="L2051" s="2">
        <v>61.9</v>
      </c>
      <c r="M2051" s="3">
        <v>574</v>
      </c>
      <c r="N2051">
        <v>4</v>
      </c>
      <c r="O2051">
        <v>4</v>
      </c>
      <c r="P2051">
        <v>1</v>
      </c>
      <c r="Q2051">
        <v>0</v>
      </c>
      <c r="R2051" s="4">
        <v>51.95</v>
      </c>
      <c r="S2051">
        <v>0</v>
      </c>
      <c r="T2051">
        <v>1</v>
      </c>
    </row>
    <row r="2052" spans="1:20" ht="16.5" x14ac:dyDescent="0.3">
      <c r="A2052" t="s">
        <v>2104</v>
      </c>
      <c r="B2052" s="1">
        <v>45596</v>
      </c>
      <c r="C2052">
        <v>2024</v>
      </c>
      <c r="D2052" t="s">
        <v>1873</v>
      </c>
      <c r="E2052" t="s">
        <v>1874</v>
      </c>
      <c r="F2052" t="s">
        <v>57</v>
      </c>
      <c r="G2052" t="s">
        <v>39</v>
      </c>
      <c r="H2052" t="s">
        <v>36</v>
      </c>
      <c r="I2052" t="s">
        <v>26</v>
      </c>
      <c r="J2052" t="s">
        <v>27</v>
      </c>
      <c r="K2052" t="s">
        <v>28</v>
      </c>
      <c r="L2052" s="2">
        <v>119.6</v>
      </c>
      <c r="M2052" s="3">
        <v>176</v>
      </c>
      <c r="N2052">
        <v>3</v>
      </c>
      <c r="O2052">
        <v>2</v>
      </c>
      <c r="P2052">
        <v>1</v>
      </c>
      <c r="Q2052">
        <v>0</v>
      </c>
      <c r="R2052" s="4">
        <v>66.900000000000006</v>
      </c>
      <c r="S2052">
        <v>0</v>
      </c>
      <c r="T2052">
        <v>1</v>
      </c>
    </row>
    <row r="2053" spans="1:20" ht="16.5" x14ac:dyDescent="0.3">
      <c r="A2053" t="s">
        <v>2105</v>
      </c>
      <c r="B2053" s="1">
        <v>45596</v>
      </c>
      <c r="C2053">
        <v>2024</v>
      </c>
      <c r="D2053" t="s">
        <v>1873</v>
      </c>
      <c r="E2053" t="s">
        <v>1874</v>
      </c>
      <c r="F2053" t="s">
        <v>57</v>
      </c>
      <c r="G2053" t="s">
        <v>39</v>
      </c>
      <c r="H2053" t="s">
        <v>36</v>
      </c>
      <c r="I2053" t="s">
        <v>40</v>
      </c>
      <c r="J2053" t="s">
        <v>27</v>
      </c>
      <c r="K2053" t="s">
        <v>32</v>
      </c>
      <c r="L2053" s="2">
        <v>2.8</v>
      </c>
      <c r="M2053" s="3">
        <v>279</v>
      </c>
      <c r="N2053">
        <v>1</v>
      </c>
      <c r="O2053">
        <v>1</v>
      </c>
      <c r="P2053">
        <v>1</v>
      </c>
      <c r="Q2053">
        <v>0</v>
      </c>
      <c r="R2053" s="4">
        <v>20.48</v>
      </c>
      <c r="S2053">
        <v>0</v>
      </c>
      <c r="T2053">
        <v>1</v>
      </c>
    </row>
    <row r="2054" spans="1:20" ht="16.5" x14ac:dyDescent="0.3">
      <c r="A2054" t="s">
        <v>2106</v>
      </c>
      <c r="B2054" s="1">
        <v>45596</v>
      </c>
      <c r="C2054">
        <v>2024</v>
      </c>
      <c r="D2054" t="s">
        <v>1873</v>
      </c>
      <c r="E2054" t="s">
        <v>1874</v>
      </c>
      <c r="F2054" t="s">
        <v>34</v>
      </c>
      <c r="G2054" t="s">
        <v>35</v>
      </c>
      <c r="H2054" t="s">
        <v>36</v>
      </c>
      <c r="I2054" t="s">
        <v>26</v>
      </c>
      <c r="J2054" t="s">
        <v>27</v>
      </c>
      <c r="K2054" t="s">
        <v>32</v>
      </c>
      <c r="L2054" s="2">
        <v>2.4</v>
      </c>
      <c r="M2054" s="3">
        <v>230</v>
      </c>
      <c r="N2054">
        <v>3</v>
      </c>
      <c r="O2054">
        <v>2</v>
      </c>
      <c r="P2054">
        <v>1</v>
      </c>
      <c r="Q2054">
        <v>0</v>
      </c>
      <c r="R2054" s="4">
        <v>9.34</v>
      </c>
      <c r="S2054">
        <v>0</v>
      </c>
      <c r="T2054">
        <v>1</v>
      </c>
    </row>
    <row r="2055" spans="1:20" ht="16.5" x14ac:dyDescent="0.3">
      <c r="A2055" t="s">
        <v>2107</v>
      </c>
      <c r="B2055" s="1">
        <v>45597</v>
      </c>
      <c r="C2055">
        <v>2024</v>
      </c>
      <c r="D2055" t="s">
        <v>1873</v>
      </c>
      <c r="E2055" t="s">
        <v>2108</v>
      </c>
      <c r="F2055" t="s">
        <v>23</v>
      </c>
      <c r="G2055" t="s">
        <v>35</v>
      </c>
      <c r="H2055" t="s">
        <v>51</v>
      </c>
      <c r="I2055" t="s">
        <v>31</v>
      </c>
      <c r="J2055" t="s">
        <v>27</v>
      </c>
      <c r="K2055" t="s">
        <v>28</v>
      </c>
      <c r="L2055" s="2">
        <v>53.2</v>
      </c>
      <c r="M2055" s="3">
        <v>1214</v>
      </c>
      <c r="N2055">
        <v>7</v>
      </c>
      <c r="O2055">
        <v>12</v>
      </c>
      <c r="P2055">
        <v>0</v>
      </c>
      <c r="Q2055">
        <v>5</v>
      </c>
      <c r="R2055" s="4">
        <v>35.92</v>
      </c>
      <c r="S2055">
        <v>0</v>
      </c>
      <c r="T2055">
        <v>1</v>
      </c>
    </row>
    <row r="2056" spans="1:20" ht="16.5" x14ac:dyDescent="0.3">
      <c r="A2056" t="s">
        <v>2109</v>
      </c>
      <c r="B2056" s="1">
        <v>45597</v>
      </c>
      <c r="C2056">
        <v>2024</v>
      </c>
      <c r="D2056" t="s">
        <v>1873</v>
      </c>
      <c r="E2056" t="s">
        <v>2108</v>
      </c>
      <c r="F2056" t="s">
        <v>23</v>
      </c>
      <c r="G2056" t="s">
        <v>35</v>
      </c>
      <c r="H2056" t="s">
        <v>36</v>
      </c>
      <c r="I2056" t="s">
        <v>31</v>
      </c>
      <c r="J2056" t="s">
        <v>27</v>
      </c>
      <c r="K2056" t="s">
        <v>32</v>
      </c>
      <c r="L2056" s="2">
        <v>10.9</v>
      </c>
      <c r="M2056" s="3">
        <v>200</v>
      </c>
      <c r="N2056">
        <v>5</v>
      </c>
      <c r="O2056">
        <v>4</v>
      </c>
      <c r="P2056">
        <v>1</v>
      </c>
      <c r="Q2056">
        <v>0</v>
      </c>
      <c r="R2056" s="4">
        <v>10.73</v>
      </c>
      <c r="S2056">
        <v>0</v>
      </c>
      <c r="T2056">
        <v>1</v>
      </c>
    </row>
    <row r="2057" spans="1:20" ht="16.5" x14ac:dyDescent="0.3">
      <c r="A2057" t="s">
        <v>2110</v>
      </c>
      <c r="B2057" s="1">
        <v>45597</v>
      </c>
      <c r="C2057">
        <v>2024</v>
      </c>
      <c r="D2057" t="s">
        <v>1873</v>
      </c>
      <c r="E2057" t="s">
        <v>2108</v>
      </c>
      <c r="F2057" t="s">
        <v>23</v>
      </c>
      <c r="G2057" t="s">
        <v>24</v>
      </c>
      <c r="H2057" t="s">
        <v>25</v>
      </c>
      <c r="I2057" t="s">
        <v>40</v>
      </c>
      <c r="J2057" t="s">
        <v>41</v>
      </c>
      <c r="K2057" t="s">
        <v>28</v>
      </c>
      <c r="L2057" s="2">
        <v>100.9</v>
      </c>
      <c r="M2057" s="3">
        <v>985</v>
      </c>
      <c r="N2057">
        <v>2</v>
      </c>
      <c r="O2057">
        <v>4</v>
      </c>
      <c r="P2057">
        <v>0</v>
      </c>
      <c r="Q2057">
        <v>2</v>
      </c>
      <c r="R2057" s="4">
        <v>196.98</v>
      </c>
      <c r="S2057">
        <v>0</v>
      </c>
      <c r="T2057">
        <v>1</v>
      </c>
    </row>
    <row r="2058" spans="1:20" ht="16.5" x14ac:dyDescent="0.3">
      <c r="A2058" t="s">
        <v>2111</v>
      </c>
      <c r="B2058" s="1">
        <v>45597</v>
      </c>
      <c r="C2058">
        <v>2024</v>
      </c>
      <c r="D2058" t="s">
        <v>1873</v>
      </c>
      <c r="E2058" t="s">
        <v>2108</v>
      </c>
      <c r="F2058" t="s">
        <v>57</v>
      </c>
      <c r="G2058" t="s">
        <v>35</v>
      </c>
      <c r="H2058" t="s">
        <v>48</v>
      </c>
      <c r="I2058" t="s">
        <v>40</v>
      </c>
      <c r="J2058" t="s">
        <v>27</v>
      </c>
      <c r="K2058" t="s">
        <v>28</v>
      </c>
      <c r="L2058" s="2">
        <v>135.30000000000001</v>
      </c>
      <c r="M2058" s="3">
        <v>463</v>
      </c>
      <c r="N2058">
        <v>2</v>
      </c>
      <c r="O2058">
        <v>2</v>
      </c>
      <c r="P2058">
        <v>1</v>
      </c>
      <c r="Q2058">
        <v>0</v>
      </c>
      <c r="R2058" s="4">
        <v>137.56</v>
      </c>
      <c r="S2058">
        <v>0</v>
      </c>
      <c r="T2058">
        <v>1</v>
      </c>
    </row>
    <row r="2059" spans="1:20" ht="16.5" x14ac:dyDescent="0.3">
      <c r="A2059" t="s">
        <v>2112</v>
      </c>
      <c r="B2059" s="1">
        <v>45597</v>
      </c>
      <c r="C2059">
        <v>2024</v>
      </c>
      <c r="D2059" t="s">
        <v>1873</v>
      </c>
      <c r="E2059" t="s">
        <v>2108</v>
      </c>
      <c r="F2059" t="s">
        <v>30</v>
      </c>
      <c r="G2059" t="s">
        <v>39</v>
      </c>
      <c r="H2059" t="s">
        <v>43</v>
      </c>
      <c r="I2059" t="s">
        <v>31</v>
      </c>
      <c r="J2059" t="s">
        <v>27</v>
      </c>
      <c r="K2059" t="s">
        <v>32</v>
      </c>
      <c r="L2059" s="2">
        <v>3.4</v>
      </c>
      <c r="M2059" s="3">
        <v>616</v>
      </c>
      <c r="N2059">
        <v>7</v>
      </c>
      <c r="O2059">
        <v>6</v>
      </c>
      <c r="P2059">
        <v>1</v>
      </c>
      <c r="Q2059">
        <v>0</v>
      </c>
      <c r="R2059" s="4">
        <v>11.59</v>
      </c>
      <c r="S2059">
        <v>0</v>
      </c>
      <c r="T2059">
        <v>1</v>
      </c>
    </row>
    <row r="2060" spans="1:20" ht="16.5" x14ac:dyDescent="0.3">
      <c r="A2060" t="s">
        <v>2113</v>
      </c>
      <c r="B2060" s="1">
        <v>45597</v>
      </c>
      <c r="C2060">
        <v>2024</v>
      </c>
      <c r="D2060" t="s">
        <v>1873</v>
      </c>
      <c r="E2060" t="s">
        <v>2108</v>
      </c>
      <c r="F2060" t="s">
        <v>34</v>
      </c>
      <c r="G2060" t="s">
        <v>39</v>
      </c>
      <c r="H2060" t="s">
        <v>36</v>
      </c>
      <c r="I2060" t="s">
        <v>40</v>
      </c>
      <c r="J2060" t="s">
        <v>27</v>
      </c>
      <c r="K2060" t="s">
        <v>32</v>
      </c>
      <c r="L2060" s="2">
        <v>5.7</v>
      </c>
      <c r="M2060" s="3">
        <v>248</v>
      </c>
      <c r="N2060">
        <v>1</v>
      </c>
      <c r="O2060">
        <v>1</v>
      </c>
      <c r="P2060">
        <v>1</v>
      </c>
      <c r="Q2060">
        <v>0</v>
      </c>
      <c r="R2060" s="4">
        <v>23.02</v>
      </c>
      <c r="S2060">
        <v>0</v>
      </c>
      <c r="T2060">
        <v>1</v>
      </c>
    </row>
    <row r="2061" spans="1:20" ht="16.5" x14ac:dyDescent="0.3">
      <c r="A2061" t="s">
        <v>2114</v>
      </c>
      <c r="B2061" s="1">
        <v>45597</v>
      </c>
      <c r="C2061">
        <v>2024</v>
      </c>
      <c r="D2061" t="s">
        <v>1873</v>
      </c>
      <c r="E2061" t="s">
        <v>2108</v>
      </c>
      <c r="F2061" t="s">
        <v>57</v>
      </c>
      <c r="G2061" t="s">
        <v>39</v>
      </c>
      <c r="H2061" t="s">
        <v>48</v>
      </c>
      <c r="I2061" t="s">
        <v>26</v>
      </c>
      <c r="J2061" t="s">
        <v>27</v>
      </c>
      <c r="K2061" t="s">
        <v>28</v>
      </c>
      <c r="L2061" s="2">
        <v>66.599999999999994</v>
      </c>
      <c r="M2061" s="3">
        <v>545</v>
      </c>
      <c r="N2061">
        <v>4</v>
      </c>
      <c r="O2061">
        <v>4</v>
      </c>
      <c r="P2061">
        <v>1</v>
      </c>
      <c r="Q2061">
        <v>0</v>
      </c>
      <c r="R2061" s="4">
        <v>43.34</v>
      </c>
      <c r="S2061">
        <v>0</v>
      </c>
      <c r="T2061">
        <v>1</v>
      </c>
    </row>
    <row r="2062" spans="1:20" ht="16.5" x14ac:dyDescent="0.3">
      <c r="A2062" t="s">
        <v>2115</v>
      </c>
      <c r="B2062" s="1">
        <v>45597</v>
      </c>
      <c r="C2062">
        <v>2024</v>
      </c>
      <c r="D2062" t="s">
        <v>1873</v>
      </c>
      <c r="E2062" t="s">
        <v>2108</v>
      </c>
      <c r="F2062" t="s">
        <v>30</v>
      </c>
      <c r="G2062" t="s">
        <v>35</v>
      </c>
      <c r="H2062" t="s">
        <v>51</v>
      </c>
      <c r="I2062" t="s">
        <v>26</v>
      </c>
      <c r="J2062" t="s">
        <v>27</v>
      </c>
      <c r="K2062" t="s">
        <v>32</v>
      </c>
      <c r="L2062" s="2">
        <v>0.7</v>
      </c>
      <c r="M2062" s="3">
        <v>1236</v>
      </c>
      <c r="N2062">
        <v>5</v>
      </c>
      <c r="O2062">
        <v>5</v>
      </c>
      <c r="P2062">
        <v>1</v>
      </c>
      <c r="Q2062">
        <v>0</v>
      </c>
      <c r="R2062" s="4">
        <v>22.74</v>
      </c>
      <c r="S2062">
        <v>0</v>
      </c>
      <c r="T2062">
        <v>1</v>
      </c>
    </row>
    <row r="2063" spans="1:20" ht="16.5" x14ac:dyDescent="0.3">
      <c r="A2063" t="s">
        <v>2116</v>
      </c>
      <c r="B2063" s="1">
        <v>45597</v>
      </c>
      <c r="C2063">
        <v>2024</v>
      </c>
      <c r="D2063" t="s">
        <v>1873</v>
      </c>
      <c r="E2063" t="s">
        <v>2108</v>
      </c>
      <c r="F2063" t="s">
        <v>38</v>
      </c>
      <c r="G2063" t="s">
        <v>39</v>
      </c>
      <c r="H2063" t="s">
        <v>36</v>
      </c>
      <c r="I2063" t="s">
        <v>31</v>
      </c>
      <c r="J2063" t="s">
        <v>27</v>
      </c>
      <c r="K2063" t="s">
        <v>32</v>
      </c>
      <c r="L2063" s="2">
        <v>3</v>
      </c>
      <c r="M2063" s="3">
        <v>211</v>
      </c>
      <c r="N2063">
        <v>5</v>
      </c>
      <c r="O2063">
        <v>5</v>
      </c>
      <c r="P2063">
        <v>1</v>
      </c>
      <c r="Q2063">
        <v>0</v>
      </c>
      <c r="R2063" s="4">
        <v>9.5</v>
      </c>
      <c r="S2063">
        <v>0</v>
      </c>
      <c r="T2063">
        <v>1</v>
      </c>
    </row>
    <row r="2064" spans="1:20" ht="16.5" x14ac:dyDescent="0.3">
      <c r="A2064" t="s">
        <v>2117</v>
      </c>
      <c r="B2064" s="1">
        <v>45597</v>
      </c>
      <c r="C2064">
        <v>2024</v>
      </c>
      <c r="D2064" t="s">
        <v>1873</v>
      </c>
      <c r="E2064" t="s">
        <v>2108</v>
      </c>
      <c r="F2064" t="s">
        <v>34</v>
      </c>
      <c r="G2064" t="s">
        <v>39</v>
      </c>
      <c r="H2064" t="s">
        <v>48</v>
      </c>
      <c r="I2064" t="s">
        <v>31</v>
      </c>
      <c r="J2064" t="s">
        <v>27</v>
      </c>
      <c r="K2064" t="s">
        <v>32</v>
      </c>
      <c r="L2064" s="2">
        <v>1.8</v>
      </c>
      <c r="M2064" s="3">
        <v>481</v>
      </c>
      <c r="N2064">
        <v>6</v>
      </c>
      <c r="O2064">
        <v>6</v>
      </c>
      <c r="P2064">
        <v>1</v>
      </c>
      <c r="Q2064">
        <v>0</v>
      </c>
      <c r="R2064" s="4">
        <v>7.31</v>
      </c>
      <c r="S2064">
        <v>0</v>
      </c>
      <c r="T2064">
        <v>1</v>
      </c>
    </row>
    <row r="2065" spans="1:20" ht="16.5" x14ac:dyDescent="0.3">
      <c r="A2065" t="s">
        <v>2118</v>
      </c>
      <c r="B2065" s="1">
        <v>45598</v>
      </c>
      <c r="C2065">
        <v>2024</v>
      </c>
      <c r="D2065" t="s">
        <v>1873</v>
      </c>
      <c r="E2065" t="s">
        <v>2108</v>
      </c>
      <c r="F2065" t="s">
        <v>38</v>
      </c>
      <c r="G2065" t="s">
        <v>24</v>
      </c>
      <c r="H2065" t="s">
        <v>36</v>
      </c>
      <c r="I2065" t="s">
        <v>26</v>
      </c>
      <c r="J2065" t="s">
        <v>27</v>
      </c>
      <c r="K2065" t="s">
        <v>32</v>
      </c>
      <c r="L2065" s="2">
        <v>1.3</v>
      </c>
      <c r="M2065" s="3">
        <v>285</v>
      </c>
      <c r="N2065">
        <v>3</v>
      </c>
      <c r="O2065">
        <v>3</v>
      </c>
      <c r="P2065">
        <v>1</v>
      </c>
      <c r="Q2065">
        <v>0</v>
      </c>
      <c r="R2065" s="4">
        <v>10.01</v>
      </c>
      <c r="S2065">
        <v>0</v>
      </c>
      <c r="T2065">
        <v>1</v>
      </c>
    </row>
    <row r="2066" spans="1:20" ht="16.5" x14ac:dyDescent="0.3">
      <c r="A2066" t="s">
        <v>2119</v>
      </c>
      <c r="B2066" s="1">
        <v>45598</v>
      </c>
      <c r="C2066">
        <v>2024</v>
      </c>
      <c r="D2066" t="s">
        <v>1873</v>
      </c>
      <c r="E2066" t="s">
        <v>2108</v>
      </c>
      <c r="F2066" t="s">
        <v>38</v>
      </c>
      <c r="G2066" t="s">
        <v>39</v>
      </c>
      <c r="H2066" t="s">
        <v>48</v>
      </c>
      <c r="I2066" t="s">
        <v>26</v>
      </c>
      <c r="J2066" t="s">
        <v>27</v>
      </c>
      <c r="K2066" t="s">
        <v>28</v>
      </c>
      <c r="L2066" s="2">
        <v>214.2</v>
      </c>
      <c r="M2066" s="3">
        <v>473</v>
      </c>
      <c r="N2066">
        <v>4</v>
      </c>
      <c r="O2066">
        <v>4</v>
      </c>
      <c r="P2066">
        <v>1</v>
      </c>
      <c r="Q2066">
        <v>0</v>
      </c>
      <c r="R2066" s="4">
        <v>97.58</v>
      </c>
      <c r="S2066">
        <v>0</v>
      </c>
      <c r="T2066">
        <v>1</v>
      </c>
    </row>
    <row r="2067" spans="1:20" ht="16.5" x14ac:dyDescent="0.3">
      <c r="A2067" t="s">
        <v>2120</v>
      </c>
      <c r="B2067" s="1">
        <v>45598</v>
      </c>
      <c r="C2067">
        <v>2024</v>
      </c>
      <c r="D2067" t="s">
        <v>1873</v>
      </c>
      <c r="E2067" t="s">
        <v>2108</v>
      </c>
      <c r="F2067" t="s">
        <v>38</v>
      </c>
      <c r="G2067" t="s">
        <v>24</v>
      </c>
      <c r="H2067" t="s">
        <v>25</v>
      </c>
      <c r="I2067" t="s">
        <v>26</v>
      </c>
      <c r="J2067" t="s">
        <v>27</v>
      </c>
      <c r="K2067" t="s">
        <v>32</v>
      </c>
      <c r="L2067" s="2">
        <v>7.7</v>
      </c>
      <c r="M2067" s="3">
        <v>891</v>
      </c>
      <c r="N2067">
        <v>4</v>
      </c>
      <c r="O2067">
        <v>4</v>
      </c>
      <c r="P2067">
        <v>1</v>
      </c>
      <c r="Q2067">
        <v>0</v>
      </c>
      <c r="R2067" s="4">
        <v>25.32</v>
      </c>
      <c r="S2067">
        <v>0</v>
      </c>
      <c r="T2067">
        <v>1</v>
      </c>
    </row>
    <row r="2068" spans="1:20" ht="16.5" x14ac:dyDescent="0.3">
      <c r="A2068" t="s">
        <v>2121</v>
      </c>
      <c r="B2068" s="1">
        <v>45598</v>
      </c>
      <c r="C2068">
        <v>2024</v>
      </c>
      <c r="D2068" t="s">
        <v>1873</v>
      </c>
      <c r="E2068" t="s">
        <v>2108</v>
      </c>
      <c r="F2068" t="s">
        <v>30</v>
      </c>
      <c r="G2068" t="s">
        <v>39</v>
      </c>
      <c r="H2068" t="s">
        <v>51</v>
      </c>
      <c r="I2068" t="s">
        <v>40</v>
      </c>
      <c r="J2068" t="s">
        <v>41</v>
      </c>
      <c r="K2068" t="s">
        <v>28</v>
      </c>
      <c r="L2068" s="2">
        <v>101.1</v>
      </c>
      <c r="M2068" s="3">
        <v>857</v>
      </c>
      <c r="N2068">
        <v>3</v>
      </c>
      <c r="O2068">
        <v>3</v>
      </c>
      <c r="P2068">
        <v>1</v>
      </c>
      <c r="Q2068">
        <v>0</v>
      </c>
      <c r="R2068" s="4">
        <v>184.33</v>
      </c>
      <c r="S2068">
        <v>0</v>
      </c>
      <c r="T2068">
        <v>1</v>
      </c>
    </row>
    <row r="2069" spans="1:20" ht="16.5" x14ac:dyDescent="0.3">
      <c r="A2069" t="s">
        <v>2122</v>
      </c>
      <c r="B2069" s="1">
        <v>45598</v>
      </c>
      <c r="C2069">
        <v>2024</v>
      </c>
      <c r="D2069" t="s">
        <v>1873</v>
      </c>
      <c r="E2069" t="s">
        <v>2108</v>
      </c>
      <c r="F2069" t="s">
        <v>38</v>
      </c>
      <c r="G2069" t="s">
        <v>35</v>
      </c>
      <c r="H2069" t="s">
        <v>51</v>
      </c>
      <c r="I2069" t="s">
        <v>26</v>
      </c>
      <c r="J2069" t="s">
        <v>27</v>
      </c>
      <c r="K2069" t="s">
        <v>32</v>
      </c>
      <c r="L2069" s="2">
        <v>2.9</v>
      </c>
      <c r="M2069" s="3">
        <v>1037</v>
      </c>
      <c r="N2069">
        <v>5</v>
      </c>
      <c r="O2069">
        <v>6</v>
      </c>
      <c r="P2069">
        <v>0</v>
      </c>
      <c r="Q2069">
        <v>1</v>
      </c>
      <c r="R2069" s="4">
        <v>23.16</v>
      </c>
      <c r="S2069">
        <v>0</v>
      </c>
      <c r="T2069">
        <v>1</v>
      </c>
    </row>
    <row r="2070" spans="1:20" ht="16.5" x14ac:dyDescent="0.3">
      <c r="A2070" t="s">
        <v>2123</v>
      </c>
      <c r="B2070" s="1">
        <v>45599</v>
      </c>
      <c r="C2070">
        <v>2024</v>
      </c>
      <c r="D2070" t="s">
        <v>1873</v>
      </c>
      <c r="E2070" t="s">
        <v>2108</v>
      </c>
      <c r="F2070" t="s">
        <v>38</v>
      </c>
      <c r="G2070" t="s">
        <v>39</v>
      </c>
      <c r="H2070" t="s">
        <v>25</v>
      </c>
      <c r="I2070" t="s">
        <v>26</v>
      </c>
      <c r="J2070" t="s">
        <v>27</v>
      </c>
      <c r="K2070" t="s">
        <v>32</v>
      </c>
      <c r="L2070" s="2">
        <v>12</v>
      </c>
      <c r="M2070" s="3">
        <v>837</v>
      </c>
      <c r="N2070">
        <v>4</v>
      </c>
      <c r="O2070">
        <v>3</v>
      </c>
      <c r="P2070">
        <v>1</v>
      </c>
      <c r="Q2070">
        <v>0</v>
      </c>
      <c r="R2070" s="4">
        <v>26.82</v>
      </c>
      <c r="S2070">
        <v>0</v>
      </c>
      <c r="T2070">
        <v>1</v>
      </c>
    </row>
    <row r="2071" spans="1:20" ht="16.5" x14ac:dyDescent="0.3">
      <c r="A2071" t="s">
        <v>2124</v>
      </c>
      <c r="B2071" s="1">
        <v>45599</v>
      </c>
      <c r="C2071">
        <v>2024</v>
      </c>
      <c r="D2071" t="s">
        <v>1873</v>
      </c>
      <c r="E2071" t="s">
        <v>2108</v>
      </c>
      <c r="F2071" t="s">
        <v>57</v>
      </c>
      <c r="G2071" t="s">
        <v>39</v>
      </c>
      <c r="H2071" t="s">
        <v>36</v>
      </c>
      <c r="I2071" t="s">
        <v>40</v>
      </c>
      <c r="J2071" t="s">
        <v>27</v>
      </c>
      <c r="K2071" t="s">
        <v>28</v>
      </c>
      <c r="L2071" s="2">
        <v>88.9</v>
      </c>
      <c r="M2071" s="3">
        <v>226</v>
      </c>
      <c r="N2071">
        <v>1</v>
      </c>
      <c r="O2071">
        <v>1</v>
      </c>
      <c r="P2071">
        <v>1</v>
      </c>
      <c r="Q2071">
        <v>0</v>
      </c>
      <c r="R2071" s="4">
        <v>103.84</v>
      </c>
      <c r="S2071">
        <v>0</v>
      </c>
      <c r="T2071">
        <v>1</v>
      </c>
    </row>
    <row r="2072" spans="1:20" ht="16.5" x14ac:dyDescent="0.3">
      <c r="A2072" t="s">
        <v>2125</v>
      </c>
      <c r="B2072" s="1">
        <v>45600</v>
      </c>
      <c r="C2072">
        <v>2024</v>
      </c>
      <c r="D2072" t="s">
        <v>1873</v>
      </c>
      <c r="E2072" t="s">
        <v>2108</v>
      </c>
      <c r="F2072" t="s">
        <v>34</v>
      </c>
      <c r="G2072" t="s">
        <v>35</v>
      </c>
      <c r="H2072" t="s">
        <v>25</v>
      </c>
      <c r="I2072" t="s">
        <v>26</v>
      </c>
      <c r="J2072" t="s">
        <v>27</v>
      </c>
      <c r="K2072" t="s">
        <v>32</v>
      </c>
      <c r="L2072" s="2">
        <v>5.4</v>
      </c>
      <c r="M2072" s="3">
        <v>1058</v>
      </c>
      <c r="N2072">
        <v>4</v>
      </c>
      <c r="O2072">
        <v>5</v>
      </c>
      <c r="P2072">
        <v>0</v>
      </c>
      <c r="Q2072">
        <v>1</v>
      </c>
      <c r="R2072" s="4">
        <v>18.22</v>
      </c>
      <c r="S2072">
        <v>0</v>
      </c>
      <c r="T2072">
        <v>1</v>
      </c>
    </row>
    <row r="2073" spans="1:20" ht="16.5" x14ac:dyDescent="0.3">
      <c r="A2073" t="s">
        <v>2126</v>
      </c>
      <c r="B2073" s="1">
        <v>45600</v>
      </c>
      <c r="C2073">
        <v>2024</v>
      </c>
      <c r="D2073" t="s">
        <v>1873</v>
      </c>
      <c r="E2073" t="s">
        <v>2108</v>
      </c>
      <c r="F2073" t="s">
        <v>30</v>
      </c>
      <c r="G2073" t="s">
        <v>35</v>
      </c>
      <c r="H2073" t="s">
        <v>36</v>
      </c>
      <c r="I2073" t="s">
        <v>40</v>
      </c>
      <c r="J2073" t="s">
        <v>27</v>
      </c>
      <c r="K2073" t="s">
        <v>28</v>
      </c>
      <c r="L2073" s="2">
        <v>162.6</v>
      </c>
      <c r="M2073" s="3">
        <v>235</v>
      </c>
      <c r="N2073">
        <v>1</v>
      </c>
      <c r="O2073">
        <v>1</v>
      </c>
      <c r="P2073">
        <v>1</v>
      </c>
      <c r="Q2073">
        <v>0</v>
      </c>
      <c r="R2073" s="4">
        <v>136.97999999999999</v>
      </c>
      <c r="S2073">
        <v>0</v>
      </c>
      <c r="T2073">
        <v>1</v>
      </c>
    </row>
    <row r="2074" spans="1:20" ht="16.5" x14ac:dyDescent="0.3">
      <c r="A2074" t="s">
        <v>2127</v>
      </c>
      <c r="B2074" s="1">
        <v>45600</v>
      </c>
      <c r="C2074">
        <v>2024</v>
      </c>
      <c r="D2074" t="s">
        <v>1873</v>
      </c>
      <c r="E2074" t="s">
        <v>2108</v>
      </c>
      <c r="F2074" t="s">
        <v>30</v>
      </c>
      <c r="G2074" t="s">
        <v>24</v>
      </c>
      <c r="H2074" t="s">
        <v>36</v>
      </c>
      <c r="I2074" t="s">
        <v>40</v>
      </c>
      <c r="J2074" t="s">
        <v>27</v>
      </c>
      <c r="K2074" t="s">
        <v>32</v>
      </c>
      <c r="L2074" s="2">
        <v>6</v>
      </c>
      <c r="M2074" s="3">
        <v>168</v>
      </c>
      <c r="N2074">
        <v>1</v>
      </c>
      <c r="O2074">
        <v>1</v>
      </c>
      <c r="P2074">
        <v>1</v>
      </c>
      <c r="Q2074">
        <v>0</v>
      </c>
      <c r="R2074" s="4">
        <v>23.37</v>
      </c>
      <c r="S2074">
        <v>0</v>
      </c>
      <c r="T2074">
        <v>1</v>
      </c>
    </row>
    <row r="2075" spans="1:20" ht="16.5" x14ac:dyDescent="0.3">
      <c r="A2075" t="s">
        <v>2128</v>
      </c>
      <c r="B2075" s="1">
        <v>45600</v>
      </c>
      <c r="C2075">
        <v>2024</v>
      </c>
      <c r="D2075" t="s">
        <v>1873</v>
      </c>
      <c r="E2075" t="s">
        <v>2108</v>
      </c>
      <c r="F2075" t="s">
        <v>38</v>
      </c>
      <c r="G2075" t="s">
        <v>39</v>
      </c>
      <c r="H2075" t="s">
        <v>43</v>
      </c>
      <c r="I2075" t="s">
        <v>26</v>
      </c>
      <c r="J2075" t="s">
        <v>27</v>
      </c>
      <c r="K2075" t="s">
        <v>32</v>
      </c>
      <c r="L2075" s="2">
        <v>3.3</v>
      </c>
      <c r="M2075" s="3">
        <v>1156</v>
      </c>
      <c r="N2075">
        <v>5</v>
      </c>
      <c r="O2075">
        <v>5</v>
      </c>
      <c r="P2075">
        <v>1</v>
      </c>
      <c r="Q2075">
        <v>0</v>
      </c>
      <c r="R2075" s="4">
        <v>26.51</v>
      </c>
      <c r="S2075">
        <v>0</v>
      </c>
      <c r="T2075">
        <v>1</v>
      </c>
    </row>
    <row r="2076" spans="1:20" ht="16.5" x14ac:dyDescent="0.3">
      <c r="A2076" t="s">
        <v>2129</v>
      </c>
      <c r="B2076" s="1">
        <v>45600</v>
      </c>
      <c r="C2076">
        <v>2024</v>
      </c>
      <c r="D2076" t="s">
        <v>1873</v>
      </c>
      <c r="E2076" t="s">
        <v>2108</v>
      </c>
      <c r="F2076" t="s">
        <v>38</v>
      </c>
      <c r="G2076" t="s">
        <v>24</v>
      </c>
      <c r="H2076" t="s">
        <v>48</v>
      </c>
      <c r="I2076" t="s">
        <v>40</v>
      </c>
      <c r="J2076" t="s">
        <v>27</v>
      </c>
      <c r="K2076" t="s">
        <v>28</v>
      </c>
      <c r="L2076" s="2">
        <v>18</v>
      </c>
      <c r="M2076" s="3">
        <v>347</v>
      </c>
      <c r="N2076">
        <v>2</v>
      </c>
      <c r="O2076">
        <v>2</v>
      </c>
      <c r="P2076">
        <v>1</v>
      </c>
      <c r="Q2076">
        <v>0</v>
      </c>
      <c r="R2076" s="4">
        <v>39.79</v>
      </c>
      <c r="S2076">
        <v>0</v>
      </c>
      <c r="T2076">
        <v>1</v>
      </c>
    </row>
    <row r="2077" spans="1:20" ht="16.5" x14ac:dyDescent="0.3">
      <c r="A2077" t="s">
        <v>2130</v>
      </c>
      <c r="B2077" s="1">
        <v>45600</v>
      </c>
      <c r="C2077">
        <v>2024</v>
      </c>
      <c r="D2077" t="s">
        <v>1873</v>
      </c>
      <c r="E2077" t="s">
        <v>2108</v>
      </c>
      <c r="F2077" t="s">
        <v>30</v>
      </c>
      <c r="G2077" t="s">
        <v>39</v>
      </c>
      <c r="H2077" t="s">
        <v>48</v>
      </c>
      <c r="I2077" t="s">
        <v>26</v>
      </c>
      <c r="J2077" t="s">
        <v>27</v>
      </c>
      <c r="K2077" t="s">
        <v>32</v>
      </c>
      <c r="L2077" s="2">
        <v>3</v>
      </c>
      <c r="M2077" s="3">
        <v>493</v>
      </c>
      <c r="N2077">
        <v>4</v>
      </c>
      <c r="O2077">
        <v>4</v>
      </c>
      <c r="P2077">
        <v>1</v>
      </c>
      <c r="Q2077">
        <v>0</v>
      </c>
      <c r="R2077" s="4">
        <v>13.98</v>
      </c>
      <c r="S2077">
        <v>0</v>
      </c>
      <c r="T2077">
        <v>1</v>
      </c>
    </row>
    <row r="2078" spans="1:20" ht="16.5" x14ac:dyDescent="0.3">
      <c r="A2078" t="s">
        <v>2131</v>
      </c>
      <c r="B2078" s="1">
        <v>45600</v>
      </c>
      <c r="C2078">
        <v>2024</v>
      </c>
      <c r="D2078" t="s">
        <v>1873</v>
      </c>
      <c r="E2078" t="s">
        <v>2108</v>
      </c>
      <c r="F2078" t="s">
        <v>38</v>
      </c>
      <c r="G2078" t="s">
        <v>39</v>
      </c>
      <c r="H2078" t="s">
        <v>25</v>
      </c>
      <c r="I2078" t="s">
        <v>26</v>
      </c>
      <c r="J2078" t="s">
        <v>27</v>
      </c>
      <c r="K2078" t="s">
        <v>32</v>
      </c>
      <c r="L2078" s="2">
        <v>1.2</v>
      </c>
      <c r="M2078" s="3">
        <v>1217</v>
      </c>
      <c r="N2078">
        <v>4</v>
      </c>
      <c r="O2078">
        <v>4</v>
      </c>
      <c r="P2078">
        <v>1</v>
      </c>
      <c r="Q2078">
        <v>0</v>
      </c>
      <c r="R2078" s="4">
        <v>24.62</v>
      </c>
      <c r="S2078">
        <v>0</v>
      </c>
      <c r="T2078">
        <v>1</v>
      </c>
    </row>
    <row r="2079" spans="1:20" ht="16.5" x14ac:dyDescent="0.3">
      <c r="A2079" t="s">
        <v>2132</v>
      </c>
      <c r="B2079" s="1">
        <v>45600</v>
      </c>
      <c r="C2079">
        <v>2024</v>
      </c>
      <c r="D2079" t="s">
        <v>1873</v>
      </c>
      <c r="E2079" t="s">
        <v>2108</v>
      </c>
      <c r="F2079" t="s">
        <v>30</v>
      </c>
      <c r="G2079" t="s">
        <v>35</v>
      </c>
      <c r="H2079" t="s">
        <v>36</v>
      </c>
      <c r="I2079" t="s">
        <v>40</v>
      </c>
      <c r="J2079" t="s">
        <v>27</v>
      </c>
      <c r="K2079" t="s">
        <v>28</v>
      </c>
      <c r="L2079" s="2">
        <v>162.9</v>
      </c>
      <c r="M2079" s="3">
        <v>280</v>
      </c>
      <c r="N2079">
        <v>1</v>
      </c>
      <c r="O2079">
        <v>1</v>
      </c>
      <c r="P2079">
        <v>1</v>
      </c>
      <c r="Q2079">
        <v>0</v>
      </c>
      <c r="R2079" s="4">
        <v>145.78</v>
      </c>
      <c r="S2079">
        <v>0</v>
      </c>
      <c r="T2079">
        <v>1</v>
      </c>
    </row>
    <row r="2080" spans="1:20" ht="16.5" x14ac:dyDescent="0.3">
      <c r="A2080" t="s">
        <v>2133</v>
      </c>
      <c r="B2080" s="1">
        <v>45600</v>
      </c>
      <c r="C2080">
        <v>2024</v>
      </c>
      <c r="D2080" t="s">
        <v>1873</v>
      </c>
      <c r="E2080" t="s">
        <v>2108</v>
      </c>
      <c r="F2080" t="s">
        <v>34</v>
      </c>
      <c r="G2080" t="s">
        <v>39</v>
      </c>
      <c r="H2080" t="s">
        <v>48</v>
      </c>
      <c r="I2080" t="s">
        <v>26</v>
      </c>
      <c r="J2080" t="s">
        <v>27</v>
      </c>
      <c r="K2080" t="s">
        <v>32</v>
      </c>
      <c r="L2080" s="2">
        <v>16.600000000000001</v>
      </c>
      <c r="M2080" s="3">
        <v>438</v>
      </c>
      <c r="N2080">
        <v>4</v>
      </c>
      <c r="O2080">
        <v>3</v>
      </c>
      <c r="P2080">
        <v>1</v>
      </c>
      <c r="Q2080">
        <v>0</v>
      </c>
      <c r="R2080" s="4">
        <v>18.940000000000001</v>
      </c>
      <c r="S2080">
        <v>0</v>
      </c>
      <c r="T2080">
        <v>1</v>
      </c>
    </row>
    <row r="2081" spans="1:20" ht="16.5" x14ac:dyDescent="0.3">
      <c r="A2081" t="s">
        <v>2134</v>
      </c>
      <c r="B2081" s="1">
        <v>45601</v>
      </c>
      <c r="C2081">
        <v>2024</v>
      </c>
      <c r="D2081" t="s">
        <v>1873</v>
      </c>
      <c r="E2081" t="s">
        <v>2108</v>
      </c>
      <c r="F2081" t="s">
        <v>23</v>
      </c>
      <c r="G2081" t="s">
        <v>39</v>
      </c>
      <c r="H2081" t="s">
        <v>48</v>
      </c>
      <c r="I2081" t="s">
        <v>31</v>
      </c>
      <c r="J2081" t="s">
        <v>27</v>
      </c>
      <c r="K2081" t="s">
        <v>28</v>
      </c>
      <c r="L2081" s="2">
        <v>176.2</v>
      </c>
      <c r="M2081" s="3">
        <v>508</v>
      </c>
      <c r="N2081">
        <v>6</v>
      </c>
      <c r="O2081">
        <v>10</v>
      </c>
      <c r="P2081">
        <v>0</v>
      </c>
      <c r="Q2081">
        <v>4</v>
      </c>
      <c r="R2081" s="4">
        <v>57.83</v>
      </c>
      <c r="S2081">
        <v>0</v>
      </c>
      <c r="T2081">
        <v>1</v>
      </c>
    </row>
    <row r="2082" spans="1:20" ht="16.5" x14ac:dyDescent="0.3">
      <c r="A2082" t="s">
        <v>2135</v>
      </c>
      <c r="B2082" s="1">
        <v>45601</v>
      </c>
      <c r="C2082">
        <v>2024</v>
      </c>
      <c r="D2082" t="s">
        <v>1873</v>
      </c>
      <c r="E2082" t="s">
        <v>2108</v>
      </c>
      <c r="F2082" t="s">
        <v>57</v>
      </c>
      <c r="G2082" t="s">
        <v>39</v>
      </c>
      <c r="H2082" t="s">
        <v>25</v>
      </c>
      <c r="I2082" t="s">
        <v>40</v>
      </c>
      <c r="J2082" t="s">
        <v>41</v>
      </c>
      <c r="K2082" t="s">
        <v>32</v>
      </c>
      <c r="L2082" s="2">
        <v>14.4</v>
      </c>
      <c r="M2082" s="3">
        <v>801</v>
      </c>
      <c r="N2082">
        <v>2</v>
      </c>
      <c r="O2082">
        <v>2</v>
      </c>
      <c r="P2082">
        <v>1</v>
      </c>
      <c r="Q2082">
        <v>0</v>
      </c>
      <c r="R2082" s="4">
        <v>77.510000000000005</v>
      </c>
      <c r="S2082">
        <v>0</v>
      </c>
      <c r="T2082">
        <v>1</v>
      </c>
    </row>
    <row r="2083" spans="1:20" ht="16.5" x14ac:dyDescent="0.3">
      <c r="A2083" t="s">
        <v>2136</v>
      </c>
      <c r="B2083" s="1">
        <v>45601</v>
      </c>
      <c r="C2083">
        <v>2024</v>
      </c>
      <c r="D2083" t="s">
        <v>1873</v>
      </c>
      <c r="E2083" t="s">
        <v>2108</v>
      </c>
      <c r="F2083" t="s">
        <v>34</v>
      </c>
      <c r="G2083" t="s">
        <v>35</v>
      </c>
      <c r="H2083" t="s">
        <v>48</v>
      </c>
      <c r="I2083" t="s">
        <v>26</v>
      </c>
      <c r="J2083" t="s">
        <v>27</v>
      </c>
      <c r="K2083" t="s">
        <v>28</v>
      </c>
      <c r="L2083" s="2">
        <v>113.7</v>
      </c>
      <c r="M2083" s="3">
        <v>599</v>
      </c>
      <c r="N2083">
        <v>4</v>
      </c>
      <c r="O2083">
        <v>4</v>
      </c>
      <c r="P2083">
        <v>1</v>
      </c>
      <c r="Q2083">
        <v>0</v>
      </c>
      <c r="R2083" s="4">
        <v>57.91</v>
      </c>
      <c r="S2083">
        <v>0</v>
      </c>
      <c r="T2083">
        <v>1</v>
      </c>
    </row>
    <row r="2084" spans="1:20" ht="16.5" x14ac:dyDescent="0.3">
      <c r="A2084" t="s">
        <v>2137</v>
      </c>
      <c r="B2084" s="1">
        <v>45601</v>
      </c>
      <c r="C2084">
        <v>2024</v>
      </c>
      <c r="D2084" t="s">
        <v>1873</v>
      </c>
      <c r="E2084" t="s">
        <v>2108</v>
      </c>
      <c r="F2084" t="s">
        <v>34</v>
      </c>
      <c r="G2084" t="s">
        <v>35</v>
      </c>
      <c r="H2084" t="s">
        <v>48</v>
      </c>
      <c r="I2084" t="s">
        <v>26</v>
      </c>
      <c r="J2084" t="s">
        <v>27</v>
      </c>
      <c r="K2084" t="s">
        <v>32</v>
      </c>
      <c r="L2084" s="2">
        <v>8</v>
      </c>
      <c r="M2084" s="3">
        <v>535</v>
      </c>
      <c r="N2084">
        <v>4</v>
      </c>
      <c r="O2084">
        <v>3</v>
      </c>
      <c r="P2084">
        <v>1</v>
      </c>
      <c r="Q2084">
        <v>0</v>
      </c>
      <c r="R2084" s="4">
        <v>15.22</v>
      </c>
      <c r="S2084">
        <v>0</v>
      </c>
      <c r="T2084">
        <v>1</v>
      </c>
    </row>
    <row r="2085" spans="1:20" ht="16.5" x14ac:dyDescent="0.3">
      <c r="A2085" t="s">
        <v>2138</v>
      </c>
      <c r="B2085" s="1">
        <v>45601</v>
      </c>
      <c r="C2085">
        <v>2024</v>
      </c>
      <c r="D2085" t="s">
        <v>1873</v>
      </c>
      <c r="E2085" t="s">
        <v>2108</v>
      </c>
      <c r="F2085" t="s">
        <v>38</v>
      </c>
      <c r="G2085" t="s">
        <v>35</v>
      </c>
      <c r="H2085" t="s">
        <v>48</v>
      </c>
      <c r="I2085" t="s">
        <v>31</v>
      </c>
      <c r="J2085" t="s">
        <v>27</v>
      </c>
      <c r="K2085" t="s">
        <v>32</v>
      </c>
      <c r="L2085" s="2">
        <v>8.5</v>
      </c>
      <c r="M2085" s="3">
        <v>452</v>
      </c>
      <c r="N2085">
        <v>6</v>
      </c>
      <c r="O2085">
        <v>5</v>
      </c>
      <c r="P2085">
        <v>1</v>
      </c>
      <c r="Q2085">
        <v>0</v>
      </c>
      <c r="R2085" s="4">
        <v>14.23</v>
      </c>
      <c r="S2085">
        <v>0</v>
      </c>
      <c r="T2085">
        <v>1</v>
      </c>
    </row>
    <row r="2086" spans="1:20" ht="16.5" x14ac:dyDescent="0.3">
      <c r="A2086" t="s">
        <v>2139</v>
      </c>
      <c r="B2086" s="1">
        <v>45601</v>
      </c>
      <c r="C2086">
        <v>2024</v>
      </c>
      <c r="D2086" t="s">
        <v>1873</v>
      </c>
      <c r="E2086" t="s">
        <v>2108</v>
      </c>
      <c r="F2086" t="s">
        <v>23</v>
      </c>
      <c r="G2086" t="s">
        <v>24</v>
      </c>
      <c r="H2086" t="s">
        <v>25</v>
      </c>
      <c r="I2086" t="s">
        <v>26</v>
      </c>
      <c r="J2086" t="s">
        <v>27</v>
      </c>
      <c r="K2086" t="s">
        <v>28</v>
      </c>
      <c r="L2086" s="2">
        <v>108.5</v>
      </c>
      <c r="M2086" s="3">
        <v>926</v>
      </c>
      <c r="N2086">
        <v>4</v>
      </c>
      <c r="O2086">
        <v>4</v>
      </c>
      <c r="P2086">
        <v>1</v>
      </c>
      <c r="Q2086">
        <v>0</v>
      </c>
      <c r="R2086" s="4">
        <v>63.71</v>
      </c>
      <c r="S2086">
        <v>0</v>
      </c>
      <c r="T2086">
        <v>1</v>
      </c>
    </row>
    <row r="2087" spans="1:20" ht="16.5" x14ac:dyDescent="0.3">
      <c r="A2087" t="s">
        <v>2140</v>
      </c>
      <c r="B2087" s="1">
        <v>45601</v>
      </c>
      <c r="C2087">
        <v>2024</v>
      </c>
      <c r="D2087" t="s">
        <v>1873</v>
      </c>
      <c r="E2087" t="s">
        <v>2108</v>
      </c>
      <c r="F2087" t="s">
        <v>57</v>
      </c>
      <c r="G2087" t="s">
        <v>35</v>
      </c>
      <c r="H2087" t="s">
        <v>36</v>
      </c>
      <c r="I2087" t="s">
        <v>26</v>
      </c>
      <c r="J2087" t="s">
        <v>27</v>
      </c>
      <c r="K2087" t="s">
        <v>28</v>
      </c>
      <c r="L2087" s="2">
        <v>174.4</v>
      </c>
      <c r="M2087" s="3">
        <v>314</v>
      </c>
      <c r="N2087">
        <v>3</v>
      </c>
      <c r="O2087">
        <v>3</v>
      </c>
      <c r="P2087">
        <v>1</v>
      </c>
      <c r="Q2087">
        <v>0</v>
      </c>
      <c r="R2087" s="4">
        <v>80.989999999999995</v>
      </c>
      <c r="S2087">
        <v>0</v>
      </c>
      <c r="T2087">
        <v>1</v>
      </c>
    </row>
    <row r="2088" spans="1:20" ht="16.5" x14ac:dyDescent="0.3">
      <c r="A2088" t="s">
        <v>2141</v>
      </c>
      <c r="B2088" s="1">
        <v>45602</v>
      </c>
      <c r="C2088">
        <v>2024</v>
      </c>
      <c r="D2088" t="s">
        <v>1873</v>
      </c>
      <c r="E2088" t="s">
        <v>2108</v>
      </c>
      <c r="F2088" t="s">
        <v>34</v>
      </c>
      <c r="G2088" t="s">
        <v>39</v>
      </c>
      <c r="H2088" t="s">
        <v>36</v>
      </c>
      <c r="I2088" t="s">
        <v>26</v>
      </c>
      <c r="J2088" t="s">
        <v>27</v>
      </c>
      <c r="K2088" t="s">
        <v>32</v>
      </c>
      <c r="L2088" s="2">
        <v>3.3</v>
      </c>
      <c r="M2088" s="3">
        <v>275</v>
      </c>
      <c r="N2088">
        <v>3</v>
      </c>
      <c r="O2088">
        <v>3</v>
      </c>
      <c r="P2088">
        <v>1</v>
      </c>
      <c r="Q2088">
        <v>0</v>
      </c>
      <c r="R2088" s="4">
        <v>9.43</v>
      </c>
      <c r="S2088">
        <v>0</v>
      </c>
      <c r="T2088">
        <v>1</v>
      </c>
    </row>
    <row r="2089" spans="1:20" ht="16.5" x14ac:dyDescent="0.3">
      <c r="A2089" t="s">
        <v>2142</v>
      </c>
      <c r="B2089" s="1">
        <v>45602</v>
      </c>
      <c r="C2089">
        <v>2024</v>
      </c>
      <c r="D2089" t="s">
        <v>1873</v>
      </c>
      <c r="E2089" t="s">
        <v>2108</v>
      </c>
      <c r="F2089" t="s">
        <v>23</v>
      </c>
      <c r="G2089" t="s">
        <v>24</v>
      </c>
      <c r="H2089" t="s">
        <v>43</v>
      </c>
      <c r="I2089" t="s">
        <v>40</v>
      </c>
      <c r="J2089" t="s">
        <v>41</v>
      </c>
      <c r="K2089" t="s">
        <v>32</v>
      </c>
      <c r="L2089" s="2">
        <v>1.4</v>
      </c>
      <c r="M2089" s="3">
        <v>941</v>
      </c>
      <c r="N2089">
        <v>3</v>
      </c>
      <c r="O2089">
        <v>3</v>
      </c>
      <c r="P2089">
        <v>1</v>
      </c>
      <c r="Q2089">
        <v>0</v>
      </c>
      <c r="R2089" s="4">
        <v>53.42</v>
      </c>
      <c r="S2089">
        <v>0</v>
      </c>
      <c r="T2089">
        <v>1</v>
      </c>
    </row>
    <row r="2090" spans="1:20" ht="16.5" x14ac:dyDescent="0.3">
      <c r="A2090" t="s">
        <v>2143</v>
      </c>
      <c r="B2090" s="1">
        <v>45602</v>
      </c>
      <c r="C2090">
        <v>2024</v>
      </c>
      <c r="D2090" t="s">
        <v>1873</v>
      </c>
      <c r="E2090" t="s">
        <v>2108</v>
      </c>
      <c r="F2090" t="s">
        <v>38</v>
      </c>
      <c r="G2090" t="s">
        <v>24</v>
      </c>
      <c r="H2090" t="s">
        <v>36</v>
      </c>
      <c r="I2090" t="s">
        <v>26</v>
      </c>
      <c r="J2090" t="s">
        <v>27</v>
      </c>
      <c r="K2090" t="s">
        <v>32</v>
      </c>
      <c r="L2090" s="2">
        <v>2.2999999999999998</v>
      </c>
      <c r="M2090" s="3">
        <v>275</v>
      </c>
      <c r="N2090">
        <v>3</v>
      </c>
      <c r="O2090">
        <v>3</v>
      </c>
      <c r="P2090">
        <v>1</v>
      </c>
      <c r="Q2090">
        <v>0</v>
      </c>
      <c r="R2090" s="4">
        <v>12.67</v>
      </c>
      <c r="S2090">
        <v>0</v>
      </c>
      <c r="T2090">
        <v>1</v>
      </c>
    </row>
    <row r="2091" spans="1:20" ht="16.5" x14ac:dyDescent="0.3">
      <c r="A2091" t="s">
        <v>2144</v>
      </c>
      <c r="B2091" s="1">
        <v>45602</v>
      </c>
      <c r="C2091">
        <v>2024</v>
      </c>
      <c r="D2091" t="s">
        <v>1873</v>
      </c>
      <c r="E2091" t="s">
        <v>2108</v>
      </c>
      <c r="F2091" t="s">
        <v>23</v>
      </c>
      <c r="G2091" t="s">
        <v>35</v>
      </c>
      <c r="H2091" t="s">
        <v>51</v>
      </c>
      <c r="I2091" t="s">
        <v>31</v>
      </c>
      <c r="J2091" t="s">
        <v>27</v>
      </c>
      <c r="K2091" t="s">
        <v>32</v>
      </c>
      <c r="L2091" s="2">
        <v>2.9</v>
      </c>
      <c r="M2091" s="3">
        <v>1158</v>
      </c>
      <c r="N2091">
        <v>7</v>
      </c>
      <c r="O2091">
        <v>9</v>
      </c>
      <c r="P2091">
        <v>0</v>
      </c>
      <c r="Q2091">
        <v>2</v>
      </c>
      <c r="R2091" s="4">
        <v>13.74</v>
      </c>
      <c r="S2091">
        <v>0</v>
      </c>
      <c r="T2091">
        <v>1</v>
      </c>
    </row>
    <row r="2092" spans="1:20" ht="16.5" x14ac:dyDescent="0.3">
      <c r="A2092" t="s">
        <v>2145</v>
      </c>
      <c r="B2092" s="1">
        <v>45602</v>
      </c>
      <c r="C2092">
        <v>2024</v>
      </c>
      <c r="D2092" t="s">
        <v>1873</v>
      </c>
      <c r="E2092" t="s">
        <v>2108</v>
      </c>
      <c r="F2092" t="s">
        <v>30</v>
      </c>
      <c r="G2092" t="s">
        <v>24</v>
      </c>
      <c r="H2092" t="s">
        <v>36</v>
      </c>
      <c r="I2092" t="s">
        <v>26</v>
      </c>
      <c r="J2092" t="s">
        <v>27</v>
      </c>
      <c r="K2092" t="s">
        <v>32</v>
      </c>
      <c r="L2092" s="2">
        <v>3.4</v>
      </c>
      <c r="M2092" s="3">
        <v>307</v>
      </c>
      <c r="N2092">
        <v>3</v>
      </c>
      <c r="O2092">
        <v>3</v>
      </c>
      <c r="P2092">
        <v>1</v>
      </c>
      <c r="Q2092">
        <v>0</v>
      </c>
      <c r="R2092" s="4">
        <v>13.62</v>
      </c>
      <c r="S2092">
        <v>0</v>
      </c>
      <c r="T2092">
        <v>1</v>
      </c>
    </row>
    <row r="2093" spans="1:20" ht="16.5" x14ac:dyDescent="0.3">
      <c r="A2093" t="s">
        <v>2146</v>
      </c>
      <c r="B2093" s="1">
        <v>45602</v>
      </c>
      <c r="C2093">
        <v>2024</v>
      </c>
      <c r="D2093" t="s">
        <v>1873</v>
      </c>
      <c r="E2093" t="s">
        <v>2108</v>
      </c>
      <c r="F2093" t="s">
        <v>57</v>
      </c>
      <c r="G2093" t="s">
        <v>35</v>
      </c>
      <c r="H2093" t="s">
        <v>48</v>
      </c>
      <c r="I2093" t="s">
        <v>31</v>
      </c>
      <c r="J2093" t="s">
        <v>27</v>
      </c>
      <c r="K2093" t="s">
        <v>28</v>
      </c>
      <c r="L2093" s="2">
        <v>249.1</v>
      </c>
      <c r="M2093" s="3">
        <v>526</v>
      </c>
      <c r="N2093">
        <v>6</v>
      </c>
      <c r="O2093">
        <v>6</v>
      </c>
      <c r="P2093">
        <v>1</v>
      </c>
      <c r="Q2093">
        <v>0</v>
      </c>
      <c r="R2093" s="4">
        <v>79.2</v>
      </c>
      <c r="S2093">
        <v>0</v>
      </c>
      <c r="T2093">
        <v>1</v>
      </c>
    </row>
    <row r="2094" spans="1:20" ht="16.5" x14ac:dyDescent="0.3">
      <c r="A2094" t="s">
        <v>2147</v>
      </c>
      <c r="B2094" s="1">
        <v>45602</v>
      </c>
      <c r="C2094">
        <v>2024</v>
      </c>
      <c r="D2094" t="s">
        <v>1873</v>
      </c>
      <c r="E2094" t="s">
        <v>2108</v>
      </c>
      <c r="F2094" t="s">
        <v>57</v>
      </c>
      <c r="G2094" t="s">
        <v>39</v>
      </c>
      <c r="H2094" t="s">
        <v>48</v>
      </c>
      <c r="I2094" t="s">
        <v>26</v>
      </c>
      <c r="J2094" t="s">
        <v>27</v>
      </c>
      <c r="K2094" t="s">
        <v>32</v>
      </c>
      <c r="L2094" s="2">
        <v>13.9</v>
      </c>
      <c r="M2094" s="3">
        <v>383</v>
      </c>
      <c r="N2094">
        <v>4</v>
      </c>
      <c r="O2094">
        <v>4</v>
      </c>
      <c r="P2094">
        <v>1</v>
      </c>
      <c r="Q2094">
        <v>0</v>
      </c>
      <c r="R2094" s="4">
        <v>19.27</v>
      </c>
      <c r="S2094">
        <v>0</v>
      </c>
      <c r="T2094">
        <v>1</v>
      </c>
    </row>
    <row r="2095" spans="1:20" ht="16.5" x14ac:dyDescent="0.3">
      <c r="A2095" t="s">
        <v>2148</v>
      </c>
      <c r="B2095" s="1">
        <v>45602</v>
      </c>
      <c r="C2095">
        <v>2024</v>
      </c>
      <c r="D2095" t="s">
        <v>1873</v>
      </c>
      <c r="E2095" t="s">
        <v>2108</v>
      </c>
      <c r="F2095" t="s">
        <v>23</v>
      </c>
      <c r="G2095" t="s">
        <v>24</v>
      </c>
      <c r="H2095" t="s">
        <v>36</v>
      </c>
      <c r="I2095" t="s">
        <v>26</v>
      </c>
      <c r="J2095" t="s">
        <v>27</v>
      </c>
      <c r="K2095" t="s">
        <v>32</v>
      </c>
      <c r="L2095" s="2">
        <v>5.7</v>
      </c>
      <c r="M2095" s="3">
        <v>280</v>
      </c>
      <c r="N2095">
        <v>3</v>
      </c>
      <c r="O2095">
        <v>4</v>
      </c>
      <c r="P2095">
        <v>0</v>
      </c>
      <c r="Q2095">
        <v>1</v>
      </c>
      <c r="R2095" s="4">
        <v>12.51</v>
      </c>
      <c r="S2095">
        <v>0</v>
      </c>
      <c r="T2095">
        <v>1</v>
      </c>
    </row>
    <row r="2096" spans="1:20" ht="16.5" x14ac:dyDescent="0.3">
      <c r="A2096" t="s">
        <v>2149</v>
      </c>
      <c r="B2096" s="1">
        <v>45602</v>
      </c>
      <c r="C2096">
        <v>2024</v>
      </c>
      <c r="D2096" t="s">
        <v>1873</v>
      </c>
      <c r="E2096" t="s">
        <v>2108</v>
      </c>
      <c r="F2096" t="s">
        <v>34</v>
      </c>
      <c r="G2096" t="s">
        <v>35</v>
      </c>
      <c r="H2096" t="s">
        <v>36</v>
      </c>
      <c r="I2096" t="s">
        <v>26</v>
      </c>
      <c r="J2096" t="s">
        <v>27</v>
      </c>
      <c r="K2096" t="s">
        <v>32</v>
      </c>
      <c r="L2096" s="2">
        <v>4.5</v>
      </c>
      <c r="M2096" s="3">
        <v>218</v>
      </c>
      <c r="N2096">
        <v>3</v>
      </c>
      <c r="O2096">
        <v>2</v>
      </c>
      <c r="P2096">
        <v>1</v>
      </c>
      <c r="Q2096">
        <v>0</v>
      </c>
      <c r="R2096" s="4">
        <v>10.55</v>
      </c>
      <c r="S2096">
        <v>0</v>
      </c>
      <c r="T2096">
        <v>1</v>
      </c>
    </row>
    <row r="2097" spans="1:20" ht="16.5" x14ac:dyDescent="0.3">
      <c r="A2097" t="s">
        <v>2150</v>
      </c>
      <c r="B2097" s="1">
        <v>45602</v>
      </c>
      <c r="C2097">
        <v>2024</v>
      </c>
      <c r="D2097" t="s">
        <v>1873</v>
      </c>
      <c r="E2097" t="s">
        <v>2108</v>
      </c>
      <c r="F2097" t="s">
        <v>30</v>
      </c>
      <c r="G2097" t="s">
        <v>39</v>
      </c>
      <c r="H2097" t="s">
        <v>36</v>
      </c>
      <c r="I2097" t="s">
        <v>26</v>
      </c>
      <c r="J2097" t="s">
        <v>27</v>
      </c>
      <c r="K2097" t="s">
        <v>28</v>
      </c>
      <c r="L2097" s="2">
        <v>26.3</v>
      </c>
      <c r="M2097" s="3">
        <v>289</v>
      </c>
      <c r="N2097">
        <v>3</v>
      </c>
      <c r="O2097">
        <v>3</v>
      </c>
      <c r="P2097">
        <v>1</v>
      </c>
      <c r="Q2097">
        <v>0</v>
      </c>
      <c r="R2097" s="4">
        <v>24.54</v>
      </c>
      <c r="S2097">
        <v>0</v>
      </c>
      <c r="T2097">
        <v>1</v>
      </c>
    </row>
    <row r="2098" spans="1:20" ht="16.5" x14ac:dyDescent="0.3">
      <c r="A2098" t="s">
        <v>2151</v>
      </c>
      <c r="B2098" s="1">
        <v>45602</v>
      </c>
      <c r="C2098">
        <v>2024</v>
      </c>
      <c r="D2098" t="s">
        <v>1873</v>
      </c>
      <c r="E2098" t="s">
        <v>2108</v>
      </c>
      <c r="F2098" t="s">
        <v>23</v>
      </c>
      <c r="G2098" t="s">
        <v>39</v>
      </c>
      <c r="H2098" t="s">
        <v>25</v>
      </c>
      <c r="I2098" t="s">
        <v>26</v>
      </c>
      <c r="J2098" t="s">
        <v>27</v>
      </c>
      <c r="K2098" t="s">
        <v>28</v>
      </c>
      <c r="L2098" s="2">
        <v>49.6</v>
      </c>
      <c r="M2098" s="3">
        <v>994</v>
      </c>
      <c r="N2098">
        <v>4</v>
      </c>
      <c r="O2098">
        <v>4</v>
      </c>
      <c r="P2098">
        <v>1</v>
      </c>
      <c r="Q2098">
        <v>0</v>
      </c>
      <c r="R2098" s="4">
        <v>43.94</v>
      </c>
      <c r="S2098">
        <v>0</v>
      </c>
      <c r="T2098">
        <v>1</v>
      </c>
    </row>
    <row r="2099" spans="1:20" ht="16.5" x14ac:dyDescent="0.3">
      <c r="A2099" t="s">
        <v>2152</v>
      </c>
      <c r="B2099" s="1">
        <v>45602</v>
      </c>
      <c r="C2099">
        <v>2024</v>
      </c>
      <c r="D2099" t="s">
        <v>1873</v>
      </c>
      <c r="E2099" t="s">
        <v>2108</v>
      </c>
      <c r="F2099" t="s">
        <v>23</v>
      </c>
      <c r="G2099" t="s">
        <v>39</v>
      </c>
      <c r="H2099" t="s">
        <v>51</v>
      </c>
      <c r="I2099" t="s">
        <v>26</v>
      </c>
      <c r="J2099" t="s">
        <v>27</v>
      </c>
      <c r="K2099" t="s">
        <v>28</v>
      </c>
      <c r="L2099" s="2">
        <v>119.2</v>
      </c>
      <c r="M2099" s="3">
        <v>1262</v>
      </c>
      <c r="N2099">
        <v>5</v>
      </c>
      <c r="O2099">
        <v>5</v>
      </c>
      <c r="P2099">
        <v>1</v>
      </c>
      <c r="Q2099">
        <v>0</v>
      </c>
      <c r="R2099" s="4">
        <v>70.55</v>
      </c>
      <c r="S2099">
        <v>0</v>
      </c>
      <c r="T2099">
        <v>1</v>
      </c>
    </row>
    <row r="2100" spans="1:20" ht="16.5" x14ac:dyDescent="0.3">
      <c r="A2100" t="s">
        <v>2153</v>
      </c>
      <c r="B2100" s="1">
        <v>45602</v>
      </c>
      <c r="C2100">
        <v>2024</v>
      </c>
      <c r="D2100" t="s">
        <v>1873</v>
      </c>
      <c r="E2100" t="s">
        <v>2108</v>
      </c>
      <c r="F2100" t="s">
        <v>30</v>
      </c>
      <c r="G2100" t="s">
        <v>24</v>
      </c>
      <c r="H2100" t="s">
        <v>43</v>
      </c>
      <c r="I2100" t="s">
        <v>26</v>
      </c>
      <c r="J2100" t="s">
        <v>27</v>
      </c>
      <c r="K2100" t="s">
        <v>32</v>
      </c>
      <c r="L2100" s="2">
        <v>9.4</v>
      </c>
      <c r="M2100" s="3">
        <v>1028</v>
      </c>
      <c r="N2100">
        <v>5</v>
      </c>
      <c r="O2100">
        <v>6</v>
      </c>
      <c r="P2100">
        <v>0</v>
      </c>
      <c r="Q2100">
        <v>1</v>
      </c>
      <c r="R2100" s="4">
        <v>24.33</v>
      </c>
      <c r="S2100">
        <v>0</v>
      </c>
      <c r="T2100">
        <v>1</v>
      </c>
    </row>
    <row r="2101" spans="1:20" ht="16.5" x14ac:dyDescent="0.3">
      <c r="A2101" t="s">
        <v>2154</v>
      </c>
      <c r="B2101" s="1">
        <v>45602</v>
      </c>
      <c r="C2101">
        <v>2024</v>
      </c>
      <c r="D2101" t="s">
        <v>1873</v>
      </c>
      <c r="E2101" t="s">
        <v>2108</v>
      </c>
      <c r="F2101" t="s">
        <v>30</v>
      </c>
      <c r="G2101" t="s">
        <v>35</v>
      </c>
      <c r="H2101" t="s">
        <v>36</v>
      </c>
      <c r="I2101" t="s">
        <v>26</v>
      </c>
      <c r="J2101" t="s">
        <v>27</v>
      </c>
      <c r="K2101" t="s">
        <v>32</v>
      </c>
      <c r="L2101" s="2">
        <v>5.0999999999999996</v>
      </c>
      <c r="M2101" s="3">
        <v>290</v>
      </c>
      <c r="N2101">
        <v>3</v>
      </c>
      <c r="O2101">
        <v>3</v>
      </c>
      <c r="P2101">
        <v>1</v>
      </c>
      <c r="Q2101">
        <v>0</v>
      </c>
      <c r="R2101" s="4">
        <v>13.8</v>
      </c>
      <c r="S2101">
        <v>0</v>
      </c>
      <c r="T2101">
        <v>1</v>
      </c>
    </row>
    <row r="2102" spans="1:20" ht="16.5" x14ac:dyDescent="0.3">
      <c r="A2102" t="s">
        <v>2155</v>
      </c>
      <c r="B2102" s="1">
        <v>45603</v>
      </c>
      <c r="C2102">
        <v>2024</v>
      </c>
      <c r="D2102" t="s">
        <v>1873</v>
      </c>
      <c r="E2102" t="s">
        <v>2108</v>
      </c>
      <c r="F2102" t="s">
        <v>34</v>
      </c>
      <c r="G2102" t="s">
        <v>35</v>
      </c>
      <c r="H2102" t="s">
        <v>25</v>
      </c>
      <c r="I2102" t="s">
        <v>26</v>
      </c>
      <c r="J2102" t="s">
        <v>27</v>
      </c>
      <c r="K2102" t="s">
        <v>32</v>
      </c>
      <c r="L2102" s="2">
        <v>2.2000000000000002</v>
      </c>
      <c r="M2102" s="3">
        <v>1032</v>
      </c>
      <c r="N2102">
        <v>4</v>
      </c>
      <c r="O2102">
        <v>4</v>
      </c>
      <c r="P2102">
        <v>1</v>
      </c>
      <c r="Q2102">
        <v>0</v>
      </c>
      <c r="R2102" s="4">
        <v>15.24</v>
      </c>
      <c r="S2102">
        <v>0</v>
      </c>
      <c r="T2102">
        <v>1</v>
      </c>
    </row>
    <row r="2103" spans="1:20" ht="16.5" x14ac:dyDescent="0.3">
      <c r="A2103" t="s">
        <v>2156</v>
      </c>
      <c r="B2103" s="1">
        <v>45603</v>
      </c>
      <c r="C2103">
        <v>2024</v>
      </c>
      <c r="D2103" t="s">
        <v>1873</v>
      </c>
      <c r="E2103" t="s">
        <v>2108</v>
      </c>
      <c r="F2103" t="s">
        <v>34</v>
      </c>
      <c r="G2103" t="s">
        <v>35</v>
      </c>
      <c r="H2103" t="s">
        <v>25</v>
      </c>
      <c r="I2103" t="s">
        <v>31</v>
      </c>
      <c r="J2103" t="s">
        <v>27</v>
      </c>
      <c r="K2103" t="s">
        <v>28</v>
      </c>
      <c r="L2103" s="2">
        <v>69.599999999999994</v>
      </c>
      <c r="M2103" s="3">
        <v>918</v>
      </c>
      <c r="N2103">
        <v>6</v>
      </c>
      <c r="O2103">
        <v>6</v>
      </c>
      <c r="P2103">
        <v>1</v>
      </c>
      <c r="Q2103">
        <v>0</v>
      </c>
      <c r="R2103" s="4">
        <v>29.96</v>
      </c>
      <c r="S2103">
        <v>0</v>
      </c>
      <c r="T2103">
        <v>1</v>
      </c>
    </row>
    <row r="2104" spans="1:20" ht="16.5" x14ac:dyDescent="0.3">
      <c r="A2104" t="s">
        <v>2157</v>
      </c>
      <c r="B2104" s="1">
        <v>45603</v>
      </c>
      <c r="C2104">
        <v>2024</v>
      </c>
      <c r="D2104" t="s">
        <v>1873</v>
      </c>
      <c r="E2104" t="s">
        <v>2108</v>
      </c>
      <c r="F2104" t="s">
        <v>57</v>
      </c>
      <c r="G2104" t="s">
        <v>35</v>
      </c>
      <c r="H2104" t="s">
        <v>36</v>
      </c>
      <c r="I2104" t="s">
        <v>26</v>
      </c>
      <c r="J2104" t="s">
        <v>27</v>
      </c>
      <c r="K2104" t="s">
        <v>32</v>
      </c>
      <c r="L2104" s="2">
        <v>4</v>
      </c>
      <c r="M2104" s="3">
        <v>297</v>
      </c>
      <c r="N2104">
        <v>3</v>
      </c>
      <c r="O2104">
        <v>3</v>
      </c>
      <c r="P2104">
        <v>1</v>
      </c>
      <c r="Q2104">
        <v>0</v>
      </c>
      <c r="R2104" s="4">
        <v>11.55</v>
      </c>
      <c r="S2104">
        <v>0</v>
      </c>
      <c r="T2104">
        <v>1</v>
      </c>
    </row>
    <row r="2105" spans="1:20" ht="16.5" x14ac:dyDescent="0.3">
      <c r="A2105" t="s">
        <v>2158</v>
      </c>
      <c r="B2105" s="1">
        <v>45603</v>
      </c>
      <c r="C2105">
        <v>2024</v>
      </c>
      <c r="D2105" t="s">
        <v>1873</v>
      </c>
      <c r="E2105" t="s">
        <v>2108</v>
      </c>
      <c r="F2105" t="s">
        <v>34</v>
      </c>
      <c r="G2105" t="s">
        <v>39</v>
      </c>
      <c r="H2105" t="s">
        <v>25</v>
      </c>
      <c r="I2105" t="s">
        <v>31</v>
      </c>
      <c r="J2105" t="s">
        <v>27</v>
      </c>
      <c r="K2105" t="s">
        <v>32</v>
      </c>
      <c r="L2105" s="2">
        <v>8.6</v>
      </c>
      <c r="M2105" s="3">
        <v>757</v>
      </c>
      <c r="N2105">
        <v>6</v>
      </c>
      <c r="O2105">
        <v>5</v>
      </c>
      <c r="P2105">
        <v>1</v>
      </c>
      <c r="Q2105">
        <v>0</v>
      </c>
      <c r="R2105" s="4">
        <v>11.95</v>
      </c>
      <c r="S2105">
        <v>0</v>
      </c>
      <c r="T2105">
        <v>1</v>
      </c>
    </row>
    <row r="2106" spans="1:20" ht="16.5" x14ac:dyDescent="0.3">
      <c r="A2106" t="s">
        <v>2159</v>
      </c>
      <c r="B2106" s="1">
        <v>45603</v>
      </c>
      <c r="C2106">
        <v>2024</v>
      </c>
      <c r="D2106" t="s">
        <v>1873</v>
      </c>
      <c r="E2106" t="s">
        <v>2108</v>
      </c>
      <c r="F2106" t="s">
        <v>34</v>
      </c>
      <c r="G2106" t="s">
        <v>39</v>
      </c>
      <c r="H2106" t="s">
        <v>25</v>
      </c>
      <c r="I2106" t="s">
        <v>40</v>
      </c>
      <c r="J2106" t="s">
        <v>41</v>
      </c>
      <c r="K2106" t="s">
        <v>28</v>
      </c>
      <c r="L2106" s="2">
        <v>246.2</v>
      </c>
      <c r="M2106" s="3">
        <v>931</v>
      </c>
      <c r="N2106">
        <v>2</v>
      </c>
      <c r="O2106">
        <v>2</v>
      </c>
      <c r="P2106">
        <v>1</v>
      </c>
      <c r="Q2106">
        <v>0</v>
      </c>
      <c r="R2106" s="4">
        <v>314.42</v>
      </c>
      <c r="S2106">
        <v>0</v>
      </c>
      <c r="T2106">
        <v>1</v>
      </c>
    </row>
    <row r="2107" spans="1:20" ht="16.5" x14ac:dyDescent="0.3">
      <c r="A2107" t="s">
        <v>2160</v>
      </c>
      <c r="B2107" s="1">
        <v>45603</v>
      </c>
      <c r="C2107">
        <v>2024</v>
      </c>
      <c r="D2107" t="s">
        <v>1873</v>
      </c>
      <c r="E2107" t="s">
        <v>2108</v>
      </c>
      <c r="F2107" t="s">
        <v>34</v>
      </c>
      <c r="G2107" t="s">
        <v>39</v>
      </c>
      <c r="H2107" t="s">
        <v>43</v>
      </c>
      <c r="I2107" t="s">
        <v>40</v>
      </c>
      <c r="J2107" t="s">
        <v>41</v>
      </c>
      <c r="K2107" t="s">
        <v>32</v>
      </c>
      <c r="L2107" s="2">
        <v>8.5</v>
      </c>
      <c r="M2107" s="3">
        <v>1159</v>
      </c>
      <c r="N2107">
        <v>3</v>
      </c>
      <c r="O2107">
        <v>2</v>
      </c>
      <c r="P2107">
        <v>1</v>
      </c>
      <c r="Q2107">
        <v>0</v>
      </c>
      <c r="R2107" s="4">
        <v>67.290000000000006</v>
      </c>
      <c r="S2107">
        <v>0</v>
      </c>
      <c r="T2107">
        <v>1</v>
      </c>
    </row>
    <row r="2108" spans="1:20" ht="16.5" x14ac:dyDescent="0.3">
      <c r="A2108" t="s">
        <v>2161</v>
      </c>
      <c r="B2108" s="1">
        <v>45603</v>
      </c>
      <c r="C2108">
        <v>2024</v>
      </c>
      <c r="D2108" t="s">
        <v>1873</v>
      </c>
      <c r="E2108" t="s">
        <v>2108</v>
      </c>
      <c r="F2108" t="s">
        <v>23</v>
      </c>
      <c r="G2108" t="s">
        <v>39</v>
      </c>
      <c r="H2108" t="s">
        <v>48</v>
      </c>
      <c r="I2108" t="s">
        <v>31</v>
      </c>
      <c r="J2108" t="s">
        <v>27</v>
      </c>
      <c r="K2108" t="s">
        <v>28</v>
      </c>
      <c r="L2108" s="2">
        <v>395.8</v>
      </c>
      <c r="M2108" s="3">
        <v>538</v>
      </c>
      <c r="N2108">
        <v>6</v>
      </c>
      <c r="O2108">
        <v>5</v>
      </c>
      <c r="P2108">
        <v>1</v>
      </c>
      <c r="Q2108">
        <v>0</v>
      </c>
      <c r="R2108" s="4">
        <v>107.58</v>
      </c>
      <c r="S2108">
        <v>0</v>
      </c>
      <c r="T2108">
        <v>1</v>
      </c>
    </row>
    <row r="2109" spans="1:20" ht="16.5" x14ac:dyDescent="0.3">
      <c r="A2109" t="s">
        <v>2162</v>
      </c>
      <c r="B2109" s="1">
        <v>45603</v>
      </c>
      <c r="C2109">
        <v>2024</v>
      </c>
      <c r="D2109" t="s">
        <v>1873</v>
      </c>
      <c r="E2109" t="s">
        <v>2108</v>
      </c>
      <c r="F2109" t="s">
        <v>34</v>
      </c>
      <c r="G2109" t="s">
        <v>39</v>
      </c>
      <c r="H2109" t="s">
        <v>51</v>
      </c>
      <c r="I2109" t="s">
        <v>26</v>
      </c>
      <c r="J2109" t="s">
        <v>27</v>
      </c>
      <c r="K2109" t="s">
        <v>28</v>
      </c>
      <c r="L2109" s="2">
        <v>361.6</v>
      </c>
      <c r="M2109" s="3">
        <v>1050</v>
      </c>
      <c r="N2109">
        <v>5</v>
      </c>
      <c r="O2109">
        <v>5</v>
      </c>
      <c r="P2109">
        <v>1</v>
      </c>
      <c r="Q2109">
        <v>0</v>
      </c>
      <c r="R2109" s="4">
        <v>132.31</v>
      </c>
      <c r="S2109">
        <v>0</v>
      </c>
      <c r="T2109">
        <v>1</v>
      </c>
    </row>
    <row r="2110" spans="1:20" ht="16.5" x14ac:dyDescent="0.3">
      <c r="A2110" t="s">
        <v>2163</v>
      </c>
      <c r="B2110" s="1">
        <v>45603</v>
      </c>
      <c r="C2110">
        <v>2024</v>
      </c>
      <c r="D2110" t="s">
        <v>1873</v>
      </c>
      <c r="E2110" t="s">
        <v>2108</v>
      </c>
      <c r="F2110" t="s">
        <v>38</v>
      </c>
      <c r="G2110" t="s">
        <v>24</v>
      </c>
      <c r="H2110" t="s">
        <v>48</v>
      </c>
      <c r="I2110" t="s">
        <v>40</v>
      </c>
      <c r="J2110" t="s">
        <v>27</v>
      </c>
      <c r="K2110" t="s">
        <v>32</v>
      </c>
      <c r="L2110" s="2">
        <v>3.9</v>
      </c>
      <c r="M2110" s="3">
        <v>539</v>
      </c>
      <c r="N2110">
        <v>2</v>
      </c>
      <c r="O2110">
        <v>1</v>
      </c>
      <c r="P2110">
        <v>1</v>
      </c>
      <c r="Q2110">
        <v>0</v>
      </c>
      <c r="R2110" s="4">
        <v>34.11</v>
      </c>
      <c r="S2110">
        <v>0</v>
      </c>
      <c r="T2110">
        <v>1</v>
      </c>
    </row>
    <row r="2111" spans="1:20" ht="16.5" x14ac:dyDescent="0.3">
      <c r="A2111" t="s">
        <v>2164</v>
      </c>
      <c r="B2111" s="1">
        <v>45603</v>
      </c>
      <c r="C2111">
        <v>2024</v>
      </c>
      <c r="D2111" t="s">
        <v>1873</v>
      </c>
      <c r="E2111" t="s">
        <v>2108</v>
      </c>
      <c r="F2111" t="s">
        <v>57</v>
      </c>
      <c r="G2111" t="s">
        <v>24</v>
      </c>
      <c r="H2111" t="s">
        <v>36</v>
      </c>
      <c r="I2111" t="s">
        <v>40</v>
      </c>
      <c r="J2111" t="s">
        <v>27</v>
      </c>
      <c r="K2111" t="s">
        <v>32</v>
      </c>
      <c r="L2111" s="2">
        <v>19.2</v>
      </c>
      <c r="M2111" s="3">
        <v>288</v>
      </c>
      <c r="N2111">
        <v>1</v>
      </c>
      <c r="O2111">
        <v>1</v>
      </c>
      <c r="P2111">
        <v>1</v>
      </c>
      <c r="Q2111">
        <v>0</v>
      </c>
      <c r="R2111" s="4">
        <v>37.56</v>
      </c>
      <c r="S2111">
        <v>0</v>
      </c>
      <c r="T2111">
        <v>1</v>
      </c>
    </row>
    <row r="2112" spans="1:20" ht="16.5" x14ac:dyDescent="0.3">
      <c r="A2112" t="s">
        <v>2165</v>
      </c>
      <c r="B2112" s="1">
        <v>45603</v>
      </c>
      <c r="C2112">
        <v>2024</v>
      </c>
      <c r="D2112" t="s">
        <v>1873</v>
      </c>
      <c r="E2112" t="s">
        <v>2108</v>
      </c>
      <c r="F2112" t="s">
        <v>57</v>
      </c>
      <c r="G2112" t="s">
        <v>24</v>
      </c>
      <c r="H2112" t="s">
        <v>48</v>
      </c>
      <c r="I2112" t="s">
        <v>40</v>
      </c>
      <c r="J2112" t="s">
        <v>27</v>
      </c>
      <c r="K2112" t="s">
        <v>32</v>
      </c>
      <c r="L2112" s="2">
        <v>14.4</v>
      </c>
      <c r="M2112" s="3">
        <v>479</v>
      </c>
      <c r="N2112">
        <v>2</v>
      </c>
      <c r="O2112">
        <v>2</v>
      </c>
      <c r="P2112">
        <v>1</v>
      </c>
      <c r="Q2112">
        <v>0</v>
      </c>
      <c r="R2112" s="4">
        <v>44.01</v>
      </c>
      <c r="S2112">
        <v>0</v>
      </c>
      <c r="T2112">
        <v>1</v>
      </c>
    </row>
    <row r="2113" spans="1:20" ht="16.5" x14ac:dyDescent="0.3">
      <c r="A2113" t="s">
        <v>2166</v>
      </c>
      <c r="B2113" s="1">
        <v>45604</v>
      </c>
      <c r="C2113">
        <v>2024</v>
      </c>
      <c r="D2113" t="s">
        <v>1873</v>
      </c>
      <c r="E2113" t="s">
        <v>2108</v>
      </c>
      <c r="F2113" t="s">
        <v>57</v>
      </c>
      <c r="G2113" t="s">
        <v>39</v>
      </c>
      <c r="H2113" t="s">
        <v>48</v>
      </c>
      <c r="I2113" t="s">
        <v>40</v>
      </c>
      <c r="J2113" t="s">
        <v>27</v>
      </c>
      <c r="K2113" t="s">
        <v>28</v>
      </c>
      <c r="L2113" s="2">
        <v>102.9</v>
      </c>
      <c r="M2113" s="3">
        <v>617</v>
      </c>
      <c r="N2113">
        <v>2</v>
      </c>
      <c r="O2113">
        <v>1</v>
      </c>
      <c r="P2113">
        <v>1</v>
      </c>
      <c r="Q2113">
        <v>0</v>
      </c>
      <c r="R2113" s="4">
        <v>113.89</v>
      </c>
      <c r="S2113">
        <v>0</v>
      </c>
      <c r="T2113">
        <v>1</v>
      </c>
    </row>
    <row r="2114" spans="1:20" ht="16.5" x14ac:dyDescent="0.3">
      <c r="A2114" t="s">
        <v>2167</v>
      </c>
      <c r="B2114" s="1">
        <v>45604</v>
      </c>
      <c r="C2114">
        <v>2024</v>
      </c>
      <c r="D2114" t="s">
        <v>1873</v>
      </c>
      <c r="E2114" t="s">
        <v>2108</v>
      </c>
      <c r="F2114" t="s">
        <v>34</v>
      </c>
      <c r="G2114" t="s">
        <v>35</v>
      </c>
      <c r="H2114" t="s">
        <v>36</v>
      </c>
      <c r="I2114" t="s">
        <v>26</v>
      </c>
      <c r="J2114" t="s">
        <v>27</v>
      </c>
      <c r="K2114" t="s">
        <v>32</v>
      </c>
      <c r="L2114" s="2">
        <v>13.7</v>
      </c>
      <c r="M2114" s="3">
        <v>285</v>
      </c>
      <c r="N2114">
        <v>3</v>
      </c>
      <c r="O2114">
        <v>4</v>
      </c>
      <c r="P2114">
        <v>0</v>
      </c>
      <c r="Q2114">
        <v>1</v>
      </c>
      <c r="R2114" s="4">
        <v>13.47</v>
      </c>
      <c r="S2114">
        <v>0</v>
      </c>
      <c r="T2114">
        <v>1</v>
      </c>
    </row>
    <row r="2115" spans="1:20" ht="16.5" x14ac:dyDescent="0.3">
      <c r="A2115" t="s">
        <v>2168</v>
      </c>
      <c r="B2115" s="1">
        <v>45604</v>
      </c>
      <c r="C2115">
        <v>2024</v>
      </c>
      <c r="D2115" t="s">
        <v>1873</v>
      </c>
      <c r="E2115" t="s">
        <v>2108</v>
      </c>
      <c r="F2115" t="s">
        <v>57</v>
      </c>
      <c r="G2115" t="s">
        <v>24</v>
      </c>
      <c r="H2115" t="s">
        <v>36</v>
      </c>
      <c r="I2115" t="s">
        <v>40</v>
      </c>
      <c r="J2115" t="s">
        <v>27</v>
      </c>
      <c r="K2115" t="s">
        <v>28</v>
      </c>
      <c r="L2115" s="2">
        <v>143.1</v>
      </c>
      <c r="M2115" s="3">
        <v>274</v>
      </c>
      <c r="N2115">
        <v>1</v>
      </c>
      <c r="O2115">
        <v>1</v>
      </c>
      <c r="P2115">
        <v>1</v>
      </c>
      <c r="Q2115">
        <v>0</v>
      </c>
      <c r="R2115" s="4">
        <v>135.41999999999999</v>
      </c>
      <c r="S2115">
        <v>0</v>
      </c>
      <c r="T2115">
        <v>1</v>
      </c>
    </row>
    <row r="2116" spans="1:20" ht="16.5" x14ac:dyDescent="0.3">
      <c r="A2116" t="s">
        <v>2169</v>
      </c>
      <c r="B2116" s="1">
        <v>45604</v>
      </c>
      <c r="C2116">
        <v>2024</v>
      </c>
      <c r="D2116" t="s">
        <v>1873</v>
      </c>
      <c r="E2116" t="s">
        <v>2108</v>
      </c>
      <c r="F2116" t="s">
        <v>23</v>
      </c>
      <c r="G2116" t="s">
        <v>39</v>
      </c>
      <c r="H2116" t="s">
        <v>43</v>
      </c>
      <c r="I2116" t="s">
        <v>26</v>
      </c>
      <c r="J2116" t="s">
        <v>27</v>
      </c>
      <c r="K2116" t="s">
        <v>32</v>
      </c>
      <c r="L2116" s="2">
        <v>3.3</v>
      </c>
      <c r="M2116" s="3">
        <v>1037</v>
      </c>
      <c r="N2116">
        <v>5</v>
      </c>
      <c r="O2116">
        <v>7</v>
      </c>
      <c r="P2116">
        <v>0</v>
      </c>
      <c r="Q2116">
        <v>2</v>
      </c>
      <c r="R2116" s="4">
        <v>17.54</v>
      </c>
      <c r="S2116">
        <v>0</v>
      </c>
      <c r="T2116">
        <v>1</v>
      </c>
    </row>
    <row r="2117" spans="1:20" ht="16.5" x14ac:dyDescent="0.3">
      <c r="A2117" t="s">
        <v>2170</v>
      </c>
      <c r="B2117" s="1">
        <v>45604</v>
      </c>
      <c r="C2117">
        <v>2024</v>
      </c>
      <c r="D2117" t="s">
        <v>1873</v>
      </c>
      <c r="E2117" t="s">
        <v>2108</v>
      </c>
      <c r="F2117" t="s">
        <v>57</v>
      </c>
      <c r="G2117" t="s">
        <v>24</v>
      </c>
      <c r="H2117" t="s">
        <v>48</v>
      </c>
      <c r="I2117" t="s">
        <v>40</v>
      </c>
      <c r="J2117" t="s">
        <v>27</v>
      </c>
      <c r="K2117" t="s">
        <v>32</v>
      </c>
      <c r="L2117" s="2">
        <v>1.8</v>
      </c>
      <c r="M2117" s="3">
        <v>542</v>
      </c>
      <c r="N2117">
        <v>2</v>
      </c>
      <c r="O2117">
        <v>2</v>
      </c>
      <c r="P2117">
        <v>1</v>
      </c>
      <c r="Q2117">
        <v>0</v>
      </c>
      <c r="R2117" s="4">
        <v>28.35</v>
      </c>
      <c r="S2117">
        <v>0</v>
      </c>
      <c r="T2117">
        <v>1</v>
      </c>
    </row>
    <row r="2118" spans="1:20" ht="16.5" x14ac:dyDescent="0.3">
      <c r="A2118" t="s">
        <v>2171</v>
      </c>
      <c r="B2118" s="1">
        <v>45604</v>
      </c>
      <c r="C2118">
        <v>2024</v>
      </c>
      <c r="D2118" t="s">
        <v>1873</v>
      </c>
      <c r="E2118" t="s">
        <v>2108</v>
      </c>
      <c r="F2118" t="s">
        <v>57</v>
      </c>
      <c r="G2118" t="s">
        <v>39</v>
      </c>
      <c r="H2118" t="s">
        <v>36</v>
      </c>
      <c r="I2118" t="s">
        <v>31</v>
      </c>
      <c r="J2118" t="s">
        <v>27</v>
      </c>
      <c r="K2118" t="s">
        <v>28</v>
      </c>
      <c r="L2118" s="2">
        <v>36.6</v>
      </c>
      <c r="M2118" s="3">
        <v>200</v>
      </c>
      <c r="N2118">
        <v>5</v>
      </c>
      <c r="O2118">
        <v>7</v>
      </c>
      <c r="P2118">
        <v>0</v>
      </c>
      <c r="Q2118">
        <v>2</v>
      </c>
      <c r="R2118" s="4">
        <v>18.48</v>
      </c>
      <c r="S2118">
        <v>0</v>
      </c>
      <c r="T2118">
        <v>1</v>
      </c>
    </row>
    <row r="2119" spans="1:20" ht="16.5" x14ac:dyDescent="0.3">
      <c r="A2119" t="s">
        <v>2172</v>
      </c>
      <c r="B2119" s="1">
        <v>45604</v>
      </c>
      <c r="C2119">
        <v>2024</v>
      </c>
      <c r="D2119" t="s">
        <v>1873</v>
      </c>
      <c r="E2119" t="s">
        <v>2108</v>
      </c>
      <c r="F2119" t="s">
        <v>34</v>
      </c>
      <c r="G2119" t="s">
        <v>35</v>
      </c>
      <c r="H2119" t="s">
        <v>36</v>
      </c>
      <c r="I2119" t="s">
        <v>40</v>
      </c>
      <c r="J2119" t="s">
        <v>27</v>
      </c>
      <c r="K2119" t="s">
        <v>28</v>
      </c>
      <c r="L2119" s="2">
        <v>57.8</v>
      </c>
      <c r="M2119" s="3">
        <v>272</v>
      </c>
      <c r="N2119">
        <v>1</v>
      </c>
      <c r="O2119">
        <v>1</v>
      </c>
      <c r="P2119">
        <v>1</v>
      </c>
      <c r="Q2119">
        <v>0</v>
      </c>
      <c r="R2119" s="4">
        <v>62.12</v>
      </c>
      <c r="S2119">
        <v>0</v>
      </c>
      <c r="T2119">
        <v>1</v>
      </c>
    </row>
    <row r="2120" spans="1:20" ht="16.5" x14ac:dyDescent="0.3">
      <c r="A2120" t="s">
        <v>2173</v>
      </c>
      <c r="B2120" s="1">
        <v>45604</v>
      </c>
      <c r="C2120">
        <v>2024</v>
      </c>
      <c r="D2120" t="s">
        <v>1873</v>
      </c>
      <c r="E2120" t="s">
        <v>2108</v>
      </c>
      <c r="F2120" t="s">
        <v>30</v>
      </c>
      <c r="G2120" t="s">
        <v>35</v>
      </c>
      <c r="H2120" t="s">
        <v>36</v>
      </c>
      <c r="I2120" t="s">
        <v>40</v>
      </c>
      <c r="J2120" t="s">
        <v>27</v>
      </c>
      <c r="K2120" t="s">
        <v>28</v>
      </c>
      <c r="L2120" s="2">
        <v>81.900000000000006</v>
      </c>
      <c r="M2120" s="3">
        <v>243</v>
      </c>
      <c r="N2120">
        <v>1</v>
      </c>
      <c r="O2120">
        <v>1</v>
      </c>
      <c r="P2120">
        <v>1</v>
      </c>
      <c r="Q2120">
        <v>0</v>
      </c>
      <c r="R2120" s="4">
        <v>92.12</v>
      </c>
      <c r="S2120">
        <v>0</v>
      </c>
      <c r="T2120">
        <v>1</v>
      </c>
    </row>
    <row r="2121" spans="1:20" ht="16.5" x14ac:dyDescent="0.3">
      <c r="A2121" t="s">
        <v>2174</v>
      </c>
      <c r="B2121" s="1">
        <v>45604</v>
      </c>
      <c r="C2121">
        <v>2024</v>
      </c>
      <c r="D2121" t="s">
        <v>1873</v>
      </c>
      <c r="E2121" t="s">
        <v>2108</v>
      </c>
      <c r="F2121" t="s">
        <v>57</v>
      </c>
      <c r="G2121" t="s">
        <v>39</v>
      </c>
      <c r="H2121" t="s">
        <v>51</v>
      </c>
      <c r="I2121" t="s">
        <v>26</v>
      </c>
      <c r="J2121" t="s">
        <v>27</v>
      </c>
      <c r="K2121" t="s">
        <v>32</v>
      </c>
      <c r="L2121" s="2">
        <v>3.8</v>
      </c>
      <c r="M2121" s="3">
        <v>1024</v>
      </c>
      <c r="N2121">
        <v>5</v>
      </c>
      <c r="O2121">
        <v>5</v>
      </c>
      <c r="P2121">
        <v>1</v>
      </c>
      <c r="Q2121">
        <v>0</v>
      </c>
      <c r="R2121" s="4">
        <v>21.57</v>
      </c>
      <c r="S2121">
        <v>0</v>
      </c>
      <c r="T2121">
        <v>1</v>
      </c>
    </row>
    <row r="2122" spans="1:20" ht="16.5" x14ac:dyDescent="0.3">
      <c r="A2122" t="s">
        <v>2175</v>
      </c>
      <c r="B2122" s="1">
        <v>45604</v>
      </c>
      <c r="C2122">
        <v>2024</v>
      </c>
      <c r="D2122" t="s">
        <v>1873</v>
      </c>
      <c r="E2122" t="s">
        <v>2108</v>
      </c>
      <c r="F2122" t="s">
        <v>23</v>
      </c>
      <c r="G2122" t="s">
        <v>39</v>
      </c>
      <c r="H2122" t="s">
        <v>36</v>
      </c>
      <c r="I2122" t="s">
        <v>31</v>
      </c>
      <c r="J2122" t="s">
        <v>27</v>
      </c>
      <c r="K2122" t="s">
        <v>32</v>
      </c>
      <c r="L2122" s="2">
        <v>4.4000000000000004</v>
      </c>
      <c r="M2122" s="3">
        <v>285</v>
      </c>
      <c r="N2122">
        <v>5</v>
      </c>
      <c r="O2122">
        <v>5</v>
      </c>
      <c r="P2122">
        <v>1</v>
      </c>
      <c r="Q2122">
        <v>0</v>
      </c>
      <c r="R2122" s="4">
        <v>8.02</v>
      </c>
      <c r="S2122">
        <v>0</v>
      </c>
      <c r="T2122">
        <v>1</v>
      </c>
    </row>
    <row r="2123" spans="1:20" ht="16.5" x14ac:dyDescent="0.3">
      <c r="A2123" t="s">
        <v>2176</v>
      </c>
      <c r="B2123" s="1">
        <v>45604</v>
      </c>
      <c r="C2123">
        <v>2024</v>
      </c>
      <c r="D2123" t="s">
        <v>1873</v>
      </c>
      <c r="E2123" t="s">
        <v>2108</v>
      </c>
      <c r="F2123" t="s">
        <v>34</v>
      </c>
      <c r="G2123" t="s">
        <v>35</v>
      </c>
      <c r="H2123" t="s">
        <v>51</v>
      </c>
      <c r="I2123" t="s">
        <v>31</v>
      </c>
      <c r="J2123" t="s">
        <v>27</v>
      </c>
      <c r="K2123" t="s">
        <v>32</v>
      </c>
      <c r="L2123" s="2">
        <v>4.9000000000000004</v>
      </c>
      <c r="M2123" s="3">
        <v>970</v>
      </c>
      <c r="N2123">
        <v>7</v>
      </c>
      <c r="O2123">
        <v>7</v>
      </c>
      <c r="P2123">
        <v>1</v>
      </c>
      <c r="Q2123">
        <v>0</v>
      </c>
      <c r="R2123" s="4">
        <v>14.13</v>
      </c>
      <c r="S2123">
        <v>0</v>
      </c>
      <c r="T2123">
        <v>1</v>
      </c>
    </row>
    <row r="2124" spans="1:20" ht="16.5" x14ac:dyDescent="0.3">
      <c r="A2124" t="s">
        <v>2177</v>
      </c>
      <c r="B2124" s="1">
        <v>45604</v>
      </c>
      <c r="C2124">
        <v>2024</v>
      </c>
      <c r="D2124" t="s">
        <v>1873</v>
      </c>
      <c r="E2124" t="s">
        <v>2108</v>
      </c>
      <c r="F2124" t="s">
        <v>34</v>
      </c>
      <c r="G2124" t="s">
        <v>24</v>
      </c>
      <c r="H2124" t="s">
        <v>43</v>
      </c>
      <c r="I2124" t="s">
        <v>26</v>
      </c>
      <c r="J2124" t="s">
        <v>27</v>
      </c>
      <c r="K2124" t="s">
        <v>28</v>
      </c>
      <c r="L2124" s="2">
        <v>92.8</v>
      </c>
      <c r="M2124" s="3">
        <v>1041</v>
      </c>
      <c r="N2124">
        <v>5</v>
      </c>
      <c r="O2124">
        <v>5</v>
      </c>
      <c r="P2124">
        <v>1</v>
      </c>
      <c r="Q2124">
        <v>0</v>
      </c>
      <c r="R2124" s="4">
        <v>53.54</v>
      </c>
      <c r="S2124">
        <v>0</v>
      </c>
      <c r="T2124">
        <v>1</v>
      </c>
    </row>
    <row r="2125" spans="1:20" ht="16.5" x14ac:dyDescent="0.3">
      <c r="A2125" t="s">
        <v>2178</v>
      </c>
      <c r="B2125" s="1">
        <v>45605</v>
      </c>
      <c r="C2125">
        <v>2024</v>
      </c>
      <c r="D2125" t="s">
        <v>1873</v>
      </c>
      <c r="E2125" t="s">
        <v>2108</v>
      </c>
      <c r="F2125" t="s">
        <v>57</v>
      </c>
      <c r="G2125" t="s">
        <v>24</v>
      </c>
      <c r="H2125" t="s">
        <v>25</v>
      </c>
      <c r="I2125" t="s">
        <v>31</v>
      </c>
      <c r="J2125" t="s">
        <v>27</v>
      </c>
      <c r="K2125" t="s">
        <v>32</v>
      </c>
      <c r="L2125" s="2">
        <v>7.6</v>
      </c>
      <c r="M2125" s="3">
        <v>619</v>
      </c>
      <c r="N2125">
        <v>6</v>
      </c>
      <c r="O2125">
        <v>6</v>
      </c>
      <c r="P2125">
        <v>1</v>
      </c>
      <c r="Q2125">
        <v>0</v>
      </c>
      <c r="R2125" s="4">
        <v>13.39</v>
      </c>
      <c r="S2125">
        <v>0</v>
      </c>
      <c r="T2125">
        <v>1</v>
      </c>
    </row>
    <row r="2126" spans="1:20" ht="16.5" x14ac:dyDescent="0.3">
      <c r="A2126" t="s">
        <v>2179</v>
      </c>
      <c r="B2126" s="1">
        <v>45605</v>
      </c>
      <c r="C2126">
        <v>2024</v>
      </c>
      <c r="D2126" t="s">
        <v>1873</v>
      </c>
      <c r="E2126" t="s">
        <v>2108</v>
      </c>
      <c r="F2126" t="s">
        <v>23</v>
      </c>
      <c r="G2126" t="s">
        <v>39</v>
      </c>
      <c r="H2126" t="s">
        <v>25</v>
      </c>
      <c r="I2126" t="s">
        <v>26</v>
      </c>
      <c r="J2126" t="s">
        <v>27</v>
      </c>
      <c r="K2126" t="s">
        <v>32</v>
      </c>
      <c r="L2126" s="2">
        <v>6.5</v>
      </c>
      <c r="M2126" s="3">
        <v>875</v>
      </c>
      <c r="N2126">
        <v>4</v>
      </c>
      <c r="O2126">
        <v>4</v>
      </c>
      <c r="P2126">
        <v>1</v>
      </c>
      <c r="Q2126">
        <v>0</v>
      </c>
      <c r="R2126" s="4">
        <v>19.8</v>
      </c>
      <c r="S2126">
        <v>0</v>
      </c>
      <c r="T2126">
        <v>1</v>
      </c>
    </row>
    <row r="2127" spans="1:20" ht="16.5" x14ac:dyDescent="0.3">
      <c r="A2127" t="s">
        <v>2180</v>
      </c>
      <c r="B2127" s="1">
        <v>45605</v>
      </c>
      <c r="C2127">
        <v>2024</v>
      </c>
      <c r="D2127" t="s">
        <v>1873</v>
      </c>
      <c r="E2127" t="s">
        <v>2108</v>
      </c>
      <c r="F2127" t="s">
        <v>23</v>
      </c>
      <c r="G2127" t="s">
        <v>39</v>
      </c>
      <c r="H2127" t="s">
        <v>25</v>
      </c>
      <c r="I2127" t="s">
        <v>31</v>
      </c>
      <c r="J2127" t="s">
        <v>27</v>
      </c>
      <c r="K2127" t="s">
        <v>32</v>
      </c>
      <c r="L2127" s="2">
        <v>4.7</v>
      </c>
      <c r="M2127" s="3">
        <v>1029</v>
      </c>
      <c r="N2127">
        <v>6</v>
      </c>
      <c r="O2127">
        <v>6</v>
      </c>
      <c r="P2127">
        <v>1</v>
      </c>
      <c r="Q2127">
        <v>0</v>
      </c>
      <c r="R2127" s="4">
        <v>14.95</v>
      </c>
      <c r="S2127">
        <v>0</v>
      </c>
      <c r="T2127">
        <v>1</v>
      </c>
    </row>
    <row r="2128" spans="1:20" ht="16.5" x14ac:dyDescent="0.3">
      <c r="A2128" t="s">
        <v>2181</v>
      </c>
      <c r="B2128" s="1">
        <v>45605</v>
      </c>
      <c r="C2128">
        <v>2024</v>
      </c>
      <c r="D2128" t="s">
        <v>1873</v>
      </c>
      <c r="E2128" t="s">
        <v>2108</v>
      </c>
      <c r="F2128" t="s">
        <v>38</v>
      </c>
      <c r="G2128" t="s">
        <v>39</v>
      </c>
      <c r="H2128" t="s">
        <v>36</v>
      </c>
      <c r="I2128" t="s">
        <v>26</v>
      </c>
      <c r="J2128" t="s">
        <v>27</v>
      </c>
      <c r="K2128" t="s">
        <v>32</v>
      </c>
      <c r="L2128" s="2">
        <v>8.1</v>
      </c>
      <c r="M2128" s="3">
        <v>248</v>
      </c>
      <c r="N2128">
        <v>3</v>
      </c>
      <c r="O2128">
        <v>3</v>
      </c>
      <c r="P2128">
        <v>1</v>
      </c>
      <c r="Q2128">
        <v>0</v>
      </c>
      <c r="R2128" s="4">
        <v>16.68</v>
      </c>
      <c r="S2128">
        <v>0</v>
      </c>
      <c r="T2128">
        <v>1</v>
      </c>
    </row>
    <row r="2129" spans="1:20" ht="16.5" x14ac:dyDescent="0.3">
      <c r="A2129" t="s">
        <v>2182</v>
      </c>
      <c r="B2129" s="1">
        <v>45605</v>
      </c>
      <c r="C2129">
        <v>2024</v>
      </c>
      <c r="D2129" t="s">
        <v>1873</v>
      </c>
      <c r="E2129" t="s">
        <v>2108</v>
      </c>
      <c r="F2129" t="s">
        <v>38</v>
      </c>
      <c r="G2129" t="s">
        <v>24</v>
      </c>
      <c r="H2129" t="s">
        <v>36</v>
      </c>
      <c r="I2129" t="s">
        <v>26</v>
      </c>
      <c r="J2129" t="s">
        <v>27</v>
      </c>
      <c r="K2129" t="s">
        <v>32</v>
      </c>
      <c r="L2129" s="2">
        <v>3.4</v>
      </c>
      <c r="M2129" s="3">
        <v>262</v>
      </c>
      <c r="N2129">
        <v>3</v>
      </c>
      <c r="O2129">
        <v>3</v>
      </c>
      <c r="P2129">
        <v>1</v>
      </c>
      <c r="Q2129">
        <v>0</v>
      </c>
      <c r="R2129" s="4">
        <v>12.87</v>
      </c>
      <c r="S2129">
        <v>0</v>
      </c>
      <c r="T2129">
        <v>1</v>
      </c>
    </row>
    <row r="2130" spans="1:20" ht="16.5" x14ac:dyDescent="0.3">
      <c r="A2130" t="s">
        <v>2183</v>
      </c>
      <c r="B2130" s="1">
        <v>45605</v>
      </c>
      <c r="C2130">
        <v>2024</v>
      </c>
      <c r="D2130" t="s">
        <v>1873</v>
      </c>
      <c r="E2130" t="s">
        <v>2108</v>
      </c>
      <c r="F2130" t="s">
        <v>30</v>
      </c>
      <c r="G2130" t="s">
        <v>39</v>
      </c>
      <c r="H2130" t="s">
        <v>43</v>
      </c>
      <c r="I2130" t="s">
        <v>31</v>
      </c>
      <c r="J2130" t="s">
        <v>27</v>
      </c>
      <c r="K2130" t="s">
        <v>32</v>
      </c>
      <c r="L2130" s="2">
        <v>1.7</v>
      </c>
      <c r="M2130" s="3">
        <v>1281</v>
      </c>
      <c r="N2130">
        <v>7</v>
      </c>
      <c r="O2130">
        <v>7</v>
      </c>
      <c r="P2130">
        <v>1</v>
      </c>
      <c r="Q2130">
        <v>0</v>
      </c>
      <c r="R2130" s="4">
        <v>19.16</v>
      </c>
      <c r="S2130">
        <v>0</v>
      </c>
      <c r="T2130">
        <v>1</v>
      </c>
    </row>
    <row r="2131" spans="1:20" ht="16.5" x14ac:dyDescent="0.3">
      <c r="A2131" t="s">
        <v>2184</v>
      </c>
      <c r="B2131" s="1">
        <v>45605</v>
      </c>
      <c r="C2131">
        <v>2024</v>
      </c>
      <c r="D2131" t="s">
        <v>1873</v>
      </c>
      <c r="E2131" t="s">
        <v>2108</v>
      </c>
      <c r="F2131" t="s">
        <v>30</v>
      </c>
      <c r="G2131" t="s">
        <v>35</v>
      </c>
      <c r="H2131" t="s">
        <v>48</v>
      </c>
      <c r="I2131" t="s">
        <v>26</v>
      </c>
      <c r="J2131" t="s">
        <v>27</v>
      </c>
      <c r="K2131" t="s">
        <v>28</v>
      </c>
      <c r="L2131" s="2">
        <v>247.7</v>
      </c>
      <c r="M2131" s="3">
        <v>503</v>
      </c>
      <c r="N2131">
        <v>4</v>
      </c>
      <c r="O2131">
        <v>4</v>
      </c>
      <c r="P2131">
        <v>1</v>
      </c>
      <c r="Q2131">
        <v>0</v>
      </c>
      <c r="R2131" s="4">
        <v>111.94</v>
      </c>
      <c r="S2131">
        <v>0</v>
      </c>
      <c r="T2131">
        <v>1</v>
      </c>
    </row>
    <row r="2132" spans="1:20" ht="16.5" x14ac:dyDescent="0.3">
      <c r="A2132" t="s">
        <v>2185</v>
      </c>
      <c r="B2132" s="1">
        <v>45605</v>
      </c>
      <c r="C2132">
        <v>2024</v>
      </c>
      <c r="D2132" t="s">
        <v>1873</v>
      </c>
      <c r="E2132" t="s">
        <v>2108</v>
      </c>
      <c r="F2132" t="s">
        <v>57</v>
      </c>
      <c r="G2132" t="s">
        <v>24</v>
      </c>
      <c r="H2132" t="s">
        <v>51</v>
      </c>
      <c r="I2132" t="s">
        <v>40</v>
      </c>
      <c r="J2132" t="s">
        <v>41</v>
      </c>
      <c r="K2132" t="s">
        <v>32</v>
      </c>
      <c r="L2132" s="2">
        <v>10</v>
      </c>
      <c r="M2132" s="3">
        <v>1114</v>
      </c>
      <c r="N2132">
        <v>3</v>
      </c>
      <c r="O2132">
        <v>2</v>
      </c>
      <c r="P2132">
        <v>1</v>
      </c>
      <c r="Q2132">
        <v>0</v>
      </c>
      <c r="R2132" s="4">
        <v>73.349999999999994</v>
      </c>
      <c r="S2132">
        <v>0</v>
      </c>
      <c r="T2132">
        <v>1</v>
      </c>
    </row>
    <row r="2133" spans="1:20" ht="16.5" x14ac:dyDescent="0.3">
      <c r="A2133" t="s">
        <v>2186</v>
      </c>
      <c r="B2133" s="1">
        <v>45605</v>
      </c>
      <c r="C2133">
        <v>2024</v>
      </c>
      <c r="D2133" t="s">
        <v>1873</v>
      </c>
      <c r="E2133" t="s">
        <v>2108</v>
      </c>
      <c r="F2133" t="s">
        <v>34</v>
      </c>
      <c r="G2133" t="s">
        <v>39</v>
      </c>
      <c r="H2133" t="s">
        <v>43</v>
      </c>
      <c r="I2133" t="s">
        <v>26</v>
      </c>
      <c r="J2133" t="s">
        <v>27</v>
      </c>
      <c r="K2133" t="s">
        <v>28</v>
      </c>
      <c r="L2133" s="2">
        <v>91.9</v>
      </c>
      <c r="M2133" s="3">
        <v>1194</v>
      </c>
      <c r="N2133">
        <v>5</v>
      </c>
      <c r="O2133">
        <v>5</v>
      </c>
      <c r="P2133">
        <v>1</v>
      </c>
      <c r="Q2133">
        <v>0</v>
      </c>
      <c r="R2133" s="4">
        <v>54.95</v>
      </c>
      <c r="S2133">
        <v>0</v>
      </c>
      <c r="T2133">
        <v>1</v>
      </c>
    </row>
    <row r="2134" spans="1:20" ht="16.5" x14ac:dyDescent="0.3">
      <c r="A2134" t="s">
        <v>2187</v>
      </c>
      <c r="B2134" s="1">
        <v>45605</v>
      </c>
      <c r="C2134">
        <v>2024</v>
      </c>
      <c r="D2134" t="s">
        <v>1873</v>
      </c>
      <c r="E2134" t="s">
        <v>2108</v>
      </c>
      <c r="F2134" t="s">
        <v>57</v>
      </c>
      <c r="G2134" t="s">
        <v>39</v>
      </c>
      <c r="H2134" t="s">
        <v>25</v>
      </c>
      <c r="I2134" t="s">
        <v>26</v>
      </c>
      <c r="J2134" t="s">
        <v>27</v>
      </c>
      <c r="K2134" t="s">
        <v>32</v>
      </c>
      <c r="L2134" s="2">
        <v>1.3</v>
      </c>
      <c r="M2134" s="3">
        <v>760</v>
      </c>
      <c r="N2134">
        <v>4</v>
      </c>
      <c r="O2134">
        <v>4</v>
      </c>
      <c r="P2134">
        <v>1</v>
      </c>
      <c r="Q2134">
        <v>0</v>
      </c>
      <c r="R2134" s="4">
        <v>16.38</v>
      </c>
      <c r="S2134">
        <v>0</v>
      </c>
      <c r="T2134">
        <v>1</v>
      </c>
    </row>
    <row r="2135" spans="1:20" ht="16.5" x14ac:dyDescent="0.3">
      <c r="A2135" t="s">
        <v>2188</v>
      </c>
      <c r="B2135" s="1">
        <v>45606</v>
      </c>
      <c r="C2135">
        <v>2024</v>
      </c>
      <c r="D2135" t="s">
        <v>1873</v>
      </c>
      <c r="E2135" t="s">
        <v>2108</v>
      </c>
      <c r="F2135" t="s">
        <v>34</v>
      </c>
      <c r="G2135" t="s">
        <v>35</v>
      </c>
      <c r="H2135" t="s">
        <v>25</v>
      </c>
      <c r="I2135" t="s">
        <v>26</v>
      </c>
      <c r="J2135" t="s">
        <v>27</v>
      </c>
      <c r="K2135" t="s">
        <v>32</v>
      </c>
      <c r="L2135" s="2">
        <v>1.6</v>
      </c>
      <c r="M2135" s="3">
        <v>990</v>
      </c>
      <c r="N2135">
        <v>4</v>
      </c>
      <c r="O2135">
        <v>4</v>
      </c>
      <c r="P2135">
        <v>1</v>
      </c>
      <c r="Q2135">
        <v>0</v>
      </c>
      <c r="R2135" s="4">
        <v>16.61</v>
      </c>
      <c r="S2135">
        <v>0</v>
      </c>
      <c r="T2135">
        <v>1</v>
      </c>
    </row>
    <row r="2136" spans="1:20" ht="16.5" x14ac:dyDescent="0.3">
      <c r="A2136" t="s">
        <v>2189</v>
      </c>
      <c r="B2136" s="1">
        <v>45606</v>
      </c>
      <c r="C2136">
        <v>2024</v>
      </c>
      <c r="D2136" t="s">
        <v>1873</v>
      </c>
      <c r="E2136" t="s">
        <v>2108</v>
      </c>
      <c r="F2136" t="s">
        <v>38</v>
      </c>
      <c r="G2136" t="s">
        <v>24</v>
      </c>
      <c r="H2136" t="s">
        <v>43</v>
      </c>
      <c r="I2136" t="s">
        <v>40</v>
      </c>
      <c r="J2136" t="s">
        <v>41</v>
      </c>
      <c r="K2136" t="s">
        <v>32</v>
      </c>
      <c r="L2136" s="2">
        <v>6.6</v>
      </c>
      <c r="M2136" s="3">
        <v>1125</v>
      </c>
      <c r="N2136">
        <v>3</v>
      </c>
      <c r="O2136">
        <v>3</v>
      </c>
      <c r="P2136">
        <v>1</v>
      </c>
      <c r="Q2136">
        <v>0</v>
      </c>
      <c r="R2136" s="4">
        <v>75.209999999999994</v>
      </c>
      <c r="S2136">
        <v>0</v>
      </c>
      <c r="T2136">
        <v>1</v>
      </c>
    </row>
    <row r="2137" spans="1:20" ht="16.5" x14ac:dyDescent="0.3">
      <c r="A2137" t="s">
        <v>2190</v>
      </c>
      <c r="B2137" s="1">
        <v>45606</v>
      </c>
      <c r="C2137">
        <v>2024</v>
      </c>
      <c r="D2137" t="s">
        <v>1873</v>
      </c>
      <c r="E2137" t="s">
        <v>2108</v>
      </c>
      <c r="F2137" t="s">
        <v>57</v>
      </c>
      <c r="G2137" t="s">
        <v>35</v>
      </c>
      <c r="H2137" t="s">
        <v>48</v>
      </c>
      <c r="I2137" t="s">
        <v>40</v>
      </c>
      <c r="J2137" t="s">
        <v>27</v>
      </c>
      <c r="K2137" t="s">
        <v>32</v>
      </c>
      <c r="L2137" s="2">
        <v>3.8</v>
      </c>
      <c r="M2137" s="3">
        <v>537</v>
      </c>
      <c r="N2137">
        <v>2</v>
      </c>
      <c r="O2137">
        <v>2</v>
      </c>
      <c r="P2137">
        <v>1</v>
      </c>
      <c r="Q2137">
        <v>0</v>
      </c>
      <c r="R2137" s="4">
        <v>30.53</v>
      </c>
      <c r="S2137">
        <v>0</v>
      </c>
      <c r="T2137">
        <v>1</v>
      </c>
    </row>
    <row r="2138" spans="1:20" ht="16.5" x14ac:dyDescent="0.3">
      <c r="A2138" t="s">
        <v>2191</v>
      </c>
      <c r="B2138" s="1">
        <v>45606</v>
      </c>
      <c r="C2138">
        <v>2024</v>
      </c>
      <c r="D2138" t="s">
        <v>1873</v>
      </c>
      <c r="E2138" t="s">
        <v>2108</v>
      </c>
      <c r="F2138" t="s">
        <v>34</v>
      </c>
      <c r="G2138" t="s">
        <v>35</v>
      </c>
      <c r="H2138" t="s">
        <v>48</v>
      </c>
      <c r="I2138" t="s">
        <v>31</v>
      </c>
      <c r="J2138" t="s">
        <v>27</v>
      </c>
      <c r="K2138" t="s">
        <v>32</v>
      </c>
      <c r="L2138" s="2">
        <v>11.1</v>
      </c>
      <c r="M2138" s="3">
        <v>510</v>
      </c>
      <c r="N2138">
        <v>6</v>
      </c>
      <c r="O2138">
        <v>7</v>
      </c>
      <c r="P2138">
        <v>0</v>
      </c>
      <c r="Q2138">
        <v>1</v>
      </c>
      <c r="R2138" s="4">
        <v>11.95</v>
      </c>
      <c r="S2138">
        <v>0</v>
      </c>
      <c r="T2138">
        <v>1</v>
      </c>
    </row>
    <row r="2139" spans="1:20" ht="16.5" x14ac:dyDescent="0.3">
      <c r="A2139" t="s">
        <v>2192</v>
      </c>
      <c r="B2139" s="1">
        <v>45606</v>
      </c>
      <c r="C2139">
        <v>2024</v>
      </c>
      <c r="D2139" t="s">
        <v>1873</v>
      </c>
      <c r="E2139" t="s">
        <v>2108</v>
      </c>
      <c r="F2139" t="s">
        <v>30</v>
      </c>
      <c r="G2139" t="s">
        <v>35</v>
      </c>
      <c r="H2139" t="s">
        <v>43</v>
      </c>
      <c r="I2139" t="s">
        <v>31</v>
      </c>
      <c r="J2139" t="s">
        <v>27</v>
      </c>
      <c r="K2139" t="s">
        <v>32</v>
      </c>
      <c r="L2139" s="2">
        <v>14.1</v>
      </c>
      <c r="M2139" s="3">
        <v>961</v>
      </c>
      <c r="N2139">
        <v>7</v>
      </c>
      <c r="O2139">
        <v>7</v>
      </c>
      <c r="P2139">
        <v>1</v>
      </c>
      <c r="Q2139">
        <v>0</v>
      </c>
      <c r="R2139" s="4">
        <v>19.96</v>
      </c>
      <c r="S2139">
        <v>0</v>
      </c>
      <c r="T2139">
        <v>1</v>
      </c>
    </row>
    <row r="2140" spans="1:20" ht="16.5" x14ac:dyDescent="0.3">
      <c r="A2140" t="s">
        <v>2193</v>
      </c>
      <c r="B2140" s="1">
        <v>45606</v>
      </c>
      <c r="C2140">
        <v>2024</v>
      </c>
      <c r="D2140" t="s">
        <v>1873</v>
      </c>
      <c r="E2140" t="s">
        <v>2108</v>
      </c>
      <c r="F2140" t="s">
        <v>23</v>
      </c>
      <c r="G2140" t="s">
        <v>39</v>
      </c>
      <c r="H2140" t="s">
        <v>43</v>
      </c>
      <c r="I2140" t="s">
        <v>26</v>
      </c>
      <c r="J2140" t="s">
        <v>27</v>
      </c>
      <c r="K2140" t="s">
        <v>32</v>
      </c>
      <c r="L2140" s="2">
        <v>8.1999999999999993</v>
      </c>
      <c r="M2140" s="3">
        <v>842</v>
      </c>
      <c r="N2140">
        <v>5</v>
      </c>
      <c r="O2140">
        <v>5</v>
      </c>
      <c r="P2140">
        <v>1</v>
      </c>
      <c r="Q2140">
        <v>0</v>
      </c>
      <c r="R2140" s="4">
        <v>19.190000000000001</v>
      </c>
      <c r="S2140">
        <v>0</v>
      </c>
      <c r="T2140">
        <v>1</v>
      </c>
    </row>
    <row r="2141" spans="1:20" ht="16.5" x14ac:dyDescent="0.3">
      <c r="A2141" t="s">
        <v>2194</v>
      </c>
      <c r="B2141" s="1">
        <v>45606</v>
      </c>
      <c r="C2141">
        <v>2024</v>
      </c>
      <c r="D2141" t="s">
        <v>1873</v>
      </c>
      <c r="E2141" t="s">
        <v>2108</v>
      </c>
      <c r="F2141" t="s">
        <v>30</v>
      </c>
      <c r="G2141" t="s">
        <v>39</v>
      </c>
      <c r="H2141" t="s">
        <v>48</v>
      </c>
      <c r="I2141" t="s">
        <v>26</v>
      </c>
      <c r="J2141" t="s">
        <v>27</v>
      </c>
      <c r="K2141" t="s">
        <v>28</v>
      </c>
      <c r="L2141" s="2">
        <v>89.3</v>
      </c>
      <c r="M2141" s="3">
        <v>530</v>
      </c>
      <c r="N2141">
        <v>4</v>
      </c>
      <c r="O2141">
        <v>6</v>
      </c>
      <c r="P2141">
        <v>0</v>
      </c>
      <c r="Q2141">
        <v>2</v>
      </c>
      <c r="R2141" s="4">
        <v>55.02</v>
      </c>
      <c r="S2141">
        <v>0</v>
      </c>
      <c r="T2141">
        <v>1</v>
      </c>
    </row>
    <row r="2142" spans="1:20" ht="16.5" x14ac:dyDescent="0.3">
      <c r="A2142" t="s">
        <v>2195</v>
      </c>
      <c r="B2142" s="1">
        <v>45606</v>
      </c>
      <c r="C2142">
        <v>2024</v>
      </c>
      <c r="D2142" t="s">
        <v>1873</v>
      </c>
      <c r="E2142" t="s">
        <v>2108</v>
      </c>
      <c r="F2142" t="s">
        <v>38</v>
      </c>
      <c r="G2142" t="s">
        <v>39</v>
      </c>
      <c r="H2142" t="s">
        <v>25</v>
      </c>
      <c r="I2142" t="s">
        <v>26</v>
      </c>
      <c r="J2142" t="s">
        <v>27</v>
      </c>
      <c r="K2142" t="s">
        <v>32</v>
      </c>
      <c r="L2142" s="2">
        <v>6.1</v>
      </c>
      <c r="M2142" s="3">
        <v>978</v>
      </c>
      <c r="N2142">
        <v>4</v>
      </c>
      <c r="O2142">
        <v>3</v>
      </c>
      <c r="P2142">
        <v>1</v>
      </c>
      <c r="Q2142">
        <v>0</v>
      </c>
      <c r="R2142" s="4">
        <v>25.1</v>
      </c>
      <c r="S2142">
        <v>0</v>
      </c>
      <c r="T2142">
        <v>1</v>
      </c>
    </row>
    <row r="2143" spans="1:20" ht="16.5" x14ac:dyDescent="0.3">
      <c r="A2143" t="s">
        <v>2196</v>
      </c>
      <c r="B2143" s="1">
        <v>45607</v>
      </c>
      <c r="C2143">
        <v>2024</v>
      </c>
      <c r="D2143" t="s">
        <v>1873</v>
      </c>
      <c r="E2143" t="s">
        <v>2108</v>
      </c>
      <c r="F2143" t="s">
        <v>34</v>
      </c>
      <c r="G2143" t="s">
        <v>39</v>
      </c>
      <c r="H2143" t="s">
        <v>36</v>
      </c>
      <c r="I2143" t="s">
        <v>26</v>
      </c>
      <c r="J2143" t="s">
        <v>27</v>
      </c>
      <c r="K2143" t="s">
        <v>28</v>
      </c>
      <c r="L2143" s="2">
        <v>207.2</v>
      </c>
      <c r="M2143" s="3">
        <v>271</v>
      </c>
      <c r="N2143">
        <v>3</v>
      </c>
      <c r="O2143">
        <v>3</v>
      </c>
      <c r="P2143">
        <v>1</v>
      </c>
      <c r="Q2143">
        <v>0</v>
      </c>
      <c r="R2143" s="4">
        <v>77.260000000000005</v>
      </c>
      <c r="S2143">
        <v>0</v>
      </c>
      <c r="T2143">
        <v>1</v>
      </c>
    </row>
    <row r="2144" spans="1:20" ht="16.5" x14ac:dyDescent="0.3">
      <c r="A2144" t="s">
        <v>2197</v>
      </c>
      <c r="B2144" s="1">
        <v>45607</v>
      </c>
      <c r="C2144">
        <v>2024</v>
      </c>
      <c r="D2144" t="s">
        <v>1873</v>
      </c>
      <c r="E2144" t="s">
        <v>2108</v>
      </c>
      <c r="F2144" t="s">
        <v>57</v>
      </c>
      <c r="G2144" t="s">
        <v>24</v>
      </c>
      <c r="H2144" t="s">
        <v>51</v>
      </c>
      <c r="I2144" t="s">
        <v>26</v>
      </c>
      <c r="J2144" t="s">
        <v>27</v>
      </c>
      <c r="K2144" t="s">
        <v>28</v>
      </c>
      <c r="L2144" s="2">
        <v>136.5</v>
      </c>
      <c r="M2144" s="3">
        <v>922</v>
      </c>
      <c r="N2144">
        <v>5</v>
      </c>
      <c r="O2144">
        <v>6</v>
      </c>
      <c r="P2144">
        <v>0</v>
      </c>
      <c r="Q2144">
        <v>1</v>
      </c>
      <c r="R2144" s="4">
        <v>76.27</v>
      </c>
      <c r="S2144">
        <v>0</v>
      </c>
      <c r="T2144">
        <v>1</v>
      </c>
    </row>
    <row r="2145" spans="1:20" ht="16.5" x14ac:dyDescent="0.3">
      <c r="A2145" t="s">
        <v>2198</v>
      </c>
      <c r="B2145" s="1">
        <v>45607</v>
      </c>
      <c r="C2145">
        <v>2024</v>
      </c>
      <c r="D2145" t="s">
        <v>1873</v>
      </c>
      <c r="E2145" t="s">
        <v>2108</v>
      </c>
      <c r="F2145" t="s">
        <v>23</v>
      </c>
      <c r="G2145" t="s">
        <v>39</v>
      </c>
      <c r="H2145" t="s">
        <v>48</v>
      </c>
      <c r="I2145" t="s">
        <v>26</v>
      </c>
      <c r="J2145" t="s">
        <v>27</v>
      </c>
      <c r="K2145" t="s">
        <v>32</v>
      </c>
      <c r="L2145" s="2">
        <v>17.600000000000001</v>
      </c>
      <c r="M2145" s="3">
        <v>569</v>
      </c>
      <c r="N2145">
        <v>4</v>
      </c>
      <c r="O2145">
        <v>5</v>
      </c>
      <c r="P2145">
        <v>0</v>
      </c>
      <c r="Q2145">
        <v>1</v>
      </c>
      <c r="R2145" s="4">
        <v>19.91</v>
      </c>
      <c r="S2145">
        <v>0</v>
      </c>
      <c r="T2145">
        <v>1</v>
      </c>
    </row>
    <row r="2146" spans="1:20" ht="16.5" x14ac:dyDescent="0.3">
      <c r="A2146" t="s">
        <v>2199</v>
      </c>
      <c r="B2146" s="1">
        <v>45607</v>
      </c>
      <c r="C2146">
        <v>2024</v>
      </c>
      <c r="D2146" t="s">
        <v>1873</v>
      </c>
      <c r="E2146" t="s">
        <v>2108</v>
      </c>
      <c r="F2146" t="s">
        <v>30</v>
      </c>
      <c r="G2146" t="s">
        <v>35</v>
      </c>
      <c r="H2146" t="s">
        <v>36</v>
      </c>
      <c r="I2146" t="s">
        <v>26</v>
      </c>
      <c r="J2146" t="s">
        <v>27</v>
      </c>
      <c r="K2146" t="s">
        <v>32</v>
      </c>
      <c r="L2146" s="2">
        <v>7.5</v>
      </c>
      <c r="M2146" s="3">
        <v>203</v>
      </c>
      <c r="N2146">
        <v>3</v>
      </c>
      <c r="O2146">
        <v>3</v>
      </c>
      <c r="P2146">
        <v>1</v>
      </c>
      <c r="Q2146">
        <v>0</v>
      </c>
      <c r="R2146" s="4">
        <v>16.37</v>
      </c>
      <c r="S2146">
        <v>0</v>
      </c>
      <c r="T2146">
        <v>1</v>
      </c>
    </row>
    <row r="2147" spans="1:20" ht="16.5" x14ac:dyDescent="0.3">
      <c r="A2147" t="s">
        <v>2200</v>
      </c>
      <c r="B2147" s="1">
        <v>45607</v>
      </c>
      <c r="C2147">
        <v>2024</v>
      </c>
      <c r="D2147" t="s">
        <v>1873</v>
      </c>
      <c r="E2147" t="s">
        <v>2108</v>
      </c>
      <c r="F2147" t="s">
        <v>34</v>
      </c>
      <c r="G2147" t="s">
        <v>35</v>
      </c>
      <c r="H2147" t="s">
        <v>25</v>
      </c>
      <c r="I2147" t="s">
        <v>26</v>
      </c>
      <c r="J2147" t="s">
        <v>27</v>
      </c>
      <c r="K2147" t="s">
        <v>32</v>
      </c>
      <c r="L2147" s="2">
        <v>9.1</v>
      </c>
      <c r="M2147" s="3">
        <v>1148</v>
      </c>
      <c r="N2147">
        <v>4</v>
      </c>
      <c r="O2147">
        <v>4</v>
      </c>
      <c r="P2147">
        <v>1</v>
      </c>
      <c r="Q2147">
        <v>0</v>
      </c>
      <c r="R2147" s="4">
        <v>20.8</v>
      </c>
      <c r="S2147">
        <v>0</v>
      </c>
      <c r="T2147">
        <v>1</v>
      </c>
    </row>
    <row r="2148" spans="1:20" ht="16.5" x14ac:dyDescent="0.3">
      <c r="A2148" t="s">
        <v>2201</v>
      </c>
      <c r="B2148" s="1">
        <v>45607</v>
      </c>
      <c r="C2148">
        <v>2024</v>
      </c>
      <c r="D2148" t="s">
        <v>1873</v>
      </c>
      <c r="E2148" t="s">
        <v>2108</v>
      </c>
      <c r="F2148" t="s">
        <v>38</v>
      </c>
      <c r="G2148" t="s">
        <v>24</v>
      </c>
      <c r="H2148" t="s">
        <v>36</v>
      </c>
      <c r="I2148" t="s">
        <v>31</v>
      </c>
      <c r="J2148" t="s">
        <v>27</v>
      </c>
      <c r="K2148" t="s">
        <v>28</v>
      </c>
      <c r="L2148" s="2">
        <v>90.5</v>
      </c>
      <c r="M2148" s="3">
        <v>259</v>
      </c>
      <c r="N2148">
        <v>5</v>
      </c>
      <c r="O2148">
        <v>4</v>
      </c>
      <c r="P2148">
        <v>1</v>
      </c>
      <c r="Q2148">
        <v>0</v>
      </c>
      <c r="R2148" s="4">
        <v>43.42</v>
      </c>
      <c r="S2148">
        <v>0</v>
      </c>
      <c r="T2148">
        <v>1</v>
      </c>
    </row>
    <row r="2149" spans="1:20" ht="16.5" x14ac:dyDescent="0.3">
      <c r="A2149" t="s">
        <v>2202</v>
      </c>
      <c r="B2149" s="1">
        <v>45607</v>
      </c>
      <c r="C2149">
        <v>2024</v>
      </c>
      <c r="D2149" t="s">
        <v>1873</v>
      </c>
      <c r="E2149" t="s">
        <v>2108</v>
      </c>
      <c r="F2149" t="s">
        <v>57</v>
      </c>
      <c r="G2149" t="s">
        <v>35</v>
      </c>
      <c r="H2149" t="s">
        <v>25</v>
      </c>
      <c r="I2149" t="s">
        <v>31</v>
      </c>
      <c r="J2149" t="s">
        <v>27</v>
      </c>
      <c r="K2149" t="s">
        <v>28</v>
      </c>
      <c r="L2149" s="2">
        <v>107.5</v>
      </c>
      <c r="M2149" s="3">
        <v>689</v>
      </c>
      <c r="N2149">
        <v>6</v>
      </c>
      <c r="O2149">
        <v>5</v>
      </c>
      <c r="P2149">
        <v>1</v>
      </c>
      <c r="Q2149">
        <v>0</v>
      </c>
      <c r="R2149" s="4">
        <v>44.41</v>
      </c>
      <c r="S2149">
        <v>0</v>
      </c>
      <c r="T2149">
        <v>1</v>
      </c>
    </row>
    <row r="2150" spans="1:20" ht="16.5" x14ac:dyDescent="0.3">
      <c r="A2150" t="s">
        <v>2203</v>
      </c>
      <c r="B2150" s="1">
        <v>45607</v>
      </c>
      <c r="C2150">
        <v>2024</v>
      </c>
      <c r="D2150" t="s">
        <v>1873</v>
      </c>
      <c r="E2150" t="s">
        <v>2108</v>
      </c>
      <c r="F2150" t="s">
        <v>30</v>
      </c>
      <c r="G2150" t="s">
        <v>24</v>
      </c>
      <c r="H2150" t="s">
        <v>51</v>
      </c>
      <c r="I2150" t="s">
        <v>31</v>
      </c>
      <c r="J2150" t="s">
        <v>27</v>
      </c>
      <c r="K2150" t="s">
        <v>32</v>
      </c>
      <c r="L2150" s="2">
        <v>2.9</v>
      </c>
      <c r="M2150" s="3">
        <v>1133</v>
      </c>
      <c r="N2150">
        <v>7</v>
      </c>
      <c r="O2150">
        <v>7</v>
      </c>
      <c r="P2150">
        <v>1</v>
      </c>
      <c r="Q2150">
        <v>0</v>
      </c>
      <c r="R2150" s="4">
        <v>17.43</v>
      </c>
      <c r="S2150">
        <v>0</v>
      </c>
      <c r="T2150">
        <v>1</v>
      </c>
    </row>
    <row r="2151" spans="1:20" ht="16.5" x14ac:dyDescent="0.3">
      <c r="A2151" t="s">
        <v>2204</v>
      </c>
      <c r="B2151" s="1">
        <v>45607</v>
      </c>
      <c r="C2151">
        <v>2024</v>
      </c>
      <c r="D2151" t="s">
        <v>1873</v>
      </c>
      <c r="E2151" t="s">
        <v>2108</v>
      </c>
      <c r="F2151" t="s">
        <v>57</v>
      </c>
      <c r="G2151" t="s">
        <v>35</v>
      </c>
      <c r="H2151" t="s">
        <v>25</v>
      </c>
      <c r="I2151" t="s">
        <v>31</v>
      </c>
      <c r="J2151" t="s">
        <v>27</v>
      </c>
      <c r="K2151" t="s">
        <v>32</v>
      </c>
      <c r="L2151" s="2">
        <v>4.8</v>
      </c>
      <c r="M2151" s="3">
        <v>899</v>
      </c>
      <c r="N2151">
        <v>6</v>
      </c>
      <c r="O2151">
        <v>6</v>
      </c>
      <c r="P2151">
        <v>1</v>
      </c>
      <c r="Q2151">
        <v>0</v>
      </c>
      <c r="R2151" s="4">
        <v>15.02</v>
      </c>
      <c r="S2151">
        <v>0</v>
      </c>
      <c r="T2151">
        <v>1</v>
      </c>
    </row>
    <row r="2152" spans="1:20" ht="16.5" x14ac:dyDescent="0.3">
      <c r="A2152" t="s">
        <v>2205</v>
      </c>
      <c r="B2152" s="1">
        <v>45607</v>
      </c>
      <c r="C2152">
        <v>2024</v>
      </c>
      <c r="D2152" t="s">
        <v>1873</v>
      </c>
      <c r="E2152" t="s">
        <v>2108</v>
      </c>
      <c r="F2152" t="s">
        <v>57</v>
      </c>
      <c r="G2152" t="s">
        <v>39</v>
      </c>
      <c r="H2152" t="s">
        <v>43</v>
      </c>
      <c r="I2152" t="s">
        <v>26</v>
      </c>
      <c r="J2152" t="s">
        <v>27</v>
      </c>
      <c r="K2152" t="s">
        <v>32</v>
      </c>
      <c r="L2152" s="2">
        <v>6.1</v>
      </c>
      <c r="M2152" s="3">
        <v>1074</v>
      </c>
      <c r="N2152">
        <v>5</v>
      </c>
      <c r="O2152">
        <v>5</v>
      </c>
      <c r="P2152">
        <v>1</v>
      </c>
      <c r="Q2152">
        <v>0</v>
      </c>
      <c r="R2152" s="4">
        <v>20.98</v>
      </c>
      <c r="S2152">
        <v>0</v>
      </c>
      <c r="T2152">
        <v>1</v>
      </c>
    </row>
    <row r="2153" spans="1:20" ht="16.5" x14ac:dyDescent="0.3">
      <c r="A2153" t="s">
        <v>2206</v>
      </c>
      <c r="B2153" s="1">
        <v>45607</v>
      </c>
      <c r="C2153">
        <v>2024</v>
      </c>
      <c r="D2153" t="s">
        <v>1873</v>
      </c>
      <c r="E2153" t="s">
        <v>2108</v>
      </c>
      <c r="F2153" t="s">
        <v>30</v>
      </c>
      <c r="G2153" t="s">
        <v>35</v>
      </c>
      <c r="H2153" t="s">
        <v>48</v>
      </c>
      <c r="I2153" t="s">
        <v>26</v>
      </c>
      <c r="J2153" t="s">
        <v>27</v>
      </c>
      <c r="K2153" t="s">
        <v>28</v>
      </c>
      <c r="L2153" s="2">
        <v>372.7</v>
      </c>
      <c r="M2153" s="3">
        <v>466</v>
      </c>
      <c r="N2153">
        <v>4</v>
      </c>
      <c r="O2153">
        <v>4</v>
      </c>
      <c r="P2153">
        <v>1</v>
      </c>
      <c r="Q2153">
        <v>0</v>
      </c>
      <c r="R2153" s="4">
        <v>165.14</v>
      </c>
      <c r="S2153">
        <v>0</v>
      </c>
      <c r="T2153">
        <v>1</v>
      </c>
    </row>
    <row r="2154" spans="1:20" ht="16.5" x14ac:dyDescent="0.3">
      <c r="A2154" t="s">
        <v>2207</v>
      </c>
      <c r="B2154" s="1">
        <v>45607</v>
      </c>
      <c r="C2154">
        <v>2024</v>
      </c>
      <c r="D2154" t="s">
        <v>1873</v>
      </c>
      <c r="E2154" t="s">
        <v>2108</v>
      </c>
      <c r="F2154" t="s">
        <v>57</v>
      </c>
      <c r="G2154" t="s">
        <v>35</v>
      </c>
      <c r="H2154" t="s">
        <v>36</v>
      </c>
      <c r="I2154" t="s">
        <v>26</v>
      </c>
      <c r="J2154" t="s">
        <v>27</v>
      </c>
      <c r="K2154" t="s">
        <v>28</v>
      </c>
      <c r="L2154" s="2">
        <v>165.1</v>
      </c>
      <c r="M2154" s="3">
        <v>271</v>
      </c>
      <c r="N2154">
        <v>3</v>
      </c>
      <c r="O2154">
        <v>2</v>
      </c>
      <c r="P2154">
        <v>1</v>
      </c>
      <c r="Q2154">
        <v>0</v>
      </c>
      <c r="R2154" s="4">
        <v>78.84</v>
      </c>
      <c r="S2154">
        <v>0</v>
      </c>
      <c r="T2154">
        <v>1</v>
      </c>
    </row>
    <row r="2155" spans="1:20" ht="16.5" x14ac:dyDescent="0.3">
      <c r="A2155" t="s">
        <v>2208</v>
      </c>
      <c r="B2155" s="1">
        <v>45607</v>
      </c>
      <c r="C2155">
        <v>2024</v>
      </c>
      <c r="D2155" t="s">
        <v>1873</v>
      </c>
      <c r="E2155" t="s">
        <v>2108</v>
      </c>
      <c r="F2155" t="s">
        <v>23</v>
      </c>
      <c r="G2155" t="s">
        <v>24</v>
      </c>
      <c r="H2155" t="s">
        <v>36</v>
      </c>
      <c r="I2155" t="s">
        <v>31</v>
      </c>
      <c r="J2155" t="s">
        <v>27</v>
      </c>
      <c r="K2155" t="s">
        <v>28</v>
      </c>
      <c r="L2155" s="2">
        <v>140.30000000000001</v>
      </c>
      <c r="M2155" s="3">
        <v>214</v>
      </c>
      <c r="N2155">
        <v>5</v>
      </c>
      <c r="O2155">
        <v>4</v>
      </c>
      <c r="P2155">
        <v>1</v>
      </c>
      <c r="Q2155">
        <v>0</v>
      </c>
      <c r="R2155" s="4">
        <v>49.59</v>
      </c>
      <c r="S2155">
        <v>0</v>
      </c>
      <c r="T2155">
        <v>1</v>
      </c>
    </row>
    <row r="2156" spans="1:20" ht="16.5" x14ac:dyDescent="0.3">
      <c r="A2156" t="s">
        <v>2209</v>
      </c>
      <c r="B2156" s="1">
        <v>45607</v>
      </c>
      <c r="C2156">
        <v>2024</v>
      </c>
      <c r="D2156" t="s">
        <v>1873</v>
      </c>
      <c r="E2156" t="s">
        <v>2108</v>
      </c>
      <c r="F2156" t="s">
        <v>23</v>
      </c>
      <c r="G2156" t="s">
        <v>35</v>
      </c>
      <c r="H2156" t="s">
        <v>43</v>
      </c>
      <c r="I2156" t="s">
        <v>26</v>
      </c>
      <c r="J2156" t="s">
        <v>27</v>
      </c>
      <c r="K2156" t="s">
        <v>32</v>
      </c>
      <c r="L2156" s="2">
        <v>13.4</v>
      </c>
      <c r="M2156" s="3">
        <v>782</v>
      </c>
      <c r="N2156">
        <v>5</v>
      </c>
      <c r="O2156">
        <v>5</v>
      </c>
      <c r="P2156">
        <v>1</v>
      </c>
      <c r="Q2156">
        <v>0</v>
      </c>
      <c r="R2156" s="4">
        <v>24.1</v>
      </c>
      <c r="S2156">
        <v>0</v>
      </c>
      <c r="T2156">
        <v>1</v>
      </c>
    </row>
    <row r="2157" spans="1:20" ht="16.5" x14ac:dyDescent="0.3">
      <c r="A2157" t="s">
        <v>2210</v>
      </c>
      <c r="B2157" s="1">
        <v>45608</v>
      </c>
      <c r="C2157">
        <v>2024</v>
      </c>
      <c r="D2157" t="s">
        <v>1873</v>
      </c>
      <c r="E2157" t="s">
        <v>2108</v>
      </c>
      <c r="F2157" t="s">
        <v>34</v>
      </c>
      <c r="G2157" t="s">
        <v>35</v>
      </c>
      <c r="H2157" t="s">
        <v>36</v>
      </c>
      <c r="I2157" t="s">
        <v>26</v>
      </c>
      <c r="J2157" t="s">
        <v>27</v>
      </c>
      <c r="K2157" t="s">
        <v>32</v>
      </c>
      <c r="L2157" s="2">
        <v>17</v>
      </c>
      <c r="M2157" s="3">
        <v>204</v>
      </c>
      <c r="N2157">
        <v>3</v>
      </c>
      <c r="O2157">
        <v>2</v>
      </c>
      <c r="P2157">
        <v>1</v>
      </c>
      <c r="Q2157">
        <v>0</v>
      </c>
      <c r="R2157" s="4">
        <v>16.829999999999998</v>
      </c>
      <c r="S2157">
        <v>0</v>
      </c>
      <c r="T2157">
        <v>1</v>
      </c>
    </row>
    <row r="2158" spans="1:20" ht="16.5" x14ac:dyDescent="0.3">
      <c r="A2158" t="s">
        <v>2211</v>
      </c>
      <c r="B2158" s="1">
        <v>45608</v>
      </c>
      <c r="C2158">
        <v>2024</v>
      </c>
      <c r="D2158" t="s">
        <v>1873</v>
      </c>
      <c r="E2158" t="s">
        <v>2108</v>
      </c>
      <c r="F2158" t="s">
        <v>30</v>
      </c>
      <c r="G2158" t="s">
        <v>35</v>
      </c>
      <c r="H2158" t="s">
        <v>25</v>
      </c>
      <c r="I2158" t="s">
        <v>26</v>
      </c>
      <c r="J2158" t="s">
        <v>27</v>
      </c>
      <c r="K2158" t="s">
        <v>32</v>
      </c>
      <c r="L2158" s="2">
        <v>8.1999999999999993</v>
      </c>
      <c r="M2158" s="3">
        <v>775</v>
      </c>
      <c r="N2158">
        <v>4</v>
      </c>
      <c r="O2158">
        <v>4</v>
      </c>
      <c r="P2158">
        <v>1</v>
      </c>
      <c r="Q2158">
        <v>0</v>
      </c>
      <c r="R2158" s="4">
        <v>21.44</v>
      </c>
      <c r="S2158">
        <v>0</v>
      </c>
      <c r="T2158">
        <v>1</v>
      </c>
    </row>
    <row r="2159" spans="1:20" ht="16.5" x14ac:dyDescent="0.3">
      <c r="A2159" t="s">
        <v>2212</v>
      </c>
      <c r="B2159" s="1">
        <v>45608</v>
      </c>
      <c r="C2159">
        <v>2024</v>
      </c>
      <c r="D2159" t="s">
        <v>1873</v>
      </c>
      <c r="E2159" t="s">
        <v>2108</v>
      </c>
      <c r="F2159" t="s">
        <v>30</v>
      </c>
      <c r="G2159" t="s">
        <v>24</v>
      </c>
      <c r="H2159" t="s">
        <v>25</v>
      </c>
      <c r="I2159" t="s">
        <v>26</v>
      </c>
      <c r="J2159" t="s">
        <v>27</v>
      </c>
      <c r="K2159" t="s">
        <v>32</v>
      </c>
      <c r="L2159" s="2">
        <v>1.7</v>
      </c>
      <c r="M2159" s="3">
        <v>815</v>
      </c>
      <c r="N2159">
        <v>4</v>
      </c>
      <c r="O2159">
        <v>4</v>
      </c>
      <c r="P2159">
        <v>1</v>
      </c>
      <c r="Q2159">
        <v>0</v>
      </c>
      <c r="R2159" s="4">
        <v>20.149999999999999</v>
      </c>
      <c r="S2159">
        <v>0</v>
      </c>
      <c r="T2159">
        <v>1</v>
      </c>
    </row>
    <row r="2160" spans="1:20" ht="16.5" x14ac:dyDescent="0.3">
      <c r="A2160" t="s">
        <v>2213</v>
      </c>
      <c r="B2160" s="1">
        <v>45608</v>
      </c>
      <c r="C2160">
        <v>2024</v>
      </c>
      <c r="D2160" t="s">
        <v>1873</v>
      </c>
      <c r="E2160" t="s">
        <v>2108</v>
      </c>
      <c r="F2160" t="s">
        <v>34</v>
      </c>
      <c r="G2160" t="s">
        <v>35</v>
      </c>
      <c r="H2160" t="s">
        <v>48</v>
      </c>
      <c r="I2160" t="s">
        <v>40</v>
      </c>
      <c r="J2160" t="s">
        <v>27</v>
      </c>
      <c r="K2160" t="s">
        <v>28</v>
      </c>
      <c r="L2160" s="2">
        <v>55.2</v>
      </c>
      <c r="M2160" s="3">
        <v>424</v>
      </c>
      <c r="N2160">
        <v>2</v>
      </c>
      <c r="O2160">
        <v>8</v>
      </c>
      <c r="P2160">
        <v>0</v>
      </c>
      <c r="Q2160">
        <v>6</v>
      </c>
      <c r="R2160" s="4">
        <v>66.36</v>
      </c>
      <c r="S2160">
        <v>0</v>
      </c>
      <c r="T2160">
        <v>1</v>
      </c>
    </row>
    <row r="2161" spans="1:20" ht="16.5" x14ac:dyDescent="0.3">
      <c r="A2161" t="s">
        <v>2214</v>
      </c>
      <c r="B2161" s="1">
        <v>45608</v>
      </c>
      <c r="C2161">
        <v>2024</v>
      </c>
      <c r="D2161" t="s">
        <v>1873</v>
      </c>
      <c r="E2161" t="s">
        <v>2108</v>
      </c>
      <c r="F2161" t="s">
        <v>34</v>
      </c>
      <c r="G2161" t="s">
        <v>24</v>
      </c>
      <c r="H2161" t="s">
        <v>25</v>
      </c>
      <c r="I2161" t="s">
        <v>26</v>
      </c>
      <c r="J2161" t="s">
        <v>27</v>
      </c>
      <c r="K2161" t="s">
        <v>32</v>
      </c>
      <c r="L2161" s="2">
        <v>19.399999999999999</v>
      </c>
      <c r="M2161" s="3">
        <v>879</v>
      </c>
      <c r="N2161">
        <v>4</v>
      </c>
      <c r="O2161">
        <v>3</v>
      </c>
      <c r="P2161">
        <v>1</v>
      </c>
      <c r="Q2161">
        <v>0</v>
      </c>
      <c r="R2161" s="4">
        <v>23.61</v>
      </c>
      <c r="S2161">
        <v>0</v>
      </c>
      <c r="T2161">
        <v>1</v>
      </c>
    </row>
    <row r="2162" spans="1:20" ht="16.5" x14ac:dyDescent="0.3">
      <c r="A2162" t="s">
        <v>2215</v>
      </c>
      <c r="B2162" s="1">
        <v>45608</v>
      </c>
      <c r="C2162">
        <v>2024</v>
      </c>
      <c r="D2162" t="s">
        <v>1873</v>
      </c>
      <c r="E2162" t="s">
        <v>2108</v>
      </c>
      <c r="F2162" t="s">
        <v>57</v>
      </c>
      <c r="G2162" t="s">
        <v>24</v>
      </c>
      <c r="H2162" t="s">
        <v>43</v>
      </c>
      <c r="I2162" t="s">
        <v>40</v>
      </c>
      <c r="J2162" t="s">
        <v>41</v>
      </c>
      <c r="K2162" t="s">
        <v>32</v>
      </c>
      <c r="L2162" s="2">
        <v>3</v>
      </c>
      <c r="M2162" s="3">
        <v>1074</v>
      </c>
      <c r="N2162">
        <v>3</v>
      </c>
      <c r="O2162">
        <v>3</v>
      </c>
      <c r="P2162">
        <v>1</v>
      </c>
      <c r="Q2162">
        <v>0</v>
      </c>
      <c r="R2162" s="4">
        <v>63.22</v>
      </c>
      <c r="S2162">
        <v>0</v>
      </c>
      <c r="T2162">
        <v>1</v>
      </c>
    </row>
    <row r="2163" spans="1:20" ht="16.5" x14ac:dyDescent="0.3">
      <c r="A2163" t="s">
        <v>2216</v>
      </c>
      <c r="B2163" s="1">
        <v>45608</v>
      </c>
      <c r="C2163">
        <v>2024</v>
      </c>
      <c r="D2163" t="s">
        <v>1873</v>
      </c>
      <c r="E2163" t="s">
        <v>2108</v>
      </c>
      <c r="F2163" t="s">
        <v>57</v>
      </c>
      <c r="G2163" t="s">
        <v>39</v>
      </c>
      <c r="H2163" t="s">
        <v>51</v>
      </c>
      <c r="I2163" t="s">
        <v>26</v>
      </c>
      <c r="J2163" t="s">
        <v>27</v>
      </c>
      <c r="K2163" t="s">
        <v>28</v>
      </c>
      <c r="L2163" s="2">
        <v>167</v>
      </c>
      <c r="M2163" s="3">
        <v>1126</v>
      </c>
      <c r="N2163">
        <v>5</v>
      </c>
      <c r="O2163">
        <v>5</v>
      </c>
      <c r="P2163">
        <v>1</v>
      </c>
      <c r="Q2163">
        <v>0</v>
      </c>
      <c r="R2163" s="4">
        <v>83.41</v>
      </c>
      <c r="S2163">
        <v>0</v>
      </c>
      <c r="T2163">
        <v>1</v>
      </c>
    </row>
    <row r="2164" spans="1:20" ht="16.5" x14ac:dyDescent="0.3">
      <c r="A2164" t="s">
        <v>2217</v>
      </c>
      <c r="B2164" s="1">
        <v>45608</v>
      </c>
      <c r="C2164">
        <v>2024</v>
      </c>
      <c r="D2164" t="s">
        <v>1873</v>
      </c>
      <c r="E2164" t="s">
        <v>2108</v>
      </c>
      <c r="F2164" t="s">
        <v>57</v>
      </c>
      <c r="G2164" t="s">
        <v>35</v>
      </c>
      <c r="H2164" t="s">
        <v>25</v>
      </c>
      <c r="I2164" t="s">
        <v>26</v>
      </c>
      <c r="J2164" t="s">
        <v>27</v>
      </c>
      <c r="K2164" t="s">
        <v>32</v>
      </c>
      <c r="L2164" s="2">
        <v>3</v>
      </c>
      <c r="M2164" s="3">
        <v>686</v>
      </c>
      <c r="N2164">
        <v>4</v>
      </c>
      <c r="O2164">
        <v>3</v>
      </c>
      <c r="P2164">
        <v>1</v>
      </c>
      <c r="Q2164">
        <v>0</v>
      </c>
      <c r="R2164" s="4">
        <v>16.14</v>
      </c>
      <c r="S2164">
        <v>0</v>
      </c>
      <c r="T2164">
        <v>1</v>
      </c>
    </row>
    <row r="2165" spans="1:20" ht="16.5" x14ac:dyDescent="0.3">
      <c r="A2165" t="s">
        <v>2218</v>
      </c>
      <c r="B2165" s="1">
        <v>45608</v>
      </c>
      <c r="C2165">
        <v>2024</v>
      </c>
      <c r="D2165" t="s">
        <v>1873</v>
      </c>
      <c r="E2165" t="s">
        <v>2108</v>
      </c>
      <c r="F2165" t="s">
        <v>30</v>
      </c>
      <c r="G2165" t="s">
        <v>24</v>
      </c>
      <c r="H2165" t="s">
        <v>43</v>
      </c>
      <c r="I2165" t="s">
        <v>40</v>
      </c>
      <c r="J2165" t="s">
        <v>41</v>
      </c>
      <c r="K2165" t="s">
        <v>32</v>
      </c>
      <c r="L2165" s="2">
        <v>10.8</v>
      </c>
      <c r="M2165" s="3">
        <v>1093</v>
      </c>
      <c r="N2165">
        <v>3</v>
      </c>
      <c r="O2165">
        <v>3</v>
      </c>
      <c r="P2165">
        <v>1</v>
      </c>
      <c r="Q2165">
        <v>0</v>
      </c>
      <c r="R2165" s="4">
        <v>81.59</v>
      </c>
      <c r="S2165">
        <v>0</v>
      </c>
      <c r="T2165">
        <v>1</v>
      </c>
    </row>
    <row r="2166" spans="1:20" ht="16.5" x14ac:dyDescent="0.3">
      <c r="A2166" t="s">
        <v>2219</v>
      </c>
      <c r="B2166" s="1">
        <v>45608</v>
      </c>
      <c r="C2166">
        <v>2024</v>
      </c>
      <c r="D2166" t="s">
        <v>1873</v>
      </c>
      <c r="E2166" t="s">
        <v>2108</v>
      </c>
      <c r="F2166" t="s">
        <v>30</v>
      </c>
      <c r="G2166" t="s">
        <v>39</v>
      </c>
      <c r="H2166" t="s">
        <v>36</v>
      </c>
      <c r="I2166" t="s">
        <v>26</v>
      </c>
      <c r="J2166" t="s">
        <v>27</v>
      </c>
      <c r="K2166" t="s">
        <v>32</v>
      </c>
      <c r="L2166" s="2">
        <v>5.8</v>
      </c>
      <c r="M2166" s="3">
        <v>278</v>
      </c>
      <c r="N2166">
        <v>3</v>
      </c>
      <c r="O2166">
        <v>2</v>
      </c>
      <c r="P2166">
        <v>1</v>
      </c>
      <c r="Q2166">
        <v>0</v>
      </c>
      <c r="R2166" s="4">
        <v>15.07</v>
      </c>
      <c r="S2166">
        <v>0</v>
      </c>
      <c r="T2166">
        <v>1</v>
      </c>
    </row>
    <row r="2167" spans="1:20" ht="16.5" x14ac:dyDescent="0.3">
      <c r="A2167" t="s">
        <v>2220</v>
      </c>
      <c r="B2167" s="1">
        <v>45608</v>
      </c>
      <c r="C2167">
        <v>2024</v>
      </c>
      <c r="D2167" t="s">
        <v>1873</v>
      </c>
      <c r="E2167" t="s">
        <v>2108</v>
      </c>
      <c r="F2167" t="s">
        <v>34</v>
      </c>
      <c r="G2167" t="s">
        <v>24</v>
      </c>
      <c r="H2167" t="s">
        <v>36</v>
      </c>
      <c r="I2167" t="s">
        <v>31</v>
      </c>
      <c r="J2167" t="s">
        <v>27</v>
      </c>
      <c r="K2167" t="s">
        <v>32</v>
      </c>
      <c r="L2167" s="2">
        <v>3.4</v>
      </c>
      <c r="M2167" s="3">
        <v>249</v>
      </c>
      <c r="N2167">
        <v>5</v>
      </c>
      <c r="O2167">
        <v>5</v>
      </c>
      <c r="P2167">
        <v>1</v>
      </c>
      <c r="Q2167">
        <v>0</v>
      </c>
      <c r="R2167" s="4">
        <v>6.52</v>
      </c>
      <c r="S2167">
        <v>0</v>
      </c>
      <c r="T2167">
        <v>1</v>
      </c>
    </row>
    <row r="2168" spans="1:20" ht="16.5" x14ac:dyDescent="0.3">
      <c r="A2168" t="s">
        <v>2221</v>
      </c>
      <c r="B2168" s="1">
        <v>45609</v>
      </c>
      <c r="C2168">
        <v>2024</v>
      </c>
      <c r="D2168" t="s">
        <v>1873</v>
      </c>
      <c r="E2168" t="s">
        <v>2108</v>
      </c>
      <c r="F2168" t="s">
        <v>34</v>
      </c>
      <c r="G2168" t="s">
        <v>39</v>
      </c>
      <c r="H2168" t="s">
        <v>36</v>
      </c>
      <c r="I2168" t="s">
        <v>31</v>
      </c>
      <c r="J2168" t="s">
        <v>27</v>
      </c>
      <c r="K2168" t="s">
        <v>32</v>
      </c>
      <c r="L2168" s="2">
        <v>14.3</v>
      </c>
      <c r="M2168" s="3">
        <v>283</v>
      </c>
      <c r="N2168">
        <v>5</v>
      </c>
      <c r="O2168">
        <v>5</v>
      </c>
      <c r="P2168">
        <v>1</v>
      </c>
      <c r="Q2168">
        <v>0</v>
      </c>
      <c r="R2168" s="4">
        <v>11.15</v>
      </c>
      <c r="S2168">
        <v>0</v>
      </c>
      <c r="T2168">
        <v>1</v>
      </c>
    </row>
    <row r="2169" spans="1:20" ht="16.5" x14ac:dyDescent="0.3">
      <c r="A2169" t="s">
        <v>2222</v>
      </c>
      <c r="B2169" s="1">
        <v>45609</v>
      </c>
      <c r="C2169">
        <v>2024</v>
      </c>
      <c r="D2169" t="s">
        <v>1873</v>
      </c>
      <c r="E2169" t="s">
        <v>2108</v>
      </c>
      <c r="F2169" t="s">
        <v>34</v>
      </c>
      <c r="G2169" t="s">
        <v>35</v>
      </c>
      <c r="H2169" t="s">
        <v>51</v>
      </c>
      <c r="I2169" t="s">
        <v>40</v>
      </c>
      <c r="J2169" t="s">
        <v>41</v>
      </c>
      <c r="K2169" t="s">
        <v>32</v>
      </c>
      <c r="L2169" s="2">
        <v>1.9</v>
      </c>
      <c r="M2169" s="3">
        <v>911</v>
      </c>
      <c r="N2169">
        <v>3</v>
      </c>
      <c r="O2169">
        <v>2</v>
      </c>
      <c r="P2169">
        <v>1</v>
      </c>
      <c r="Q2169">
        <v>0</v>
      </c>
      <c r="R2169" s="4">
        <v>46.41</v>
      </c>
      <c r="S2169">
        <v>0</v>
      </c>
      <c r="T2169">
        <v>1</v>
      </c>
    </row>
    <row r="2170" spans="1:20" ht="16.5" x14ac:dyDescent="0.3">
      <c r="A2170" t="s">
        <v>2223</v>
      </c>
      <c r="B2170" s="1">
        <v>45609</v>
      </c>
      <c r="C2170">
        <v>2024</v>
      </c>
      <c r="D2170" t="s">
        <v>1873</v>
      </c>
      <c r="E2170" t="s">
        <v>2108</v>
      </c>
      <c r="F2170" t="s">
        <v>38</v>
      </c>
      <c r="G2170" t="s">
        <v>24</v>
      </c>
      <c r="H2170" t="s">
        <v>36</v>
      </c>
      <c r="I2170" t="s">
        <v>31</v>
      </c>
      <c r="J2170" t="s">
        <v>27</v>
      </c>
      <c r="K2170" t="s">
        <v>32</v>
      </c>
      <c r="L2170" s="2">
        <v>1.4</v>
      </c>
      <c r="M2170" s="3">
        <v>236</v>
      </c>
      <c r="N2170">
        <v>5</v>
      </c>
      <c r="O2170">
        <v>5</v>
      </c>
      <c r="P2170">
        <v>1</v>
      </c>
      <c r="Q2170">
        <v>0</v>
      </c>
      <c r="R2170" s="4">
        <v>8.6300000000000008</v>
      </c>
      <c r="S2170">
        <v>0</v>
      </c>
      <c r="T2170">
        <v>1</v>
      </c>
    </row>
    <row r="2171" spans="1:20" ht="16.5" x14ac:dyDescent="0.3">
      <c r="A2171" t="s">
        <v>2224</v>
      </c>
      <c r="B2171" s="1">
        <v>45609</v>
      </c>
      <c r="C2171">
        <v>2024</v>
      </c>
      <c r="D2171" t="s">
        <v>1873</v>
      </c>
      <c r="E2171" t="s">
        <v>2108</v>
      </c>
      <c r="F2171" t="s">
        <v>30</v>
      </c>
      <c r="G2171" t="s">
        <v>35</v>
      </c>
      <c r="H2171" t="s">
        <v>43</v>
      </c>
      <c r="I2171" t="s">
        <v>26</v>
      </c>
      <c r="J2171" t="s">
        <v>27</v>
      </c>
      <c r="K2171" t="s">
        <v>32</v>
      </c>
      <c r="L2171" s="2">
        <v>6.1</v>
      </c>
      <c r="M2171" s="3">
        <v>1061</v>
      </c>
      <c r="N2171">
        <v>5</v>
      </c>
      <c r="O2171">
        <v>5</v>
      </c>
      <c r="P2171">
        <v>1</v>
      </c>
      <c r="Q2171">
        <v>0</v>
      </c>
      <c r="R2171" s="4">
        <v>21.38</v>
      </c>
      <c r="S2171">
        <v>0</v>
      </c>
      <c r="T2171">
        <v>1</v>
      </c>
    </row>
    <row r="2172" spans="1:20" ht="16.5" x14ac:dyDescent="0.3">
      <c r="A2172" t="s">
        <v>2225</v>
      </c>
      <c r="B2172" s="1">
        <v>45609</v>
      </c>
      <c r="C2172">
        <v>2024</v>
      </c>
      <c r="D2172" t="s">
        <v>1873</v>
      </c>
      <c r="E2172" t="s">
        <v>2108</v>
      </c>
      <c r="F2172" t="s">
        <v>34</v>
      </c>
      <c r="G2172" t="s">
        <v>39</v>
      </c>
      <c r="H2172" t="s">
        <v>48</v>
      </c>
      <c r="I2172" t="s">
        <v>31</v>
      </c>
      <c r="J2172" t="s">
        <v>27</v>
      </c>
      <c r="K2172" t="s">
        <v>32</v>
      </c>
      <c r="L2172" s="2">
        <v>3.4</v>
      </c>
      <c r="M2172" s="3">
        <v>396</v>
      </c>
      <c r="N2172">
        <v>6</v>
      </c>
      <c r="O2172">
        <v>5</v>
      </c>
      <c r="P2172">
        <v>1</v>
      </c>
      <c r="Q2172">
        <v>0</v>
      </c>
      <c r="R2172" s="4">
        <v>8.56</v>
      </c>
      <c r="S2172">
        <v>0</v>
      </c>
      <c r="T2172">
        <v>1</v>
      </c>
    </row>
    <row r="2173" spans="1:20" ht="16.5" x14ac:dyDescent="0.3">
      <c r="A2173" t="s">
        <v>2226</v>
      </c>
      <c r="B2173" s="1">
        <v>45609</v>
      </c>
      <c r="C2173">
        <v>2024</v>
      </c>
      <c r="D2173" t="s">
        <v>1873</v>
      </c>
      <c r="E2173" t="s">
        <v>2108</v>
      </c>
      <c r="F2173" t="s">
        <v>30</v>
      </c>
      <c r="G2173" t="s">
        <v>39</v>
      </c>
      <c r="H2173" t="s">
        <v>25</v>
      </c>
      <c r="I2173" t="s">
        <v>26</v>
      </c>
      <c r="J2173" t="s">
        <v>27</v>
      </c>
      <c r="K2173" t="s">
        <v>32</v>
      </c>
      <c r="L2173" s="2">
        <v>4.2</v>
      </c>
      <c r="M2173" s="3">
        <v>1047</v>
      </c>
      <c r="N2173">
        <v>4</v>
      </c>
      <c r="O2173">
        <v>4</v>
      </c>
      <c r="P2173">
        <v>1</v>
      </c>
      <c r="Q2173">
        <v>0</v>
      </c>
      <c r="R2173" s="4">
        <v>26.13</v>
      </c>
      <c r="S2173">
        <v>0</v>
      </c>
      <c r="T2173">
        <v>1</v>
      </c>
    </row>
    <row r="2174" spans="1:20" ht="16.5" x14ac:dyDescent="0.3">
      <c r="A2174" t="s">
        <v>2227</v>
      </c>
      <c r="B2174" s="1">
        <v>45609</v>
      </c>
      <c r="C2174">
        <v>2024</v>
      </c>
      <c r="D2174" t="s">
        <v>1873</v>
      </c>
      <c r="E2174" t="s">
        <v>2108</v>
      </c>
      <c r="F2174" t="s">
        <v>30</v>
      </c>
      <c r="G2174" t="s">
        <v>35</v>
      </c>
      <c r="H2174" t="s">
        <v>48</v>
      </c>
      <c r="I2174" t="s">
        <v>26</v>
      </c>
      <c r="J2174" t="s">
        <v>27</v>
      </c>
      <c r="K2174" t="s">
        <v>28</v>
      </c>
      <c r="L2174" s="2">
        <v>178.2</v>
      </c>
      <c r="M2174" s="3">
        <v>451</v>
      </c>
      <c r="N2174">
        <v>4</v>
      </c>
      <c r="O2174">
        <v>4</v>
      </c>
      <c r="P2174">
        <v>1</v>
      </c>
      <c r="Q2174">
        <v>0</v>
      </c>
      <c r="R2174" s="4">
        <v>86.94</v>
      </c>
      <c r="S2174">
        <v>0</v>
      </c>
      <c r="T2174">
        <v>1</v>
      </c>
    </row>
    <row r="2175" spans="1:20" ht="16.5" x14ac:dyDescent="0.3">
      <c r="A2175" t="s">
        <v>2228</v>
      </c>
      <c r="B2175" s="1">
        <v>45609</v>
      </c>
      <c r="C2175">
        <v>2024</v>
      </c>
      <c r="D2175" t="s">
        <v>1873</v>
      </c>
      <c r="E2175" t="s">
        <v>2108</v>
      </c>
      <c r="F2175" t="s">
        <v>34</v>
      </c>
      <c r="G2175" t="s">
        <v>35</v>
      </c>
      <c r="H2175" t="s">
        <v>36</v>
      </c>
      <c r="I2175" t="s">
        <v>26</v>
      </c>
      <c r="J2175" t="s">
        <v>27</v>
      </c>
      <c r="K2175" t="s">
        <v>28</v>
      </c>
      <c r="L2175" s="2">
        <v>98.4</v>
      </c>
      <c r="M2175" s="3">
        <v>226</v>
      </c>
      <c r="N2175">
        <v>3</v>
      </c>
      <c r="O2175">
        <v>3</v>
      </c>
      <c r="P2175">
        <v>1</v>
      </c>
      <c r="Q2175">
        <v>0</v>
      </c>
      <c r="R2175" s="4">
        <v>42.5</v>
      </c>
      <c r="S2175">
        <v>0</v>
      </c>
      <c r="T2175">
        <v>1</v>
      </c>
    </row>
    <row r="2176" spans="1:20" ht="16.5" x14ac:dyDescent="0.3">
      <c r="A2176" t="s">
        <v>2229</v>
      </c>
      <c r="B2176" s="1">
        <v>45609</v>
      </c>
      <c r="C2176">
        <v>2024</v>
      </c>
      <c r="D2176" t="s">
        <v>1873</v>
      </c>
      <c r="E2176" t="s">
        <v>2108</v>
      </c>
      <c r="F2176" t="s">
        <v>38</v>
      </c>
      <c r="G2176" t="s">
        <v>39</v>
      </c>
      <c r="H2176" t="s">
        <v>48</v>
      </c>
      <c r="I2176" t="s">
        <v>31</v>
      </c>
      <c r="J2176" t="s">
        <v>27</v>
      </c>
      <c r="K2176" t="s">
        <v>28</v>
      </c>
      <c r="L2176" s="2">
        <v>21.7</v>
      </c>
      <c r="M2176" s="3">
        <v>487</v>
      </c>
      <c r="N2176">
        <v>6</v>
      </c>
      <c r="O2176">
        <v>6</v>
      </c>
      <c r="P2176">
        <v>1</v>
      </c>
      <c r="Q2176">
        <v>0</v>
      </c>
      <c r="R2176" s="4">
        <v>19.059999999999999</v>
      </c>
      <c r="S2176">
        <v>0</v>
      </c>
      <c r="T2176">
        <v>1</v>
      </c>
    </row>
    <row r="2177" spans="1:20" ht="16.5" x14ac:dyDescent="0.3">
      <c r="A2177" t="s">
        <v>2230</v>
      </c>
      <c r="B2177" s="1">
        <v>45609</v>
      </c>
      <c r="C2177">
        <v>2024</v>
      </c>
      <c r="D2177" t="s">
        <v>1873</v>
      </c>
      <c r="E2177" t="s">
        <v>2108</v>
      </c>
      <c r="F2177" t="s">
        <v>34</v>
      </c>
      <c r="G2177" t="s">
        <v>35</v>
      </c>
      <c r="H2177" t="s">
        <v>43</v>
      </c>
      <c r="I2177" t="s">
        <v>26</v>
      </c>
      <c r="J2177" t="s">
        <v>27</v>
      </c>
      <c r="K2177" t="s">
        <v>28</v>
      </c>
      <c r="L2177" s="2">
        <v>170.1</v>
      </c>
      <c r="M2177" s="3">
        <v>1378</v>
      </c>
      <c r="N2177">
        <v>5</v>
      </c>
      <c r="O2177">
        <v>4</v>
      </c>
      <c r="P2177">
        <v>1</v>
      </c>
      <c r="Q2177">
        <v>0</v>
      </c>
      <c r="R2177" s="4">
        <v>79.12</v>
      </c>
      <c r="S2177">
        <v>1</v>
      </c>
      <c r="T2177">
        <v>1</v>
      </c>
    </row>
    <row r="2178" spans="1:20" ht="16.5" x14ac:dyDescent="0.3">
      <c r="A2178" t="s">
        <v>2231</v>
      </c>
      <c r="B2178" s="1">
        <v>45609</v>
      </c>
      <c r="C2178">
        <v>2024</v>
      </c>
      <c r="D2178" t="s">
        <v>1873</v>
      </c>
      <c r="E2178" t="s">
        <v>2108</v>
      </c>
      <c r="F2178" t="s">
        <v>34</v>
      </c>
      <c r="G2178" t="s">
        <v>35</v>
      </c>
      <c r="H2178" t="s">
        <v>25</v>
      </c>
      <c r="I2178" t="s">
        <v>26</v>
      </c>
      <c r="J2178" t="s">
        <v>27</v>
      </c>
      <c r="K2178" t="s">
        <v>32</v>
      </c>
      <c r="L2178" s="2">
        <v>9.8000000000000007</v>
      </c>
      <c r="M2178" s="3">
        <v>871</v>
      </c>
      <c r="N2178">
        <v>4</v>
      </c>
      <c r="O2178">
        <v>5</v>
      </c>
      <c r="P2178">
        <v>0</v>
      </c>
      <c r="Q2178">
        <v>1</v>
      </c>
      <c r="R2178" s="4">
        <v>19.62</v>
      </c>
      <c r="S2178">
        <v>0</v>
      </c>
      <c r="T2178">
        <v>1</v>
      </c>
    </row>
    <row r="2179" spans="1:20" ht="16.5" x14ac:dyDescent="0.3">
      <c r="A2179" t="s">
        <v>2232</v>
      </c>
      <c r="B2179" s="1">
        <v>45609</v>
      </c>
      <c r="C2179">
        <v>2024</v>
      </c>
      <c r="D2179" t="s">
        <v>1873</v>
      </c>
      <c r="E2179" t="s">
        <v>2108</v>
      </c>
      <c r="F2179" t="s">
        <v>23</v>
      </c>
      <c r="G2179" t="s">
        <v>24</v>
      </c>
      <c r="H2179" t="s">
        <v>36</v>
      </c>
      <c r="I2179" t="s">
        <v>40</v>
      </c>
      <c r="J2179" t="s">
        <v>27</v>
      </c>
      <c r="K2179" t="s">
        <v>28</v>
      </c>
      <c r="L2179" s="2">
        <v>190.5</v>
      </c>
      <c r="M2179" s="3">
        <v>205</v>
      </c>
      <c r="N2179">
        <v>1</v>
      </c>
      <c r="O2179">
        <v>3</v>
      </c>
      <c r="P2179">
        <v>0</v>
      </c>
      <c r="Q2179">
        <v>2</v>
      </c>
      <c r="R2179" s="4">
        <v>158.56</v>
      </c>
      <c r="S2179">
        <v>0</v>
      </c>
      <c r="T2179">
        <v>1</v>
      </c>
    </row>
    <row r="2180" spans="1:20" ht="16.5" x14ac:dyDescent="0.3">
      <c r="A2180" t="s">
        <v>2233</v>
      </c>
      <c r="B2180" s="1">
        <v>45609</v>
      </c>
      <c r="C2180">
        <v>2024</v>
      </c>
      <c r="D2180" t="s">
        <v>1873</v>
      </c>
      <c r="E2180" t="s">
        <v>2108</v>
      </c>
      <c r="F2180" t="s">
        <v>57</v>
      </c>
      <c r="G2180" t="s">
        <v>39</v>
      </c>
      <c r="H2180" t="s">
        <v>25</v>
      </c>
      <c r="I2180" t="s">
        <v>31</v>
      </c>
      <c r="J2180" t="s">
        <v>27</v>
      </c>
      <c r="K2180" t="s">
        <v>32</v>
      </c>
      <c r="L2180" s="2">
        <v>6.5</v>
      </c>
      <c r="M2180" s="3">
        <v>822</v>
      </c>
      <c r="N2180">
        <v>6</v>
      </c>
      <c r="O2180">
        <v>6</v>
      </c>
      <c r="P2180">
        <v>1</v>
      </c>
      <c r="Q2180">
        <v>0</v>
      </c>
      <c r="R2180" s="4">
        <v>15.69</v>
      </c>
      <c r="S2180">
        <v>0</v>
      </c>
      <c r="T2180">
        <v>1</v>
      </c>
    </row>
    <row r="2181" spans="1:20" ht="16.5" x14ac:dyDescent="0.3">
      <c r="A2181" t="s">
        <v>2234</v>
      </c>
      <c r="B2181" s="1">
        <v>45610</v>
      </c>
      <c r="C2181">
        <v>2024</v>
      </c>
      <c r="D2181" t="s">
        <v>1873</v>
      </c>
      <c r="E2181" t="s">
        <v>2108</v>
      </c>
      <c r="F2181" t="s">
        <v>57</v>
      </c>
      <c r="G2181" t="s">
        <v>24</v>
      </c>
      <c r="H2181" t="s">
        <v>36</v>
      </c>
      <c r="I2181" t="s">
        <v>26</v>
      </c>
      <c r="J2181" t="s">
        <v>27</v>
      </c>
      <c r="K2181" t="s">
        <v>32</v>
      </c>
      <c r="L2181" s="2">
        <v>13.7</v>
      </c>
      <c r="M2181" s="3">
        <v>301</v>
      </c>
      <c r="N2181">
        <v>3</v>
      </c>
      <c r="O2181">
        <v>3</v>
      </c>
      <c r="P2181">
        <v>1</v>
      </c>
      <c r="Q2181">
        <v>0</v>
      </c>
      <c r="R2181" s="4">
        <v>17.399999999999999</v>
      </c>
      <c r="S2181">
        <v>0</v>
      </c>
      <c r="T2181">
        <v>1</v>
      </c>
    </row>
    <row r="2182" spans="1:20" ht="16.5" x14ac:dyDescent="0.3">
      <c r="A2182" t="s">
        <v>2235</v>
      </c>
      <c r="B2182" s="1">
        <v>45610</v>
      </c>
      <c r="C2182">
        <v>2024</v>
      </c>
      <c r="D2182" t="s">
        <v>1873</v>
      </c>
      <c r="E2182" t="s">
        <v>2108</v>
      </c>
      <c r="F2182" t="s">
        <v>34</v>
      </c>
      <c r="G2182" t="s">
        <v>35</v>
      </c>
      <c r="H2182" t="s">
        <v>25</v>
      </c>
      <c r="I2182" t="s">
        <v>26</v>
      </c>
      <c r="J2182" t="s">
        <v>27</v>
      </c>
      <c r="K2182" t="s">
        <v>32</v>
      </c>
      <c r="L2182" s="2">
        <v>3.5</v>
      </c>
      <c r="M2182" s="3">
        <v>853</v>
      </c>
      <c r="N2182">
        <v>4</v>
      </c>
      <c r="O2182">
        <v>3</v>
      </c>
      <c r="P2182">
        <v>1</v>
      </c>
      <c r="Q2182">
        <v>0</v>
      </c>
      <c r="R2182" s="4">
        <v>17.899999999999999</v>
      </c>
      <c r="S2182">
        <v>0</v>
      </c>
      <c r="T2182">
        <v>1</v>
      </c>
    </row>
    <row r="2183" spans="1:20" ht="16.5" x14ac:dyDescent="0.3">
      <c r="A2183" t="s">
        <v>2236</v>
      </c>
      <c r="B2183" s="1">
        <v>45610</v>
      </c>
      <c r="C2183">
        <v>2024</v>
      </c>
      <c r="D2183" t="s">
        <v>1873</v>
      </c>
      <c r="E2183" t="s">
        <v>2108</v>
      </c>
      <c r="F2183" t="s">
        <v>38</v>
      </c>
      <c r="G2183" t="s">
        <v>39</v>
      </c>
      <c r="H2183" t="s">
        <v>25</v>
      </c>
      <c r="I2183" t="s">
        <v>40</v>
      </c>
      <c r="J2183" t="s">
        <v>41</v>
      </c>
      <c r="K2183" t="s">
        <v>28</v>
      </c>
      <c r="L2183" s="2">
        <v>47.2</v>
      </c>
      <c r="M2183" s="3">
        <v>810</v>
      </c>
      <c r="N2183">
        <v>2</v>
      </c>
      <c r="O2183">
        <v>2</v>
      </c>
      <c r="P2183">
        <v>1</v>
      </c>
      <c r="Q2183">
        <v>0</v>
      </c>
      <c r="R2183" s="4">
        <v>123.37</v>
      </c>
      <c r="S2183">
        <v>0</v>
      </c>
      <c r="T2183">
        <v>1</v>
      </c>
    </row>
    <row r="2184" spans="1:20" ht="16.5" x14ac:dyDescent="0.3">
      <c r="A2184" t="s">
        <v>2237</v>
      </c>
      <c r="B2184" s="1">
        <v>45610</v>
      </c>
      <c r="C2184">
        <v>2024</v>
      </c>
      <c r="D2184" t="s">
        <v>1873</v>
      </c>
      <c r="E2184" t="s">
        <v>2108</v>
      </c>
      <c r="F2184" t="s">
        <v>23</v>
      </c>
      <c r="G2184" t="s">
        <v>39</v>
      </c>
      <c r="H2184" t="s">
        <v>48</v>
      </c>
      <c r="I2184" t="s">
        <v>26</v>
      </c>
      <c r="J2184" t="s">
        <v>27</v>
      </c>
      <c r="K2184" t="s">
        <v>32</v>
      </c>
      <c r="L2184" s="2">
        <v>14.8</v>
      </c>
      <c r="M2184" s="3">
        <v>507</v>
      </c>
      <c r="N2184">
        <v>4</v>
      </c>
      <c r="O2184">
        <v>3</v>
      </c>
      <c r="P2184">
        <v>1</v>
      </c>
      <c r="Q2184">
        <v>0</v>
      </c>
      <c r="R2184" s="4">
        <v>22.51</v>
      </c>
      <c r="S2184">
        <v>0</v>
      </c>
      <c r="T2184">
        <v>1</v>
      </c>
    </row>
    <row r="2185" spans="1:20" ht="16.5" x14ac:dyDescent="0.3">
      <c r="A2185" t="s">
        <v>2238</v>
      </c>
      <c r="B2185" s="1">
        <v>45610</v>
      </c>
      <c r="C2185">
        <v>2024</v>
      </c>
      <c r="D2185" t="s">
        <v>1873</v>
      </c>
      <c r="E2185" t="s">
        <v>2108</v>
      </c>
      <c r="F2185" t="s">
        <v>57</v>
      </c>
      <c r="G2185" t="s">
        <v>35</v>
      </c>
      <c r="H2185" t="s">
        <v>25</v>
      </c>
      <c r="I2185" t="s">
        <v>26</v>
      </c>
      <c r="J2185" t="s">
        <v>27</v>
      </c>
      <c r="K2185" t="s">
        <v>28</v>
      </c>
      <c r="L2185" s="2">
        <v>19.399999999999999</v>
      </c>
      <c r="M2185" s="3">
        <v>615</v>
      </c>
      <c r="N2185">
        <v>4</v>
      </c>
      <c r="O2185">
        <v>3</v>
      </c>
      <c r="P2185">
        <v>1</v>
      </c>
      <c r="Q2185">
        <v>0</v>
      </c>
      <c r="R2185" s="4">
        <v>22.05</v>
      </c>
      <c r="S2185">
        <v>0</v>
      </c>
      <c r="T2185">
        <v>1</v>
      </c>
    </row>
    <row r="2186" spans="1:20" ht="16.5" x14ac:dyDescent="0.3">
      <c r="A2186" t="s">
        <v>2239</v>
      </c>
      <c r="B2186" s="1">
        <v>45610</v>
      </c>
      <c r="C2186">
        <v>2024</v>
      </c>
      <c r="D2186" t="s">
        <v>1873</v>
      </c>
      <c r="E2186" t="s">
        <v>2108</v>
      </c>
      <c r="F2186" t="s">
        <v>34</v>
      </c>
      <c r="G2186" t="s">
        <v>24</v>
      </c>
      <c r="H2186" t="s">
        <v>48</v>
      </c>
      <c r="I2186" t="s">
        <v>40</v>
      </c>
      <c r="J2186" t="s">
        <v>27</v>
      </c>
      <c r="K2186" t="s">
        <v>28</v>
      </c>
      <c r="L2186" s="2">
        <v>195.9</v>
      </c>
      <c r="M2186" s="3">
        <v>438</v>
      </c>
      <c r="N2186">
        <v>2</v>
      </c>
      <c r="O2186">
        <v>1</v>
      </c>
      <c r="P2186">
        <v>1</v>
      </c>
      <c r="Q2186">
        <v>0</v>
      </c>
      <c r="R2186" s="4">
        <v>162.96</v>
      </c>
      <c r="S2186">
        <v>0</v>
      </c>
      <c r="T2186">
        <v>1</v>
      </c>
    </row>
    <row r="2187" spans="1:20" ht="16.5" x14ac:dyDescent="0.3">
      <c r="A2187" t="s">
        <v>2240</v>
      </c>
      <c r="B2187" s="1">
        <v>45610</v>
      </c>
      <c r="C2187">
        <v>2024</v>
      </c>
      <c r="D2187" t="s">
        <v>1873</v>
      </c>
      <c r="E2187" t="s">
        <v>2108</v>
      </c>
      <c r="F2187" t="s">
        <v>23</v>
      </c>
      <c r="G2187" t="s">
        <v>39</v>
      </c>
      <c r="H2187" t="s">
        <v>25</v>
      </c>
      <c r="I2187" t="s">
        <v>26</v>
      </c>
      <c r="J2187" t="s">
        <v>27</v>
      </c>
      <c r="K2187" t="s">
        <v>32</v>
      </c>
      <c r="L2187" s="2">
        <v>7.6</v>
      </c>
      <c r="M2187" s="3">
        <v>1003</v>
      </c>
      <c r="N2187">
        <v>4</v>
      </c>
      <c r="O2187">
        <v>4</v>
      </c>
      <c r="P2187">
        <v>1</v>
      </c>
      <c r="Q2187">
        <v>0</v>
      </c>
      <c r="R2187" s="4">
        <v>21.78</v>
      </c>
      <c r="S2187">
        <v>0</v>
      </c>
      <c r="T2187">
        <v>1</v>
      </c>
    </row>
    <row r="2188" spans="1:20" ht="16.5" x14ac:dyDescent="0.3">
      <c r="A2188" t="s">
        <v>2241</v>
      </c>
      <c r="B2188" s="1">
        <v>45610</v>
      </c>
      <c r="C2188">
        <v>2024</v>
      </c>
      <c r="D2188" t="s">
        <v>1873</v>
      </c>
      <c r="E2188" t="s">
        <v>2108</v>
      </c>
      <c r="F2188" t="s">
        <v>38</v>
      </c>
      <c r="G2188" t="s">
        <v>35</v>
      </c>
      <c r="H2188" t="s">
        <v>25</v>
      </c>
      <c r="I2188" t="s">
        <v>26</v>
      </c>
      <c r="J2188" t="s">
        <v>27</v>
      </c>
      <c r="K2188" t="s">
        <v>28</v>
      </c>
      <c r="L2188" s="2">
        <v>254.7</v>
      </c>
      <c r="M2188" s="3">
        <v>1080</v>
      </c>
      <c r="N2188">
        <v>4</v>
      </c>
      <c r="O2188">
        <v>4</v>
      </c>
      <c r="P2188">
        <v>1</v>
      </c>
      <c r="Q2188">
        <v>0</v>
      </c>
      <c r="R2188" s="4">
        <v>129.63</v>
      </c>
      <c r="S2188">
        <v>0</v>
      </c>
      <c r="T2188">
        <v>1</v>
      </c>
    </row>
    <row r="2189" spans="1:20" ht="16.5" x14ac:dyDescent="0.3">
      <c r="A2189" t="s">
        <v>2242</v>
      </c>
      <c r="B2189" s="1">
        <v>45610</v>
      </c>
      <c r="C2189">
        <v>2024</v>
      </c>
      <c r="D2189" t="s">
        <v>1873</v>
      </c>
      <c r="E2189" t="s">
        <v>2108</v>
      </c>
      <c r="F2189" t="s">
        <v>23</v>
      </c>
      <c r="G2189" t="s">
        <v>35</v>
      </c>
      <c r="H2189" t="s">
        <v>36</v>
      </c>
      <c r="I2189" t="s">
        <v>26</v>
      </c>
      <c r="J2189" t="s">
        <v>27</v>
      </c>
      <c r="K2189" t="s">
        <v>32</v>
      </c>
      <c r="L2189" s="2">
        <v>9.9</v>
      </c>
      <c r="M2189" s="3">
        <v>305</v>
      </c>
      <c r="N2189">
        <v>3</v>
      </c>
      <c r="O2189">
        <v>3</v>
      </c>
      <c r="P2189">
        <v>1</v>
      </c>
      <c r="Q2189">
        <v>0</v>
      </c>
      <c r="R2189" s="4">
        <v>15.35</v>
      </c>
      <c r="S2189">
        <v>0</v>
      </c>
      <c r="T2189">
        <v>1</v>
      </c>
    </row>
    <row r="2190" spans="1:20" ht="16.5" x14ac:dyDescent="0.3">
      <c r="A2190" t="s">
        <v>2243</v>
      </c>
      <c r="B2190" s="1">
        <v>45610</v>
      </c>
      <c r="C2190">
        <v>2024</v>
      </c>
      <c r="D2190" t="s">
        <v>1873</v>
      </c>
      <c r="E2190" t="s">
        <v>2108</v>
      </c>
      <c r="F2190" t="s">
        <v>34</v>
      </c>
      <c r="G2190" t="s">
        <v>24</v>
      </c>
      <c r="H2190" t="s">
        <v>48</v>
      </c>
      <c r="I2190" t="s">
        <v>26</v>
      </c>
      <c r="J2190" t="s">
        <v>27</v>
      </c>
      <c r="K2190" t="s">
        <v>28</v>
      </c>
      <c r="L2190" s="2">
        <v>42.7</v>
      </c>
      <c r="M2190" s="3">
        <v>523</v>
      </c>
      <c r="N2190">
        <v>4</v>
      </c>
      <c r="O2190">
        <v>4</v>
      </c>
      <c r="P2190">
        <v>1</v>
      </c>
      <c r="Q2190">
        <v>0</v>
      </c>
      <c r="R2190" s="4">
        <v>29.18</v>
      </c>
      <c r="S2190">
        <v>0</v>
      </c>
      <c r="T2190">
        <v>1</v>
      </c>
    </row>
    <row r="2191" spans="1:20" ht="16.5" x14ac:dyDescent="0.3">
      <c r="A2191" t="s">
        <v>2244</v>
      </c>
      <c r="B2191" s="1">
        <v>45611</v>
      </c>
      <c r="C2191">
        <v>2024</v>
      </c>
      <c r="D2191" t="s">
        <v>1873</v>
      </c>
      <c r="E2191" t="s">
        <v>2108</v>
      </c>
      <c r="F2191" t="s">
        <v>57</v>
      </c>
      <c r="G2191" t="s">
        <v>24</v>
      </c>
      <c r="H2191" t="s">
        <v>48</v>
      </c>
      <c r="I2191" t="s">
        <v>31</v>
      </c>
      <c r="J2191" t="s">
        <v>27</v>
      </c>
      <c r="K2191" t="s">
        <v>28</v>
      </c>
      <c r="L2191" s="2">
        <v>374.2</v>
      </c>
      <c r="M2191" s="3">
        <v>466</v>
      </c>
      <c r="N2191">
        <v>6</v>
      </c>
      <c r="O2191">
        <v>6</v>
      </c>
      <c r="P2191">
        <v>1</v>
      </c>
      <c r="Q2191">
        <v>0</v>
      </c>
      <c r="R2191" s="4">
        <v>103.63</v>
      </c>
      <c r="S2191">
        <v>0</v>
      </c>
      <c r="T2191">
        <v>1</v>
      </c>
    </row>
    <row r="2192" spans="1:20" ht="16.5" x14ac:dyDescent="0.3">
      <c r="A2192" t="s">
        <v>2245</v>
      </c>
      <c r="B2192" s="1">
        <v>45611</v>
      </c>
      <c r="C2192">
        <v>2024</v>
      </c>
      <c r="D2192" t="s">
        <v>1873</v>
      </c>
      <c r="E2192" t="s">
        <v>2108</v>
      </c>
      <c r="F2192" t="s">
        <v>57</v>
      </c>
      <c r="G2192" t="s">
        <v>39</v>
      </c>
      <c r="H2192" t="s">
        <v>25</v>
      </c>
      <c r="I2192" t="s">
        <v>40</v>
      </c>
      <c r="J2192" t="s">
        <v>41</v>
      </c>
      <c r="K2192" t="s">
        <v>32</v>
      </c>
      <c r="L2192" s="2">
        <v>9.9</v>
      </c>
      <c r="M2192" s="3">
        <v>1027</v>
      </c>
      <c r="N2192">
        <v>2</v>
      </c>
      <c r="O2192">
        <v>6</v>
      </c>
      <c r="P2192">
        <v>0</v>
      </c>
      <c r="Q2192">
        <v>4</v>
      </c>
      <c r="R2192" s="4">
        <v>75.39</v>
      </c>
      <c r="S2192">
        <v>0</v>
      </c>
      <c r="T2192">
        <v>1</v>
      </c>
    </row>
    <row r="2193" spans="1:20" ht="16.5" x14ac:dyDescent="0.3">
      <c r="A2193" t="s">
        <v>2246</v>
      </c>
      <c r="B2193" s="1">
        <v>45611</v>
      </c>
      <c r="C2193">
        <v>2024</v>
      </c>
      <c r="D2193" t="s">
        <v>1873</v>
      </c>
      <c r="E2193" t="s">
        <v>2108</v>
      </c>
      <c r="F2193" t="s">
        <v>34</v>
      </c>
      <c r="G2193" t="s">
        <v>39</v>
      </c>
      <c r="H2193" t="s">
        <v>43</v>
      </c>
      <c r="I2193" t="s">
        <v>26</v>
      </c>
      <c r="J2193" t="s">
        <v>27</v>
      </c>
      <c r="K2193" t="s">
        <v>32</v>
      </c>
      <c r="L2193" s="2">
        <v>4.5999999999999996</v>
      </c>
      <c r="M2193" s="3">
        <v>868</v>
      </c>
      <c r="N2193">
        <v>5</v>
      </c>
      <c r="O2193">
        <v>7</v>
      </c>
      <c r="P2193">
        <v>0</v>
      </c>
      <c r="Q2193">
        <v>2</v>
      </c>
      <c r="R2193" s="4">
        <v>15.81</v>
      </c>
      <c r="S2193">
        <v>0</v>
      </c>
      <c r="T2193">
        <v>1</v>
      </c>
    </row>
    <row r="2194" spans="1:20" ht="16.5" x14ac:dyDescent="0.3">
      <c r="A2194" t="s">
        <v>2247</v>
      </c>
      <c r="B2194" s="1">
        <v>45611</v>
      </c>
      <c r="C2194">
        <v>2024</v>
      </c>
      <c r="D2194" t="s">
        <v>1873</v>
      </c>
      <c r="E2194" t="s">
        <v>2108</v>
      </c>
      <c r="F2194" t="s">
        <v>23</v>
      </c>
      <c r="G2194" t="s">
        <v>35</v>
      </c>
      <c r="H2194" t="s">
        <v>43</v>
      </c>
      <c r="I2194" t="s">
        <v>26</v>
      </c>
      <c r="J2194" t="s">
        <v>27</v>
      </c>
      <c r="K2194" t="s">
        <v>32</v>
      </c>
      <c r="L2194" s="2">
        <v>7.9</v>
      </c>
      <c r="M2194" s="3">
        <v>1243</v>
      </c>
      <c r="N2194">
        <v>5</v>
      </c>
      <c r="O2194">
        <v>5</v>
      </c>
      <c r="P2194">
        <v>1</v>
      </c>
      <c r="Q2194">
        <v>0</v>
      </c>
      <c r="R2194" s="4">
        <v>25.48</v>
      </c>
      <c r="S2194">
        <v>0</v>
      </c>
      <c r="T2194">
        <v>1</v>
      </c>
    </row>
    <row r="2195" spans="1:20" ht="16.5" x14ac:dyDescent="0.3">
      <c r="A2195" t="s">
        <v>2248</v>
      </c>
      <c r="B2195" s="1">
        <v>45611</v>
      </c>
      <c r="C2195">
        <v>2024</v>
      </c>
      <c r="D2195" t="s">
        <v>1873</v>
      </c>
      <c r="E2195" t="s">
        <v>2108</v>
      </c>
      <c r="F2195" t="s">
        <v>57</v>
      </c>
      <c r="G2195" t="s">
        <v>35</v>
      </c>
      <c r="H2195" t="s">
        <v>36</v>
      </c>
      <c r="I2195" t="s">
        <v>26</v>
      </c>
      <c r="J2195" t="s">
        <v>27</v>
      </c>
      <c r="K2195" t="s">
        <v>32</v>
      </c>
      <c r="L2195" s="2">
        <v>6.8</v>
      </c>
      <c r="M2195" s="3">
        <v>265</v>
      </c>
      <c r="N2195">
        <v>3</v>
      </c>
      <c r="O2195">
        <v>2</v>
      </c>
      <c r="P2195">
        <v>1</v>
      </c>
      <c r="Q2195">
        <v>0</v>
      </c>
      <c r="R2195" s="4">
        <v>13.64</v>
      </c>
      <c r="S2195">
        <v>0</v>
      </c>
      <c r="T2195">
        <v>1</v>
      </c>
    </row>
    <row r="2196" spans="1:20" ht="16.5" x14ac:dyDescent="0.3">
      <c r="A2196" t="s">
        <v>2249</v>
      </c>
      <c r="B2196" s="1">
        <v>45611</v>
      </c>
      <c r="C2196">
        <v>2024</v>
      </c>
      <c r="D2196" t="s">
        <v>1873</v>
      </c>
      <c r="E2196" t="s">
        <v>2108</v>
      </c>
      <c r="F2196" t="s">
        <v>57</v>
      </c>
      <c r="G2196" t="s">
        <v>35</v>
      </c>
      <c r="H2196" t="s">
        <v>48</v>
      </c>
      <c r="I2196" t="s">
        <v>26</v>
      </c>
      <c r="J2196" t="s">
        <v>27</v>
      </c>
      <c r="K2196" t="s">
        <v>32</v>
      </c>
      <c r="L2196" s="2">
        <v>8.8000000000000007</v>
      </c>
      <c r="M2196" s="3">
        <v>608</v>
      </c>
      <c r="N2196">
        <v>4</v>
      </c>
      <c r="O2196">
        <v>4</v>
      </c>
      <c r="P2196">
        <v>1</v>
      </c>
      <c r="Q2196">
        <v>0</v>
      </c>
      <c r="R2196" s="4">
        <v>18.989999999999998</v>
      </c>
      <c r="S2196">
        <v>0</v>
      </c>
      <c r="T2196">
        <v>1</v>
      </c>
    </row>
    <row r="2197" spans="1:20" ht="16.5" x14ac:dyDescent="0.3">
      <c r="A2197" t="s">
        <v>2250</v>
      </c>
      <c r="B2197" s="1">
        <v>45611</v>
      </c>
      <c r="C2197">
        <v>2024</v>
      </c>
      <c r="D2197" t="s">
        <v>1873</v>
      </c>
      <c r="E2197" t="s">
        <v>2108</v>
      </c>
      <c r="F2197" t="s">
        <v>38</v>
      </c>
      <c r="G2197" t="s">
        <v>39</v>
      </c>
      <c r="H2197" t="s">
        <v>36</v>
      </c>
      <c r="I2197" t="s">
        <v>40</v>
      </c>
      <c r="J2197" t="s">
        <v>27</v>
      </c>
      <c r="K2197" t="s">
        <v>32</v>
      </c>
      <c r="L2197" s="2">
        <v>8.3000000000000007</v>
      </c>
      <c r="M2197" s="3">
        <v>278</v>
      </c>
      <c r="N2197">
        <v>1</v>
      </c>
      <c r="O2197">
        <v>1</v>
      </c>
      <c r="P2197">
        <v>1</v>
      </c>
      <c r="Q2197">
        <v>0</v>
      </c>
      <c r="R2197" s="4">
        <v>31.55</v>
      </c>
      <c r="S2197">
        <v>0</v>
      </c>
      <c r="T2197">
        <v>1</v>
      </c>
    </row>
    <row r="2198" spans="1:20" ht="16.5" x14ac:dyDescent="0.3">
      <c r="A2198" t="s">
        <v>2251</v>
      </c>
      <c r="B2198" s="1">
        <v>45611</v>
      </c>
      <c r="C2198">
        <v>2024</v>
      </c>
      <c r="D2198" t="s">
        <v>1873</v>
      </c>
      <c r="E2198" t="s">
        <v>2108</v>
      </c>
      <c r="F2198" t="s">
        <v>57</v>
      </c>
      <c r="G2198" t="s">
        <v>24</v>
      </c>
      <c r="H2198" t="s">
        <v>25</v>
      </c>
      <c r="I2198" t="s">
        <v>40</v>
      </c>
      <c r="J2198" t="s">
        <v>41</v>
      </c>
      <c r="K2198" t="s">
        <v>28</v>
      </c>
      <c r="L2198" s="2">
        <v>69.7</v>
      </c>
      <c r="M2198" s="3">
        <v>823</v>
      </c>
      <c r="N2198">
        <v>2</v>
      </c>
      <c r="O2198">
        <v>1</v>
      </c>
      <c r="P2198">
        <v>1</v>
      </c>
      <c r="Q2198">
        <v>0</v>
      </c>
      <c r="R2198" s="4">
        <v>153.38</v>
      </c>
      <c r="S2198">
        <v>0</v>
      </c>
      <c r="T2198">
        <v>1</v>
      </c>
    </row>
    <row r="2199" spans="1:20" ht="16.5" x14ac:dyDescent="0.3">
      <c r="A2199" t="s">
        <v>2252</v>
      </c>
      <c r="B2199" s="1">
        <v>45611</v>
      </c>
      <c r="C2199">
        <v>2024</v>
      </c>
      <c r="D2199" t="s">
        <v>1873</v>
      </c>
      <c r="E2199" t="s">
        <v>2108</v>
      </c>
      <c r="F2199" t="s">
        <v>34</v>
      </c>
      <c r="G2199" t="s">
        <v>39</v>
      </c>
      <c r="H2199" t="s">
        <v>48</v>
      </c>
      <c r="I2199" t="s">
        <v>31</v>
      </c>
      <c r="J2199" t="s">
        <v>27</v>
      </c>
      <c r="K2199" t="s">
        <v>28</v>
      </c>
      <c r="L2199" s="2">
        <v>147.4</v>
      </c>
      <c r="M2199" s="3">
        <v>524</v>
      </c>
      <c r="N2199">
        <v>6</v>
      </c>
      <c r="O2199">
        <v>5</v>
      </c>
      <c r="P2199">
        <v>1</v>
      </c>
      <c r="Q2199">
        <v>0</v>
      </c>
      <c r="R2199" s="4">
        <v>49.37</v>
      </c>
      <c r="S2199">
        <v>0</v>
      </c>
      <c r="T2199">
        <v>1</v>
      </c>
    </row>
    <row r="2200" spans="1:20" ht="16.5" x14ac:dyDescent="0.3">
      <c r="A2200" t="s">
        <v>2253</v>
      </c>
      <c r="B2200" s="1">
        <v>45611</v>
      </c>
      <c r="C2200">
        <v>2024</v>
      </c>
      <c r="D2200" t="s">
        <v>1873</v>
      </c>
      <c r="E2200" t="s">
        <v>2108</v>
      </c>
      <c r="F2200" t="s">
        <v>30</v>
      </c>
      <c r="G2200" t="s">
        <v>39</v>
      </c>
      <c r="H2200" t="s">
        <v>36</v>
      </c>
      <c r="I2200" t="s">
        <v>26</v>
      </c>
      <c r="J2200" t="s">
        <v>27</v>
      </c>
      <c r="K2200" t="s">
        <v>28</v>
      </c>
      <c r="L2200" s="2">
        <v>41.6</v>
      </c>
      <c r="M2200" s="3">
        <v>216</v>
      </c>
      <c r="N2200">
        <v>3</v>
      </c>
      <c r="O2200">
        <v>3</v>
      </c>
      <c r="P2200">
        <v>1</v>
      </c>
      <c r="Q2200">
        <v>0</v>
      </c>
      <c r="R2200" s="4">
        <v>30.29</v>
      </c>
      <c r="S2200">
        <v>0</v>
      </c>
      <c r="T2200">
        <v>1</v>
      </c>
    </row>
    <row r="2201" spans="1:20" ht="16.5" x14ac:dyDescent="0.3">
      <c r="A2201" t="s">
        <v>2254</v>
      </c>
      <c r="B2201" s="1">
        <v>45611</v>
      </c>
      <c r="C2201">
        <v>2024</v>
      </c>
      <c r="D2201" t="s">
        <v>1873</v>
      </c>
      <c r="E2201" t="s">
        <v>2108</v>
      </c>
      <c r="F2201" t="s">
        <v>30</v>
      </c>
      <c r="G2201" t="s">
        <v>35</v>
      </c>
      <c r="H2201" t="s">
        <v>48</v>
      </c>
      <c r="I2201" t="s">
        <v>31</v>
      </c>
      <c r="J2201" t="s">
        <v>27</v>
      </c>
      <c r="K2201" t="s">
        <v>32</v>
      </c>
      <c r="L2201" s="2">
        <v>9.3000000000000007</v>
      </c>
      <c r="M2201" s="3">
        <v>409</v>
      </c>
      <c r="N2201">
        <v>6</v>
      </c>
      <c r="O2201">
        <v>6</v>
      </c>
      <c r="P2201">
        <v>1</v>
      </c>
      <c r="Q2201">
        <v>0</v>
      </c>
      <c r="R2201" s="4">
        <v>12.11</v>
      </c>
      <c r="S2201">
        <v>0</v>
      </c>
      <c r="T2201">
        <v>1</v>
      </c>
    </row>
    <row r="2202" spans="1:20" ht="16.5" x14ac:dyDescent="0.3">
      <c r="A2202" t="s">
        <v>2255</v>
      </c>
      <c r="B2202" s="1">
        <v>45611</v>
      </c>
      <c r="C2202">
        <v>2024</v>
      </c>
      <c r="D2202" t="s">
        <v>1873</v>
      </c>
      <c r="E2202" t="s">
        <v>2108</v>
      </c>
      <c r="F2202" t="s">
        <v>23</v>
      </c>
      <c r="G2202" t="s">
        <v>39</v>
      </c>
      <c r="H2202" t="s">
        <v>36</v>
      </c>
      <c r="I2202" t="s">
        <v>31</v>
      </c>
      <c r="J2202" t="s">
        <v>27</v>
      </c>
      <c r="K2202" t="s">
        <v>28</v>
      </c>
      <c r="L2202" s="2">
        <v>82.1</v>
      </c>
      <c r="M2202" s="3">
        <v>251</v>
      </c>
      <c r="N2202">
        <v>5</v>
      </c>
      <c r="O2202">
        <v>5</v>
      </c>
      <c r="P2202">
        <v>1</v>
      </c>
      <c r="Q2202">
        <v>0</v>
      </c>
      <c r="R2202" s="4">
        <v>31.01</v>
      </c>
      <c r="S2202">
        <v>0</v>
      </c>
      <c r="T2202">
        <v>1</v>
      </c>
    </row>
    <row r="2203" spans="1:20" ht="16.5" x14ac:dyDescent="0.3">
      <c r="A2203" t="s">
        <v>2256</v>
      </c>
      <c r="B2203" s="1">
        <v>45611</v>
      </c>
      <c r="C2203">
        <v>2024</v>
      </c>
      <c r="D2203" t="s">
        <v>1873</v>
      </c>
      <c r="E2203" t="s">
        <v>2108</v>
      </c>
      <c r="F2203" t="s">
        <v>34</v>
      </c>
      <c r="G2203" t="s">
        <v>24</v>
      </c>
      <c r="H2203" t="s">
        <v>51</v>
      </c>
      <c r="I2203" t="s">
        <v>40</v>
      </c>
      <c r="J2203" t="s">
        <v>41</v>
      </c>
      <c r="K2203" t="s">
        <v>28</v>
      </c>
      <c r="L2203" s="2">
        <v>245.8</v>
      </c>
      <c r="M2203" s="3">
        <v>1098</v>
      </c>
      <c r="N2203">
        <v>3</v>
      </c>
      <c r="O2203">
        <v>4</v>
      </c>
      <c r="P2203">
        <v>0</v>
      </c>
      <c r="Q2203">
        <v>1</v>
      </c>
      <c r="R2203" s="4">
        <v>298.44</v>
      </c>
      <c r="S2203">
        <v>0</v>
      </c>
      <c r="T2203">
        <v>1</v>
      </c>
    </row>
    <row r="2204" spans="1:20" ht="16.5" x14ac:dyDescent="0.3">
      <c r="A2204" t="s">
        <v>2257</v>
      </c>
      <c r="B2204" s="1">
        <v>45611</v>
      </c>
      <c r="C2204">
        <v>2024</v>
      </c>
      <c r="D2204" t="s">
        <v>1873</v>
      </c>
      <c r="E2204" t="s">
        <v>2108</v>
      </c>
      <c r="F2204" t="s">
        <v>57</v>
      </c>
      <c r="G2204" t="s">
        <v>35</v>
      </c>
      <c r="H2204" t="s">
        <v>51</v>
      </c>
      <c r="I2204" t="s">
        <v>26</v>
      </c>
      <c r="J2204" t="s">
        <v>27</v>
      </c>
      <c r="K2204" t="s">
        <v>32</v>
      </c>
      <c r="L2204" s="2">
        <v>4.4000000000000004</v>
      </c>
      <c r="M2204" s="3">
        <v>1203</v>
      </c>
      <c r="N2204">
        <v>5</v>
      </c>
      <c r="O2204">
        <v>4</v>
      </c>
      <c r="P2204">
        <v>1</v>
      </c>
      <c r="Q2204">
        <v>0</v>
      </c>
      <c r="R2204" s="4">
        <v>23.26</v>
      </c>
      <c r="S2204">
        <v>0</v>
      </c>
      <c r="T2204">
        <v>1</v>
      </c>
    </row>
    <row r="2205" spans="1:20" ht="16.5" x14ac:dyDescent="0.3">
      <c r="A2205" t="s">
        <v>2258</v>
      </c>
      <c r="B2205" s="1">
        <v>45612</v>
      </c>
      <c r="C2205">
        <v>2024</v>
      </c>
      <c r="D2205" t="s">
        <v>1873</v>
      </c>
      <c r="E2205" t="s">
        <v>2108</v>
      </c>
      <c r="F2205" t="s">
        <v>34</v>
      </c>
      <c r="G2205" t="s">
        <v>35</v>
      </c>
      <c r="H2205" t="s">
        <v>51</v>
      </c>
      <c r="I2205" t="s">
        <v>26</v>
      </c>
      <c r="J2205" t="s">
        <v>27</v>
      </c>
      <c r="K2205" t="s">
        <v>32</v>
      </c>
      <c r="L2205" s="2">
        <v>3.4</v>
      </c>
      <c r="M2205" s="3">
        <v>963</v>
      </c>
      <c r="N2205">
        <v>5</v>
      </c>
      <c r="O2205">
        <v>4</v>
      </c>
      <c r="P2205">
        <v>1</v>
      </c>
      <c r="Q2205">
        <v>0</v>
      </c>
      <c r="R2205" s="4">
        <v>18.71</v>
      </c>
      <c r="S2205">
        <v>0</v>
      </c>
      <c r="T2205">
        <v>1</v>
      </c>
    </row>
    <row r="2206" spans="1:20" ht="16.5" x14ac:dyDescent="0.3">
      <c r="A2206" t="s">
        <v>2259</v>
      </c>
      <c r="B2206" s="1">
        <v>45612</v>
      </c>
      <c r="C2206">
        <v>2024</v>
      </c>
      <c r="D2206" t="s">
        <v>1873</v>
      </c>
      <c r="E2206" t="s">
        <v>2108</v>
      </c>
      <c r="F2206" t="s">
        <v>34</v>
      </c>
      <c r="G2206" t="s">
        <v>39</v>
      </c>
      <c r="H2206" t="s">
        <v>48</v>
      </c>
      <c r="I2206" t="s">
        <v>26</v>
      </c>
      <c r="J2206" t="s">
        <v>27</v>
      </c>
      <c r="K2206" t="s">
        <v>32</v>
      </c>
      <c r="L2206" s="2">
        <v>1.7</v>
      </c>
      <c r="M2206" s="3">
        <v>460</v>
      </c>
      <c r="N2206">
        <v>4</v>
      </c>
      <c r="O2206">
        <v>7</v>
      </c>
      <c r="P2206">
        <v>0</v>
      </c>
      <c r="Q2206">
        <v>3</v>
      </c>
      <c r="R2206" s="4">
        <v>11.15</v>
      </c>
      <c r="S2206">
        <v>0</v>
      </c>
      <c r="T2206">
        <v>1</v>
      </c>
    </row>
    <row r="2207" spans="1:20" ht="16.5" x14ac:dyDescent="0.3">
      <c r="A2207" t="s">
        <v>2260</v>
      </c>
      <c r="B2207" s="1">
        <v>45612</v>
      </c>
      <c r="C2207">
        <v>2024</v>
      </c>
      <c r="D2207" t="s">
        <v>1873</v>
      </c>
      <c r="E2207" t="s">
        <v>2108</v>
      </c>
      <c r="F2207" t="s">
        <v>38</v>
      </c>
      <c r="G2207" t="s">
        <v>24</v>
      </c>
      <c r="H2207" t="s">
        <v>25</v>
      </c>
      <c r="I2207" t="s">
        <v>26</v>
      </c>
      <c r="J2207" t="s">
        <v>27</v>
      </c>
      <c r="K2207" t="s">
        <v>32</v>
      </c>
      <c r="L2207" s="2">
        <v>2.8</v>
      </c>
      <c r="M2207" s="3">
        <v>766</v>
      </c>
      <c r="N2207">
        <v>4</v>
      </c>
      <c r="O2207">
        <v>4</v>
      </c>
      <c r="P2207">
        <v>1</v>
      </c>
      <c r="Q2207">
        <v>0</v>
      </c>
      <c r="R2207" s="4">
        <v>20.03</v>
      </c>
      <c r="S2207">
        <v>0</v>
      </c>
      <c r="T2207">
        <v>1</v>
      </c>
    </row>
    <row r="2208" spans="1:20" ht="16.5" x14ac:dyDescent="0.3">
      <c r="A2208" t="s">
        <v>2261</v>
      </c>
      <c r="B2208" s="1">
        <v>45612</v>
      </c>
      <c r="C2208">
        <v>2024</v>
      </c>
      <c r="D2208" t="s">
        <v>1873</v>
      </c>
      <c r="E2208" t="s">
        <v>2108</v>
      </c>
      <c r="F2208" t="s">
        <v>34</v>
      </c>
      <c r="G2208" t="s">
        <v>39</v>
      </c>
      <c r="H2208" t="s">
        <v>36</v>
      </c>
      <c r="I2208" t="s">
        <v>26</v>
      </c>
      <c r="J2208" t="s">
        <v>27</v>
      </c>
      <c r="K2208" t="s">
        <v>32</v>
      </c>
      <c r="L2208" s="2">
        <v>1.7</v>
      </c>
      <c r="M2208" s="3">
        <v>309</v>
      </c>
      <c r="N2208">
        <v>3</v>
      </c>
      <c r="O2208">
        <v>6</v>
      </c>
      <c r="P2208">
        <v>0</v>
      </c>
      <c r="Q2208">
        <v>3</v>
      </c>
      <c r="R2208" s="4">
        <v>9.5399999999999991</v>
      </c>
      <c r="S2208">
        <v>0</v>
      </c>
      <c r="T2208">
        <v>1</v>
      </c>
    </row>
    <row r="2209" spans="1:20" ht="16.5" x14ac:dyDescent="0.3">
      <c r="A2209" t="s">
        <v>2262</v>
      </c>
      <c r="B2209" s="1">
        <v>45612</v>
      </c>
      <c r="C2209">
        <v>2024</v>
      </c>
      <c r="D2209" t="s">
        <v>1873</v>
      </c>
      <c r="E2209" t="s">
        <v>2108</v>
      </c>
      <c r="F2209" t="s">
        <v>57</v>
      </c>
      <c r="G2209" t="s">
        <v>35</v>
      </c>
      <c r="H2209" t="s">
        <v>43</v>
      </c>
      <c r="I2209" t="s">
        <v>31</v>
      </c>
      <c r="J2209" t="s">
        <v>27</v>
      </c>
      <c r="K2209" t="s">
        <v>28</v>
      </c>
      <c r="L2209" s="2">
        <v>75.5</v>
      </c>
      <c r="M2209" s="3">
        <v>1173</v>
      </c>
      <c r="N2209">
        <v>7</v>
      </c>
      <c r="O2209">
        <v>8</v>
      </c>
      <c r="P2209">
        <v>0</v>
      </c>
      <c r="Q2209">
        <v>1</v>
      </c>
      <c r="R2209" s="4">
        <v>39.94</v>
      </c>
      <c r="S2209">
        <v>0</v>
      </c>
      <c r="T2209">
        <v>1</v>
      </c>
    </row>
    <row r="2210" spans="1:20" ht="16.5" x14ac:dyDescent="0.3">
      <c r="A2210" t="s">
        <v>2263</v>
      </c>
      <c r="B2210" s="1">
        <v>45612</v>
      </c>
      <c r="C2210">
        <v>2024</v>
      </c>
      <c r="D2210" t="s">
        <v>1873</v>
      </c>
      <c r="E2210" t="s">
        <v>2108</v>
      </c>
      <c r="F2210" t="s">
        <v>57</v>
      </c>
      <c r="G2210" t="s">
        <v>39</v>
      </c>
      <c r="H2210" t="s">
        <v>36</v>
      </c>
      <c r="I2210" t="s">
        <v>26</v>
      </c>
      <c r="J2210" t="s">
        <v>27</v>
      </c>
      <c r="K2210" t="s">
        <v>28</v>
      </c>
      <c r="L2210" s="2">
        <v>107.4</v>
      </c>
      <c r="M2210" s="3">
        <v>239</v>
      </c>
      <c r="N2210">
        <v>3</v>
      </c>
      <c r="O2210">
        <v>3</v>
      </c>
      <c r="P2210">
        <v>1</v>
      </c>
      <c r="Q2210">
        <v>0</v>
      </c>
      <c r="R2210" s="4">
        <v>58.94</v>
      </c>
      <c r="S2210">
        <v>0</v>
      </c>
      <c r="T2210">
        <v>1</v>
      </c>
    </row>
    <row r="2211" spans="1:20" ht="16.5" x14ac:dyDescent="0.3">
      <c r="A2211" t="s">
        <v>2264</v>
      </c>
      <c r="B2211" s="1">
        <v>45612</v>
      </c>
      <c r="C2211">
        <v>2024</v>
      </c>
      <c r="D2211" t="s">
        <v>1873</v>
      </c>
      <c r="E2211" t="s">
        <v>2108</v>
      </c>
      <c r="F2211" t="s">
        <v>38</v>
      </c>
      <c r="G2211" t="s">
        <v>24</v>
      </c>
      <c r="H2211" t="s">
        <v>48</v>
      </c>
      <c r="I2211" t="s">
        <v>31</v>
      </c>
      <c r="J2211" t="s">
        <v>27</v>
      </c>
      <c r="K2211" t="s">
        <v>32</v>
      </c>
      <c r="L2211" s="2">
        <v>15.2</v>
      </c>
      <c r="M2211" s="3">
        <v>530</v>
      </c>
      <c r="N2211">
        <v>6</v>
      </c>
      <c r="O2211">
        <v>6</v>
      </c>
      <c r="P2211">
        <v>1</v>
      </c>
      <c r="Q2211">
        <v>0</v>
      </c>
      <c r="R2211" s="4">
        <v>15.86</v>
      </c>
      <c r="S2211">
        <v>0</v>
      </c>
      <c r="T2211">
        <v>1</v>
      </c>
    </row>
    <row r="2212" spans="1:20" ht="16.5" x14ac:dyDescent="0.3">
      <c r="A2212" t="s">
        <v>2265</v>
      </c>
      <c r="B2212" s="1">
        <v>45612</v>
      </c>
      <c r="C2212">
        <v>2024</v>
      </c>
      <c r="D2212" t="s">
        <v>1873</v>
      </c>
      <c r="E2212" t="s">
        <v>2108</v>
      </c>
      <c r="F2212" t="s">
        <v>34</v>
      </c>
      <c r="G2212" t="s">
        <v>39</v>
      </c>
      <c r="H2212" t="s">
        <v>43</v>
      </c>
      <c r="I2212" t="s">
        <v>26</v>
      </c>
      <c r="J2212" t="s">
        <v>27</v>
      </c>
      <c r="K2212" t="s">
        <v>28</v>
      </c>
      <c r="L2212" s="2">
        <v>62.6</v>
      </c>
      <c r="M2212" s="3">
        <v>1081</v>
      </c>
      <c r="N2212">
        <v>5</v>
      </c>
      <c r="O2212">
        <v>5</v>
      </c>
      <c r="P2212">
        <v>1</v>
      </c>
      <c r="Q2212">
        <v>0</v>
      </c>
      <c r="R2212" s="4">
        <v>35.36</v>
      </c>
      <c r="S2212">
        <v>0</v>
      </c>
      <c r="T2212">
        <v>1</v>
      </c>
    </row>
    <row r="2213" spans="1:20" ht="16.5" x14ac:dyDescent="0.3">
      <c r="A2213" t="s">
        <v>2266</v>
      </c>
      <c r="B2213" s="1">
        <v>45612</v>
      </c>
      <c r="C2213">
        <v>2024</v>
      </c>
      <c r="D2213" t="s">
        <v>1873</v>
      </c>
      <c r="E2213" t="s">
        <v>2108</v>
      </c>
      <c r="F2213" t="s">
        <v>38</v>
      </c>
      <c r="G2213" t="s">
        <v>39</v>
      </c>
      <c r="H2213" t="s">
        <v>25</v>
      </c>
      <c r="I2213" t="s">
        <v>40</v>
      </c>
      <c r="J2213" t="s">
        <v>41</v>
      </c>
      <c r="K2213" t="s">
        <v>32</v>
      </c>
      <c r="L2213" s="2">
        <v>0.7</v>
      </c>
      <c r="M2213" s="3">
        <v>879</v>
      </c>
      <c r="N2213">
        <v>2</v>
      </c>
      <c r="O2213">
        <v>4</v>
      </c>
      <c r="P2213">
        <v>0</v>
      </c>
      <c r="Q2213">
        <v>2</v>
      </c>
      <c r="R2213" s="4">
        <v>63.26</v>
      </c>
      <c r="S2213">
        <v>0</v>
      </c>
      <c r="T2213">
        <v>1</v>
      </c>
    </row>
    <row r="2214" spans="1:20" ht="16.5" x14ac:dyDescent="0.3">
      <c r="A2214" t="s">
        <v>2267</v>
      </c>
      <c r="B2214" s="1">
        <v>45612</v>
      </c>
      <c r="C2214">
        <v>2024</v>
      </c>
      <c r="D2214" t="s">
        <v>1873</v>
      </c>
      <c r="E2214" t="s">
        <v>2108</v>
      </c>
      <c r="F2214" t="s">
        <v>57</v>
      </c>
      <c r="G2214" t="s">
        <v>35</v>
      </c>
      <c r="H2214" t="s">
        <v>25</v>
      </c>
      <c r="I2214" t="s">
        <v>26</v>
      </c>
      <c r="J2214" t="s">
        <v>27</v>
      </c>
      <c r="K2214" t="s">
        <v>32</v>
      </c>
      <c r="L2214" s="2">
        <v>12.8</v>
      </c>
      <c r="M2214" s="3">
        <v>749</v>
      </c>
      <c r="N2214">
        <v>4</v>
      </c>
      <c r="O2214">
        <v>4</v>
      </c>
      <c r="P2214">
        <v>1</v>
      </c>
      <c r="Q2214">
        <v>0</v>
      </c>
      <c r="R2214" s="4">
        <v>25.01</v>
      </c>
      <c r="S2214">
        <v>0</v>
      </c>
      <c r="T2214">
        <v>1</v>
      </c>
    </row>
    <row r="2215" spans="1:20" ht="16.5" x14ac:dyDescent="0.3">
      <c r="A2215" t="s">
        <v>2268</v>
      </c>
      <c r="B2215" s="1">
        <v>45613</v>
      </c>
      <c r="C2215">
        <v>2024</v>
      </c>
      <c r="D2215" t="s">
        <v>1873</v>
      </c>
      <c r="E2215" t="s">
        <v>2108</v>
      </c>
      <c r="F2215" t="s">
        <v>57</v>
      </c>
      <c r="G2215" t="s">
        <v>24</v>
      </c>
      <c r="H2215" t="s">
        <v>48</v>
      </c>
      <c r="I2215" t="s">
        <v>26</v>
      </c>
      <c r="J2215" t="s">
        <v>27</v>
      </c>
      <c r="K2215" t="s">
        <v>32</v>
      </c>
      <c r="L2215" s="2">
        <v>3</v>
      </c>
      <c r="M2215" s="3">
        <v>481</v>
      </c>
      <c r="N2215">
        <v>4</v>
      </c>
      <c r="O2215">
        <v>4</v>
      </c>
      <c r="P2215">
        <v>1</v>
      </c>
      <c r="Q2215">
        <v>0</v>
      </c>
      <c r="R2215" s="4">
        <v>11.45</v>
      </c>
      <c r="S2215">
        <v>0</v>
      </c>
      <c r="T2215">
        <v>1</v>
      </c>
    </row>
    <row r="2216" spans="1:20" ht="16.5" x14ac:dyDescent="0.3">
      <c r="A2216" t="s">
        <v>2269</v>
      </c>
      <c r="B2216" s="1">
        <v>45613</v>
      </c>
      <c r="C2216">
        <v>2024</v>
      </c>
      <c r="D2216" t="s">
        <v>1873</v>
      </c>
      <c r="E2216" t="s">
        <v>2108</v>
      </c>
      <c r="F2216" t="s">
        <v>38</v>
      </c>
      <c r="G2216" t="s">
        <v>39</v>
      </c>
      <c r="H2216" t="s">
        <v>36</v>
      </c>
      <c r="I2216" t="s">
        <v>26</v>
      </c>
      <c r="J2216" t="s">
        <v>27</v>
      </c>
      <c r="K2216" t="s">
        <v>32</v>
      </c>
      <c r="L2216" s="2">
        <v>2.9</v>
      </c>
      <c r="M2216" s="3">
        <v>221</v>
      </c>
      <c r="N2216">
        <v>3</v>
      </c>
      <c r="O2216">
        <v>2</v>
      </c>
      <c r="P2216">
        <v>1</v>
      </c>
      <c r="Q2216">
        <v>0</v>
      </c>
      <c r="R2216" s="4">
        <v>12.78</v>
      </c>
      <c r="S2216">
        <v>0</v>
      </c>
      <c r="T2216">
        <v>1</v>
      </c>
    </row>
    <row r="2217" spans="1:20" ht="16.5" x14ac:dyDescent="0.3">
      <c r="A2217" t="s">
        <v>2270</v>
      </c>
      <c r="B2217" s="1">
        <v>45613</v>
      </c>
      <c r="C2217">
        <v>2024</v>
      </c>
      <c r="D2217" t="s">
        <v>1873</v>
      </c>
      <c r="E2217" t="s">
        <v>2108</v>
      </c>
      <c r="F2217" t="s">
        <v>38</v>
      </c>
      <c r="G2217" t="s">
        <v>39</v>
      </c>
      <c r="H2217" t="s">
        <v>36</v>
      </c>
      <c r="I2217" t="s">
        <v>31</v>
      </c>
      <c r="J2217" t="s">
        <v>27</v>
      </c>
      <c r="K2217" t="s">
        <v>28</v>
      </c>
      <c r="L2217" s="2">
        <v>262</v>
      </c>
      <c r="M2217" s="3">
        <v>286</v>
      </c>
      <c r="N2217">
        <v>5</v>
      </c>
      <c r="O2217">
        <v>5</v>
      </c>
      <c r="P2217">
        <v>1</v>
      </c>
      <c r="Q2217">
        <v>0</v>
      </c>
      <c r="R2217" s="4">
        <v>89.42</v>
      </c>
      <c r="S2217">
        <v>0</v>
      </c>
      <c r="T2217">
        <v>1</v>
      </c>
    </row>
    <row r="2218" spans="1:20" ht="16.5" x14ac:dyDescent="0.3">
      <c r="A2218" t="s">
        <v>2271</v>
      </c>
      <c r="B2218" s="1">
        <v>45614</v>
      </c>
      <c r="C2218">
        <v>2024</v>
      </c>
      <c r="D2218" t="s">
        <v>1873</v>
      </c>
      <c r="E2218" t="s">
        <v>2108</v>
      </c>
      <c r="F2218" t="s">
        <v>38</v>
      </c>
      <c r="G2218" t="s">
        <v>39</v>
      </c>
      <c r="H2218" t="s">
        <v>48</v>
      </c>
      <c r="I2218" t="s">
        <v>40</v>
      </c>
      <c r="J2218" t="s">
        <v>27</v>
      </c>
      <c r="K2218" t="s">
        <v>32</v>
      </c>
      <c r="L2218" s="2">
        <v>10.6</v>
      </c>
      <c r="M2218" s="3">
        <v>446</v>
      </c>
      <c r="N2218">
        <v>2</v>
      </c>
      <c r="O2218">
        <v>2</v>
      </c>
      <c r="P2218">
        <v>1</v>
      </c>
      <c r="Q2218">
        <v>0</v>
      </c>
      <c r="R2218" s="4">
        <v>45.07</v>
      </c>
      <c r="S2218">
        <v>0</v>
      </c>
      <c r="T2218">
        <v>1</v>
      </c>
    </row>
    <row r="2219" spans="1:20" ht="16.5" x14ac:dyDescent="0.3">
      <c r="A2219" t="s">
        <v>2272</v>
      </c>
      <c r="B2219" s="1">
        <v>45614</v>
      </c>
      <c r="C2219">
        <v>2024</v>
      </c>
      <c r="D2219" t="s">
        <v>1873</v>
      </c>
      <c r="E2219" t="s">
        <v>2108</v>
      </c>
      <c r="F2219" t="s">
        <v>38</v>
      </c>
      <c r="G2219" t="s">
        <v>24</v>
      </c>
      <c r="H2219" t="s">
        <v>25</v>
      </c>
      <c r="I2219" t="s">
        <v>26</v>
      </c>
      <c r="J2219" t="s">
        <v>27</v>
      </c>
      <c r="K2219" t="s">
        <v>28</v>
      </c>
      <c r="L2219" s="2">
        <v>149.4</v>
      </c>
      <c r="M2219" s="3">
        <v>970</v>
      </c>
      <c r="N2219">
        <v>4</v>
      </c>
      <c r="O2219">
        <v>5</v>
      </c>
      <c r="P2219">
        <v>0</v>
      </c>
      <c r="Q2219">
        <v>1</v>
      </c>
      <c r="R2219" s="4">
        <v>88.14</v>
      </c>
      <c r="S2219">
        <v>0</v>
      </c>
      <c r="T2219">
        <v>1</v>
      </c>
    </row>
    <row r="2220" spans="1:20" ht="16.5" x14ac:dyDescent="0.3">
      <c r="A2220" t="s">
        <v>2273</v>
      </c>
      <c r="B2220" s="1">
        <v>45614</v>
      </c>
      <c r="C2220">
        <v>2024</v>
      </c>
      <c r="D2220" t="s">
        <v>1873</v>
      </c>
      <c r="E2220" t="s">
        <v>2108</v>
      </c>
      <c r="F2220" t="s">
        <v>34</v>
      </c>
      <c r="G2220" t="s">
        <v>39</v>
      </c>
      <c r="H2220" t="s">
        <v>36</v>
      </c>
      <c r="I2220" t="s">
        <v>26</v>
      </c>
      <c r="J2220" t="s">
        <v>27</v>
      </c>
      <c r="K2220" t="s">
        <v>32</v>
      </c>
      <c r="L2220" s="2">
        <v>3.8</v>
      </c>
      <c r="M2220" s="3">
        <v>207</v>
      </c>
      <c r="N2220">
        <v>3</v>
      </c>
      <c r="O2220">
        <v>3</v>
      </c>
      <c r="P2220">
        <v>1</v>
      </c>
      <c r="Q2220">
        <v>0</v>
      </c>
      <c r="R2220" s="4">
        <v>10.53</v>
      </c>
      <c r="S2220">
        <v>0</v>
      </c>
      <c r="T2220">
        <v>1</v>
      </c>
    </row>
    <row r="2221" spans="1:20" ht="16.5" x14ac:dyDescent="0.3">
      <c r="A2221" t="s">
        <v>2274</v>
      </c>
      <c r="B2221" s="1">
        <v>45614</v>
      </c>
      <c r="C2221">
        <v>2024</v>
      </c>
      <c r="D2221" t="s">
        <v>1873</v>
      </c>
      <c r="E2221" t="s">
        <v>2108</v>
      </c>
      <c r="F2221" t="s">
        <v>30</v>
      </c>
      <c r="G2221" t="s">
        <v>24</v>
      </c>
      <c r="H2221" t="s">
        <v>48</v>
      </c>
      <c r="I2221" t="s">
        <v>31</v>
      </c>
      <c r="J2221" t="s">
        <v>27</v>
      </c>
      <c r="K2221" t="s">
        <v>28</v>
      </c>
      <c r="L2221" s="2">
        <v>135.9</v>
      </c>
      <c r="M2221" s="3">
        <v>429</v>
      </c>
      <c r="N2221">
        <v>6</v>
      </c>
      <c r="O2221">
        <v>5</v>
      </c>
      <c r="P2221">
        <v>1</v>
      </c>
      <c r="Q2221">
        <v>0</v>
      </c>
      <c r="R2221" s="4">
        <v>49.76</v>
      </c>
      <c r="S2221">
        <v>0</v>
      </c>
      <c r="T2221">
        <v>1</v>
      </c>
    </row>
    <row r="2222" spans="1:20" ht="16.5" x14ac:dyDescent="0.3">
      <c r="A2222" t="s">
        <v>2275</v>
      </c>
      <c r="B2222" s="1">
        <v>45614</v>
      </c>
      <c r="C2222">
        <v>2024</v>
      </c>
      <c r="D2222" t="s">
        <v>1873</v>
      </c>
      <c r="E2222" t="s">
        <v>2108</v>
      </c>
      <c r="F2222" t="s">
        <v>57</v>
      </c>
      <c r="G2222" t="s">
        <v>39</v>
      </c>
      <c r="H2222" t="s">
        <v>51</v>
      </c>
      <c r="I2222" t="s">
        <v>26</v>
      </c>
      <c r="J2222" t="s">
        <v>27</v>
      </c>
      <c r="K2222" t="s">
        <v>32</v>
      </c>
      <c r="L2222" s="2">
        <v>4.9000000000000004</v>
      </c>
      <c r="M2222" s="3">
        <v>989</v>
      </c>
      <c r="N2222">
        <v>5</v>
      </c>
      <c r="O2222">
        <v>8</v>
      </c>
      <c r="P2222">
        <v>0</v>
      </c>
      <c r="Q2222">
        <v>3</v>
      </c>
      <c r="R2222" s="4">
        <v>22.62</v>
      </c>
      <c r="S2222">
        <v>0</v>
      </c>
      <c r="T2222">
        <v>1</v>
      </c>
    </row>
    <row r="2223" spans="1:20" ht="16.5" x14ac:dyDescent="0.3">
      <c r="A2223" t="s">
        <v>2276</v>
      </c>
      <c r="B2223" s="1">
        <v>45614</v>
      </c>
      <c r="C2223">
        <v>2024</v>
      </c>
      <c r="D2223" t="s">
        <v>1873</v>
      </c>
      <c r="E2223" t="s">
        <v>2108</v>
      </c>
      <c r="F2223" t="s">
        <v>23</v>
      </c>
      <c r="G2223" t="s">
        <v>39</v>
      </c>
      <c r="H2223" t="s">
        <v>25</v>
      </c>
      <c r="I2223" t="s">
        <v>40</v>
      </c>
      <c r="J2223" t="s">
        <v>41</v>
      </c>
      <c r="K2223" t="s">
        <v>32</v>
      </c>
      <c r="L2223" s="2">
        <v>28.1</v>
      </c>
      <c r="M2223" s="3">
        <v>770</v>
      </c>
      <c r="N2223">
        <v>2</v>
      </c>
      <c r="O2223">
        <v>2</v>
      </c>
      <c r="P2223">
        <v>1</v>
      </c>
      <c r="Q2223">
        <v>0</v>
      </c>
      <c r="R2223" s="4">
        <v>90.98</v>
      </c>
      <c r="S2223">
        <v>0</v>
      </c>
      <c r="T2223">
        <v>1</v>
      </c>
    </row>
    <row r="2224" spans="1:20" ht="16.5" x14ac:dyDescent="0.3">
      <c r="A2224" t="s">
        <v>2277</v>
      </c>
      <c r="B2224" s="1">
        <v>45614</v>
      </c>
      <c r="C2224">
        <v>2024</v>
      </c>
      <c r="D2224" t="s">
        <v>1873</v>
      </c>
      <c r="E2224" t="s">
        <v>2108</v>
      </c>
      <c r="F2224" t="s">
        <v>57</v>
      </c>
      <c r="G2224" t="s">
        <v>39</v>
      </c>
      <c r="H2224" t="s">
        <v>43</v>
      </c>
      <c r="I2224" t="s">
        <v>26</v>
      </c>
      <c r="J2224" t="s">
        <v>27</v>
      </c>
      <c r="K2224" t="s">
        <v>32</v>
      </c>
      <c r="L2224" s="2">
        <v>2.2999999999999998</v>
      </c>
      <c r="M2224" s="3">
        <v>1204</v>
      </c>
      <c r="N2224">
        <v>5</v>
      </c>
      <c r="O2224">
        <v>5</v>
      </c>
      <c r="P2224">
        <v>1</v>
      </c>
      <c r="Q2224">
        <v>0</v>
      </c>
      <c r="R2224" s="4">
        <v>21.9</v>
      </c>
      <c r="S2224">
        <v>0</v>
      </c>
      <c r="T2224">
        <v>1</v>
      </c>
    </row>
    <row r="2225" spans="1:20" ht="16.5" x14ac:dyDescent="0.3">
      <c r="A2225" t="s">
        <v>2278</v>
      </c>
      <c r="B2225" s="1">
        <v>45614</v>
      </c>
      <c r="C2225">
        <v>2024</v>
      </c>
      <c r="D2225" t="s">
        <v>1873</v>
      </c>
      <c r="E2225" t="s">
        <v>2108</v>
      </c>
      <c r="F2225" t="s">
        <v>38</v>
      </c>
      <c r="G2225" t="s">
        <v>39</v>
      </c>
      <c r="H2225" t="s">
        <v>36</v>
      </c>
      <c r="I2225" t="s">
        <v>40</v>
      </c>
      <c r="J2225" t="s">
        <v>27</v>
      </c>
      <c r="K2225" t="s">
        <v>32</v>
      </c>
      <c r="L2225" s="2">
        <v>8.3000000000000007</v>
      </c>
      <c r="M2225" s="3">
        <v>240</v>
      </c>
      <c r="N2225">
        <v>1</v>
      </c>
      <c r="O2225">
        <v>1</v>
      </c>
      <c r="P2225">
        <v>1</v>
      </c>
      <c r="Q2225">
        <v>0</v>
      </c>
      <c r="R2225" s="4">
        <v>30.27</v>
      </c>
      <c r="S2225">
        <v>0</v>
      </c>
      <c r="T2225">
        <v>1</v>
      </c>
    </row>
    <row r="2226" spans="1:20" ht="16.5" x14ac:dyDescent="0.3">
      <c r="A2226" t="s">
        <v>2279</v>
      </c>
      <c r="B2226" s="1">
        <v>45614</v>
      </c>
      <c r="C2226">
        <v>2024</v>
      </c>
      <c r="D2226" t="s">
        <v>1873</v>
      </c>
      <c r="E2226" t="s">
        <v>2108</v>
      </c>
      <c r="F2226" t="s">
        <v>30</v>
      </c>
      <c r="G2226" t="s">
        <v>24</v>
      </c>
      <c r="H2226" t="s">
        <v>25</v>
      </c>
      <c r="I2226" t="s">
        <v>26</v>
      </c>
      <c r="J2226" t="s">
        <v>27</v>
      </c>
      <c r="K2226" t="s">
        <v>28</v>
      </c>
      <c r="L2226" s="2">
        <v>142.19999999999999</v>
      </c>
      <c r="M2226" s="3">
        <v>853</v>
      </c>
      <c r="N2226">
        <v>4</v>
      </c>
      <c r="O2226">
        <v>4</v>
      </c>
      <c r="P2226">
        <v>1</v>
      </c>
      <c r="Q2226">
        <v>0</v>
      </c>
      <c r="R2226" s="4">
        <v>79.959999999999994</v>
      </c>
      <c r="S2226">
        <v>0</v>
      </c>
      <c r="T2226">
        <v>1</v>
      </c>
    </row>
    <row r="2227" spans="1:20" ht="16.5" x14ac:dyDescent="0.3">
      <c r="A2227" t="s">
        <v>2280</v>
      </c>
      <c r="B2227" s="1">
        <v>45614</v>
      </c>
      <c r="C2227">
        <v>2024</v>
      </c>
      <c r="D2227" t="s">
        <v>1873</v>
      </c>
      <c r="E2227" t="s">
        <v>2108</v>
      </c>
      <c r="F2227" t="s">
        <v>57</v>
      </c>
      <c r="G2227" t="s">
        <v>24</v>
      </c>
      <c r="H2227" t="s">
        <v>36</v>
      </c>
      <c r="I2227" t="s">
        <v>26</v>
      </c>
      <c r="J2227" t="s">
        <v>27</v>
      </c>
      <c r="K2227" t="s">
        <v>32</v>
      </c>
      <c r="L2227" s="2">
        <v>9.6</v>
      </c>
      <c r="M2227" s="3">
        <v>281</v>
      </c>
      <c r="N2227">
        <v>3</v>
      </c>
      <c r="O2227">
        <v>3</v>
      </c>
      <c r="P2227">
        <v>1</v>
      </c>
      <c r="Q2227">
        <v>0</v>
      </c>
      <c r="R2227" s="4">
        <v>15.64</v>
      </c>
      <c r="S2227">
        <v>0</v>
      </c>
      <c r="T2227">
        <v>1</v>
      </c>
    </row>
    <row r="2228" spans="1:20" ht="16.5" x14ac:dyDescent="0.3">
      <c r="A2228" t="s">
        <v>2281</v>
      </c>
      <c r="B2228" s="1">
        <v>45614</v>
      </c>
      <c r="C2228">
        <v>2024</v>
      </c>
      <c r="D2228" t="s">
        <v>1873</v>
      </c>
      <c r="E2228" t="s">
        <v>2108</v>
      </c>
      <c r="F2228" t="s">
        <v>30</v>
      </c>
      <c r="G2228" t="s">
        <v>35</v>
      </c>
      <c r="H2228" t="s">
        <v>36</v>
      </c>
      <c r="I2228" t="s">
        <v>26</v>
      </c>
      <c r="J2228" t="s">
        <v>27</v>
      </c>
      <c r="K2228" t="s">
        <v>28</v>
      </c>
      <c r="L2228" s="2">
        <v>53.8</v>
      </c>
      <c r="M2228" s="3">
        <v>245</v>
      </c>
      <c r="N2228">
        <v>3</v>
      </c>
      <c r="O2228">
        <v>3</v>
      </c>
      <c r="P2228">
        <v>1</v>
      </c>
      <c r="Q2228">
        <v>0</v>
      </c>
      <c r="R2228" s="4">
        <v>33.229999999999997</v>
      </c>
      <c r="S2228">
        <v>0</v>
      </c>
      <c r="T2228">
        <v>1</v>
      </c>
    </row>
    <row r="2229" spans="1:20" ht="16.5" x14ac:dyDescent="0.3">
      <c r="A2229" t="s">
        <v>2282</v>
      </c>
      <c r="B2229" s="1">
        <v>45614</v>
      </c>
      <c r="C2229">
        <v>2024</v>
      </c>
      <c r="D2229" t="s">
        <v>1873</v>
      </c>
      <c r="E2229" t="s">
        <v>2108</v>
      </c>
      <c r="F2229" t="s">
        <v>34</v>
      </c>
      <c r="G2229" t="s">
        <v>35</v>
      </c>
      <c r="H2229" t="s">
        <v>48</v>
      </c>
      <c r="I2229" t="s">
        <v>31</v>
      </c>
      <c r="J2229" t="s">
        <v>27</v>
      </c>
      <c r="K2229" t="s">
        <v>28</v>
      </c>
      <c r="L2229" s="2">
        <v>47.6</v>
      </c>
      <c r="M2229" s="3">
        <v>398</v>
      </c>
      <c r="N2229">
        <v>6</v>
      </c>
      <c r="O2229">
        <v>5</v>
      </c>
      <c r="P2229">
        <v>1</v>
      </c>
      <c r="Q2229">
        <v>0</v>
      </c>
      <c r="R2229" s="4">
        <v>22.25</v>
      </c>
      <c r="S2229">
        <v>0</v>
      </c>
      <c r="T2229">
        <v>1</v>
      </c>
    </row>
    <row r="2230" spans="1:20" ht="16.5" x14ac:dyDescent="0.3">
      <c r="A2230" t="s">
        <v>2283</v>
      </c>
      <c r="B2230" s="1">
        <v>45614</v>
      </c>
      <c r="C2230">
        <v>2024</v>
      </c>
      <c r="D2230" t="s">
        <v>1873</v>
      </c>
      <c r="E2230" t="s">
        <v>2108</v>
      </c>
      <c r="F2230" t="s">
        <v>57</v>
      </c>
      <c r="G2230" t="s">
        <v>39</v>
      </c>
      <c r="H2230" t="s">
        <v>43</v>
      </c>
      <c r="I2230" t="s">
        <v>26</v>
      </c>
      <c r="J2230" t="s">
        <v>27</v>
      </c>
      <c r="K2230" t="s">
        <v>28</v>
      </c>
      <c r="L2230" s="2">
        <v>205.1</v>
      </c>
      <c r="M2230" s="3">
        <v>1246</v>
      </c>
      <c r="N2230">
        <v>5</v>
      </c>
      <c r="O2230">
        <v>8</v>
      </c>
      <c r="P2230">
        <v>0</v>
      </c>
      <c r="Q2230">
        <v>3</v>
      </c>
      <c r="R2230" s="4">
        <v>105.57</v>
      </c>
      <c r="S2230">
        <v>0</v>
      </c>
      <c r="T2230">
        <v>1</v>
      </c>
    </row>
    <row r="2231" spans="1:20" ht="16.5" x14ac:dyDescent="0.3">
      <c r="A2231" t="s">
        <v>2284</v>
      </c>
      <c r="B2231" s="1">
        <v>45614</v>
      </c>
      <c r="C2231">
        <v>2024</v>
      </c>
      <c r="D2231" t="s">
        <v>1873</v>
      </c>
      <c r="E2231" t="s">
        <v>2108</v>
      </c>
      <c r="F2231" t="s">
        <v>34</v>
      </c>
      <c r="G2231" t="s">
        <v>35</v>
      </c>
      <c r="H2231" t="s">
        <v>48</v>
      </c>
      <c r="I2231" t="s">
        <v>26</v>
      </c>
      <c r="J2231" t="s">
        <v>27</v>
      </c>
      <c r="K2231" t="s">
        <v>28</v>
      </c>
      <c r="L2231" s="2">
        <v>12.7</v>
      </c>
      <c r="M2231" s="3">
        <v>489</v>
      </c>
      <c r="N2231">
        <v>4</v>
      </c>
      <c r="O2231">
        <v>4</v>
      </c>
      <c r="P2231">
        <v>1</v>
      </c>
      <c r="Q2231">
        <v>0</v>
      </c>
      <c r="R2231" s="4">
        <v>17.2</v>
      </c>
      <c r="S2231">
        <v>0</v>
      </c>
      <c r="T2231">
        <v>1</v>
      </c>
    </row>
    <row r="2232" spans="1:20" ht="16.5" x14ac:dyDescent="0.3">
      <c r="A2232" t="s">
        <v>2285</v>
      </c>
      <c r="B2232" s="1">
        <v>45615</v>
      </c>
      <c r="C2232">
        <v>2024</v>
      </c>
      <c r="D2232" t="s">
        <v>1873</v>
      </c>
      <c r="E2232" t="s">
        <v>2108</v>
      </c>
      <c r="F2232" t="s">
        <v>30</v>
      </c>
      <c r="G2232" t="s">
        <v>35</v>
      </c>
      <c r="H2232" t="s">
        <v>25</v>
      </c>
      <c r="I2232" t="s">
        <v>26</v>
      </c>
      <c r="J2232" t="s">
        <v>27</v>
      </c>
      <c r="K2232" t="s">
        <v>32</v>
      </c>
      <c r="L2232" s="2">
        <v>5.7</v>
      </c>
      <c r="M2232" s="3">
        <v>1012</v>
      </c>
      <c r="N2232">
        <v>4</v>
      </c>
      <c r="O2232">
        <v>5</v>
      </c>
      <c r="P2232">
        <v>0</v>
      </c>
      <c r="Q2232">
        <v>1</v>
      </c>
      <c r="R2232" s="4">
        <v>23.21</v>
      </c>
      <c r="S2232">
        <v>0</v>
      </c>
      <c r="T2232">
        <v>1</v>
      </c>
    </row>
    <row r="2233" spans="1:20" ht="16.5" x14ac:dyDescent="0.3">
      <c r="A2233" t="s">
        <v>2286</v>
      </c>
      <c r="B2233" s="1">
        <v>45615</v>
      </c>
      <c r="C2233">
        <v>2024</v>
      </c>
      <c r="D2233" t="s">
        <v>1873</v>
      </c>
      <c r="E2233" t="s">
        <v>2108</v>
      </c>
      <c r="F2233" t="s">
        <v>57</v>
      </c>
      <c r="G2233" t="s">
        <v>39</v>
      </c>
      <c r="H2233" t="s">
        <v>43</v>
      </c>
      <c r="I2233" t="s">
        <v>26</v>
      </c>
      <c r="J2233" t="s">
        <v>27</v>
      </c>
      <c r="K2233" t="s">
        <v>28</v>
      </c>
      <c r="L2233" s="2">
        <v>157.69999999999999</v>
      </c>
      <c r="M2233" s="3">
        <v>904</v>
      </c>
      <c r="N2233">
        <v>5</v>
      </c>
      <c r="O2233">
        <v>5</v>
      </c>
      <c r="P2233">
        <v>1</v>
      </c>
      <c r="Q2233">
        <v>0</v>
      </c>
      <c r="R2233" s="4">
        <v>78.8</v>
      </c>
      <c r="S2233">
        <v>0</v>
      </c>
      <c r="T2233">
        <v>1</v>
      </c>
    </row>
    <row r="2234" spans="1:20" ht="16.5" x14ac:dyDescent="0.3">
      <c r="A2234" t="s">
        <v>2287</v>
      </c>
      <c r="B2234" s="1">
        <v>45615</v>
      </c>
      <c r="C2234">
        <v>2024</v>
      </c>
      <c r="D2234" t="s">
        <v>1873</v>
      </c>
      <c r="E2234" t="s">
        <v>2108</v>
      </c>
      <c r="F2234" t="s">
        <v>38</v>
      </c>
      <c r="G2234" t="s">
        <v>39</v>
      </c>
      <c r="H2234" t="s">
        <v>48</v>
      </c>
      <c r="I2234" t="s">
        <v>26</v>
      </c>
      <c r="J2234" t="s">
        <v>27</v>
      </c>
      <c r="K2234" t="s">
        <v>28</v>
      </c>
      <c r="L2234" s="2">
        <v>29.3</v>
      </c>
      <c r="M2234" s="3">
        <v>538</v>
      </c>
      <c r="N2234">
        <v>4</v>
      </c>
      <c r="O2234">
        <v>3</v>
      </c>
      <c r="P2234">
        <v>1</v>
      </c>
      <c r="Q2234">
        <v>0</v>
      </c>
      <c r="R2234" s="4">
        <v>26.62</v>
      </c>
      <c r="S2234">
        <v>0</v>
      </c>
      <c r="T2234">
        <v>1</v>
      </c>
    </row>
    <row r="2235" spans="1:20" ht="16.5" x14ac:dyDescent="0.3">
      <c r="A2235" t="s">
        <v>2288</v>
      </c>
      <c r="B2235" s="1">
        <v>45615</v>
      </c>
      <c r="C2235">
        <v>2024</v>
      </c>
      <c r="D2235" t="s">
        <v>1873</v>
      </c>
      <c r="E2235" t="s">
        <v>2108</v>
      </c>
      <c r="F2235" t="s">
        <v>34</v>
      </c>
      <c r="G2235" t="s">
        <v>39</v>
      </c>
      <c r="H2235" t="s">
        <v>43</v>
      </c>
      <c r="I2235" t="s">
        <v>26</v>
      </c>
      <c r="J2235" t="s">
        <v>27</v>
      </c>
      <c r="K2235" t="s">
        <v>32</v>
      </c>
      <c r="L2235" s="2">
        <v>7</v>
      </c>
      <c r="M2235" s="3">
        <v>1100</v>
      </c>
      <c r="N2235">
        <v>5</v>
      </c>
      <c r="O2235">
        <v>5</v>
      </c>
      <c r="P2235">
        <v>1</v>
      </c>
      <c r="Q2235">
        <v>0</v>
      </c>
      <c r="R2235" s="4">
        <v>20.440000000000001</v>
      </c>
      <c r="S2235">
        <v>0</v>
      </c>
      <c r="T2235">
        <v>1</v>
      </c>
    </row>
    <row r="2236" spans="1:20" ht="16.5" x14ac:dyDescent="0.3">
      <c r="A2236" t="s">
        <v>2289</v>
      </c>
      <c r="B2236" s="1">
        <v>45615</v>
      </c>
      <c r="C2236">
        <v>2024</v>
      </c>
      <c r="D2236" t="s">
        <v>1873</v>
      </c>
      <c r="E2236" t="s">
        <v>2108</v>
      </c>
      <c r="F2236" t="s">
        <v>57</v>
      </c>
      <c r="G2236" t="s">
        <v>39</v>
      </c>
      <c r="H2236" t="s">
        <v>36</v>
      </c>
      <c r="I2236" t="s">
        <v>26</v>
      </c>
      <c r="J2236" t="s">
        <v>27</v>
      </c>
      <c r="K2236" t="s">
        <v>28</v>
      </c>
      <c r="L2236" s="2">
        <v>174.4</v>
      </c>
      <c r="M2236" s="3">
        <v>234</v>
      </c>
      <c r="N2236">
        <v>3</v>
      </c>
      <c r="O2236">
        <v>6</v>
      </c>
      <c r="P2236">
        <v>0</v>
      </c>
      <c r="Q2236">
        <v>3</v>
      </c>
      <c r="R2236" s="4">
        <v>82.74</v>
      </c>
      <c r="S2236">
        <v>0</v>
      </c>
      <c r="T2236">
        <v>1</v>
      </c>
    </row>
    <row r="2237" spans="1:20" ht="16.5" x14ac:dyDescent="0.3">
      <c r="A2237" t="s">
        <v>2290</v>
      </c>
      <c r="B2237" s="1">
        <v>45615</v>
      </c>
      <c r="C2237">
        <v>2024</v>
      </c>
      <c r="D2237" t="s">
        <v>1873</v>
      </c>
      <c r="E2237" t="s">
        <v>2108</v>
      </c>
      <c r="F2237" t="s">
        <v>38</v>
      </c>
      <c r="G2237" t="s">
        <v>39</v>
      </c>
      <c r="H2237" t="s">
        <v>25</v>
      </c>
      <c r="I2237" t="s">
        <v>40</v>
      </c>
      <c r="J2237" t="s">
        <v>41</v>
      </c>
      <c r="K2237" t="s">
        <v>28</v>
      </c>
      <c r="L2237" s="2">
        <v>68.599999999999994</v>
      </c>
      <c r="M2237" s="3">
        <v>1025</v>
      </c>
      <c r="N2237">
        <v>2</v>
      </c>
      <c r="O2237">
        <v>2</v>
      </c>
      <c r="P2237">
        <v>1</v>
      </c>
      <c r="Q2237">
        <v>0</v>
      </c>
      <c r="R2237" s="4">
        <v>183.49</v>
      </c>
      <c r="S2237">
        <v>0</v>
      </c>
      <c r="T2237">
        <v>1</v>
      </c>
    </row>
    <row r="2238" spans="1:20" ht="16.5" x14ac:dyDescent="0.3">
      <c r="A2238" t="s">
        <v>2291</v>
      </c>
      <c r="B2238" s="1">
        <v>45615</v>
      </c>
      <c r="C2238">
        <v>2024</v>
      </c>
      <c r="D2238" t="s">
        <v>1873</v>
      </c>
      <c r="E2238" t="s">
        <v>2108</v>
      </c>
      <c r="F2238" t="s">
        <v>23</v>
      </c>
      <c r="G2238" t="s">
        <v>35</v>
      </c>
      <c r="H2238" t="s">
        <v>43</v>
      </c>
      <c r="I2238" t="s">
        <v>26</v>
      </c>
      <c r="J2238" t="s">
        <v>27</v>
      </c>
      <c r="K2238" t="s">
        <v>28</v>
      </c>
      <c r="L2238" s="2">
        <v>125.9</v>
      </c>
      <c r="M2238" s="3">
        <v>700</v>
      </c>
      <c r="N2238">
        <v>5</v>
      </c>
      <c r="O2238">
        <v>5</v>
      </c>
      <c r="P2238">
        <v>1</v>
      </c>
      <c r="Q2238">
        <v>0</v>
      </c>
      <c r="R2238" s="4">
        <v>63.39</v>
      </c>
      <c r="S2238">
        <v>0</v>
      </c>
      <c r="T2238">
        <v>1</v>
      </c>
    </row>
    <row r="2239" spans="1:20" ht="16.5" x14ac:dyDescent="0.3">
      <c r="A2239" t="s">
        <v>2292</v>
      </c>
      <c r="B2239" s="1">
        <v>45615</v>
      </c>
      <c r="C2239">
        <v>2024</v>
      </c>
      <c r="D2239" t="s">
        <v>1873</v>
      </c>
      <c r="E2239" t="s">
        <v>2108</v>
      </c>
      <c r="F2239" t="s">
        <v>57</v>
      </c>
      <c r="G2239" t="s">
        <v>39</v>
      </c>
      <c r="H2239" t="s">
        <v>25</v>
      </c>
      <c r="I2239" t="s">
        <v>26</v>
      </c>
      <c r="J2239" t="s">
        <v>27</v>
      </c>
      <c r="K2239" t="s">
        <v>32</v>
      </c>
      <c r="L2239" s="2">
        <v>1.6</v>
      </c>
      <c r="M2239" s="3">
        <v>789</v>
      </c>
      <c r="N2239">
        <v>4</v>
      </c>
      <c r="O2239">
        <v>7</v>
      </c>
      <c r="P2239">
        <v>0</v>
      </c>
      <c r="Q2239">
        <v>3</v>
      </c>
      <c r="R2239" s="4">
        <v>17.600000000000001</v>
      </c>
      <c r="S2239">
        <v>0</v>
      </c>
      <c r="T2239">
        <v>1</v>
      </c>
    </row>
    <row r="2240" spans="1:20" ht="16.5" x14ac:dyDescent="0.3">
      <c r="A2240" t="s">
        <v>2293</v>
      </c>
      <c r="B2240" s="1">
        <v>45615</v>
      </c>
      <c r="C2240">
        <v>2024</v>
      </c>
      <c r="D2240" t="s">
        <v>1873</v>
      </c>
      <c r="E2240" t="s">
        <v>2108</v>
      </c>
      <c r="F2240" t="s">
        <v>30</v>
      </c>
      <c r="G2240" t="s">
        <v>24</v>
      </c>
      <c r="H2240" t="s">
        <v>36</v>
      </c>
      <c r="I2240" t="s">
        <v>31</v>
      </c>
      <c r="J2240" t="s">
        <v>27</v>
      </c>
      <c r="K2240" t="s">
        <v>28</v>
      </c>
      <c r="L2240" s="2">
        <v>36.700000000000003</v>
      </c>
      <c r="M2240" s="3">
        <v>277</v>
      </c>
      <c r="N2240">
        <v>5</v>
      </c>
      <c r="O2240">
        <v>8</v>
      </c>
      <c r="P2240">
        <v>0</v>
      </c>
      <c r="Q2240">
        <v>3</v>
      </c>
      <c r="R2240" s="4">
        <v>20.309999999999999</v>
      </c>
      <c r="S2240">
        <v>0</v>
      </c>
      <c r="T2240">
        <v>1</v>
      </c>
    </row>
    <row r="2241" spans="1:20" ht="16.5" x14ac:dyDescent="0.3">
      <c r="A2241" t="s">
        <v>2294</v>
      </c>
      <c r="B2241" s="1">
        <v>45615</v>
      </c>
      <c r="C2241">
        <v>2024</v>
      </c>
      <c r="D2241" t="s">
        <v>1873</v>
      </c>
      <c r="E2241" t="s">
        <v>2108</v>
      </c>
      <c r="F2241" t="s">
        <v>34</v>
      </c>
      <c r="G2241" t="s">
        <v>39</v>
      </c>
      <c r="H2241" t="s">
        <v>36</v>
      </c>
      <c r="I2241" t="s">
        <v>40</v>
      </c>
      <c r="J2241" t="s">
        <v>27</v>
      </c>
      <c r="K2241" t="s">
        <v>32</v>
      </c>
      <c r="L2241" s="2">
        <v>6.7</v>
      </c>
      <c r="M2241" s="3">
        <v>312</v>
      </c>
      <c r="N2241">
        <v>1</v>
      </c>
      <c r="O2241">
        <v>3</v>
      </c>
      <c r="P2241">
        <v>0</v>
      </c>
      <c r="Q2241">
        <v>2</v>
      </c>
      <c r="R2241" s="4">
        <v>23.85</v>
      </c>
      <c r="S2241">
        <v>0</v>
      </c>
      <c r="T2241">
        <v>1</v>
      </c>
    </row>
    <row r="2242" spans="1:20" ht="16.5" x14ac:dyDescent="0.3">
      <c r="A2242" t="s">
        <v>2295</v>
      </c>
      <c r="B2242" s="1">
        <v>45615</v>
      </c>
      <c r="C2242">
        <v>2024</v>
      </c>
      <c r="D2242" t="s">
        <v>1873</v>
      </c>
      <c r="E2242" t="s">
        <v>2108</v>
      </c>
      <c r="F2242" t="s">
        <v>34</v>
      </c>
      <c r="G2242" t="s">
        <v>39</v>
      </c>
      <c r="H2242" t="s">
        <v>36</v>
      </c>
      <c r="I2242" t="s">
        <v>26</v>
      </c>
      <c r="J2242" t="s">
        <v>27</v>
      </c>
      <c r="K2242" t="s">
        <v>32</v>
      </c>
      <c r="L2242" s="2">
        <v>12.7</v>
      </c>
      <c r="M2242" s="3">
        <v>226</v>
      </c>
      <c r="N2242">
        <v>3</v>
      </c>
      <c r="O2242">
        <v>5</v>
      </c>
      <c r="P2242">
        <v>0</v>
      </c>
      <c r="Q2242">
        <v>2</v>
      </c>
      <c r="R2242" s="4">
        <v>12.98</v>
      </c>
      <c r="S2242">
        <v>0</v>
      </c>
      <c r="T2242">
        <v>1</v>
      </c>
    </row>
    <row r="2243" spans="1:20" ht="16.5" x14ac:dyDescent="0.3">
      <c r="A2243" t="s">
        <v>2296</v>
      </c>
      <c r="B2243" s="1">
        <v>45615</v>
      </c>
      <c r="C2243">
        <v>2024</v>
      </c>
      <c r="D2243" t="s">
        <v>1873</v>
      </c>
      <c r="E2243" t="s">
        <v>2108</v>
      </c>
      <c r="F2243" t="s">
        <v>30</v>
      </c>
      <c r="G2243" t="s">
        <v>39</v>
      </c>
      <c r="H2243" t="s">
        <v>43</v>
      </c>
      <c r="I2243" t="s">
        <v>26</v>
      </c>
      <c r="J2243" t="s">
        <v>27</v>
      </c>
      <c r="K2243" t="s">
        <v>32</v>
      </c>
      <c r="L2243" s="2">
        <v>5.5</v>
      </c>
      <c r="M2243" s="3">
        <v>984</v>
      </c>
      <c r="N2243">
        <v>5</v>
      </c>
      <c r="O2243">
        <v>6</v>
      </c>
      <c r="P2243">
        <v>0</v>
      </c>
      <c r="Q2243">
        <v>1</v>
      </c>
      <c r="R2243" s="4">
        <v>24.62</v>
      </c>
      <c r="S2243">
        <v>0</v>
      </c>
      <c r="T2243">
        <v>1</v>
      </c>
    </row>
    <row r="2244" spans="1:20" ht="16.5" x14ac:dyDescent="0.3">
      <c r="A2244" t="s">
        <v>2297</v>
      </c>
      <c r="B2244" s="1">
        <v>45615</v>
      </c>
      <c r="C2244">
        <v>2024</v>
      </c>
      <c r="D2244" t="s">
        <v>1873</v>
      </c>
      <c r="E2244" t="s">
        <v>2108</v>
      </c>
      <c r="F2244" t="s">
        <v>38</v>
      </c>
      <c r="G2244" t="s">
        <v>39</v>
      </c>
      <c r="H2244" t="s">
        <v>36</v>
      </c>
      <c r="I2244" t="s">
        <v>26</v>
      </c>
      <c r="J2244" t="s">
        <v>27</v>
      </c>
      <c r="K2244" t="s">
        <v>32</v>
      </c>
      <c r="L2244" s="2">
        <v>12</v>
      </c>
      <c r="M2244" s="3">
        <v>295</v>
      </c>
      <c r="N2244">
        <v>3</v>
      </c>
      <c r="O2244">
        <v>6</v>
      </c>
      <c r="P2244">
        <v>0</v>
      </c>
      <c r="Q2244">
        <v>3</v>
      </c>
      <c r="R2244" s="4">
        <v>18.47</v>
      </c>
      <c r="S2244">
        <v>0</v>
      </c>
      <c r="T2244">
        <v>1</v>
      </c>
    </row>
    <row r="2245" spans="1:20" ht="16.5" x14ac:dyDescent="0.3">
      <c r="A2245" t="s">
        <v>2298</v>
      </c>
      <c r="B2245" s="1">
        <v>45615</v>
      </c>
      <c r="C2245">
        <v>2024</v>
      </c>
      <c r="D2245" t="s">
        <v>1873</v>
      </c>
      <c r="E2245" t="s">
        <v>2108</v>
      </c>
      <c r="F2245" t="s">
        <v>57</v>
      </c>
      <c r="G2245" t="s">
        <v>39</v>
      </c>
      <c r="H2245" t="s">
        <v>36</v>
      </c>
      <c r="I2245" t="s">
        <v>26</v>
      </c>
      <c r="J2245" t="s">
        <v>27</v>
      </c>
      <c r="K2245" t="s">
        <v>32</v>
      </c>
      <c r="L2245" s="2">
        <v>3.7</v>
      </c>
      <c r="M2245" s="3">
        <v>248</v>
      </c>
      <c r="N2245">
        <v>3</v>
      </c>
      <c r="O2245">
        <v>4</v>
      </c>
      <c r="P2245">
        <v>0</v>
      </c>
      <c r="Q2245">
        <v>1</v>
      </c>
      <c r="R2245" s="4">
        <v>10.86</v>
      </c>
      <c r="S2245">
        <v>0</v>
      </c>
      <c r="T2245">
        <v>1</v>
      </c>
    </row>
    <row r="2246" spans="1:20" ht="16.5" x14ac:dyDescent="0.3">
      <c r="A2246" t="s">
        <v>2299</v>
      </c>
      <c r="B2246" s="1">
        <v>45615</v>
      </c>
      <c r="C2246">
        <v>2024</v>
      </c>
      <c r="D2246" t="s">
        <v>1873</v>
      </c>
      <c r="E2246" t="s">
        <v>2108</v>
      </c>
      <c r="F2246" t="s">
        <v>57</v>
      </c>
      <c r="G2246" t="s">
        <v>24</v>
      </c>
      <c r="H2246" t="s">
        <v>25</v>
      </c>
      <c r="I2246" t="s">
        <v>31</v>
      </c>
      <c r="J2246" t="s">
        <v>27</v>
      </c>
      <c r="K2246" t="s">
        <v>28</v>
      </c>
      <c r="L2246" s="2">
        <v>16.399999999999999</v>
      </c>
      <c r="M2246" s="3">
        <v>790</v>
      </c>
      <c r="N2246">
        <v>6</v>
      </c>
      <c r="O2246">
        <v>6</v>
      </c>
      <c r="P2246">
        <v>1</v>
      </c>
      <c r="Q2246">
        <v>0</v>
      </c>
      <c r="R2246" s="4">
        <v>18.350000000000001</v>
      </c>
      <c r="S2246">
        <v>0</v>
      </c>
      <c r="T2246">
        <v>1</v>
      </c>
    </row>
    <row r="2247" spans="1:20" ht="16.5" x14ac:dyDescent="0.3">
      <c r="A2247" t="s">
        <v>2300</v>
      </c>
      <c r="B2247" s="1">
        <v>45615</v>
      </c>
      <c r="C2247">
        <v>2024</v>
      </c>
      <c r="D2247" t="s">
        <v>1873</v>
      </c>
      <c r="E2247" t="s">
        <v>2108</v>
      </c>
      <c r="F2247" t="s">
        <v>30</v>
      </c>
      <c r="G2247" t="s">
        <v>39</v>
      </c>
      <c r="H2247" t="s">
        <v>36</v>
      </c>
      <c r="I2247" t="s">
        <v>26</v>
      </c>
      <c r="J2247" t="s">
        <v>27</v>
      </c>
      <c r="K2247" t="s">
        <v>28</v>
      </c>
      <c r="L2247" s="2">
        <v>172.6</v>
      </c>
      <c r="M2247" s="3">
        <v>251</v>
      </c>
      <c r="N2247">
        <v>3</v>
      </c>
      <c r="O2247">
        <v>3</v>
      </c>
      <c r="P2247">
        <v>1</v>
      </c>
      <c r="Q2247">
        <v>0</v>
      </c>
      <c r="R2247" s="4">
        <v>80.86</v>
      </c>
      <c r="S2247">
        <v>0</v>
      </c>
      <c r="T2247">
        <v>1</v>
      </c>
    </row>
    <row r="2248" spans="1:20" ht="16.5" x14ac:dyDescent="0.3">
      <c r="A2248" t="s">
        <v>2301</v>
      </c>
      <c r="B2248" s="1">
        <v>45615</v>
      </c>
      <c r="C2248">
        <v>2024</v>
      </c>
      <c r="D2248" t="s">
        <v>1873</v>
      </c>
      <c r="E2248" t="s">
        <v>2108</v>
      </c>
      <c r="F2248" t="s">
        <v>34</v>
      </c>
      <c r="G2248" t="s">
        <v>39</v>
      </c>
      <c r="H2248" t="s">
        <v>51</v>
      </c>
      <c r="I2248" t="s">
        <v>31</v>
      </c>
      <c r="J2248" t="s">
        <v>27</v>
      </c>
      <c r="K2248" t="s">
        <v>32</v>
      </c>
      <c r="L2248" s="2">
        <v>7.3</v>
      </c>
      <c r="M2248" s="3">
        <v>1380</v>
      </c>
      <c r="N2248">
        <v>7</v>
      </c>
      <c r="O2248">
        <v>9</v>
      </c>
      <c r="P2248">
        <v>0</v>
      </c>
      <c r="Q2248">
        <v>2</v>
      </c>
      <c r="R2248" s="4">
        <v>17.5</v>
      </c>
      <c r="S2248">
        <v>0</v>
      </c>
      <c r="T2248">
        <v>1</v>
      </c>
    </row>
    <row r="2249" spans="1:20" ht="16.5" x14ac:dyDescent="0.3">
      <c r="A2249" t="s">
        <v>2302</v>
      </c>
      <c r="B2249" s="1">
        <v>45615</v>
      </c>
      <c r="C2249">
        <v>2024</v>
      </c>
      <c r="D2249" t="s">
        <v>1873</v>
      </c>
      <c r="E2249" t="s">
        <v>2108</v>
      </c>
      <c r="F2249" t="s">
        <v>34</v>
      </c>
      <c r="G2249" t="s">
        <v>39</v>
      </c>
      <c r="H2249" t="s">
        <v>25</v>
      </c>
      <c r="I2249" t="s">
        <v>26</v>
      </c>
      <c r="J2249" t="s">
        <v>27</v>
      </c>
      <c r="K2249" t="s">
        <v>32</v>
      </c>
      <c r="L2249" s="2">
        <v>6.2</v>
      </c>
      <c r="M2249" s="3">
        <v>730</v>
      </c>
      <c r="N2249">
        <v>4</v>
      </c>
      <c r="O2249">
        <v>8</v>
      </c>
      <c r="P2249">
        <v>0</v>
      </c>
      <c r="Q2249">
        <v>4</v>
      </c>
      <c r="R2249" s="4">
        <v>15.19</v>
      </c>
      <c r="S2249">
        <v>0</v>
      </c>
      <c r="T2249">
        <v>1</v>
      </c>
    </row>
    <row r="2250" spans="1:20" ht="16.5" x14ac:dyDescent="0.3">
      <c r="A2250" t="s">
        <v>2303</v>
      </c>
      <c r="B2250" s="1">
        <v>45616</v>
      </c>
      <c r="C2250">
        <v>2024</v>
      </c>
      <c r="D2250" t="s">
        <v>1873</v>
      </c>
      <c r="E2250" t="s">
        <v>2108</v>
      </c>
      <c r="F2250" t="s">
        <v>38</v>
      </c>
      <c r="G2250" t="s">
        <v>39</v>
      </c>
      <c r="H2250" t="s">
        <v>43</v>
      </c>
      <c r="I2250" t="s">
        <v>26</v>
      </c>
      <c r="J2250" t="s">
        <v>27</v>
      </c>
      <c r="K2250" t="s">
        <v>32</v>
      </c>
      <c r="L2250" s="2">
        <v>11.5</v>
      </c>
      <c r="M2250" s="3">
        <v>1343</v>
      </c>
      <c r="N2250">
        <v>5</v>
      </c>
      <c r="O2250">
        <v>8</v>
      </c>
      <c r="P2250">
        <v>0</v>
      </c>
      <c r="Q2250">
        <v>3</v>
      </c>
      <c r="R2250" s="4">
        <v>33.96</v>
      </c>
      <c r="S2250">
        <v>0</v>
      </c>
      <c r="T2250">
        <v>1</v>
      </c>
    </row>
    <row r="2251" spans="1:20" ht="16.5" x14ac:dyDescent="0.3">
      <c r="A2251" t="s">
        <v>2304</v>
      </c>
      <c r="B2251" s="1">
        <v>45616</v>
      </c>
      <c r="C2251">
        <v>2024</v>
      </c>
      <c r="D2251" t="s">
        <v>1873</v>
      </c>
      <c r="E2251" t="s">
        <v>2108</v>
      </c>
      <c r="F2251" t="s">
        <v>38</v>
      </c>
      <c r="G2251" t="s">
        <v>39</v>
      </c>
      <c r="H2251" t="s">
        <v>25</v>
      </c>
      <c r="I2251" t="s">
        <v>26</v>
      </c>
      <c r="J2251" t="s">
        <v>27</v>
      </c>
      <c r="K2251" t="s">
        <v>28</v>
      </c>
      <c r="L2251" s="2">
        <v>30.4</v>
      </c>
      <c r="M2251" s="3">
        <v>929</v>
      </c>
      <c r="N2251">
        <v>4</v>
      </c>
      <c r="O2251">
        <v>4</v>
      </c>
      <c r="P2251">
        <v>1</v>
      </c>
      <c r="Q2251">
        <v>0</v>
      </c>
      <c r="R2251" s="4">
        <v>33.47</v>
      </c>
      <c r="S2251">
        <v>0</v>
      </c>
      <c r="T2251">
        <v>1</v>
      </c>
    </row>
    <row r="2252" spans="1:20" ht="16.5" x14ac:dyDescent="0.3">
      <c r="A2252" t="s">
        <v>2305</v>
      </c>
      <c r="B2252" s="1">
        <v>45616</v>
      </c>
      <c r="C2252">
        <v>2024</v>
      </c>
      <c r="D2252" t="s">
        <v>1873</v>
      </c>
      <c r="E2252" t="s">
        <v>2108</v>
      </c>
      <c r="F2252" t="s">
        <v>38</v>
      </c>
      <c r="G2252" t="s">
        <v>39</v>
      </c>
      <c r="H2252" t="s">
        <v>48</v>
      </c>
      <c r="I2252" t="s">
        <v>26</v>
      </c>
      <c r="J2252" t="s">
        <v>27</v>
      </c>
      <c r="K2252" t="s">
        <v>32</v>
      </c>
      <c r="L2252" s="2">
        <v>4.7</v>
      </c>
      <c r="M2252" s="3">
        <v>370</v>
      </c>
      <c r="N2252">
        <v>4</v>
      </c>
      <c r="O2252">
        <v>4</v>
      </c>
      <c r="P2252">
        <v>1</v>
      </c>
      <c r="Q2252">
        <v>0</v>
      </c>
      <c r="R2252" s="4">
        <v>15.45</v>
      </c>
      <c r="S2252">
        <v>0</v>
      </c>
      <c r="T2252">
        <v>1</v>
      </c>
    </row>
    <row r="2253" spans="1:20" ht="16.5" x14ac:dyDescent="0.3">
      <c r="A2253" t="s">
        <v>2306</v>
      </c>
      <c r="B2253" s="1">
        <v>45616</v>
      </c>
      <c r="C2253">
        <v>2024</v>
      </c>
      <c r="D2253" t="s">
        <v>1873</v>
      </c>
      <c r="E2253" t="s">
        <v>2108</v>
      </c>
      <c r="F2253" t="s">
        <v>38</v>
      </c>
      <c r="G2253" t="s">
        <v>35</v>
      </c>
      <c r="H2253" t="s">
        <v>48</v>
      </c>
      <c r="I2253" t="s">
        <v>26</v>
      </c>
      <c r="J2253" t="s">
        <v>27</v>
      </c>
      <c r="K2253" t="s">
        <v>32</v>
      </c>
      <c r="L2253" s="2">
        <v>1.9</v>
      </c>
      <c r="M2253" s="3">
        <v>513</v>
      </c>
      <c r="N2253">
        <v>4</v>
      </c>
      <c r="O2253">
        <v>4</v>
      </c>
      <c r="P2253">
        <v>1</v>
      </c>
      <c r="Q2253">
        <v>0</v>
      </c>
      <c r="R2253" s="4">
        <v>16.829999999999998</v>
      </c>
      <c r="S2253">
        <v>0</v>
      </c>
      <c r="T2253">
        <v>1</v>
      </c>
    </row>
    <row r="2254" spans="1:20" ht="16.5" x14ac:dyDescent="0.3">
      <c r="A2254" t="s">
        <v>2307</v>
      </c>
      <c r="B2254" s="1">
        <v>45616</v>
      </c>
      <c r="C2254">
        <v>2024</v>
      </c>
      <c r="D2254" t="s">
        <v>1873</v>
      </c>
      <c r="E2254" t="s">
        <v>2108</v>
      </c>
      <c r="F2254" t="s">
        <v>38</v>
      </c>
      <c r="G2254" t="s">
        <v>39</v>
      </c>
      <c r="H2254" t="s">
        <v>48</v>
      </c>
      <c r="I2254" t="s">
        <v>26</v>
      </c>
      <c r="J2254" t="s">
        <v>27</v>
      </c>
      <c r="K2254" t="s">
        <v>28</v>
      </c>
      <c r="L2254" s="2">
        <v>136.4</v>
      </c>
      <c r="M2254" s="3">
        <v>472</v>
      </c>
      <c r="N2254">
        <v>4</v>
      </c>
      <c r="O2254">
        <v>3</v>
      </c>
      <c r="P2254">
        <v>1</v>
      </c>
      <c r="Q2254">
        <v>0</v>
      </c>
      <c r="R2254" s="4">
        <v>76.36</v>
      </c>
      <c r="S2254">
        <v>0</v>
      </c>
      <c r="T2254">
        <v>1</v>
      </c>
    </row>
    <row r="2255" spans="1:20" ht="16.5" x14ac:dyDescent="0.3">
      <c r="A2255" t="s">
        <v>2308</v>
      </c>
      <c r="B2255" s="1">
        <v>45616</v>
      </c>
      <c r="C2255">
        <v>2024</v>
      </c>
      <c r="D2255" t="s">
        <v>1873</v>
      </c>
      <c r="E2255" t="s">
        <v>2108</v>
      </c>
      <c r="F2255" t="s">
        <v>57</v>
      </c>
      <c r="G2255" t="s">
        <v>39</v>
      </c>
      <c r="H2255" t="s">
        <v>25</v>
      </c>
      <c r="I2255" t="s">
        <v>26</v>
      </c>
      <c r="J2255" t="s">
        <v>27</v>
      </c>
      <c r="K2255" t="s">
        <v>28</v>
      </c>
      <c r="L2255" s="2">
        <v>202.9</v>
      </c>
      <c r="M2255" s="3">
        <v>794</v>
      </c>
      <c r="N2255">
        <v>4</v>
      </c>
      <c r="O2255">
        <v>9</v>
      </c>
      <c r="P2255">
        <v>0</v>
      </c>
      <c r="Q2255">
        <v>5</v>
      </c>
      <c r="R2255" s="4">
        <v>96.03</v>
      </c>
      <c r="S2255">
        <v>0</v>
      </c>
      <c r="T2255">
        <v>1</v>
      </c>
    </row>
    <row r="2256" spans="1:20" ht="16.5" x14ac:dyDescent="0.3">
      <c r="A2256" t="s">
        <v>2309</v>
      </c>
      <c r="B2256" s="1">
        <v>45616</v>
      </c>
      <c r="C2256">
        <v>2024</v>
      </c>
      <c r="D2256" t="s">
        <v>1873</v>
      </c>
      <c r="E2256" t="s">
        <v>2108</v>
      </c>
      <c r="F2256" t="s">
        <v>38</v>
      </c>
      <c r="G2256" t="s">
        <v>39</v>
      </c>
      <c r="H2256" t="s">
        <v>36</v>
      </c>
      <c r="I2256" t="s">
        <v>26</v>
      </c>
      <c r="J2256" t="s">
        <v>27</v>
      </c>
      <c r="K2256" t="s">
        <v>32</v>
      </c>
      <c r="L2256" s="2">
        <v>2.9</v>
      </c>
      <c r="M2256" s="3">
        <v>250</v>
      </c>
      <c r="N2256">
        <v>3</v>
      </c>
      <c r="O2256">
        <v>3</v>
      </c>
      <c r="P2256">
        <v>1</v>
      </c>
      <c r="Q2256">
        <v>0</v>
      </c>
      <c r="R2256" s="4">
        <v>12.9</v>
      </c>
      <c r="S2256">
        <v>0</v>
      </c>
      <c r="T2256">
        <v>1</v>
      </c>
    </row>
    <row r="2257" spans="1:20" ht="16.5" x14ac:dyDescent="0.3">
      <c r="A2257" t="s">
        <v>2310</v>
      </c>
      <c r="B2257" s="1">
        <v>45616</v>
      </c>
      <c r="C2257">
        <v>2024</v>
      </c>
      <c r="D2257" t="s">
        <v>1873</v>
      </c>
      <c r="E2257" t="s">
        <v>2108</v>
      </c>
      <c r="F2257" t="s">
        <v>57</v>
      </c>
      <c r="G2257" t="s">
        <v>35</v>
      </c>
      <c r="H2257" t="s">
        <v>48</v>
      </c>
      <c r="I2257" t="s">
        <v>26</v>
      </c>
      <c r="J2257" t="s">
        <v>27</v>
      </c>
      <c r="K2257" t="s">
        <v>28</v>
      </c>
      <c r="L2257" s="2">
        <v>2.9</v>
      </c>
      <c r="M2257" s="3">
        <v>670</v>
      </c>
      <c r="N2257">
        <v>4</v>
      </c>
      <c r="O2257">
        <v>5</v>
      </c>
      <c r="P2257">
        <v>0</v>
      </c>
      <c r="Q2257">
        <v>1</v>
      </c>
      <c r="R2257" s="4">
        <v>16.72</v>
      </c>
      <c r="S2257">
        <v>0</v>
      </c>
      <c r="T2257">
        <v>1</v>
      </c>
    </row>
    <row r="2258" spans="1:20" ht="16.5" x14ac:dyDescent="0.3">
      <c r="A2258" t="s">
        <v>2311</v>
      </c>
      <c r="B2258" s="1">
        <v>45616</v>
      </c>
      <c r="C2258">
        <v>2024</v>
      </c>
      <c r="D2258" t="s">
        <v>1873</v>
      </c>
      <c r="E2258" t="s">
        <v>2108</v>
      </c>
      <c r="F2258" t="s">
        <v>57</v>
      </c>
      <c r="G2258" t="s">
        <v>39</v>
      </c>
      <c r="H2258" t="s">
        <v>43</v>
      </c>
      <c r="I2258" t="s">
        <v>26</v>
      </c>
      <c r="J2258" t="s">
        <v>27</v>
      </c>
      <c r="K2258" t="s">
        <v>32</v>
      </c>
      <c r="L2258" s="2">
        <v>2.4</v>
      </c>
      <c r="M2258" s="3">
        <v>910</v>
      </c>
      <c r="N2258">
        <v>5</v>
      </c>
      <c r="O2258">
        <v>5</v>
      </c>
      <c r="P2258">
        <v>1</v>
      </c>
      <c r="Q2258">
        <v>0</v>
      </c>
      <c r="R2258" s="4">
        <v>19.57</v>
      </c>
      <c r="S2258">
        <v>0</v>
      </c>
      <c r="T2258">
        <v>1</v>
      </c>
    </row>
    <row r="2259" spans="1:20" ht="16.5" x14ac:dyDescent="0.3">
      <c r="A2259" t="s">
        <v>2312</v>
      </c>
      <c r="B2259" s="1">
        <v>45616</v>
      </c>
      <c r="C2259">
        <v>2024</v>
      </c>
      <c r="D2259" t="s">
        <v>1873</v>
      </c>
      <c r="E2259" t="s">
        <v>2108</v>
      </c>
      <c r="F2259" t="s">
        <v>34</v>
      </c>
      <c r="G2259" t="s">
        <v>39</v>
      </c>
      <c r="H2259" t="s">
        <v>36</v>
      </c>
      <c r="I2259" t="s">
        <v>40</v>
      </c>
      <c r="J2259" t="s">
        <v>27</v>
      </c>
      <c r="K2259" t="s">
        <v>28</v>
      </c>
      <c r="L2259" s="2">
        <v>10.1</v>
      </c>
      <c r="M2259" s="3">
        <v>285</v>
      </c>
      <c r="N2259">
        <v>1</v>
      </c>
      <c r="O2259">
        <v>4</v>
      </c>
      <c r="P2259">
        <v>0</v>
      </c>
      <c r="Q2259">
        <v>3</v>
      </c>
      <c r="R2259" s="4">
        <v>24.83</v>
      </c>
      <c r="S2259">
        <v>0</v>
      </c>
      <c r="T2259">
        <v>1</v>
      </c>
    </row>
    <row r="2260" spans="1:20" ht="16.5" x14ac:dyDescent="0.3">
      <c r="A2260" t="s">
        <v>2313</v>
      </c>
      <c r="B2260" s="1">
        <v>45616</v>
      </c>
      <c r="C2260">
        <v>2024</v>
      </c>
      <c r="D2260" t="s">
        <v>1873</v>
      </c>
      <c r="E2260" t="s">
        <v>2108</v>
      </c>
      <c r="F2260" t="s">
        <v>23</v>
      </c>
      <c r="G2260" t="s">
        <v>39</v>
      </c>
      <c r="H2260" t="s">
        <v>25</v>
      </c>
      <c r="I2260" t="s">
        <v>40</v>
      </c>
      <c r="J2260" t="s">
        <v>41</v>
      </c>
      <c r="K2260" t="s">
        <v>28</v>
      </c>
      <c r="L2260" s="2">
        <v>186.4</v>
      </c>
      <c r="M2260" s="3">
        <v>989</v>
      </c>
      <c r="N2260">
        <v>2</v>
      </c>
      <c r="O2260">
        <v>2</v>
      </c>
      <c r="P2260">
        <v>1</v>
      </c>
      <c r="Q2260">
        <v>0</v>
      </c>
      <c r="R2260" s="4">
        <v>321.01</v>
      </c>
      <c r="S2260">
        <v>0</v>
      </c>
      <c r="T2260">
        <v>1</v>
      </c>
    </row>
    <row r="2261" spans="1:20" ht="16.5" x14ac:dyDescent="0.3">
      <c r="A2261" t="s">
        <v>2314</v>
      </c>
      <c r="B2261" s="1">
        <v>45616</v>
      </c>
      <c r="C2261">
        <v>2024</v>
      </c>
      <c r="D2261" t="s">
        <v>1873</v>
      </c>
      <c r="E2261" t="s">
        <v>2108</v>
      </c>
      <c r="F2261" t="s">
        <v>38</v>
      </c>
      <c r="G2261" t="s">
        <v>39</v>
      </c>
      <c r="H2261" t="s">
        <v>43</v>
      </c>
      <c r="I2261" t="s">
        <v>26</v>
      </c>
      <c r="J2261" t="s">
        <v>27</v>
      </c>
      <c r="K2261" t="s">
        <v>32</v>
      </c>
      <c r="L2261" s="2">
        <v>4.2</v>
      </c>
      <c r="M2261" s="3">
        <v>1084</v>
      </c>
      <c r="N2261">
        <v>5</v>
      </c>
      <c r="O2261">
        <v>6</v>
      </c>
      <c r="P2261">
        <v>0</v>
      </c>
      <c r="Q2261">
        <v>1</v>
      </c>
      <c r="R2261" s="4">
        <v>24.77</v>
      </c>
      <c r="S2261">
        <v>0</v>
      </c>
      <c r="T2261">
        <v>1</v>
      </c>
    </row>
    <row r="2262" spans="1:20" ht="16.5" x14ac:dyDescent="0.3">
      <c r="A2262" t="s">
        <v>2315</v>
      </c>
      <c r="B2262" s="1">
        <v>45616</v>
      </c>
      <c r="C2262">
        <v>2024</v>
      </c>
      <c r="D2262" t="s">
        <v>1873</v>
      </c>
      <c r="E2262" t="s">
        <v>2108</v>
      </c>
      <c r="F2262" t="s">
        <v>34</v>
      </c>
      <c r="G2262" t="s">
        <v>35</v>
      </c>
      <c r="H2262" t="s">
        <v>51</v>
      </c>
      <c r="I2262" t="s">
        <v>26</v>
      </c>
      <c r="J2262" t="s">
        <v>27</v>
      </c>
      <c r="K2262" t="s">
        <v>28</v>
      </c>
      <c r="L2262" s="2">
        <v>34.200000000000003</v>
      </c>
      <c r="M2262" s="3">
        <v>777</v>
      </c>
      <c r="N2262">
        <v>5</v>
      </c>
      <c r="O2262">
        <v>5</v>
      </c>
      <c r="P2262">
        <v>1</v>
      </c>
      <c r="Q2262">
        <v>0</v>
      </c>
      <c r="R2262" s="4">
        <v>24.72</v>
      </c>
      <c r="S2262">
        <v>0</v>
      </c>
      <c r="T2262">
        <v>1</v>
      </c>
    </row>
    <row r="2263" spans="1:20" ht="16.5" x14ac:dyDescent="0.3">
      <c r="A2263" t="s">
        <v>2316</v>
      </c>
      <c r="B2263" s="1">
        <v>45616</v>
      </c>
      <c r="C2263">
        <v>2024</v>
      </c>
      <c r="D2263" t="s">
        <v>1873</v>
      </c>
      <c r="E2263" t="s">
        <v>2108</v>
      </c>
      <c r="F2263" t="s">
        <v>23</v>
      </c>
      <c r="G2263" t="s">
        <v>24</v>
      </c>
      <c r="H2263" t="s">
        <v>36</v>
      </c>
      <c r="I2263" t="s">
        <v>26</v>
      </c>
      <c r="J2263" t="s">
        <v>27</v>
      </c>
      <c r="K2263" t="s">
        <v>28</v>
      </c>
      <c r="L2263" s="2">
        <v>89.9</v>
      </c>
      <c r="M2263" s="3">
        <v>249</v>
      </c>
      <c r="N2263">
        <v>3</v>
      </c>
      <c r="O2263">
        <v>6</v>
      </c>
      <c r="P2263">
        <v>0</v>
      </c>
      <c r="Q2263">
        <v>3</v>
      </c>
      <c r="R2263" s="4">
        <v>49.58</v>
      </c>
      <c r="S2263">
        <v>0</v>
      </c>
      <c r="T2263">
        <v>1</v>
      </c>
    </row>
    <row r="2264" spans="1:20" ht="16.5" x14ac:dyDescent="0.3">
      <c r="A2264" t="s">
        <v>2317</v>
      </c>
      <c r="B2264" s="1">
        <v>45616</v>
      </c>
      <c r="C2264">
        <v>2024</v>
      </c>
      <c r="D2264" t="s">
        <v>1873</v>
      </c>
      <c r="E2264" t="s">
        <v>2108</v>
      </c>
      <c r="F2264" t="s">
        <v>34</v>
      </c>
      <c r="G2264" t="s">
        <v>35</v>
      </c>
      <c r="H2264" t="s">
        <v>36</v>
      </c>
      <c r="I2264" t="s">
        <v>40</v>
      </c>
      <c r="J2264" t="s">
        <v>27</v>
      </c>
      <c r="K2264" t="s">
        <v>32</v>
      </c>
      <c r="L2264" s="2">
        <v>9.1</v>
      </c>
      <c r="M2264" s="3">
        <v>306</v>
      </c>
      <c r="N2264">
        <v>1</v>
      </c>
      <c r="O2264">
        <v>1</v>
      </c>
      <c r="P2264">
        <v>1</v>
      </c>
      <c r="Q2264">
        <v>0</v>
      </c>
      <c r="R2264" s="4">
        <v>25.04</v>
      </c>
      <c r="S2264">
        <v>0</v>
      </c>
      <c r="T2264">
        <v>1</v>
      </c>
    </row>
    <row r="2265" spans="1:20" ht="16.5" x14ac:dyDescent="0.3">
      <c r="A2265" t="s">
        <v>2318</v>
      </c>
      <c r="B2265" s="1">
        <v>45616</v>
      </c>
      <c r="C2265">
        <v>2024</v>
      </c>
      <c r="D2265" t="s">
        <v>1873</v>
      </c>
      <c r="E2265" t="s">
        <v>2108</v>
      </c>
      <c r="F2265" t="s">
        <v>57</v>
      </c>
      <c r="G2265" t="s">
        <v>39</v>
      </c>
      <c r="H2265" t="s">
        <v>43</v>
      </c>
      <c r="I2265" t="s">
        <v>26</v>
      </c>
      <c r="J2265" t="s">
        <v>27</v>
      </c>
      <c r="K2265" t="s">
        <v>32</v>
      </c>
      <c r="L2265" s="2">
        <v>3.1</v>
      </c>
      <c r="M2265" s="3">
        <v>1201</v>
      </c>
      <c r="N2265">
        <v>5</v>
      </c>
      <c r="O2265">
        <v>5</v>
      </c>
      <c r="P2265">
        <v>1</v>
      </c>
      <c r="Q2265">
        <v>0</v>
      </c>
      <c r="R2265" s="4">
        <v>21.19</v>
      </c>
      <c r="S2265">
        <v>0</v>
      </c>
      <c r="T2265">
        <v>1</v>
      </c>
    </row>
    <row r="2266" spans="1:20" ht="16.5" x14ac:dyDescent="0.3">
      <c r="A2266" t="s">
        <v>2319</v>
      </c>
      <c r="B2266" s="1">
        <v>45616</v>
      </c>
      <c r="C2266">
        <v>2024</v>
      </c>
      <c r="D2266" t="s">
        <v>1873</v>
      </c>
      <c r="E2266" t="s">
        <v>2108</v>
      </c>
      <c r="F2266" t="s">
        <v>57</v>
      </c>
      <c r="G2266" t="s">
        <v>35</v>
      </c>
      <c r="H2266" t="s">
        <v>25</v>
      </c>
      <c r="I2266" t="s">
        <v>26</v>
      </c>
      <c r="J2266" t="s">
        <v>27</v>
      </c>
      <c r="K2266" t="s">
        <v>28</v>
      </c>
      <c r="L2266" s="2">
        <v>189.7</v>
      </c>
      <c r="M2266" s="3">
        <v>847</v>
      </c>
      <c r="N2266">
        <v>4</v>
      </c>
      <c r="O2266">
        <v>4</v>
      </c>
      <c r="P2266">
        <v>1</v>
      </c>
      <c r="Q2266">
        <v>0</v>
      </c>
      <c r="R2266" s="4">
        <v>92.93</v>
      </c>
      <c r="S2266">
        <v>0</v>
      </c>
      <c r="T2266">
        <v>1</v>
      </c>
    </row>
    <row r="2267" spans="1:20" ht="16.5" x14ac:dyDescent="0.3">
      <c r="A2267" t="s">
        <v>2320</v>
      </c>
      <c r="B2267" s="1">
        <v>45617</v>
      </c>
      <c r="C2267">
        <v>2024</v>
      </c>
      <c r="D2267" t="s">
        <v>1873</v>
      </c>
      <c r="E2267" t="s">
        <v>2108</v>
      </c>
      <c r="F2267" t="s">
        <v>23</v>
      </c>
      <c r="G2267" t="s">
        <v>39</v>
      </c>
      <c r="H2267" t="s">
        <v>25</v>
      </c>
      <c r="I2267" t="s">
        <v>40</v>
      </c>
      <c r="J2267" t="s">
        <v>41</v>
      </c>
      <c r="K2267" t="s">
        <v>32</v>
      </c>
      <c r="L2267" s="2">
        <v>1.9</v>
      </c>
      <c r="M2267" s="3">
        <v>886</v>
      </c>
      <c r="N2267">
        <v>2</v>
      </c>
      <c r="O2267">
        <v>2</v>
      </c>
      <c r="P2267">
        <v>1</v>
      </c>
      <c r="Q2267">
        <v>0</v>
      </c>
      <c r="R2267" s="4">
        <v>51.72</v>
      </c>
      <c r="S2267">
        <v>0</v>
      </c>
      <c r="T2267">
        <v>1</v>
      </c>
    </row>
    <row r="2268" spans="1:20" ht="16.5" x14ac:dyDescent="0.3">
      <c r="A2268" t="s">
        <v>2321</v>
      </c>
      <c r="B2268" s="1">
        <v>45617</v>
      </c>
      <c r="C2268">
        <v>2024</v>
      </c>
      <c r="D2268" t="s">
        <v>1873</v>
      </c>
      <c r="E2268" t="s">
        <v>2108</v>
      </c>
      <c r="F2268" t="s">
        <v>38</v>
      </c>
      <c r="G2268" t="s">
        <v>39</v>
      </c>
      <c r="H2268" t="s">
        <v>36</v>
      </c>
      <c r="I2268" t="s">
        <v>40</v>
      </c>
      <c r="J2268" t="s">
        <v>27</v>
      </c>
      <c r="K2268" t="s">
        <v>32</v>
      </c>
      <c r="L2268" s="2">
        <v>4.2</v>
      </c>
      <c r="M2268" s="3">
        <v>230</v>
      </c>
      <c r="N2268">
        <v>1</v>
      </c>
      <c r="O2268">
        <v>1</v>
      </c>
      <c r="P2268">
        <v>1</v>
      </c>
      <c r="Q2268">
        <v>0</v>
      </c>
      <c r="R2268" s="4">
        <v>26.06</v>
      </c>
      <c r="S2268">
        <v>0</v>
      </c>
      <c r="T2268">
        <v>1</v>
      </c>
    </row>
    <row r="2269" spans="1:20" ht="16.5" x14ac:dyDescent="0.3">
      <c r="A2269" t="s">
        <v>2322</v>
      </c>
      <c r="B2269" s="1">
        <v>45617</v>
      </c>
      <c r="C2269">
        <v>2024</v>
      </c>
      <c r="D2269" t="s">
        <v>1873</v>
      </c>
      <c r="E2269" t="s">
        <v>2108</v>
      </c>
      <c r="F2269" t="s">
        <v>57</v>
      </c>
      <c r="G2269" t="s">
        <v>35</v>
      </c>
      <c r="H2269" t="s">
        <v>43</v>
      </c>
      <c r="I2269" t="s">
        <v>40</v>
      </c>
      <c r="J2269" t="s">
        <v>41</v>
      </c>
      <c r="K2269" t="s">
        <v>28</v>
      </c>
      <c r="L2269" s="2">
        <v>60.6</v>
      </c>
      <c r="M2269" s="3">
        <v>1160</v>
      </c>
      <c r="N2269">
        <v>3</v>
      </c>
      <c r="O2269">
        <v>8</v>
      </c>
      <c r="P2269">
        <v>0</v>
      </c>
      <c r="Q2269">
        <v>5</v>
      </c>
      <c r="R2269" s="4">
        <v>149.33000000000001</v>
      </c>
      <c r="S2269">
        <v>0</v>
      </c>
      <c r="T2269">
        <v>1</v>
      </c>
    </row>
    <row r="2270" spans="1:20" ht="16.5" x14ac:dyDescent="0.3">
      <c r="A2270" t="s">
        <v>2323</v>
      </c>
      <c r="B2270" s="1">
        <v>45617</v>
      </c>
      <c r="C2270">
        <v>2024</v>
      </c>
      <c r="D2270" t="s">
        <v>1873</v>
      </c>
      <c r="E2270" t="s">
        <v>2108</v>
      </c>
      <c r="F2270" t="s">
        <v>38</v>
      </c>
      <c r="G2270" t="s">
        <v>39</v>
      </c>
      <c r="H2270" t="s">
        <v>25</v>
      </c>
      <c r="I2270" t="s">
        <v>31</v>
      </c>
      <c r="J2270" t="s">
        <v>27</v>
      </c>
      <c r="K2270" t="s">
        <v>32</v>
      </c>
      <c r="L2270" s="2">
        <v>13.7</v>
      </c>
      <c r="M2270" s="3">
        <v>1127</v>
      </c>
      <c r="N2270">
        <v>6</v>
      </c>
      <c r="O2270">
        <v>5</v>
      </c>
      <c r="P2270">
        <v>1</v>
      </c>
      <c r="Q2270">
        <v>0</v>
      </c>
      <c r="R2270" s="4">
        <v>23.36</v>
      </c>
      <c r="S2270">
        <v>0</v>
      </c>
      <c r="T2270">
        <v>1</v>
      </c>
    </row>
    <row r="2271" spans="1:20" ht="16.5" x14ac:dyDescent="0.3">
      <c r="A2271" t="s">
        <v>2324</v>
      </c>
      <c r="B2271" s="1">
        <v>45617</v>
      </c>
      <c r="C2271">
        <v>2024</v>
      </c>
      <c r="D2271" t="s">
        <v>1873</v>
      </c>
      <c r="E2271" t="s">
        <v>2108</v>
      </c>
      <c r="F2271" t="s">
        <v>23</v>
      </c>
      <c r="G2271" t="s">
        <v>39</v>
      </c>
      <c r="H2271" t="s">
        <v>25</v>
      </c>
      <c r="I2271" t="s">
        <v>26</v>
      </c>
      <c r="J2271" t="s">
        <v>27</v>
      </c>
      <c r="K2271" t="s">
        <v>28</v>
      </c>
      <c r="L2271" s="2">
        <v>144</v>
      </c>
      <c r="M2271" s="3">
        <v>802</v>
      </c>
      <c r="N2271">
        <v>4</v>
      </c>
      <c r="O2271">
        <v>4</v>
      </c>
      <c r="P2271">
        <v>1</v>
      </c>
      <c r="Q2271">
        <v>0</v>
      </c>
      <c r="R2271" s="4">
        <v>77.48</v>
      </c>
      <c r="S2271">
        <v>0</v>
      </c>
      <c r="T2271">
        <v>1</v>
      </c>
    </row>
    <row r="2272" spans="1:20" ht="16.5" x14ac:dyDescent="0.3">
      <c r="A2272" t="s">
        <v>2325</v>
      </c>
      <c r="B2272" s="1">
        <v>45617</v>
      </c>
      <c r="C2272">
        <v>2024</v>
      </c>
      <c r="D2272" t="s">
        <v>1873</v>
      </c>
      <c r="E2272" t="s">
        <v>2108</v>
      </c>
      <c r="F2272" t="s">
        <v>38</v>
      </c>
      <c r="G2272" t="s">
        <v>24</v>
      </c>
      <c r="H2272" t="s">
        <v>43</v>
      </c>
      <c r="I2272" t="s">
        <v>31</v>
      </c>
      <c r="J2272" t="s">
        <v>27</v>
      </c>
      <c r="K2272" t="s">
        <v>28</v>
      </c>
      <c r="L2272" s="2">
        <v>16.399999999999999</v>
      </c>
      <c r="M2272" s="3">
        <v>715</v>
      </c>
      <c r="N2272">
        <v>7</v>
      </c>
      <c r="O2272">
        <v>6</v>
      </c>
      <c r="P2272">
        <v>1</v>
      </c>
      <c r="Q2272">
        <v>0</v>
      </c>
      <c r="R2272" s="4">
        <v>18.39</v>
      </c>
      <c r="S2272">
        <v>0</v>
      </c>
      <c r="T2272">
        <v>1</v>
      </c>
    </row>
    <row r="2273" spans="1:20" ht="16.5" x14ac:dyDescent="0.3">
      <c r="A2273" t="s">
        <v>2326</v>
      </c>
      <c r="B2273" s="1">
        <v>45617</v>
      </c>
      <c r="C2273">
        <v>2024</v>
      </c>
      <c r="D2273" t="s">
        <v>1873</v>
      </c>
      <c r="E2273" t="s">
        <v>2108</v>
      </c>
      <c r="F2273" t="s">
        <v>30</v>
      </c>
      <c r="G2273" t="s">
        <v>24</v>
      </c>
      <c r="H2273" t="s">
        <v>51</v>
      </c>
      <c r="I2273" t="s">
        <v>40</v>
      </c>
      <c r="J2273" t="s">
        <v>41</v>
      </c>
      <c r="K2273" t="s">
        <v>28</v>
      </c>
      <c r="L2273" s="2">
        <v>121.8</v>
      </c>
      <c r="M2273" s="3">
        <v>1270</v>
      </c>
      <c r="N2273">
        <v>3</v>
      </c>
      <c r="O2273">
        <v>3</v>
      </c>
      <c r="P2273">
        <v>1</v>
      </c>
      <c r="Q2273">
        <v>0</v>
      </c>
      <c r="R2273" s="4">
        <v>224.1</v>
      </c>
      <c r="S2273">
        <v>0</v>
      </c>
      <c r="T2273">
        <v>1</v>
      </c>
    </row>
    <row r="2274" spans="1:20" ht="16.5" x14ac:dyDescent="0.3">
      <c r="A2274" t="s">
        <v>2327</v>
      </c>
      <c r="B2274" s="1">
        <v>45618</v>
      </c>
      <c r="C2274">
        <v>2024</v>
      </c>
      <c r="D2274" t="s">
        <v>1873</v>
      </c>
      <c r="E2274" t="s">
        <v>2108</v>
      </c>
      <c r="F2274" t="s">
        <v>57</v>
      </c>
      <c r="G2274" t="s">
        <v>39</v>
      </c>
      <c r="H2274" t="s">
        <v>25</v>
      </c>
      <c r="I2274" t="s">
        <v>26</v>
      </c>
      <c r="J2274" t="s">
        <v>27</v>
      </c>
      <c r="K2274" t="s">
        <v>32</v>
      </c>
      <c r="L2274" s="2">
        <v>2.2000000000000002</v>
      </c>
      <c r="M2274" s="3">
        <v>982</v>
      </c>
      <c r="N2274">
        <v>4</v>
      </c>
      <c r="O2274">
        <v>4</v>
      </c>
      <c r="P2274">
        <v>1</v>
      </c>
      <c r="Q2274">
        <v>0</v>
      </c>
      <c r="R2274" s="4">
        <v>20.23</v>
      </c>
      <c r="S2274">
        <v>1</v>
      </c>
      <c r="T2274">
        <v>1</v>
      </c>
    </row>
    <row r="2275" spans="1:20" ht="16.5" x14ac:dyDescent="0.3">
      <c r="A2275" t="s">
        <v>2328</v>
      </c>
      <c r="B2275" s="1">
        <v>45618</v>
      </c>
      <c r="C2275">
        <v>2024</v>
      </c>
      <c r="D2275" t="s">
        <v>1873</v>
      </c>
      <c r="E2275" t="s">
        <v>2108</v>
      </c>
      <c r="F2275" t="s">
        <v>57</v>
      </c>
      <c r="G2275" t="s">
        <v>39</v>
      </c>
      <c r="H2275" t="s">
        <v>51</v>
      </c>
      <c r="I2275" t="s">
        <v>40</v>
      </c>
      <c r="J2275" t="s">
        <v>41</v>
      </c>
      <c r="K2275" t="s">
        <v>32</v>
      </c>
      <c r="L2275" s="2">
        <v>3.3</v>
      </c>
      <c r="M2275" s="3">
        <v>719</v>
      </c>
      <c r="N2275">
        <v>3</v>
      </c>
      <c r="O2275">
        <v>3</v>
      </c>
      <c r="P2275">
        <v>1</v>
      </c>
      <c r="Q2275">
        <v>0</v>
      </c>
      <c r="R2275" s="4">
        <v>48.26</v>
      </c>
      <c r="S2275">
        <v>0</v>
      </c>
      <c r="T2275">
        <v>1</v>
      </c>
    </row>
    <row r="2276" spans="1:20" ht="16.5" x14ac:dyDescent="0.3">
      <c r="A2276" t="s">
        <v>2329</v>
      </c>
      <c r="B2276" s="1">
        <v>45618</v>
      </c>
      <c r="C2276">
        <v>2024</v>
      </c>
      <c r="D2276" t="s">
        <v>1873</v>
      </c>
      <c r="E2276" t="s">
        <v>2108</v>
      </c>
      <c r="F2276" t="s">
        <v>34</v>
      </c>
      <c r="G2276" t="s">
        <v>39</v>
      </c>
      <c r="H2276" t="s">
        <v>43</v>
      </c>
      <c r="I2276" t="s">
        <v>26</v>
      </c>
      <c r="J2276" t="s">
        <v>27</v>
      </c>
      <c r="K2276" t="s">
        <v>32</v>
      </c>
      <c r="L2276" s="2">
        <v>13.8</v>
      </c>
      <c r="M2276" s="3">
        <v>1247</v>
      </c>
      <c r="N2276">
        <v>5</v>
      </c>
      <c r="O2276">
        <v>5</v>
      </c>
      <c r="P2276">
        <v>1</v>
      </c>
      <c r="Q2276">
        <v>0</v>
      </c>
      <c r="R2276" s="4">
        <v>23.65</v>
      </c>
      <c r="S2276">
        <v>0</v>
      </c>
      <c r="T2276">
        <v>1</v>
      </c>
    </row>
    <row r="2277" spans="1:20" ht="16.5" x14ac:dyDescent="0.3">
      <c r="A2277" t="s">
        <v>2330</v>
      </c>
      <c r="B2277" s="1">
        <v>45618</v>
      </c>
      <c r="C2277">
        <v>2024</v>
      </c>
      <c r="D2277" t="s">
        <v>1873</v>
      </c>
      <c r="E2277" t="s">
        <v>2108</v>
      </c>
      <c r="F2277" t="s">
        <v>30</v>
      </c>
      <c r="G2277" t="s">
        <v>35</v>
      </c>
      <c r="H2277" t="s">
        <v>43</v>
      </c>
      <c r="I2277" t="s">
        <v>26</v>
      </c>
      <c r="J2277" t="s">
        <v>27</v>
      </c>
      <c r="K2277" t="s">
        <v>28</v>
      </c>
      <c r="L2277" s="2">
        <v>120.1</v>
      </c>
      <c r="M2277" s="3">
        <v>909</v>
      </c>
      <c r="N2277">
        <v>5</v>
      </c>
      <c r="O2277">
        <v>5</v>
      </c>
      <c r="P2277">
        <v>1</v>
      </c>
      <c r="Q2277">
        <v>0</v>
      </c>
      <c r="R2277" s="4">
        <v>70.14</v>
      </c>
      <c r="S2277">
        <v>0</v>
      </c>
      <c r="T2277">
        <v>1</v>
      </c>
    </row>
    <row r="2278" spans="1:20" ht="16.5" x14ac:dyDescent="0.3">
      <c r="A2278" t="s">
        <v>2331</v>
      </c>
      <c r="B2278" s="1">
        <v>45618</v>
      </c>
      <c r="C2278">
        <v>2024</v>
      </c>
      <c r="D2278" t="s">
        <v>1873</v>
      </c>
      <c r="E2278" t="s">
        <v>2108</v>
      </c>
      <c r="F2278" t="s">
        <v>38</v>
      </c>
      <c r="G2278" t="s">
        <v>39</v>
      </c>
      <c r="H2278" t="s">
        <v>36</v>
      </c>
      <c r="I2278" t="s">
        <v>26</v>
      </c>
      <c r="J2278" t="s">
        <v>27</v>
      </c>
      <c r="K2278" t="s">
        <v>32</v>
      </c>
      <c r="L2278" s="2">
        <v>2.2999999999999998</v>
      </c>
      <c r="M2278" s="3">
        <v>244</v>
      </c>
      <c r="N2278">
        <v>3</v>
      </c>
      <c r="O2278">
        <v>3</v>
      </c>
      <c r="P2278">
        <v>1</v>
      </c>
      <c r="Q2278">
        <v>0</v>
      </c>
      <c r="R2278" s="4">
        <v>11.57</v>
      </c>
      <c r="S2278">
        <v>0</v>
      </c>
      <c r="T2278">
        <v>1</v>
      </c>
    </row>
    <row r="2279" spans="1:20" ht="16.5" x14ac:dyDescent="0.3">
      <c r="A2279" t="s">
        <v>2332</v>
      </c>
      <c r="B2279" s="1">
        <v>45618</v>
      </c>
      <c r="C2279">
        <v>2024</v>
      </c>
      <c r="D2279" t="s">
        <v>1873</v>
      </c>
      <c r="E2279" t="s">
        <v>2108</v>
      </c>
      <c r="F2279" t="s">
        <v>34</v>
      </c>
      <c r="G2279" t="s">
        <v>39</v>
      </c>
      <c r="H2279" t="s">
        <v>51</v>
      </c>
      <c r="I2279" t="s">
        <v>31</v>
      </c>
      <c r="J2279" t="s">
        <v>27</v>
      </c>
      <c r="K2279" t="s">
        <v>32</v>
      </c>
      <c r="L2279" s="2">
        <v>4.0999999999999996</v>
      </c>
      <c r="M2279" s="3">
        <v>1083</v>
      </c>
      <c r="N2279">
        <v>7</v>
      </c>
      <c r="O2279">
        <v>9</v>
      </c>
      <c r="P2279">
        <v>0</v>
      </c>
      <c r="Q2279">
        <v>2</v>
      </c>
      <c r="R2279" s="4">
        <v>15.3</v>
      </c>
      <c r="S2279">
        <v>0</v>
      </c>
      <c r="T2279">
        <v>1</v>
      </c>
    </row>
    <row r="2280" spans="1:20" ht="16.5" x14ac:dyDescent="0.3">
      <c r="A2280" t="s">
        <v>2333</v>
      </c>
      <c r="B2280" s="1">
        <v>45618</v>
      </c>
      <c r="C2280">
        <v>2024</v>
      </c>
      <c r="D2280" t="s">
        <v>1873</v>
      </c>
      <c r="E2280" t="s">
        <v>2108</v>
      </c>
      <c r="F2280" t="s">
        <v>23</v>
      </c>
      <c r="G2280" t="s">
        <v>35</v>
      </c>
      <c r="H2280" t="s">
        <v>48</v>
      </c>
      <c r="I2280" t="s">
        <v>26</v>
      </c>
      <c r="J2280" t="s">
        <v>27</v>
      </c>
      <c r="K2280" t="s">
        <v>32</v>
      </c>
      <c r="L2280" s="2">
        <v>9.5</v>
      </c>
      <c r="M2280" s="3">
        <v>497</v>
      </c>
      <c r="N2280">
        <v>4</v>
      </c>
      <c r="O2280">
        <v>4</v>
      </c>
      <c r="P2280">
        <v>1</v>
      </c>
      <c r="Q2280">
        <v>0</v>
      </c>
      <c r="R2280" s="4">
        <v>16.27</v>
      </c>
      <c r="S2280">
        <v>0</v>
      </c>
      <c r="T2280">
        <v>1</v>
      </c>
    </row>
    <row r="2281" spans="1:20" ht="16.5" x14ac:dyDescent="0.3">
      <c r="A2281" t="s">
        <v>2334</v>
      </c>
      <c r="B2281" s="1">
        <v>45618</v>
      </c>
      <c r="C2281">
        <v>2024</v>
      </c>
      <c r="D2281" t="s">
        <v>1873</v>
      </c>
      <c r="E2281" t="s">
        <v>2108</v>
      </c>
      <c r="F2281" t="s">
        <v>38</v>
      </c>
      <c r="G2281" t="s">
        <v>35</v>
      </c>
      <c r="H2281" t="s">
        <v>36</v>
      </c>
      <c r="I2281" t="s">
        <v>26</v>
      </c>
      <c r="J2281" t="s">
        <v>27</v>
      </c>
      <c r="K2281" t="s">
        <v>32</v>
      </c>
      <c r="L2281" s="2">
        <v>5</v>
      </c>
      <c r="M2281" s="3">
        <v>233</v>
      </c>
      <c r="N2281">
        <v>3</v>
      </c>
      <c r="O2281">
        <v>2</v>
      </c>
      <c r="P2281">
        <v>1</v>
      </c>
      <c r="Q2281">
        <v>0</v>
      </c>
      <c r="R2281" s="4">
        <v>13.52</v>
      </c>
      <c r="S2281">
        <v>0</v>
      </c>
      <c r="T2281">
        <v>1</v>
      </c>
    </row>
    <row r="2282" spans="1:20" ht="16.5" x14ac:dyDescent="0.3">
      <c r="A2282" t="s">
        <v>2335</v>
      </c>
      <c r="B2282" s="1">
        <v>45618</v>
      </c>
      <c r="C2282">
        <v>2024</v>
      </c>
      <c r="D2282" t="s">
        <v>1873</v>
      </c>
      <c r="E2282" t="s">
        <v>2108</v>
      </c>
      <c r="F2282" t="s">
        <v>57</v>
      </c>
      <c r="G2282" t="s">
        <v>39</v>
      </c>
      <c r="H2282" t="s">
        <v>48</v>
      </c>
      <c r="I2282" t="s">
        <v>26</v>
      </c>
      <c r="J2282" t="s">
        <v>27</v>
      </c>
      <c r="K2282" t="s">
        <v>32</v>
      </c>
      <c r="L2282" s="2">
        <v>19.899999999999999</v>
      </c>
      <c r="M2282" s="3">
        <v>489</v>
      </c>
      <c r="N2282">
        <v>4</v>
      </c>
      <c r="O2282">
        <v>8</v>
      </c>
      <c r="P2282">
        <v>0</v>
      </c>
      <c r="Q2282">
        <v>4</v>
      </c>
      <c r="R2282" s="4">
        <v>25.25</v>
      </c>
      <c r="S2282">
        <v>0</v>
      </c>
      <c r="T2282">
        <v>1</v>
      </c>
    </row>
    <row r="2283" spans="1:20" ht="16.5" x14ac:dyDescent="0.3">
      <c r="A2283" t="s">
        <v>2336</v>
      </c>
      <c r="B2283" s="1">
        <v>45618</v>
      </c>
      <c r="C2283">
        <v>2024</v>
      </c>
      <c r="D2283" t="s">
        <v>1873</v>
      </c>
      <c r="E2283" t="s">
        <v>2108</v>
      </c>
      <c r="F2283" t="s">
        <v>23</v>
      </c>
      <c r="G2283" t="s">
        <v>35</v>
      </c>
      <c r="H2283" t="s">
        <v>36</v>
      </c>
      <c r="I2283" t="s">
        <v>26</v>
      </c>
      <c r="J2283" t="s">
        <v>27</v>
      </c>
      <c r="K2283" t="s">
        <v>32</v>
      </c>
      <c r="L2283" s="2">
        <v>4.4000000000000004</v>
      </c>
      <c r="M2283" s="3">
        <v>301</v>
      </c>
      <c r="N2283">
        <v>3</v>
      </c>
      <c r="O2283">
        <v>3</v>
      </c>
      <c r="P2283">
        <v>1</v>
      </c>
      <c r="Q2283">
        <v>0</v>
      </c>
      <c r="R2283" s="4">
        <v>12.12</v>
      </c>
      <c r="S2283">
        <v>0</v>
      </c>
      <c r="T2283">
        <v>1</v>
      </c>
    </row>
    <row r="2284" spans="1:20" ht="16.5" x14ac:dyDescent="0.3">
      <c r="A2284" t="s">
        <v>2337</v>
      </c>
      <c r="B2284" s="1">
        <v>45618</v>
      </c>
      <c r="C2284">
        <v>2024</v>
      </c>
      <c r="D2284" t="s">
        <v>1873</v>
      </c>
      <c r="E2284" t="s">
        <v>2108</v>
      </c>
      <c r="F2284" t="s">
        <v>57</v>
      </c>
      <c r="G2284" t="s">
        <v>39</v>
      </c>
      <c r="H2284" t="s">
        <v>48</v>
      </c>
      <c r="I2284" t="s">
        <v>26</v>
      </c>
      <c r="J2284" t="s">
        <v>27</v>
      </c>
      <c r="K2284" t="s">
        <v>32</v>
      </c>
      <c r="L2284" s="2">
        <v>9.1</v>
      </c>
      <c r="M2284" s="3">
        <v>464</v>
      </c>
      <c r="N2284">
        <v>4</v>
      </c>
      <c r="O2284">
        <v>4</v>
      </c>
      <c r="P2284">
        <v>1</v>
      </c>
      <c r="Q2284">
        <v>0</v>
      </c>
      <c r="R2284" s="4">
        <v>16.36</v>
      </c>
      <c r="S2284">
        <v>0</v>
      </c>
      <c r="T2284">
        <v>1</v>
      </c>
    </row>
    <row r="2285" spans="1:20" ht="16.5" x14ac:dyDescent="0.3">
      <c r="A2285" t="s">
        <v>2338</v>
      </c>
      <c r="B2285" s="1">
        <v>45618</v>
      </c>
      <c r="C2285">
        <v>2024</v>
      </c>
      <c r="D2285" t="s">
        <v>1873</v>
      </c>
      <c r="E2285" t="s">
        <v>2108</v>
      </c>
      <c r="F2285" t="s">
        <v>38</v>
      </c>
      <c r="G2285" t="s">
        <v>39</v>
      </c>
      <c r="H2285" t="s">
        <v>36</v>
      </c>
      <c r="I2285" t="s">
        <v>40</v>
      </c>
      <c r="J2285" t="s">
        <v>27</v>
      </c>
      <c r="K2285" t="s">
        <v>32</v>
      </c>
      <c r="L2285" s="2">
        <v>13.3</v>
      </c>
      <c r="M2285" s="3">
        <v>203</v>
      </c>
      <c r="N2285">
        <v>1</v>
      </c>
      <c r="O2285">
        <v>1</v>
      </c>
      <c r="P2285">
        <v>1</v>
      </c>
      <c r="Q2285">
        <v>0</v>
      </c>
      <c r="R2285" s="4">
        <v>37.409999999999997</v>
      </c>
      <c r="S2285">
        <v>0</v>
      </c>
      <c r="T2285">
        <v>1</v>
      </c>
    </row>
    <row r="2286" spans="1:20" ht="16.5" x14ac:dyDescent="0.3">
      <c r="A2286" t="s">
        <v>2339</v>
      </c>
      <c r="B2286" s="1">
        <v>45618</v>
      </c>
      <c r="C2286">
        <v>2024</v>
      </c>
      <c r="D2286" t="s">
        <v>1873</v>
      </c>
      <c r="E2286" t="s">
        <v>2108</v>
      </c>
      <c r="F2286" t="s">
        <v>38</v>
      </c>
      <c r="G2286" t="s">
        <v>39</v>
      </c>
      <c r="H2286" t="s">
        <v>48</v>
      </c>
      <c r="I2286" t="s">
        <v>26</v>
      </c>
      <c r="J2286" t="s">
        <v>27</v>
      </c>
      <c r="K2286" t="s">
        <v>32</v>
      </c>
      <c r="L2286" s="2">
        <v>5.2</v>
      </c>
      <c r="M2286" s="3">
        <v>459</v>
      </c>
      <c r="N2286">
        <v>4</v>
      </c>
      <c r="O2286">
        <v>4</v>
      </c>
      <c r="P2286">
        <v>1</v>
      </c>
      <c r="Q2286">
        <v>0</v>
      </c>
      <c r="R2286" s="4">
        <v>16.170000000000002</v>
      </c>
      <c r="S2286">
        <v>0</v>
      </c>
      <c r="T2286">
        <v>1</v>
      </c>
    </row>
    <row r="2287" spans="1:20" ht="16.5" x14ac:dyDescent="0.3">
      <c r="A2287" t="s">
        <v>2340</v>
      </c>
      <c r="B2287" s="1">
        <v>45619</v>
      </c>
      <c r="C2287">
        <v>2024</v>
      </c>
      <c r="D2287" t="s">
        <v>1873</v>
      </c>
      <c r="E2287" t="s">
        <v>2108</v>
      </c>
      <c r="F2287" t="s">
        <v>38</v>
      </c>
      <c r="G2287" t="s">
        <v>39</v>
      </c>
      <c r="H2287" t="s">
        <v>25</v>
      </c>
      <c r="I2287" t="s">
        <v>26</v>
      </c>
      <c r="J2287" t="s">
        <v>27</v>
      </c>
      <c r="K2287" t="s">
        <v>32</v>
      </c>
      <c r="L2287" s="2">
        <v>12</v>
      </c>
      <c r="M2287" s="3">
        <v>1087</v>
      </c>
      <c r="N2287">
        <v>4</v>
      </c>
      <c r="O2287">
        <v>4</v>
      </c>
      <c r="P2287">
        <v>1</v>
      </c>
      <c r="Q2287">
        <v>0</v>
      </c>
      <c r="R2287" s="4">
        <v>32.06</v>
      </c>
      <c r="S2287">
        <v>0</v>
      </c>
      <c r="T2287">
        <v>1</v>
      </c>
    </row>
    <row r="2288" spans="1:20" ht="16.5" x14ac:dyDescent="0.3">
      <c r="A2288" t="s">
        <v>2341</v>
      </c>
      <c r="B2288" s="1">
        <v>45619</v>
      </c>
      <c r="C2288">
        <v>2024</v>
      </c>
      <c r="D2288" t="s">
        <v>1873</v>
      </c>
      <c r="E2288" t="s">
        <v>2108</v>
      </c>
      <c r="F2288" t="s">
        <v>30</v>
      </c>
      <c r="G2288" t="s">
        <v>24</v>
      </c>
      <c r="H2288" t="s">
        <v>51</v>
      </c>
      <c r="I2288" t="s">
        <v>31</v>
      </c>
      <c r="J2288" t="s">
        <v>27</v>
      </c>
      <c r="K2288" t="s">
        <v>32</v>
      </c>
      <c r="L2288" s="2">
        <v>2.1</v>
      </c>
      <c r="M2288" s="3">
        <v>1182</v>
      </c>
      <c r="N2288">
        <v>7</v>
      </c>
      <c r="O2288">
        <v>9</v>
      </c>
      <c r="P2288">
        <v>0</v>
      </c>
      <c r="Q2288">
        <v>2</v>
      </c>
      <c r="R2288" s="4">
        <v>16.52</v>
      </c>
      <c r="S2288">
        <v>0</v>
      </c>
      <c r="T2288">
        <v>1</v>
      </c>
    </row>
    <row r="2289" spans="1:20" ht="16.5" x14ac:dyDescent="0.3">
      <c r="A2289" t="s">
        <v>2342</v>
      </c>
      <c r="B2289" s="1">
        <v>45619</v>
      </c>
      <c r="C2289">
        <v>2024</v>
      </c>
      <c r="D2289" t="s">
        <v>1873</v>
      </c>
      <c r="E2289" t="s">
        <v>2108</v>
      </c>
      <c r="F2289" t="s">
        <v>34</v>
      </c>
      <c r="G2289" t="s">
        <v>24</v>
      </c>
      <c r="H2289" t="s">
        <v>36</v>
      </c>
      <c r="I2289" t="s">
        <v>26</v>
      </c>
      <c r="J2289" t="s">
        <v>27</v>
      </c>
      <c r="K2289" t="s">
        <v>28</v>
      </c>
      <c r="L2289" s="2">
        <v>109.5</v>
      </c>
      <c r="M2289" s="3">
        <v>194</v>
      </c>
      <c r="N2289">
        <v>3</v>
      </c>
      <c r="O2289">
        <v>3</v>
      </c>
      <c r="P2289">
        <v>1</v>
      </c>
      <c r="Q2289">
        <v>0</v>
      </c>
      <c r="R2289" s="4">
        <v>50.28</v>
      </c>
      <c r="S2289">
        <v>0</v>
      </c>
      <c r="T2289">
        <v>1</v>
      </c>
    </row>
    <row r="2290" spans="1:20" ht="16.5" x14ac:dyDescent="0.3">
      <c r="A2290" t="s">
        <v>2343</v>
      </c>
      <c r="B2290" s="1">
        <v>45619</v>
      </c>
      <c r="C2290">
        <v>2024</v>
      </c>
      <c r="D2290" t="s">
        <v>1873</v>
      </c>
      <c r="E2290" t="s">
        <v>2108</v>
      </c>
      <c r="F2290" t="s">
        <v>38</v>
      </c>
      <c r="G2290" t="s">
        <v>39</v>
      </c>
      <c r="H2290" t="s">
        <v>51</v>
      </c>
      <c r="I2290" t="s">
        <v>26</v>
      </c>
      <c r="J2290" t="s">
        <v>27</v>
      </c>
      <c r="K2290" t="s">
        <v>32</v>
      </c>
      <c r="L2290" s="2">
        <v>3.3</v>
      </c>
      <c r="M2290" s="3">
        <v>1052</v>
      </c>
      <c r="N2290">
        <v>5</v>
      </c>
      <c r="O2290">
        <v>5</v>
      </c>
      <c r="P2290">
        <v>1</v>
      </c>
      <c r="Q2290">
        <v>0</v>
      </c>
      <c r="R2290" s="4">
        <v>23.34</v>
      </c>
      <c r="S2290">
        <v>0</v>
      </c>
      <c r="T2290">
        <v>1</v>
      </c>
    </row>
    <row r="2291" spans="1:20" ht="16.5" x14ac:dyDescent="0.3">
      <c r="A2291" t="s">
        <v>2344</v>
      </c>
      <c r="B2291" s="1">
        <v>45619</v>
      </c>
      <c r="C2291">
        <v>2024</v>
      </c>
      <c r="D2291" t="s">
        <v>1873</v>
      </c>
      <c r="E2291" t="s">
        <v>2108</v>
      </c>
      <c r="F2291" t="s">
        <v>57</v>
      </c>
      <c r="G2291" t="s">
        <v>39</v>
      </c>
      <c r="H2291" t="s">
        <v>48</v>
      </c>
      <c r="I2291" t="s">
        <v>31</v>
      </c>
      <c r="J2291" t="s">
        <v>27</v>
      </c>
      <c r="K2291" t="s">
        <v>28</v>
      </c>
      <c r="L2291" s="2">
        <v>278.3</v>
      </c>
      <c r="M2291" s="3">
        <v>628</v>
      </c>
      <c r="N2291">
        <v>6</v>
      </c>
      <c r="O2291">
        <v>5</v>
      </c>
      <c r="P2291">
        <v>1</v>
      </c>
      <c r="Q2291">
        <v>0</v>
      </c>
      <c r="R2291" s="4">
        <v>88.29</v>
      </c>
      <c r="S2291">
        <v>0</v>
      </c>
      <c r="T2291">
        <v>1</v>
      </c>
    </row>
    <row r="2292" spans="1:20" ht="16.5" x14ac:dyDescent="0.3">
      <c r="A2292" t="s">
        <v>2345</v>
      </c>
      <c r="B2292" s="1">
        <v>45620</v>
      </c>
      <c r="C2292">
        <v>2024</v>
      </c>
      <c r="D2292" t="s">
        <v>1873</v>
      </c>
      <c r="E2292" t="s">
        <v>2108</v>
      </c>
      <c r="F2292" t="s">
        <v>38</v>
      </c>
      <c r="G2292" t="s">
        <v>39</v>
      </c>
      <c r="H2292" t="s">
        <v>25</v>
      </c>
      <c r="I2292" t="s">
        <v>26</v>
      </c>
      <c r="J2292" t="s">
        <v>27</v>
      </c>
      <c r="K2292" t="s">
        <v>32</v>
      </c>
      <c r="L2292" s="2">
        <v>3.3</v>
      </c>
      <c r="M2292" s="3">
        <v>1049</v>
      </c>
      <c r="N2292">
        <v>4</v>
      </c>
      <c r="O2292">
        <v>4</v>
      </c>
      <c r="P2292">
        <v>1</v>
      </c>
      <c r="Q2292">
        <v>0</v>
      </c>
      <c r="R2292" s="4">
        <v>24.53</v>
      </c>
      <c r="S2292">
        <v>0</v>
      </c>
      <c r="T2292">
        <v>1</v>
      </c>
    </row>
    <row r="2293" spans="1:20" ht="16.5" x14ac:dyDescent="0.3">
      <c r="A2293" t="s">
        <v>2346</v>
      </c>
      <c r="B2293" s="1">
        <v>45620</v>
      </c>
      <c r="C2293">
        <v>2024</v>
      </c>
      <c r="D2293" t="s">
        <v>1873</v>
      </c>
      <c r="E2293" t="s">
        <v>2108</v>
      </c>
      <c r="F2293" t="s">
        <v>30</v>
      </c>
      <c r="G2293" t="s">
        <v>35</v>
      </c>
      <c r="H2293" t="s">
        <v>48</v>
      </c>
      <c r="I2293" t="s">
        <v>26</v>
      </c>
      <c r="J2293" t="s">
        <v>27</v>
      </c>
      <c r="K2293" t="s">
        <v>32</v>
      </c>
      <c r="L2293" s="2">
        <v>3.6</v>
      </c>
      <c r="M2293" s="3">
        <v>537</v>
      </c>
      <c r="N2293">
        <v>4</v>
      </c>
      <c r="O2293">
        <v>4</v>
      </c>
      <c r="P2293">
        <v>1</v>
      </c>
      <c r="Q2293">
        <v>0</v>
      </c>
      <c r="R2293" s="4">
        <v>16.54</v>
      </c>
      <c r="S2293">
        <v>0</v>
      </c>
      <c r="T2293">
        <v>1</v>
      </c>
    </row>
    <row r="2294" spans="1:20" ht="16.5" x14ac:dyDescent="0.3">
      <c r="A2294" t="s">
        <v>2347</v>
      </c>
      <c r="B2294" s="1">
        <v>45621</v>
      </c>
      <c r="C2294">
        <v>2024</v>
      </c>
      <c r="D2294" t="s">
        <v>1873</v>
      </c>
      <c r="E2294" t="s">
        <v>2108</v>
      </c>
      <c r="F2294" t="s">
        <v>57</v>
      </c>
      <c r="G2294" t="s">
        <v>39</v>
      </c>
      <c r="H2294" t="s">
        <v>36</v>
      </c>
      <c r="I2294" t="s">
        <v>26</v>
      </c>
      <c r="J2294" t="s">
        <v>27</v>
      </c>
      <c r="K2294" t="s">
        <v>32</v>
      </c>
      <c r="L2294" s="2">
        <v>1.2</v>
      </c>
      <c r="M2294" s="3">
        <v>205</v>
      </c>
      <c r="N2294">
        <v>3</v>
      </c>
      <c r="O2294">
        <v>6</v>
      </c>
      <c r="P2294">
        <v>0</v>
      </c>
      <c r="Q2294">
        <v>3</v>
      </c>
      <c r="R2294" s="4">
        <v>8.17</v>
      </c>
      <c r="S2294">
        <v>0</v>
      </c>
      <c r="T2294">
        <v>1</v>
      </c>
    </row>
    <row r="2295" spans="1:20" ht="16.5" x14ac:dyDescent="0.3">
      <c r="A2295" t="s">
        <v>2348</v>
      </c>
      <c r="B2295" s="1">
        <v>45621</v>
      </c>
      <c r="C2295">
        <v>2024</v>
      </c>
      <c r="D2295" t="s">
        <v>1873</v>
      </c>
      <c r="E2295" t="s">
        <v>2108</v>
      </c>
      <c r="F2295" t="s">
        <v>38</v>
      </c>
      <c r="G2295" t="s">
        <v>35</v>
      </c>
      <c r="H2295" t="s">
        <v>36</v>
      </c>
      <c r="I2295" t="s">
        <v>26</v>
      </c>
      <c r="J2295" t="s">
        <v>27</v>
      </c>
      <c r="K2295" t="s">
        <v>32</v>
      </c>
      <c r="L2295" s="2">
        <v>1.9</v>
      </c>
      <c r="M2295" s="3">
        <v>321</v>
      </c>
      <c r="N2295">
        <v>3</v>
      </c>
      <c r="O2295">
        <v>4</v>
      </c>
      <c r="P2295">
        <v>0</v>
      </c>
      <c r="Q2295">
        <v>1</v>
      </c>
      <c r="R2295" s="4">
        <v>12.51</v>
      </c>
      <c r="S2295">
        <v>0</v>
      </c>
      <c r="T2295">
        <v>1</v>
      </c>
    </row>
    <row r="2296" spans="1:20" ht="16.5" x14ac:dyDescent="0.3">
      <c r="A2296" t="s">
        <v>2349</v>
      </c>
      <c r="B2296" s="1">
        <v>45621</v>
      </c>
      <c r="C2296">
        <v>2024</v>
      </c>
      <c r="D2296" t="s">
        <v>1873</v>
      </c>
      <c r="E2296" t="s">
        <v>2108</v>
      </c>
      <c r="F2296" t="s">
        <v>30</v>
      </c>
      <c r="G2296" t="s">
        <v>39</v>
      </c>
      <c r="H2296" t="s">
        <v>25</v>
      </c>
      <c r="I2296" t="s">
        <v>26</v>
      </c>
      <c r="J2296" t="s">
        <v>27</v>
      </c>
      <c r="K2296" t="s">
        <v>28</v>
      </c>
      <c r="L2296" s="2">
        <v>157.4</v>
      </c>
      <c r="M2296" s="3">
        <v>1163</v>
      </c>
      <c r="N2296">
        <v>4</v>
      </c>
      <c r="O2296">
        <v>3</v>
      </c>
      <c r="P2296">
        <v>1</v>
      </c>
      <c r="Q2296">
        <v>0</v>
      </c>
      <c r="R2296" s="4">
        <v>83.06</v>
      </c>
      <c r="S2296">
        <v>0</v>
      </c>
      <c r="T2296">
        <v>1</v>
      </c>
    </row>
    <row r="2297" spans="1:20" ht="16.5" x14ac:dyDescent="0.3">
      <c r="A2297" t="s">
        <v>2350</v>
      </c>
      <c r="B2297" s="1">
        <v>45621</v>
      </c>
      <c r="C2297">
        <v>2024</v>
      </c>
      <c r="D2297" t="s">
        <v>1873</v>
      </c>
      <c r="E2297" t="s">
        <v>2108</v>
      </c>
      <c r="F2297" t="s">
        <v>57</v>
      </c>
      <c r="G2297" t="s">
        <v>35</v>
      </c>
      <c r="H2297" t="s">
        <v>25</v>
      </c>
      <c r="I2297" t="s">
        <v>26</v>
      </c>
      <c r="J2297" t="s">
        <v>27</v>
      </c>
      <c r="K2297" t="s">
        <v>28</v>
      </c>
      <c r="L2297" s="2">
        <v>50.6</v>
      </c>
      <c r="M2297" s="3">
        <v>1019</v>
      </c>
      <c r="N2297">
        <v>4</v>
      </c>
      <c r="O2297">
        <v>6</v>
      </c>
      <c r="P2297">
        <v>0</v>
      </c>
      <c r="Q2297">
        <v>2</v>
      </c>
      <c r="R2297" s="4">
        <v>41.63</v>
      </c>
      <c r="S2297">
        <v>0</v>
      </c>
      <c r="T2297">
        <v>1</v>
      </c>
    </row>
    <row r="2298" spans="1:20" ht="16.5" x14ac:dyDescent="0.3">
      <c r="A2298" t="s">
        <v>2351</v>
      </c>
      <c r="B2298" s="1">
        <v>45621</v>
      </c>
      <c r="C2298">
        <v>2024</v>
      </c>
      <c r="D2298" t="s">
        <v>1873</v>
      </c>
      <c r="E2298" t="s">
        <v>2108</v>
      </c>
      <c r="F2298" t="s">
        <v>30</v>
      </c>
      <c r="G2298" t="s">
        <v>35</v>
      </c>
      <c r="H2298" t="s">
        <v>25</v>
      </c>
      <c r="I2298" t="s">
        <v>31</v>
      </c>
      <c r="J2298" t="s">
        <v>27</v>
      </c>
      <c r="K2298" t="s">
        <v>32</v>
      </c>
      <c r="L2298" s="2">
        <v>7.3</v>
      </c>
      <c r="M2298" s="3">
        <v>839</v>
      </c>
      <c r="N2298">
        <v>6</v>
      </c>
      <c r="O2298">
        <v>6</v>
      </c>
      <c r="P2298">
        <v>1</v>
      </c>
      <c r="Q2298">
        <v>0</v>
      </c>
      <c r="R2298" s="4">
        <v>16.55</v>
      </c>
      <c r="S2298">
        <v>0</v>
      </c>
      <c r="T2298">
        <v>1</v>
      </c>
    </row>
    <row r="2299" spans="1:20" ht="16.5" x14ac:dyDescent="0.3">
      <c r="A2299" t="s">
        <v>2352</v>
      </c>
      <c r="B2299" s="1">
        <v>45621</v>
      </c>
      <c r="C2299">
        <v>2024</v>
      </c>
      <c r="D2299" t="s">
        <v>1873</v>
      </c>
      <c r="E2299" t="s">
        <v>2108</v>
      </c>
      <c r="F2299" t="s">
        <v>30</v>
      </c>
      <c r="G2299" t="s">
        <v>24</v>
      </c>
      <c r="H2299" t="s">
        <v>48</v>
      </c>
      <c r="I2299" t="s">
        <v>31</v>
      </c>
      <c r="J2299" t="s">
        <v>27</v>
      </c>
      <c r="K2299" t="s">
        <v>28</v>
      </c>
      <c r="L2299" s="2">
        <v>81.5</v>
      </c>
      <c r="M2299" s="3">
        <v>542</v>
      </c>
      <c r="N2299">
        <v>6</v>
      </c>
      <c r="O2299">
        <v>6</v>
      </c>
      <c r="P2299">
        <v>1</v>
      </c>
      <c r="Q2299">
        <v>0</v>
      </c>
      <c r="R2299" s="4">
        <v>37.15</v>
      </c>
      <c r="S2299">
        <v>0</v>
      </c>
      <c r="T2299">
        <v>1</v>
      </c>
    </row>
    <row r="2300" spans="1:20" ht="16.5" x14ac:dyDescent="0.3">
      <c r="A2300" t="s">
        <v>2353</v>
      </c>
      <c r="B2300" s="1">
        <v>45621</v>
      </c>
      <c r="C2300">
        <v>2024</v>
      </c>
      <c r="D2300" t="s">
        <v>1873</v>
      </c>
      <c r="E2300" t="s">
        <v>2108</v>
      </c>
      <c r="F2300" t="s">
        <v>30</v>
      </c>
      <c r="G2300" t="s">
        <v>35</v>
      </c>
      <c r="H2300" t="s">
        <v>36</v>
      </c>
      <c r="I2300" t="s">
        <v>31</v>
      </c>
      <c r="J2300" t="s">
        <v>27</v>
      </c>
      <c r="K2300" t="s">
        <v>28</v>
      </c>
      <c r="L2300" s="2">
        <v>340.2</v>
      </c>
      <c r="M2300" s="3">
        <v>291</v>
      </c>
      <c r="N2300">
        <v>5</v>
      </c>
      <c r="O2300">
        <v>5</v>
      </c>
      <c r="P2300">
        <v>1</v>
      </c>
      <c r="Q2300">
        <v>0</v>
      </c>
      <c r="R2300" s="4">
        <v>96.03</v>
      </c>
      <c r="S2300">
        <v>0</v>
      </c>
      <c r="T2300">
        <v>1</v>
      </c>
    </row>
    <row r="2301" spans="1:20" ht="16.5" x14ac:dyDescent="0.3">
      <c r="A2301" t="s">
        <v>2354</v>
      </c>
      <c r="B2301" s="1">
        <v>45621</v>
      </c>
      <c r="C2301">
        <v>2024</v>
      </c>
      <c r="D2301" t="s">
        <v>1873</v>
      </c>
      <c r="E2301" t="s">
        <v>2108</v>
      </c>
      <c r="F2301" t="s">
        <v>30</v>
      </c>
      <c r="G2301" t="s">
        <v>35</v>
      </c>
      <c r="H2301" t="s">
        <v>51</v>
      </c>
      <c r="I2301" t="s">
        <v>26</v>
      </c>
      <c r="J2301" t="s">
        <v>27</v>
      </c>
      <c r="K2301" t="s">
        <v>32</v>
      </c>
      <c r="L2301" s="2">
        <v>3.3</v>
      </c>
      <c r="M2301" s="3">
        <v>960</v>
      </c>
      <c r="N2301">
        <v>5</v>
      </c>
      <c r="O2301">
        <v>5</v>
      </c>
      <c r="P2301">
        <v>1</v>
      </c>
      <c r="Q2301">
        <v>0</v>
      </c>
      <c r="R2301" s="4">
        <v>20.88</v>
      </c>
      <c r="S2301">
        <v>0</v>
      </c>
      <c r="T2301">
        <v>1</v>
      </c>
    </row>
    <row r="2302" spans="1:20" ht="16.5" x14ac:dyDescent="0.3">
      <c r="A2302" t="s">
        <v>2355</v>
      </c>
      <c r="B2302" s="1">
        <v>45621</v>
      </c>
      <c r="C2302">
        <v>2024</v>
      </c>
      <c r="D2302" t="s">
        <v>1873</v>
      </c>
      <c r="E2302" t="s">
        <v>2108</v>
      </c>
      <c r="F2302" t="s">
        <v>34</v>
      </c>
      <c r="G2302" t="s">
        <v>39</v>
      </c>
      <c r="H2302" t="s">
        <v>51</v>
      </c>
      <c r="I2302" t="s">
        <v>40</v>
      </c>
      <c r="J2302" t="s">
        <v>41</v>
      </c>
      <c r="K2302" t="s">
        <v>32</v>
      </c>
      <c r="L2302" s="2">
        <v>3.2</v>
      </c>
      <c r="M2302" s="3">
        <v>844</v>
      </c>
      <c r="N2302">
        <v>3</v>
      </c>
      <c r="O2302">
        <v>3</v>
      </c>
      <c r="P2302">
        <v>1</v>
      </c>
      <c r="Q2302">
        <v>0</v>
      </c>
      <c r="R2302" s="4">
        <v>49.47</v>
      </c>
      <c r="S2302">
        <v>0</v>
      </c>
      <c r="T2302">
        <v>1</v>
      </c>
    </row>
    <row r="2303" spans="1:20" ht="16.5" x14ac:dyDescent="0.3">
      <c r="A2303" t="s">
        <v>2356</v>
      </c>
      <c r="B2303" s="1">
        <v>45621</v>
      </c>
      <c r="C2303">
        <v>2024</v>
      </c>
      <c r="D2303" t="s">
        <v>1873</v>
      </c>
      <c r="E2303" t="s">
        <v>2108</v>
      </c>
      <c r="F2303" t="s">
        <v>34</v>
      </c>
      <c r="G2303" t="s">
        <v>39</v>
      </c>
      <c r="H2303" t="s">
        <v>48</v>
      </c>
      <c r="I2303" t="s">
        <v>26</v>
      </c>
      <c r="J2303" t="s">
        <v>27</v>
      </c>
      <c r="K2303" t="s">
        <v>28</v>
      </c>
      <c r="L2303" s="2">
        <v>150.80000000000001</v>
      </c>
      <c r="M2303" s="3">
        <v>516</v>
      </c>
      <c r="N2303">
        <v>4</v>
      </c>
      <c r="O2303">
        <v>4</v>
      </c>
      <c r="P2303">
        <v>1</v>
      </c>
      <c r="Q2303">
        <v>0</v>
      </c>
      <c r="R2303" s="4">
        <v>63.22</v>
      </c>
      <c r="S2303">
        <v>0</v>
      </c>
      <c r="T2303">
        <v>1</v>
      </c>
    </row>
    <row r="2304" spans="1:20" ht="16.5" x14ac:dyDescent="0.3">
      <c r="A2304" t="s">
        <v>2357</v>
      </c>
      <c r="B2304" s="1">
        <v>45621</v>
      </c>
      <c r="C2304">
        <v>2024</v>
      </c>
      <c r="D2304" t="s">
        <v>1873</v>
      </c>
      <c r="E2304" t="s">
        <v>2108</v>
      </c>
      <c r="F2304" t="s">
        <v>38</v>
      </c>
      <c r="G2304" t="s">
        <v>24</v>
      </c>
      <c r="H2304" t="s">
        <v>48</v>
      </c>
      <c r="I2304" t="s">
        <v>26</v>
      </c>
      <c r="J2304" t="s">
        <v>27</v>
      </c>
      <c r="K2304" t="s">
        <v>32</v>
      </c>
      <c r="L2304" s="2">
        <v>13.3</v>
      </c>
      <c r="M2304" s="3">
        <v>429</v>
      </c>
      <c r="N2304">
        <v>4</v>
      </c>
      <c r="O2304">
        <v>4</v>
      </c>
      <c r="P2304">
        <v>1</v>
      </c>
      <c r="Q2304">
        <v>0</v>
      </c>
      <c r="R2304" s="4">
        <v>20.46</v>
      </c>
      <c r="S2304">
        <v>0</v>
      </c>
      <c r="T2304">
        <v>1</v>
      </c>
    </row>
    <row r="2305" spans="1:20" ht="16.5" x14ac:dyDescent="0.3">
      <c r="A2305" t="s">
        <v>2358</v>
      </c>
      <c r="B2305" s="1">
        <v>45621</v>
      </c>
      <c r="C2305">
        <v>2024</v>
      </c>
      <c r="D2305" t="s">
        <v>1873</v>
      </c>
      <c r="E2305" t="s">
        <v>2108</v>
      </c>
      <c r="F2305" t="s">
        <v>30</v>
      </c>
      <c r="G2305" t="s">
        <v>24</v>
      </c>
      <c r="H2305" t="s">
        <v>36</v>
      </c>
      <c r="I2305" t="s">
        <v>31</v>
      </c>
      <c r="J2305" t="s">
        <v>27</v>
      </c>
      <c r="K2305" t="s">
        <v>28</v>
      </c>
      <c r="L2305" s="2">
        <v>437.9</v>
      </c>
      <c r="M2305" s="3">
        <v>260</v>
      </c>
      <c r="N2305">
        <v>5</v>
      </c>
      <c r="O2305">
        <v>4</v>
      </c>
      <c r="P2305">
        <v>1</v>
      </c>
      <c r="Q2305">
        <v>0</v>
      </c>
      <c r="R2305" s="4">
        <v>125.81</v>
      </c>
      <c r="S2305">
        <v>0</v>
      </c>
      <c r="T2305">
        <v>1</v>
      </c>
    </row>
    <row r="2306" spans="1:20" ht="16.5" x14ac:dyDescent="0.3">
      <c r="A2306" t="s">
        <v>2359</v>
      </c>
      <c r="B2306" s="1">
        <v>45621</v>
      </c>
      <c r="C2306">
        <v>2024</v>
      </c>
      <c r="D2306" t="s">
        <v>1873</v>
      </c>
      <c r="E2306" t="s">
        <v>2108</v>
      </c>
      <c r="F2306" t="s">
        <v>30</v>
      </c>
      <c r="G2306" t="s">
        <v>39</v>
      </c>
      <c r="H2306" t="s">
        <v>36</v>
      </c>
      <c r="I2306" t="s">
        <v>40</v>
      </c>
      <c r="J2306" t="s">
        <v>27</v>
      </c>
      <c r="K2306" t="s">
        <v>28</v>
      </c>
      <c r="L2306" s="2">
        <v>70.400000000000006</v>
      </c>
      <c r="M2306" s="3">
        <v>281</v>
      </c>
      <c r="N2306">
        <v>1</v>
      </c>
      <c r="O2306">
        <v>3</v>
      </c>
      <c r="P2306">
        <v>0</v>
      </c>
      <c r="Q2306">
        <v>2</v>
      </c>
      <c r="R2306" s="4">
        <v>90.8</v>
      </c>
      <c r="S2306">
        <v>0</v>
      </c>
      <c r="T2306">
        <v>1</v>
      </c>
    </row>
    <row r="2307" spans="1:20" ht="16.5" x14ac:dyDescent="0.3">
      <c r="A2307" t="s">
        <v>2360</v>
      </c>
      <c r="B2307" s="1">
        <v>45621</v>
      </c>
      <c r="C2307">
        <v>2024</v>
      </c>
      <c r="D2307" t="s">
        <v>1873</v>
      </c>
      <c r="E2307" t="s">
        <v>2108</v>
      </c>
      <c r="F2307" t="s">
        <v>23</v>
      </c>
      <c r="G2307" t="s">
        <v>39</v>
      </c>
      <c r="H2307" t="s">
        <v>43</v>
      </c>
      <c r="I2307" t="s">
        <v>26</v>
      </c>
      <c r="J2307" t="s">
        <v>27</v>
      </c>
      <c r="K2307" t="s">
        <v>32</v>
      </c>
      <c r="L2307" s="2">
        <v>1.8</v>
      </c>
      <c r="M2307" s="3">
        <v>1099</v>
      </c>
      <c r="N2307">
        <v>5</v>
      </c>
      <c r="O2307">
        <v>5</v>
      </c>
      <c r="P2307">
        <v>1</v>
      </c>
      <c r="Q2307">
        <v>0</v>
      </c>
      <c r="R2307" s="4">
        <v>19.79</v>
      </c>
      <c r="S2307">
        <v>0</v>
      </c>
      <c r="T2307">
        <v>1</v>
      </c>
    </row>
    <row r="2308" spans="1:20" ht="16.5" x14ac:dyDescent="0.3">
      <c r="A2308" t="s">
        <v>2361</v>
      </c>
      <c r="B2308" s="1">
        <v>45621</v>
      </c>
      <c r="C2308">
        <v>2024</v>
      </c>
      <c r="D2308" t="s">
        <v>1873</v>
      </c>
      <c r="E2308" t="s">
        <v>2108</v>
      </c>
      <c r="F2308" t="s">
        <v>38</v>
      </c>
      <c r="G2308" t="s">
        <v>24</v>
      </c>
      <c r="H2308" t="s">
        <v>48</v>
      </c>
      <c r="I2308" t="s">
        <v>40</v>
      </c>
      <c r="J2308" t="s">
        <v>27</v>
      </c>
      <c r="K2308" t="s">
        <v>32</v>
      </c>
      <c r="L2308" s="2">
        <v>7.9</v>
      </c>
      <c r="M2308" s="3">
        <v>449</v>
      </c>
      <c r="N2308">
        <v>2</v>
      </c>
      <c r="O2308">
        <v>2</v>
      </c>
      <c r="P2308">
        <v>1</v>
      </c>
      <c r="Q2308">
        <v>0</v>
      </c>
      <c r="R2308" s="4">
        <v>36.99</v>
      </c>
      <c r="S2308">
        <v>0</v>
      </c>
      <c r="T2308">
        <v>1</v>
      </c>
    </row>
    <row r="2309" spans="1:20" ht="16.5" x14ac:dyDescent="0.3">
      <c r="A2309" t="s">
        <v>2362</v>
      </c>
      <c r="B2309" s="1">
        <v>45621</v>
      </c>
      <c r="C2309">
        <v>2024</v>
      </c>
      <c r="D2309" t="s">
        <v>1873</v>
      </c>
      <c r="E2309" t="s">
        <v>2108</v>
      </c>
      <c r="F2309" t="s">
        <v>34</v>
      </c>
      <c r="G2309" t="s">
        <v>35</v>
      </c>
      <c r="H2309" t="s">
        <v>36</v>
      </c>
      <c r="I2309" t="s">
        <v>26</v>
      </c>
      <c r="J2309" t="s">
        <v>27</v>
      </c>
      <c r="K2309" t="s">
        <v>28</v>
      </c>
      <c r="L2309" s="2">
        <v>299.3</v>
      </c>
      <c r="M2309" s="3">
        <v>251</v>
      </c>
      <c r="N2309">
        <v>3</v>
      </c>
      <c r="O2309">
        <v>2</v>
      </c>
      <c r="P2309">
        <v>1</v>
      </c>
      <c r="Q2309">
        <v>0</v>
      </c>
      <c r="R2309" s="4">
        <v>121.14</v>
      </c>
      <c r="S2309">
        <v>0</v>
      </c>
      <c r="T2309">
        <v>1</v>
      </c>
    </row>
    <row r="2310" spans="1:20" ht="16.5" x14ac:dyDescent="0.3">
      <c r="A2310" t="s">
        <v>2363</v>
      </c>
      <c r="B2310" s="1">
        <v>45621</v>
      </c>
      <c r="C2310">
        <v>2024</v>
      </c>
      <c r="D2310" t="s">
        <v>1873</v>
      </c>
      <c r="E2310" t="s">
        <v>2108</v>
      </c>
      <c r="F2310" t="s">
        <v>34</v>
      </c>
      <c r="G2310" t="s">
        <v>39</v>
      </c>
      <c r="H2310" t="s">
        <v>43</v>
      </c>
      <c r="I2310" t="s">
        <v>31</v>
      </c>
      <c r="J2310" t="s">
        <v>27</v>
      </c>
      <c r="K2310" t="s">
        <v>32</v>
      </c>
      <c r="L2310" s="2">
        <v>3.2</v>
      </c>
      <c r="M2310" s="3">
        <v>960</v>
      </c>
      <c r="N2310">
        <v>7</v>
      </c>
      <c r="O2310">
        <v>12</v>
      </c>
      <c r="P2310">
        <v>0</v>
      </c>
      <c r="Q2310">
        <v>5</v>
      </c>
      <c r="R2310" s="4">
        <v>11.55</v>
      </c>
      <c r="S2310">
        <v>0</v>
      </c>
      <c r="T2310">
        <v>1</v>
      </c>
    </row>
    <row r="2311" spans="1:20" ht="16.5" x14ac:dyDescent="0.3">
      <c r="A2311" t="s">
        <v>2364</v>
      </c>
      <c r="B2311" s="1">
        <v>45622</v>
      </c>
      <c r="C2311">
        <v>2024</v>
      </c>
      <c r="D2311" t="s">
        <v>1873</v>
      </c>
      <c r="E2311" t="s">
        <v>2108</v>
      </c>
      <c r="F2311" t="s">
        <v>57</v>
      </c>
      <c r="G2311" t="s">
        <v>39</v>
      </c>
      <c r="H2311" t="s">
        <v>48</v>
      </c>
      <c r="I2311" t="s">
        <v>26</v>
      </c>
      <c r="J2311" t="s">
        <v>27</v>
      </c>
      <c r="K2311" t="s">
        <v>32</v>
      </c>
      <c r="L2311" s="2">
        <v>11.1</v>
      </c>
      <c r="M2311" s="3">
        <v>610</v>
      </c>
      <c r="N2311">
        <v>4</v>
      </c>
      <c r="O2311">
        <v>4</v>
      </c>
      <c r="P2311">
        <v>1</v>
      </c>
      <c r="Q2311">
        <v>0</v>
      </c>
      <c r="R2311" s="4">
        <v>18.98</v>
      </c>
      <c r="S2311">
        <v>0</v>
      </c>
      <c r="T2311">
        <v>1</v>
      </c>
    </row>
    <row r="2312" spans="1:20" ht="16.5" x14ac:dyDescent="0.3">
      <c r="A2312" t="s">
        <v>2365</v>
      </c>
      <c r="B2312" s="1">
        <v>45622</v>
      </c>
      <c r="C2312">
        <v>2024</v>
      </c>
      <c r="D2312" t="s">
        <v>1873</v>
      </c>
      <c r="E2312" t="s">
        <v>2108</v>
      </c>
      <c r="F2312" t="s">
        <v>38</v>
      </c>
      <c r="G2312" t="s">
        <v>35</v>
      </c>
      <c r="H2312" t="s">
        <v>25</v>
      </c>
      <c r="I2312" t="s">
        <v>31</v>
      </c>
      <c r="J2312" t="s">
        <v>27</v>
      </c>
      <c r="K2312" t="s">
        <v>28</v>
      </c>
      <c r="L2312" s="2">
        <v>9</v>
      </c>
      <c r="M2312" s="3">
        <v>895</v>
      </c>
      <c r="N2312">
        <v>6</v>
      </c>
      <c r="O2312">
        <v>6</v>
      </c>
      <c r="P2312">
        <v>1</v>
      </c>
      <c r="Q2312">
        <v>0</v>
      </c>
      <c r="R2312" s="4">
        <v>19.739999999999998</v>
      </c>
      <c r="S2312">
        <v>0</v>
      </c>
      <c r="T2312">
        <v>1</v>
      </c>
    </row>
    <row r="2313" spans="1:20" ht="16.5" x14ac:dyDescent="0.3">
      <c r="A2313" t="s">
        <v>2366</v>
      </c>
      <c r="B2313" s="1">
        <v>45622</v>
      </c>
      <c r="C2313">
        <v>2024</v>
      </c>
      <c r="D2313" t="s">
        <v>1873</v>
      </c>
      <c r="E2313" t="s">
        <v>2108</v>
      </c>
      <c r="F2313" t="s">
        <v>57</v>
      </c>
      <c r="G2313" t="s">
        <v>35</v>
      </c>
      <c r="H2313" t="s">
        <v>25</v>
      </c>
      <c r="I2313" t="s">
        <v>40</v>
      </c>
      <c r="J2313" t="s">
        <v>41</v>
      </c>
      <c r="K2313" t="s">
        <v>28</v>
      </c>
      <c r="L2313" s="2">
        <v>53.5</v>
      </c>
      <c r="M2313" s="3">
        <v>824</v>
      </c>
      <c r="N2313">
        <v>2</v>
      </c>
      <c r="O2313">
        <v>1</v>
      </c>
      <c r="P2313">
        <v>1</v>
      </c>
      <c r="Q2313">
        <v>0</v>
      </c>
      <c r="R2313" s="4">
        <v>141.24</v>
      </c>
      <c r="S2313">
        <v>0</v>
      </c>
      <c r="T2313">
        <v>1</v>
      </c>
    </row>
    <row r="2314" spans="1:20" ht="16.5" x14ac:dyDescent="0.3">
      <c r="A2314" t="s">
        <v>2367</v>
      </c>
      <c r="B2314" s="1">
        <v>45622</v>
      </c>
      <c r="C2314">
        <v>2024</v>
      </c>
      <c r="D2314" t="s">
        <v>1873</v>
      </c>
      <c r="E2314" t="s">
        <v>2108</v>
      </c>
      <c r="F2314" t="s">
        <v>23</v>
      </c>
      <c r="G2314" t="s">
        <v>39</v>
      </c>
      <c r="H2314" t="s">
        <v>25</v>
      </c>
      <c r="I2314" t="s">
        <v>40</v>
      </c>
      <c r="J2314" t="s">
        <v>41</v>
      </c>
      <c r="K2314" t="s">
        <v>28</v>
      </c>
      <c r="L2314" s="2">
        <v>197.1</v>
      </c>
      <c r="M2314" s="3">
        <v>1103</v>
      </c>
      <c r="N2314">
        <v>2</v>
      </c>
      <c r="O2314">
        <v>2</v>
      </c>
      <c r="P2314">
        <v>1</v>
      </c>
      <c r="Q2314">
        <v>0</v>
      </c>
      <c r="R2314" s="4">
        <v>307.86</v>
      </c>
      <c r="S2314">
        <v>0</v>
      </c>
      <c r="T2314">
        <v>1</v>
      </c>
    </row>
    <row r="2315" spans="1:20" ht="16.5" x14ac:dyDescent="0.3">
      <c r="A2315" t="s">
        <v>2368</v>
      </c>
      <c r="B2315" s="1">
        <v>45622</v>
      </c>
      <c r="C2315">
        <v>2024</v>
      </c>
      <c r="D2315" t="s">
        <v>1873</v>
      </c>
      <c r="E2315" t="s">
        <v>2108</v>
      </c>
      <c r="F2315" t="s">
        <v>34</v>
      </c>
      <c r="G2315" t="s">
        <v>35</v>
      </c>
      <c r="H2315" t="s">
        <v>25</v>
      </c>
      <c r="I2315" t="s">
        <v>26</v>
      </c>
      <c r="J2315" t="s">
        <v>27</v>
      </c>
      <c r="K2315" t="s">
        <v>32</v>
      </c>
      <c r="L2315" s="2">
        <v>2.9</v>
      </c>
      <c r="M2315" s="3">
        <v>873</v>
      </c>
      <c r="N2315">
        <v>4</v>
      </c>
      <c r="O2315">
        <v>4</v>
      </c>
      <c r="P2315">
        <v>1</v>
      </c>
      <c r="Q2315">
        <v>0</v>
      </c>
      <c r="R2315" s="4">
        <v>16.850000000000001</v>
      </c>
      <c r="S2315">
        <v>1</v>
      </c>
      <c r="T2315">
        <v>1</v>
      </c>
    </row>
    <row r="2316" spans="1:20" ht="16.5" x14ac:dyDescent="0.3">
      <c r="A2316" t="s">
        <v>2369</v>
      </c>
      <c r="B2316" s="1">
        <v>45622</v>
      </c>
      <c r="C2316">
        <v>2024</v>
      </c>
      <c r="D2316" t="s">
        <v>1873</v>
      </c>
      <c r="E2316" t="s">
        <v>2108</v>
      </c>
      <c r="F2316" t="s">
        <v>34</v>
      </c>
      <c r="G2316" t="s">
        <v>35</v>
      </c>
      <c r="H2316" t="s">
        <v>36</v>
      </c>
      <c r="I2316" t="s">
        <v>26</v>
      </c>
      <c r="J2316" t="s">
        <v>27</v>
      </c>
      <c r="K2316" t="s">
        <v>32</v>
      </c>
      <c r="L2316" s="2">
        <v>4.5</v>
      </c>
      <c r="M2316" s="3">
        <v>212</v>
      </c>
      <c r="N2316">
        <v>3</v>
      </c>
      <c r="O2316">
        <v>3</v>
      </c>
      <c r="P2316">
        <v>1</v>
      </c>
      <c r="Q2316">
        <v>0</v>
      </c>
      <c r="R2316" s="4">
        <v>10.050000000000001</v>
      </c>
      <c r="S2316">
        <v>0</v>
      </c>
      <c r="T2316">
        <v>1</v>
      </c>
    </row>
    <row r="2317" spans="1:20" ht="16.5" x14ac:dyDescent="0.3">
      <c r="A2317" t="s">
        <v>2370</v>
      </c>
      <c r="B2317" s="1">
        <v>45622</v>
      </c>
      <c r="C2317">
        <v>2024</v>
      </c>
      <c r="D2317" t="s">
        <v>1873</v>
      </c>
      <c r="E2317" t="s">
        <v>2108</v>
      </c>
      <c r="F2317" t="s">
        <v>34</v>
      </c>
      <c r="G2317" t="s">
        <v>39</v>
      </c>
      <c r="H2317" t="s">
        <v>48</v>
      </c>
      <c r="I2317" t="s">
        <v>26</v>
      </c>
      <c r="J2317" t="s">
        <v>27</v>
      </c>
      <c r="K2317" t="s">
        <v>32</v>
      </c>
      <c r="L2317" s="2">
        <v>2.6</v>
      </c>
      <c r="M2317" s="3">
        <v>527</v>
      </c>
      <c r="N2317">
        <v>4</v>
      </c>
      <c r="O2317">
        <v>5</v>
      </c>
      <c r="P2317">
        <v>0</v>
      </c>
      <c r="Q2317">
        <v>1</v>
      </c>
      <c r="R2317" s="4">
        <v>11.4</v>
      </c>
      <c r="S2317">
        <v>0</v>
      </c>
      <c r="T2317">
        <v>1</v>
      </c>
    </row>
    <row r="2318" spans="1:20" ht="16.5" x14ac:dyDescent="0.3">
      <c r="A2318" t="s">
        <v>2371</v>
      </c>
      <c r="B2318" s="1">
        <v>45622</v>
      </c>
      <c r="C2318">
        <v>2024</v>
      </c>
      <c r="D2318" t="s">
        <v>1873</v>
      </c>
      <c r="E2318" t="s">
        <v>2108</v>
      </c>
      <c r="F2318" t="s">
        <v>57</v>
      </c>
      <c r="G2318" t="s">
        <v>39</v>
      </c>
      <c r="H2318" t="s">
        <v>48</v>
      </c>
      <c r="I2318" t="s">
        <v>26</v>
      </c>
      <c r="J2318" t="s">
        <v>27</v>
      </c>
      <c r="K2318" t="s">
        <v>28</v>
      </c>
      <c r="L2318" s="2">
        <v>95.3</v>
      </c>
      <c r="M2318" s="3">
        <v>509</v>
      </c>
      <c r="N2318">
        <v>4</v>
      </c>
      <c r="O2318">
        <v>5</v>
      </c>
      <c r="P2318">
        <v>0</v>
      </c>
      <c r="Q2318">
        <v>1</v>
      </c>
      <c r="R2318" s="4">
        <v>55.22</v>
      </c>
      <c r="S2318">
        <v>0</v>
      </c>
      <c r="T2318">
        <v>1</v>
      </c>
    </row>
    <row r="2319" spans="1:20" ht="16.5" x14ac:dyDescent="0.3">
      <c r="A2319" t="s">
        <v>2372</v>
      </c>
      <c r="B2319" s="1">
        <v>45622</v>
      </c>
      <c r="C2319">
        <v>2024</v>
      </c>
      <c r="D2319" t="s">
        <v>1873</v>
      </c>
      <c r="E2319" t="s">
        <v>2108</v>
      </c>
      <c r="F2319" t="s">
        <v>38</v>
      </c>
      <c r="G2319" t="s">
        <v>35</v>
      </c>
      <c r="H2319" t="s">
        <v>48</v>
      </c>
      <c r="I2319" t="s">
        <v>26</v>
      </c>
      <c r="J2319" t="s">
        <v>27</v>
      </c>
      <c r="K2319" t="s">
        <v>28</v>
      </c>
      <c r="L2319" s="2">
        <v>58.1</v>
      </c>
      <c r="M2319" s="3">
        <v>360</v>
      </c>
      <c r="N2319">
        <v>4</v>
      </c>
      <c r="O2319">
        <v>4</v>
      </c>
      <c r="P2319">
        <v>1</v>
      </c>
      <c r="Q2319">
        <v>0</v>
      </c>
      <c r="R2319" s="4">
        <v>39.770000000000003</v>
      </c>
      <c r="S2319">
        <v>0</v>
      </c>
      <c r="T2319">
        <v>1</v>
      </c>
    </row>
    <row r="2320" spans="1:20" ht="16.5" x14ac:dyDescent="0.3">
      <c r="A2320" t="s">
        <v>2373</v>
      </c>
      <c r="B2320" s="1">
        <v>45622</v>
      </c>
      <c r="C2320">
        <v>2024</v>
      </c>
      <c r="D2320" t="s">
        <v>1873</v>
      </c>
      <c r="E2320" t="s">
        <v>2108</v>
      </c>
      <c r="F2320" t="s">
        <v>38</v>
      </c>
      <c r="G2320" t="s">
        <v>35</v>
      </c>
      <c r="H2320" t="s">
        <v>25</v>
      </c>
      <c r="I2320" t="s">
        <v>40</v>
      </c>
      <c r="J2320" t="s">
        <v>41</v>
      </c>
      <c r="K2320" t="s">
        <v>32</v>
      </c>
      <c r="L2320" s="2">
        <v>3</v>
      </c>
      <c r="M2320" s="3">
        <v>892</v>
      </c>
      <c r="N2320">
        <v>2</v>
      </c>
      <c r="O2320">
        <v>2</v>
      </c>
      <c r="P2320">
        <v>1</v>
      </c>
      <c r="Q2320">
        <v>0</v>
      </c>
      <c r="R2320" s="4">
        <v>63.03</v>
      </c>
      <c r="S2320">
        <v>0</v>
      </c>
      <c r="T2320">
        <v>1</v>
      </c>
    </row>
    <row r="2321" spans="1:20" ht="16.5" x14ac:dyDescent="0.3">
      <c r="A2321" t="s">
        <v>2374</v>
      </c>
      <c r="B2321" s="1">
        <v>45622</v>
      </c>
      <c r="C2321">
        <v>2024</v>
      </c>
      <c r="D2321" t="s">
        <v>1873</v>
      </c>
      <c r="E2321" t="s">
        <v>2108</v>
      </c>
      <c r="F2321" t="s">
        <v>30</v>
      </c>
      <c r="G2321" t="s">
        <v>24</v>
      </c>
      <c r="H2321" t="s">
        <v>51</v>
      </c>
      <c r="I2321" t="s">
        <v>31</v>
      </c>
      <c r="J2321" t="s">
        <v>27</v>
      </c>
      <c r="K2321" t="s">
        <v>32</v>
      </c>
      <c r="L2321" s="2">
        <v>5.8</v>
      </c>
      <c r="M2321" s="3">
        <v>1022</v>
      </c>
      <c r="N2321">
        <v>7</v>
      </c>
      <c r="O2321">
        <v>7</v>
      </c>
      <c r="P2321">
        <v>1</v>
      </c>
      <c r="Q2321">
        <v>0</v>
      </c>
      <c r="R2321" s="4">
        <v>16.329999999999998</v>
      </c>
      <c r="S2321">
        <v>0</v>
      </c>
      <c r="T2321">
        <v>1</v>
      </c>
    </row>
    <row r="2322" spans="1:20" ht="16.5" x14ac:dyDescent="0.3">
      <c r="A2322" t="s">
        <v>2375</v>
      </c>
      <c r="B2322" s="1">
        <v>45623</v>
      </c>
      <c r="C2322">
        <v>2024</v>
      </c>
      <c r="D2322" t="s">
        <v>1873</v>
      </c>
      <c r="E2322" t="s">
        <v>2108</v>
      </c>
      <c r="F2322" t="s">
        <v>38</v>
      </c>
      <c r="G2322" t="s">
        <v>24</v>
      </c>
      <c r="H2322" t="s">
        <v>43</v>
      </c>
      <c r="I2322" t="s">
        <v>26</v>
      </c>
      <c r="J2322" t="s">
        <v>27</v>
      </c>
      <c r="K2322" t="s">
        <v>28</v>
      </c>
      <c r="L2322" s="2">
        <v>47.7</v>
      </c>
      <c r="M2322" s="3">
        <v>1264</v>
      </c>
      <c r="N2322">
        <v>5</v>
      </c>
      <c r="O2322">
        <v>4</v>
      </c>
      <c r="P2322">
        <v>1</v>
      </c>
      <c r="Q2322">
        <v>0</v>
      </c>
      <c r="R2322" s="4">
        <v>47.8</v>
      </c>
      <c r="S2322">
        <v>0</v>
      </c>
      <c r="T2322">
        <v>1</v>
      </c>
    </row>
    <row r="2323" spans="1:20" ht="16.5" x14ac:dyDescent="0.3">
      <c r="A2323" t="s">
        <v>2376</v>
      </c>
      <c r="B2323" s="1">
        <v>45623</v>
      </c>
      <c r="C2323">
        <v>2024</v>
      </c>
      <c r="D2323" t="s">
        <v>1873</v>
      </c>
      <c r="E2323" t="s">
        <v>2108</v>
      </c>
      <c r="F2323" t="s">
        <v>38</v>
      </c>
      <c r="G2323" t="s">
        <v>39</v>
      </c>
      <c r="H2323" t="s">
        <v>36</v>
      </c>
      <c r="I2323" t="s">
        <v>26</v>
      </c>
      <c r="J2323" t="s">
        <v>27</v>
      </c>
      <c r="K2323" t="s">
        <v>28</v>
      </c>
      <c r="L2323" s="2">
        <v>94.3</v>
      </c>
      <c r="M2323" s="3">
        <v>244</v>
      </c>
      <c r="N2323">
        <v>3</v>
      </c>
      <c r="O2323">
        <v>3</v>
      </c>
      <c r="P2323">
        <v>1</v>
      </c>
      <c r="Q2323">
        <v>0</v>
      </c>
      <c r="R2323" s="4">
        <v>62.22</v>
      </c>
      <c r="S2323">
        <v>0</v>
      </c>
      <c r="T2323">
        <v>1</v>
      </c>
    </row>
    <row r="2324" spans="1:20" ht="16.5" x14ac:dyDescent="0.3">
      <c r="A2324" t="s">
        <v>2377</v>
      </c>
      <c r="B2324" s="1">
        <v>45623</v>
      </c>
      <c r="C2324">
        <v>2024</v>
      </c>
      <c r="D2324" t="s">
        <v>1873</v>
      </c>
      <c r="E2324" t="s">
        <v>2108</v>
      </c>
      <c r="F2324" t="s">
        <v>38</v>
      </c>
      <c r="G2324" t="s">
        <v>39</v>
      </c>
      <c r="H2324" t="s">
        <v>25</v>
      </c>
      <c r="I2324" t="s">
        <v>40</v>
      </c>
      <c r="J2324" t="s">
        <v>41</v>
      </c>
      <c r="K2324" t="s">
        <v>28</v>
      </c>
      <c r="L2324" s="2">
        <v>107.9</v>
      </c>
      <c r="M2324" s="3">
        <v>801</v>
      </c>
      <c r="N2324">
        <v>2</v>
      </c>
      <c r="O2324">
        <v>2</v>
      </c>
      <c r="P2324">
        <v>1</v>
      </c>
      <c r="Q2324">
        <v>0</v>
      </c>
      <c r="R2324" s="4">
        <v>213.97</v>
      </c>
      <c r="S2324">
        <v>0</v>
      </c>
      <c r="T2324">
        <v>1</v>
      </c>
    </row>
    <row r="2325" spans="1:20" ht="16.5" x14ac:dyDescent="0.3">
      <c r="A2325" t="s">
        <v>2378</v>
      </c>
      <c r="B2325" s="1">
        <v>45623</v>
      </c>
      <c r="C2325">
        <v>2024</v>
      </c>
      <c r="D2325" t="s">
        <v>1873</v>
      </c>
      <c r="E2325" t="s">
        <v>2108</v>
      </c>
      <c r="F2325" t="s">
        <v>23</v>
      </c>
      <c r="G2325" t="s">
        <v>24</v>
      </c>
      <c r="H2325" t="s">
        <v>51</v>
      </c>
      <c r="I2325" t="s">
        <v>26</v>
      </c>
      <c r="J2325" t="s">
        <v>27</v>
      </c>
      <c r="K2325" t="s">
        <v>32</v>
      </c>
      <c r="L2325" s="2">
        <v>2.7</v>
      </c>
      <c r="M2325" s="3">
        <v>1207</v>
      </c>
      <c r="N2325">
        <v>5</v>
      </c>
      <c r="O2325">
        <v>4</v>
      </c>
      <c r="P2325">
        <v>1</v>
      </c>
      <c r="Q2325">
        <v>0</v>
      </c>
      <c r="R2325" s="4">
        <v>20.440000000000001</v>
      </c>
      <c r="S2325">
        <v>0</v>
      </c>
      <c r="T2325">
        <v>1</v>
      </c>
    </row>
    <row r="2326" spans="1:20" ht="16.5" x14ac:dyDescent="0.3">
      <c r="A2326" t="s">
        <v>2379</v>
      </c>
      <c r="B2326" s="1">
        <v>45623</v>
      </c>
      <c r="C2326">
        <v>2024</v>
      </c>
      <c r="D2326" t="s">
        <v>1873</v>
      </c>
      <c r="E2326" t="s">
        <v>2108</v>
      </c>
      <c r="F2326" t="s">
        <v>57</v>
      </c>
      <c r="G2326" t="s">
        <v>24</v>
      </c>
      <c r="H2326" t="s">
        <v>25</v>
      </c>
      <c r="I2326" t="s">
        <v>26</v>
      </c>
      <c r="J2326" t="s">
        <v>27</v>
      </c>
      <c r="K2326" t="s">
        <v>28</v>
      </c>
      <c r="L2326" s="2">
        <v>32.299999999999997</v>
      </c>
      <c r="M2326" s="3">
        <v>951</v>
      </c>
      <c r="N2326">
        <v>4</v>
      </c>
      <c r="O2326">
        <v>4</v>
      </c>
      <c r="P2326">
        <v>1</v>
      </c>
      <c r="Q2326">
        <v>0</v>
      </c>
      <c r="R2326" s="4">
        <v>35.58</v>
      </c>
      <c r="S2326">
        <v>0</v>
      </c>
      <c r="T2326">
        <v>1</v>
      </c>
    </row>
    <row r="2327" spans="1:20" ht="16.5" x14ac:dyDescent="0.3">
      <c r="A2327" t="s">
        <v>2380</v>
      </c>
      <c r="B2327" s="1">
        <v>45623</v>
      </c>
      <c r="C2327">
        <v>2024</v>
      </c>
      <c r="D2327" t="s">
        <v>1873</v>
      </c>
      <c r="E2327" t="s">
        <v>2108</v>
      </c>
      <c r="F2327" t="s">
        <v>23</v>
      </c>
      <c r="G2327" t="s">
        <v>39</v>
      </c>
      <c r="H2327" t="s">
        <v>25</v>
      </c>
      <c r="I2327" t="s">
        <v>26</v>
      </c>
      <c r="J2327" t="s">
        <v>27</v>
      </c>
      <c r="K2327" t="s">
        <v>28</v>
      </c>
      <c r="L2327" s="2">
        <v>330.7</v>
      </c>
      <c r="M2327" s="3">
        <v>716</v>
      </c>
      <c r="N2327">
        <v>4</v>
      </c>
      <c r="O2327">
        <v>5</v>
      </c>
      <c r="P2327">
        <v>0</v>
      </c>
      <c r="Q2327">
        <v>1</v>
      </c>
      <c r="R2327" s="4">
        <v>138.21</v>
      </c>
      <c r="S2327">
        <v>0</v>
      </c>
      <c r="T2327">
        <v>1</v>
      </c>
    </row>
    <row r="2328" spans="1:20" ht="16.5" x14ac:dyDescent="0.3">
      <c r="A2328" t="s">
        <v>2381</v>
      </c>
      <c r="B2328" s="1">
        <v>45623</v>
      </c>
      <c r="C2328">
        <v>2024</v>
      </c>
      <c r="D2328" t="s">
        <v>1873</v>
      </c>
      <c r="E2328" t="s">
        <v>2108</v>
      </c>
      <c r="F2328" t="s">
        <v>57</v>
      </c>
      <c r="G2328" t="s">
        <v>24</v>
      </c>
      <c r="H2328" t="s">
        <v>36</v>
      </c>
      <c r="I2328" t="s">
        <v>26</v>
      </c>
      <c r="J2328" t="s">
        <v>27</v>
      </c>
      <c r="K2328" t="s">
        <v>32</v>
      </c>
      <c r="L2328" s="2">
        <v>11</v>
      </c>
      <c r="M2328" s="3">
        <v>252</v>
      </c>
      <c r="N2328">
        <v>3</v>
      </c>
      <c r="O2328">
        <v>2</v>
      </c>
      <c r="P2328">
        <v>1</v>
      </c>
      <c r="Q2328">
        <v>0</v>
      </c>
      <c r="R2328" s="4">
        <v>16.98</v>
      </c>
      <c r="S2328">
        <v>0</v>
      </c>
      <c r="T2328">
        <v>1</v>
      </c>
    </row>
    <row r="2329" spans="1:20" ht="16.5" x14ac:dyDescent="0.3">
      <c r="A2329" t="s">
        <v>2382</v>
      </c>
      <c r="B2329" s="1">
        <v>45623</v>
      </c>
      <c r="C2329">
        <v>2024</v>
      </c>
      <c r="D2329" t="s">
        <v>1873</v>
      </c>
      <c r="E2329" t="s">
        <v>2108</v>
      </c>
      <c r="F2329" t="s">
        <v>38</v>
      </c>
      <c r="G2329" t="s">
        <v>39</v>
      </c>
      <c r="H2329" t="s">
        <v>43</v>
      </c>
      <c r="I2329" t="s">
        <v>31</v>
      </c>
      <c r="J2329" t="s">
        <v>27</v>
      </c>
      <c r="K2329" t="s">
        <v>28</v>
      </c>
      <c r="L2329" s="2">
        <v>178.7</v>
      </c>
      <c r="M2329" s="3">
        <v>1066</v>
      </c>
      <c r="N2329">
        <v>7</v>
      </c>
      <c r="O2329">
        <v>9</v>
      </c>
      <c r="P2329">
        <v>0</v>
      </c>
      <c r="Q2329">
        <v>2</v>
      </c>
      <c r="R2329" s="4">
        <v>73.53</v>
      </c>
      <c r="S2329">
        <v>0</v>
      </c>
      <c r="T2329">
        <v>1</v>
      </c>
    </row>
    <row r="2330" spans="1:20" ht="16.5" x14ac:dyDescent="0.3">
      <c r="A2330" t="s">
        <v>2383</v>
      </c>
      <c r="B2330" s="1">
        <v>45623</v>
      </c>
      <c r="C2330">
        <v>2024</v>
      </c>
      <c r="D2330" t="s">
        <v>1873</v>
      </c>
      <c r="E2330" t="s">
        <v>2108</v>
      </c>
      <c r="F2330" t="s">
        <v>38</v>
      </c>
      <c r="G2330" t="s">
        <v>35</v>
      </c>
      <c r="H2330" t="s">
        <v>36</v>
      </c>
      <c r="I2330" t="s">
        <v>26</v>
      </c>
      <c r="J2330" t="s">
        <v>27</v>
      </c>
      <c r="K2330" t="s">
        <v>28</v>
      </c>
      <c r="L2330" s="2">
        <v>81.599999999999994</v>
      </c>
      <c r="M2330" s="3">
        <v>227</v>
      </c>
      <c r="N2330">
        <v>3</v>
      </c>
      <c r="O2330">
        <v>2</v>
      </c>
      <c r="P2330">
        <v>1</v>
      </c>
      <c r="Q2330">
        <v>0</v>
      </c>
      <c r="R2330" s="4">
        <v>52.27</v>
      </c>
      <c r="S2330">
        <v>0</v>
      </c>
      <c r="T2330">
        <v>1</v>
      </c>
    </row>
    <row r="2331" spans="1:20" ht="16.5" x14ac:dyDescent="0.3">
      <c r="A2331" t="s">
        <v>2384</v>
      </c>
      <c r="B2331" s="1">
        <v>45623</v>
      </c>
      <c r="C2331">
        <v>2024</v>
      </c>
      <c r="D2331" t="s">
        <v>1873</v>
      </c>
      <c r="E2331" t="s">
        <v>2108</v>
      </c>
      <c r="F2331" t="s">
        <v>38</v>
      </c>
      <c r="G2331" t="s">
        <v>24</v>
      </c>
      <c r="H2331" t="s">
        <v>36</v>
      </c>
      <c r="I2331" t="s">
        <v>40</v>
      </c>
      <c r="J2331" t="s">
        <v>27</v>
      </c>
      <c r="K2331" t="s">
        <v>32</v>
      </c>
      <c r="L2331" s="2">
        <v>4.9000000000000004</v>
      </c>
      <c r="M2331" s="3">
        <v>309</v>
      </c>
      <c r="N2331">
        <v>1</v>
      </c>
      <c r="O2331">
        <v>4</v>
      </c>
      <c r="P2331">
        <v>0</v>
      </c>
      <c r="Q2331">
        <v>3</v>
      </c>
      <c r="R2331" s="4">
        <v>28.24</v>
      </c>
      <c r="S2331">
        <v>0</v>
      </c>
      <c r="T2331">
        <v>1</v>
      </c>
    </row>
    <row r="2332" spans="1:20" ht="16.5" x14ac:dyDescent="0.3">
      <c r="A2332" t="s">
        <v>2385</v>
      </c>
      <c r="B2332" s="1">
        <v>45623</v>
      </c>
      <c r="C2332">
        <v>2024</v>
      </c>
      <c r="D2332" t="s">
        <v>1873</v>
      </c>
      <c r="E2332" t="s">
        <v>2108</v>
      </c>
      <c r="F2332" t="s">
        <v>57</v>
      </c>
      <c r="G2332" t="s">
        <v>35</v>
      </c>
      <c r="H2332" t="s">
        <v>43</v>
      </c>
      <c r="I2332" t="s">
        <v>26</v>
      </c>
      <c r="J2332" t="s">
        <v>27</v>
      </c>
      <c r="K2332" t="s">
        <v>32</v>
      </c>
      <c r="L2332" s="2">
        <v>29.1</v>
      </c>
      <c r="M2332" s="3">
        <v>1278</v>
      </c>
      <c r="N2332">
        <v>5</v>
      </c>
      <c r="O2332">
        <v>4</v>
      </c>
      <c r="P2332">
        <v>1</v>
      </c>
      <c r="Q2332">
        <v>0</v>
      </c>
      <c r="R2332" s="4">
        <v>35.659999999999997</v>
      </c>
      <c r="S2332">
        <v>0</v>
      </c>
      <c r="T2332">
        <v>1</v>
      </c>
    </row>
    <row r="2333" spans="1:20" ht="16.5" x14ac:dyDescent="0.3">
      <c r="A2333" t="s">
        <v>2386</v>
      </c>
      <c r="B2333" s="1">
        <v>45623</v>
      </c>
      <c r="C2333">
        <v>2024</v>
      </c>
      <c r="D2333" t="s">
        <v>1873</v>
      </c>
      <c r="E2333" t="s">
        <v>2108</v>
      </c>
      <c r="F2333" t="s">
        <v>38</v>
      </c>
      <c r="G2333" t="s">
        <v>24</v>
      </c>
      <c r="H2333" t="s">
        <v>36</v>
      </c>
      <c r="I2333" t="s">
        <v>31</v>
      </c>
      <c r="J2333" t="s">
        <v>27</v>
      </c>
      <c r="K2333" t="s">
        <v>28</v>
      </c>
      <c r="L2333" s="2">
        <v>142.69999999999999</v>
      </c>
      <c r="M2333" s="3">
        <v>238</v>
      </c>
      <c r="N2333">
        <v>5</v>
      </c>
      <c r="O2333">
        <v>6</v>
      </c>
      <c r="P2333">
        <v>0</v>
      </c>
      <c r="Q2333">
        <v>1</v>
      </c>
      <c r="R2333" s="4">
        <v>50.09</v>
      </c>
      <c r="S2333">
        <v>0</v>
      </c>
      <c r="T2333">
        <v>1</v>
      </c>
    </row>
    <row r="2334" spans="1:20" ht="16.5" x14ac:dyDescent="0.3">
      <c r="A2334" t="s">
        <v>2387</v>
      </c>
      <c r="B2334" s="1">
        <v>45624</v>
      </c>
      <c r="C2334">
        <v>2024</v>
      </c>
      <c r="D2334" t="s">
        <v>1873</v>
      </c>
      <c r="E2334" t="s">
        <v>2108</v>
      </c>
      <c r="F2334" t="s">
        <v>38</v>
      </c>
      <c r="G2334" t="s">
        <v>24</v>
      </c>
      <c r="H2334" t="s">
        <v>36</v>
      </c>
      <c r="I2334" t="s">
        <v>31</v>
      </c>
      <c r="J2334" t="s">
        <v>27</v>
      </c>
      <c r="K2334" t="s">
        <v>32</v>
      </c>
      <c r="L2334" s="2">
        <v>7</v>
      </c>
      <c r="M2334" s="3">
        <v>232</v>
      </c>
      <c r="N2334">
        <v>5</v>
      </c>
      <c r="O2334">
        <v>6</v>
      </c>
      <c r="P2334">
        <v>0</v>
      </c>
      <c r="Q2334">
        <v>1</v>
      </c>
      <c r="R2334" s="4">
        <v>11.17</v>
      </c>
      <c r="S2334">
        <v>0</v>
      </c>
      <c r="T2334">
        <v>1</v>
      </c>
    </row>
    <row r="2335" spans="1:20" ht="16.5" x14ac:dyDescent="0.3">
      <c r="A2335" t="s">
        <v>2388</v>
      </c>
      <c r="B2335" s="1">
        <v>45624</v>
      </c>
      <c r="C2335">
        <v>2024</v>
      </c>
      <c r="D2335" t="s">
        <v>1873</v>
      </c>
      <c r="E2335" t="s">
        <v>2108</v>
      </c>
      <c r="F2335" t="s">
        <v>38</v>
      </c>
      <c r="G2335" t="s">
        <v>35</v>
      </c>
      <c r="H2335" t="s">
        <v>43</v>
      </c>
      <c r="I2335" t="s">
        <v>26</v>
      </c>
      <c r="J2335" t="s">
        <v>27</v>
      </c>
      <c r="K2335" t="s">
        <v>32</v>
      </c>
      <c r="L2335" s="2">
        <v>1.5</v>
      </c>
      <c r="M2335" s="3">
        <v>1189</v>
      </c>
      <c r="N2335">
        <v>5</v>
      </c>
      <c r="O2335">
        <v>5</v>
      </c>
      <c r="P2335">
        <v>1</v>
      </c>
      <c r="Q2335">
        <v>0</v>
      </c>
      <c r="R2335" s="4">
        <v>25.94</v>
      </c>
      <c r="S2335">
        <v>0</v>
      </c>
      <c r="T2335">
        <v>1</v>
      </c>
    </row>
    <row r="2336" spans="1:20" ht="16.5" x14ac:dyDescent="0.3">
      <c r="A2336" t="s">
        <v>2389</v>
      </c>
      <c r="B2336" s="1">
        <v>45624</v>
      </c>
      <c r="C2336">
        <v>2024</v>
      </c>
      <c r="D2336" t="s">
        <v>1873</v>
      </c>
      <c r="E2336" t="s">
        <v>2108</v>
      </c>
      <c r="F2336" t="s">
        <v>34</v>
      </c>
      <c r="G2336" t="s">
        <v>39</v>
      </c>
      <c r="H2336" t="s">
        <v>36</v>
      </c>
      <c r="I2336" t="s">
        <v>31</v>
      </c>
      <c r="J2336" t="s">
        <v>27</v>
      </c>
      <c r="K2336" t="s">
        <v>32</v>
      </c>
      <c r="L2336" s="2">
        <v>2.9</v>
      </c>
      <c r="M2336" s="3">
        <v>267</v>
      </c>
      <c r="N2336">
        <v>5</v>
      </c>
      <c r="O2336">
        <v>7</v>
      </c>
      <c r="P2336">
        <v>0</v>
      </c>
      <c r="Q2336">
        <v>2</v>
      </c>
      <c r="R2336" s="4">
        <v>6.73</v>
      </c>
      <c r="S2336">
        <v>0</v>
      </c>
      <c r="T2336">
        <v>1</v>
      </c>
    </row>
    <row r="2337" spans="1:20" ht="16.5" x14ac:dyDescent="0.3">
      <c r="A2337" t="s">
        <v>2390</v>
      </c>
      <c r="B2337" s="1">
        <v>45624</v>
      </c>
      <c r="C2337">
        <v>2024</v>
      </c>
      <c r="D2337" t="s">
        <v>1873</v>
      </c>
      <c r="E2337" t="s">
        <v>2108</v>
      </c>
      <c r="F2337" t="s">
        <v>57</v>
      </c>
      <c r="G2337" t="s">
        <v>39</v>
      </c>
      <c r="H2337" t="s">
        <v>51</v>
      </c>
      <c r="I2337" t="s">
        <v>26</v>
      </c>
      <c r="J2337" t="s">
        <v>27</v>
      </c>
      <c r="K2337" t="s">
        <v>32</v>
      </c>
      <c r="L2337" s="2">
        <v>6.1</v>
      </c>
      <c r="M2337" s="3">
        <v>1109</v>
      </c>
      <c r="N2337">
        <v>5</v>
      </c>
      <c r="O2337">
        <v>4</v>
      </c>
      <c r="P2337">
        <v>1</v>
      </c>
      <c r="Q2337">
        <v>0</v>
      </c>
      <c r="R2337" s="4">
        <v>21.5</v>
      </c>
      <c r="S2337">
        <v>0</v>
      </c>
      <c r="T2337">
        <v>1</v>
      </c>
    </row>
    <row r="2338" spans="1:20" ht="16.5" x14ac:dyDescent="0.3">
      <c r="A2338" t="s">
        <v>2391</v>
      </c>
      <c r="B2338" s="1">
        <v>45624</v>
      </c>
      <c r="C2338">
        <v>2024</v>
      </c>
      <c r="D2338" t="s">
        <v>1873</v>
      </c>
      <c r="E2338" t="s">
        <v>2108</v>
      </c>
      <c r="F2338" t="s">
        <v>57</v>
      </c>
      <c r="G2338" t="s">
        <v>39</v>
      </c>
      <c r="H2338" t="s">
        <v>25</v>
      </c>
      <c r="I2338" t="s">
        <v>31</v>
      </c>
      <c r="J2338" t="s">
        <v>27</v>
      </c>
      <c r="K2338" t="s">
        <v>32</v>
      </c>
      <c r="L2338" s="2">
        <v>2.9</v>
      </c>
      <c r="M2338" s="3">
        <v>668</v>
      </c>
      <c r="N2338">
        <v>6</v>
      </c>
      <c r="O2338">
        <v>8</v>
      </c>
      <c r="P2338">
        <v>0</v>
      </c>
      <c r="Q2338">
        <v>2</v>
      </c>
      <c r="R2338" s="4">
        <v>12.44</v>
      </c>
      <c r="S2338">
        <v>0</v>
      </c>
      <c r="T2338">
        <v>1</v>
      </c>
    </row>
    <row r="2339" spans="1:20" ht="16.5" x14ac:dyDescent="0.3">
      <c r="A2339" t="s">
        <v>2392</v>
      </c>
      <c r="B2339" s="1">
        <v>45625</v>
      </c>
      <c r="C2339">
        <v>2024</v>
      </c>
      <c r="D2339" t="s">
        <v>1873</v>
      </c>
      <c r="E2339" t="s">
        <v>2108</v>
      </c>
      <c r="F2339" t="s">
        <v>23</v>
      </c>
      <c r="G2339" t="s">
        <v>39</v>
      </c>
      <c r="H2339" t="s">
        <v>48</v>
      </c>
      <c r="I2339" t="s">
        <v>40</v>
      </c>
      <c r="J2339" t="s">
        <v>27</v>
      </c>
      <c r="K2339" t="s">
        <v>32</v>
      </c>
      <c r="L2339" s="2">
        <v>6.9</v>
      </c>
      <c r="M2339" s="3">
        <v>492</v>
      </c>
      <c r="N2339">
        <v>2</v>
      </c>
      <c r="O2339">
        <v>1</v>
      </c>
      <c r="P2339">
        <v>1</v>
      </c>
      <c r="Q2339">
        <v>0</v>
      </c>
      <c r="R2339" s="4">
        <v>30.36</v>
      </c>
      <c r="S2339">
        <v>0</v>
      </c>
      <c r="T2339">
        <v>1</v>
      </c>
    </row>
    <row r="2340" spans="1:20" ht="16.5" x14ac:dyDescent="0.3">
      <c r="A2340" t="s">
        <v>2393</v>
      </c>
      <c r="B2340" s="1">
        <v>45625</v>
      </c>
      <c r="C2340">
        <v>2024</v>
      </c>
      <c r="D2340" t="s">
        <v>1873</v>
      </c>
      <c r="E2340" t="s">
        <v>2108</v>
      </c>
      <c r="F2340" t="s">
        <v>30</v>
      </c>
      <c r="G2340" t="s">
        <v>39</v>
      </c>
      <c r="H2340" t="s">
        <v>36</v>
      </c>
      <c r="I2340" t="s">
        <v>26</v>
      </c>
      <c r="J2340" t="s">
        <v>27</v>
      </c>
      <c r="K2340" t="s">
        <v>28</v>
      </c>
      <c r="L2340" s="2">
        <v>40</v>
      </c>
      <c r="M2340" s="3">
        <v>244</v>
      </c>
      <c r="N2340">
        <v>3</v>
      </c>
      <c r="O2340">
        <v>3</v>
      </c>
      <c r="P2340">
        <v>1</v>
      </c>
      <c r="Q2340">
        <v>0</v>
      </c>
      <c r="R2340" s="4">
        <v>35.14</v>
      </c>
      <c r="S2340">
        <v>0</v>
      </c>
      <c r="T2340">
        <v>1</v>
      </c>
    </row>
    <row r="2341" spans="1:20" ht="16.5" x14ac:dyDescent="0.3">
      <c r="A2341" t="s">
        <v>2394</v>
      </c>
      <c r="B2341" s="1">
        <v>45625</v>
      </c>
      <c r="C2341">
        <v>2024</v>
      </c>
      <c r="D2341" t="s">
        <v>1873</v>
      </c>
      <c r="E2341" t="s">
        <v>2108</v>
      </c>
      <c r="F2341" t="s">
        <v>30</v>
      </c>
      <c r="G2341" t="s">
        <v>35</v>
      </c>
      <c r="H2341" t="s">
        <v>25</v>
      </c>
      <c r="I2341" t="s">
        <v>26</v>
      </c>
      <c r="J2341" t="s">
        <v>27</v>
      </c>
      <c r="K2341" t="s">
        <v>28</v>
      </c>
      <c r="L2341" s="2">
        <v>116</v>
      </c>
      <c r="M2341" s="3">
        <v>845</v>
      </c>
      <c r="N2341">
        <v>4</v>
      </c>
      <c r="O2341">
        <v>4</v>
      </c>
      <c r="P2341">
        <v>1</v>
      </c>
      <c r="Q2341">
        <v>0</v>
      </c>
      <c r="R2341" s="4">
        <v>69.73</v>
      </c>
      <c r="S2341">
        <v>0</v>
      </c>
      <c r="T2341">
        <v>1</v>
      </c>
    </row>
    <row r="2342" spans="1:20" ht="16.5" x14ac:dyDescent="0.3">
      <c r="A2342" t="s">
        <v>2395</v>
      </c>
      <c r="B2342" s="1">
        <v>45625</v>
      </c>
      <c r="C2342">
        <v>2024</v>
      </c>
      <c r="D2342" t="s">
        <v>1873</v>
      </c>
      <c r="E2342" t="s">
        <v>2108</v>
      </c>
      <c r="F2342" t="s">
        <v>38</v>
      </c>
      <c r="G2342" t="s">
        <v>35</v>
      </c>
      <c r="H2342" t="s">
        <v>36</v>
      </c>
      <c r="I2342" t="s">
        <v>31</v>
      </c>
      <c r="J2342" t="s">
        <v>27</v>
      </c>
      <c r="K2342" t="s">
        <v>28</v>
      </c>
      <c r="L2342" s="2">
        <v>144.9</v>
      </c>
      <c r="M2342" s="3">
        <v>291</v>
      </c>
      <c r="N2342">
        <v>5</v>
      </c>
      <c r="O2342">
        <v>5</v>
      </c>
      <c r="P2342">
        <v>1</v>
      </c>
      <c r="Q2342">
        <v>0</v>
      </c>
      <c r="R2342" s="4">
        <v>56.15</v>
      </c>
      <c r="S2342">
        <v>0</v>
      </c>
      <c r="T2342">
        <v>1</v>
      </c>
    </row>
    <row r="2343" spans="1:20" ht="16.5" x14ac:dyDescent="0.3">
      <c r="A2343" t="s">
        <v>2396</v>
      </c>
      <c r="B2343" s="1">
        <v>45625</v>
      </c>
      <c r="C2343">
        <v>2024</v>
      </c>
      <c r="D2343" t="s">
        <v>1873</v>
      </c>
      <c r="E2343" t="s">
        <v>2108</v>
      </c>
      <c r="F2343" t="s">
        <v>30</v>
      </c>
      <c r="G2343" t="s">
        <v>35</v>
      </c>
      <c r="H2343" t="s">
        <v>25</v>
      </c>
      <c r="I2343" t="s">
        <v>40</v>
      </c>
      <c r="J2343" t="s">
        <v>41</v>
      </c>
      <c r="K2343" t="s">
        <v>32</v>
      </c>
      <c r="L2343" s="2">
        <v>13.7</v>
      </c>
      <c r="M2343" s="3">
        <v>951</v>
      </c>
      <c r="N2343">
        <v>2</v>
      </c>
      <c r="O2343">
        <v>2</v>
      </c>
      <c r="P2343">
        <v>1</v>
      </c>
      <c r="Q2343">
        <v>0</v>
      </c>
      <c r="R2343" s="4">
        <v>80.52</v>
      </c>
      <c r="S2343">
        <v>0</v>
      </c>
      <c r="T2343">
        <v>1</v>
      </c>
    </row>
    <row r="2344" spans="1:20" ht="16.5" x14ac:dyDescent="0.3">
      <c r="A2344" t="s">
        <v>2397</v>
      </c>
      <c r="B2344" s="1">
        <v>45625</v>
      </c>
      <c r="C2344">
        <v>2024</v>
      </c>
      <c r="D2344" t="s">
        <v>1873</v>
      </c>
      <c r="E2344" t="s">
        <v>2108</v>
      </c>
      <c r="F2344" t="s">
        <v>38</v>
      </c>
      <c r="G2344" t="s">
        <v>35</v>
      </c>
      <c r="H2344" t="s">
        <v>36</v>
      </c>
      <c r="I2344" t="s">
        <v>31</v>
      </c>
      <c r="J2344" t="s">
        <v>27</v>
      </c>
      <c r="K2344" t="s">
        <v>28</v>
      </c>
      <c r="L2344" s="2">
        <v>170.7</v>
      </c>
      <c r="M2344" s="3">
        <v>151</v>
      </c>
      <c r="N2344">
        <v>5</v>
      </c>
      <c r="O2344">
        <v>6</v>
      </c>
      <c r="P2344">
        <v>0</v>
      </c>
      <c r="Q2344">
        <v>1</v>
      </c>
      <c r="R2344" s="4">
        <v>65.88</v>
      </c>
      <c r="S2344">
        <v>0</v>
      </c>
      <c r="T2344">
        <v>1</v>
      </c>
    </row>
    <row r="2345" spans="1:20" ht="16.5" x14ac:dyDescent="0.3">
      <c r="A2345" t="s">
        <v>2398</v>
      </c>
      <c r="B2345" s="1">
        <v>45625</v>
      </c>
      <c r="C2345">
        <v>2024</v>
      </c>
      <c r="D2345" t="s">
        <v>1873</v>
      </c>
      <c r="E2345" t="s">
        <v>2108</v>
      </c>
      <c r="F2345" t="s">
        <v>38</v>
      </c>
      <c r="G2345" t="s">
        <v>35</v>
      </c>
      <c r="H2345" t="s">
        <v>36</v>
      </c>
      <c r="I2345" t="s">
        <v>40</v>
      </c>
      <c r="J2345" t="s">
        <v>27</v>
      </c>
      <c r="K2345" t="s">
        <v>32</v>
      </c>
      <c r="L2345" s="2">
        <v>6.2</v>
      </c>
      <c r="M2345" s="3">
        <v>229</v>
      </c>
      <c r="N2345">
        <v>1</v>
      </c>
      <c r="O2345">
        <v>1</v>
      </c>
      <c r="P2345">
        <v>1</v>
      </c>
      <c r="Q2345">
        <v>0</v>
      </c>
      <c r="R2345" s="4">
        <v>26.69</v>
      </c>
      <c r="S2345">
        <v>0</v>
      </c>
      <c r="T2345">
        <v>1</v>
      </c>
    </row>
    <row r="2346" spans="1:20" ht="16.5" x14ac:dyDescent="0.3">
      <c r="A2346" t="s">
        <v>2399</v>
      </c>
      <c r="B2346" s="1">
        <v>45625</v>
      </c>
      <c r="C2346">
        <v>2024</v>
      </c>
      <c r="D2346" t="s">
        <v>1873</v>
      </c>
      <c r="E2346" t="s">
        <v>2108</v>
      </c>
      <c r="F2346" t="s">
        <v>34</v>
      </c>
      <c r="G2346" t="s">
        <v>35</v>
      </c>
      <c r="H2346" t="s">
        <v>36</v>
      </c>
      <c r="I2346" t="s">
        <v>26</v>
      </c>
      <c r="J2346" t="s">
        <v>27</v>
      </c>
      <c r="K2346" t="s">
        <v>28</v>
      </c>
      <c r="L2346" s="2">
        <v>10.8</v>
      </c>
      <c r="M2346" s="3">
        <v>351</v>
      </c>
      <c r="N2346">
        <v>3</v>
      </c>
      <c r="O2346">
        <v>2</v>
      </c>
      <c r="P2346">
        <v>1</v>
      </c>
      <c r="Q2346">
        <v>0</v>
      </c>
      <c r="R2346" s="4">
        <v>14.66</v>
      </c>
      <c r="S2346">
        <v>0</v>
      </c>
      <c r="T2346">
        <v>1</v>
      </c>
    </row>
    <row r="2347" spans="1:20" ht="16.5" x14ac:dyDescent="0.3">
      <c r="A2347" t="s">
        <v>2400</v>
      </c>
      <c r="B2347" s="1">
        <v>45625</v>
      </c>
      <c r="C2347">
        <v>2024</v>
      </c>
      <c r="D2347" t="s">
        <v>1873</v>
      </c>
      <c r="E2347" t="s">
        <v>2108</v>
      </c>
      <c r="F2347" t="s">
        <v>38</v>
      </c>
      <c r="G2347" t="s">
        <v>35</v>
      </c>
      <c r="H2347" t="s">
        <v>48</v>
      </c>
      <c r="I2347" t="s">
        <v>26</v>
      </c>
      <c r="J2347" t="s">
        <v>27</v>
      </c>
      <c r="K2347" t="s">
        <v>28</v>
      </c>
      <c r="L2347" s="2">
        <v>16.7</v>
      </c>
      <c r="M2347" s="3">
        <v>455</v>
      </c>
      <c r="N2347">
        <v>4</v>
      </c>
      <c r="O2347">
        <v>4</v>
      </c>
      <c r="P2347">
        <v>1</v>
      </c>
      <c r="Q2347">
        <v>0</v>
      </c>
      <c r="R2347" s="4">
        <v>26.88</v>
      </c>
      <c r="S2347">
        <v>0</v>
      </c>
      <c r="T2347">
        <v>1</v>
      </c>
    </row>
    <row r="2348" spans="1:20" ht="16.5" x14ac:dyDescent="0.3">
      <c r="A2348" t="s">
        <v>2401</v>
      </c>
      <c r="B2348" s="1">
        <v>45625</v>
      </c>
      <c r="C2348">
        <v>2024</v>
      </c>
      <c r="D2348" t="s">
        <v>1873</v>
      </c>
      <c r="E2348" t="s">
        <v>2108</v>
      </c>
      <c r="F2348" t="s">
        <v>38</v>
      </c>
      <c r="G2348" t="s">
        <v>39</v>
      </c>
      <c r="H2348" t="s">
        <v>36</v>
      </c>
      <c r="I2348" t="s">
        <v>31</v>
      </c>
      <c r="J2348" t="s">
        <v>27</v>
      </c>
      <c r="K2348" t="s">
        <v>32</v>
      </c>
      <c r="L2348" s="2">
        <v>3.5</v>
      </c>
      <c r="M2348" s="3">
        <v>253</v>
      </c>
      <c r="N2348">
        <v>5</v>
      </c>
      <c r="O2348">
        <v>5</v>
      </c>
      <c r="P2348">
        <v>1</v>
      </c>
      <c r="Q2348">
        <v>0</v>
      </c>
      <c r="R2348" s="4">
        <v>9.19</v>
      </c>
      <c r="S2348">
        <v>0</v>
      </c>
      <c r="T2348">
        <v>1</v>
      </c>
    </row>
    <row r="2349" spans="1:20" ht="16.5" x14ac:dyDescent="0.3">
      <c r="A2349" t="s">
        <v>2402</v>
      </c>
      <c r="B2349" s="1">
        <v>45625</v>
      </c>
      <c r="C2349">
        <v>2024</v>
      </c>
      <c r="D2349" t="s">
        <v>1873</v>
      </c>
      <c r="E2349" t="s">
        <v>2108</v>
      </c>
      <c r="F2349" t="s">
        <v>57</v>
      </c>
      <c r="G2349" t="s">
        <v>35</v>
      </c>
      <c r="H2349" t="s">
        <v>25</v>
      </c>
      <c r="I2349" t="s">
        <v>26</v>
      </c>
      <c r="J2349" t="s">
        <v>27</v>
      </c>
      <c r="K2349" t="s">
        <v>28</v>
      </c>
      <c r="L2349" s="2">
        <v>126.3</v>
      </c>
      <c r="M2349" s="3">
        <v>905</v>
      </c>
      <c r="N2349">
        <v>4</v>
      </c>
      <c r="O2349">
        <v>3</v>
      </c>
      <c r="P2349">
        <v>1</v>
      </c>
      <c r="Q2349">
        <v>0</v>
      </c>
      <c r="R2349" s="4">
        <v>64.760000000000005</v>
      </c>
      <c r="S2349">
        <v>0</v>
      </c>
      <c r="T2349">
        <v>1</v>
      </c>
    </row>
    <row r="2350" spans="1:20" ht="16.5" x14ac:dyDescent="0.3">
      <c r="A2350" t="s">
        <v>2403</v>
      </c>
      <c r="B2350" s="1">
        <v>45625</v>
      </c>
      <c r="C2350">
        <v>2024</v>
      </c>
      <c r="D2350" t="s">
        <v>1873</v>
      </c>
      <c r="E2350" t="s">
        <v>2108</v>
      </c>
      <c r="F2350" t="s">
        <v>38</v>
      </c>
      <c r="G2350" t="s">
        <v>24</v>
      </c>
      <c r="H2350" t="s">
        <v>36</v>
      </c>
      <c r="I2350" t="s">
        <v>40</v>
      </c>
      <c r="J2350" t="s">
        <v>27</v>
      </c>
      <c r="K2350" t="s">
        <v>28</v>
      </c>
      <c r="L2350" s="2">
        <v>231.6</v>
      </c>
      <c r="M2350" s="3">
        <v>231</v>
      </c>
      <c r="N2350">
        <v>1</v>
      </c>
      <c r="O2350">
        <v>1</v>
      </c>
      <c r="P2350">
        <v>1</v>
      </c>
      <c r="Q2350">
        <v>0</v>
      </c>
      <c r="R2350" s="4">
        <v>224.73</v>
      </c>
      <c r="S2350">
        <v>0</v>
      </c>
      <c r="T2350">
        <v>1</v>
      </c>
    </row>
    <row r="2351" spans="1:20" ht="16.5" x14ac:dyDescent="0.3">
      <c r="A2351" t="s">
        <v>2404</v>
      </c>
      <c r="B2351" s="1">
        <v>45625</v>
      </c>
      <c r="C2351">
        <v>2024</v>
      </c>
      <c r="D2351" t="s">
        <v>1873</v>
      </c>
      <c r="E2351" t="s">
        <v>2108</v>
      </c>
      <c r="F2351" t="s">
        <v>23</v>
      </c>
      <c r="G2351" t="s">
        <v>35</v>
      </c>
      <c r="H2351" t="s">
        <v>36</v>
      </c>
      <c r="I2351" t="s">
        <v>26</v>
      </c>
      <c r="J2351" t="s">
        <v>27</v>
      </c>
      <c r="K2351" t="s">
        <v>28</v>
      </c>
      <c r="L2351" s="2">
        <v>3</v>
      </c>
      <c r="M2351" s="3">
        <v>252</v>
      </c>
      <c r="N2351">
        <v>3</v>
      </c>
      <c r="O2351">
        <v>3</v>
      </c>
      <c r="P2351">
        <v>1</v>
      </c>
      <c r="Q2351">
        <v>0</v>
      </c>
      <c r="R2351" s="4">
        <v>11.4</v>
      </c>
      <c r="S2351">
        <v>0</v>
      </c>
      <c r="T2351">
        <v>1</v>
      </c>
    </row>
    <row r="2352" spans="1:20" ht="16.5" x14ac:dyDescent="0.3">
      <c r="A2352" t="s">
        <v>2405</v>
      </c>
      <c r="B2352" s="1">
        <v>45626</v>
      </c>
      <c r="C2352">
        <v>2024</v>
      </c>
      <c r="D2352" t="s">
        <v>1873</v>
      </c>
      <c r="E2352" t="s">
        <v>2108</v>
      </c>
      <c r="F2352" t="s">
        <v>34</v>
      </c>
      <c r="G2352" t="s">
        <v>24</v>
      </c>
      <c r="H2352" t="s">
        <v>36</v>
      </c>
      <c r="I2352" t="s">
        <v>26</v>
      </c>
      <c r="J2352" t="s">
        <v>27</v>
      </c>
      <c r="K2352" t="s">
        <v>28</v>
      </c>
      <c r="L2352" s="2">
        <v>66.599999999999994</v>
      </c>
      <c r="M2352" s="3">
        <v>282</v>
      </c>
      <c r="N2352">
        <v>3</v>
      </c>
      <c r="O2352">
        <v>3</v>
      </c>
      <c r="P2352">
        <v>1</v>
      </c>
      <c r="Q2352">
        <v>0</v>
      </c>
      <c r="R2352" s="4">
        <v>34.78</v>
      </c>
      <c r="S2352">
        <v>0</v>
      </c>
      <c r="T2352">
        <v>1</v>
      </c>
    </row>
    <row r="2353" spans="1:20" ht="16.5" x14ac:dyDescent="0.3">
      <c r="A2353" t="s">
        <v>2406</v>
      </c>
      <c r="B2353" s="1">
        <v>45626</v>
      </c>
      <c r="C2353">
        <v>2024</v>
      </c>
      <c r="D2353" t="s">
        <v>1873</v>
      </c>
      <c r="E2353" t="s">
        <v>2108</v>
      </c>
      <c r="F2353" t="s">
        <v>34</v>
      </c>
      <c r="G2353" t="s">
        <v>35</v>
      </c>
      <c r="H2353" t="s">
        <v>25</v>
      </c>
      <c r="I2353" t="s">
        <v>40</v>
      </c>
      <c r="J2353" t="s">
        <v>41</v>
      </c>
      <c r="K2353" t="s">
        <v>32</v>
      </c>
      <c r="L2353" s="2">
        <v>9.6999999999999993</v>
      </c>
      <c r="M2353" s="3">
        <v>618</v>
      </c>
      <c r="N2353">
        <v>2</v>
      </c>
      <c r="O2353">
        <v>3</v>
      </c>
      <c r="P2353">
        <v>0</v>
      </c>
      <c r="Q2353">
        <v>1</v>
      </c>
      <c r="R2353" s="4">
        <v>52.48</v>
      </c>
      <c r="S2353">
        <v>0</v>
      </c>
      <c r="T2353">
        <v>1</v>
      </c>
    </row>
    <row r="2354" spans="1:20" ht="16.5" x14ac:dyDescent="0.3">
      <c r="A2354" t="s">
        <v>2407</v>
      </c>
      <c r="B2354" s="1">
        <v>45626</v>
      </c>
      <c r="C2354">
        <v>2024</v>
      </c>
      <c r="D2354" t="s">
        <v>1873</v>
      </c>
      <c r="E2354" t="s">
        <v>2108</v>
      </c>
      <c r="F2354" t="s">
        <v>23</v>
      </c>
      <c r="G2354" t="s">
        <v>35</v>
      </c>
      <c r="H2354" t="s">
        <v>36</v>
      </c>
      <c r="I2354" t="s">
        <v>26</v>
      </c>
      <c r="J2354" t="s">
        <v>27</v>
      </c>
      <c r="K2354" t="s">
        <v>32</v>
      </c>
      <c r="L2354" s="2">
        <v>6.8</v>
      </c>
      <c r="M2354" s="3">
        <v>253</v>
      </c>
      <c r="N2354">
        <v>3</v>
      </c>
      <c r="O2354">
        <v>3</v>
      </c>
      <c r="P2354">
        <v>1</v>
      </c>
      <c r="Q2354">
        <v>0</v>
      </c>
      <c r="R2354" s="4">
        <v>13.28</v>
      </c>
      <c r="S2354">
        <v>0</v>
      </c>
      <c r="T2354">
        <v>1</v>
      </c>
    </row>
    <row r="2355" spans="1:20" ht="16.5" x14ac:dyDescent="0.3">
      <c r="A2355" t="s">
        <v>2408</v>
      </c>
      <c r="B2355" s="1">
        <v>45626</v>
      </c>
      <c r="C2355">
        <v>2024</v>
      </c>
      <c r="D2355" t="s">
        <v>1873</v>
      </c>
      <c r="E2355" t="s">
        <v>2108</v>
      </c>
      <c r="F2355" t="s">
        <v>38</v>
      </c>
      <c r="G2355" t="s">
        <v>24</v>
      </c>
      <c r="H2355" t="s">
        <v>51</v>
      </c>
      <c r="I2355" t="s">
        <v>26</v>
      </c>
      <c r="J2355" t="s">
        <v>27</v>
      </c>
      <c r="K2355" t="s">
        <v>32</v>
      </c>
      <c r="L2355" s="2">
        <v>12.6</v>
      </c>
      <c r="M2355" s="3">
        <v>1221</v>
      </c>
      <c r="N2355">
        <v>5</v>
      </c>
      <c r="O2355">
        <v>5</v>
      </c>
      <c r="P2355">
        <v>1</v>
      </c>
      <c r="Q2355">
        <v>0</v>
      </c>
      <c r="R2355" s="4">
        <v>29.9</v>
      </c>
      <c r="S2355">
        <v>0</v>
      </c>
      <c r="T2355">
        <v>1</v>
      </c>
    </row>
    <row r="2356" spans="1:20" ht="16.5" x14ac:dyDescent="0.3">
      <c r="A2356" t="s">
        <v>2409</v>
      </c>
      <c r="B2356" s="1">
        <v>45626</v>
      </c>
      <c r="C2356">
        <v>2024</v>
      </c>
      <c r="D2356" t="s">
        <v>1873</v>
      </c>
      <c r="E2356" t="s">
        <v>2108</v>
      </c>
      <c r="F2356" t="s">
        <v>38</v>
      </c>
      <c r="G2356" t="s">
        <v>24</v>
      </c>
      <c r="H2356" t="s">
        <v>36</v>
      </c>
      <c r="I2356" t="s">
        <v>31</v>
      </c>
      <c r="J2356" t="s">
        <v>27</v>
      </c>
      <c r="K2356" t="s">
        <v>28</v>
      </c>
      <c r="L2356" s="2">
        <v>90.3</v>
      </c>
      <c r="M2356" s="3">
        <v>201</v>
      </c>
      <c r="N2356">
        <v>5</v>
      </c>
      <c r="O2356">
        <v>5</v>
      </c>
      <c r="P2356">
        <v>1</v>
      </c>
      <c r="Q2356">
        <v>0</v>
      </c>
      <c r="R2356" s="4">
        <v>36.54</v>
      </c>
      <c r="S2356">
        <v>0</v>
      </c>
      <c r="T2356">
        <v>1</v>
      </c>
    </row>
    <row r="2357" spans="1:20" ht="16.5" x14ac:dyDescent="0.3">
      <c r="A2357" t="s">
        <v>2410</v>
      </c>
      <c r="B2357" s="1">
        <v>45626</v>
      </c>
      <c r="C2357">
        <v>2024</v>
      </c>
      <c r="D2357" t="s">
        <v>1873</v>
      </c>
      <c r="E2357" t="s">
        <v>2108</v>
      </c>
      <c r="F2357" t="s">
        <v>57</v>
      </c>
      <c r="G2357" t="s">
        <v>39</v>
      </c>
      <c r="H2357" t="s">
        <v>48</v>
      </c>
      <c r="I2357" t="s">
        <v>31</v>
      </c>
      <c r="J2357" t="s">
        <v>27</v>
      </c>
      <c r="K2357" t="s">
        <v>28</v>
      </c>
      <c r="L2357" s="2">
        <v>244.2</v>
      </c>
      <c r="M2357" s="3">
        <v>499</v>
      </c>
      <c r="N2357">
        <v>6</v>
      </c>
      <c r="O2357">
        <v>6</v>
      </c>
      <c r="P2357">
        <v>1</v>
      </c>
      <c r="Q2357">
        <v>0</v>
      </c>
      <c r="R2357" s="4">
        <v>82.83</v>
      </c>
      <c r="S2357">
        <v>1</v>
      </c>
      <c r="T2357">
        <v>1</v>
      </c>
    </row>
    <row r="2358" spans="1:20" ht="16.5" x14ac:dyDescent="0.3">
      <c r="A2358" t="s">
        <v>2411</v>
      </c>
      <c r="B2358" s="1">
        <v>45626</v>
      </c>
      <c r="C2358">
        <v>2024</v>
      </c>
      <c r="D2358" t="s">
        <v>1873</v>
      </c>
      <c r="E2358" t="s">
        <v>2108</v>
      </c>
      <c r="F2358" t="s">
        <v>34</v>
      </c>
      <c r="G2358" t="s">
        <v>35</v>
      </c>
      <c r="H2358" t="s">
        <v>36</v>
      </c>
      <c r="I2358" t="s">
        <v>40</v>
      </c>
      <c r="J2358" t="s">
        <v>27</v>
      </c>
      <c r="K2358" t="s">
        <v>28</v>
      </c>
      <c r="L2358" s="2">
        <v>347</v>
      </c>
      <c r="M2358" s="3">
        <v>267</v>
      </c>
      <c r="N2358">
        <v>1</v>
      </c>
      <c r="O2358">
        <v>1</v>
      </c>
      <c r="P2358">
        <v>1</v>
      </c>
      <c r="Q2358">
        <v>0</v>
      </c>
      <c r="R2358" s="4">
        <v>224.26</v>
      </c>
      <c r="S2358">
        <v>0</v>
      </c>
      <c r="T2358">
        <v>1</v>
      </c>
    </row>
    <row r="2359" spans="1:20" ht="16.5" x14ac:dyDescent="0.3">
      <c r="A2359" t="s">
        <v>2412</v>
      </c>
      <c r="B2359" s="1">
        <v>45627</v>
      </c>
      <c r="C2359">
        <v>2024</v>
      </c>
      <c r="D2359" t="s">
        <v>1873</v>
      </c>
      <c r="E2359" t="s">
        <v>2413</v>
      </c>
      <c r="F2359" t="s">
        <v>57</v>
      </c>
      <c r="G2359" t="s">
        <v>35</v>
      </c>
      <c r="H2359" t="s">
        <v>25</v>
      </c>
      <c r="I2359" t="s">
        <v>40</v>
      </c>
      <c r="J2359" t="s">
        <v>41</v>
      </c>
      <c r="K2359" t="s">
        <v>32</v>
      </c>
      <c r="L2359" s="2">
        <v>7.1</v>
      </c>
      <c r="M2359" s="3">
        <v>844</v>
      </c>
      <c r="N2359">
        <v>2</v>
      </c>
      <c r="O2359">
        <v>2</v>
      </c>
      <c r="P2359">
        <v>1</v>
      </c>
      <c r="Q2359">
        <v>0</v>
      </c>
      <c r="R2359" s="4">
        <v>65.97</v>
      </c>
      <c r="S2359">
        <v>0</v>
      </c>
      <c r="T2359">
        <v>1</v>
      </c>
    </row>
    <row r="2360" spans="1:20" ht="16.5" x14ac:dyDescent="0.3">
      <c r="A2360" t="s">
        <v>2414</v>
      </c>
      <c r="B2360" s="1">
        <v>45627</v>
      </c>
      <c r="C2360">
        <v>2024</v>
      </c>
      <c r="D2360" t="s">
        <v>1873</v>
      </c>
      <c r="E2360" t="s">
        <v>2413</v>
      </c>
      <c r="F2360" t="s">
        <v>34</v>
      </c>
      <c r="G2360" t="s">
        <v>39</v>
      </c>
      <c r="H2360" t="s">
        <v>43</v>
      </c>
      <c r="I2360" t="s">
        <v>26</v>
      </c>
      <c r="J2360" t="s">
        <v>27</v>
      </c>
      <c r="K2360" t="s">
        <v>32</v>
      </c>
      <c r="L2360" s="2">
        <v>1.2</v>
      </c>
      <c r="M2360" s="3">
        <v>1492</v>
      </c>
      <c r="N2360">
        <v>5</v>
      </c>
      <c r="O2360">
        <v>6</v>
      </c>
      <c r="P2360">
        <v>0</v>
      </c>
      <c r="Q2360">
        <v>1</v>
      </c>
      <c r="R2360" s="4">
        <v>21.88</v>
      </c>
      <c r="S2360">
        <v>0</v>
      </c>
      <c r="T2360">
        <v>1</v>
      </c>
    </row>
    <row r="2361" spans="1:20" ht="16.5" x14ac:dyDescent="0.3">
      <c r="A2361" t="s">
        <v>2415</v>
      </c>
      <c r="B2361" s="1">
        <v>45628</v>
      </c>
      <c r="C2361">
        <v>2024</v>
      </c>
      <c r="D2361" t="s">
        <v>1873</v>
      </c>
      <c r="E2361" t="s">
        <v>2413</v>
      </c>
      <c r="F2361" t="s">
        <v>34</v>
      </c>
      <c r="G2361" t="s">
        <v>35</v>
      </c>
      <c r="H2361" t="s">
        <v>43</v>
      </c>
      <c r="I2361" t="s">
        <v>26</v>
      </c>
      <c r="J2361" t="s">
        <v>27</v>
      </c>
      <c r="K2361" t="s">
        <v>28</v>
      </c>
      <c r="L2361" s="2">
        <v>30</v>
      </c>
      <c r="M2361" s="3">
        <v>1056</v>
      </c>
      <c r="N2361">
        <v>5</v>
      </c>
      <c r="O2361">
        <v>5</v>
      </c>
      <c r="P2361">
        <v>1</v>
      </c>
      <c r="Q2361">
        <v>0</v>
      </c>
      <c r="R2361" s="4">
        <v>29.35</v>
      </c>
      <c r="S2361">
        <v>0</v>
      </c>
      <c r="T2361">
        <v>1</v>
      </c>
    </row>
    <row r="2362" spans="1:20" ht="16.5" x14ac:dyDescent="0.3">
      <c r="A2362" t="s">
        <v>2416</v>
      </c>
      <c r="B2362" s="1">
        <v>45628</v>
      </c>
      <c r="C2362">
        <v>2024</v>
      </c>
      <c r="D2362" t="s">
        <v>1873</v>
      </c>
      <c r="E2362" t="s">
        <v>2413</v>
      </c>
      <c r="F2362" t="s">
        <v>38</v>
      </c>
      <c r="G2362" t="s">
        <v>35</v>
      </c>
      <c r="H2362" t="s">
        <v>25</v>
      </c>
      <c r="I2362" t="s">
        <v>31</v>
      </c>
      <c r="J2362" t="s">
        <v>27</v>
      </c>
      <c r="K2362" t="s">
        <v>32</v>
      </c>
      <c r="L2362" s="2">
        <v>1.2</v>
      </c>
      <c r="M2362" s="3">
        <v>1298</v>
      </c>
      <c r="N2362">
        <v>6</v>
      </c>
      <c r="O2362">
        <v>6</v>
      </c>
      <c r="P2362">
        <v>1</v>
      </c>
      <c r="Q2362">
        <v>0</v>
      </c>
      <c r="R2362" s="4">
        <v>18.079999999999998</v>
      </c>
      <c r="S2362">
        <v>0</v>
      </c>
      <c r="T2362">
        <v>1</v>
      </c>
    </row>
    <row r="2363" spans="1:20" ht="16.5" x14ac:dyDescent="0.3">
      <c r="A2363" t="s">
        <v>2417</v>
      </c>
      <c r="B2363" s="1">
        <v>45628</v>
      </c>
      <c r="C2363">
        <v>2024</v>
      </c>
      <c r="D2363" t="s">
        <v>1873</v>
      </c>
      <c r="E2363" t="s">
        <v>2413</v>
      </c>
      <c r="F2363" t="s">
        <v>30</v>
      </c>
      <c r="G2363" t="s">
        <v>39</v>
      </c>
      <c r="H2363" t="s">
        <v>43</v>
      </c>
      <c r="I2363" t="s">
        <v>40</v>
      </c>
      <c r="J2363" t="s">
        <v>41</v>
      </c>
      <c r="K2363" t="s">
        <v>32</v>
      </c>
      <c r="L2363" s="2">
        <v>14.7</v>
      </c>
      <c r="M2363" s="3">
        <v>617</v>
      </c>
      <c r="N2363">
        <v>3</v>
      </c>
      <c r="O2363">
        <v>2</v>
      </c>
      <c r="P2363">
        <v>1</v>
      </c>
      <c r="Q2363">
        <v>0</v>
      </c>
      <c r="R2363" s="4">
        <v>77</v>
      </c>
      <c r="S2363">
        <v>0</v>
      </c>
      <c r="T2363">
        <v>1</v>
      </c>
    </row>
    <row r="2364" spans="1:20" ht="16.5" x14ac:dyDescent="0.3">
      <c r="A2364" t="s">
        <v>2418</v>
      </c>
      <c r="B2364" s="1">
        <v>45628</v>
      </c>
      <c r="C2364">
        <v>2024</v>
      </c>
      <c r="D2364" t="s">
        <v>1873</v>
      </c>
      <c r="E2364" t="s">
        <v>2413</v>
      </c>
      <c r="F2364" t="s">
        <v>30</v>
      </c>
      <c r="G2364" t="s">
        <v>35</v>
      </c>
      <c r="H2364" t="s">
        <v>25</v>
      </c>
      <c r="I2364" t="s">
        <v>26</v>
      </c>
      <c r="J2364" t="s">
        <v>27</v>
      </c>
      <c r="K2364" t="s">
        <v>28</v>
      </c>
      <c r="L2364" s="2">
        <v>11.8</v>
      </c>
      <c r="M2364" s="3">
        <v>943</v>
      </c>
      <c r="N2364">
        <v>4</v>
      </c>
      <c r="O2364">
        <v>6</v>
      </c>
      <c r="P2364">
        <v>0</v>
      </c>
      <c r="Q2364">
        <v>2</v>
      </c>
      <c r="R2364" s="4">
        <v>27.45</v>
      </c>
      <c r="S2364">
        <v>0</v>
      </c>
      <c r="T2364">
        <v>1</v>
      </c>
    </row>
    <row r="2365" spans="1:20" ht="16.5" x14ac:dyDescent="0.3">
      <c r="A2365" t="s">
        <v>2419</v>
      </c>
      <c r="B2365" s="1">
        <v>45628</v>
      </c>
      <c r="C2365">
        <v>2024</v>
      </c>
      <c r="D2365" t="s">
        <v>1873</v>
      </c>
      <c r="E2365" t="s">
        <v>2413</v>
      </c>
      <c r="F2365" t="s">
        <v>23</v>
      </c>
      <c r="G2365" t="s">
        <v>39</v>
      </c>
      <c r="H2365" t="s">
        <v>43</v>
      </c>
      <c r="I2365" t="s">
        <v>26</v>
      </c>
      <c r="J2365" t="s">
        <v>27</v>
      </c>
      <c r="K2365" t="s">
        <v>28</v>
      </c>
      <c r="L2365" s="2">
        <v>40.6</v>
      </c>
      <c r="M2365" s="3">
        <v>1483</v>
      </c>
      <c r="N2365">
        <v>5</v>
      </c>
      <c r="O2365">
        <v>8</v>
      </c>
      <c r="P2365">
        <v>0</v>
      </c>
      <c r="Q2365">
        <v>3</v>
      </c>
      <c r="R2365" s="4">
        <v>46.45</v>
      </c>
      <c r="S2365">
        <v>0</v>
      </c>
      <c r="T2365">
        <v>1</v>
      </c>
    </row>
    <row r="2366" spans="1:20" ht="16.5" x14ac:dyDescent="0.3">
      <c r="A2366" t="s">
        <v>2420</v>
      </c>
      <c r="B2366" s="1">
        <v>45628</v>
      </c>
      <c r="C2366">
        <v>2024</v>
      </c>
      <c r="D2366" t="s">
        <v>1873</v>
      </c>
      <c r="E2366" t="s">
        <v>2413</v>
      </c>
      <c r="F2366" t="s">
        <v>23</v>
      </c>
      <c r="G2366" t="s">
        <v>39</v>
      </c>
      <c r="H2366" t="s">
        <v>43</v>
      </c>
      <c r="I2366" t="s">
        <v>40</v>
      </c>
      <c r="J2366" t="s">
        <v>41</v>
      </c>
      <c r="K2366" t="s">
        <v>28</v>
      </c>
      <c r="L2366" s="2">
        <v>144.19999999999999</v>
      </c>
      <c r="M2366" s="3">
        <v>1017</v>
      </c>
      <c r="N2366">
        <v>3</v>
      </c>
      <c r="O2366">
        <v>3</v>
      </c>
      <c r="P2366">
        <v>1</v>
      </c>
      <c r="Q2366">
        <v>0</v>
      </c>
      <c r="R2366" s="4">
        <v>243.79</v>
      </c>
      <c r="S2366">
        <v>0</v>
      </c>
      <c r="T2366">
        <v>1</v>
      </c>
    </row>
    <row r="2367" spans="1:20" ht="16.5" x14ac:dyDescent="0.3">
      <c r="A2367" t="s">
        <v>2421</v>
      </c>
      <c r="B2367" s="1">
        <v>45628</v>
      </c>
      <c r="C2367">
        <v>2024</v>
      </c>
      <c r="D2367" t="s">
        <v>1873</v>
      </c>
      <c r="E2367" t="s">
        <v>2413</v>
      </c>
      <c r="F2367" t="s">
        <v>34</v>
      </c>
      <c r="G2367" t="s">
        <v>35</v>
      </c>
      <c r="H2367" t="s">
        <v>25</v>
      </c>
      <c r="I2367" t="s">
        <v>40</v>
      </c>
      <c r="J2367" t="s">
        <v>41</v>
      </c>
      <c r="K2367" t="s">
        <v>28</v>
      </c>
      <c r="L2367" s="2">
        <v>69.2</v>
      </c>
      <c r="M2367" s="3">
        <v>947</v>
      </c>
      <c r="N2367">
        <v>2</v>
      </c>
      <c r="O2367">
        <v>2</v>
      </c>
      <c r="P2367">
        <v>1</v>
      </c>
      <c r="Q2367">
        <v>0</v>
      </c>
      <c r="R2367" s="4">
        <v>126.1</v>
      </c>
      <c r="S2367">
        <v>0</v>
      </c>
      <c r="T2367">
        <v>1</v>
      </c>
    </row>
    <row r="2368" spans="1:20" ht="16.5" x14ac:dyDescent="0.3">
      <c r="A2368" t="s">
        <v>2422</v>
      </c>
      <c r="B2368" s="1">
        <v>45628</v>
      </c>
      <c r="C2368">
        <v>2024</v>
      </c>
      <c r="D2368" t="s">
        <v>1873</v>
      </c>
      <c r="E2368" t="s">
        <v>2413</v>
      </c>
      <c r="F2368" t="s">
        <v>34</v>
      </c>
      <c r="G2368" t="s">
        <v>39</v>
      </c>
      <c r="H2368" t="s">
        <v>25</v>
      </c>
      <c r="I2368" t="s">
        <v>26</v>
      </c>
      <c r="J2368" t="s">
        <v>27</v>
      </c>
      <c r="K2368" t="s">
        <v>32</v>
      </c>
      <c r="L2368" s="2">
        <v>18.899999999999999</v>
      </c>
      <c r="M2368" s="3">
        <v>1014</v>
      </c>
      <c r="N2368">
        <v>4</v>
      </c>
      <c r="O2368">
        <v>4</v>
      </c>
      <c r="P2368">
        <v>1</v>
      </c>
      <c r="Q2368">
        <v>0</v>
      </c>
      <c r="R2368" s="4">
        <v>21.59</v>
      </c>
      <c r="S2368">
        <v>0</v>
      </c>
      <c r="T2368">
        <v>1</v>
      </c>
    </row>
    <row r="2369" spans="1:20" ht="16.5" x14ac:dyDescent="0.3">
      <c r="A2369" t="s">
        <v>2423</v>
      </c>
      <c r="B2369" s="1">
        <v>45628</v>
      </c>
      <c r="C2369">
        <v>2024</v>
      </c>
      <c r="D2369" t="s">
        <v>1873</v>
      </c>
      <c r="E2369" t="s">
        <v>2413</v>
      </c>
      <c r="F2369" t="s">
        <v>34</v>
      </c>
      <c r="G2369" t="s">
        <v>24</v>
      </c>
      <c r="H2369" t="s">
        <v>51</v>
      </c>
      <c r="I2369" t="s">
        <v>40</v>
      </c>
      <c r="J2369" t="s">
        <v>41</v>
      </c>
      <c r="K2369" t="s">
        <v>32</v>
      </c>
      <c r="L2369" s="2">
        <v>3.1</v>
      </c>
      <c r="M2369" s="3">
        <v>932</v>
      </c>
      <c r="N2369">
        <v>3</v>
      </c>
      <c r="O2369">
        <v>3</v>
      </c>
      <c r="P2369">
        <v>1</v>
      </c>
      <c r="Q2369">
        <v>0</v>
      </c>
      <c r="R2369" s="4">
        <v>45.07</v>
      </c>
      <c r="S2369">
        <v>0</v>
      </c>
      <c r="T2369">
        <v>1</v>
      </c>
    </row>
    <row r="2370" spans="1:20" ht="16.5" x14ac:dyDescent="0.3">
      <c r="A2370" t="s">
        <v>2424</v>
      </c>
      <c r="B2370" s="1">
        <v>45628</v>
      </c>
      <c r="C2370">
        <v>2024</v>
      </c>
      <c r="D2370" t="s">
        <v>1873</v>
      </c>
      <c r="E2370" t="s">
        <v>2413</v>
      </c>
      <c r="F2370" t="s">
        <v>30</v>
      </c>
      <c r="G2370" t="s">
        <v>39</v>
      </c>
      <c r="H2370" t="s">
        <v>43</v>
      </c>
      <c r="I2370" t="s">
        <v>26</v>
      </c>
      <c r="J2370" t="s">
        <v>27</v>
      </c>
      <c r="K2370" t="s">
        <v>28</v>
      </c>
      <c r="L2370" s="2">
        <v>195.7</v>
      </c>
      <c r="M2370" s="3">
        <v>1171</v>
      </c>
      <c r="N2370">
        <v>5</v>
      </c>
      <c r="O2370">
        <v>5</v>
      </c>
      <c r="P2370">
        <v>1</v>
      </c>
      <c r="Q2370">
        <v>0</v>
      </c>
      <c r="R2370" s="4">
        <v>97.71</v>
      </c>
      <c r="S2370">
        <v>0</v>
      </c>
      <c r="T2370">
        <v>1</v>
      </c>
    </row>
    <row r="2371" spans="1:20" ht="16.5" x14ac:dyDescent="0.3">
      <c r="A2371" t="s">
        <v>2425</v>
      </c>
      <c r="B2371" s="1">
        <v>45628</v>
      </c>
      <c r="C2371">
        <v>2024</v>
      </c>
      <c r="D2371" t="s">
        <v>1873</v>
      </c>
      <c r="E2371" t="s">
        <v>2413</v>
      </c>
      <c r="F2371" t="s">
        <v>34</v>
      </c>
      <c r="G2371" t="s">
        <v>35</v>
      </c>
      <c r="H2371" t="s">
        <v>48</v>
      </c>
      <c r="I2371" t="s">
        <v>40</v>
      </c>
      <c r="J2371" t="s">
        <v>27</v>
      </c>
      <c r="K2371" t="s">
        <v>28</v>
      </c>
      <c r="L2371" s="2">
        <v>32.700000000000003</v>
      </c>
      <c r="M2371" s="3">
        <v>494</v>
      </c>
      <c r="N2371">
        <v>2</v>
      </c>
      <c r="O2371">
        <v>2</v>
      </c>
      <c r="P2371">
        <v>1</v>
      </c>
      <c r="Q2371">
        <v>0</v>
      </c>
      <c r="R2371" s="4">
        <v>49.26</v>
      </c>
      <c r="S2371">
        <v>0</v>
      </c>
      <c r="T2371">
        <v>1</v>
      </c>
    </row>
    <row r="2372" spans="1:20" ht="16.5" x14ac:dyDescent="0.3">
      <c r="A2372" t="s">
        <v>2426</v>
      </c>
      <c r="B2372" s="1">
        <v>45628</v>
      </c>
      <c r="C2372">
        <v>2024</v>
      </c>
      <c r="D2372" t="s">
        <v>1873</v>
      </c>
      <c r="E2372" t="s">
        <v>2413</v>
      </c>
      <c r="F2372" t="s">
        <v>30</v>
      </c>
      <c r="G2372" t="s">
        <v>39</v>
      </c>
      <c r="H2372" t="s">
        <v>25</v>
      </c>
      <c r="I2372" t="s">
        <v>26</v>
      </c>
      <c r="J2372" t="s">
        <v>27</v>
      </c>
      <c r="K2372" t="s">
        <v>32</v>
      </c>
      <c r="L2372" s="2">
        <v>2.7</v>
      </c>
      <c r="M2372" s="3">
        <v>721</v>
      </c>
      <c r="N2372">
        <v>4</v>
      </c>
      <c r="O2372">
        <v>3</v>
      </c>
      <c r="P2372">
        <v>1</v>
      </c>
      <c r="Q2372">
        <v>0</v>
      </c>
      <c r="R2372" s="4">
        <v>16.649999999999999</v>
      </c>
      <c r="S2372">
        <v>0</v>
      </c>
      <c r="T2372">
        <v>1</v>
      </c>
    </row>
    <row r="2373" spans="1:20" ht="16.5" x14ac:dyDescent="0.3">
      <c r="A2373" t="s">
        <v>2427</v>
      </c>
      <c r="B2373" s="1">
        <v>45629</v>
      </c>
      <c r="C2373">
        <v>2024</v>
      </c>
      <c r="D2373" t="s">
        <v>1873</v>
      </c>
      <c r="E2373" t="s">
        <v>2413</v>
      </c>
      <c r="F2373" t="s">
        <v>23</v>
      </c>
      <c r="G2373" t="s">
        <v>35</v>
      </c>
      <c r="H2373" t="s">
        <v>25</v>
      </c>
      <c r="I2373" t="s">
        <v>40</v>
      </c>
      <c r="J2373" t="s">
        <v>41</v>
      </c>
      <c r="K2373" t="s">
        <v>32</v>
      </c>
      <c r="L2373" s="2">
        <v>9.5</v>
      </c>
      <c r="M2373" s="3">
        <v>1284</v>
      </c>
      <c r="N2373">
        <v>2</v>
      </c>
      <c r="O2373">
        <v>2</v>
      </c>
      <c r="P2373">
        <v>1</v>
      </c>
      <c r="Q2373">
        <v>0</v>
      </c>
      <c r="R2373" s="4">
        <v>81.59</v>
      </c>
      <c r="S2373">
        <v>0</v>
      </c>
      <c r="T2373">
        <v>1</v>
      </c>
    </row>
    <row r="2374" spans="1:20" ht="16.5" x14ac:dyDescent="0.3">
      <c r="A2374" t="s">
        <v>2428</v>
      </c>
      <c r="B2374" s="1">
        <v>45629</v>
      </c>
      <c r="C2374">
        <v>2024</v>
      </c>
      <c r="D2374" t="s">
        <v>1873</v>
      </c>
      <c r="E2374" t="s">
        <v>2413</v>
      </c>
      <c r="F2374" t="s">
        <v>34</v>
      </c>
      <c r="G2374" t="s">
        <v>39</v>
      </c>
      <c r="H2374" t="s">
        <v>48</v>
      </c>
      <c r="I2374" t="s">
        <v>40</v>
      </c>
      <c r="J2374" t="s">
        <v>27</v>
      </c>
      <c r="K2374" t="s">
        <v>32</v>
      </c>
      <c r="L2374" s="2">
        <v>6.1</v>
      </c>
      <c r="M2374" s="3">
        <v>481</v>
      </c>
      <c r="N2374">
        <v>2</v>
      </c>
      <c r="O2374">
        <v>2</v>
      </c>
      <c r="P2374">
        <v>1</v>
      </c>
      <c r="Q2374">
        <v>0</v>
      </c>
      <c r="R2374" s="4">
        <v>27.19</v>
      </c>
      <c r="S2374">
        <v>0</v>
      </c>
      <c r="T2374">
        <v>1</v>
      </c>
    </row>
    <row r="2375" spans="1:20" ht="16.5" x14ac:dyDescent="0.3">
      <c r="A2375" t="s">
        <v>2429</v>
      </c>
      <c r="B2375" s="1">
        <v>45629</v>
      </c>
      <c r="C2375">
        <v>2024</v>
      </c>
      <c r="D2375" t="s">
        <v>1873</v>
      </c>
      <c r="E2375" t="s">
        <v>2413</v>
      </c>
      <c r="F2375" t="s">
        <v>57</v>
      </c>
      <c r="G2375" t="s">
        <v>35</v>
      </c>
      <c r="H2375" t="s">
        <v>36</v>
      </c>
      <c r="I2375" t="s">
        <v>31</v>
      </c>
      <c r="J2375" t="s">
        <v>27</v>
      </c>
      <c r="K2375" t="s">
        <v>32</v>
      </c>
      <c r="L2375" s="2">
        <v>2.8</v>
      </c>
      <c r="M2375" s="3">
        <v>169</v>
      </c>
      <c r="N2375">
        <v>5</v>
      </c>
      <c r="O2375">
        <v>4</v>
      </c>
      <c r="P2375">
        <v>1</v>
      </c>
      <c r="Q2375">
        <v>0</v>
      </c>
      <c r="R2375" s="4">
        <v>6.96</v>
      </c>
      <c r="S2375">
        <v>0</v>
      </c>
      <c r="T2375">
        <v>1</v>
      </c>
    </row>
    <row r="2376" spans="1:20" ht="16.5" x14ac:dyDescent="0.3">
      <c r="A2376" t="s">
        <v>2430</v>
      </c>
      <c r="B2376" s="1">
        <v>45629</v>
      </c>
      <c r="C2376">
        <v>2024</v>
      </c>
      <c r="D2376" t="s">
        <v>1873</v>
      </c>
      <c r="E2376" t="s">
        <v>2413</v>
      </c>
      <c r="F2376" t="s">
        <v>30</v>
      </c>
      <c r="G2376" t="s">
        <v>39</v>
      </c>
      <c r="H2376" t="s">
        <v>48</v>
      </c>
      <c r="I2376" t="s">
        <v>31</v>
      </c>
      <c r="J2376" t="s">
        <v>27</v>
      </c>
      <c r="K2376" t="s">
        <v>28</v>
      </c>
      <c r="L2376" s="2">
        <v>38.6</v>
      </c>
      <c r="M2376" s="3">
        <v>468</v>
      </c>
      <c r="N2376">
        <v>6</v>
      </c>
      <c r="O2376">
        <v>5</v>
      </c>
      <c r="P2376">
        <v>1</v>
      </c>
      <c r="Q2376">
        <v>0</v>
      </c>
      <c r="R2376" s="4">
        <v>22.54</v>
      </c>
      <c r="S2376">
        <v>0</v>
      </c>
      <c r="T2376">
        <v>1</v>
      </c>
    </row>
    <row r="2377" spans="1:20" ht="16.5" x14ac:dyDescent="0.3">
      <c r="A2377" t="s">
        <v>2431</v>
      </c>
      <c r="B2377" s="1">
        <v>45629</v>
      </c>
      <c r="C2377">
        <v>2024</v>
      </c>
      <c r="D2377" t="s">
        <v>1873</v>
      </c>
      <c r="E2377" t="s">
        <v>2413</v>
      </c>
      <c r="F2377" t="s">
        <v>57</v>
      </c>
      <c r="G2377" t="s">
        <v>39</v>
      </c>
      <c r="H2377" t="s">
        <v>48</v>
      </c>
      <c r="I2377" t="s">
        <v>26</v>
      </c>
      <c r="J2377" t="s">
        <v>27</v>
      </c>
      <c r="K2377" t="s">
        <v>32</v>
      </c>
      <c r="L2377" s="2">
        <v>3</v>
      </c>
      <c r="M2377" s="3">
        <v>341</v>
      </c>
      <c r="N2377">
        <v>4</v>
      </c>
      <c r="O2377">
        <v>4</v>
      </c>
      <c r="P2377">
        <v>1</v>
      </c>
      <c r="Q2377">
        <v>0</v>
      </c>
      <c r="R2377" s="4">
        <v>12.32</v>
      </c>
      <c r="S2377">
        <v>0</v>
      </c>
      <c r="T2377">
        <v>1</v>
      </c>
    </row>
    <row r="2378" spans="1:20" ht="16.5" x14ac:dyDescent="0.3">
      <c r="A2378" t="s">
        <v>2432</v>
      </c>
      <c r="B2378" s="1">
        <v>45629</v>
      </c>
      <c r="C2378">
        <v>2024</v>
      </c>
      <c r="D2378" t="s">
        <v>1873</v>
      </c>
      <c r="E2378" t="s">
        <v>2413</v>
      </c>
      <c r="F2378" t="s">
        <v>23</v>
      </c>
      <c r="G2378" t="s">
        <v>39</v>
      </c>
      <c r="H2378" t="s">
        <v>25</v>
      </c>
      <c r="I2378" t="s">
        <v>26</v>
      </c>
      <c r="J2378" t="s">
        <v>27</v>
      </c>
      <c r="K2378" t="s">
        <v>32</v>
      </c>
      <c r="L2378" s="2">
        <v>5.4</v>
      </c>
      <c r="M2378" s="3">
        <v>858</v>
      </c>
      <c r="N2378">
        <v>4</v>
      </c>
      <c r="O2378">
        <v>4</v>
      </c>
      <c r="P2378">
        <v>1</v>
      </c>
      <c r="Q2378">
        <v>0</v>
      </c>
      <c r="R2378" s="4">
        <v>20.239999999999998</v>
      </c>
      <c r="S2378">
        <v>0</v>
      </c>
      <c r="T2378">
        <v>1</v>
      </c>
    </row>
    <row r="2379" spans="1:20" ht="16.5" x14ac:dyDescent="0.3">
      <c r="A2379" t="s">
        <v>2433</v>
      </c>
      <c r="B2379" s="1">
        <v>45629</v>
      </c>
      <c r="C2379">
        <v>2024</v>
      </c>
      <c r="D2379" t="s">
        <v>1873</v>
      </c>
      <c r="E2379" t="s">
        <v>2413</v>
      </c>
      <c r="F2379" t="s">
        <v>57</v>
      </c>
      <c r="G2379" t="s">
        <v>39</v>
      </c>
      <c r="H2379" t="s">
        <v>48</v>
      </c>
      <c r="I2379" t="s">
        <v>26</v>
      </c>
      <c r="J2379" t="s">
        <v>27</v>
      </c>
      <c r="K2379" t="s">
        <v>28</v>
      </c>
      <c r="L2379" s="2">
        <v>110.6</v>
      </c>
      <c r="M2379" s="3">
        <v>340</v>
      </c>
      <c r="N2379">
        <v>4</v>
      </c>
      <c r="O2379">
        <v>4</v>
      </c>
      <c r="P2379">
        <v>1</v>
      </c>
      <c r="Q2379">
        <v>0</v>
      </c>
      <c r="R2379" s="4">
        <v>56</v>
      </c>
      <c r="S2379">
        <v>0</v>
      </c>
      <c r="T2379">
        <v>1</v>
      </c>
    </row>
    <row r="2380" spans="1:20" ht="16.5" x14ac:dyDescent="0.3">
      <c r="A2380" t="s">
        <v>2434</v>
      </c>
      <c r="B2380" s="1">
        <v>45630</v>
      </c>
      <c r="C2380">
        <v>2024</v>
      </c>
      <c r="D2380" t="s">
        <v>1873</v>
      </c>
      <c r="E2380" t="s">
        <v>2413</v>
      </c>
      <c r="F2380" t="s">
        <v>34</v>
      </c>
      <c r="G2380" t="s">
        <v>39</v>
      </c>
      <c r="H2380" t="s">
        <v>25</v>
      </c>
      <c r="I2380" t="s">
        <v>26</v>
      </c>
      <c r="J2380" t="s">
        <v>27</v>
      </c>
      <c r="K2380" t="s">
        <v>32</v>
      </c>
      <c r="L2380" s="2">
        <v>3.3</v>
      </c>
      <c r="M2380" s="3">
        <v>1019</v>
      </c>
      <c r="N2380">
        <v>4</v>
      </c>
      <c r="O2380">
        <v>5</v>
      </c>
      <c r="P2380">
        <v>0</v>
      </c>
      <c r="Q2380">
        <v>1</v>
      </c>
      <c r="R2380" s="4">
        <v>18.09</v>
      </c>
      <c r="S2380">
        <v>0</v>
      </c>
      <c r="T2380">
        <v>1</v>
      </c>
    </row>
    <row r="2381" spans="1:20" ht="16.5" x14ac:dyDescent="0.3">
      <c r="A2381" t="s">
        <v>2435</v>
      </c>
      <c r="B2381" s="1">
        <v>45630</v>
      </c>
      <c r="C2381">
        <v>2024</v>
      </c>
      <c r="D2381" t="s">
        <v>1873</v>
      </c>
      <c r="E2381" t="s">
        <v>2413</v>
      </c>
      <c r="F2381" t="s">
        <v>57</v>
      </c>
      <c r="G2381" t="s">
        <v>35</v>
      </c>
      <c r="H2381" t="s">
        <v>43</v>
      </c>
      <c r="I2381" t="s">
        <v>26</v>
      </c>
      <c r="J2381" t="s">
        <v>27</v>
      </c>
      <c r="K2381" t="s">
        <v>28</v>
      </c>
      <c r="L2381" s="2">
        <v>56.6</v>
      </c>
      <c r="M2381" s="3">
        <v>1186</v>
      </c>
      <c r="N2381">
        <v>5</v>
      </c>
      <c r="O2381">
        <v>5</v>
      </c>
      <c r="P2381">
        <v>1</v>
      </c>
      <c r="Q2381">
        <v>0</v>
      </c>
      <c r="R2381" s="4">
        <v>47.91</v>
      </c>
      <c r="S2381">
        <v>0</v>
      </c>
      <c r="T2381">
        <v>1</v>
      </c>
    </row>
    <row r="2382" spans="1:20" ht="16.5" x14ac:dyDescent="0.3">
      <c r="A2382" t="s">
        <v>2436</v>
      </c>
      <c r="B2382" s="1">
        <v>45630</v>
      </c>
      <c r="C2382">
        <v>2024</v>
      </c>
      <c r="D2382" t="s">
        <v>1873</v>
      </c>
      <c r="E2382" t="s">
        <v>2413</v>
      </c>
      <c r="F2382" t="s">
        <v>30</v>
      </c>
      <c r="G2382" t="s">
        <v>35</v>
      </c>
      <c r="H2382" t="s">
        <v>43</v>
      </c>
      <c r="I2382" t="s">
        <v>26</v>
      </c>
      <c r="J2382" t="s">
        <v>27</v>
      </c>
      <c r="K2382" t="s">
        <v>32</v>
      </c>
      <c r="L2382" s="2">
        <v>12.7</v>
      </c>
      <c r="M2382" s="3">
        <v>1410</v>
      </c>
      <c r="N2382">
        <v>5</v>
      </c>
      <c r="O2382">
        <v>5</v>
      </c>
      <c r="P2382">
        <v>1</v>
      </c>
      <c r="Q2382">
        <v>0</v>
      </c>
      <c r="R2382" s="4">
        <v>33.130000000000003</v>
      </c>
      <c r="S2382">
        <v>0</v>
      </c>
      <c r="T2382">
        <v>1</v>
      </c>
    </row>
    <row r="2383" spans="1:20" ht="16.5" x14ac:dyDescent="0.3">
      <c r="A2383" t="s">
        <v>2437</v>
      </c>
      <c r="B2383" s="1">
        <v>45630</v>
      </c>
      <c r="C2383">
        <v>2024</v>
      </c>
      <c r="D2383" t="s">
        <v>1873</v>
      </c>
      <c r="E2383" t="s">
        <v>2413</v>
      </c>
      <c r="F2383" t="s">
        <v>23</v>
      </c>
      <c r="G2383" t="s">
        <v>39</v>
      </c>
      <c r="H2383" t="s">
        <v>25</v>
      </c>
      <c r="I2383" t="s">
        <v>31</v>
      </c>
      <c r="J2383" t="s">
        <v>27</v>
      </c>
      <c r="K2383" t="s">
        <v>32</v>
      </c>
      <c r="L2383" s="2">
        <v>5.2</v>
      </c>
      <c r="M2383" s="3">
        <v>754</v>
      </c>
      <c r="N2383">
        <v>6</v>
      </c>
      <c r="O2383">
        <v>6</v>
      </c>
      <c r="P2383">
        <v>1</v>
      </c>
      <c r="Q2383">
        <v>0</v>
      </c>
      <c r="R2383" s="4">
        <v>13.14</v>
      </c>
      <c r="S2383">
        <v>0</v>
      </c>
      <c r="T2383">
        <v>1</v>
      </c>
    </row>
    <row r="2384" spans="1:20" ht="16.5" x14ac:dyDescent="0.3">
      <c r="A2384" t="s">
        <v>2438</v>
      </c>
      <c r="B2384" s="1">
        <v>45630</v>
      </c>
      <c r="C2384">
        <v>2024</v>
      </c>
      <c r="D2384" t="s">
        <v>1873</v>
      </c>
      <c r="E2384" t="s">
        <v>2413</v>
      </c>
      <c r="F2384" t="s">
        <v>30</v>
      </c>
      <c r="G2384" t="s">
        <v>35</v>
      </c>
      <c r="H2384" t="s">
        <v>25</v>
      </c>
      <c r="I2384" t="s">
        <v>31</v>
      </c>
      <c r="J2384" t="s">
        <v>27</v>
      </c>
      <c r="K2384" t="s">
        <v>32</v>
      </c>
      <c r="L2384" s="2">
        <v>6.4</v>
      </c>
      <c r="M2384" s="3">
        <v>961</v>
      </c>
      <c r="N2384">
        <v>6</v>
      </c>
      <c r="O2384">
        <v>6</v>
      </c>
      <c r="P2384">
        <v>1</v>
      </c>
      <c r="Q2384">
        <v>0</v>
      </c>
      <c r="R2384" s="4">
        <v>16.77</v>
      </c>
      <c r="S2384">
        <v>0</v>
      </c>
      <c r="T2384">
        <v>1</v>
      </c>
    </row>
    <row r="2385" spans="1:20" ht="16.5" x14ac:dyDescent="0.3">
      <c r="A2385" t="s">
        <v>2439</v>
      </c>
      <c r="B2385" s="1">
        <v>45630</v>
      </c>
      <c r="C2385">
        <v>2024</v>
      </c>
      <c r="D2385" t="s">
        <v>1873</v>
      </c>
      <c r="E2385" t="s">
        <v>2413</v>
      </c>
      <c r="F2385" t="s">
        <v>34</v>
      </c>
      <c r="G2385" t="s">
        <v>24</v>
      </c>
      <c r="H2385" t="s">
        <v>43</v>
      </c>
      <c r="I2385" t="s">
        <v>31</v>
      </c>
      <c r="J2385" t="s">
        <v>27</v>
      </c>
      <c r="K2385" t="s">
        <v>32</v>
      </c>
      <c r="L2385" s="2">
        <v>4.2</v>
      </c>
      <c r="M2385" s="3">
        <v>1323</v>
      </c>
      <c r="N2385">
        <v>7</v>
      </c>
      <c r="O2385">
        <v>10</v>
      </c>
      <c r="P2385">
        <v>0</v>
      </c>
      <c r="Q2385">
        <v>3</v>
      </c>
      <c r="R2385" s="4">
        <v>14.81</v>
      </c>
      <c r="S2385">
        <v>0</v>
      </c>
      <c r="T2385">
        <v>1</v>
      </c>
    </row>
    <row r="2386" spans="1:20" ht="16.5" x14ac:dyDescent="0.3">
      <c r="A2386" t="s">
        <v>2440</v>
      </c>
      <c r="B2386" s="1">
        <v>45630</v>
      </c>
      <c r="C2386">
        <v>2024</v>
      </c>
      <c r="D2386" t="s">
        <v>1873</v>
      </c>
      <c r="E2386" t="s">
        <v>2413</v>
      </c>
      <c r="F2386" t="s">
        <v>57</v>
      </c>
      <c r="G2386" t="s">
        <v>39</v>
      </c>
      <c r="H2386" t="s">
        <v>48</v>
      </c>
      <c r="I2386" t="s">
        <v>31</v>
      </c>
      <c r="J2386" t="s">
        <v>27</v>
      </c>
      <c r="K2386" t="s">
        <v>32</v>
      </c>
      <c r="L2386" s="2">
        <v>3.4</v>
      </c>
      <c r="M2386" s="3">
        <v>440</v>
      </c>
      <c r="N2386">
        <v>6</v>
      </c>
      <c r="O2386">
        <v>6</v>
      </c>
      <c r="P2386">
        <v>1</v>
      </c>
      <c r="Q2386">
        <v>0</v>
      </c>
      <c r="R2386" s="4">
        <v>9.9700000000000006</v>
      </c>
      <c r="S2386">
        <v>0</v>
      </c>
      <c r="T2386">
        <v>1</v>
      </c>
    </row>
    <row r="2387" spans="1:20" ht="16.5" x14ac:dyDescent="0.3">
      <c r="A2387" t="s">
        <v>2441</v>
      </c>
      <c r="B2387" s="1">
        <v>45630</v>
      </c>
      <c r="C2387">
        <v>2024</v>
      </c>
      <c r="D2387" t="s">
        <v>1873</v>
      </c>
      <c r="E2387" t="s">
        <v>2413</v>
      </c>
      <c r="F2387" t="s">
        <v>34</v>
      </c>
      <c r="G2387" t="s">
        <v>39</v>
      </c>
      <c r="H2387" t="s">
        <v>43</v>
      </c>
      <c r="I2387" t="s">
        <v>31</v>
      </c>
      <c r="J2387" t="s">
        <v>27</v>
      </c>
      <c r="K2387" t="s">
        <v>32</v>
      </c>
      <c r="L2387" s="2">
        <v>3</v>
      </c>
      <c r="M2387" s="3">
        <v>985</v>
      </c>
      <c r="N2387">
        <v>7</v>
      </c>
      <c r="O2387">
        <v>6</v>
      </c>
      <c r="P2387">
        <v>1</v>
      </c>
      <c r="Q2387">
        <v>0</v>
      </c>
      <c r="R2387" s="4">
        <v>12.86</v>
      </c>
      <c r="S2387">
        <v>0</v>
      </c>
      <c r="T2387">
        <v>1</v>
      </c>
    </row>
    <row r="2388" spans="1:20" ht="16.5" x14ac:dyDescent="0.3">
      <c r="A2388" t="s">
        <v>2442</v>
      </c>
      <c r="B2388" s="1">
        <v>45630</v>
      </c>
      <c r="C2388">
        <v>2024</v>
      </c>
      <c r="D2388" t="s">
        <v>1873</v>
      </c>
      <c r="E2388" t="s">
        <v>2413</v>
      </c>
      <c r="F2388" t="s">
        <v>23</v>
      </c>
      <c r="G2388" t="s">
        <v>35</v>
      </c>
      <c r="H2388" t="s">
        <v>25</v>
      </c>
      <c r="I2388" t="s">
        <v>26</v>
      </c>
      <c r="J2388" t="s">
        <v>27</v>
      </c>
      <c r="K2388" t="s">
        <v>28</v>
      </c>
      <c r="L2388" s="2">
        <v>61.1</v>
      </c>
      <c r="M2388" s="3">
        <v>983</v>
      </c>
      <c r="N2388">
        <v>4</v>
      </c>
      <c r="O2388">
        <v>4</v>
      </c>
      <c r="P2388">
        <v>1</v>
      </c>
      <c r="Q2388">
        <v>0</v>
      </c>
      <c r="R2388" s="4">
        <v>47.37</v>
      </c>
      <c r="S2388">
        <v>0</v>
      </c>
      <c r="T2388">
        <v>1</v>
      </c>
    </row>
    <row r="2389" spans="1:20" ht="16.5" x14ac:dyDescent="0.3">
      <c r="A2389" t="s">
        <v>2443</v>
      </c>
      <c r="B2389" s="1">
        <v>45630</v>
      </c>
      <c r="C2389">
        <v>2024</v>
      </c>
      <c r="D2389" t="s">
        <v>1873</v>
      </c>
      <c r="E2389" t="s">
        <v>2413</v>
      </c>
      <c r="F2389" t="s">
        <v>34</v>
      </c>
      <c r="G2389" t="s">
        <v>24</v>
      </c>
      <c r="H2389" t="s">
        <v>43</v>
      </c>
      <c r="I2389" t="s">
        <v>40</v>
      </c>
      <c r="J2389" t="s">
        <v>41</v>
      </c>
      <c r="K2389" t="s">
        <v>32</v>
      </c>
      <c r="L2389" s="2">
        <v>5.2</v>
      </c>
      <c r="M2389" s="3">
        <v>984</v>
      </c>
      <c r="N2389">
        <v>3</v>
      </c>
      <c r="O2389">
        <v>5</v>
      </c>
      <c r="P2389">
        <v>0</v>
      </c>
      <c r="Q2389">
        <v>2</v>
      </c>
      <c r="R2389" s="4">
        <v>51.55</v>
      </c>
      <c r="S2389">
        <v>0</v>
      </c>
      <c r="T2389">
        <v>1</v>
      </c>
    </row>
    <row r="2390" spans="1:20" ht="16.5" x14ac:dyDescent="0.3">
      <c r="A2390" t="s">
        <v>2444</v>
      </c>
      <c r="B2390" s="1">
        <v>45630</v>
      </c>
      <c r="C2390">
        <v>2024</v>
      </c>
      <c r="D2390" t="s">
        <v>1873</v>
      </c>
      <c r="E2390" t="s">
        <v>2413</v>
      </c>
      <c r="F2390" t="s">
        <v>23</v>
      </c>
      <c r="G2390" t="s">
        <v>24</v>
      </c>
      <c r="H2390" t="s">
        <v>36</v>
      </c>
      <c r="I2390" t="s">
        <v>31</v>
      </c>
      <c r="J2390" t="s">
        <v>27</v>
      </c>
      <c r="K2390" t="s">
        <v>28</v>
      </c>
      <c r="L2390" s="2">
        <v>162.6</v>
      </c>
      <c r="M2390" s="3">
        <v>241</v>
      </c>
      <c r="N2390">
        <v>5</v>
      </c>
      <c r="O2390">
        <v>5</v>
      </c>
      <c r="P2390">
        <v>1</v>
      </c>
      <c r="Q2390">
        <v>0</v>
      </c>
      <c r="R2390" s="4">
        <v>58.26</v>
      </c>
      <c r="S2390">
        <v>0</v>
      </c>
      <c r="T2390">
        <v>1</v>
      </c>
    </row>
    <row r="2391" spans="1:20" ht="16.5" x14ac:dyDescent="0.3">
      <c r="A2391" t="s">
        <v>2445</v>
      </c>
      <c r="B2391" s="1">
        <v>45630</v>
      </c>
      <c r="C2391">
        <v>2024</v>
      </c>
      <c r="D2391" t="s">
        <v>1873</v>
      </c>
      <c r="E2391" t="s">
        <v>2413</v>
      </c>
      <c r="F2391" t="s">
        <v>38</v>
      </c>
      <c r="G2391" t="s">
        <v>35</v>
      </c>
      <c r="H2391" t="s">
        <v>43</v>
      </c>
      <c r="I2391" t="s">
        <v>31</v>
      </c>
      <c r="J2391" t="s">
        <v>27</v>
      </c>
      <c r="K2391" t="s">
        <v>32</v>
      </c>
      <c r="L2391" s="2">
        <v>11.6</v>
      </c>
      <c r="M2391" s="3">
        <v>1033</v>
      </c>
      <c r="N2391">
        <v>7</v>
      </c>
      <c r="O2391">
        <v>7</v>
      </c>
      <c r="P2391">
        <v>1</v>
      </c>
      <c r="Q2391">
        <v>0</v>
      </c>
      <c r="R2391" s="4">
        <v>21.55</v>
      </c>
      <c r="S2391">
        <v>0</v>
      </c>
      <c r="T2391">
        <v>1</v>
      </c>
    </row>
    <row r="2392" spans="1:20" ht="16.5" x14ac:dyDescent="0.3">
      <c r="A2392" t="s">
        <v>2446</v>
      </c>
      <c r="B2392" s="1">
        <v>45630</v>
      </c>
      <c r="C2392">
        <v>2024</v>
      </c>
      <c r="D2392" t="s">
        <v>1873</v>
      </c>
      <c r="E2392" t="s">
        <v>2413</v>
      </c>
      <c r="F2392" t="s">
        <v>30</v>
      </c>
      <c r="G2392" t="s">
        <v>35</v>
      </c>
      <c r="H2392" t="s">
        <v>48</v>
      </c>
      <c r="I2392" t="s">
        <v>31</v>
      </c>
      <c r="J2392" t="s">
        <v>27</v>
      </c>
      <c r="K2392" t="s">
        <v>28</v>
      </c>
      <c r="L2392" s="2">
        <v>110.3</v>
      </c>
      <c r="M2392" s="3">
        <v>607</v>
      </c>
      <c r="N2392">
        <v>6</v>
      </c>
      <c r="O2392">
        <v>7</v>
      </c>
      <c r="P2392">
        <v>0</v>
      </c>
      <c r="Q2392">
        <v>1</v>
      </c>
      <c r="R2392" s="4">
        <v>45.28</v>
      </c>
      <c r="S2392">
        <v>0</v>
      </c>
      <c r="T2392">
        <v>1</v>
      </c>
    </row>
    <row r="2393" spans="1:20" ht="16.5" x14ac:dyDescent="0.3">
      <c r="A2393" t="s">
        <v>2447</v>
      </c>
      <c r="B2393" s="1">
        <v>45630</v>
      </c>
      <c r="C2393">
        <v>2024</v>
      </c>
      <c r="D2393" t="s">
        <v>1873</v>
      </c>
      <c r="E2393" t="s">
        <v>2413</v>
      </c>
      <c r="F2393" t="s">
        <v>30</v>
      </c>
      <c r="G2393" t="s">
        <v>35</v>
      </c>
      <c r="H2393" t="s">
        <v>36</v>
      </c>
      <c r="I2393" t="s">
        <v>40</v>
      </c>
      <c r="J2393" t="s">
        <v>27</v>
      </c>
      <c r="K2393" t="s">
        <v>32</v>
      </c>
      <c r="L2393" s="2">
        <v>11.8</v>
      </c>
      <c r="M2393" s="3">
        <v>271</v>
      </c>
      <c r="N2393">
        <v>1</v>
      </c>
      <c r="O2393">
        <v>3</v>
      </c>
      <c r="P2393">
        <v>0</v>
      </c>
      <c r="Q2393">
        <v>2</v>
      </c>
      <c r="R2393" s="4">
        <v>33.450000000000003</v>
      </c>
      <c r="S2393">
        <v>0</v>
      </c>
      <c r="T2393">
        <v>1</v>
      </c>
    </row>
    <row r="2394" spans="1:20" ht="16.5" x14ac:dyDescent="0.3">
      <c r="A2394" t="s">
        <v>2448</v>
      </c>
      <c r="B2394" s="1">
        <v>45631</v>
      </c>
      <c r="C2394">
        <v>2024</v>
      </c>
      <c r="D2394" t="s">
        <v>1873</v>
      </c>
      <c r="E2394" t="s">
        <v>2413</v>
      </c>
      <c r="F2394" t="s">
        <v>57</v>
      </c>
      <c r="G2394" t="s">
        <v>39</v>
      </c>
      <c r="H2394" t="s">
        <v>48</v>
      </c>
      <c r="I2394" t="s">
        <v>31</v>
      </c>
      <c r="J2394" t="s">
        <v>27</v>
      </c>
      <c r="K2394" t="s">
        <v>28</v>
      </c>
      <c r="L2394" s="2">
        <v>164</v>
      </c>
      <c r="M2394" s="3">
        <v>510</v>
      </c>
      <c r="N2394">
        <v>6</v>
      </c>
      <c r="O2394">
        <v>7</v>
      </c>
      <c r="P2394">
        <v>0</v>
      </c>
      <c r="Q2394">
        <v>1</v>
      </c>
      <c r="R2394" s="4">
        <v>57.04</v>
      </c>
      <c r="S2394">
        <v>0</v>
      </c>
      <c r="T2394">
        <v>1</v>
      </c>
    </row>
    <row r="2395" spans="1:20" ht="16.5" x14ac:dyDescent="0.3">
      <c r="A2395" t="s">
        <v>2449</v>
      </c>
      <c r="B2395" s="1">
        <v>45631</v>
      </c>
      <c r="C2395">
        <v>2024</v>
      </c>
      <c r="D2395" t="s">
        <v>1873</v>
      </c>
      <c r="E2395" t="s">
        <v>2413</v>
      </c>
      <c r="F2395" t="s">
        <v>34</v>
      </c>
      <c r="G2395" t="s">
        <v>24</v>
      </c>
      <c r="H2395" t="s">
        <v>36</v>
      </c>
      <c r="I2395" t="s">
        <v>40</v>
      </c>
      <c r="J2395" t="s">
        <v>27</v>
      </c>
      <c r="K2395" t="s">
        <v>32</v>
      </c>
      <c r="L2395" s="2">
        <v>1.5</v>
      </c>
      <c r="M2395" s="3">
        <v>230</v>
      </c>
      <c r="N2395">
        <v>1</v>
      </c>
      <c r="O2395">
        <v>1</v>
      </c>
      <c r="P2395">
        <v>1</v>
      </c>
      <c r="Q2395">
        <v>0</v>
      </c>
      <c r="R2395" s="4">
        <v>16.25</v>
      </c>
      <c r="S2395">
        <v>0</v>
      </c>
      <c r="T2395">
        <v>1</v>
      </c>
    </row>
    <row r="2396" spans="1:20" ht="16.5" x14ac:dyDescent="0.3">
      <c r="A2396" t="s">
        <v>2450</v>
      </c>
      <c r="B2396" s="1">
        <v>45631</v>
      </c>
      <c r="C2396">
        <v>2024</v>
      </c>
      <c r="D2396" t="s">
        <v>1873</v>
      </c>
      <c r="E2396" t="s">
        <v>2413</v>
      </c>
      <c r="F2396" t="s">
        <v>57</v>
      </c>
      <c r="G2396" t="s">
        <v>39</v>
      </c>
      <c r="H2396" t="s">
        <v>25</v>
      </c>
      <c r="I2396" t="s">
        <v>31</v>
      </c>
      <c r="J2396" t="s">
        <v>27</v>
      </c>
      <c r="K2396" t="s">
        <v>28</v>
      </c>
      <c r="L2396" s="2">
        <v>394.8</v>
      </c>
      <c r="M2396" s="3">
        <v>1021</v>
      </c>
      <c r="N2396">
        <v>6</v>
      </c>
      <c r="O2396">
        <v>6</v>
      </c>
      <c r="P2396">
        <v>1</v>
      </c>
      <c r="Q2396">
        <v>0</v>
      </c>
      <c r="R2396" s="4">
        <v>106.33</v>
      </c>
      <c r="S2396">
        <v>0</v>
      </c>
      <c r="T2396">
        <v>1</v>
      </c>
    </row>
    <row r="2397" spans="1:20" ht="16.5" x14ac:dyDescent="0.3">
      <c r="A2397" t="s">
        <v>2451</v>
      </c>
      <c r="B2397" s="1">
        <v>45631</v>
      </c>
      <c r="C2397">
        <v>2024</v>
      </c>
      <c r="D2397" t="s">
        <v>1873</v>
      </c>
      <c r="E2397" t="s">
        <v>2413</v>
      </c>
      <c r="F2397" t="s">
        <v>34</v>
      </c>
      <c r="G2397" t="s">
        <v>35</v>
      </c>
      <c r="H2397" t="s">
        <v>51</v>
      </c>
      <c r="I2397" t="s">
        <v>26</v>
      </c>
      <c r="J2397" t="s">
        <v>27</v>
      </c>
      <c r="K2397" t="s">
        <v>28</v>
      </c>
      <c r="L2397" s="2">
        <v>155.30000000000001</v>
      </c>
      <c r="M2397" s="3">
        <v>983</v>
      </c>
      <c r="N2397">
        <v>5</v>
      </c>
      <c r="O2397">
        <v>7</v>
      </c>
      <c r="P2397">
        <v>0</v>
      </c>
      <c r="Q2397">
        <v>2</v>
      </c>
      <c r="R2397" s="4">
        <v>74.94</v>
      </c>
      <c r="S2397">
        <v>0</v>
      </c>
      <c r="T2397">
        <v>1</v>
      </c>
    </row>
    <row r="2398" spans="1:20" ht="16.5" x14ac:dyDescent="0.3">
      <c r="A2398" t="s">
        <v>2452</v>
      </c>
      <c r="B2398" s="1">
        <v>45631</v>
      </c>
      <c r="C2398">
        <v>2024</v>
      </c>
      <c r="D2398" t="s">
        <v>1873</v>
      </c>
      <c r="E2398" t="s">
        <v>2413</v>
      </c>
      <c r="F2398" t="s">
        <v>23</v>
      </c>
      <c r="G2398" t="s">
        <v>24</v>
      </c>
      <c r="H2398" t="s">
        <v>25</v>
      </c>
      <c r="I2398" t="s">
        <v>26</v>
      </c>
      <c r="J2398" t="s">
        <v>27</v>
      </c>
      <c r="K2398" t="s">
        <v>32</v>
      </c>
      <c r="L2398" s="2">
        <v>9.6999999999999993</v>
      </c>
      <c r="M2398" s="3">
        <v>844</v>
      </c>
      <c r="N2398">
        <v>4</v>
      </c>
      <c r="O2398">
        <v>4</v>
      </c>
      <c r="P2398">
        <v>1</v>
      </c>
      <c r="Q2398">
        <v>0</v>
      </c>
      <c r="R2398" s="4">
        <v>22.2</v>
      </c>
      <c r="S2398">
        <v>1</v>
      </c>
      <c r="T2398">
        <v>1</v>
      </c>
    </row>
    <row r="2399" spans="1:20" ht="16.5" x14ac:dyDescent="0.3">
      <c r="A2399" t="s">
        <v>2453</v>
      </c>
      <c r="B2399" s="1">
        <v>45631</v>
      </c>
      <c r="C2399">
        <v>2024</v>
      </c>
      <c r="D2399" t="s">
        <v>1873</v>
      </c>
      <c r="E2399" t="s">
        <v>2413</v>
      </c>
      <c r="F2399" t="s">
        <v>57</v>
      </c>
      <c r="G2399" t="s">
        <v>35</v>
      </c>
      <c r="H2399" t="s">
        <v>25</v>
      </c>
      <c r="I2399" t="s">
        <v>26</v>
      </c>
      <c r="J2399" t="s">
        <v>27</v>
      </c>
      <c r="K2399" t="s">
        <v>32</v>
      </c>
      <c r="L2399" s="2">
        <v>8</v>
      </c>
      <c r="M2399" s="3">
        <v>967</v>
      </c>
      <c r="N2399">
        <v>4</v>
      </c>
      <c r="O2399">
        <v>4</v>
      </c>
      <c r="P2399">
        <v>1</v>
      </c>
      <c r="Q2399">
        <v>0</v>
      </c>
      <c r="R2399" s="4">
        <v>23.97</v>
      </c>
      <c r="S2399">
        <v>0</v>
      </c>
      <c r="T2399">
        <v>1</v>
      </c>
    </row>
    <row r="2400" spans="1:20" ht="16.5" x14ac:dyDescent="0.3">
      <c r="A2400" t="s">
        <v>2454</v>
      </c>
      <c r="B2400" s="1">
        <v>45631</v>
      </c>
      <c r="C2400">
        <v>2024</v>
      </c>
      <c r="D2400" t="s">
        <v>1873</v>
      </c>
      <c r="E2400" t="s">
        <v>2413</v>
      </c>
      <c r="F2400" t="s">
        <v>34</v>
      </c>
      <c r="G2400" t="s">
        <v>39</v>
      </c>
      <c r="H2400" t="s">
        <v>36</v>
      </c>
      <c r="I2400" t="s">
        <v>26</v>
      </c>
      <c r="J2400" t="s">
        <v>27</v>
      </c>
      <c r="K2400" t="s">
        <v>32</v>
      </c>
      <c r="L2400" s="2">
        <v>4</v>
      </c>
      <c r="M2400" s="3">
        <v>251</v>
      </c>
      <c r="N2400">
        <v>3</v>
      </c>
      <c r="O2400">
        <v>3</v>
      </c>
      <c r="P2400">
        <v>1</v>
      </c>
      <c r="Q2400">
        <v>0</v>
      </c>
      <c r="R2400" s="4">
        <v>9.23</v>
      </c>
      <c r="S2400">
        <v>0</v>
      </c>
      <c r="T2400">
        <v>1</v>
      </c>
    </row>
    <row r="2401" spans="1:20" ht="16.5" x14ac:dyDescent="0.3">
      <c r="A2401" t="s">
        <v>2455</v>
      </c>
      <c r="B2401" s="1">
        <v>45631</v>
      </c>
      <c r="C2401">
        <v>2024</v>
      </c>
      <c r="D2401" t="s">
        <v>1873</v>
      </c>
      <c r="E2401" t="s">
        <v>2413</v>
      </c>
      <c r="F2401" t="s">
        <v>23</v>
      </c>
      <c r="G2401" t="s">
        <v>35</v>
      </c>
      <c r="H2401" t="s">
        <v>25</v>
      </c>
      <c r="I2401" t="s">
        <v>40</v>
      </c>
      <c r="J2401" t="s">
        <v>41</v>
      </c>
      <c r="K2401" t="s">
        <v>32</v>
      </c>
      <c r="L2401" s="2">
        <v>5.9</v>
      </c>
      <c r="M2401" s="3">
        <v>890</v>
      </c>
      <c r="N2401">
        <v>2</v>
      </c>
      <c r="O2401">
        <v>5</v>
      </c>
      <c r="P2401">
        <v>0</v>
      </c>
      <c r="Q2401">
        <v>3</v>
      </c>
      <c r="R2401" s="4">
        <v>62.19</v>
      </c>
      <c r="S2401">
        <v>0</v>
      </c>
      <c r="T2401">
        <v>1</v>
      </c>
    </row>
    <row r="2402" spans="1:20" ht="16.5" x14ac:dyDescent="0.3">
      <c r="A2402" t="s">
        <v>2456</v>
      </c>
      <c r="B2402" s="1">
        <v>45631</v>
      </c>
      <c r="C2402">
        <v>2024</v>
      </c>
      <c r="D2402" t="s">
        <v>1873</v>
      </c>
      <c r="E2402" t="s">
        <v>2413</v>
      </c>
      <c r="F2402" t="s">
        <v>34</v>
      </c>
      <c r="G2402" t="s">
        <v>39</v>
      </c>
      <c r="H2402" t="s">
        <v>25</v>
      </c>
      <c r="I2402" t="s">
        <v>26</v>
      </c>
      <c r="J2402" t="s">
        <v>27</v>
      </c>
      <c r="K2402" t="s">
        <v>32</v>
      </c>
      <c r="L2402" s="2">
        <v>7.4</v>
      </c>
      <c r="M2402" s="3">
        <v>653</v>
      </c>
      <c r="N2402">
        <v>4</v>
      </c>
      <c r="O2402">
        <v>4</v>
      </c>
      <c r="P2402">
        <v>1</v>
      </c>
      <c r="Q2402">
        <v>0</v>
      </c>
      <c r="R2402" s="4">
        <v>16.52</v>
      </c>
      <c r="S2402">
        <v>0</v>
      </c>
      <c r="T2402">
        <v>1</v>
      </c>
    </row>
    <row r="2403" spans="1:20" ht="16.5" x14ac:dyDescent="0.3">
      <c r="A2403" t="s">
        <v>2457</v>
      </c>
      <c r="B2403" s="1">
        <v>45631</v>
      </c>
      <c r="C2403">
        <v>2024</v>
      </c>
      <c r="D2403" t="s">
        <v>1873</v>
      </c>
      <c r="E2403" t="s">
        <v>2413</v>
      </c>
      <c r="F2403" t="s">
        <v>57</v>
      </c>
      <c r="G2403" t="s">
        <v>39</v>
      </c>
      <c r="H2403" t="s">
        <v>36</v>
      </c>
      <c r="I2403" t="s">
        <v>31</v>
      </c>
      <c r="J2403" t="s">
        <v>27</v>
      </c>
      <c r="K2403" t="s">
        <v>32</v>
      </c>
      <c r="L2403" s="2">
        <v>4.4000000000000004</v>
      </c>
      <c r="M2403" s="3">
        <v>296</v>
      </c>
      <c r="N2403">
        <v>5</v>
      </c>
      <c r="O2403">
        <v>8</v>
      </c>
      <c r="P2403">
        <v>0</v>
      </c>
      <c r="Q2403">
        <v>3</v>
      </c>
      <c r="R2403" s="4">
        <v>9.02</v>
      </c>
      <c r="S2403">
        <v>0</v>
      </c>
      <c r="T2403">
        <v>1</v>
      </c>
    </row>
    <row r="2404" spans="1:20" ht="16.5" x14ac:dyDescent="0.3">
      <c r="A2404" t="s">
        <v>2458</v>
      </c>
      <c r="B2404" s="1">
        <v>45631</v>
      </c>
      <c r="C2404">
        <v>2024</v>
      </c>
      <c r="D2404" t="s">
        <v>1873</v>
      </c>
      <c r="E2404" t="s">
        <v>2413</v>
      </c>
      <c r="F2404" t="s">
        <v>57</v>
      </c>
      <c r="G2404" t="s">
        <v>39</v>
      </c>
      <c r="H2404" t="s">
        <v>36</v>
      </c>
      <c r="I2404" t="s">
        <v>26</v>
      </c>
      <c r="J2404" t="s">
        <v>27</v>
      </c>
      <c r="K2404" t="s">
        <v>32</v>
      </c>
      <c r="L2404" s="2">
        <v>6</v>
      </c>
      <c r="M2404" s="3">
        <v>265</v>
      </c>
      <c r="N2404">
        <v>3</v>
      </c>
      <c r="O2404">
        <v>3</v>
      </c>
      <c r="P2404">
        <v>1</v>
      </c>
      <c r="Q2404">
        <v>0</v>
      </c>
      <c r="R2404" s="4">
        <v>12.28</v>
      </c>
      <c r="S2404">
        <v>0</v>
      </c>
      <c r="T2404">
        <v>1</v>
      </c>
    </row>
    <row r="2405" spans="1:20" ht="16.5" x14ac:dyDescent="0.3">
      <c r="A2405" t="s">
        <v>2459</v>
      </c>
      <c r="B2405" s="1">
        <v>45631</v>
      </c>
      <c r="C2405">
        <v>2024</v>
      </c>
      <c r="D2405" t="s">
        <v>1873</v>
      </c>
      <c r="E2405" t="s">
        <v>2413</v>
      </c>
      <c r="F2405" t="s">
        <v>38</v>
      </c>
      <c r="G2405" t="s">
        <v>39</v>
      </c>
      <c r="H2405" t="s">
        <v>36</v>
      </c>
      <c r="I2405" t="s">
        <v>26</v>
      </c>
      <c r="J2405" t="s">
        <v>27</v>
      </c>
      <c r="K2405" t="s">
        <v>32</v>
      </c>
      <c r="L2405" s="2">
        <v>1.9</v>
      </c>
      <c r="M2405" s="3">
        <v>295</v>
      </c>
      <c r="N2405">
        <v>3</v>
      </c>
      <c r="O2405">
        <v>2</v>
      </c>
      <c r="P2405">
        <v>1</v>
      </c>
      <c r="Q2405">
        <v>0</v>
      </c>
      <c r="R2405" s="4">
        <v>13.16</v>
      </c>
      <c r="S2405">
        <v>0</v>
      </c>
      <c r="T2405">
        <v>1</v>
      </c>
    </row>
    <row r="2406" spans="1:20" ht="16.5" x14ac:dyDescent="0.3">
      <c r="A2406" t="s">
        <v>2460</v>
      </c>
      <c r="B2406" s="1">
        <v>45631</v>
      </c>
      <c r="C2406">
        <v>2024</v>
      </c>
      <c r="D2406" t="s">
        <v>1873</v>
      </c>
      <c r="E2406" t="s">
        <v>2413</v>
      </c>
      <c r="F2406" t="s">
        <v>34</v>
      </c>
      <c r="G2406" t="s">
        <v>24</v>
      </c>
      <c r="H2406" t="s">
        <v>25</v>
      </c>
      <c r="I2406" t="s">
        <v>26</v>
      </c>
      <c r="J2406" t="s">
        <v>27</v>
      </c>
      <c r="K2406" t="s">
        <v>28</v>
      </c>
      <c r="L2406" s="2">
        <v>42.1</v>
      </c>
      <c r="M2406" s="3">
        <v>937</v>
      </c>
      <c r="N2406">
        <v>4</v>
      </c>
      <c r="O2406">
        <v>4</v>
      </c>
      <c r="P2406">
        <v>1</v>
      </c>
      <c r="Q2406">
        <v>0</v>
      </c>
      <c r="R2406" s="4">
        <v>33.32</v>
      </c>
      <c r="S2406">
        <v>0</v>
      </c>
      <c r="T2406">
        <v>1</v>
      </c>
    </row>
    <row r="2407" spans="1:20" ht="16.5" x14ac:dyDescent="0.3">
      <c r="A2407" t="s">
        <v>2461</v>
      </c>
      <c r="B2407" s="1">
        <v>45631</v>
      </c>
      <c r="C2407">
        <v>2024</v>
      </c>
      <c r="D2407" t="s">
        <v>1873</v>
      </c>
      <c r="E2407" t="s">
        <v>2413</v>
      </c>
      <c r="F2407" t="s">
        <v>23</v>
      </c>
      <c r="G2407" t="s">
        <v>24</v>
      </c>
      <c r="H2407" t="s">
        <v>25</v>
      </c>
      <c r="I2407" t="s">
        <v>26</v>
      </c>
      <c r="J2407" t="s">
        <v>27</v>
      </c>
      <c r="K2407" t="s">
        <v>32</v>
      </c>
      <c r="L2407" s="2">
        <v>15.6</v>
      </c>
      <c r="M2407" s="3">
        <v>799</v>
      </c>
      <c r="N2407">
        <v>4</v>
      </c>
      <c r="O2407">
        <v>4</v>
      </c>
      <c r="P2407">
        <v>1</v>
      </c>
      <c r="Q2407">
        <v>0</v>
      </c>
      <c r="R2407" s="4">
        <v>21.33</v>
      </c>
      <c r="S2407">
        <v>0</v>
      </c>
      <c r="T2407">
        <v>1</v>
      </c>
    </row>
    <row r="2408" spans="1:20" ht="16.5" x14ac:dyDescent="0.3">
      <c r="A2408" t="s">
        <v>2462</v>
      </c>
      <c r="B2408" s="1">
        <v>45631</v>
      </c>
      <c r="C2408">
        <v>2024</v>
      </c>
      <c r="D2408" t="s">
        <v>1873</v>
      </c>
      <c r="E2408" t="s">
        <v>2413</v>
      </c>
      <c r="F2408" t="s">
        <v>30</v>
      </c>
      <c r="G2408" t="s">
        <v>39</v>
      </c>
      <c r="H2408" t="s">
        <v>25</v>
      </c>
      <c r="I2408" t="s">
        <v>26</v>
      </c>
      <c r="J2408" t="s">
        <v>27</v>
      </c>
      <c r="K2408" t="s">
        <v>32</v>
      </c>
      <c r="L2408" s="2">
        <v>4.8</v>
      </c>
      <c r="M2408" s="3">
        <v>1266</v>
      </c>
      <c r="N2408">
        <v>4</v>
      </c>
      <c r="O2408">
        <v>4</v>
      </c>
      <c r="P2408">
        <v>1</v>
      </c>
      <c r="Q2408">
        <v>0</v>
      </c>
      <c r="R2408" s="4">
        <v>26.63</v>
      </c>
      <c r="S2408">
        <v>0</v>
      </c>
      <c r="T2408">
        <v>1</v>
      </c>
    </row>
    <row r="2409" spans="1:20" ht="16.5" x14ac:dyDescent="0.3">
      <c r="A2409" t="s">
        <v>2463</v>
      </c>
      <c r="B2409" s="1">
        <v>45631</v>
      </c>
      <c r="C2409">
        <v>2024</v>
      </c>
      <c r="D2409" t="s">
        <v>1873</v>
      </c>
      <c r="E2409" t="s">
        <v>2413</v>
      </c>
      <c r="F2409" t="s">
        <v>57</v>
      </c>
      <c r="G2409" t="s">
        <v>24</v>
      </c>
      <c r="H2409" t="s">
        <v>36</v>
      </c>
      <c r="I2409" t="s">
        <v>26</v>
      </c>
      <c r="J2409" t="s">
        <v>27</v>
      </c>
      <c r="K2409" t="s">
        <v>32</v>
      </c>
      <c r="L2409" s="2">
        <v>10.6</v>
      </c>
      <c r="M2409" s="3">
        <v>282</v>
      </c>
      <c r="N2409">
        <v>3</v>
      </c>
      <c r="O2409">
        <v>2</v>
      </c>
      <c r="P2409">
        <v>1</v>
      </c>
      <c r="Q2409">
        <v>0</v>
      </c>
      <c r="R2409" s="4">
        <v>15.91</v>
      </c>
      <c r="S2409">
        <v>0</v>
      </c>
      <c r="T2409">
        <v>1</v>
      </c>
    </row>
    <row r="2410" spans="1:20" ht="16.5" x14ac:dyDescent="0.3">
      <c r="A2410" t="s">
        <v>2464</v>
      </c>
      <c r="B2410" s="1">
        <v>45631</v>
      </c>
      <c r="C2410">
        <v>2024</v>
      </c>
      <c r="D2410" t="s">
        <v>1873</v>
      </c>
      <c r="E2410" t="s">
        <v>2413</v>
      </c>
      <c r="F2410" t="s">
        <v>23</v>
      </c>
      <c r="G2410" t="s">
        <v>35</v>
      </c>
      <c r="H2410" t="s">
        <v>48</v>
      </c>
      <c r="I2410" t="s">
        <v>26</v>
      </c>
      <c r="J2410" t="s">
        <v>27</v>
      </c>
      <c r="K2410" t="s">
        <v>28</v>
      </c>
      <c r="L2410" s="2">
        <v>29.8</v>
      </c>
      <c r="M2410" s="3">
        <v>474</v>
      </c>
      <c r="N2410">
        <v>4</v>
      </c>
      <c r="O2410">
        <v>4</v>
      </c>
      <c r="P2410">
        <v>1</v>
      </c>
      <c r="Q2410">
        <v>0</v>
      </c>
      <c r="R2410" s="4">
        <v>25.06</v>
      </c>
      <c r="S2410">
        <v>0</v>
      </c>
      <c r="T2410">
        <v>1</v>
      </c>
    </row>
    <row r="2411" spans="1:20" ht="16.5" x14ac:dyDescent="0.3">
      <c r="A2411" t="s">
        <v>2465</v>
      </c>
      <c r="B2411" s="1">
        <v>45632</v>
      </c>
      <c r="C2411">
        <v>2024</v>
      </c>
      <c r="D2411" t="s">
        <v>1873</v>
      </c>
      <c r="E2411" t="s">
        <v>2413</v>
      </c>
      <c r="F2411" t="s">
        <v>23</v>
      </c>
      <c r="G2411" t="s">
        <v>39</v>
      </c>
      <c r="H2411" t="s">
        <v>36</v>
      </c>
      <c r="I2411" t="s">
        <v>31</v>
      </c>
      <c r="J2411" t="s">
        <v>27</v>
      </c>
      <c r="K2411" t="s">
        <v>28</v>
      </c>
      <c r="L2411" s="2">
        <v>39.700000000000003</v>
      </c>
      <c r="M2411" s="3">
        <v>250</v>
      </c>
      <c r="N2411">
        <v>5</v>
      </c>
      <c r="O2411">
        <v>5</v>
      </c>
      <c r="P2411">
        <v>1</v>
      </c>
      <c r="Q2411">
        <v>0</v>
      </c>
      <c r="R2411" s="4">
        <v>21.61</v>
      </c>
      <c r="S2411">
        <v>0</v>
      </c>
      <c r="T2411">
        <v>1</v>
      </c>
    </row>
    <row r="2412" spans="1:20" ht="16.5" x14ac:dyDescent="0.3">
      <c r="A2412" t="s">
        <v>2466</v>
      </c>
      <c r="B2412" s="1">
        <v>45632</v>
      </c>
      <c r="C2412">
        <v>2024</v>
      </c>
      <c r="D2412" t="s">
        <v>1873</v>
      </c>
      <c r="E2412" t="s">
        <v>2413</v>
      </c>
      <c r="F2412" t="s">
        <v>30</v>
      </c>
      <c r="G2412" t="s">
        <v>35</v>
      </c>
      <c r="H2412" t="s">
        <v>25</v>
      </c>
      <c r="I2412" t="s">
        <v>26</v>
      </c>
      <c r="J2412" t="s">
        <v>27</v>
      </c>
      <c r="K2412" t="s">
        <v>28</v>
      </c>
      <c r="L2412" s="2">
        <v>44.4</v>
      </c>
      <c r="M2412" s="3">
        <v>1204</v>
      </c>
      <c r="N2412">
        <v>4</v>
      </c>
      <c r="O2412">
        <v>4</v>
      </c>
      <c r="P2412">
        <v>1</v>
      </c>
      <c r="Q2412">
        <v>0</v>
      </c>
      <c r="R2412" s="4">
        <v>44.25</v>
      </c>
      <c r="S2412">
        <v>0</v>
      </c>
      <c r="T2412">
        <v>1</v>
      </c>
    </row>
    <row r="2413" spans="1:20" ht="16.5" x14ac:dyDescent="0.3">
      <c r="A2413" t="s">
        <v>2467</v>
      </c>
      <c r="B2413" s="1">
        <v>45632</v>
      </c>
      <c r="C2413">
        <v>2024</v>
      </c>
      <c r="D2413" t="s">
        <v>1873</v>
      </c>
      <c r="E2413" t="s">
        <v>2413</v>
      </c>
      <c r="F2413" t="s">
        <v>38</v>
      </c>
      <c r="G2413" t="s">
        <v>35</v>
      </c>
      <c r="H2413" t="s">
        <v>43</v>
      </c>
      <c r="I2413" t="s">
        <v>26</v>
      </c>
      <c r="J2413" t="s">
        <v>27</v>
      </c>
      <c r="K2413" t="s">
        <v>28</v>
      </c>
      <c r="L2413" s="2">
        <v>43.5</v>
      </c>
      <c r="M2413" s="3">
        <v>1296</v>
      </c>
      <c r="N2413">
        <v>5</v>
      </c>
      <c r="O2413">
        <v>8</v>
      </c>
      <c r="P2413">
        <v>0</v>
      </c>
      <c r="Q2413">
        <v>3</v>
      </c>
      <c r="R2413" s="4">
        <v>44.07</v>
      </c>
      <c r="S2413">
        <v>0</v>
      </c>
      <c r="T2413">
        <v>1</v>
      </c>
    </row>
    <row r="2414" spans="1:20" ht="16.5" x14ac:dyDescent="0.3">
      <c r="A2414" t="s">
        <v>2468</v>
      </c>
      <c r="B2414" s="1">
        <v>45632</v>
      </c>
      <c r="C2414">
        <v>2024</v>
      </c>
      <c r="D2414" t="s">
        <v>1873</v>
      </c>
      <c r="E2414" t="s">
        <v>2413</v>
      </c>
      <c r="F2414" t="s">
        <v>30</v>
      </c>
      <c r="G2414" t="s">
        <v>35</v>
      </c>
      <c r="H2414" t="s">
        <v>25</v>
      </c>
      <c r="I2414" t="s">
        <v>40</v>
      </c>
      <c r="J2414" t="s">
        <v>41</v>
      </c>
      <c r="K2414" t="s">
        <v>28</v>
      </c>
      <c r="L2414" s="2">
        <v>106.2</v>
      </c>
      <c r="M2414" s="3">
        <v>1191</v>
      </c>
      <c r="N2414">
        <v>2</v>
      </c>
      <c r="O2414">
        <v>2</v>
      </c>
      <c r="P2414">
        <v>1</v>
      </c>
      <c r="Q2414">
        <v>0</v>
      </c>
      <c r="R2414" s="4">
        <v>215.39</v>
      </c>
      <c r="S2414">
        <v>1</v>
      </c>
      <c r="T2414">
        <v>1</v>
      </c>
    </row>
    <row r="2415" spans="1:20" ht="16.5" x14ac:dyDescent="0.3">
      <c r="A2415" t="s">
        <v>2469</v>
      </c>
      <c r="B2415" s="1">
        <v>45632</v>
      </c>
      <c r="C2415">
        <v>2024</v>
      </c>
      <c r="D2415" t="s">
        <v>1873</v>
      </c>
      <c r="E2415" t="s">
        <v>2413</v>
      </c>
      <c r="F2415" t="s">
        <v>57</v>
      </c>
      <c r="G2415" t="s">
        <v>35</v>
      </c>
      <c r="H2415" t="s">
        <v>25</v>
      </c>
      <c r="I2415" t="s">
        <v>40</v>
      </c>
      <c r="J2415" t="s">
        <v>41</v>
      </c>
      <c r="K2415" t="s">
        <v>28</v>
      </c>
      <c r="L2415" s="2">
        <v>85.2</v>
      </c>
      <c r="M2415" s="3">
        <v>920</v>
      </c>
      <c r="N2415">
        <v>2</v>
      </c>
      <c r="O2415">
        <v>1</v>
      </c>
      <c r="P2415">
        <v>1</v>
      </c>
      <c r="Q2415">
        <v>0</v>
      </c>
      <c r="R2415" s="4">
        <v>175.62</v>
      </c>
      <c r="S2415">
        <v>1</v>
      </c>
      <c r="T2415">
        <v>1</v>
      </c>
    </row>
    <row r="2416" spans="1:20" ht="16.5" x14ac:dyDescent="0.3">
      <c r="A2416" t="s">
        <v>2470</v>
      </c>
      <c r="B2416" s="1">
        <v>45632</v>
      </c>
      <c r="C2416">
        <v>2024</v>
      </c>
      <c r="D2416" t="s">
        <v>1873</v>
      </c>
      <c r="E2416" t="s">
        <v>2413</v>
      </c>
      <c r="F2416" t="s">
        <v>38</v>
      </c>
      <c r="G2416" t="s">
        <v>35</v>
      </c>
      <c r="H2416" t="s">
        <v>25</v>
      </c>
      <c r="I2416" t="s">
        <v>26</v>
      </c>
      <c r="J2416" t="s">
        <v>27</v>
      </c>
      <c r="K2416" t="s">
        <v>28</v>
      </c>
      <c r="L2416" s="2">
        <v>17.399999999999999</v>
      </c>
      <c r="M2416" s="3">
        <v>1116</v>
      </c>
      <c r="N2416">
        <v>4</v>
      </c>
      <c r="O2416">
        <v>6</v>
      </c>
      <c r="P2416">
        <v>0</v>
      </c>
      <c r="Q2416">
        <v>2</v>
      </c>
      <c r="R2416" s="4">
        <v>35.22</v>
      </c>
      <c r="S2416">
        <v>0</v>
      </c>
      <c r="T2416">
        <v>1</v>
      </c>
    </row>
    <row r="2417" spans="1:20" ht="16.5" x14ac:dyDescent="0.3">
      <c r="A2417" t="s">
        <v>2471</v>
      </c>
      <c r="B2417" s="1">
        <v>45632</v>
      </c>
      <c r="C2417">
        <v>2024</v>
      </c>
      <c r="D2417" t="s">
        <v>1873</v>
      </c>
      <c r="E2417" t="s">
        <v>2413</v>
      </c>
      <c r="F2417" t="s">
        <v>57</v>
      </c>
      <c r="G2417" t="s">
        <v>39</v>
      </c>
      <c r="H2417" t="s">
        <v>25</v>
      </c>
      <c r="I2417" t="s">
        <v>40</v>
      </c>
      <c r="J2417" t="s">
        <v>41</v>
      </c>
      <c r="K2417" t="s">
        <v>32</v>
      </c>
      <c r="L2417" s="2">
        <v>3.4</v>
      </c>
      <c r="M2417" s="3">
        <v>619</v>
      </c>
      <c r="N2417">
        <v>2</v>
      </c>
      <c r="O2417">
        <v>3</v>
      </c>
      <c r="P2417">
        <v>0</v>
      </c>
      <c r="Q2417">
        <v>1</v>
      </c>
      <c r="R2417" s="4">
        <v>45.51</v>
      </c>
      <c r="S2417">
        <v>0</v>
      </c>
      <c r="T2417">
        <v>1</v>
      </c>
    </row>
    <row r="2418" spans="1:20" ht="16.5" x14ac:dyDescent="0.3">
      <c r="A2418" t="s">
        <v>2472</v>
      </c>
      <c r="B2418" s="1">
        <v>45632</v>
      </c>
      <c r="C2418">
        <v>2024</v>
      </c>
      <c r="D2418" t="s">
        <v>1873</v>
      </c>
      <c r="E2418" t="s">
        <v>2413</v>
      </c>
      <c r="F2418" t="s">
        <v>57</v>
      </c>
      <c r="G2418" t="s">
        <v>39</v>
      </c>
      <c r="H2418" t="s">
        <v>36</v>
      </c>
      <c r="I2418" t="s">
        <v>40</v>
      </c>
      <c r="J2418" t="s">
        <v>27</v>
      </c>
      <c r="K2418" t="s">
        <v>28</v>
      </c>
      <c r="L2418" s="2">
        <v>13.3</v>
      </c>
      <c r="M2418" s="3">
        <v>232</v>
      </c>
      <c r="N2418">
        <v>1</v>
      </c>
      <c r="O2418">
        <v>1</v>
      </c>
      <c r="P2418">
        <v>1</v>
      </c>
      <c r="Q2418">
        <v>0</v>
      </c>
      <c r="R2418" s="4">
        <v>29.78</v>
      </c>
      <c r="S2418">
        <v>0</v>
      </c>
      <c r="T2418">
        <v>1</v>
      </c>
    </row>
    <row r="2419" spans="1:20" ht="16.5" x14ac:dyDescent="0.3">
      <c r="A2419" t="s">
        <v>2473</v>
      </c>
      <c r="B2419" s="1">
        <v>45632</v>
      </c>
      <c r="C2419">
        <v>2024</v>
      </c>
      <c r="D2419" t="s">
        <v>1873</v>
      </c>
      <c r="E2419" t="s">
        <v>2413</v>
      </c>
      <c r="F2419" t="s">
        <v>38</v>
      </c>
      <c r="G2419" t="s">
        <v>39</v>
      </c>
      <c r="H2419" t="s">
        <v>43</v>
      </c>
      <c r="I2419" t="s">
        <v>40</v>
      </c>
      <c r="J2419" t="s">
        <v>41</v>
      </c>
      <c r="K2419" t="s">
        <v>28</v>
      </c>
      <c r="L2419" s="2">
        <v>100</v>
      </c>
      <c r="M2419" s="3">
        <v>1013</v>
      </c>
      <c r="N2419">
        <v>3</v>
      </c>
      <c r="O2419">
        <v>2</v>
      </c>
      <c r="P2419">
        <v>1</v>
      </c>
      <c r="Q2419">
        <v>0</v>
      </c>
      <c r="R2419" s="4">
        <v>220.21</v>
      </c>
      <c r="S2419">
        <v>0</v>
      </c>
      <c r="T2419">
        <v>1</v>
      </c>
    </row>
    <row r="2420" spans="1:20" ht="16.5" x14ac:dyDescent="0.3">
      <c r="A2420" t="s">
        <v>2474</v>
      </c>
      <c r="B2420" s="1">
        <v>45632</v>
      </c>
      <c r="C2420">
        <v>2024</v>
      </c>
      <c r="D2420" t="s">
        <v>1873</v>
      </c>
      <c r="E2420" t="s">
        <v>2413</v>
      </c>
      <c r="F2420" t="s">
        <v>38</v>
      </c>
      <c r="G2420" t="s">
        <v>39</v>
      </c>
      <c r="H2420" t="s">
        <v>43</v>
      </c>
      <c r="I2420" t="s">
        <v>31</v>
      </c>
      <c r="J2420" t="s">
        <v>27</v>
      </c>
      <c r="K2420" t="s">
        <v>32</v>
      </c>
      <c r="L2420" s="2">
        <v>0.9</v>
      </c>
      <c r="M2420" s="3">
        <v>853</v>
      </c>
      <c r="N2420">
        <v>7</v>
      </c>
      <c r="O2420">
        <v>7</v>
      </c>
      <c r="P2420">
        <v>1</v>
      </c>
      <c r="Q2420">
        <v>0</v>
      </c>
      <c r="R2420" s="4">
        <v>14.02</v>
      </c>
      <c r="S2420">
        <v>0</v>
      </c>
      <c r="T2420">
        <v>1</v>
      </c>
    </row>
    <row r="2421" spans="1:20" ht="16.5" x14ac:dyDescent="0.3">
      <c r="A2421" t="s">
        <v>2475</v>
      </c>
      <c r="B2421" s="1">
        <v>45632</v>
      </c>
      <c r="C2421">
        <v>2024</v>
      </c>
      <c r="D2421" t="s">
        <v>1873</v>
      </c>
      <c r="E2421" t="s">
        <v>2413</v>
      </c>
      <c r="F2421" t="s">
        <v>38</v>
      </c>
      <c r="G2421" t="s">
        <v>35</v>
      </c>
      <c r="H2421" t="s">
        <v>36</v>
      </c>
      <c r="I2421" t="s">
        <v>26</v>
      </c>
      <c r="J2421" t="s">
        <v>27</v>
      </c>
      <c r="K2421" t="s">
        <v>32</v>
      </c>
      <c r="L2421" s="2">
        <v>16.100000000000001</v>
      </c>
      <c r="M2421" s="3">
        <v>203</v>
      </c>
      <c r="N2421">
        <v>3</v>
      </c>
      <c r="O2421">
        <v>2</v>
      </c>
      <c r="P2421">
        <v>1</v>
      </c>
      <c r="Q2421">
        <v>0</v>
      </c>
      <c r="R2421" s="4">
        <v>19.04</v>
      </c>
      <c r="S2421">
        <v>0</v>
      </c>
      <c r="T2421">
        <v>1</v>
      </c>
    </row>
    <row r="2422" spans="1:20" ht="16.5" x14ac:dyDescent="0.3">
      <c r="A2422" t="s">
        <v>2476</v>
      </c>
      <c r="B2422" s="1">
        <v>45633</v>
      </c>
      <c r="C2422">
        <v>2024</v>
      </c>
      <c r="D2422" t="s">
        <v>1873</v>
      </c>
      <c r="E2422" t="s">
        <v>2413</v>
      </c>
      <c r="F2422" t="s">
        <v>34</v>
      </c>
      <c r="G2422" t="s">
        <v>39</v>
      </c>
      <c r="H2422" t="s">
        <v>43</v>
      </c>
      <c r="I2422" t="s">
        <v>26</v>
      </c>
      <c r="J2422" t="s">
        <v>27</v>
      </c>
      <c r="K2422" t="s">
        <v>28</v>
      </c>
      <c r="L2422" s="2">
        <v>104.6</v>
      </c>
      <c r="M2422" s="3">
        <v>1245</v>
      </c>
      <c r="N2422">
        <v>5</v>
      </c>
      <c r="O2422">
        <v>7</v>
      </c>
      <c r="P2422">
        <v>0</v>
      </c>
      <c r="Q2422">
        <v>2</v>
      </c>
      <c r="R2422" s="4">
        <v>54.84</v>
      </c>
      <c r="S2422">
        <v>0</v>
      </c>
      <c r="T2422">
        <v>1</v>
      </c>
    </row>
    <row r="2423" spans="1:20" ht="16.5" x14ac:dyDescent="0.3">
      <c r="A2423" t="s">
        <v>2477</v>
      </c>
      <c r="B2423" s="1">
        <v>45633</v>
      </c>
      <c r="C2423">
        <v>2024</v>
      </c>
      <c r="D2423" t="s">
        <v>1873</v>
      </c>
      <c r="E2423" t="s">
        <v>2413</v>
      </c>
      <c r="F2423" t="s">
        <v>38</v>
      </c>
      <c r="G2423" t="s">
        <v>24</v>
      </c>
      <c r="H2423" t="s">
        <v>43</v>
      </c>
      <c r="I2423" t="s">
        <v>26</v>
      </c>
      <c r="J2423" t="s">
        <v>27</v>
      </c>
      <c r="K2423" t="s">
        <v>32</v>
      </c>
      <c r="L2423" s="2">
        <v>1.7</v>
      </c>
      <c r="M2423" s="3">
        <v>964</v>
      </c>
      <c r="N2423">
        <v>5</v>
      </c>
      <c r="O2423">
        <v>5</v>
      </c>
      <c r="P2423">
        <v>1</v>
      </c>
      <c r="Q2423">
        <v>0</v>
      </c>
      <c r="R2423" s="4">
        <v>22.52</v>
      </c>
      <c r="S2423">
        <v>0</v>
      </c>
      <c r="T2423">
        <v>1</v>
      </c>
    </row>
    <row r="2424" spans="1:20" ht="16.5" x14ac:dyDescent="0.3">
      <c r="A2424" t="s">
        <v>2478</v>
      </c>
      <c r="B2424" s="1">
        <v>45633</v>
      </c>
      <c r="C2424">
        <v>2024</v>
      </c>
      <c r="D2424" t="s">
        <v>1873</v>
      </c>
      <c r="E2424" t="s">
        <v>2413</v>
      </c>
      <c r="F2424" t="s">
        <v>23</v>
      </c>
      <c r="G2424" t="s">
        <v>39</v>
      </c>
      <c r="H2424" t="s">
        <v>25</v>
      </c>
      <c r="I2424" t="s">
        <v>40</v>
      </c>
      <c r="J2424" t="s">
        <v>41</v>
      </c>
      <c r="K2424" t="s">
        <v>28</v>
      </c>
      <c r="L2424" s="2">
        <v>140</v>
      </c>
      <c r="M2424" s="3">
        <v>885</v>
      </c>
      <c r="N2424">
        <v>2</v>
      </c>
      <c r="O2424">
        <v>2</v>
      </c>
      <c r="P2424">
        <v>1</v>
      </c>
      <c r="Q2424">
        <v>0</v>
      </c>
      <c r="R2424" s="4">
        <v>213.38</v>
      </c>
      <c r="S2424">
        <v>0</v>
      </c>
      <c r="T2424">
        <v>1</v>
      </c>
    </row>
    <row r="2425" spans="1:20" ht="16.5" x14ac:dyDescent="0.3">
      <c r="A2425" t="s">
        <v>2479</v>
      </c>
      <c r="B2425" s="1">
        <v>45633</v>
      </c>
      <c r="C2425">
        <v>2024</v>
      </c>
      <c r="D2425" t="s">
        <v>1873</v>
      </c>
      <c r="E2425" t="s">
        <v>2413</v>
      </c>
      <c r="F2425" t="s">
        <v>57</v>
      </c>
      <c r="G2425" t="s">
        <v>35</v>
      </c>
      <c r="H2425" t="s">
        <v>51</v>
      </c>
      <c r="I2425" t="s">
        <v>31</v>
      </c>
      <c r="J2425" t="s">
        <v>27</v>
      </c>
      <c r="K2425" t="s">
        <v>32</v>
      </c>
      <c r="L2425" s="2">
        <v>10.9</v>
      </c>
      <c r="M2425" s="3">
        <v>981</v>
      </c>
      <c r="N2425">
        <v>7</v>
      </c>
      <c r="O2425">
        <v>7</v>
      </c>
      <c r="P2425">
        <v>1</v>
      </c>
      <c r="Q2425">
        <v>0</v>
      </c>
      <c r="R2425" s="4">
        <v>17.309999999999999</v>
      </c>
      <c r="S2425">
        <v>0</v>
      </c>
      <c r="T2425">
        <v>1</v>
      </c>
    </row>
    <row r="2426" spans="1:20" ht="16.5" x14ac:dyDescent="0.3">
      <c r="A2426" t="s">
        <v>2480</v>
      </c>
      <c r="B2426" s="1">
        <v>45633</v>
      </c>
      <c r="C2426">
        <v>2024</v>
      </c>
      <c r="D2426" t="s">
        <v>1873</v>
      </c>
      <c r="E2426" t="s">
        <v>2413</v>
      </c>
      <c r="F2426" t="s">
        <v>23</v>
      </c>
      <c r="G2426" t="s">
        <v>24</v>
      </c>
      <c r="H2426" t="s">
        <v>51</v>
      </c>
      <c r="I2426" t="s">
        <v>26</v>
      </c>
      <c r="J2426" t="s">
        <v>27</v>
      </c>
      <c r="K2426" t="s">
        <v>28</v>
      </c>
      <c r="L2426" s="2">
        <v>83.3</v>
      </c>
      <c r="M2426" s="3">
        <v>1287</v>
      </c>
      <c r="N2426">
        <v>5</v>
      </c>
      <c r="O2426">
        <v>5</v>
      </c>
      <c r="P2426">
        <v>1</v>
      </c>
      <c r="Q2426">
        <v>0</v>
      </c>
      <c r="R2426" s="4">
        <v>64.45</v>
      </c>
      <c r="S2426">
        <v>0</v>
      </c>
      <c r="T2426">
        <v>1</v>
      </c>
    </row>
    <row r="2427" spans="1:20" ht="16.5" x14ac:dyDescent="0.3">
      <c r="A2427" t="s">
        <v>2481</v>
      </c>
      <c r="B2427" s="1">
        <v>45633</v>
      </c>
      <c r="C2427">
        <v>2024</v>
      </c>
      <c r="D2427" t="s">
        <v>1873</v>
      </c>
      <c r="E2427" t="s">
        <v>2413</v>
      </c>
      <c r="F2427" t="s">
        <v>23</v>
      </c>
      <c r="G2427" t="s">
        <v>39</v>
      </c>
      <c r="H2427" t="s">
        <v>36</v>
      </c>
      <c r="I2427" t="s">
        <v>26</v>
      </c>
      <c r="J2427" t="s">
        <v>27</v>
      </c>
      <c r="K2427" t="s">
        <v>32</v>
      </c>
      <c r="L2427" s="2">
        <v>9</v>
      </c>
      <c r="M2427" s="3">
        <v>309</v>
      </c>
      <c r="N2427">
        <v>3</v>
      </c>
      <c r="O2427">
        <v>2</v>
      </c>
      <c r="P2427">
        <v>1</v>
      </c>
      <c r="Q2427">
        <v>0</v>
      </c>
      <c r="R2427" s="4">
        <v>16.54</v>
      </c>
      <c r="S2427">
        <v>0</v>
      </c>
      <c r="T2427">
        <v>1</v>
      </c>
    </row>
    <row r="2428" spans="1:20" ht="16.5" x14ac:dyDescent="0.3">
      <c r="A2428" t="s">
        <v>2482</v>
      </c>
      <c r="B2428" s="1">
        <v>45633</v>
      </c>
      <c r="C2428">
        <v>2024</v>
      </c>
      <c r="D2428" t="s">
        <v>1873</v>
      </c>
      <c r="E2428" t="s">
        <v>2413</v>
      </c>
      <c r="F2428" t="s">
        <v>34</v>
      </c>
      <c r="G2428" t="s">
        <v>35</v>
      </c>
      <c r="H2428" t="s">
        <v>48</v>
      </c>
      <c r="I2428" t="s">
        <v>26</v>
      </c>
      <c r="J2428" t="s">
        <v>27</v>
      </c>
      <c r="K2428" t="s">
        <v>28</v>
      </c>
      <c r="L2428" s="2">
        <v>156.80000000000001</v>
      </c>
      <c r="M2428" s="3">
        <v>582</v>
      </c>
      <c r="N2428">
        <v>4</v>
      </c>
      <c r="O2428">
        <v>4</v>
      </c>
      <c r="P2428">
        <v>1</v>
      </c>
      <c r="Q2428">
        <v>0</v>
      </c>
      <c r="R2428" s="4">
        <v>66.3</v>
      </c>
      <c r="S2428">
        <v>0</v>
      </c>
      <c r="T2428">
        <v>1</v>
      </c>
    </row>
    <row r="2429" spans="1:20" ht="16.5" x14ac:dyDescent="0.3">
      <c r="A2429" t="s">
        <v>2483</v>
      </c>
      <c r="B2429" s="1">
        <v>45634</v>
      </c>
      <c r="C2429">
        <v>2024</v>
      </c>
      <c r="D2429" t="s">
        <v>1873</v>
      </c>
      <c r="E2429" t="s">
        <v>2413</v>
      </c>
      <c r="F2429" t="s">
        <v>38</v>
      </c>
      <c r="G2429" t="s">
        <v>35</v>
      </c>
      <c r="H2429" t="s">
        <v>36</v>
      </c>
      <c r="I2429" t="s">
        <v>26</v>
      </c>
      <c r="J2429" t="s">
        <v>27</v>
      </c>
      <c r="K2429" t="s">
        <v>32</v>
      </c>
      <c r="L2429" s="2">
        <v>15.8</v>
      </c>
      <c r="M2429" s="3">
        <v>236</v>
      </c>
      <c r="N2429">
        <v>3</v>
      </c>
      <c r="O2429">
        <v>2</v>
      </c>
      <c r="P2429">
        <v>1</v>
      </c>
      <c r="Q2429">
        <v>0</v>
      </c>
      <c r="R2429" s="4">
        <v>18.02</v>
      </c>
      <c r="S2429">
        <v>0</v>
      </c>
      <c r="T2429">
        <v>1</v>
      </c>
    </row>
    <row r="2430" spans="1:20" ht="16.5" x14ac:dyDescent="0.3">
      <c r="A2430" t="s">
        <v>2484</v>
      </c>
      <c r="B2430" s="1">
        <v>45634</v>
      </c>
      <c r="C2430">
        <v>2024</v>
      </c>
      <c r="D2430" t="s">
        <v>1873</v>
      </c>
      <c r="E2430" t="s">
        <v>2413</v>
      </c>
      <c r="F2430" t="s">
        <v>23</v>
      </c>
      <c r="G2430" t="s">
        <v>35</v>
      </c>
      <c r="H2430" t="s">
        <v>36</v>
      </c>
      <c r="I2430" t="s">
        <v>40</v>
      </c>
      <c r="J2430" t="s">
        <v>27</v>
      </c>
      <c r="K2430" t="s">
        <v>28</v>
      </c>
      <c r="L2430" s="2">
        <v>39.9</v>
      </c>
      <c r="M2430" s="3">
        <v>234</v>
      </c>
      <c r="N2430">
        <v>1</v>
      </c>
      <c r="O2430">
        <v>1</v>
      </c>
      <c r="P2430">
        <v>1</v>
      </c>
      <c r="Q2430">
        <v>0</v>
      </c>
      <c r="R2430" s="4">
        <v>58.13</v>
      </c>
      <c r="S2430">
        <v>0</v>
      </c>
      <c r="T2430">
        <v>1</v>
      </c>
    </row>
    <row r="2431" spans="1:20" ht="16.5" x14ac:dyDescent="0.3">
      <c r="A2431" t="s">
        <v>2485</v>
      </c>
      <c r="B2431" s="1">
        <v>45634</v>
      </c>
      <c r="C2431">
        <v>2024</v>
      </c>
      <c r="D2431" t="s">
        <v>1873</v>
      </c>
      <c r="E2431" t="s">
        <v>2413</v>
      </c>
      <c r="F2431" t="s">
        <v>57</v>
      </c>
      <c r="G2431" t="s">
        <v>24</v>
      </c>
      <c r="H2431" t="s">
        <v>48</v>
      </c>
      <c r="I2431" t="s">
        <v>40</v>
      </c>
      <c r="J2431" t="s">
        <v>27</v>
      </c>
      <c r="K2431" t="s">
        <v>32</v>
      </c>
      <c r="L2431" s="2">
        <v>7.7</v>
      </c>
      <c r="M2431" s="3">
        <v>413</v>
      </c>
      <c r="N2431">
        <v>2</v>
      </c>
      <c r="O2431">
        <v>1</v>
      </c>
      <c r="P2431">
        <v>1</v>
      </c>
      <c r="Q2431">
        <v>0</v>
      </c>
      <c r="R2431" s="4">
        <v>29.59</v>
      </c>
      <c r="S2431">
        <v>0</v>
      </c>
      <c r="T2431">
        <v>1</v>
      </c>
    </row>
    <row r="2432" spans="1:20" ht="16.5" x14ac:dyDescent="0.3">
      <c r="A2432" t="s">
        <v>2486</v>
      </c>
      <c r="B2432" s="1">
        <v>45634</v>
      </c>
      <c r="C2432">
        <v>2024</v>
      </c>
      <c r="D2432" t="s">
        <v>1873</v>
      </c>
      <c r="E2432" t="s">
        <v>2413</v>
      </c>
      <c r="F2432" t="s">
        <v>57</v>
      </c>
      <c r="G2432" t="s">
        <v>24</v>
      </c>
      <c r="H2432" t="s">
        <v>48</v>
      </c>
      <c r="I2432" t="s">
        <v>31</v>
      </c>
      <c r="J2432" t="s">
        <v>27</v>
      </c>
      <c r="K2432" t="s">
        <v>32</v>
      </c>
      <c r="L2432" s="2">
        <v>4.9000000000000004</v>
      </c>
      <c r="M2432" s="3">
        <v>461</v>
      </c>
      <c r="N2432">
        <v>6</v>
      </c>
      <c r="O2432">
        <v>5</v>
      </c>
      <c r="P2432">
        <v>1</v>
      </c>
      <c r="Q2432">
        <v>0</v>
      </c>
      <c r="R2432" s="4">
        <v>10.83</v>
      </c>
      <c r="S2432">
        <v>0</v>
      </c>
      <c r="T2432">
        <v>1</v>
      </c>
    </row>
    <row r="2433" spans="1:20" ht="16.5" x14ac:dyDescent="0.3">
      <c r="A2433" t="s">
        <v>2487</v>
      </c>
      <c r="B2433" s="1">
        <v>45634</v>
      </c>
      <c r="C2433">
        <v>2024</v>
      </c>
      <c r="D2433" t="s">
        <v>1873</v>
      </c>
      <c r="E2433" t="s">
        <v>2413</v>
      </c>
      <c r="F2433" t="s">
        <v>57</v>
      </c>
      <c r="G2433" t="s">
        <v>39</v>
      </c>
      <c r="H2433" t="s">
        <v>36</v>
      </c>
      <c r="I2433" t="s">
        <v>40</v>
      </c>
      <c r="J2433" t="s">
        <v>27</v>
      </c>
      <c r="K2433" t="s">
        <v>28</v>
      </c>
      <c r="L2433" s="2">
        <v>18.8</v>
      </c>
      <c r="M2433" s="3">
        <v>238</v>
      </c>
      <c r="N2433">
        <v>1</v>
      </c>
      <c r="O2433">
        <v>1</v>
      </c>
      <c r="P2433">
        <v>1</v>
      </c>
      <c r="Q2433">
        <v>0</v>
      </c>
      <c r="R2433" s="4">
        <v>34.93</v>
      </c>
      <c r="S2433">
        <v>0</v>
      </c>
      <c r="T2433">
        <v>1</v>
      </c>
    </row>
    <row r="2434" spans="1:20" ht="16.5" x14ac:dyDescent="0.3">
      <c r="A2434" t="s">
        <v>2488</v>
      </c>
      <c r="B2434" s="1">
        <v>45635</v>
      </c>
      <c r="C2434">
        <v>2024</v>
      </c>
      <c r="D2434" t="s">
        <v>1873</v>
      </c>
      <c r="E2434" t="s">
        <v>2413</v>
      </c>
      <c r="F2434" t="s">
        <v>30</v>
      </c>
      <c r="G2434" t="s">
        <v>35</v>
      </c>
      <c r="H2434" t="s">
        <v>51</v>
      </c>
      <c r="I2434" t="s">
        <v>26</v>
      </c>
      <c r="J2434" t="s">
        <v>27</v>
      </c>
      <c r="K2434" t="s">
        <v>32</v>
      </c>
      <c r="L2434" s="2">
        <v>19.2</v>
      </c>
      <c r="M2434" s="3">
        <v>1072</v>
      </c>
      <c r="N2434">
        <v>5</v>
      </c>
      <c r="O2434">
        <v>5</v>
      </c>
      <c r="P2434">
        <v>1</v>
      </c>
      <c r="Q2434">
        <v>0</v>
      </c>
      <c r="R2434" s="4">
        <v>29.24</v>
      </c>
      <c r="S2434">
        <v>0</v>
      </c>
      <c r="T2434">
        <v>1</v>
      </c>
    </row>
    <row r="2435" spans="1:20" ht="16.5" x14ac:dyDescent="0.3">
      <c r="A2435" t="s">
        <v>2489</v>
      </c>
      <c r="B2435" s="1">
        <v>45635</v>
      </c>
      <c r="C2435">
        <v>2024</v>
      </c>
      <c r="D2435" t="s">
        <v>1873</v>
      </c>
      <c r="E2435" t="s">
        <v>2413</v>
      </c>
      <c r="F2435" t="s">
        <v>38</v>
      </c>
      <c r="G2435" t="s">
        <v>35</v>
      </c>
      <c r="H2435" t="s">
        <v>25</v>
      </c>
      <c r="I2435" t="s">
        <v>31</v>
      </c>
      <c r="J2435" t="s">
        <v>27</v>
      </c>
      <c r="K2435" t="s">
        <v>32</v>
      </c>
      <c r="L2435" s="2">
        <v>1.6</v>
      </c>
      <c r="M2435" s="3">
        <v>787</v>
      </c>
      <c r="N2435">
        <v>6</v>
      </c>
      <c r="O2435">
        <v>5</v>
      </c>
      <c r="P2435">
        <v>1</v>
      </c>
      <c r="Q2435">
        <v>0</v>
      </c>
      <c r="R2435" s="4">
        <v>12.1</v>
      </c>
      <c r="S2435">
        <v>0</v>
      </c>
      <c r="T2435">
        <v>1</v>
      </c>
    </row>
    <row r="2436" spans="1:20" ht="16.5" x14ac:dyDescent="0.3">
      <c r="A2436" t="s">
        <v>2490</v>
      </c>
      <c r="B2436" s="1">
        <v>45635</v>
      </c>
      <c r="C2436">
        <v>2024</v>
      </c>
      <c r="D2436" t="s">
        <v>1873</v>
      </c>
      <c r="E2436" t="s">
        <v>2413</v>
      </c>
      <c r="F2436" t="s">
        <v>57</v>
      </c>
      <c r="G2436" t="s">
        <v>35</v>
      </c>
      <c r="H2436" t="s">
        <v>25</v>
      </c>
      <c r="I2436" t="s">
        <v>40</v>
      </c>
      <c r="J2436" t="s">
        <v>41</v>
      </c>
      <c r="K2436" t="s">
        <v>32</v>
      </c>
      <c r="L2436" s="2">
        <v>11.5</v>
      </c>
      <c r="M2436" s="3">
        <v>678</v>
      </c>
      <c r="N2436">
        <v>2</v>
      </c>
      <c r="O2436">
        <v>3</v>
      </c>
      <c r="P2436">
        <v>0</v>
      </c>
      <c r="Q2436">
        <v>1</v>
      </c>
      <c r="R2436" s="4">
        <v>69.430000000000007</v>
      </c>
      <c r="S2436">
        <v>0</v>
      </c>
      <c r="T2436">
        <v>1</v>
      </c>
    </row>
    <row r="2437" spans="1:20" ht="16.5" x14ac:dyDescent="0.3">
      <c r="A2437" t="s">
        <v>2491</v>
      </c>
      <c r="B2437" s="1">
        <v>45635</v>
      </c>
      <c r="C2437">
        <v>2024</v>
      </c>
      <c r="D2437" t="s">
        <v>1873</v>
      </c>
      <c r="E2437" t="s">
        <v>2413</v>
      </c>
      <c r="F2437" t="s">
        <v>30</v>
      </c>
      <c r="G2437" t="s">
        <v>39</v>
      </c>
      <c r="H2437" t="s">
        <v>43</v>
      </c>
      <c r="I2437" t="s">
        <v>26</v>
      </c>
      <c r="J2437" t="s">
        <v>27</v>
      </c>
      <c r="K2437" t="s">
        <v>32</v>
      </c>
      <c r="L2437" s="2">
        <v>2.7</v>
      </c>
      <c r="M2437" s="3">
        <v>1121</v>
      </c>
      <c r="N2437">
        <v>5</v>
      </c>
      <c r="O2437">
        <v>4</v>
      </c>
      <c r="P2437">
        <v>1</v>
      </c>
      <c r="Q2437">
        <v>0</v>
      </c>
      <c r="R2437" s="4">
        <v>21.99</v>
      </c>
      <c r="S2437">
        <v>0</v>
      </c>
      <c r="T2437">
        <v>1</v>
      </c>
    </row>
    <row r="2438" spans="1:20" ht="16.5" x14ac:dyDescent="0.3">
      <c r="A2438" t="s">
        <v>2492</v>
      </c>
      <c r="B2438" s="1">
        <v>45635</v>
      </c>
      <c r="C2438">
        <v>2024</v>
      </c>
      <c r="D2438" t="s">
        <v>1873</v>
      </c>
      <c r="E2438" t="s">
        <v>2413</v>
      </c>
      <c r="F2438" t="s">
        <v>57</v>
      </c>
      <c r="G2438" t="s">
        <v>24</v>
      </c>
      <c r="H2438" t="s">
        <v>36</v>
      </c>
      <c r="I2438" t="s">
        <v>31</v>
      </c>
      <c r="J2438" t="s">
        <v>27</v>
      </c>
      <c r="K2438" t="s">
        <v>28</v>
      </c>
      <c r="L2438" s="2">
        <v>107</v>
      </c>
      <c r="M2438" s="3">
        <v>257</v>
      </c>
      <c r="N2438">
        <v>5</v>
      </c>
      <c r="O2438">
        <v>5</v>
      </c>
      <c r="P2438">
        <v>1</v>
      </c>
      <c r="Q2438">
        <v>0</v>
      </c>
      <c r="R2438" s="4">
        <v>43.49</v>
      </c>
      <c r="S2438">
        <v>0</v>
      </c>
      <c r="T2438">
        <v>1</v>
      </c>
    </row>
    <row r="2439" spans="1:20" ht="16.5" x14ac:dyDescent="0.3">
      <c r="A2439" t="s">
        <v>2493</v>
      </c>
      <c r="B2439" s="1">
        <v>45635</v>
      </c>
      <c r="C2439">
        <v>2024</v>
      </c>
      <c r="D2439" t="s">
        <v>1873</v>
      </c>
      <c r="E2439" t="s">
        <v>2413</v>
      </c>
      <c r="F2439" t="s">
        <v>57</v>
      </c>
      <c r="G2439" t="s">
        <v>24</v>
      </c>
      <c r="H2439" t="s">
        <v>36</v>
      </c>
      <c r="I2439" t="s">
        <v>31</v>
      </c>
      <c r="J2439" t="s">
        <v>27</v>
      </c>
      <c r="K2439" t="s">
        <v>32</v>
      </c>
      <c r="L2439" s="2">
        <v>4.7</v>
      </c>
      <c r="M2439" s="3">
        <v>208</v>
      </c>
      <c r="N2439">
        <v>5</v>
      </c>
      <c r="O2439">
        <v>5</v>
      </c>
      <c r="P2439">
        <v>1</v>
      </c>
      <c r="Q2439">
        <v>0</v>
      </c>
      <c r="R2439" s="4">
        <v>8.8000000000000007</v>
      </c>
      <c r="S2439">
        <v>0</v>
      </c>
      <c r="T2439">
        <v>1</v>
      </c>
    </row>
    <row r="2440" spans="1:20" ht="16.5" x14ac:dyDescent="0.3">
      <c r="A2440" t="s">
        <v>2494</v>
      </c>
      <c r="B2440" s="1">
        <v>45635</v>
      </c>
      <c r="C2440">
        <v>2024</v>
      </c>
      <c r="D2440" t="s">
        <v>1873</v>
      </c>
      <c r="E2440" t="s">
        <v>2413</v>
      </c>
      <c r="F2440" t="s">
        <v>23</v>
      </c>
      <c r="G2440" t="s">
        <v>39</v>
      </c>
      <c r="H2440" t="s">
        <v>25</v>
      </c>
      <c r="I2440" t="s">
        <v>26</v>
      </c>
      <c r="J2440" t="s">
        <v>27</v>
      </c>
      <c r="K2440" t="s">
        <v>32</v>
      </c>
      <c r="L2440" s="2">
        <v>9.6999999999999993</v>
      </c>
      <c r="M2440" s="3">
        <v>978</v>
      </c>
      <c r="N2440">
        <v>4</v>
      </c>
      <c r="O2440">
        <v>4</v>
      </c>
      <c r="P2440">
        <v>1</v>
      </c>
      <c r="Q2440">
        <v>0</v>
      </c>
      <c r="R2440" s="4">
        <v>23.05</v>
      </c>
      <c r="S2440">
        <v>0</v>
      </c>
      <c r="T2440">
        <v>1</v>
      </c>
    </row>
    <row r="2441" spans="1:20" ht="16.5" x14ac:dyDescent="0.3">
      <c r="A2441" t="s">
        <v>2495</v>
      </c>
      <c r="B2441" s="1">
        <v>45635</v>
      </c>
      <c r="C2441">
        <v>2024</v>
      </c>
      <c r="D2441" t="s">
        <v>1873</v>
      </c>
      <c r="E2441" t="s">
        <v>2413</v>
      </c>
      <c r="F2441" t="s">
        <v>23</v>
      </c>
      <c r="G2441" t="s">
        <v>39</v>
      </c>
      <c r="H2441" t="s">
        <v>43</v>
      </c>
      <c r="I2441" t="s">
        <v>31</v>
      </c>
      <c r="J2441" t="s">
        <v>27</v>
      </c>
      <c r="K2441" t="s">
        <v>32</v>
      </c>
      <c r="L2441" s="2">
        <v>3.2</v>
      </c>
      <c r="M2441" s="3">
        <v>1016</v>
      </c>
      <c r="N2441">
        <v>7</v>
      </c>
      <c r="O2441">
        <v>7</v>
      </c>
      <c r="P2441">
        <v>1</v>
      </c>
      <c r="Q2441">
        <v>0</v>
      </c>
      <c r="R2441" s="4">
        <v>15.65</v>
      </c>
      <c r="S2441">
        <v>0</v>
      </c>
      <c r="T2441">
        <v>1</v>
      </c>
    </row>
    <row r="2442" spans="1:20" ht="16.5" x14ac:dyDescent="0.3">
      <c r="A2442" t="s">
        <v>2496</v>
      </c>
      <c r="B2442" s="1">
        <v>45635</v>
      </c>
      <c r="C2442">
        <v>2024</v>
      </c>
      <c r="D2442" t="s">
        <v>1873</v>
      </c>
      <c r="E2442" t="s">
        <v>2413</v>
      </c>
      <c r="F2442" t="s">
        <v>57</v>
      </c>
      <c r="G2442" t="s">
        <v>24</v>
      </c>
      <c r="H2442" t="s">
        <v>51</v>
      </c>
      <c r="I2442" t="s">
        <v>40</v>
      </c>
      <c r="J2442" t="s">
        <v>41</v>
      </c>
      <c r="K2442" t="s">
        <v>32</v>
      </c>
      <c r="L2442" s="2">
        <v>6.1</v>
      </c>
      <c r="M2442" s="3">
        <v>1008</v>
      </c>
      <c r="N2442">
        <v>3</v>
      </c>
      <c r="O2442">
        <v>3</v>
      </c>
      <c r="P2442">
        <v>1</v>
      </c>
      <c r="Q2442">
        <v>0</v>
      </c>
      <c r="R2442" s="4">
        <v>68.8</v>
      </c>
      <c r="S2442">
        <v>0</v>
      </c>
      <c r="T2442">
        <v>1</v>
      </c>
    </row>
    <row r="2443" spans="1:20" ht="16.5" x14ac:dyDescent="0.3">
      <c r="A2443" t="s">
        <v>2497</v>
      </c>
      <c r="B2443" s="1">
        <v>45635</v>
      </c>
      <c r="C2443">
        <v>2024</v>
      </c>
      <c r="D2443" t="s">
        <v>1873</v>
      </c>
      <c r="E2443" t="s">
        <v>2413</v>
      </c>
      <c r="F2443" t="s">
        <v>23</v>
      </c>
      <c r="G2443" t="s">
        <v>39</v>
      </c>
      <c r="H2443" t="s">
        <v>43</v>
      </c>
      <c r="I2443" t="s">
        <v>26</v>
      </c>
      <c r="J2443" t="s">
        <v>27</v>
      </c>
      <c r="K2443" t="s">
        <v>28</v>
      </c>
      <c r="L2443" s="2">
        <v>97.3</v>
      </c>
      <c r="M2443" s="3">
        <v>904</v>
      </c>
      <c r="N2443">
        <v>5</v>
      </c>
      <c r="O2443">
        <v>5</v>
      </c>
      <c r="P2443">
        <v>1</v>
      </c>
      <c r="Q2443">
        <v>0</v>
      </c>
      <c r="R2443" s="4">
        <v>58.69</v>
      </c>
      <c r="S2443">
        <v>0</v>
      </c>
      <c r="T2443">
        <v>1</v>
      </c>
    </row>
    <row r="2444" spans="1:20" ht="16.5" x14ac:dyDescent="0.3">
      <c r="A2444" t="s">
        <v>2498</v>
      </c>
      <c r="B2444" s="1">
        <v>45635</v>
      </c>
      <c r="C2444">
        <v>2024</v>
      </c>
      <c r="D2444" t="s">
        <v>1873</v>
      </c>
      <c r="E2444" t="s">
        <v>2413</v>
      </c>
      <c r="F2444" t="s">
        <v>38</v>
      </c>
      <c r="G2444" t="s">
        <v>39</v>
      </c>
      <c r="H2444" t="s">
        <v>36</v>
      </c>
      <c r="I2444" t="s">
        <v>31</v>
      </c>
      <c r="J2444" t="s">
        <v>27</v>
      </c>
      <c r="K2444" t="s">
        <v>32</v>
      </c>
      <c r="L2444" s="2">
        <v>1.6</v>
      </c>
      <c r="M2444" s="3">
        <v>265</v>
      </c>
      <c r="N2444">
        <v>5</v>
      </c>
      <c r="O2444">
        <v>5</v>
      </c>
      <c r="P2444">
        <v>1</v>
      </c>
      <c r="Q2444">
        <v>0</v>
      </c>
      <c r="R2444" s="4">
        <v>9.01</v>
      </c>
      <c r="S2444">
        <v>0</v>
      </c>
      <c r="T2444">
        <v>1</v>
      </c>
    </row>
    <row r="2445" spans="1:20" ht="16.5" x14ac:dyDescent="0.3">
      <c r="A2445" t="s">
        <v>2499</v>
      </c>
      <c r="B2445" s="1">
        <v>45636</v>
      </c>
      <c r="C2445">
        <v>2024</v>
      </c>
      <c r="D2445" t="s">
        <v>1873</v>
      </c>
      <c r="E2445" t="s">
        <v>2413</v>
      </c>
      <c r="F2445" t="s">
        <v>38</v>
      </c>
      <c r="G2445" t="s">
        <v>35</v>
      </c>
      <c r="H2445" t="s">
        <v>36</v>
      </c>
      <c r="I2445" t="s">
        <v>26</v>
      </c>
      <c r="J2445" t="s">
        <v>27</v>
      </c>
      <c r="K2445" t="s">
        <v>32</v>
      </c>
      <c r="L2445" s="2">
        <v>2.4</v>
      </c>
      <c r="M2445" s="3">
        <v>255</v>
      </c>
      <c r="N2445">
        <v>3</v>
      </c>
      <c r="O2445">
        <v>3</v>
      </c>
      <c r="P2445">
        <v>1</v>
      </c>
      <c r="Q2445">
        <v>0</v>
      </c>
      <c r="R2445" s="4">
        <v>12.67</v>
      </c>
      <c r="S2445">
        <v>0</v>
      </c>
      <c r="T2445">
        <v>1</v>
      </c>
    </row>
    <row r="2446" spans="1:20" ht="16.5" x14ac:dyDescent="0.3">
      <c r="A2446" t="s">
        <v>2500</v>
      </c>
      <c r="B2446" s="1">
        <v>45636</v>
      </c>
      <c r="C2446">
        <v>2024</v>
      </c>
      <c r="D2446" t="s">
        <v>1873</v>
      </c>
      <c r="E2446" t="s">
        <v>2413</v>
      </c>
      <c r="F2446" t="s">
        <v>38</v>
      </c>
      <c r="G2446" t="s">
        <v>35</v>
      </c>
      <c r="H2446" t="s">
        <v>43</v>
      </c>
      <c r="I2446" t="s">
        <v>26</v>
      </c>
      <c r="J2446" t="s">
        <v>27</v>
      </c>
      <c r="K2446" t="s">
        <v>28</v>
      </c>
      <c r="L2446" s="2">
        <v>142.69999999999999</v>
      </c>
      <c r="M2446" s="3">
        <v>1156</v>
      </c>
      <c r="N2446">
        <v>5</v>
      </c>
      <c r="O2446">
        <v>9</v>
      </c>
      <c r="P2446">
        <v>0</v>
      </c>
      <c r="Q2446">
        <v>4</v>
      </c>
      <c r="R2446" s="4">
        <v>87.97</v>
      </c>
      <c r="S2446">
        <v>0</v>
      </c>
      <c r="T2446">
        <v>1</v>
      </c>
    </row>
    <row r="2447" spans="1:20" ht="16.5" x14ac:dyDescent="0.3">
      <c r="A2447" t="s">
        <v>2501</v>
      </c>
      <c r="B2447" s="1">
        <v>45636</v>
      </c>
      <c r="C2447">
        <v>2024</v>
      </c>
      <c r="D2447" t="s">
        <v>1873</v>
      </c>
      <c r="E2447" t="s">
        <v>2413</v>
      </c>
      <c r="F2447" t="s">
        <v>57</v>
      </c>
      <c r="G2447" t="s">
        <v>39</v>
      </c>
      <c r="H2447" t="s">
        <v>25</v>
      </c>
      <c r="I2447" t="s">
        <v>26</v>
      </c>
      <c r="J2447" t="s">
        <v>27</v>
      </c>
      <c r="K2447" t="s">
        <v>28</v>
      </c>
      <c r="L2447" s="2">
        <v>27.6</v>
      </c>
      <c r="M2447" s="3">
        <v>786</v>
      </c>
      <c r="N2447">
        <v>4</v>
      </c>
      <c r="O2447">
        <v>4</v>
      </c>
      <c r="P2447">
        <v>1</v>
      </c>
      <c r="Q2447">
        <v>0</v>
      </c>
      <c r="R2447" s="4">
        <v>31.84</v>
      </c>
      <c r="S2447">
        <v>0</v>
      </c>
      <c r="T2447">
        <v>1</v>
      </c>
    </row>
    <row r="2448" spans="1:20" ht="16.5" x14ac:dyDescent="0.3">
      <c r="A2448" t="s">
        <v>2502</v>
      </c>
      <c r="B2448" s="1">
        <v>45636</v>
      </c>
      <c r="C2448">
        <v>2024</v>
      </c>
      <c r="D2448" t="s">
        <v>1873</v>
      </c>
      <c r="E2448" t="s">
        <v>2413</v>
      </c>
      <c r="F2448" t="s">
        <v>38</v>
      </c>
      <c r="G2448" t="s">
        <v>39</v>
      </c>
      <c r="H2448" t="s">
        <v>25</v>
      </c>
      <c r="I2448" t="s">
        <v>31</v>
      </c>
      <c r="J2448" t="s">
        <v>27</v>
      </c>
      <c r="K2448" t="s">
        <v>28</v>
      </c>
      <c r="L2448" s="2">
        <v>31.3</v>
      </c>
      <c r="M2448" s="3">
        <v>915</v>
      </c>
      <c r="N2448">
        <v>6</v>
      </c>
      <c r="O2448">
        <v>6</v>
      </c>
      <c r="P2448">
        <v>1</v>
      </c>
      <c r="Q2448">
        <v>0</v>
      </c>
      <c r="R2448" s="4">
        <v>23.76</v>
      </c>
      <c r="S2448">
        <v>0</v>
      </c>
      <c r="T2448">
        <v>1</v>
      </c>
    </row>
    <row r="2449" spans="1:20" ht="16.5" x14ac:dyDescent="0.3">
      <c r="A2449" t="s">
        <v>2503</v>
      </c>
      <c r="B2449" s="1">
        <v>45636</v>
      </c>
      <c r="C2449">
        <v>2024</v>
      </c>
      <c r="D2449" t="s">
        <v>1873</v>
      </c>
      <c r="E2449" t="s">
        <v>2413</v>
      </c>
      <c r="F2449" t="s">
        <v>57</v>
      </c>
      <c r="G2449" t="s">
        <v>35</v>
      </c>
      <c r="H2449" t="s">
        <v>36</v>
      </c>
      <c r="I2449" t="s">
        <v>26</v>
      </c>
      <c r="J2449" t="s">
        <v>27</v>
      </c>
      <c r="K2449" t="s">
        <v>32</v>
      </c>
      <c r="L2449" s="2">
        <v>2.2999999999999998</v>
      </c>
      <c r="M2449" s="3">
        <v>251</v>
      </c>
      <c r="N2449">
        <v>3</v>
      </c>
      <c r="O2449">
        <v>2</v>
      </c>
      <c r="P2449">
        <v>1</v>
      </c>
      <c r="Q2449">
        <v>0</v>
      </c>
      <c r="R2449" s="4">
        <v>11.91</v>
      </c>
      <c r="S2449">
        <v>0</v>
      </c>
      <c r="T2449">
        <v>1</v>
      </c>
    </row>
    <row r="2450" spans="1:20" ht="16.5" x14ac:dyDescent="0.3">
      <c r="A2450" t="s">
        <v>2504</v>
      </c>
      <c r="B2450" s="1">
        <v>45636</v>
      </c>
      <c r="C2450">
        <v>2024</v>
      </c>
      <c r="D2450" t="s">
        <v>1873</v>
      </c>
      <c r="E2450" t="s">
        <v>2413</v>
      </c>
      <c r="F2450" t="s">
        <v>38</v>
      </c>
      <c r="G2450" t="s">
        <v>35</v>
      </c>
      <c r="H2450" t="s">
        <v>25</v>
      </c>
      <c r="I2450" t="s">
        <v>26</v>
      </c>
      <c r="J2450" t="s">
        <v>27</v>
      </c>
      <c r="K2450" t="s">
        <v>32</v>
      </c>
      <c r="L2450" s="2">
        <v>1.3</v>
      </c>
      <c r="M2450" s="3">
        <v>960</v>
      </c>
      <c r="N2450">
        <v>4</v>
      </c>
      <c r="O2450">
        <v>3</v>
      </c>
      <c r="P2450">
        <v>1</v>
      </c>
      <c r="Q2450">
        <v>0</v>
      </c>
      <c r="R2450" s="4">
        <v>21.66</v>
      </c>
      <c r="S2450">
        <v>0</v>
      </c>
      <c r="T2450">
        <v>1</v>
      </c>
    </row>
    <row r="2451" spans="1:20" ht="16.5" x14ac:dyDescent="0.3">
      <c r="A2451" t="s">
        <v>2505</v>
      </c>
      <c r="B2451" s="1">
        <v>45637</v>
      </c>
      <c r="C2451">
        <v>2024</v>
      </c>
      <c r="D2451" t="s">
        <v>1873</v>
      </c>
      <c r="E2451" t="s">
        <v>2413</v>
      </c>
      <c r="F2451" t="s">
        <v>23</v>
      </c>
      <c r="G2451" t="s">
        <v>39</v>
      </c>
      <c r="H2451" t="s">
        <v>43</v>
      </c>
      <c r="I2451" t="s">
        <v>26</v>
      </c>
      <c r="J2451" t="s">
        <v>27</v>
      </c>
      <c r="K2451" t="s">
        <v>28</v>
      </c>
      <c r="L2451" s="2">
        <v>232.6</v>
      </c>
      <c r="M2451" s="3">
        <v>1228</v>
      </c>
      <c r="N2451">
        <v>5</v>
      </c>
      <c r="O2451">
        <v>4</v>
      </c>
      <c r="P2451">
        <v>1</v>
      </c>
      <c r="Q2451">
        <v>0</v>
      </c>
      <c r="R2451" s="4">
        <v>108.39</v>
      </c>
      <c r="S2451">
        <v>0</v>
      </c>
      <c r="T2451">
        <v>1</v>
      </c>
    </row>
    <row r="2452" spans="1:20" ht="16.5" x14ac:dyDescent="0.3">
      <c r="A2452" t="s">
        <v>2506</v>
      </c>
      <c r="B2452" s="1">
        <v>45637</v>
      </c>
      <c r="C2452">
        <v>2024</v>
      </c>
      <c r="D2452" t="s">
        <v>1873</v>
      </c>
      <c r="E2452" t="s">
        <v>2413</v>
      </c>
      <c r="F2452" t="s">
        <v>30</v>
      </c>
      <c r="G2452" t="s">
        <v>39</v>
      </c>
      <c r="H2452" t="s">
        <v>36</v>
      </c>
      <c r="I2452" t="s">
        <v>26</v>
      </c>
      <c r="J2452" t="s">
        <v>27</v>
      </c>
      <c r="K2452" t="s">
        <v>32</v>
      </c>
      <c r="L2452" s="2">
        <v>3.6</v>
      </c>
      <c r="M2452" s="3">
        <v>278</v>
      </c>
      <c r="N2452">
        <v>3</v>
      </c>
      <c r="O2452">
        <v>3</v>
      </c>
      <c r="P2452">
        <v>1</v>
      </c>
      <c r="Q2452">
        <v>0</v>
      </c>
      <c r="R2452" s="4">
        <v>11.02</v>
      </c>
      <c r="S2452">
        <v>0</v>
      </c>
      <c r="T2452">
        <v>1</v>
      </c>
    </row>
    <row r="2453" spans="1:20" ht="16.5" x14ac:dyDescent="0.3">
      <c r="A2453" t="s">
        <v>2507</v>
      </c>
      <c r="B2453" s="1">
        <v>45637</v>
      </c>
      <c r="C2453">
        <v>2024</v>
      </c>
      <c r="D2453" t="s">
        <v>1873</v>
      </c>
      <c r="E2453" t="s">
        <v>2413</v>
      </c>
      <c r="F2453" t="s">
        <v>30</v>
      </c>
      <c r="G2453" t="s">
        <v>39</v>
      </c>
      <c r="H2453" t="s">
        <v>36</v>
      </c>
      <c r="I2453" t="s">
        <v>26</v>
      </c>
      <c r="J2453" t="s">
        <v>27</v>
      </c>
      <c r="K2453" t="s">
        <v>32</v>
      </c>
      <c r="L2453" s="2">
        <v>4.2</v>
      </c>
      <c r="M2453" s="3">
        <v>268</v>
      </c>
      <c r="N2453">
        <v>3</v>
      </c>
      <c r="O2453">
        <v>3</v>
      </c>
      <c r="P2453">
        <v>1</v>
      </c>
      <c r="Q2453">
        <v>0</v>
      </c>
      <c r="R2453" s="4">
        <v>12.83</v>
      </c>
      <c r="S2453">
        <v>0</v>
      </c>
      <c r="T2453">
        <v>1</v>
      </c>
    </row>
    <row r="2454" spans="1:20" ht="16.5" x14ac:dyDescent="0.3">
      <c r="A2454" t="s">
        <v>2508</v>
      </c>
      <c r="B2454" s="1">
        <v>45637</v>
      </c>
      <c r="C2454">
        <v>2024</v>
      </c>
      <c r="D2454" t="s">
        <v>1873</v>
      </c>
      <c r="E2454" t="s">
        <v>2413</v>
      </c>
      <c r="F2454" t="s">
        <v>38</v>
      </c>
      <c r="G2454" t="s">
        <v>35</v>
      </c>
      <c r="H2454" t="s">
        <v>25</v>
      </c>
      <c r="I2454" t="s">
        <v>31</v>
      </c>
      <c r="J2454" t="s">
        <v>27</v>
      </c>
      <c r="K2454" t="s">
        <v>32</v>
      </c>
      <c r="L2454" s="2">
        <v>5.5</v>
      </c>
      <c r="M2454" s="3">
        <v>816</v>
      </c>
      <c r="N2454">
        <v>6</v>
      </c>
      <c r="O2454">
        <v>6</v>
      </c>
      <c r="P2454">
        <v>1</v>
      </c>
      <c r="Q2454">
        <v>0</v>
      </c>
      <c r="R2454" s="4">
        <v>14.7</v>
      </c>
      <c r="S2454">
        <v>0</v>
      </c>
      <c r="T2454">
        <v>1</v>
      </c>
    </row>
    <row r="2455" spans="1:20" ht="16.5" x14ac:dyDescent="0.3">
      <c r="A2455" t="s">
        <v>2509</v>
      </c>
      <c r="B2455" s="1">
        <v>45637</v>
      </c>
      <c r="C2455">
        <v>2024</v>
      </c>
      <c r="D2455" t="s">
        <v>1873</v>
      </c>
      <c r="E2455" t="s">
        <v>2413</v>
      </c>
      <c r="F2455" t="s">
        <v>30</v>
      </c>
      <c r="G2455" t="s">
        <v>35</v>
      </c>
      <c r="H2455" t="s">
        <v>43</v>
      </c>
      <c r="I2455" t="s">
        <v>31</v>
      </c>
      <c r="J2455" t="s">
        <v>27</v>
      </c>
      <c r="K2455" t="s">
        <v>32</v>
      </c>
      <c r="L2455" s="2">
        <v>4.4000000000000004</v>
      </c>
      <c r="M2455" s="3">
        <v>1520</v>
      </c>
      <c r="N2455">
        <v>7</v>
      </c>
      <c r="O2455">
        <v>10</v>
      </c>
      <c r="P2455">
        <v>0</v>
      </c>
      <c r="Q2455">
        <v>3</v>
      </c>
      <c r="R2455" s="4">
        <v>22.6</v>
      </c>
      <c r="S2455">
        <v>0</v>
      </c>
      <c r="T2455">
        <v>1</v>
      </c>
    </row>
    <row r="2456" spans="1:20" ht="16.5" x14ac:dyDescent="0.3">
      <c r="A2456" t="s">
        <v>2510</v>
      </c>
      <c r="B2456" s="1">
        <v>45637</v>
      </c>
      <c r="C2456">
        <v>2024</v>
      </c>
      <c r="D2456" t="s">
        <v>1873</v>
      </c>
      <c r="E2456" t="s">
        <v>2413</v>
      </c>
      <c r="F2456" t="s">
        <v>57</v>
      </c>
      <c r="G2456" t="s">
        <v>35</v>
      </c>
      <c r="H2456" t="s">
        <v>36</v>
      </c>
      <c r="I2456" t="s">
        <v>31</v>
      </c>
      <c r="J2456" t="s">
        <v>27</v>
      </c>
      <c r="K2456" t="s">
        <v>32</v>
      </c>
      <c r="L2456" s="2">
        <v>2.5</v>
      </c>
      <c r="M2456" s="3">
        <v>250</v>
      </c>
      <c r="N2456">
        <v>5</v>
      </c>
      <c r="O2456">
        <v>5</v>
      </c>
      <c r="P2456">
        <v>1</v>
      </c>
      <c r="Q2456">
        <v>0</v>
      </c>
      <c r="R2456" s="4">
        <v>8.1199999999999992</v>
      </c>
      <c r="S2456">
        <v>0</v>
      </c>
      <c r="T2456">
        <v>1</v>
      </c>
    </row>
    <row r="2457" spans="1:20" ht="16.5" x14ac:dyDescent="0.3">
      <c r="A2457" t="s">
        <v>2511</v>
      </c>
      <c r="B2457" s="1">
        <v>45638</v>
      </c>
      <c r="C2457">
        <v>2024</v>
      </c>
      <c r="D2457" t="s">
        <v>1873</v>
      </c>
      <c r="E2457" t="s">
        <v>2413</v>
      </c>
      <c r="F2457" t="s">
        <v>23</v>
      </c>
      <c r="G2457" t="s">
        <v>24</v>
      </c>
      <c r="H2457" t="s">
        <v>25</v>
      </c>
      <c r="I2457" t="s">
        <v>31</v>
      </c>
      <c r="J2457" t="s">
        <v>27</v>
      </c>
      <c r="K2457" t="s">
        <v>32</v>
      </c>
      <c r="L2457" s="2">
        <v>9.1</v>
      </c>
      <c r="M2457" s="3">
        <v>1058</v>
      </c>
      <c r="N2457">
        <v>6</v>
      </c>
      <c r="O2457">
        <v>8</v>
      </c>
      <c r="P2457">
        <v>0</v>
      </c>
      <c r="Q2457">
        <v>2</v>
      </c>
      <c r="R2457" s="4">
        <v>15.81</v>
      </c>
      <c r="S2457">
        <v>0</v>
      </c>
      <c r="T2457">
        <v>1</v>
      </c>
    </row>
    <row r="2458" spans="1:20" ht="16.5" x14ac:dyDescent="0.3">
      <c r="A2458" t="s">
        <v>2512</v>
      </c>
      <c r="B2458" s="1">
        <v>45638</v>
      </c>
      <c r="C2458">
        <v>2024</v>
      </c>
      <c r="D2458" t="s">
        <v>1873</v>
      </c>
      <c r="E2458" t="s">
        <v>2413</v>
      </c>
      <c r="F2458" t="s">
        <v>30</v>
      </c>
      <c r="G2458" t="s">
        <v>35</v>
      </c>
      <c r="H2458" t="s">
        <v>43</v>
      </c>
      <c r="I2458" t="s">
        <v>31</v>
      </c>
      <c r="J2458" t="s">
        <v>27</v>
      </c>
      <c r="K2458" t="s">
        <v>32</v>
      </c>
      <c r="L2458" s="2">
        <v>3.8</v>
      </c>
      <c r="M2458" s="3">
        <v>1261</v>
      </c>
      <c r="N2458">
        <v>7</v>
      </c>
      <c r="O2458">
        <v>6</v>
      </c>
      <c r="P2458">
        <v>1</v>
      </c>
      <c r="Q2458">
        <v>0</v>
      </c>
      <c r="R2458" s="4">
        <v>18.170000000000002</v>
      </c>
      <c r="S2458">
        <v>0</v>
      </c>
      <c r="T2458">
        <v>1</v>
      </c>
    </row>
    <row r="2459" spans="1:20" ht="16.5" x14ac:dyDescent="0.3">
      <c r="A2459" t="s">
        <v>2513</v>
      </c>
      <c r="B2459" s="1">
        <v>45638</v>
      </c>
      <c r="C2459">
        <v>2024</v>
      </c>
      <c r="D2459" t="s">
        <v>1873</v>
      </c>
      <c r="E2459" t="s">
        <v>2413</v>
      </c>
      <c r="F2459" t="s">
        <v>34</v>
      </c>
      <c r="G2459" t="s">
        <v>35</v>
      </c>
      <c r="H2459" t="s">
        <v>48</v>
      </c>
      <c r="I2459" t="s">
        <v>26</v>
      </c>
      <c r="J2459" t="s">
        <v>27</v>
      </c>
      <c r="K2459" t="s">
        <v>32</v>
      </c>
      <c r="L2459" s="2">
        <v>12.2</v>
      </c>
      <c r="M2459" s="3">
        <v>454</v>
      </c>
      <c r="N2459">
        <v>4</v>
      </c>
      <c r="O2459">
        <v>4</v>
      </c>
      <c r="P2459">
        <v>1</v>
      </c>
      <c r="Q2459">
        <v>0</v>
      </c>
      <c r="R2459" s="4">
        <v>16.829999999999998</v>
      </c>
      <c r="S2459">
        <v>0</v>
      </c>
      <c r="T2459">
        <v>1</v>
      </c>
    </row>
    <row r="2460" spans="1:20" ht="16.5" x14ac:dyDescent="0.3">
      <c r="A2460" t="s">
        <v>2514</v>
      </c>
      <c r="B2460" s="1">
        <v>45638</v>
      </c>
      <c r="C2460">
        <v>2024</v>
      </c>
      <c r="D2460" t="s">
        <v>1873</v>
      </c>
      <c r="E2460" t="s">
        <v>2413</v>
      </c>
      <c r="F2460" t="s">
        <v>34</v>
      </c>
      <c r="G2460" t="s">
        <v>39</v>
      </c>
      <c r="H2460" t="s">
        <v>51</v>
      </c>
      <c r="I2460" t="s">
        <v>26</v>
      </c>
      <c r="J2460" t="s">
        <v>27</v>
      </c>
      <c r="K2460" t="s">
        <v>28</v>
      </c>
      <c r="L2460" s="2">
        <v>108.2</v>
      </c>
      <c r="M2460" s="3">
        <v>1041</v>
      </c>
      <c r="N2460">
        <v>5</v>
      </c>
      <c r="O2460">
        <v>4</v>
      </c>
      <c r="P2460">
        <v>1</v>
      </c>
      <c r="Q2460">
        <v>0</v>
      </c>
      <c r="R2460" s="4">
        <v>55.31</v>
      </c>
      <c r="S2460">
        <v>0</v>
      </c>
      <c r="T2460">
        <v>1</v>
      </c>
    </row>
    <row r="2461" spans="1:20" ht="16.5" x14ac:dyDescent="0.3">
      <c r="A2461" t="s">
        <v>2515</v>
      </c>
      <c r="B2461" s="1">
        <v>45638</v>
      </c>
      <c r="C2461">
        <v>2024</v>
      </c>
      <c r="D2461" t="s">
        <v>1873</v>
      </c>
      <c r="E2461" t="s">
        <v>2413</v>
      </c>
      <c r="F2461" t="s">
        <v>23</v>
      </c>
      <c r="G2461" t="s">
        <v>39</v>
      </c>
      <c r="H2461" t="s">
        <v>36</v>
      </c>
      <c r="I2461" t="s">
        <v>26</v>
      </c>
      <c r="J2461" t="s">
        <v>27</v>
      </c>
      <c r="K2461" t="s">
        <v>32</v>
      </c>
      <c r="L2461" s="2">
        <v>1.5</v>
      </c>
      <c r="M2461" s="3">
        <v>242</v>
      </c>
      <c r="N2461">
        <v>3</v>
      </c>
      <c r="O2461">
        <v>3</v>
      </c>
      <c r="P2461">
        <v>1</v>
      </c>
      <c r="Q2461">
        <v>0</v>
      </c>
      <c r="R2461" s="4">
        <v>10.78</v>
      </c>
      <c r="S2461">
        <v>0</v>
      </c>
      <c r="T2461">
        <v>1</v>
      </c>
    </row>
    <row r="2462" spans="1:20" ht="16.5" x14ac:dyDescent="0.3">
      <c r="A2462" t="s">
        <v>2516</v>
      </c>
      <c r="B2462" s="1">
        <v>45638</v>
      </c>
      <c r="C2462">
        <v>2024</v>
      </c>
      <c r="D2462" t="s">
        <v>1873</v>
      </c>
      <c r="E2462" t="s">
        <v>2413</v>
      </c>
      <c r="F2462" t="s">
        <v>30</v>
      </c>
      <c r="G2462" t="s">
        <v>24</v>
      </c>
      <c r="H2462" t="s">
        <v>48</v>
      </c>
      <c r="I2462" t="s">
        <v>31</v>
      </c>
      <c r="J2462" t="s">
        <v>27</v>
      </c>
      <c r="K2462" t="s">
        <v>32</v>
      </c>
      <c r="L2462" s="2">
        <v>1.9</v>
      </c>
      <c r="M2462" s="3">
        <v>522</v>
      </c>
      <c r="N2462">
        <v>6</v>
      </c>
      <c r="O2462">
        <v>6</v>
      </c>
      <c r="P2462">
        <v>1</v>
      </c>
      <c r="Q2462">
        <v>0</v>
      </c>
      <c r="R2462" s="4">
        <v>9.93</v>
      </c>
      <c r="S2462">
        <v>0</v>
      </c>
      <c r="T2462">
        <v>1</v>
      </c>
    </row>
    <row r="2463" spans="1:20" ht="16.5" x14ac:dyDescent="0.3">
      <c r="A2463" t="s">
        <v>2517</v>
      </c>
      <c r="B2463" s="1">
        <v>45639</v>
      </c>
      <c r="C2463">
        <v>2024</v>
      </c>
      <c r="D2463" t="s">
        <v>1873</v>
      </c>
      <c r="E2463" t="s">
        <v>2413</v>
      </c>
      <c r="F2463" t="s">
        <v>23</v>
      </c>
      <c r="G2463" t="s">
        <v>39</v>
      </c>
      <c r="H2463" t="s">
        <v>25</v>
      </c>
      <c r="I2463" t="s">
        <v>26</v>
      </c>
      <c r="J2463" t="s">
        <v>27</v>
      </c>
      <c r="K2463" t="s">
        <v>32</v>
      </c>
      <c r="L2463" s="2">
        <v>12.3</v>
      </c>
      <c r="M2463" s="3">
        <v>733</v>
      </c>
      <c r="N2463">
        <v>4</v>
      </c>
      <c r="O2463">
        <v>4</v>
      </c>
      <c r="P2463">
        <v>1</v>
      </c>
      <c r="Q2463">
        <v>0</v>
      </c>
      <c r="R2463" s="4">
        <v>20.28</v>
      </c>
      <c r="S2463">
        <v>0</v>
      </c>
      <c r="T2463">
        <v>1</v>
      </c>
    </row>
    <row r="2464" spans="1:20" ht="16.5" x14ac:dyDescent="0.3">
      <c r="A2464" t="s">
        <v>2518</v>
      </c>
      <c r="B2464" s="1">
        <v>45639</v>
      </c>
      <c r="C2464">
        <v>2024</v>
      </c>
      <c r="D2464" t="s">
        <v>1873</v>
      </c>
      <c r="E2464" t="s">
        <v>2413</v>
      </c>
      <c r="F2464" t="s">
        <v>57</v>
      </c>
      <c r="G2464" t="s">
        <v>35</v>
      </c>
      <c r="H2464" t="s">
        <v>48</v>
      </c>
      <c r="I2464" t="s">
        <v>26</v>
      </c>
      <c r="J2464" t="s">
        <v>27</v>
      </c>
      <c r="K2464" t="s">
        <v>32</v>
      </c>
      <c r="L2464" s="2">
        <v>3.7</v>
      </c>
      <c r="M2464" s="3">
        <v>557</v>
      </c>
      <c r="N2464">
        <v>4</v>
      </c>
      <c r="O2464">
        <v>3</v>
      </c>
      <c r="P2464">
        <v>1</v>
      </c>
      <c r="Q2464">
        <v>0</v>
      </c>
      <c r="R2464" s="4">
        <v>14.73</v>
      </c>
      <c r="S2464">
        <v>0</v>
      </c>
      <c r="T2464">
        <v>1</v>
      </c>
    </row>
    <row r="2465" spans="1:20" ht="16.5" x14ac:dyDescent="0.3">
      <c r="A2465" t="s">
        <v>2519</v>
      </c>
      <c r="B2465" s="1">
        <v>45639</v>
      </c>
      <c r="C2465">
        <v>2024</v>
      </c>
      <c r="D2465" t="s">
        <v>1873</v>
      </c>
      <c r="E2465" t="s">
        <v>2413</v>
      </c>
      <c r="F2465" t="s">
        <v>34</v>
      </c>
      <c r="G2465" t="s">
        <v>39</v>
      </c>
      <c r="H2465" t="s">
        <v>43</v>
      </c>
      <c r="I2465" t="s">
        <v>26</v>
      </c>
      <c r="J2465" t="s">
        <v>27</v>
      </c>
      <c r="K2465" t="s">
        <v>32</v>
      </c>
      <c r="L2465" s="2">
        <v>1.1000000000000001</v>
      </c>
      <c r="M2465" s="3">
        <v>1050</v>
      </c>
      <c r="N2465">
        <v>5</v>
      </c>
      <c r="O2465">
        <v>5</v>
      </c>
      <c r="P2465">
        <v>1</v>
      </c>
      <c r="Q2465">
        <v>0</v>
      </c>
      <c r="R2465" s="4">
        <v>17.18</v>
      </c>
      <c r="S2465">
        <v>0</v>
      </c>
      <c r="T2465">
        <v>1</v>
      </c>
    </row>
    <row r="2466" spans="1:20" ht="16.5" x14ac:dyDescent="0.3">
      <c r="A2466" t="s">
        <v>2520</v>
      </c>
      <c r="B2466" s="1">
        <v>45639</v>
      </c>
      <c r="C2466">
        <v>2024</v>
      </c>
      <c r="D2466" t="s">
        <v>1873</v>
      </c>
      <c r="E2466" t="s">
        <v>2413</v>
      </c>
      <c r="F2466" t="s">
        <v>23</v>
      </c>
      <c r="G2466" t="s">
        <v>35</v>
      </c>
      <c r="H2466" t="s">
        <v>43</v>
      </c>
      <c r="I2466" t="s">
        <v>26</v>
      </c>
      <c r="J2466" t="s">
        <v>27</v>
      </c>
      <c r="K2466" t="s">
        <v>32</v>
      </c>
      <c r="L2466" s="2">
        <v>9.8000000000000007</v>
      </c>
      <c r="M2466" s="3">
        <v>1070</v>
      </c>
      <c r="N2466">
        <v>5</v>
      </c>
      <c r="O2466">
        <v>7</v>
      </c>
      <c r="P2466">
        <v>0</v>
      </c>
      <c r="Q2466">
        <v>2</v>
      </c>
      <c r="R2466" s="4">
        <v>22.22</v>
      </c>
      <c r="S2466">
        <v>0</v>
      </c>
      <c r="T2466">
        <v>1</v>
      </c>
    </row>
    <row r="2467" spans="1:20" ht="16.5" x14ac:dyDescent="0.3">
      <c r="A2467" t="s">
        <v>2521</v>
      </c>
      <c r="B2467" s="1">
        <v>45639</v>
      </c>
      <c r="C2467">
        <v>2024</v>
      </c>
      <c r="D2467" t="s">
        <v>1873</v>
      </c>
      <c r="E2467" t="s">
        <v>2413</v>
      </c>
      <c r="F2467" t="s">
        <v>23</v>
      </c>
      <c r="G2467" t="s">
        <v>24</v>
      </c>
      <c r="H2467" t="s">
        <v>36</v>
      </c>
      <c r="I2467" t="s">
        <v>26</v>
      </c>
      <c r="J2467" t="s">
        <v>27</v>
      </c>
      <c r="K2467" t="s">
        <v>28</v>
      </c>
      <c r="L2467" s="2">
        <v>77.099999999999994</v>
      </c>
      <c r="M2467" s="3">
        <v>222</v>
      </c>
      <c r="N2467">
        <v>3</v>
      </c>
      <c r="O2467">
        <v>6</v>
      </c>
      <c r="P2467">
        <v>0</v>
      </c>
      <c r="Q2467">
        <v>3</v>
      </c>
      <c r="R2467" s="4">
        <v>46.82</v>
      </c>
      <c r="S2467">
        <v>0</v>
      </c>
      <c r="T2467">
        <v>1</v>
      </c>
    </row>
    <row r="2468" spans="1:20" ht="16.5" x14ac:dyDescent="0.3">
      <c r="A2468" t="s">
        <v>2522</v>
      </c>
      <c r="B2468" s="1">
        <v>45639</v>
      </c>
      <c r="C2468">
        <v>2024</v>
      </c>
      <c r="D2468" t="s">
        <v>1873</v>
      </c>
      <c r="E2468" t="s">
        <v>2413</v>
      </c>
      <c r="F2468" t="s">
        <v>57</v>
      </c>
      <c r="G2468" t="s">
        <v>35</v>
      </c>
      <c r="H2468" t="s">
        <v>36</v>
      </c>
      <c r="I2468" t="s">
        <v>31</v>
      </c>
      <c r="J2468" t="s">
        <v>27</v>
      </c>
      <c r="K2468" t="s">
        <v>32</v>
      </c>
      <c r="L2468" s="2">
        <v>2.9</v>
      </c>
      <c r="M2468" s="3">
        <v>220</v>
      </c>
      <c r="N2468">
        <v>5</v>
      </c>
      <c r="O2468">
        <v>5</v>
      </c>
      <c r="P2468">
        <v>1</v>
      </c>
      <c r="Q2468">
        <v>0</v>
      </c>
      <c r="R2468" s="4">
        <v>7.84</v>
      </c>
      <c r="S2468">
        <v>0</v>
      </c>
      <c r="T2468">
        <v>1</v>
      </c>
    </row>
    <row r="2469" spans="1:20" ht="16.5" x14ac:dyDescent="0.3">
      <c r="A2469" t="s">
        <v>2523</v>
      </c>
      <c r="B2469" s="1">
        <v>45639</v>
      </c>
      <c r="C2469">
        <v>2024</v>
      </c>
      <c r="D2469" t="s">
        <v>1873</v>
      </c>
      <c r="E2469" t="s">
        <v>2413</v>
      </c>
      <c r="F2469" t="s">
        <v>57</v>
      </c>
      <c r="G2469" t="s">
        <v>39</v>
      </c>
      <c r="H2469" t="s">
        <v>36</v>
      </c>
      <c r="I2469" t="s">
        <v>40</v>
      </c>
      <c r="J2469" t="s">
        <v>27</v>
      </c>
      <c r="K2469" t="s">
        <v>32</v>
      </c>
      <c r="L2469" s="2">
        <v>5.4</v>
      </c>
      <c r="M2469" s="3">
        <v>276</v>
      </c>
      <c r="N2469">
        <v>1</v>
      </c>
      <c r="O2469">
        <v>1</v>
      </c>
      <c r="P2469">
        <v>1</v>
      </c>
      <c r="Q2469">
        <v>0</v>
      </c>
      <c r="R2469" s="4">
        <v>23.8</v>
      </c>
      <c r="S2469">
        <v>0</v>
      </c>
      <c r="T2469">
        <v>1</v>
      </c>
    </row>
    <row r="2470" spans="1:20" ht="16.5" x14ac:dyDescent="0.3">
      <c r="A2470" t="s">
        <v>2524</v>
      </c>
      <c r="B2470" s="1">
        <v>45639</v>
      </c>
      <c r="C2470">
        <v>2024</v>
      </c>
      <c r="D2470" t="s">
        <v>1873</v>
      </c>
      <c r="E2470" t="s">
        <v>2413</v>
      </c>
      <c r="F2470" t="s">
        <v>23</v>
      </c>
      <c r="G2470" t="s">
        <v>35</v>
      </c>
      <c r="H2470" t="s">
        <v>51</v>
      </c>
      <c r="I2470" t="s">
        <v>40</v>
      </c>
      <c r="J2470" t="s">
        <v>41</v>
      </c>
      <c r="K2470" t="s">
        <v>28</v>
      </c>
      <c r="L2470" s="2">
        <v>138.69999999999999</v>
      </c>
      <c r="M2470" s="3">
        <v>1116</v>
      </c>
      <c r="N2470">
        <v>3</v>
      </c>
      <c r="O2470">
        <v>2</v>
      </c>
      <c r="P2470">
        <v>1</v>
      </c>
      <c r="Q2470">
        <v>0</v>
      </c>
      <c r="R2470" s="4">
        <v>219.93</v>
      </c>
      <c r="S2470">
        <v>0</v>
      </c>
      <c r="T2470">
        <v>1</v>
      </c>
    </row>
    <row r="2471" spans="1:20" ht="16.5" x14ac:dyDescent="0.3">
      <c r="A2471" t="s">
        <v>2525</v>
      </c>
      <c r="B2471" s="1">
        <v>45639</v>
      </c>
      <c r="C2471">
        <v>2024</v>
      </c>
      <c r="D2471" t="s">
        <v>1873</v>
      </c>
      <c r="E2471" t="s">
        <v>2413</v>
      </c>
      <c r="F2471" t="s">
        <v>34</v>
      </c>
      <c r="G2471" t="s">
        <v>39</v>
      </c>
      <c r="H2471" t="s">
        <v>25</v>
      </c>
      <c r="I2471" t="s">
        <v>26</v>
      </c>
      <c r="J2471" t="s">
        <v>27</v>
      </c>
      <c r="K2471" t="s">
        <v>32</v>
      </c>
      <c r="L2471" s="2">
        <v>8.4</v>
      </c>
      <c r="M2471" s="3">
        <v>905</v>
      </c>
      <c r="N2471">
        <v>4</v>
      </c>
      <c r="O2471">
        <v>4</v>
      </c>
      <c r="P2471">
        <v>1</v>
      </c>
      <c r="Q2471">
        <v>0</v>
      </c>
      <c r="R2471" s="4">
        <v>16.88</v>
      </c>
      <c r="S2471">
        <v>0</v>
      </c>
      <c r="T2471">
        <v>1</v>
      </c>
    </row>
    <row r="2472" spans="1:20" ht="16.5" x14ac:dyDescent="0.3">
      <c r="A2472" t="s">
        <v>2526</v>
      </c>
      <c r="B2472" s="1">
        <v>45639</v>
      </c>
      <c r="C2472">
        <v>2024</v>
      </c>
      <c r="D2472" t="s">
        <v>1873</v>
      </c>
      <c r="E2472" t="s">
        <v>2413</v>
      </c>
      <c r="F2472" t="s">
        <v>30</v>
      </c>
      <c r="G2472" t="s">
        <v>39</v>
      </c>
      <c r="H2472" t="s">
        <v>48</v>
      </c>
      <c r="I2472" t="s">
        <v>40</v>
      </c>
      <c r="J2472" t="s">
        <v>27</v>
      </c>
      <c r="K2472" t="s">
        <v>28</v>
      </c>
      <c r="L2472" s="2">
        <v>81.3</v>
      </c>
      <c r="M2472" s="3">
        <v>419</v>
      </c>
      <c r="N2472">
        <v>2</v>
      </c>
      <c r="O2472">
        <v>3</v>
      </c>
      <c r="P2472">
        <v>0</v>
      </c>
      <c r="Q2472">
        <v>1</v>
      </c>
      <c r="R2472" s="4">
        <v>100.97</v>
      </c>
      <c r="S2472">
        <v>0</v>
      </c>
      <c r="T2472">
        <v>1</v>
      </c>
    </row>
    <row r="2473" spans="1:20" ht="16.5" x14ac:dyDescent="0.3">
      <c r="A2473" t="s">
        <v>2527</v>
      </c>
      <c r="B2473" s="1">
        <v>45639</v>
      </c>
      <c r="C2473">
        <v>2024</v>
      </c>
      <c r="D2473" t="s">
        <v>1873</v>
      </c>
      <c r="E2473" t="s">
        <v>2413</v>
      </c>
      <c r="F2473" t="s">
        <v>34</v>
      </c>
      <c r="G2473" t="s">
        <v>39</v>
      </c>
      <c r="H2473" t="s">
        <v>51</v>
      </c>
      <c r="I2473" t="s">
        <v>26</v>
      </c>
      <c r="J2473" t="s">
        <v>27</v>
      </c>
      <c r="K2473" t="s">
        <v>28</v>
      </c>
      <c r="L2473" s="2">
        <v>20</v>
      </c>
      <c r="M2473" s="3">
        <v>958</v>
      </c>
      <c r="N2473">
        <v>5</v>
      </c>
      <c r="O2473">
        <v>4</v>
      </c>
      <c r="P2473">
        <v>1</v>
      </c>
      <c r="Q2473">
        <v>0</v>
      </c>
      <c r="R2473" s="4">
        <v>25.16</v>
      </c>
      <c r="S2473">
        <v>0</v>
      </c>
      <c r="T2473">
        <v>1</v>
      </c>
    </row>
    <row r="2474" spans="1:20" ht="16.5" x14ac:dyDescent="0.3">
      <c r="A2474" t="s">
        <v>2528</v>
      </c>
      <c r="B2474" s="1">
        <v>45639</v>
      </c>
      <c r="C2474">
        <v>2024</v>
      </c>
      <c r="D2474" t="s">
        <v>1873</v>
      </c>
      <c r="E2474" t="s">
        <v>2413</v>
      </c>
      <c r="F2474" t="s">
        <v>38</v>
      </c>
      <c r="G2474" t="s">
        <v>35</v>
      </c>
      <c r="H2474" t="s">
        <v>43</v>
      </c>
      <c r="I2474" t="s">
        <v>26</v>
      </c>
      <c r="J2474" t="s">
        <v>27</v>
      </c>
      <c r="K2474" t="s">
        <v>32</v>
      </c>
      <c r="L2474" s="2">
        <v>8.5</v>
      </c>
      <c r="M2474" s="3">
        <v>992</v>
      </c>
      <c r="N2474">
        <v>5</v>
      </c>
      <c r="O2474">
        <v>5</v>
      </c>
      <c r="P2474">
        <v>1</v>
      </c>
      <c r="Q2474">
        <v>0</v>
      </c>
      <c r="R2474" s="4">
        <v>23.63</v>
      </c>
      <c r="S2474">
        <v>0</v>
      </c>
      <c r="T2474">
        <v>1</v>
      </c>
    </row>
    <row r="2475" spans="1:20" ht="16.5" x14ac:dyDescent="0.3">
      <c r="A2475" t="s">
        <v>2529</v>
      </c>
      <c r="B2475" s="1">
        <v>45639</v>
      </c>
      <c r="C2475">
        <v>2024</v>
      </c>
      <c r="D2475" t="s">
        <v>1873</v>
      </c>
      <c r="E2475" t="s">
        <v>2413</v>
      </c>
      <c r="F2475" t="s">
        <v>23</v>
      </c>
      <c r="G2475" t="s">
        <v>35</v>
      </c>
      <c r="H2475" t="s">
        <v>48</v>
      </c>
      <c r="I2475" t="s">
        <v>26</v>
      </c>
      <c r="J2475" t="s">
        <v>27</v>
      </c>
      <c r="K2475" t="s">
        <v>32</v>
      </c>
      <c r="L2475" s="2">
        <v>2.7</v>
      </c>
      <c r="M2475" s="3">
        <v>364</v>
      </c>
      <c r="N2475">
        <v>4</v>
      </c>
      <c r="O2475">
        <v>4</v>
      </c>
      <c r="P2475">
        <v>1</v>
      </c>
      <c r="Q2475">
        <v>0</v>
      </c>
      <c r="R2475" s="4">
        <v>12.64</v>
      </c>
      <c r="S2475">
        <v>0</v>
      </c>
      <c r="T2475">
        <v>1</v>
      </c>
    </row>
    <row r="2476" spans="1:20" ht="16.5" x14ac:dyDescent="0.3">
      <c r="A2476" t="s">
        <v>2530</v>
      </c>
      <c r="B2476" s="1">
        <v>45640</v>
      </c>
      <c r="C2476">
        <v>2024</v>
      </c>
      <c r="D2476" t="s">
        <v>1873</v>
      </c>
      <c r="E2476" t="s">
        <v>2413</v>
      </c>
      <c r="F2476" t="s">
        <v>38</v>
      </c>
      <c r="G2476" t="s">
        <v>39</v>
      </c>
      <c r="H2476" t="s">
        <v>51</v>
      </c>
      <c r="I2476" t="s">
        <v>31</v>
      </c>
      <c r="J2476" t="s">
        <v>27</v>
      </c>
      <c r="K2476" t="s">
        <v>32</v>
      </c>
      <c r="L2476" s="2">
        <v>15.3</v>
      </c>
      <c r="M2476" s="3">
        <v>1082</v>
      </c>
      <c r="N2476">
        <v>7</v>
      </c>
      <c r="O2476">
        <v>7</v>
      </c>
      <c r="P2476">
        <v>1</v>
      </c>
      <c r="Q2476">
        <v>0</v>
      </c>
      <c r="R2476" s="4">
        <v>22.33</v>
      </c>
      <c r="S2476">
        <v>0</v>
      </c>
      <c r="T2476">
        <v>1</v>
      </c>
    </row>
    <row r="2477" spans="1:20" ht="16.5" x14ac:dyDescent="0.3">
      <c r="A2477" t="s">
        <v>2531</v>
      </c>
      <c r="B2477" s="1">
        <v>45640</v>
      </c>
      <c r="C2477">
        <v>2024</v>
      </c>
      <c r="D2477" t="s">
        <v>1873</v>
      </c>
      <c r="E2477" t="s">
        <v>2413</v>
      </c>
      <c r="F2477" t="s">
        <v>57</v>
      </c>
      <c r="G2477" t="s">
        <v>35</v>
      </c>
      <c r="H2477" t="s">
        <v>25</v>
      </c>
      <c r="I2477" t="s">
        <v>40</v>
      </c>
      <c r="J2477" t="s">
        <v>41</v>
      </c>
      <c r="K2477" t="s">
        <v>32</v>
      </c>
      <c r="L2477" s="2">
        <v>4.8</v>
      </c>
      <c r="M2477" s="3">
        <v>703</v>
      </c>
      <c r="N2477">
        <v>2</v>
      </c>
      <c r="O2477">
        <v>2</v>
      </c>
      <c r="P2477">
        <v>1</v>
      </c>
      <c r="Q2477">
        <v>0</v>
      </c>
      <c r="R2477" s="4">
        <v>52.26</v>
      </c>
      <c r="S2477">
        <v>0</v>
      </c>
      <c r="T2477">
        <v>1</v>
      </c>
    </row>
    <row r="2478" spans="1:20" ht="16.5" x14ac:dyDescent="0.3">
      <c r="A2478" t="s">
        <v>2532</v>
      </c>
      <c r="B2478" s="1">
        <v>45640</v>
      </c>
      <c r="C2478">
        <v>2024</v>
      </c>
      <c r="D2478" t="s">
        <v>1873</v>
      </c>
      <c r="E2478" t="s">
        <v>2413</v>
      </c>
      <c r="F2478" t="s">
        <v>38</v>
      </c>
      <c r="G2478" t="s">
        <v>39</v>
      </c>
      <c r="H2478" t="s">
        <v>36</v>
      </c>
      <c r="I2478" t="s">
        <v>40</v>
      </c>
      <c r="J2478" t="s">
        <v>27</v>
      </c>
      <c r="K2478" t="s">
        <v>32</v>
      </c>
      <c r="L2478" s="2">
        <v>3.6</v>
      </c>
      <c r="M2478" s="3">
        <v>272</v>
      </c>
      <c r="N2478">
        <v>1</v>
      </c>
      <c r="O2478">
        <v>1</v>
      </c>
      <c r="P2478">
        <v>1</v>
      </c>
      <c r="Q2478">
        <v>0</v>
      </c>
      <c r="R2478" s="4">
        <v>25.07</v>
      </c>
      <c r="S2478">
        <v>0</v>
      </c>
      <c r="T2478">
        <v>1</v>
      </c>
    </row>
    <row r="2479" spans="1:20" ht="16.5" x14ac:dyDescent="0.3">
      <c r="A2479" t="s">
        <v>2533</v>
      </c>
      <c r="B2479" s="1">
        <v>45640</v>
      </c>
      <c r="C2479">
        <v>2024</v>
      </c>
      <c r="D2479" t="s">
        <v>1873</v>
      </c>
      <c r="E2479" t="s">
        <v>2413</v>
      </c>
      <c r="F2479" t="s">
        <v>30</v>
      </c>
      <c r="G2479" t="s">
        <v>35</v>
      </c>
      <c r="H2479" t="s">
        <v>36</v>
      </c>
      <c r="I2479" t="s">
        <v>40</v>
      </c>
      <c r="J2479" t="s">
        <v>27</v>
      </c>
      <c r="K2479" t="s">
        <v>32</v>
      </c>
      <c r="L2479" s="2">
        <v>1.9</v>
      </c>
      <c r="M2479" s="3">
        <v>317</v>
      </c>
      <c r="N2479">
        <v>1</v>
      </c>
      <c r="O2479">
        <v>1</v>
      </c>
      <c r="P2479">
        <v>1</v>
      </c>
      <c r="Q2479">
        <v>0</v>
      </c>
      <c r="R2479" s="4">
        <v>23.84</v>
      </c>
      <c r="S2479">
        <v>0</v>
      </c>
      <c r="T2479">
        <v>1</v>
      </c>
    </row>
    <row r="2480" spans="1:20" ht="16.5" x14ac:dyDescent="0.3">
      <c r="A2480" t="s">
        <v>2534</v>
      </c>
      <c r="B2480" s="1">
        <v>45640</v>
      </c>
      <c r="C2480">
        <v>2024</v>
      </c>
      <c r="D2480" t="s">
        <v>1873</v>
      </c>
      <c r="E2480" t="s">
        <v>2413</v>
      </c>
      <c r="F2480" t="s">
        <v>57</v>
      </c>
      <c r="G2480" t="s">
        <v>39</v>
      </c>
      <c r="H2480" t="s">
        <v>36</v>
      </c>
      <c r="I2480" t="s">
        <v>26</v>
      </c>
      <c r="J2480" t="s">
        <v>27</v>
      </c>
      <c r="K2480" t="s">
        <v>32</v>
      </c>
      <c r="L2480" s="2">
        <v>8.4</v>
      </c>
      <c r="M2480" s="3">
        <v>187</v>
      </c>
      <c r="N2480">
        <v>3</v>
      </c>
      <c r="O2480">
        <v>2</v>
      </c>
      <c r="P2480">
        <v>1</v>
      </c>
      <c r="Q2480">
        <v>0</v>
      </c>
      <c r="R2480" s="4">
        <v>14.3</v>
      </c>
      <c r="S2480">
        <v>0</v>
      </c>
      <c r="T2480">
        <v>1</v>
      </c>
    </row>
    <row r="2481" spans="1:20" ht="16.5" x14ac:dyDescent="0.3">
      <c r="A2481" t="s">
        <v>2535</v>
      </c>
      <c r="B2481" s="1">
        <v>45640</v>
      </c>
      <c r="C2481">
        <v>2024</v>
      </c>
      <c r="D2481" t="s">
        <v>1873</v>
      </c>
      <c r="E2481" t="s">
        <v>2413</v>
      </c>
      <c r="F2481" t="s">
        <v>30</v>
      </c>
      <c r="G2481" t="s">
        <v>39</v>
      </c>
      <c r="H2481" t="s">
        <v>43</v>
      </c>
      <c r="I2481" t="s">
        <v>26</v>
      </c>
      <c r="J2481" t="s">
        <v>27</v>
      </c>
      <c r="K2481" t="s">
        <v>32</v>
      </c>
      <c r="L2481" s="2">
        <v>27.6</v>
      </c>
      <c r="M2481" s="3">
        <v>1295</v>
      </c>
      <c r="N2481">
        <v>5</v>
      </c>
      <c r="O2481">
        <v>6</v>
      </c>
      <c r="P2481">
        <v>0</v>
      </c>
      <c r="Q2481">
        <v>1</v>
      </c>
      <c r="R2481" s="4">
        <v>38.799999999999997</v>
      </c>
      <c r="S2481">
        <v>0</v>
      </c>
      <c r="T2481">
        <v>1</v>
      </c>
    </row>
    <row r="2482" spans="1:20" ht="16.5" x14ac:dyDescent="0.3">
      <c r="A2482" t="s">
        <v>2536</v>
      </c>
      <c r="B2482" s="1">
        <v>45640</v>
      </c>
      <c r="C2482">
        <v>2024</v>
      </c>
      <c r="D2482" t="s">
        <v>1873</v>
      </c>
      <c r="E2482" t="s">
        <v>2413</v>
      </c>
      <c r="F2482" t="s">
        <v>23</v>
      </c>
      <c r="G2482" t="s">
        <v>39</v>
      </c>
      <c r="H2482" t="s">
        <v>36</v>
      </c>
      <c r="I2482" t="s">
        <v>31</v>
      </c>
      <c r="J2482" t="s">
        <v>27</v>
      </c>
      <c r="K2482" t="s">
        <v>32</v>
      </c>
      <c r="L2482" s="2">
        <v>6.8</v>
      </c>
      <c r="M2482" s="3">
        <v>327</v>
      </c>
      <c r="N2482">
        <v>5</v>
      </c>
      <c r="O2482">
        <v>4</v>
      </c>
      <c r="P2482">
        <v>1</v>
      </c>
      <c r="Q2482">
        <v>0</v>
      </c>
      <c r="R2482" s="4">
        <v>9.59</v>
      </c>
      <c r="S2482">
        <v>0</v>
      </c>
      <c r="T2482">
        <v>1</v>
      </c>
    </row>
    <row r="2483" spans="1:20" ht="16.5" x14ac:dyDescent="0.3">
      <c r="A2483" t="s">
        <v>2537</v>
      </c>
      <c r="B2483" s="1">
        <v>45641</v>
      </c>
      <c r="C2483">
        <v>2024</v>
      </c>
      <c r="D2483" t="s">
        <v>1873</v>
      </c>
      <c r="E2483" t="s">
        <v>2413</v>
      </c>
      <c r="F2483" t="s">
        <v>23</v>
      </c>
      <c r="G2483" t="s">
        <v>39</v>
      </c>
      <c r="H2483" t="s">
        <v>25</v>
      </c>
      <c r="I2483" t="s">
        <v>26</v>
      </c>
      <c r="J2483" t="s">
        <v>27</v>
      </c>
      <c r="K2483" t="s">
        <v>28</v>
      </c>
      <c r="L2483" s="2">
        <v>56.5</v>
      </c>
      <c r="M2483" s="3">
        <v>949</v>
      </c>
      <c r="N2483">
        <v>4</v>
      </c>
      <c r="O2483">
        <v>5</v>
      </c>
      <c r="P2483">
        <v>0</v>
      </c>
      <c r="Q2483">
        <v>1</v>
      </c>
      <c r="R2483" s="4">
        <v>42.27</v>
      </c>
      <c r="S2483">
        <v>0</v>
      </c>
      <c r="T2483">
        <v>1</v>
      </c>
    </row>
    <row r="2484" spans="1:20" ht="16.5" x14ac:dyDescent="0.3">
      <c r="A2484" t="s">
        <v>2538</v>
      </c>
      <c r="B2484" s="1">
        <v>45641</v>
      </c>
      <c r="C2484">
        <v>2024</v>
      </c>
      <c r="D2484" t="s">
        <v>1873</v>
      </c>
      <c r="E2484" t="s">
        <v>2413</v>
      </c>
      <c r="F2484" t="s">
        <v>34</v>
      </c>
      <c r="G2484" t="s">
        <v>39</v>
      </c>
      <c r="H2484" t="s">
        <v>51</v>
      </c>
      <c r="I2484" t="s">
        <v>26</v>
      </c>
      <c r="J2484" t="s">
        <v>27</v>
      </c>
      <c r="K2484" t="s">
        <v>32</v>
      </c>
      <c r="L2484" s="2">
        <v>3.1</v>
      </c>
      <c r="M2484" s="3">
        <v>1233</v>
      </c>
      <c r="N2484">
        <v>5</v>
      </c>
      <c r="O2484">
        <v>6</v>
      </c>
      <c r="P2484">
        <v>0</v>
      </c>
      <c r="Q2484">
        <v>1</v>
      </c>
      <c r="R2484" s="4">
        <v>20.93</v>
      </c>
      <c r="S2484">
        <v>0</v>
      </c>
      <c r="T2484">
        <v>1</v>
      </c>
    </row>
    <row r="2485" spans="1:20" ht="16.5" x14ac:dyDescent="0.3">
      <c r="A2485" t="s">
        <v>2539</v>
      </c>
      <c r="B2485" s="1">
        <v>45641</v>
      </c>
      <c r="C2485">
        <v>2024</v>
      </c>
      <c r="D2485" t="s">
        <v>1873</v>
      </c>
      <c r="E2485" t="s">
        <v>2413</v>
      </c>
      <c r="F2485" t="s">
        <v>34</v>
      </c>
      <c r="G2485" t="s">
        <v>35</v>
      </c>
      <c r="H2485" t="s">
        <v>43</v>
      </c>
      <c r="I2485" t="s">
        <v>40</v>
      </c>
      <c r="J2485" t="s">
        <v>41</v>
      </c>
      <c r="K2485" t="s">
        <v>28</v>
      </c>
      <c r="L2485" s="2">
        <v>238.1</v>
      </c>
      <c r="M2485" s="3">
        <v>1123</v>
      </c>
      <c r="N2485">
        <v>3</v>
      </c>
      <c r="O2485">
        <v>4</v>
      </c>
      <c r="P2485">
        <v>0</v>
      </c>
      <c r="Q2485">
        <v>1</v>
      </c>
      <c r="R2485" s="4">
        <v>266.62</v>
      </c>
      <c r="S2485">
        <v>0</v>
      </c>
      <c r="T2485">
        <v>1</v>
      </c>
    </row>
    <row r="2486" spans="1:20" ht="16.5" x14ac:dyDescent="0.3">
      <c r="A2486" t="s">
        <v>2540</v>
      </c>
      <c r="B2486" s="1">
        <v>45641</v>
      </c>
      <c r="C2486">
        <v>2024</v>
      </c>
      <c r="D2486" t="s">
        <v>1873</v>
      </c>
      <c r="E2486" t="s">
        <v>2413</v>
      </c>
      <c r="F2486" t="s">
        <v>23</v>
      </c>
      <c r="G2486" t="s">
        <v>24</v>
      </c>
      <c r="H2486" t="s">
        <v>51</v>
      </c>
      <c r="I2486" t="s">
        <v>31</v>
      </c>
      <c r="J2486" t="s">
        <v>27</v>
      </c>
      <c r="K2486" t="s">
        <v>32</v>
      </c>
      <c r="L2486" s="2">
        <v>18</v>
      </c>
      <c r="M2486" s="3">
        <v>1111</v>
      </c>
      <c r="N2486">
        <v>7</v>
      </c>
      <c r="O2486">
        <v>7</v>
      </c>
      <c r="P2486">
        <v>1</v>
      </c>
      <c r="Q2486">
        <v>0</v>
      </c>
      <c r="R2486" s="4">
        <v>20.37</v>
      </c>
      <c r="S2486">
        <v>0</v>
      </c>
      <c r="T2486">
        <v>1</v>
      </c>
    </row>
    <row r="2487" spans="1:20" ht="16.5" x14ac:dyDescent="0.3">
      <c r="A2487" t="s">
        <v>2541</v>
      </c>
      <c r="B2487" s="1">
        <v>45641</v>
      </c>
      <c r="C2487">
        <v>2024</v>
      </c>
      <c r="D2487" t="s">
        <v>1873</v>
      </c>
      <c r="E2487" t="s">
        <v>2413</v>
      </c>
      <c r="F2487" t="s">
        <v>34</v>
      </c>
      <c r="G2487" t="s">
        <v>39</v>
      </c>
      <c r="H2487" t="s">
        <v>25</v>
      </c>
      <c r="I2487" t="s">
        <v>26</v>
      </c>
      <c r="J2487" t="s">
        <v>27</v>
      </c>
      <c r="K2487" t="s">
        <v>32</v>
      </c>
      <c r="L2487" s="2">
        <v>11.2</v>
      </c>
      <c r="M2487" s="3">
        <v>841</v>
      </c>
      <c r="N2487">
        <v>4</v>
      </c>
      <c r="O2487">
        <v>4</v>
      </c>
      <c r="P2487">
        <v>1</v>
      </c>
      <c r="Q2487">
        <v>0</v>
      </c>
      <c r="R2487" s="4">
        <v>18.45</v>
      </c>
      <c r="S2487">
        <v>0</v>
      </c>
      <c r="T2487">
        <v>1</v>
      </c>
    </row>
    <row r="2488" spans="1:20" ht="16.5" x14ac:dyDescent="0.3">
      <c r="A2488" t="s">
        <v>2542</v>
      </c>
      <c r="B2488" s="1">
        <v>45642</v>
      </c>
      <c r="C2488">
        <v>2024</v>
      </c>
      <c r="D2488" t="s">
        <v>1873</v>
      </c>
      <c r="E2488" t="s">
        <v>2413</v>
      </c>
      <c r="F2488" t="s">
        <v>57</v>
      </c>
      <c r="G2488" t="s">
        <v>35</v>
      </c>
      <c r="H2488" t="s">
        <v>25</v>
      </c>
      <c r="I2488" t="s">
        <v>31</v>
      </c>
      <c r="J2488" t="s">
        <v>27</v>
      </c>
      <c r="K2488" t="s">
        <v>32</v>
      </c>
      <c r="L2488" s="2">
        <v>3.3</v>
      </c>
      <c r="M2488" s="3">
        <v>831</v>
      </c>
      <c r="N2488">
        <v>6</v>
      </c>
      <c r="O2488">
        <v>6</v>
      </c>
      <c r="P2488">
        <v>1</v>
      </c>
      <c r="Q2488">
        <v>0</v>
      </c>
      <c r="R2488" s="4">
        <v>12.92</v>
      </c>
      <c r="S2488">
        <v>0</v>
      </c>
      <c r="T2488">
        <v>1</v>
      </c>
    </row>
    <row r="2489" spans="1:20" ht="16.5" x14ac:dyDescent="0.3">
      <c r="A2489" t="s">
        <v>2543</v>
      </c>
      <c r="B2489" s="1">
        <v>45642</v>
      </c>
      <c r="C2489">
        <v>2024</v>
      </c>
      <c r="D2489" t="s">
        <v>1873</v>
      </c>
      <c r="E2489" t="s">
        <v>2413</v>
      </c>
      <c r="F2489" t="s">
        <v>38</v>
      </c>
      <c r="G2489" t="s">
        <v>39</v>
      </c>
      <c r="H2489" t="s">
        <v>43</v>
      </c>
      <c r="I2489" t="s">
        <v>26</v>
      </c>
      <c r="J2489" t="s">
        <v>27</v>
      </c>
      <c r="K2489" t="s">
        <v>32</v>
      </c>
      <c r="L2489" s="2">
        <v>26.8</v>
      </c>
      <c r="M2489" s="3">
        <v>1030</v>
      </c>
      <c r="N2489">
        <v>5</v>
      </c>
      <c r="O2489">
        <v>4</v>
      </c>
      <c r="P2489">
        <v>1</v>
      </c>
      <c r="Q2489">
        <v>0</v>
      </c>
      <c r="R2489" s="4">
        <v>36.15</v>
      </c>
      <c r="S2489">
        <v>0</v>
      </c>
      <c r="T2489">
        <v>1</v>
      </c>
    </row>
    <row r="2490" spans="1:20" ht="16.5" x14ac:dyDescent="0.3">
      <c r="A2490" t="s">
        <v>2544</v>
      </c>
      <c r="B2490" s="1">
        <v>45642</v>
      </c>
      <c r="C2490">
        <v>2024</v>
      </c>
      <c r="D2490" t="s">
        <v>1873</v>
      </c>
      <c r="E2490" t="s">
        <v>2413</v>
      </c>
      <c r="F2490" t="s">
        <v>34</v>
      </c>
      <c r="G2490" t="s">
        <v>24</v>
      </c>
      <c r="H2490" t="s">
        <v>36</v>
      </c>
      <c r="I2490" t="s">
        <v>26</v>
      </c>
      <c r="J2490" t="s">
        <v>27</v>
      </c>
      <c r="K2490" t="s">
        <v>32</v>
      </c>
      <c r="L2490" s="2">
        <v>10.1</v>
      </c>
      <c r="M2490" s="3">
        <v>195</v>
      </c>
      <c r="N2490">
        <v>3</v>
      </c>
      <c r="O2490">
        <v>7</v>
      </c>
      <c r="P2490">
        <v>0</v>
      </c>
      <c r="Q2490">
        <v>4</v>
      </c>
      <c r="R2490" s="4">
        <v>12.32</v>
      </c>
      <c r="S2490">
        <v>0</v>
      </c>
      <c r="T2490">
        <v>1</v>
      </c>
    </row>
    <row r="2491" spans="1:20" ht="16.5" x14ac:dyDescent="0.3">
      <c r="A2491" t="s">
        <v>2545</v>
      </c>
      <c r="B2491" s="1">
        <v>45642</v>
      </c>
      <c r="C2491">
        <v>2024</v>
      </c>
      <c r="D2491" t="s">
        <v>1873</v>
      </c>
      <c r="E2491" t="s">
        <v>2413</v>
      </c>
      <c r="F2491" t="s">
        <v>57</v>
      </c>
      <c r="G2491" t="s">
        <v>35</v>
      </c>
      <c r="H2491" t="s">
        <v>25</v>
      </c>
      <c r="I2491" t="s">
        <v>40</v>
      </c>
      <c r="J2491" t="s">
        <v>41</v>
      </c>
      <c r="K2491" t="s">
        <v>32</v>
      </c>
      <c r="L2491" s="2">
        <v>5.7</v>
      </c>
      <c r="M2491" s="3">
        <v>912</v>
      </c>
      <c r="N2491">
        <v>2</v>
      </c>
      <c r="O2491">
        <v>2</v>
      </c>
      <c r="P2491">
        <v>1</v>
      </c>
      <c r="Q2491">
        <v>0</v>
      </c>
      <c r="R2491" s="4">
        <v>62.58</v>
      </c>
      <c r="S2491">
        <v>0</v>
      </c>
      <c r="T2491">
        <v>1</v>
      </c>
    </row>
    <row r="2492" spans="1:20" ht="16.5" x14ac:dyDescent="0.3">
      <c r="A2492" t="s">
        <v>2546</v>
      </c>
      <c r="B2492" s="1">
        <v>45642</v>
      </c>
      <c r="C2492">
        <v>2024</v>
      </c>
      <c r="D2492" t="s">
        <v>1873</v>
      </c>
      <c r="E2492" t="s">
        <v>2413</v>
      </c>
      <c r="F2492" t="s">
        <v>30</v>
      </c>
      <c r="G2492" t="s">
        <v>39</v>
      </c>
      <c r="H2492" t="s">
        <v>48</v>
      </c>
      <c r="I2492" t="s">
        <v>26</v>
      </c>
      <c r="J2492" t="s">
        <v>27</v>
      </c>
      <c r="K2492" t="s">
        <v>28</v>
      </c>
      <c r="L2492" s="2">
        <v>205.3</v>
      </c>
      <c r="M2492" s="3">
        <v>559</v>
      </c>
      <c r="N2492">
        <v>4</v>
      </c>
      <c r="O2492">
        <v>3</v>
      </c>
      <c r="P2492">
        <v>1</v>
      </c>
      <c r="Q2492">
        <v>0</v>
      </c>
      <c r="R2492" s="4">
        <v>106.15</v>
      </c>
      <c r="S2492">
        <v>0</v>
      </c>
      <c r="T2492">
        <v>1</v>
      </c>
    </row>
    <row r="2493" spans="1:20" ht="16.5" x14ac:dyDescent="0.3">
      <c r="A2493" t="s">
        <v>2547</v>
      </c>
      <c r="B2493" s="1">
        <v>45642</v>
      </c>
      <c r="C2493">
        <v>2024</v>
      </c>
      <c r="D2493" t="s">
        <v>1873</v>
      </c>
      <c r="E2493" t="s">
        <v>2413</v>
      </c>
      <c r="F2493" t="s">
        <v>38</v>
      </c>
      <c r="G2493" t="s">
        <v>39</v>
      </c>
      <c r="H2493" t="s">
        <v>36</v>
      </c>
      <c r="I2493" t="s">
        <v>31</v>
      </c>
      <c r="J2493" t="s">
        <v>27</v>
      </c>
      <c r="K2493" t="s">
        <v>28</v>
      </c>
      <c r="L2493" s="2">
        <v>197.9</v>
      </c>
      <c r="M2493" s="3">
        <v>300</v>
      </c>
      <c r="N2493">
        <v>5</v>
      </c>
      <c r="O2493">
        <v>5</v>
      </c>
      <c r="P2493">
        <v>1</v>
      </c>
      <c r="Q2493">
        <v>0</v>
      </c>
      <c r="R2493" s="4">
        <v>75.11</v>
      </c>
      <c r="S2493">
        <v>0</v>
      </c>
      <c r="T2493">
        <v>1</v>
      </c>
    </row>
    <row r="2494" spans="1:20" ht="16.5" x14ac:dyDescent="0.3">
      <c r="A2494" t="s">
        <v>2548</v>
      </c>
      <c r="B2494" s="1">
        <v>45642</v>
      </c>
      <c r="C2494">
        <v>2024</v>
      </c>
      <c r="D2494" t="s">
        <v>1873</v>
      </c>
      <c r="E2494" t="s">
        <v>2413</v>
      </c>
      <c r="F2494" t="s">
        <v>23</v>
      </c>
      <c r="G2494" t="s">
        <v>39</v>
      </c>
      <c r="H2494" t="s">
        <v>48</v>
      </c>
      <c r="I2494" t="s">
        <v>26</v>
      </c>
      <c r="J2494" t="s">
        <v>27</v>
      </c>
      <c r="K2494" t="s">
        <v>32</v>
      </c>
      <c r="L2494" s="2">
        <v>4.3</v>
      </c>
      <c r="M2494" s="3">
        <v>521</v>
      </c>
      <c r="N2494">
        <v>4</v>
      </c>
      <c r="O2494">
        <v>4</v>
      </c>
      <c r="P2494">
        <v>1</v>
      </c>
      <c r="Q2494">
        <v>0</v>
      </c>
      <c r="R2494" s="4">
        <v>14.49</v>
      </c>
      <c r="S2494">
        <v>0</v>
      </c>
      <c r="T2494">
        <v>1</v>
      </c>
    </row>
    <row r="2495" spans="1:20" ht="16.5" x14ac:dyDescent="0.3">
      <c r="A2495" t="s">
        <v>2549</v>
      </c>
      <c r="B2495" s="1">
        <v>45642</v>
      </c>
      <c r="C2495">
        <v>2024</v>
      </c>
      <c r="D2495" t="s">
        <v>1873</v>
      </c>
      <c r="E2495" t="s">
        <v>2413</v>
      </c>
      <c r="F2495" t="s">
        <v>57</v>
      </c>
      <c r="G2495" t="s">
        <v>39</v>
      </c>
      <c r="H2495" t="s">
        <v>51</v>
      </c>
      <c r="I2495" t="s">
        <v>26</v>
      </c>
      <c r="J2495" t="s">
        <v>27</v>
      </c>
      <c r="K2495" t="s">
        <v>32</v>
      </c>
      <c r="L2495" s="2">
        <v>1.1000000000000001</v>
      </c>
      <c r="M2495" s="3">
        <v>1174</v>
      </c>
      <c r="N2495">
        <v>5</v>
      </c>
      <c r="O2495">
        <v>5</v>
      </c>
      <c r="P2495">
        <v>1</v>
      </c>
      <c r="Q2495">
        <v>0</v>
      </c>
      <c r="R2495" s="4">
        <v>21.6</v>
      </c>
      <c r="S2495">
        <v>0</v>
      </c>
      <c r="T2495">
        <v>1</v>
      </c>
    </row>
    <row r="2496" spans="1:20" ht="16.5" x14ac:dyDescent="0.3">
      <c r="A2496" t="s">
        <v>2550</v>
      </c>
      <c r="B2496" s="1">
        <v>45642</v>
      </c>
      <c r="C2496">
        <v>2024</v>
      </c>
      <c r="D2496" t="s">
        <v>1873</v>
      </c>
      <c r="E2496" t="s">
        <v>2413</v>
      </c>
      <c r="F2496" t="s">
        <v>34</v>
      </c>
      <c r="G2496" t="s">
        <v>39</v>
      </c>
      <c r="H2496" t="s">
        <v>43</v>
      </c>
      <c r="I2496" t="s">
        <v>26</v>
      </c>
      <c r="J2496" t="s">
        <v>27</v>
      </c>
      <c r="K2496" t="s">
        <v>32</v>
      </c>
      <c r="L2496" s="2">
        <v>5.8</v>
      </c>
      <c r="M2496" s="3">
        <v>1337</v>
      </c>
      <c r="N2496">
        <v>5</v>
      </c>
      <c r="O2496">
        <v>4</v>
      </c>
      <c r="P2496">
        <v>1</v>
      </c>
      <c r="Q2496">
        <v>0</v>
      </c>
      <c r="R2496" s="4">
        <v>21.94</v>
      </c>
      <c r="S2496">
        <v>0</v>
      </c>
      <c r="T2496">
        <v>1</v>
      </c>
    </row>
    <row r="2497" spans="1:20" ht="16.5" x14ac:dyDescent="0.3">
      <c r="A2497" t="s">
        <v>2551</v>
      </c>
      <c r="B2497" s="1">
        <v>45642</v>
      </c>
      <c r="C2497">
        <v>2024</v>
      </c>
      <c r="D2497" t="s">
        <v>1873</v>
      </c>
      <c r="E2497" t="s">
        <v>2413</v>
      </c>
      <c r="F2497" t="s">
        <v>38</v>
      </c>
      <c r="G2497" t="s">
        <v>35</v>
      </c>
      <c r="H2497" t="s">
        <v>48</v>
      </c>
      <c r="I2497" t="s">
        <v>31</v>
      </c>
      <c r="J2497" t="s">
        <v>27</v>
      </c>
      <c r="K2497" t="s">
        <v>28</v>
      </c>
      <c r="L2497" s="2">
        <v>150.6</v>
      </c>
      <c r="M2497" s="3">
        <v>331</v>
      </c>
      <c r="N2497">
        <v>6</v>
      </c>
      <c r="O2497">
        <v>7</v>
      </c>
      <c r="P2497">
        <v>0</v>
      </c>
      <c r="Q2497">
        <v>1</v>
      </c>
      <c r="R2497" s="4">
        <v>57.66</v>
      </c>
      <c r="S2497">
        <v>0</v>
      </c>
      <c r="T2497">
        <v>1</v>
      </c>
    </row>
    <row r="2498" spans="1:20" ht="16.5" x14ac:dyDescent="0.3">
      <c r="A2498" t="s">
        <v>2552</v>
      </c>
      <c r="B2498" s="1">
        <v>45642</v>
      </c>
      <c r="C2498">
        <v>2024</v>
      </c>
      <c r="D2498" t="s">
        <v>1873</v>
      </c>
      <c r="E2498" t="s">
        <v>2413</v>
      </c>
      <c r="F2498" t="s">
        <v>34</v>
      </c>
      <c r="G2498" t="s">
        <v>24</v>
      </c>
      <c r="H2498" t="s">
        <v>43</v>
      </c>
      <c r="I2498" t="s">
        <v>31</v>
      </c>
      <c r="J2498" t="s">
        <v>27</v>
      </c>
      <c r="K2498" t="s">
        <v>32</v>
      </c>
      <c r="L2498" s="2">
        <v>12.4</v>
      </c>
      <c r="M2498" s="3">
        <v>1330</v>
      </c>
      <c r="N2498">
        <v>7</v>
      </c>
      <c r="O2498">
        <v>7</v>
      </c>
      <c r="P2498">
        <v>1</v>
      </c>
      <c r="Q2498">
        <v>0</v>
      </c>
      <c r="R2498" s="4">
        <v>19.78</v>
      </c>
      <c r="S2498">
        <v>0</v>
      </c>
      <c r="T2498">
        <v>1</v>
      </c>
    </row>
    <row r="2499" spans="1:20" ht="16.5" x14ac:dyDescent="0.3">
      <c r="A2499" t="s">
        <v>2553</v>
      </c>
      <c r="B2499" s="1">
        <v>45642</v>
      </c>
      <c r="C2499">
        <v>2024</v>
      </c>
      <c r="D2499" t="s">
        <v>1873</v>
      </c>
      <c r="E2499" t="s">
        <v>2413</v>
      </c>
      <c r="F2499" t="s">
        <v>34</v>
      </c>
      <c r="G2499" t="s">
        <v>39</v>
      </c>
      <c r="H2499" t="s">
        <v>25</v>
      </c>
      <c r="I2499" t="s">
        <v>26</v>
      </c>
      <c r="J2499" t="s">
        <v>27</v>
      </c>
      <c r="K2499" t="s">
        <v>32</v>
      </c>
      <c r="L2499" s="2">
        <v>12.9</v>
      </c>
      <c r="M2499" s="3">
        <v>1060</v>
      </c>
      <c r="N2499">
        <v>4</v>
      </c>
      <c r="O2499">
        <v>8</v>
      </c>
      <c r="P2499">
        <v>0</v>
      </c>
      <c r="Q2499">
        <v>4</v>
      </c>
      <c r="R2499" s="4">
        <v>22.69</v>
      </c>
      <c r="S2499">
        <v>0</v>
      </c>
      <c r="T2499">
        <v>1</v>
      </c>
    </row>
    <row r="2500" spans="1:20" ht="16.5" x14ac:dyDescent="0.3">
      <c r="A2500" t="s">
        <v>2554</v>
      </c>
      <c r="B2500" s="1">
        <v>45642</v>
      </c>
      <c r="C2500">
        <v>2024</v>
      </c>
      <c r="D2500" t="s">
        <v>1873</v>
      </c>
      <c r="E2500" t="s">
        <v>2413</v>
      </c>
      <c r="F2500" t="s">
        <v>30</v>
      </c>
      <c r="G2500" t="s">
        <v>39</v>
      </c>
      <c r="H2500" t="s">
        <v>25</v>
      </c>
      <c r="I2500" t="s">
        <v>40</v>
      </c>
      <c r="J2500" t="s">
        <v>41</v>
      </c>
      <c r="K2500" t="s">
        <v>28</v>
      </c>
      <c r="L2500" s="2">
        <v>94.5</v>
      </c>
      <c r="M2500" s="3">
        <v>857</v>
      </c>
      <c r="N2500">
        <v>2</v>
      </c>
      <c r="O2500">
        <v>2</v>
      </c>
      <c r="P2500">
        <v>1</v>
      </c>
      <c r="Q2500">
        <v>0</v>
      </c>
      <c r="R2500" s="4">
        <v>201.87</v>
      </c>
      <c r="S2500">
        <v>0</v>
      </c>
      <c r="T2500">
        <v>1</v>
      </c>
    </row>
    <row r="2501" spans="1:20" ht="16.5" x14ac:dyDescent="0.3">
      <c r="A2501" t="s">
        <v>2555</v>
      </c>
      <c r="B2501" s="1">
        <v>45643</v>
      </c>
      <c r="C2501">
        <v>2024</v>
      </c>
      <c r="D2501" t="s">
        <v>1873</v>
      </c>
      <c r="E2501" t="s">
        <v>2413</v>
      </c>
      <c r="F2501" t="s">
        <v>57</v>
      </c>
      <c r="G2501" t="s">
        <v>35</v>
      </c>
      <c r="H2501" t="s">
        <v>48</v>
      </c>
      <c r="I2501" t="s">
        <v>31</v>
      </c>
      <c r="J2501" t="s">
        <v>27</v>
      </c>
      <c r="K2501" t="s">
        <v>32</v>
      </c>
      <c r="L2501" s="2">
        <v>5.3</v>
      </c>
      <c r="M2501" s="3">
        <v>575</v>
      </c>
      <c r="N2501">
        <v>6</v>
      </c>
      <c r="O2501">
        <v>5</v>
      </c>
      <c r="P2501">
        <v>1</v>
      </c>
      <c r="Q2501">
        <v>0</v>
      </c>
      <c r="R2501" s="4">
        <v>12.68</v>
      </c>
      <c r="S2501">
        <v>0</v>
      </c>
      <c r="T2501">
        <v>1</v>
      </c>
    </row>
    <row r="2502" spans="1:20" ht="16.5" x14ac:dyDescent="0.3">
      <c r="A2502" t="s">
        <v>2556</v>
      </c>
      <c r="B2502" s="1">
        <v>45643</v>
      </c>
      <c r="C2502">
        <v>2024</v>
      </c>
      <c r="D2502" t="s">
        <v>1873</v>
      </c>
      <c r="E2502" t="s">
        <v>2413</v>
      </c>
      <c r="F2502" t="s">
        <v>23</v>
      </c>
      <c r="G2502" t="s">
        <v>24</v>
      </c>
      <c r="H2502" t="s">
        <v>48</v>
      </c>
      <c r="I2502" t="s">
        <v>26</v>
      </c>
      <c r="J2502" t="s">
        <v>27</v>
      </c>
      <c r="K2502" t="s">
        <v>32</v>
      </c>
      <c r="L2502" s="2">
        <v>14.4</v>
      </c>
      <c r="M2502" s="3">
        <v>595</v>
      </c>
      <c r="N2502">
        <v>4</v>
      </c>
      <c r="O2502">
        <v>4</v>
      </c>
      <c r="P2502">
        <v>1</v>
      </c>
      <c r="Q2502">
        <v>0</v>
      </c>
      <c r="R2502" s="4">
        <v>20.6</v>
      </c>
      <c r="S2502">
        <v>0</v>
      </c>
      <c r="T2502">
        <v>1</v>
      </c>
    </row>
    <row r="2503" spans="1:20" ht="16.5" x14ac:dyDescent="0.3">
      <c r="A2503" t="s">
        <v>2557</v>
      </c>
      <c r="B2503" s="1">
        <v>45643</v>
      </c>
      <c r="C2503">
        <v>2024</v>
      </c>
      <c r="D2503" t="s">
        <v>1873</v>
      </c>
      <c r="E2503" t="s">
        <v>2413</v>
      </c>
      <c r="F2503" t="s">
        <v>30</v>
      </c>
      <c r="G2503" t="s">
        <v>39</v>
      </c>
      <c r="H2503" t="s">
        <v>36</v>
      </c>
      <c r="I2503" t="s">
        <v>26</v>
      </c>
      <c r="J2503" t="s">
        <v>27</v>
      </c>
      <c r="K2503" t="s">
        <v>32</v>
      </c>
      <c r="L2503" s="2">
        <v>7.8</v>
      </c>
      <c r="M2503" s="3">
        <v>267</v>
      </c>
      <c r="N2503">
        <v>3</v>
      </c>
      <c r="O2503">
        <v>6</v>
      </c>
      <c r="P2503">
        <v>0</v>
      </c>
      <c r="Q2503">
        <v>3</v>
      </c>
      <c r="R2503" s="4">
        <v>14.71</v>
      </c>
      <c r="S2503">
        <v>0</v>
      </c>
      <c r="T2503">
        <v>1</v>
      </c>
    </row>
    <row r="2504" spans="1:20" ht="16.5" x14ac:dyDescent="0.3">
      <c r="A2504" t="s">
        <v>2558</v>
      </c>
      <c r="B2504" s="1">
        <v>45643</v>
      </c>
      <c r="C2504">
        <v>2024</v>
      </c>
      <c r="D2504" t="s">
        <v>1873</v>
      </c>
      <c r="E2504" t="s">
        <v>2413</v>
      </c>
      <c r="F2504" t="s">
        <v>38</v>
      </c>
      <c r="G2504" t="s">
        <v>35</v>
      </c>
      <c r="H2504" t="s">
        <v>36</v>
      </c>
      <c r="I2504" t="s">
        <v>26</v>
      </c>
      <c r="J2504" t="s">
        <v>27</v>
      </c>
      <c r="K2504" t="s">
        <v>32</v>
      </c>
      <c r="L2504" s="2">
        <v>10.6</v>
      </c>
      <c r="M2504" s="3">
        <v>285</v>
      </c>
      <c r="N2504">
        <v>3</v>
      </c>
      <c r="O2504">
        <v>5</v>
      </c>
      <c r="P2504">
        <v>0</v>
      </c>
      <c r="Q2504">
        <v>2</v>
      </c>
      <c r="R2504" s="4">
        <v>18.09</v>
      </c>
      <c r="S2504">
        <v>0</v>
      </c>
      <c r="T2504">
        <v>1</v>
      </c>
    </row>
    <row r="2505" spans="1:20" ht="16.5" x14ac:dyDescent="0.3">
      <c r="A2505" t="s">
        <v>2559</v>
      </c>
      <c r="B2505" s="1">
        <v>45643</v>
      </c>
      <c r="C2505">
        <v>2024</v>
      </c>
      <c r="D2505" t="s">
        <v>1873</v>
      </c>
      <c r="E2505" t="s">
        <v>2413</v>
      </c>
      <c r="F2505" t="s">
        <v>30</v>
      </c>
      <c r="G2505" t="s">
        <v>39</v>
      </c>
      <c r="H2505" t="s">
        <v>48</v>
      </c>
      <c r="I2505" t="s">
        <v>31</v>
      </c>
      <c r="J2505" t="s">
        <v>27</v>
      </c>
      <c r="K2505" t="s">
        <v>28</v>
      </c>
      <c r="L2505" s="2">
        <v>63.5</v>
      </c>
      <c r="M2505" s="3">
        <v>521</v>
      </c>
      <c r="N2505">
        <v>6</v>
      </c>
      <c r="O2505">
        <v>6</v>
      </c>
      <c r="P2505">
        <v>1</v>
      </c>
      <c r="Q2505">
        <v>0</v>
      </c>
      <c r="R2505" s="4">
        <v>31.31</v>
      </c>
      <c r="S2505">
        <v>0</v>
      </c>
      <c r="T2505">
        <v>1</v>
      </c>
    </row>
    <row r="2506" spans="1:20" ht="16.5" x14ac:dyDescent="0.3">
      <c r="A2506" t="s">
        <v>2560</v>
      </c>
      <c r="B2506" s="1">
        <v>45643</v>
      </c>
      <c r="C2506">
        <v>2024</v>
      </c>
      <c r="D2506" t="s">
        <v>1873</v>
      </c>
      <c r="E2506" t="s">
        <v>2413</v>
      </c>
      <c r="F2506" t="s">
        <v>23</v>
      </c>
      <c r="G2506" t="s">
        <v>39</v>
      </c>
      <c r="H2506" t="s">
        <v>25</v>
      </c>
      <c r="I2506" t="s">
        <v>40</v>
      </c>
      <c r="J2506" t="s">
        <v>41</v>
      </c>
      <c r="K2506" t="s">
        <v>28</v>
      </c>
      <c r="L2506" s="2">
        <v>160</v>
      </c>
      <c r="M2506" s="3">
        <v>805</v>
      </c>
      <c r="N2506">
        <v>2</v>
      </c>
      <c r="O2506">
        <v>2</v>
      </c>
      <c r="P2506">
        <v>1</v>
      </c>
      <c r="Q2506">
        <v>0</v>
      </c>
      <c r="R2506" s="4">
        <v>221.14</v>
      </c>
      <c r="S2506">
        <v>0</v>
      </c>
      <c r="T2506">
        <v>1</v>
      </c>
    </row>
    <row r="2507" spans="1:20" ht="16.5" x14ac:dyDescent="0.3">
      <c r="A2507" t="s">
        <v>2561</v>
      </c>
      <c r="B2507" s="1">
        <v>45643</v>
      </c>
      <c r="C2507">
        <v>2024</v>
      </c>
      <c r="D2507" t="s">
        <v>1873</v>
      </c>
      <c r="E2507" t="s">
        <v>2413</v>
      </c>
      <c r="F2507" t="s">
        <v>34</v>
      </c>
      <c r="G2507" t="s">
        <v>39</v>
      </c>
      <c r="H2507" t="s">
        <v>25</v>
      </c>
      <c r="I2507" t="s">
        <v>40</v>
      </c>
      <c r="J2507" t="s">
        <v>41</v>
      </c>
      <c r="K2507" t="s">
        <v>32</v>
      </c>
      <c r="L2507" s="2">
        <v>13.6</v>
      </c>
      <c r="M2507" s="3">
        <v>973</v>
      </c>
      <c r="N2507">
        <v>2</v>
      </c>
      <c r="O2507">
        <v>6</v>
      </c>
      <c r="P2507">
        <v>0</v>
      </c>
      <c r="Q2507">
        <v>4</v>
      </c>
      <c r="R2507" s="4">
        <v>65.930000000000007</v>
      </c>
      <c r="S2507">
        <v>0</v>
      </c>
      <c r="T2507">
        <v>1</v>
      </c>
    </row>
    <row r="2508" spans="1:20" ht="16.5" x14ac:dyDescent="0.3">
      <c r="A2508" t="s">
        <v>2562</v>
      </c>
      <c r="B2508" s="1">
        <v>45643</v>
      </c>
      <c r="C2508">
        <v>2024</v>
      </c>
      <c r="D2508" t="s">
        <v>1873</v>
      </c>
      <c r="E2508" t="s">
        <v>2413</v>
      </c>
      <c r="F2508" t="s">
        <v>57</v>
      </c>
      <c r="G2508" t="s">
        <v>24</v>
      </c>
      <c r="H2508" t="s">
        <v>48</v>
      </c>
      <c r="I2508" t="s">
        <v>31</v>
      </c>
      <c r="J2508" t="s">
        <v>27</v>
      </c>
      <c r="K2508" t="s">
        <v>32</v>
      </c>
      <c r="L2508" s="2">
        <v>7</v>
      </c>
      <c r="M2508" s="3">
        <v>510</v>
      </c>
      <c r="N2508">
        <v>6</v>
      </c>
      <c r="O2508">
        <v>6</v>
      </c>
      <c r="P2508">
        <v>1</v>
      </c>
      <c r="Q2508">
        <v>0</v>
      </c>
      <c r="R2508" s="4">
        <v>12.28</v>
      </c>
      <c r="S2508">
        <v>0</v>
      </c>
      <c r="T2508">
        <v>1</v>
      </c>
    </row>
    <row r="2509" spans="1:20" ht="16.5" x14ac:dyDescent="0.3">
      <c r="A2509" t="s">
        <v>2563</v>
      </c>
      <c r="B2509" s="1">
        <v>45643</v>
      </c>
      <c r="C2509">
        <v>2024</v>
      </c>
      <c r="D2509" t="s">
        <v>1873</v>
      </c>
      <c r="E2509" t="s">
        <v>2413</v>
      </c>
      <c r="F2509" t="s">
        <v>34</v>
      </c>
      <c r="G2509" t="s">
        <v>35</v>
      </c>
      <c r="H2509" t="s">
        <v>48</v>
      </c>
      <c r="I2509" t="s">
        <v>31</v>
      </c>
      <c r="J2509" t="s">
        <v>27</v>
      </c>
      <c r="K2509" t="s">
        <v>32</v>
      </c>
      <c r="L2509" s="2">
        <v>8.1999999999999993</v>
      </c>
      <c r="M2509" s="3">
        <v>550</v>
      </c>
      <c r="N2509">
        <v>6</v>
      </c>
      <c r="O2509">
        <v>6</v>
      </c>
      <c r="P2509">
        <v>1</v>
      </c>
      <c r="Q2509">
        <v>0</v>
      </c>
      <c r="R2509" s="4">
        <v>11.73</v>
      </c>
      <c r="S2509">
        <v>0</v>
      </c>
      <c r="T2509">
        <v>1</v>
      </c>
    </row>
    <row r="2510" spans="1:20" ht="16.5" x14ac:dyDescent="0.3">
      <c r="A2510" t="s">
        <v>2564</v>
      </c>
      <c r="B2510" s="1">
        <v>45643</v>
      </c>
      <c r="C2510">
        <v>2024</v>
      </c>
      <c r="D2510" t="s">
        <v>1873</v>
      </c>
      <c r="E2510" t="s">
        <v>2413</v>
      </c>
      <c r="F2510" t="s">
        <v>38</v>
      </c>
      <c r="G2510" t="s">
        <v>39</v>
      </c>
      <c r="H2510" t="s">
        <v>48</v>
      </c>
      <c r="I2510" t="s">
        <v>40</v>
      </c>
      <c r="J2510" t="s">
        <v>27</v>
      </c>
      <c r="K2510" t="s">
        <v>32</v>
      </c>
      <c r="L2510" s="2">
        <v>3.3</v>
      </c>
      <c r="M2510" s="3">
        <v>542</v>
      </c>
      <c r="N2510">
        <v>2</v>
      </c>
      <c r="O2510">
        <v>2</v>
      </c>
      <c r="P2510">
        <v>1</v>
      </c>
      <c r="Q2510">
        <v>0</v>
      </c>
      <c r="R2510" s="4">
        <v>33.35</v>
      </c>
      <c r="S2510">
        <v>0</v>
      </c>
      <c r="T2510">
        <v>1</v>
      </c>
    </row>
    <row r="2511" spans="1:20" ht="16.5" x14ac:dyDescent="0.3">
      <c r="A2511" t="s">
        <v>2565</v>
      </c>
      <c r="B2511" s="1">
        <v>45643</v>
      </c>
      <c r="C2511">
        <v>2024</v>
      </c>
      <c r="D2511" t="s">
        <v>1873</v>
      </c>
      <c r="E2511" t="s">
        <v>2413</v>
      </c>
      <c r="F2511" t="s">
        <v>57</v>
      </c>
      <c r="G2511" t="s">
        <v>39</v>
      </c>
      <c r="H2511" t="s">
        <v>36</v>
      </c>
      <c r="I2511" t="s">
        <v>31</v>
      </c>
      <c r="J2511" t="s">
        <v>27</v>
      </c>
      <c r="K2511" t="s">
        <v>28</v>
      </c>
      <c r="L2511" s="2">
        <v>137.80000000000001</v>
      </c>
      <c r="M2511" s="3">
        <v>271</v>
      </c>
      <c r="N2511">
        <v>5</v>
      </c>
      <c r="O2511">
        <v>4</v>
      </c>
      <c r="P2511">
        <v>1</v>
      </c>
      <c r="Q2511">
        <v>0</v>
      </c>
      <c r="R2511" s="4">
        <v>53.33</v>
      </c>
      <c r="S2511">
        <v>0</v>
      </c>
      <c r="T2511">
        <v>1</v>
      </c>
    </row>
    <row r="2512" spans="1:20" ht="16.5" x14ac:dyDescent="0.3">
      <c r="A2512" t="s">
        <v>2566</v>
      </c>
      <c r="B2512" s="1">
        <v>45643</v>
      </c>
      <c r="C2512">
        <v>2024</v>
      </c>
      <c r="D2512" t="s">
        <v>1873</v>
      </c>
      <c r="E2512" t="s">
        <v>2413</v>
      </c>
      <c r="F2512" t="s">
        <v>38</v>
      </c>
      <c r="G2512" t="s">
        <v>39</v>
      </c>
      <c r="H2512" t="s">
        <v>51</v>
      </c>
      <c r="I2512" t="s">
        <v>26</v>
      </c>
      <c r="J2512" t="s">
        <v>27</v>
      </c>
      <c r="K2512" t="s">
        <v>32</v>
      </c>
      <c r="L2512" s="2">
        <v>3</v>
      </c>
      <c r="M2512" s="3">
        <v>890</v>
      </c>
      <c r="N2512">
        <v>5</v>
      </c>
      <c r="O2512">
        <v>4</v>
      </c>
      <c r="P2512">
        <v>1</v>
      </c>
      <c r="Q2512">
        <v>0</v>
      </c>
      <c r="R2512" s="4">
        <v>22.97</v>
      </c>
      <c r="S2512">
        <v>0</v>
      </c>
      <c r="T2512">
        <v>1</v>
      </c>
    </row>
    <row r="2513" spans="1:20" ht="16.5" x14ac:dyDescent="0.3">
      <c r="A2513" t="s">
        <v>2567</v>
      </c>
      <c r="B2513" s="1">
        <v>45643</v>
      </c>
      <c r="C2513">
        <v>2024</v>
      </c>
      <c r="D2513" t="s">
        <v>1873</v>
      </c>
      <c r="E2513" t="s">
        <v>2413</v>
      </c>
      <c r="F2513" t="s">
        <v>57</v>
      </c>
      <c r="G2513" t="s">
        <v>39</v>
      </c>
      <c r="H2513" t="s">
        <v>25</v>
      </c>
      <c r="I2513" t="s">
        <v>31</v>
      </c>
      <c r="J2513" t="s">
        <v>27</v>
      </c>
      <c r="K2513" t="s">
        <v>32</v>
      </c>
      <c r="L2513" s="2">
        <v>7.4</v>
      </c>
      <c r="M2513" s="3">
        <v>968</v>
      </c>
      <c r="N2513">
        <v>6</v>
      </c>
      <c r="O2513">
        <v>6</v>
      </c>
      <c r="P2513">
        <v>1</v>
      </c>
      <c r="Q2513">
        <v>0</v>
      </c>
      <c r="R2513" s="4">
        <v>15.29</v>
      </c>
      <c r="S2513">
        <v>0</v>
      </c>
      <c r="T2513">
        <v>1</v>
      </c>
    </row>
    <row r="2514" spans="1:20" ht="16.5" x14ac:dyDescent="0.3">
      <c r="A2514" t="s">
        <v>2568</v>
      </c>
      <c r="B2514" s="1">
        <v>45643</v>
      </c>
      <c r="C2514">
        <v>2024</v>
      </c>
      <c r="D2514" t="s">
        <v>1873</v>
      </c>
      <c r="E2514" t="s">
        <v>2413</v>
      </c>
      <c r="F2514" t="s">
        <v>38</v>
      </c>
      <c r="G2514" t="s">
        <v>24</v>
      </c>
      <c r="H2514" t="s">
        <v>25</v>
      </c>
      <c r="I2514" t="s">
        <v>26</v>
      </c>
      <c r="J2514" t="s">
        <v>27</v>
      </c>
      <c r="K2514" t="s">
        <v>32</v>
      </c>
      <c r="L2514" s="2">
        <v>1.2</v>
      </c>
      <c r="M2514" s="3">
        <v>898</v>
      </c>
      <c r="N2514">
        <v>4</v>
      </c>
      <c r="O2514">
        <v>4</v>
      </c>
      <c r="P2514">
        <v>1</v>
      </c>
      <c r="Q2514">
        <v>0</v>
      </c>
      <c r="R2514" s="4">
        <v>19.34</v>
      </c>
      <c r="S2514">
        <v>0</v>
      </c>
      <c r="T2514">
        <v>1</v>
      </c>
    </row>
    <row r="2515" spans="1:20" ht="16.5" x14ac:dyDescent="0.3">
      <c r="A2515" t="s">
        <v>2569</v>
      </c>
      <c r="B2515" s="1">
        <v>45643</v>
      </c>
      <c r="C2515">
        <v>2024</v>
      </c>
      <c r="D2515" t="s">
        <v>1873</v>
      </c>
      <c r="E2515" t="s">
        <v>2413</v>
      </c>
      <c r="F2515" t="s">
        <v>38</v>
      </c>
      <c r="G2515" t="s">
        <v>35</v>
      </c>
      <c r="H2515" t="s">
        <v>25</v>
      </c>
      <c r="I2515" t="s">
        <v>40</v>
      </c>
      <c r="J2515" t="s">
        <v>41</v>
      </c>
      <c r="K2515" t="s">
        <v>28</v>
      </c>
      <c r="L2515" s="2">
        <v>276.60000000000002</v>
      </c>
      <c r="M2515" s="3">
        <v>866</v>
      </c>
      <c r="N2515">
        <v>2</v>
      </c>
      <c r="O2515">
        <v>2</v>
      </c>
      <c r="P2515">
        <v>1</v>
      </c>
      <c r="Q2515">
        <v>0</v>
      </c>
      <c r="R2515" s="4">
        <v>461.35</v>
      </c>
      <c r="S2515">
        <v>0</v>
      </c>
      <c r="T2515">
        <v>1</v>
      </c>
    </row>
    <row r="2516" spans="1:20" ht="16.5" x14ac:dyDescent="0.3">
      <c r="A2516" t="s">
        <v>2570</v>
      </c>
      <c r="B2516" s="1">
        <v>45644</v>
      </c>
      <c r="C2516">
        <v>2024</v>
      </c>
      <c r="D2516" t="s">
        <v>1873</v>
      </c>
      <c r="E2516" t="s">
        <v>2413</v>
      </c>
      <c r="F2516" t="s">
        <v>30</v>
      </c>
      <c r="G2516" t="s">
        <v>24</v>
      </c>
      <c r="H2516" t="s">
        <v>25</v>
      </c>
      <c r="I2516" t="s">
        <v>26</v>
      </c>
      <c r="J2516" t="s">
        <v>27</v>
      </c>
      <c r="K2516" t="s">
        <v>32</v>
      </c>
      <c r="L2516" s="2">
        <v>10.7</v>
      </c>
      <c r="M2516" s="3">
        <v>949</v>
      </c>
      <c r="N2516">
        <v>4</v>
      </c>
      <c r="O2516">
        <v>4</v>
      </c>
      <c r="P2516">
        <v>1</v>
      </c>
      <c r="Q2516">
        <v>0</v>
      </c>
      <c r="R2516" s="4">
        <v>25.81</v>
      </c>
      <c r="S2516">
        <v>0</v>
      </c>
      <c r="T2516">
        <v>1</v>
      </c>
    </row>
    <row r="2517" spans="1:20" ht="16.5" x14ac:dyDescent="0.3">
      <c r="A2517" t="s">
        <v>2571</v>
      </c>
      <c r="B2517" s="1">
        <v>45644</v>
      </c>
      <c r="C2517">
        <v>2024</v>
      </c>
      <c r="D2517" t="s">
        <v>1873</v>
      </c>
      <c r="E2517" t="s">
        <v>2413</v>
      </c>
      <c r="F2517" t="s">
        <v>57</v>
      </c>
      <c r="G2517" t="s">
        <v>24</v>
      </c>
      <c r="H2517" t="s">
        <v>36</v>
      </c>
      <c r="I2517" t="s">
        <v>40</v>
      </c>
      <c r="J2517" t="s">
        <v>27</v>
      </c>
      <c r="K2517" t="s">
        <v>32</v>
      </c>
      <c r="L2517" s="2">
        <v>2.8</v>
      </c>
      <c r="M2517" s="3">
        <v>196</v>
      </c>
      <c r="N2517">
        <v>1</v>
      </c>
      <c r="O2517">
        <v>1</v>
      </c>
      <c r="P2517">
        <v>1</v>
      </c>
      <c r="Q2517">
        <v>0</v>
      </c>
      <c r="R2517" s="4">
        <v>19.75</v>
      </c>
      <c r="S2517">
        <v>0</v>
      </c>
      <c r="T2517">
        <v>1</v>
      </c>
    </row>
    <row r="2518" spans="1:20" ht="16.5" x14ac:dyDescent="0.3">
      <c r="A2518" t="s">
        <v>2572</v>
      </c>
      <c r="B2518" s="1">
        <v>45644</v>
      </c>
      <c r="C2518">
        <v>2024</v>
      </c>
      <c r="D2518" t="s">
        <v>1873</v>
      </c>
      <c r="E2518" t="s">
        <v>2413</v>
      </c>
      <c r="F2518" t="s">
        <v>57</v>
      </c>
      <c r="G2518" t="s">
        <v>35</v>
      </c>
      <c r="H2518" t="s">
        <v>48</v>
      </c>
      <c r="I2518" t="s">
        <v>26</v>
      </c>
      <c r="J2518" t="s">
        <v>27</v>
      </c>
      <c r="K2518" t="s">
        <v>32</v>
      </c>
      <c r="L2518" s="2">
        <v>4.4000000000000004</v>
      </c>
      <c r="M2518" s="3">
        <v>477</v>
      </c>
      <c r="N2518">
        <v>4</v>
      </c>
      <c r="O2518">
        <v>4</v>
      </c>
      <c r="P2518">
        <v>1</v>
      </c>
      <c r="Q2518">
        <v>0</v>
      </c>
      <c r="R2518" s="4">
        <v>15.63</v>
      </c>
      <c r="S2518">
        <v>0</v>
      </c>
      <c r="T2518">
        <v>1</v>
      </c>
    </row>
    <row r="2519" spans="1:20" ht="16.5" x14ac:dyDescent="0.3">
      <c r="A2519" t="s">
        <v>2573</v>
      </c>
      <c r="B2519" s="1">
        <v>45644</v>
      </c>
      <c r="C2519">
        <v>2024</v>
      </c>
      <c r="D2519" t="s">
        <v>1873</v>
      </c>
      <c r="E2519" t="s">
        <v>2413</v>
      </c>
      <c r="F2519" t="s">
        <v>34</v>
      </c>
      <c r="G2519" t="s">
        <v>35</v>
      </c>
      <c r="H2519" t="s">
        <v>25</v>
      </c>
      <c r="I2519" t="s">
        <v>26</v>
      </c>
      <c r="J2519" t="s">
        <v>27</v>
      </c>
      <c r="K2519" t="s">
        <v>28</v>
      </c>
      <c r="L2519" s="2">
        <v>18.5</v>
      </c>
      <c r="M2519" s="3">
        <v>1061</v>
      </c>
      <c r="N2519">
        <v>4</v>
      </c>
      <c r="O2519">
        <v>6</v>
      </c>
      <c r="P2519">
        <v>0</v>
      </c>
      <c r="Q2519">
        <v>2</v>
      </c>
      <c r="R2519" s="4">
        <v>25.67</v>
      </c>
      <c r="S2519">
        <v>0</v>
      </c>
      <c r="T2519">
        <v>1</v>
      </c>
    </row>
    <row r="2520" spans="1:20" ht="16.5" x14ac:dyDescent="0.3">
      <c r="A2520" t="s">
        <v>2574</v>
      </c>
      <c r="B2520" s="1">
        <v>45644</v>
      </c>
      <c r="C2520">
        <v>2024</v>
      </c>
      <c r="D2520" t="s">
        <v>1873</v>
      </c>
      <c r="E2520" t="s">
        <v>2413</v>
      </c>
      <c r="F2520" t="s">
        <v>30</v>
      </c>
      <c r="G2520" t="s">
        <v>35</v>
      </c>
      <c r="H2520" t="s">
        <v>43</v>
      </c>
      <c r="I2520" t="s">
        <v>26</v>
      </c>
      <c r="J2520" t="s">
        <v>27</v>
      </c>
      <c r="K2520" t="s">
        <v>28</v>
      </c>
      <c r="L2520" s="2">
        <v>249.8</v>
      </c>
      <c r="M2520" s="3">
        <v>1070</v>
      </c>
      <c r="N2520">
        <v>5</v>
      </c>
      <c r="O2520">
        <v>4</v>
      </c>
      <c r="P2520">
        <v>1</v>
      </c>
      <c r="Q2520">
        <v>0</v>
      </c>
      <c r="R2520" s="4">
        <v>122.34</v>
      </c>
      <c r="S2520">
        <v>0</v>
      </c>
      <c r="T2520">
        <v>1</v>
      </c>
    </row>
    <row r="2521" spans="1:20" ht="16.5" x14ac:dyDescent="0.3">
      <c r="A2521" t="s">
        <v>2575</v>
      </c>
      <c r="B2521" s="1">
        <v>45644</v>
      </c>
      <c r="C2521">
        <v>2024</v>
      </c>
      <c r="D2521" t="s">
        <v>1873</v>
      </c>
      <c r="E2521" t="s">
        <v>2413</v>
      </c>
      <c r="F2521" t="s">
        <v>38</v>
      </c>
      <c r="G2521" t="s">
        <v>39</v>
      </c>
      <c r="H2521" t="s">
        <v>43</v>
      </c>
      <c r="I2521" t="s">
        <v>26</v>
      </c>
      <c r="J2521" t="s">
        <v>27</v>
      </c>
      <c r="K2521" t="s">
        <v>32</v>
      </c>
      <c r="L2521" s="2">
        <v>1.7</v>
      </c>
      <c r="M2521" s="3">
        <v>1252</v>
      </c>
      <c r="N2521">
        <v>5</v>
      </c>
      <c r="O2521">
        <v>5</v>
      </c>
      <c r="P2521">
        <v>1</v>
      </c>
      <c r="Q2521">
        <v>0</v>
      </c>
      <c r="R2521" s="4">
        <v>24.47</v>
      </c>
      <c r="S2521">
        <v>0</v>
      </c>
      <c r="T2521">
        <v>1</v>
      </c>
    </row>
    <row r="2522" spans="1:20" ht="16.5" x14ac:dyDescent="0.3">
      <c r="A2522" t="s">
        <v>2576</v>
      </c>
      <c r="B2522" s="1">
        <v>45644</v>
      </c>
      <c r="C2522">
        <v>2024</v>
      </c>
      <c r="D2522" t="s">
        <v>1873</v>
      </c>
      <c r="E2522" t="s">
        <v>2413</v>
      </c>
      <c r="F2522" t="s">
        <v>38</v>
      </c>
      <c r="G2522" t="s">
        <v>39</v>
      </c>
      <c r="H2522" t="s">
        <v>25</v>
      </c>
      <c r="I2522" t="s">
        <v>26</v>
      </c>
      <c r="J2522" t="s">
        <v>27</v>
      </c>
      <c r="K2522" t="s">
        <v>32</v>
      </c>
      <c r="L2522" s="2">
        <v>0.9</v>
      </c>
      <c r="M2522" s="3">
        <v>912</v>
      </c>
      <c r="N2522">
        <v>4</v>
      </c>
      <c r="O2522">
        <v>4</v>
      </c>
      <c r="P2522">
        <v>1</v>
      </c>
      <c r="Q2522">
        <v>0</v>
      </c>
      <c r="R2522" s="4">
        <v>21.26</v>
      </c>
      <c r="S2522">
        <v>0</v>
      </c>
      <c r="T2522">
        <v>1</v>
      </c>
    </row>
    <row r="2523" spans="1:20" ht="16.5" x14ac:dyDescent="0.3">
      <c r="A2523" t="s">
        <v>2577</v>
      </c>
      <c r="B2523" s="1">
        <v>45644</v>
      </c>
      <c r="C2523">
        <v>2024</v>
      </c>
      <c r="D2523" t="s">
        <v>1873</v>
      </c>
      <c r="E2523" t="s">
        <v>2413</v>
      </c>
      <c r="F2523" t="s">
        <v>34</v>
      </c>
      <c r="G2523" t="s">
        <v>39</v>
      </c>
      <c r="H2523" t="s">
        <v>36</v>
      </c>
      <c r="I2523" t="s">
        <v>31</v>
      </c>
      <c r="J2523" t="s">
        <v>27</v>
      </c>
      <c r="K2523" t="s">
        <v>28</v>
      </c>
      <c r="L2523" s="2">
        <v>160.6</v>
      </c>
      <c r="M2523" s="3">
        <v>254</v>
      </c>
      <c r="N2523">
        <v>5</v>
      </c>
      <c r="O2523">
        <v>7</v>
      </c>
      <c r="P2523">
        <v>0</v>
      </c>
      <c r="Q2523">
        <v>2</v>
      </c>
      <c r="R2523" s="4">
        <v>47.43</v>
      </c>
      <c r="S2523">
        <v>0</v>
      </c>
      <c r="T2523">
        <v>1</v>
      </c>
    </row>
    <row r="2524" spans="1:20" ht="16.5" x14ac:dyDescent="0.3">
      <c r="A2524" t="s">
        <v>2578</v>
      </c>
      <c r="B2524" s="1">
        <v>45644</v>
      </c>
      <c r="C2524">
        <v>2024</v>
      </c>
      <c r="D2524" t="s">
        <v>1873</v>
      </c>
      <c r="E2524" t="s">
        <v>2413</v>
      </c>
      <c r="F2524" t="s">
        <v>57</v>
      </c>
      <c r="G2524" t="s">
        <v>35</v>
      </c>
      <c r="H2524" t="s">
        <v>25</v>
      </c>
      <c r="I2524" t="s">
        <v>31</v>
      </c>
      <c r="J2524" t="s">
        <v>27</v>
      </c>
      <c r="K2524" t="s">
        <v>28</v>
      </c>
      <c r="L2524" s="2">
        <v>36.700000000000003</v>
      </c>
      <c r="M2524" s="3">
        <v>983</v>
      </c>
      <c r="N2524">
        <v>6</v>
      </c>
      <c r="O2524">
        <v>6</v>
      </c>
      <c r="P2524">
        <v>1</v>
      </c>
      <c r="Q2524">
        <v>0</v>
      </c>
      <c r="R2524" s="4">
        <v>27.44</v>
      </c>
      <c r="S2524">
        <v>1</v>
      </c>
      <c r="T2524">
        <v>1</v>
      </c>
    </row>
    <row r="2525" spans="1:20" ht="16.5" x14ac:dyDescent="0.3">
      <c r="A2525" t="s">
        <v>2579</v>
      </c>
      <c r="B2525" s="1">
        <v>45644</v>
      </c>
      <c r="C2525">
        <v>2024</v>
      </c>
      <c r="D2525" t="s">
        <v>1873</v>
      </c>
      <c r="E2525" t="s">
        <v>2413</v>
      </c>
      <c r="F2525" t="s">
        <v>57</v>
      </c>
      <c r="G2525" t="s">
        <v>39</v>
      </c>
      <c r="H2525" t="s">
        <v>51</v>
      </c>
      <c r="I2525" t="s">
        <v>31</v>
      </c>
      <c r="J2525" t="s">
        <v>27</v>
      </c>
      <c r="K2525" t="s">
        <v>28</v>
      </c>
      <c r="L2525" s="2">
        <v>109.3</v>
      </c>
      <c r="M2525" s="3">
        <v>1066</v>
      </c>
      <c r="N2525">
        <v>7</v>
      </c>
      <c r="O2525">
        <v>7</v>
      </c>
      <c r="P2525">
        <v>1</v>
      </c>
      <c r="Q2525">
        <v>0</v>
      </c>
      <c r="R2525" s="4">
        <v>54.7</v>
      </c>
      <c r="S2525">
        <v>0</v>
      </c>
      <c r="T2525">
        <v>1</v>
      </c>
    </row>
    <row r="2526" spans="1:20" ht="16.5" x14ac:dyDescent="0.3">
      <c r="A2526" t="s">
        <v>2580</v>
      </c>
      <c r="B2526" s="1">
        <v>45644</v>
      </c>
      <c r="C2526">
        <v>2024</v>
      </c>
      <c r="D2526" t="s">
        <v>1873</v>
      </c>
      <c r="E2526" t="s">
        <v>2413</v>
      </c>
      <c r="F2526" t="s">
        <v>38</v>
      </c>
      <c r="G2526" t="s">
        <v>24</v>
      </c>
      <c r="H2526" t="s">
        <v>25</v>
      </c>
      <c r="I2526" t="s">
        <v>26</v>
      </c>
      <c r="J2526" t="s">
        <v>27</v>
      </c>
      <c r="K2526" t="s">
        <v>32</v>
      </c>
      <c r="L2526" s="2">
        <v>3.6</v>
      </c>
      <c r="M2526" s="3">
        <v>859</v>
      </c>
      <c r="N2526">
        <v>4</v>
      </c>
      <c r="O2526">
        <v>5</v>
      </c>
      <c r="P2526">
        <v>0</v>
      </c>
      <c r="Q2526">
        <v>1</v>
      </c>
      <c r="R2526" s="4">
        <v>19.12</v>
      </c>
      <c r="S2526">
        <v>0</v>
      </c>
      <c r="T2526">
        <v>1</v>
      </c>
    </row>
    <row r="2527" spans="1:20" ht="16.5" x14ac:dyDescent="0.3">
      <c r="A2527" t="s">
        <v>2581</v>
      </c>
      <c r="B2527" s="1">
        <v>45644</v>
      </c>
      <c r="C2527">
        <v>2024</v>
      </c>
      <c r="D2527" t="s">
        <v>1873</v>
      </c>
      <c r="E2527" t="s">
        <v>2413</v>
      </c>
      <c r="F2527" t="s">
        <v>30</v>
      </c>
      <c r="G2527" t="s">
        <v>35</v>
      </c>
      <c r="H2527" t="s">
        <v>36</v>
      </c>
      <c r="I2527" t="s">
        <v>40</v>
      </c>
      <c r="J2527" t="s">
        <v>27</v>
      </c>
      <c r="K2527" t="s">
        <v>32</v>
      </c>
      <c r="L2527" s="2">
        <v>5.3</v>
      </c>
      <c r="M2527" s="3">
        <v>238</v>
      </c>
      <c r="N2527">
        <v>1</v>
      </c>
      <c r="O2527">
        <v>1</v>
      </c>
      <c r="P2527">
        <v>1</v>
      </c>
      <c r="Q2527">
        <v>0</v>
      </c>
      <c r="R2527" s="4">
        <v>22.39</v>
      </c>
      <c r="S2527">
        <v>1</v>
      </c>
      <c r="T2527">
        <v>1</v>
      </c>
    </row>
    <row r="2528" spans="1:20" ht="16.5" x14ac:dyDescent="0.3">
      <c r="A2528" t="s">
        <v>2582</v>
      </c>
      <c r="B2528" s="1">
        <v>45645</v>
      </c>
      <c r="C2528">
        <v>2024</v>
      </c>
      <c r="D2528" t="s">
        <v>1873</v>
      </c>
      <c r="E2528" t="s">
        <v>2413</v>
      </c>
      <c r="F2528" t="s">
        <v>30</v>
      </c>
      <c r="G2528" t="s">
        <v>35</v>
      </c>
      <c r="H2528" t="s">
        <v>25</v>
      </c>
      <c r="I2528" t="s">
        <v>26</v>
      </c>
      <c r="J2528" t="s">
        <v>27</v>
      </c>
      <c r="K2528" t="s">
        <v>32</v>
      </c>
      <c r="L2528" s="2">
        <v>9.3000000000000007</v>
      </c>
      <c r="M2528" s="3">
        <v>750</v>
      </c>
      <c r="N2528">
        <v>4</v>
      </c>
      <c r="O2528">
        <v>3</v>
      </c>
      <c r="P2528">
        <v>1</v>
      </c>
      <c r="Q2528">
        <v>0</v>
      </c>
      <c r="R2528" s="4">
        <v>20.68</v>
      </c>
      <c r="S2528">
        <v>0</v>
      </c>
      <c r="T2528">
        <v>1</v>
      </c>
    </row>
    <row r="2529" spans="1:20" ht="16.5" x14ac:dyDescent="0.3">
      <c r="A2529" t="s">
        <v>2583</v>
      </c>
      <c r="B2529" s="1">
        <v>45645</v>
      </c>
      <c r="C2529">
        <v>2024</v>
      </c>
      <c r="D2529" t="s">
        <v>1873</v>
      </c>
      <c r="E2529" t="s">
        <v>2413</v>
      </c>
      <c r="F2529" t="s">
        <v>34</v>
      </c>
      <c r="G2529" t="s">
        <v>35</v>
      </c>
      <c r="H2529" t="s">
        <v>43</v>
      </c>
      <c r="I2529" t="s">
        <v>40</v>
      </c>
      <c r="J2529" t="s">
        <v>41</v>
      </c>
      <c r="K2529" t="s">
        <v>28</v>
      </c>
      <c r="L2529" s="2">
        <v>152.80000000000001</v>
      </c>
      <c r="M2529" s="3">
        <v>723</v>
      </c>
      <c r="N2529">
        <v>3</v>
      </c>
      <c r="O2529">
        <v>3</v>
      </c>
      <c r="P2529">
        <v>1</v>
      </c>
      <c r="Q2529">
        <v>0</v>
      </c>
      <c r="R2529" s="4">
        <v>197.7</v>
      </c>
      <c r="S2529">
        <v>0</v>
      </c>
      <c r="T2529">
        <v>1</v>
      </c>
    </row>
    <row r="2530" spans="1:20" ht="16.5" x14ac:dyDescent="0.3">
      <c r="A2530" t="s">
        <v>2584</v>
      </c>
      <c r="B2530" s="1">
        <v>45645</v>
      </c>
      <c r="C2530">
        <v>2024</v>
      </c>
      <c r="D2530" t="s">
        <v>1873</v>
      </c>
      <c r="E2530" t="s">
        <v>2413</v>
      </c>
      <c r="F2530" t="s">
        <v>23</v>
      </c>
      <c r="G2530" t="s">
        <v>39</v>
      </c>
      <c r="H2530" t="s">
        <v>51</v>
      </c>
      <c r="I2530" t="s">
        <v>26</v>
      </c>
      <c r="J2530" t="s">
        <v>27</v>
      </c>
      <c r="K2530" t="s">
        <v>28</v>
      </c>
      <c r="L2530" s="2">
        <v>83.3</v>
      </c>
      <c r="M2530" s="3">
        <v>876</v>
      </c>
      <c r="N2530">
        <v>5</v>
      </c>
      <c r="O2530">
        <v>4</v>
      </c>
      <c r="P2530">
        <v>1</v>
      </c>
      <c r="Q2530">
        <v>0</v>
      </c>
      <c r="R2530" s="4">
        <v>56.88</v>
      </c>
      <c r="S2530">
        <v>0</v>
      </c>
      <c r="T2530">
        <v>1</v>
      </c>
    </row>
    <row r="2531" spans="1:20" ht="16.5" x14ac:dyDescent="0.3">
      <c r="A2531" t="s">
        <v>2585</v>
      </c>
      <c r="B2531" s="1">
        <v>45645</v>
      </c>
      <c r="C2531">
        <v>2024</v>
      </c>
      <c r="D2531" t="s">
        <v>1873</v>
      </c>
      <c r="E2531" t="s">
        <v>2413</v>
      </c>
      <c r="F2531" t="s">
        <v>23</v>
      </c>
      <c r="G2531" t="s">
        <v>39</v>
      </c>
      <c r="H2531" t="s">
        <v>51</v>
      </c>
      <c r="I2531" t="s">
        <v>26</v>
      </c>
      <c r="J2531" t="s">
        <v>27</v>
      </c>
      <c r="K2531" t="s">
        <v>32</v>
      </c>
      <c r="L2531" s="2">
        <v>4.3</v>
      </c>
      <c r="M2531" s="3">
        <v>860</v>
      </c>
      <c r="N2531">
        <v>5</v>
      </c>
      <c r="O2531">
        <v>5</v>
      </c>
      <c r="P2531">
        <v>1</v>
      </c>
      <c r="Q2531">
        <v>0</v>
      </c>
      <c r="R2531" s="4">
        <v>18.93</v>
      </c>
      <c r="S2531">
        <v>0</v>
      </c>
      <c r="T2531">
        <v>1</v>
      </c>
    </row>
    <row r="2532" spans="1:20" ht="16.5" x14ac:dyDescent="0.3">
      <c r="A2532" t="s">
        <v>2586</v>
      </c>
      <c r="B2532" s="1">
        <v>45646</v>
      </c>
      <c r="C2532">
        <v>2024</v>
      </c>
      <c r="D2532" t="s">
        <v>1873</v>
      </c>
      <c r="E2532" t="s">
        <v>2413</v>
      </c>
      <c r="F2532" t="s">
        <v>38</v>
      </c>
      <c r="G2532" t="s">
        <v>24</v>
      </c>
      <c r="H2532" t="s">
        <v>51</v>
      </c>
      <c r="I2532" t="s">
        <v>26</v>
      </c>
      <c r="J2532" t="s">
        <v>27</v>
      </c>
      <c r="K2532" t="s">
        <v>32</v>
      </c>
      <c r="L2532" s="2">
        <v>7.3</v>
      </c>
      <c r="M2532" s="3">
        <v>1083</v>
      </c>
      <c r="N2532">
        <v>5</v>
      </c>
      <c r="O2532">
        <v>5</v>
      </c>
      <c r="P2532">
        <v>1</v>
      </c>
      <c r="Q2532">
        <v>0</v>
      </c>
      <c r="R2532" s="4">
        <v>26.72</v>
      </c>
      <c r="S2532">
        <v>0</v>
      </c>
      <c r="T2532">
        <v>1</v>
      </c>
    </row>
    <row r="2533" spans="1:20" ht="16.5" x14ac:dyDescent="0.3">
      <c r="A2533" t="s">
        <v>2587</v>
      </c>
      <c r="B2533" s="1">
        <v>45646</v>
      </c>
      <c r="C2533">
        <v>2024</v>
      </c>
      <c r="D2533" t="s">
        <v>1873</v>
      </c>
      <c r="E2533" t="s">
        <v>2413</v>
      </c>
      <c r="F2533" t="s">
        <v>57</v>
      </c>
      <c r="G2533" t="s">
        <v>35</v>
      </c>
      <c r="H2533" t="s">
        <v>51</v>
      </c>
      <c r="I2533" t="s">
        <v>31</v>
      </c>
      <c r="J2533" t="s">
        <v>27</v>
      </c>
      <c r="K2533" t="s">
        <v>32</v>
      </c>
      <c r="L2533" s="2">
        <v>5</v>
      </c>
      <c r="M2533" s="3">
        <v>1099</v>
      </c>
      <c r="N2533">
        <v>7</v>
      </c>
      <c r="O2533">
        <v>7</v>
      </c>
      <c r="P2533">
        <v>1</v>
      </c>
      <c r="Q2533">
        <v>0</v>
      </c>
      <c r="R2533" s="4">
        <v>16.37</v>
      </c>
      <c r="S2533">
        <v>0</v>
      </c>
      <c r="T2533">
        <v>1</v>
      </c>
    </row>
    <row r="2534" spans="1:20" ht="16.5" x14ac:dyDescent="0.3">
      <c r="A2534" t="s">
        <v>2588</v>
      </c>
      <c r="B2534" s="1">
        <v>45646</v>
      </c>
      <c r="C2534">
        <v>2024</v>
      </c>
      <c r="D2534" t="s">
        <v>1873</v>
      </c>
      <c r="E2534" t="s">
        <v>2413</v>
      </c>
      <c r="F2534" t="s">
        <v>23</v>
      </c>
      <c r="G2534" t="s">
        <v>35</v>
      </c>
      <c r="H2534" t="s">
        <v>51</v>
      </c>
      <c r="I2534" t="s">
        <v>40</v>
      </c>
      <c r="J2534" t="s">
        <v>41</v>
      </c>
      <c r="K2534" t="s">
        <v>32</v>
      </c>
      <c r="L2534" s="2">
        <v>3.7</v>
      </c>
      <c r="M2534" s="3">
        <v>1161</v>
      </c>
      <c r="N2534">
        <v>3</v>
      </c>
      <c r="O2534">
        <v>5</v>
      </c>
      <c r="P2534">
        <v>0</v>
      </c>
      <c r="Q2534">
        <v>2</v>
      </c>
      <c r="R2534" s="4">
        <v>65.84</v>
      </c>
      <c r="S2534">
        <v>0</v>
      </c>
      <c r="T2534">
        <v>1</v>
      </c>
    </row>
    <row r="2535" spans="1:20" ht="16.5" x14ac:dyDescent="0.3">
      <c r="A2535" t="s">
        <v>2589</v>
      </c>
      <c r="B2535" s="1">
        <v>45646</v>
      </c>
      <c r="C2535">
        <v>2024</v>
      </c>
      <c r="D2535" t="s">
        <v>1873</v>
      </c>
      <c r="E2535" t="s">
        <v>2413</v>
      </c>
      <c r="F2535" t="s">
        <v>23</v>
      </c>
      <c r="G2535" t="s">
        <v>24</v>
      </c>
      <c r="H2535" t="s">
        <v>51</v>
      </c>
      <c r="I2535" t="s">
        <v>31</v>
      </c>
      <c r="J2535" t="s">
        <v>27</v>
      </c>
      <c r="K2535" t="s">
        <v>28</v>
      </c>
      <c r="L2535" s="2">
        <v>39.200000000000003</v>
      </c>
      <c r="M2535" s="3">
        <v>923</v>
      </c>
      <c r="N2535">
        <v>7</v>
      </c>
      <c r="O2535">
        <v>6</v>
      </c>
      <c r="P2535">
        <v>1</v>
      </c>
      <c r="Q2535">
        <v>0</v>
      </c>
      <c r="R2535" s="4">
        <v>25.51</v>
      </c>
      <c r="S2535">
        <v>0</v>
      </c>
      <c r="T2535">
        <v>1</v>
      </c>
    </row>
    <row r="2536" spans="1:20" ht="16.5" x14ac:dyDescent="0.3">
      <c r="A2536" t="s">
        <v>2590</v>
      </c>
      <c r="B2536" s="1">
        <v>45646</v>
      </c>
      <c r="C2536">
        <v>2024</v>
      </c>
      <c r="D2536" t="s">
        <v>1873</v>
      </c>
      <c r="E2536" t="s">
        <v>2413</v>
      </c>
      <c r="F2536" t="s">
        <v>38</v>
      </c>
      <c r="G2536" t="s">
        <v>35</v>
      </c>
      <c r="H2536" t="s">
        <v>25</v>
      </c>
      <c r="I2536" t="s">
        <v>26</v>
      </c>
      <c r="J2536" t="s">
        <v>27</v>
      </c>
      <c r="K2536" t="s">
        <v>32</v>
      </c>
      <c r="L2536" s="2">
        <v>6.2</v>
      </c>
      <c r="M2536" s="3">
        <v>1026</v>
      </c>
      <c r="N2536">
        <v>4</v>
      </c>
      <c r="O2536">
        <v>4</v>
      </c>
      <c r="P2536">
        <v>1</v>
      </c>
      <c r="Q2536">
        <v>0</v>
      </c>
      <c r="R2536" s="4">
        <v>24.54</v>
      </c>
      <c r="S2536">
        <v>0</v>
      </c>
      <c r="T2536">
        <v>1</v>
      </c>
    </row>
    <row r="2537" spans="1:20" ht="16.5" x14ac:dyDescent="0.3">
      <c r="A2537" t="s">
        <v>2591</v>
      </c>
      <c r="B2537" s="1">
        <v>45646</v>
      </c>
      <c r="C2537">
        <v>2024</v>
      </c>
      <c r="D2537" t="s">
        <v>1873</v>
      </c>
      <c r="E2537" t="s">
        <v>2413</v>
      </c>
      <c r="F2537" t="s">
        <v>30</v>
      </c>
      <c r="G2537" t="s">
        <v>24</v>
      </c>
      <c r="H2537" t="s">
        <v>25</v>
      </c>
      <c r="I2537" t="s">
        <v>26</v>
      </c>
      <c r="J2537" t="s">
        <v>27</v>
      </c>
      <c r="K2537" t="s">
        <v>28</v>
      </c>
      <c r="L2537" s="2">
        <v>130.6</v>
      </c>
      <c r="M2537" s="3">
        <v>636</v>
      </c>
      <c r="N2537">
        <v>4</v>
      </c>
      <c r="O2537">
        <v>4</v>
      </c>
      <c r="P2537">
        <v>1</v>
      </c>
      <c r="Q2537">
        <v>0</v>
      </c>
      <c r="R2537" s="4">
        <v>68.36</v>
      </c>
      <c r="S2537">
        <v>0</v>
      </c>
      <c r="T2537">
        <v>1</v>
      </c>
    </row>
    <row r="2538" spans="1:20" ht="16.5" x14ac:dyDescent="0.3">
      <c r="A2538" t="s">
        <v>2592</v>
      </c>
      <c r="B2538" s="1">
        <v>45646</v>
      </c>
      <c r="C2538">
        <v>2024</v>
      </c>
      <c r="D2538" t="s">
        <v>1873</v>
      </c>
      <c r="E2538" t="s">
        <v>2413</v>
      </c>
      <c r="F2538" t="s">
        <v>23</v>
      </c>
      <c r="G2538" t="s">
        <v>39</v>
      </c>
      <c r="H2538" t="s">
        <v>48</v>
      </c>
      <c r="I2538" t="s">
        <v>26</v>
      </c>
      <c r="J2538" t="s">
        <v>27</v>
      </c>
      <c r="K2538" t="s">
        <v>32</v>
      </c>
      <c r="L2538" s="2">
        <v>3.4</v>
      </c>
      <c r="M2538" s="3">
        <v>432</v>
      </c>
      <c r="N2538">
        <v>4</v>
      </c>
      <c r="O2538">
        <v>4</v>
      </c>
      <c r="P2538">
        <v>1</v>
      </c>
      <c r="Q2538">
        <v>0</v>
      </c>
      <c r="R2538" s="4">
        <v>14.57</v>
      </c>
      <c r="S2538">
        <v>0</v>
      </c>
      <c r="T2538">
        <v>1</v>
      </c>
    </row>
    <row r="2539" spans="1:20" ht="16.5" x14ac:dyDescent="0.3">
      <c r="A2539" t="s">
        <v>2593</v>
      </c>
      <c r="B2539" s="1">
        <v>45646</v>
      </c>
      <c r="C2539">
        <v>2024</v>
      </c>
      <c r="D2539" t="s">
        <v>1873</v>
      </c>
      <c r="E2539" t="s">
        <v>2413</v>
      </c>
      <c r="F2539" t="s">
        <v>30</v>
      </c>
      <c r="G2539" t="s">
        <v>39</v>
      </c>
      <c r="H2539" t="s">
        <v>48</v>
      </c>
      <c r="I2539" t="s">
        <v>40</v>
      </c>
      <c r="J2539" t="s">
        <v>27</v>
      </c>
      <c r="K2539" t="s">
        <v>28</v>
      </c>
      <c r="L2539" s="2">
        <v>332.2</v>
      </c>
      <c r="M2539" s="3">
        <v>549</v>
      </c>
      <c r="N2539">
        <v>2</v>
      </c>
      <c r="O2539">
        <v>2</v>
      </c>
      <c r="P2539">
        <v>1</v>
      </c>
      <c r="Q2539">
        <v>0</v>
      </c>
      <c r="R2539" s="4">
        <v>283.45</v>
      </c>
      <c r="S2539">
        <v>0</v>
      </c>
      <c r="T2539">
        <v>1</v>
      </c>
    </row>
    <row r="2540" spans="1:20" ht="16.5" x14ac:dyDescent="0.3">
      <c r="A2540" t="s">
        <v>2594</v>
      </c>
      <c r="B2540" s="1">
        <v>45646</v>
      </c>
      <c r="C2540">
        <v>2024</v>
      </c>
      <c r="D2540" t="s">
        <v>1873</v>
      </c>
      <c r="E2540" t="s">
        <v>2413</v>
      </c>
      <c r="F2540" t="s">
        <v>57</v>
      </c>
      <c r="G2540" t="s">
        <v>35</v>
      </c>
      <c r="H2540" t="s">
        <v>36</v>
      </c>
      <c r="I2540" t="s">
        <v>31</v>
      </c>
      <c r="J2540" t="s">
        <v>27</v>
      </c>
      <c r="K2540" t="s">
        <v>28</v>
      </c>
      <c r="L2540" s="2">
        <v>221.3</v>
      </c>
      <c r="M2540" s="3">
        <v>224</v>
      </c>
      <c r="N2540">
        <v>5</v>
      </c>
      <c r="O2540">
        <v>5</v>
      </c>
      <c r="P2540">
        <v>1</v>
      </c>
      <c r="Q2540">
        <v>0</v>
      </c>
      <c r="R2540" s="4">
        <v>68.91</v>
      </c>
      <c r="S2540">
        <v>0</v>
      </c>
      <c r="T2540">
        <v>1</v>
      </c>
    </row>
    <row r="2541" spans="1:20" ht="16.5" x14ac:dyDescent="0.3">
      <c r="A2541" t="s">
        <v>2595</v>
      </c>
      <c r="B2541" s="1">
        <v>45646</v>
      </c>
      <c r="C2541">
        <v>2024</v>
      </c>
      <c r="D2541" t="s">
        <v>1873</v>
      </c>
      <c r="E2541" t="s">
        <v>2413</v>
      </c>
      <c r="F2541" t="s">
        <v>30</v>
      </c>
      <c r="G2541" t="s">
        <v>39</v>
      </c>
      <c r="H2541" t="s">
        <v>36</v>
      </c>
      <c r="I2541" t="s">
        <v>40</v>
      </c>
      <c r="J2541" t="s">
        <v>27</v>
      </c>
      <c r="K2541" t="s">
        <v>28</v>
      </c>
      <c r="L2541" s="2">
        <v>135.6</v>
      </c>
      <c r="M2541" s="3">
        <v>219</v>
      </c>
      <c r="N2541">
        <v>1</v>
      </c>
      <c r="O2541">
        <v>1</v>
      </c>
      <c r="P2541">
        <v>1</v>
      </c>
      <c r="Q2541">
        <v>0</v>
      </c>
      <c r="R2541" s="4">
        <v>134.72</v>
      </c>
      <c r="S2541">
        <v>0</v>
      </c>
      <c r="T2541">
        <v>1</v>
      </c>
    </row>
    <row r="2542" spans="1:20" ht="16.5" x14ac:dyDescent="0.3">
      <c r="A2542" t="s">
        <v>2596</v>
      </c>
      <c r="B2542" s="1">
        <v>45646</v>
      </c>
      <c r="C2542">
        <v>2024</v>
      </c>
      <c r="D2542" t="s">
        <v>1873</v>
      </c>
      <c r="E2542" t="s">
        <v>2413</v>
      </c>
      <c r="F2542" t="s">
        <v>34</v>
      </c>
      <c r="G2542" t="s">
        <v>35</v>
      </c>
      <c r="H2542" t="s">
        <v>43</v>
      </c>
      <c r="I2542" t="s">
        <v>31</v>
      </c>
      <c r="J2542" t="s">
        <v>27</v>
      </c>
      <c r="K2542" t="s">
        <v>32</v>
      </c>
      <c r="L2542" s="2">
        <v>5.3</v>
      </c>
      <c r="M2542" s="3">
        <v>1113</v>
      </c>
      <c r="N2542">
        <v>7</v>
      </c>
      <c r="O2542">
        <v>6</v>
      </c>
      <c r="P2542">
        <v>1</v>
      </c>
      <c r="Q2542">
        <v>0</v>
      </c>
      <c r="R2542" s="4">
        <v>15.02</v>
      </c>
      <c r="S2542">
        <v>0</v>
      </c>
      <c r="T2542">
        <v>1</v>
      </c>
    </row>
    <row r="2543" spans="1:20" ht="16.5" x14ac:dyDescent="0.3">
      <c r="A2543" t="s">
        <v>2597</v>
      </c>
      <c r="B2543" s="1">
        <v>45647</v>
      </c>
      <c r="C2543">
        <v>2024</v>
      </c>
      <c r="D2543" t="s">
        <v>1873</v>
      </c>
      <c r="E2543" t="s">
        <v>2413</v>
      </c>
      <c r="F2543" t="s">
        <v>38</v>
      </c>
      <c r="G2543" t="s">
        <v>35</v>
      </c>
      <c r="H2543" t="s">
        <v>43</v>
      </c>
      <c r="I2543" t="s">
        <v>26</v>
      </c>
      <c r="J2543" t="s">
        <v>27</v>
      </c>
      <c r="K2543" t="s">
        <v>28</v>
      </c>
      <c r="L2543" s="2">
        <v>233.7</v>
      </c>
      <c r="M2543" s="3">
        <v>1149</v>
      </c>
      <c r="N2543">
        <v>5</v>
      </c>
      <c r="O2543">
        <v>4</v>
      </c>
      <c r="P2543">
        <v>1</v>
      </c>
      <c r="Q2543">
        <v>0</v>
      </c>
      <c r="R2543" s="4">
        <v>130.97999999999999</v>
      </c>
      <c r="S2543">
        <v>0</v>
      </c>
      <c r="T2543">
        <v>1</v>
      </c>
    </row>
    <row r="2544" spans="1:20" ht="16.5" x14ac:dyDescent="0.3">
      <c r="A2544" t="s">
        <v>2598</v>
      </c>
      <c r="B2544" s="1">
        <v>45647</v>
      </c>
      <c r="C2544">
        <v>2024</v>
      </c>
      <c r="D2544" t="s">
        <v>1873</v>
      </c>
      <c r="E2544" t="s">
        <v>2413</v>
      </c>
      <c r="F2544" t="s">
        <v>38</v>
      </c>
      <c r="G2544" t="s">
        <v>39</v>
      </c>
      <c r="H2544" t="s">
        <v>36</v>
      </c>
      <c r="I2544" t="s">
        <v>31</v>
      </c>
      <c r="J2544" t="s">
        <v>27</v>
      </c>
      <c r="K2544" t="s">
        <v>32</v>
      </c>
      <c r="L2544" s="2">
        <v>5.3</v>
      </c>
      <c r="M2544" s="3">
        <v>224</v>
      </c>
      <c r="N2544">
        <v>5</v>
      </c>
      <c r="O2544">
        <v>5</v>
      </c>
      <c r="P2544">
        <v>1</v>
      </c>
      <c r="Q2544">
        <v>0</v>
      </c>
      <c r="R2544" s="4">
        <v>9.07</v>
      </c>
      <c r="S2544">
        <v>0</v>
      </c>
      <c r="T2544">
        <v>1</v>
      </c>
    </row>
    <row r="2545" spans="1:20" ht="16.5" x14ac:dyDescent="0.3">
      <c r="A2545" t="s">
        <v>2599</v>
      </c>
      <c r="B2545" s="1">
        <v>45647</v>
      </c>
      <c r="C2545">
        <v>2024</v>
      </c>
      <c r="D2545" t="s">
        <v>1873</v>
      </c>
      <c r="E2545" t="s">
        <v>2413</v>
      </c>
      <c r="F2545" t="s">
        <v>23</v>
      </c>
      <c r="G2545" t="s">
        <v>24</v>
      </c>
      <c r="H2545" t="s">
        <v>51</v>
      </c>
      <c r="I2545" t="s">
        <v>26</v>
      </c>
      <c r="J2545" t="s">
        <v>27</v>
      </c>
      <c r="K2545" t="s">
        <v>32</v>
      </c>
      <c r="L2545" s="2">
        <v>4.5</v>
      </c>
      <c r="M2545" s="3">
        <v>911</v>
      </c>
      <c r="N2545">
        <v>5</v>
      </c>
      <c r="O2545">
        <v>5</v>
      </c>
      <c r="P2545">
        <v>1</v>
      </c>
      <c r="Q2545">
        <v>0</v>
      </c>
      <c r="R2545" s="4">
        <v>21.62</v>
      </c>
      <c r="S2545">
        <v>0</v>
      </c>
      <c r="T2545">
        <v>1</v>
      </c>
    </row>
    <row r="2546" spans="1:20" ht="16.5" x14ac:dyDescent="0.3">
      <c r="A2546" t="s">
        <v>2600</v>
      </c>
      <c r="B2546" s="1">
        <v>45647</v>
      </c>
      <c r="C2546">
        <v>2024</v>
      </c>
      <c r="D2546" t="s">
        <v>1873</v>
      </c>
      <c r="E2546" t="s">
        <v>2413</v>
      </c>
      <c r="F2546" t="s">
        <v>38</v>
      </c>
      <c r="G2546" t="s">
        <v>39</v>
      </c>
      <c r="H2546" t="s">
        <v>51</v>
      </c>
      <c r="I2546" t="s">
        <v>40</v>
      </c>
      <c r="J2546" t="s">
        <v>41</v>
      </c>
      <c r="K2546" t="s">
        <v>32</v>
      </c>
      <c r="L2546" s="2">
        <v>3.1</v>
      </c>
      <c r="M2546" s="3">
        <v>997</v>
      </c>
      <c r="N2546">
        <v>3</v>
      </c>
      <c r="O2546">
        <v>5</v>
      </c>
      <c r="P2546">
        <v>0</v>
      </c>
      <c r="Q2546">
        <v>2</v>
      </c>
      <c r="R2546" s="4">
        <v>72.400000000000006</v>
      </c>
      <c r="S2546">
        <v>0</v>
      </c>
      <c r="T2546">
        <v>1</v>
      </c>
    </row>
    <row r="2547" spans="1:20" ht="16.5" x14ac:dyDescent="0.3">
      <c r="A2547" t="s">
        <v>2601</v>
      </c>
      <c r="B2547" s="1">
        <v>45648</v>
      </c>
      <c r="C2547">
        <v>2024</v>
      </c>
      <c r="D2547" t="s">
        <v>1873</v>
      </c>
      <c r="E2547" t="s">
        <v>2413</v>
      </c>
      <c r="F2547" t="s">
        <v>23</v>
      </c>
      <c r="G2547" t="s">
        <v>39</v>
      </c>
      <c r="H2547" t="s">
        <v>43</v>
      </c>
      <c r="I2547" t="s">
        <v>26</v>
      </c>
      <c r="J2547" t="s">
        <v>27</v>
      </c>
      <c r="K2547" t="s">
        <v>28</v>
      </c>
      <c r="L2547" s="2">
        <v>57.4</v>
      </c>
      <c r="M2547" s="3">
        <v>847</v>
      </c>
      <c r="N2547">
        <v>5</v>
      </c>
      <c r="O2547">
        <v>8</v>
      </c>
      <c r="P2547">
        <v>0</v>
      </c>
      <c r="Q2547">
        <v>3</v>
      </c>
      <c r="R2547" s="4">
        <v>41.81</v>
      </c>
      <c r="S2547">
        <v>0</v>
      </c>
      <c r="T2547">
        <v>1</v>
      </c>
    </row>
    <row r="2548" spans="1:20" ht="16.5" x14ac:dyDescent="0.3">
      <c r="A2548" t="s">
        <v>2602</v>
      </c>
      <c r="B2548" s="1">
        <v>45648</v>
      </c>
      <c r="C2548">
        <v>2024</v>
      </c>
      <c r="D2548" t="s">
        <v>1873</v>
      </c>
      <c r="E2548" t="s">
        <v>2413</v>
      </c>
      <c r="F2548" t="s">
        <v>38</v>
      </c>
      <c r="G2548" t="s">
        <v>39</v>
      </c>
      <c r="H2548" t="s">
        <v>36</v>
      </c>
      <c r="I2548" t="s">
        <v>26</v>
      </c>
      <c r="J2548" t="s">
        <v>27</v>
      </c>
      <c r="K2548" t="s">
        <v>32</v>
      </c>
      <c r="L2548" s="2">
        <v>2.4</v>
      </c>
      <c r="M2548" s="3">
        <v>299</v>
      </c>
      <c r="N2548">
        <v>3</v>
      </c>
      <c r="O2548">
        <v>3</v>
      </c>
      <c r="P2548">
        <v>1</v>
      </c>
      <c r="Q2548">
        <v>0</v>
      </c>
      <c r="R2548" s="4">
        <v>12.58</v>
      </c>
      <c r="S2548">
        <v>0</v>
      </c>
      <c r="T2548">
        <v>1</v>
      </c>
    </row>
    <row r="2549" spans="1:20" ht="16.5" x14ac:dyDescent="0.3">
      <c r="A2549" t="s">
        <v>2603</v>
      </c>
      <c r="B2549" s="1">
        <v>45648</v>
      </c>
      <c r="C2549">
        <v>2024</v>
      </c>
      <c r="D2549" t="s">
        <v>1873</v>
      </c>
      <c r="E2549" t="s">
        <v>2413</v>
      </c>
      <c r="F2549" t="s">
        <v>34</v>
      </c>
      <c r="G2549" t="s">
        <v>24</v>
      </c>
      <c r="H2549" t="s">
        <v>36</v>
      </c>
      <c r="I2549" t="s">
        <v>31</v>
      </c>
      <c r="J2549" t="s">
        <v>27</v>
      </c>
      <c r="K2549" t="s">
        <v>32</v>
      </c>
      <c r="L2549" s="2">
        <v>4.3</v>
      </c>
      <c r="M2549" s="3">
        <v>303</v>
      </c>
      <c r="N2549">
        <v>5</v>
      </c>
      <c r="O2549">
        <v>5</v>
      </c>
      <c r="P2549">
        <v>1</v>
      </c>
      <c r="Q2549">
        <v>0</v>
      </c>
      <c r="R2549" s="4">
        <v>7.28</v>
      </c>
      <c r="S2549">
        <v>0</v>
      </c>
      <c r="T2549">
        <v>1</v>
      </c>
    </row>
    <row r="2550" spans="1:20" ht="16.5" x14ac:dyDescent="0.3">
      <c r="A2550" t="s">
        <v>2604</v>
      </c>
      <c r="B2550" s="1">
        <v>45648</v>
      </c>
      <c r="C2550">
        <v>2024</v>
      </c>
      <c r="D2550" t="s">
        <v>1873</v>
      </c>
      <c r="E2550" t="s">
        <v>2413</v>
      </c>
      <c r="F2550" t="s">
        <v>34</v>
      </c>
      <c r="G2550" t="s">
        <v>39</v>
      </c>
      <c r="H2550" t="s">
        <v>48</v>
      </c>
      <c r="I2550" t="s">
        <v>26</v>
      </c>
      <c r="J2550" t="s">
        <v>27</v>
      </c>
      <c r="K2550" t="s">
        <v>28</v>
      </c>
      <c r="L2550" s="2">
        <v>56.5</v>
      </c>
      <c r="M2550" s="3">
        <v>526</v>
      </c>
      <c r="N2550">
        <v>4</v>
      </c>
      <c r="O2550">
        <v>4</v>
      </c>
      <c r="P2550">
        <v>1</v>
      </c>
      <c r="Q2550">
        <v>0</v>
      </c>
      <c r="R2550" s="4">
        <v>35.15</v>
      </c>
      <c r="S2550">
        <v>0</v>
      </c>
      <c r="T2550">
        <v>1</v>
      </c>
    </row>
    <row r="2551" spans="1:20" ht="16.5" x14ac:dyDescent="0.3">
      <c r="A2551" t="s">
        <v>2605</v>
      </c>
      <c r="B2551" s="1">
        <v>45648</v>
      </c>
      <c r="C2551">
        <v>2024</v>
      </c>
      <c r="D2551" t="s">
        <v>1873</v>
      </c>
      <c r="E2551" t="s">
        <v>2413</v>
      </c>
      <c r="F2551" t="s">
        <v>23</v>
      </c>
      <c r="G2551" t="s">
        <v>35</v>
      </c>
      <c r="H2551" t="s">
        <v>48</v>
      </c>
      <c r="I2551" t="s">
        <v>40</v>
      </c>
      <c r="J2551" t="s">
        <v>27</v>
      </c>
      <c r="K2551" t="s">
        <v>32</v>
      </c>
      <c r="L2551" s="2">
        <v>3.8</v>
      </c>
      <c r="M2551" s="3">
        <v>555</v>
      </c>
      <c r="N2551">
        <v>2</v>
      </c>
      <c r="O2551">
        <v>5</v>
      </c>
      <c r="P2551">
        <v>0</v>
      </c>
      <c r="Q2551">
        <v>3</v>
      </c>
      <c r="R2551" s="4">
        <v>30.37</v>
      </c>
      <c r="S2551">
        <v>0</v>
      </c>
      <c r="T2551">
        <v>1</v>
      </c>
    </row>
    <row r="2552" spans="1:20" ht="16.5" x14ac:dyDescent="0.3">
      <c r="A2552" t="s">
        <v>2606</v>
      </c>
      <c r="B2552" s="1">
        <v>45648</v>
      </c>
      <c r="C2552">
        <v>2024</v>
      </c>
      <c r="D2552" t="s">
        <v>1873</v>
      </c>
      <c r="E2552" t="s">
        <v>2413</v>
      </c>
      <c r="F2552" t="s">
        <v>34</v>
      </c>
      <c r="G2552" t="s">
        <v>35</v>
      </c>
      <c r="H2552" t="s">
        <v>36</v>
      </c>
      <c r="I2552" t="s">
        <v>26</v>
      </c>
      <c r="J2552" t="s">
        <v>27</v>
      </c>
      <c r="K2552" t="s">
        <v>28</v>
      </c>
      <c r="L2552" s="2">
        <v>82.5</v>
      </c>
      <c r="M2552" s="3">
        <v>238</v>
      </c>
      <c r="N2552">
        <v>3</v>
      </c>
      <c r="O2552">
        <v>3</v>
      </c>
      <c r="P2552">
        <v>1</v>
      </c>
      <c r="Q2552">
        <v>0</v>
      </c>
      <c r="R2552" s="4">
        <v>41.88</v>
      </c>
      <c r="S2552">
        <v>0</v>
      </c>
      <c r="T2552">
        <v>1</v>
      </c>
    </row>
    <row r="2553" spans="1:20" ht="16.5" x14ac:dyDescent="0.3">
      <c r="A2553" t="s">
        <v>2607</v>
      </c>
      <c r="B2553" s="1">
        <v>45648</v>
      </c>
      <c r="C2553">
        <v>2024</v>
      </c>
      <c r="D2553" t="s">
        <v>1873</v>
      </c>
      <c r="E2553" t="s">
        <v>2413</v>
      </c>
      <c r="F2553" t="s">
        <v>34</v>
      </c>
      <c r="G2553" t="s">
        <v>35</v>
      </c>
      <c r="H2553" t="s">
        <v>48</v>
      </c>
      <c r="I2553" t="s">
        <v>40</v>
      </c>
      <c r="J2553" t="s">
        <v>27</v>
      </c>
      <c r="K2553" t="s">
        <v>28</v>
      </c>
      <c r="L2553" s="2">
        <v>130.30000000000001</v>
      </c>
      <c r="M2553" s="3">
        <v>471</v>
      </c>
      <c r="N2553">
        <v>2</v>
      </c>
      <c r="O2553">
        <v>2</v>
      </c>
      <c r="P2553">
        <v>1</v>
      </c>
      <c r="Q2553">
        <v>0</v>
      </c>
      <c r="R2553" s="4">
        <v>101.98</v>
      </c>
      <c r="S2553">
        <v>0</v>
      </c>
      <c r="T2553">
        <v>1</v>
      </c>
    </row>
    <row r="2554" spans="1:20" ht="16.5" x14ac:dyDescent="0.3">
      <c r="A2554" t="s">
        <v>2608</v>
      </c>
      <c r="B2554" s="1">
        <v>45648</v>
      </c>
      <c r="C2554">
        <v>2024</v>
      </c>
      <c r="D2554" t="s">
        <v>1873</v>
      </c>
      <c r="E2554" t="s">
        <v>2413</v>
      </c>
      <c r="F2554" t="s">
        <v>38</v>
      </c>
      <c r="G2554" t="s">
        <v>35</v>
      </c>
      <c r="H2554" t="s">
        <v>36</v>
      </c>
      <c r="I2554" t="s">
        <v>40</v>
      </c>
      <c r="J2554" t="s">
        <v>27</v>
      </c>
      <c r="K2554" t="s">
        <v>32</v>
      </c>
      <c r="L2554" s="2">
        <v>18</v>
      </c>
      <c r="M2554" s="3">
        <v>179</v>
      </c>
      <c r="N2554">
        <v>1</v>
      </c>
      <c r="O2554">
        <v>1</v>
      </c>
      <c r="P2554">
        <v>1</v>
      </c>
      <c r="Q2554">
        <v>0</v>
      </c>
      <c r="R2554" s="4">
        <v>39.33</v>
      </c>
      <c r="S2554">
        <v>0</v>
      </c>
      <c r="T2554">
        <v>1</v>
      </c>
    </row>
    <row r="2555" spans="1:20" ht="16.5" x14ac:dyDescent="0.3">
      <c r="A2555" t="s">
        <v>2609</v>
      </c>
      <c r="B2555" s="1">
        <v>45649</v>
      </c>
      <c r="C2555">
        <v>2024</v>
      </c>
      <c r="D2555" t="s">
        <v>1873</v>
      </c>
      <c r="E2555" t="s">
        <v>2413</v>
      </c>
      <c r="F2555" t="s">
        <v>34</v>
      </c>
      <c r="G2555" t="s">
        <v>39</v>
      </c>
      <c r="H2555" t="s">
        <v>48</v>
      </c>
      <c r="I2555" t="s">
        <v>40</v>
      </c>
      <c r="J2555" t="s">
        <v>27</v>
      </c>
      <c r="K2555" t="s">
        <v>32</v>
      </c>
      <c r="L2555" s="2">
        <v>6</v>
      </c>
      <c r="M2555" s="3">
        <v>435</v>
      </c>
      <c r="N2555">
        <v>2</v>
      </c>
      <c r="O2555">
        <v>1</v>
      </c>
      <c r="P2555">
        <v>1</v>
      </c>
      <c r="Q2555">
        <v>0</v>
      </c>
      <c r="R2555" s="4">
        <v>23.7</v>
      </c>
      <c r="S2555">
        <v>0</v>
      </c>
      <c r="T2555">
        <v>1</v>
      </c>
    </row>
    <row r="2556" spans="1:20" ht="16.5" x14ac:dyDescent="0.3">
      <c r="A2556" t="s">
        <v>2610</v>
      </c>
      <c r="B2556" s="1">
        <v>45649</v>
      </c>
      <c r="C2556">
        <v>2024</v>
      </c>
      <c r="D2556" t="s">
        <v>1873</v>
      </c>
      <c r="E2556" t="s">
        <v>2413</v>
      </c>
      <c r="F2556" t="s">
        <v>23</v>
      </c>
      <c r="G2556" t="s">
        <v>24</v>
      </c>
      <c r="H2556" t="s">
        <v>48</v>
      </c>
      <c r="I2556" t="s">
        <v>40</v>
      </c>
      <c r="J2556" t="s">
        <v>27</v>
      </c>
      <c r="K2556" t="s">
        <v>32</v>
      </c>
      <c r="L2556" s="2">
        <v>16.3</v>
      </c>
      <c r="M2556" s="3">
        <v>605</v>
      </c>
      <c r="N2556">
        <v>2</v>
      </c>
      <c r="O2556">
        <v>2</v>
      </c>
      <c r="P2556">
        <v>1</v>
      </c>
      <c r="Q2556">
        <v>0</v>
      </c>
      <c r="R2556" s="4">
        <v>41.26</v>
      </c>
      <c r="S2556">
        <v>0</v>
      </c>
      <c r="T2556">
        <v>1</v>
      </c>
    </row>
    <row r="2557" spans="1:20" ht="16.5" x14ac:dyDescent="0.3">
      <c r="A2557" t="s">
        <v>2611</v>
      </c>
      <c r="B2557" s="1">
        <v>45649</v>
      </c>
      <c r="C2557">
        <v>2024</v>
      </c>
      <c r="D2557" t="s">
        <v>1873</v>
      </c>
      <c r="E2557" t="s">
        <v>2413</v>
      </c>
      <c r="F2557" t="s">
        <v>34</v>
      </c>
      <c r="G2557" t="s">
        <v>35</v>
      </c>
      <c r="H2557" t="s">
        <v>48</v>
      </c>
      <c r="I2557" t="s">
        <v>31</v>
      </c>
      <c r="J2557" t="s">
        <v>27</v>
      </c>
      <c r="K2557" t="s">
        <v>32</v>
      </c>
      <c r="L2557" s="2">
        <v>13.3</v>
      </c>
      <c r="M2557" s="3">
        <v>393</v>
      </c>
      <c r="N2557">
        <v>6</v>
      </c>
      <c r="O2557">
        <v>6</v>
      </c>
      <c r="P2557">
        <v>1</v>
      </c>
      <c r="Q2557">
        <v>0</v>
      </c>
      <c r="R2557" s="4">
        <v>12.69</v>
      </c>
      <c r="S2557">
        <v>0</v>
      </c>
      <c r="T2557">
        <v>1</v>
      </c>
    </row>
    <row r="2558" spans="1:20" ht="16.5" x14ac:dyDescent="0.3">
      <c r="A2558" t="s">
        <v>2612</v>
      </c>
      <c r="B2558" s="1">
        <v>45649</v>
      </c>
      <c r="C2558">
        <v>2024</v>
      </c>
      <c r="D2558" t="s">
        <v>1873</v>
      </c>
      <c r="E2558" t="s">
        <v>2413</v>
      </c>
      <c r="F2558" t="s">
        <v>38</v>
      </c>
      <c r="G2558" t="s">
        <v>39</v>
      </c>
      <c r="H2558" t="s">
        <v>36</v>
      </c>
      <c r="I2558" t="s">
        <v>31</v>
      </c>
      <c r="J2558" t="s">
        <v>27</v>
      </c>
      <c r="K2558" t="s">
        <v>28</v>
      </c>
      <c r="L2558" s="2">
        <v>168.4</v>
      </c>
      <c r="M2558" s="3">
        <v>315</v>
      </c>
      <c r="N2558">
        <v>5</v>
      </c>
      <c r="O2558">
        <v>5</v>
      </c>
      <c r="P2558">
        <v>1</v>
      </c>
      <c r="Q2558">
        <v>0</v>
      </c>
      <c r="R2558" s="4">
        <v>70.33</v>
      </c>
      <c r="S2558">
        <v>0</v>
      </c>
      <c r="T2558">
        <v>1</v>
      </c>
    </row>
    <row r="2559" spans="1:20" ht="16.5" x14ac:dyDescent="0.3">
      <c r="A2559" t="s">
        <v>2613</v>
      </c>
      <c r="B2559" s="1">
        <v>45649</v>
      </c>
      <c r="C2559">
        <v>2024</v>
      </c>
      <c r="D2559" t="s">
        <v>1873</v>
      </c>
      <c r="E2559" t="s">
        <v>2413</v>
      </c>
      <c r="F2559" t="s">
        <v>38</v>
      </c>
      <c r="G2559" t="s">
        <v>35</v>
      </c>
      <c r="H2559" t="s">
        <v>25</v>
      </c>
      <c r="I2559" t="s">
        <v>31</v>
      </c>
      <c r="J2559" t="s">
        <v>27</v>
      </c>
      <c r="K2559" t="s">
        <v>32</v>
      </c>
      <c r="L2559" s="2">
        <v>5.8</v>
      </c>
      <c r="M2559" s="3">
        <v>819</v>
      </c>
      <c r="N2559">
        <v>6</v>
      </c>
      <c r="O2559">
        <v>6</v>
      </c>
      <c r="P2559">
        <v>1</v>
      </c>
      <c r="Q2559">
        <v>0</v>
      </c>
      <c r="R2559" s="4">
        <v>15.62</v>
      </c>
      <c r="S2559">
        <v>0</v>
      </c>
      <c r="T2559">
        <v>1</v>
      </c>
    </row>
    <row r="2560" spans="1:20" ht="16.5" x14ac:dyDescent="0.3">
      <c r="A2560" t="s">
        <v>2614</v>
      </c>
      <c r="B2560" s="1">
        <v>45649</v>
      </c>
      <c r="C2560">
        <v>2024</v>
      </c>
      <c r="D2560" t="s">
        <v>1873</v>
      </c>
      <c r="E2560" t="s">
        <v>2413</v>
      </c>
      <c r="F2560" t="s">
        <v>34</v>
      </c>
      <c r="G2560" t="s">
        <v>39</v>
      </c>
      <c r="H2560" t="s">
        <v>25</v>
      </c>
      <c r="I2560" t="s">
        <v>26</v>
      </c>
      <c r="J2560" t="s">
        <v>27</v>
      </c>
      <c r="K2560" t="s">
        <v>32</v>
      </c>
      <c r="L2560" s="2">
        <v>3.9</v>
      </c>
      <c r="M2560" s="3">
        <v>647</v>
      </c>
      <c r="N2560">
        <v>4</v>
      </c>
      <c r="O2560">
        <v>3</v>
      </c>
      <c r="P2560">
        <v>1</v>
      </c>
      <c r="Q2560">
        <v>0</v>
      </c>
      <c r="R2560" s="4">
        <v>13.05</v>
      </c>
      <c r="S2560">
        <v>0</v>
      </c>
      <c r="T2560">
        <v>1</v>
      </c>
    </row>
    <row r="2561" spans="1:20" ht="16.5" x14ac:dyDescent="0.3">
      <c r="A2561" t="s">
        <v>2615</v>
      </c>
      <c r="B2561" s="1">
        <v>45649</v>
      </c>
      <c r="C2561">
        <v>2024</v>
      </c>
      <c r="D2561" t="s">
        <v>1873</v>
      </c>
      <c r="E2561" t="s">
        <v>2413</v>
      </c>
      <c r="F2561" t="s">
        <v>34</v>
      </c>
      <c r="G2561" t="s">
        <v>39</v>
      </c>
      <c r="H2561" t="s">
        <v>36</v>
      </c>
      <c r="I2561" t="s">
        <v>31</v>
      </c>
      <c r="J2561" t="s">
        <v>27</v>
      </c>
      <c r="K2561" t="s">
        <v>32</v>
      </c>
      <c r="L2561" s="2">
        <v>4.2</v>
      </c>
      <c r="M2561" s="3">
        <v>271</v>
      </c>
      <c r="N2561">
        <v>5</v>
      </c>
      <c r="O2561">
        <v>4</v>
      </c>
      <c r="P2561">
        <v>1</v>
      </c>
      <c r="Q2561">
        <v>0</v>
      </c>
      <c r="R2561" s="4">
        <v>8.25</v>
      </c>
      <c r="S2561">
        <v>0</v>
      </c>
      <c r="T2561">
        <v>1</v>
      </c>
    </row>
    <row r="2562" spans="1:20" ht="16.5" x14ac:dyDescent="0.3">
      <c r="A2562" t="s">
        <v>2616</v>
      </c>
      <c r="B2562" s="1">
        <v>45649</v>
      </c>
      <c r="C2562">
        <v>2024</v>
      </c>
      <c r="D2562" t="s">
        <v>1873</v>
      </c>
      <c r="E2562" t="s">
        <v>2413</v>
      </c>
      <c r="F2562" t="s">
        <v>34</v>
      </c>
      <c r="G2562" t="s">
        <v>39</v>
      </c>
      <c r="H2562" t="s">
        <v>48</v>
      </c>
      <c r="I2562" t="s">
        <v>26</v>
      </c>
      <c r="J2562" t="s">
        <v>27</v>
      </c>
      <c r="K2562" t="s">
        <v>32</v>
      </c>
      <c r="L2562" s="2">
        <v>3.7</v>
      </c>
      <c r="M2562" s="3">
        <v>496</v>
      </c>
      <c r="N2562">
        <v>4</v>
      </c>
      <c r="O2562">
        <v>4</v>
      </c>
      <c r="P2562">
        <v>1</v>
      </c>
      <c r="Q2562">
        <v>0</v>
      </c>
      <c r="R2562" s="4">
        <v>13.13</v>
      </c>
      <c r="S2562">
        <v>0</v>
      </c>
      <c r="T2562">
        <v>1</v>
      </c>
    </row>
    <row r="2563" spans="1:20" ht="16.5" x14ac:dyDescent="0.3">
      <c r="A2563" t="s">
        <v>2617</v>
      </c>
      <c r="B2563" s="1">
        <v>45649</v>
      </c>
      <c r="C2563">
        <v>2024</v>
      </c>
      <c r="D2563" t="s">
        <v>1873</v>
      </c>
      <c r="E2563" t="s">
        <v>2413</v>
      </c>
      <c r="F2563" t="s">
        <v>38</v>
      </c>
      <c r="G2563" t="s">
        <v>24</v>
      </c>
      <c r="H2563" t="s">
        <v>25</v>
      </c>
      <c r="I2563" t="s">
        <v>26</v>
      </c>
      <c r="J2563" t="s">
        <v>27</v>
      </c>
      <c r="K2563" t="s">
        <v>32</v>
      </c>
      <c r="L2563" s="2">
        <v>3.6</v>
      </c>
      <c r="M2563" s="3">
        <v>1024</v>
      </c>
      <c r="N2563">
        <v>4</v>
      </c>
      <c r="O2563">
        <v>3</v>
      </c>
      <c r="P2563">
        <v>1</v>
      </c>
      <c r="Q2563">
        <v>0</v>
      </c>
      <c r="R2563" s="4">
        <v>24.11</v>
      </c>
      <c r="S2563">
        <v>0</v>
      </c>
      <c r="T2563">
        <v>1</v>
      </c>
    </row>
    <row r="2564" spans="1:20" ht="16.5" x14ac:dyDescent="0.3">
      <c r="A2564" t="s">
        <v>2618</v>
      </c>
      <c r="B2564" s="1">
        <v>45649</v>
      </c>
      <c r="C2564">
        <v>2024</v>
      </c>
      <c r="D2564" t="s">
        <v>1873</v>
      </c>
      <c r="E2564" t="s">
        <v>2413</v>
      </c>
      <c r="F2564" t="s">
        <v>30</v>
      </c>
      <c r="G2564" t="s">
        <v>24</v>
      </c>
      <c r="H2564" t="s">
        <v>25</v>
      </c>
      <c r="I2564" t="s">
        <v>31</v>
      </c>
      <c r="J2564" t="s">
        <v>27</v>
      </c>
      <c r="K2564" t="s">
        <v>28</v>
      </c>
      <c r="L2564" s="2">
        <v>228.6</v>
      </c>
      <c r="M2564" s="3">
        <v>942</v>
      </c>
      <c r="N2564">
        <v>6</v>
      </c>
      <c r="O2564">
        <v>8</v>
      </c>
      <c r="P2564">
        <v>0</v>
      </c>
      <c r="Q2564">
        <v>2</v>
      </c>
      <c r="R2564" s="4">
        <v>89.19</v>
      </c>
      <c r="S2564">
        <v>0</v>
      </c>
      <c r="T2564">
        <v>1</v>
      </c>
    </row>
    <row r="2565" spans="1:20" ht="16.5" x14ac:dyDescent="0.3">
      <c r="A2565" t="s">
        <v>2619</v>
      </c>
      <c r="B2565" s="1">
        <v>45649</v>
      </c>
      <c r="C2565">
        <v>2024</v>
      </c>
      <c r="D2565" t="s">
        <v>1873</v>
      </c>
      <c r="E2565" t="s">
        <v>2413</v>
      </c>
      <c r="F2565" t="s">
        <v>30</v>
      </c>
      <c r="G2565" t="s">
        <v>35</v>
      </c>
      <c r="H2565" t="s">
        <v>48</v>
      </c>
      <c r="I2565" t="s">
        <v>26</v>
      </c>
      <c r="J2565" t="s">
        <v>27</v>
      </c>
      <c r="K2565" t="s">
        <v>28</v>
      </c>
      <c r="L2565" s="2">
        <v>76.599999999999994</v>
      </c>
      <c r="M2565" s="3">
        <v>555</v>
      </c>
      <c r="N2565">
        <v>4</v>
      </c>
      <c r="O2565">
        <v>7</v>
      </c>
      <c r="P2565">
        <v>0</v>
      </c>
      <c r="Q2565">
        <v>3</v>
      </c>
      <c r="R2565" s="4">
        <v>49.85</v>
      </c>
      <c r="S2565">
        <v>0</v>
      </c>
      <c r="T2565">
        <v>1</v>
      </c>
    </row>
    <row r="2566" spans="1:20" ht="16.5" x14ac:dyDescent="0.3">
      <c r="A2566" t="s">
        <v>2620</v>
      </c>
      <c r="B2566" s="1">
        <v>45649</v>
      </c>
      <c r="C2566">
        <v>2024</v>
      </c>
      <c r="D2566" t="s">
        <v>1873</v>
      </c>
      <c r="E2566" t="s">
        <v>2413</v>
      </c>
      <c r="F2566" t="s">
        <v>34</v>
      </c>
      <c r="G2566" t="s">
        <v>39</v>
      </c>
      <c r="H2566" t="s">
        <v>48</v>
      </c>
      <c r="I2566" t="s">
        <v>26</v>
      </c>
      <c r="J2566" t="s">
        <v>27</v>
      </c>
      <c r="K2566" t="s">
        <v>32</v>
      </c>
      <c r="L2566" s="2">
        <v>8.9</v>
      </c>
      <c r="M2566" s="3">
        <v>406</v>
      </c>
      <c r="N2566">
        <v>4</v>
      </c>
      <c r="O2566">
        <v>6</v>
      </c>
      <c r="P2566">
        <v>0</v>
      </c>
      <c r="Q2566">
        <v>2</v>
      </c>
      <c r="R2566" s="4">
        <v>13.33</v>
      </c>
      <c r="S2566">
        <v>0</v>
      </c>
      <c r="T2566">
        <v>1</v>
      </c>
    </row>
    <row r="2567" spans="1:20" ht="16.5" x14ac:dyDescent="0.3">
      <c r="A2567" t="s">
        <v>2621</v>
      </c>
      <c r="B2567" s="1">
        <v>45649</v>
      </c>
      <c r="C2567">
        <v>2024</v>
      </c>
      <c r="D2567" t="s">
        <v>1873</v>
      </c>
      <c r="E2567" t="s">
        <v>2413</v>
      </c>
      <c r="F2567" t="s">
        <v>38</v>
      </c>
      <c r="G2567" t="s">
        <v>35</v>
      </c>
      <c r="H2567" t="s">
        <v>43</v>
      </c>
      <c r="I2567" t="s">
        <v>40</v>
      </c>
      <c r="J2567" t="s">
        <v>41</v>
      </c>
      <c r="K2567" t="s">
        <v>32</v>
      </c>
      <c r="L2567" s="2">
        <v>2.2000000000000002</v>
      </c>
      <c r="M2567" s="3">
        <v>1038</v>
      </c>
      <c r="N2567">
        <v>3</v>
      </c>
      <c r="O2567">
        <v>4</v>
      </c>
      <c r="P2567">
        <v>0</v>
      </c>
      <c r="Q2567">
        <v>1</v>
      </c>
      <c r="R2567" s="4">
        <v>74.48</v>
      </c>
      <c r="S2567">
        <v>0</v>
      </c>
      <c r="T2567">
        <v>1</v>
      </c>
    </row>
    <row r="2568" spans="1:20" ht="16.5" x14ac:dyDescent="0.3">
      <c r="A2568" t="s">
        <v>2622</v>
      </c>
      <c r="B2568" s="1">
        <v>45650</v>
      </c>
      <c r="C2568">
        <v>2024</v>
      </c>
      <c r="D2568" t="s">
        <v>1873</v>
      </c>
      <c r="E2568" t="s">
        <v>2413</v>
      </c>
      <c r="F2568" t="s">
        <v>38</v>
      </c>
      <c r="G2568" t="s">
        <v>35</v>
      </c>
      <c r="H2568" t="s">
        <v>48</v>
      </c>
      <c r="I2568" t="s">
        <v>26</v>
      </c>
      <c r="J2568" t="s">
        <v>27</v>
      </c>
      <c r="K2568" t="s">
        <v>32</v>
      </c>
      <c r="L2568" s="2">
        <v>9.9</v>
      </c>
      <c r="M2568" s="3">
        <v>605</v>
      </c>
      <c r="N2568">
        <v>4</v>
      </c>
      <c r="O2568">
        <v>6</v>
      </c>
      <c r="P2568">
        <v>0</v>
      </c>
      <c r="Q2568">
        <v>2</v>
      </c>
      <c r="R2568" s="4">
        <v>22.29</v>
      </c>
      <c r="S2568">
        <v>0</v>
      </c>
      <c r="T2568">
        <v>1</v>
      </c>
    </row>
    <row r="2569" spans="1:20" ht="16.5" x14ac:dyDescent="0.3">
      <c r="A2569" t="s">
        <v>2623</v>
      </c>
      <c r="B2569" s="1">
        <v>45650</v>
      </c>
      <c r="C2569">
        <v>2024</v>
      </c>
      <c r="D2569" t="s">
        <v>1873</v>
      </c>
      <c r="E2569" t="s">
        <v>2413</v>
      </c>
      <c r="F2569" t="s">
        <v>34</v>
      </c>
      <c r="G2569" t="s">
        <v>35</v>
      </c>
      <c r="H2569" t="s">
        <v>36</v>
      </c>
      <c r="I2569" t="s">
        <v>40</v>
      </c>
      <c r="J2569" t="s">
        <v>27</v>
      </c>
      <c r="K2569" t="s">
        <v>32</v>
      </c>
      <c r="L2569" s="2">
        <v>14</v>
      </c>
      <c r="M2569" s="3">
        <v>254</v>
      </c>
      <c r="N2569">
        <v>1</v>
      </c>
      <c r="O2569">
        <v>4</v>
      </c>
      <c r="P2569">
        <v>0</v>
      </c>
      <c r="Q2569">
        <v>3</v>
      </c>
      <c r="R2569" s="4">
        <v>28.33</v>
      </c>
      <c r="S2569">
        <v>0</v>
      </c>
      <c r="T2569">
        <v>1</v>
      </c>
    </row>
    <row r="2570" spans="1:20" ht="16.5" x14ac:dyDescent="0.3">
      <c r="A2570" t="s">
        <v>2624</v>
      </c>
      <c r="B2570" s="1">
        <v>45650</v>
      </c>
      <c r="C2570">
        <v>2024</v>
      </c>
      <c r="D2570" t="s">
        <v>1873</v>
      </c>
      <c r="E2570" t="s">
        <v>2413</v>
      </c>
      <c r="F2570" t="s">
        <v>34</v>
      </c>
      <c r="G2570" t="s">
        <v>35</v>
      </c>
      <c r="H2570" t="s">
        <v>48</v>
      </c>
      <c r="I2570" t="s">
        <v>40</v>
      </c>
      <c r="J2570" t="s">
        <v>27</v>
      </c>
      <c r="K2570" t="s">
        <v>32</v>
      </c>
      <c r="L2570" s="2">
        <v>6.1</v>
      </c>
      <c r="M2570" s="3">
        <v>448</v>
      </c>
      <c r="N2570">
        <v>2</v>
      </c>
      <c r="O2570">
        <v>2</v>
      </c>
      <c r="P2570">
        <v>1</v>
      </c>
      <c r="Q2570">
        <v>0</v>
      </c>
      <c r="R2570" s="4">
        <v>24.06</v>
      </c>
      <c r="S2570">
        <v>0</v>
      </c>
      <c r="T2570">
        <v>1</v>
      </c>
    </row>
    <row r="2571" spans="1:20" ht="16.5" x14ac:dyDescent="0.3">
      <c r="A2571" t="s">
        <v>2625</v>
      </c>
      <c r="B2571" s="1">
        <v>45650</v>
      </c>
      <c r="C2571">
        <v>2024</v>
      </c>
      <c r="D2571" t="s">
        <v>1873</v>
      </c>
      <c r="E2571" t="s">
        <v>2413</v>
      </c>
      <c r="F2571" t="s">
        <v>23</v>
      </c>
      <c r="G2571" t="s">
        <v>24</v>
      </c>
      <c r="H2571" t="s">
        <v>43</v>
      </c>
      <c r="I2571" t="s">
        <v>31</v>
      </c>
      <c r="J2571" t="s">
        <v>27</v>
      </c>
      <c r="K2571" t="s">
        <v>32</v>
      </c>
      <c r="L2571" s="2">
        <v>4.5999999999999996</v>
      </c>
      <c r="M2571" s="3">
        <v>1111</v>
      </c>
      <c r="N2571">
        <v>7</v>
      </c>
      <c r="O2571">
        <v>6</v>
      </c>
      <c r="P2571">
        <v>1</v>
      </c>
      <c r="Q2571">
        <v>0</v>
      </c>
      <c r="R2571" s="4">
        <v>16.239999999999998</v>
      </c>
      <c r="S2571">
        <v>0</v>
      </c>
      <c r="T2571">
        <v>1</v>
      </c>
    </row>
    <row r="2572" spans="1:20" ht="16.5" x14ac:dyDescent="0.3">
      <c r="A2572" t="s">
        <v>2626</v>
      </c>
      <c r="B2572" s="1">
        <v>45650</v>
      </c>
      <c r="C2572">
        <v>2024</v>
      </c>
      <c r="D2572" t="s">
        <v>1873</v>
      </c>
      <c r="E2572" t="s">
        <v>2413</v>
      </c>
      <c r="F2572" t="s">
        <v>57</v>
      </c>
      <c r="G2572" t="s">
        <v>35</v>
      </c>
      <c r="H2572" t="s">
        <v>48</v>
      </c>
      <c r="I2572" t="s">
        <v>40</v>
      </c>
      <c r="J2572" t="s">
        <v>27</v>
      </c>
      <c r="K2572" t="s">
        <v>28</v>
      </c>
      <c r="L2572" s="2">
        <v>337.4</v>
      </c>
      <c r="M2572" s="3">
        <v>542</v>
      </c>
      <c r="N2572">
        <v>2</v>
      </c>
      <c r="O2572">
        <v>4</v>
      </c>
      <c r="P2572">
        <v>0</v>
      </c>
      <c r="Q2572">
        <v>2</v>
      </c>
      <c r="R2572" s="4">
        <v>272.32</v>
      </c>
      <c r="S2572">
        <v>0</v>
      </c>
      <c r="T2572">
        <v>1</v>
      </c>
    </row>
    <row r="2573" spans="1:20" ht="16.5" x14ac:dyDescent="0.3">
      <c r="A2573" t="s">
        <v>2627</v>
      </c>
      <c r="B2573" s="1">
        <v>45650</v>
      </c>
      <c r="C2573">
        <v>2024</v>
      </c>
      <c r="D2573" t="s">
        <v>1873</v>
      </c>
      <c r="E2573" t="s">
        <v>2413</v>
      </c>
      <c r="F2573" t="s">
        <v>57</v>
      </c>
      <c r="G2573" t="s">
        <v>35</v>
      </c>
      <c r="H2573" t="s">
        <v>25</v>
      </c>
      <c r="I2573" t="s">
        <v>31</v>
      </c>
      <c r="J2573" t="s">
        <v>27</v>
      </c>
      <c r="K2573" t="s">
        <v>28</v>
      </c>
      <c r="L2573" s="2">
        <v>49.5</v>
      </c>
      <c r="M2573" s="3">
        <v>812</v>
      </c>
      <c r="N2573">
        <v>6</v>
      </c>
      <c r="O2573">
        <v>5</v>
      </c>
      <c r="P2573">
        <v>1</v>
      </c>
      <c r="Q2573">
        <v>0</v>
      </c>
      <c r="R2573" s="4">
        <v>26.24</v>
      </c>
      <c r="S2573">
        <v>0</v>
      </c>
      <c r="T2573">
        <v>1</v>
      </c>
    </row>
    <row r="2574" spans="1:20" ht="16.5" x14ac:dyDescent="0.3">
      <c r="A2574" t="s">
        <v>2628</v>
      </c>
      <c r="B2574" s="1">
        <v>45650</v>
      </c>
      <c r="C2574">
        <v>2024</v>
      </c>
      <c r="D2574" t="s">
        <v>1873</v>
      </c>
      <c r="E2574" t="s">
        <v>2413</v>
      </c>
      <c r="F2574" t="s">
        <v>34</v>
      </c>
      <c r="G2574" t="s">
        <v>39</v>
      </c>
      <c r="H2574" t="s">
        <v>36</v>
      </c>
      <c r="I2574" t="s">
        <v>26</v>
      </c>
      <c r="J2574" t="s">
        <v>27</v>
      </c>
      <c r="K2574" t="s">
        <v>32</v>
      </c>
      <c r="L2574" s="2">
        <v>11.9</v>
      </c>
      <c r="M2574" s="3">
        <v>233</v>
      </c>
      <c r="N2574">
        <v>3</v>
      </c>
      <c r="O2574">
        <v>5</v>
      </c>
      <c r="P2574">
        <v>0</v>
      </c>
      <c r="Q2574">
        <v>2</v>
      </c>
      <c r="R2574" s="4">
        <v>14.25</v>
      </c>
      <c r="S2574">
        <v>0</v>
      </c>
      <c r="T2574">
        <v>1</v>
      </c>
    </row>
    <row r="2575" spans="1:20" ht="16.5" x14ac:dyDescent="0.3">
      <c r="A2575" t="s">
        <v>2629</v>
      </c>
      <c r="B2575" s="1">
        <v>45651</v>
      </c>
      <c r="C2575">
        <v>2024</v>
      </c>
      <c r="D2575" t="s">
        <v>1873</v>
      </c>
      <c r="E2575" t="s">
        <v>2413</v>
      </c>
      <c r="F2575" t="s">
        <v>30</v>
      </c>
      <c r="G2575" t="s">
        <v>39</v>
      </c>
      <c r="H2575" t="s">
        <v>48</v>
      </c>
      <c r="I2575" t="s">
        <v>26</v>
      </c>
      <c r="J2575" t="s">
        <v>27</v>
      </c>
      <c r="K2575" t="s">
        <v>32</v>
      </c>
      <c r="L2575" s="2">
        <v>3.5</v>
      </c>
      <c r="M2575" s="3">
        <v>506</v>
      </c>
      <c r="N2575">
        <v>4</v>
      </c>
      <c r="O2575">
        <v>4</v>
      </c>
      <c r="P2575">
        <v>1</v>
      </c>
      <c r="Q2575">
        <v>0</v>
      </c>
      <c r="R2575" s="4">
        <v>15.02</v>
      </c>
      <c r="S2575">
        <v>0</v>
      </c>
      <c r="T2575">
        <v>1</v>
      </c>
    </row>
    <row r="2576" spans="1:20" ht="16.5" x14ac:dyDescent="0.3">
      <c r="A2576" t="s">
        <v>2630</v>
      </c>
      <c r="B2576" s="1">
        <v>45651</v>
      </c>
      <c r="C2576">
        <v>2024</v>
      </c>
      <c r="D2576" t="s">
        <v>1873</v>
      </c>
      <c r="E2576" t="s">
        <v>2413</v>
      </c>
      <c r="F2576" t="s">
        <v>38</v>
      </c>
      <c r="G2576" t="s">
        <v>35</v>
      </c>
      <c r="H2576" t="s">
        <v>48</v>
      </c>
      <c r="I2576" t="s">
        <v>26</v>
      </c>
      <c r="J2576" t="s">
        <v>27</v>
      </c>
      <c r="K2576" t="s">
        <v>32</v>
      </c>
      <c r="L2576" s="2">
        <v>7.3</v>
      </c>
      <c r="M2576" s="3">
        <v>530</v>
      </c>
      <c r="N2576">
        <v>4</v>
      </c>
      <c r="O2576">
        <v>4</v>
      </c>
      <c r="P2576">
        <v>1</v>
      </c>
      <c r="Q2576">
        <v>0</v>
      </c>
      <c r="R2576" s="4">
        <v>18.43</v>
      </c>
      <c r="S2576">
        <v>0</v>
      </c>
      <c r="T2576">
        <v>1</v>
      </c>
    </row>
    <row r="2577" spans="1:20" ht="16.5" x14ac:dyDescent="0.3">
      <c r="A2577" t="s">
        <v>2631</v>
      </c>
      <c r="B2577" s="1">
        <v>45651</v>
      </c>
      <c r="C2577">
        <v>2024</v>
      </c>
      <c r="D2577" t="s">
        <v>1873</v>
      </c>
      <c r="E2577" t="s">
        <v>2413</v>
      </c>
      <c r="F2577" t="s">
        <v>30</v>
      </c>
      <c r="G2577" t="s">
        <v>35</v>
      </c>
      <c r="H2577" t="s">
        <v>25</v>
      </c>
      <c r="I2577" t="s">
        <v>26</v>
      </c>
      <c r="J2577" t="s">
        <v>27</v>
      </c>
      <c r="K2577" t="s">
        <v>32</v>
      </c>
      <c r="L2577" s="2">
        <v>3.2</v>
      </c>
      <c r="M2577" s="3">
        <v>546</v>
      </c>
      <c r="N2577">
        <v>4</v>
      </c>
      <c r="O2577">
        <v>6</v>
      </c>
      <c r="P2577">
        <v>0</v>
      </c>
      <c r="Q2577">
        <v>2</v>
      </c>
      <c r="R2577" s="4">
        <v>14.78</v>
      </c>
      <c r="S2577">
        <v>0</v>
      </c>
      <c r="T2577">
        <v>1</v>
      </c>
    </row>
    <row r="2578" spans="1:20" ht="16.5" x14ac:dyDescent="0.3">
      <c r="A2578" t="s">
        <v>2632</v>
      </c>
      <c r="B2578" s="1">
        <v>45651</v>
      </c>
      <c r="C2578">
        <v>2024</v>
      </c>
      <c r="D2578" t="s">
        <v>1873</v>
      </c>
      <c r="E2578" t="s">
        <v>2413</v>
      </c>
      <c r="F2578" t="s">
        <v>34</v>
      </c>
      <c r="G2578" t="s">
        <v>35</v>
      </c>
      <c r="H2578" t="s">
        <v>48</v>
      </c>
      <c r="I2578" t="s">
        <v>26</v>
      </c>
      <c r="J2578" t="s">
        <v>27</v>
      </c>
      <c r="K2578" t="s">
        <v>32</v>
      </c>
      <c r="L2578" s="2">
        <v>16.600000000000001</v>
      </c>
      <c r="M2578" s="3">
        <v>462</v>
      </c>
      <c r="N2578">
        <v>4</v>
      </c>
      <c r="O2578">
        <v>7</v>
      </c>
      <c r="P2578">
        <v>0</v>
      </c>
      <c r="Q2578">
        <v>3</v>
      </c>
      <c r="R2578" s="4">
        <v>18.32</v>
      </c>
      <c r="S2578">
        <v>0</v>
      </c>
      <c r="T2578">
        <v>1</v>
      </c>
    </row>
    <row r="2579" spans="1:20" ht="16.5" x14ac:dyDescent="0.3">
      <c r="A2579" t="s">
        <v>2633</v>
      </c>
      <c r="B2579" s="1">
        <v>45651</v>
      </c>
      <c r="C2579">
        <v>2024</v>
      </c>
      <c r="D2579" t="s">
        <v>1873</v>
      </c>
      <c r="E2579" t="s">
        <v>2413</v>
      </c>
      <c r="F2579" t="s">
        <v>38</v>
      </c>
      <c r="G2579" t="s">
        <v>24</v>
      </c>
      <c r="H2579" t="s">
        <v>51</v>
      </c>
      <c r="I2579" t="s">
        <v>31</v>
      </c>
      <c r="J2579" t="s">
        <v>27</v>
      </c>
      <c r="K2579" t="s">
        <v>28</v>
      </c>
      <c r="L2579" s="2">
        <v>107.4</v>
      </c>
      <c r="M2579" s="3">
        <v>1234</v>
      </c>
      <c r="N2579">
        <v>7</v>
      </c>
      <c r="O2579">
        <v>7</v>
      </c>
      <c r="P2579">
        <v>1</v>
      </c>
      <c r="Q2579">
        <v>0</v>
      </c>
      <c r="R2579" s="4">
        <v>54.58</v>
      </c>
      <c r="S2579">
        <v>0</v>
      </c>
      <c r="T2579">
        <v>1</v>
      </c>
    </row>
    <row r="2580" spans="1:20" ht="16.5" x14ac:dyDescent="0.3">
      <c r="A2580" t="s">
        <v>2634</v>
      </c>
      <c r="B2580" s="1">
        <v>45651</v>
      </c>
      <c r="C2580">
        <v>2024</v>
      </c>
      <c r="D2580" t="s">
        <v>1873</v>
      </c>
      <c r="E2580" t="s">
        <v>2413</v>
      </c>
      <c r="F2580" t="s">
        <v>34</v>
      </c>
      <c r="G2580" t="s">
        <v>39</v>
      </c>
      <c r="H2580" t="s">
        <v>36</v>
      </c>
      <c r="I2580" t="s">
        <v>40</v>
      </c>
      <c r="J2580" t="s">
        <v>27</v>
      </c>
      <c r="K2580" t="s">
        <v>32</v>
      </c>
      <c r="L2580" s="2">
        <v>5.4</v>
      </c>
      <c r="M2580" s="3">
        <v>293</v>
      </c>
      <c r="N2580">
        <v>1</v>
      </c>
      <c r="O2580">
        <v>1</v>
      </c>
      <c r="P2580">
        <v>1</v>
      </c>
      <c r="Q2580">
        <v>0</v>
      </c>
      <c r="R2580" s="4">
        <v>20.29</v>
      </c>
      <c r="S2580">
        <v>0</v>
      </c>
      <c r="T2580">
        <v>1</v>
      </c>
    </row>
    <row r="2581" spans="1:20" ht="16.5" x14ac:dyDescent="0.3">
      <c r="A2581" t="s">
        <v>2635</v>
      </c>
      <c r="B2581" s="1">
        <v>45651</v>
      </c>
      <c r="C2581">
        <v>2024</v>
      </c>
      <c r="D2581" t="s">
        <v>1873</v>
      </c>
      <c r="E2581" t="s">
        <v>2413</v>
      </c>
      <c r="F2581" t="s">
        <v>57</v>
      </c>
      <c r="G2581" t="s">
        <v>39</v>
      </c>
      <c r="H2581" t="s">
        <v>25</v>
      </c>
      <c r="I2581" t="s">
        <v>31</v>
      </c>
      <c r="J2581" t="s">
        <v>27</v>
      </c>
      <c r="K2581" t="s">
        <v>32</v>
      </c>
      <c r="L2581" s="2">
        <v>2.7</v>
      </c>
      <c r="M2581" s="3">
        <v>1028</v>
      </c>
      <c r="N2581">
        <v>6</v>
      </c>
      <c r="O2581">
        <v>6</v>
      </c>
      <c r="P2581">
        <v>1</v>
      </c>
      <c r="Q2581">
        <v>0</v>
      </c>
      <c r="R2581" s="4">
        <v>14.45</v>
      </c>
      <c r="S2581">
        <v>0</v>
      </c>
      <c r="T2581">
        <v>1</v>
      </c>
    </row>
    <row r="2582" spans="1:20" ht="16.5" x14ac:dyDescent="0.3">
      <c r="A2582" t="s">
        <v>2636</v>
      </c>
      <c r="B2582" s="1">
        <v>45651</v>
      </c>
      <c r="C2582">
        <v>2024</v>
      </c>
      <c r="D2582" t="s">
        <v>1873</v>
      </c>
      <c r="E2582" t="s">
        <v>2413</v>
      </c>
      <c r="F2582" t="s">
        <v>30</v>
      </c>
      <c r="G2582" t="s">
        <v>35</v>
      </c>
      <c r="H2582" t="s">
        <v>36</v>
      </c>
      <c r="I2582" t="s">
        <v>26</v>
      </c>
      <c r="J2582" t="s">
        <v>27</v>
      </c>
      <c r="K2582" t="s">
        <v>28</v>
      </c>
      <c r="L2582" s="2">
        <v>11</v>
      </c>
      <c r="M2582" s="3">
        <v>309</v>
      </c>
      <c r="N2582">
        <v>3</v>
      </c>
      <c r="O2582">
        <v>3</v>
      </c>
      <c r="P2582">
        <v>1</v>
      </c>
      <c r="Q2582">
        <v>0</v>
      </c>
      <c r="R2582" s="4">
        <v>17.920000000000002</v>
      </c>
      <c r="S2582">
        <v>0</v>
      </c>
      <c r="T2582">
        <v>1</v>
      </c>
    </row>
    <row r="2583" spans="1:20" ht="16.5" x14ac:dyDescent="0.3">
      <c r="A2583" t="s">
        <v>2637</v>
      </c>
      <c r="B2583" s="1">
        <v>45651</v>
      </c>
      <c r="C2583">
        <v>2024</v>
      </c>
      <c r="D2583" t="s">
        <v>1873</v>
      </c>
      <c r="E2583" t="s">
        <v>2413</v>
      </c>
      <c r="F2583" t="s">
        <v>57</v>
      </c>
      <c r="G2583" t="s">
        <v>35</v>
      </c>
      <c r="H2583" t="s">
        <v>43</v>
      </c>
      <c r="I2583" t="s">
        <v>26</v>
      </c>
      <c r="J2583" t="s">
        <v>27</v>
      </c>
      <c r="K2583" t="s">
        <v>32</v>
      </c>
      <c r="L2583" s="2">
        <v>13.6</v>
      </c>
      <c r="M2583" s="3">
        <v>1242</v>
      </c>
      <c r="N2583">
        <v>5</v>
      </c>
      <c r="O2583">
        <v>5</v>
      </c>
      <c r="P2583">
        <v>1</v>
      </c>
      <c r="Q2583">
        <v>0</v>
      </c>
      <c r="R2583" s="4">
        <v>30.01</v>
      </c>
      <c r="S2583">
        <v>0</v>
      </c>
      <c r="T2583">
        <v>1</v>
      </c>
    </row>
    <row r="2584" spans="1:20" ht="16.5" x14ac:dyDescent="0.3">
      <c r="A2584" t="s">
        <v>2638</v>
      </c>
      <c r="B2584" s="1">
        <v>45651</v>
      </c>
      <c r="C2584">
        <v>2024</v>
      </c>
      <c r="D2584" t="s">
        <v>1873</v>
      </c>
      <c r="E2584" t="s">
        <v>2413</v>
      </c>
      <c r="F2584" t="s">
        <v>38</v>
      </c>
      <c r="G2584" t="s">
        <v>35</v>
      </c>
      <c r="H2584" t="s">
        <v>36</v>
      </c>
      <c r="I2584" t="s">
        <v>40</v>
      </c>
      <c r="J2584" t="s">
        <v>27</v>
      </c>
      <c r="K2584" t="s">
        <v>32</v>
      </c>
      <c r="L2584" s="2">
        <v>14.4</v>
      </c>
      <c r="M2584" s="3">
        <v>187</v>
      </c>
      <c r="N2584">
        <v>1</v>
      </c>
      <c r="O2584">
        <v>1</v>
      </c>
      <c r="P2584">
        <v>1</v>
      </c>
      <c r="Q2584">
        <v>0</v>
      </c>
      <c r="R2584" s="4">
        <v>38.369999999999997</v>
      </c>
      <c r="S2584">
        <v>0</v>
      </c>
      <c r="T2584">
        <v>1</v>
      </c>
    </row>
    <row r="2585" spans="1:20" ht="16.5" x14ac:dyDescent="0.3">
      <c r="A2585" t="s">
        <v>2639</v>
      </c>
      <c r="B2585" s="1">
        <v>45652</v>
      </c>
      <c r="C2585">
        <v>2024</v>
      </c>
      <c r="D2585" t="s">
        <v>1873</v>
      </c>
      <c r="E2585" t="s">
        <v>2413</v>
      </c>
      <c r="F2585" t="s">
        <v>23</v>
      </c>
      <c r="G2585" t="s">
        <v>39</v>
      </c>
      <c r="H2585" t="s">
        <v>36</v>
      </c>
      <c r="I2585" t="s">
        <v>40</v>
      </c>
      <c r="J2585" t="s">
        <v>27</v>
      </c>
      <c r="K2585" t="s">
        <v>28</v>
      </c>
      <c r="L2585" s="2">
        <v>159.80000000000001</v>
      </c>
      <c r="M2585" s="3">
        <v>289</v>
      </c>
      <c r="N2585">
        <v>1</v>
      </c>
      <c r="O2585">
        <v>3</v>
      </c>
      <c r="P2585">
        <v>0</v>
      </c>
      <c r="Q2585">
        <v>2</v>
      </c>
      <c r="R2585" s="4">
        <v>138.4</v>
      </c>
      <c r="S2585">
        <v>0</v>
      </c>
      <c r="T2585">
        <v>1</v>
      </c>
    </row>
    <row r="2586" spans="1:20" ht="16.5" x14ac:dyDescent="0.3">
      <c r="A2586" t="s">
        <v>2640</v>
      </c>
      <c r="B2586" s="1">
        <v>45652</v>
      </c>
      <c r="C2586">
        <v>2024</v>
      </c>
      <c r="D2586" t="s">
        <v>1873</v>
      </c>
      <c r="E2586" t="s">
        <v>2413</v>
      </c>
      <c r="F2586" t="s">
        <v>34</v>
      </c>
      <c r="G2586" t="s">
        <v>24</v>
      </c>
      <c r="H2586" t="s">
        <v>36</v>
      </c>
      <c r="I2586" t="s">
        <v>26</v>
      </c>
      <c r="J2586" t="s">
        <v>27</v>
      </c>
      <c r="K2586" t="s">
        <v>28</v>
      </c>
      <c r="L2586" s="2">
        <v>14</v>
      </c>
      <c r="M2586" s="3">
        <v>234</v>
      </c>
      <c r="N2586">
        <v>3</v>
      </c>
      <c r="O2586">
        <v>3</v>
      </c>
      <c r="P2586">
        <v>1</v>
      </c>
      <c r="Q2586">
        <v>0</v>
      </c>
      <c r="R2586" s="4">
        <v>15.3</v>
      </c>
      <c r="S2586">
        <v>0</v>
      </c>
      <c r="T2586">
        <v>1</v>
      </c>
    </row>
    <row r="2587" spans="1:20" ht="16.5" x14ac:dyDescent="0.3">
      <c r="A2587" t="s">
        <v>2641</v>
      </c>
      <c r="B2587" s="1">
        <v>45652</v>
      </c>
      <c r="C2587">
        <v>2024</v>
      </c>
      <c r="D2587" t="s">
        <v>1873</v>
      </c>
      <c r="E2587" t="s">
        <v>2413</v>
      </c>
      <c r="F2587" t="s">
        <v>38</v>
      </c>
      <c r="G2587" t="s">
        <v>39</v>
      </c>
      <c r="H2587" t="s">
        <v>48</v>
      </c>
      <c r="I2587" t="s">
        <v>40</v>
      </c>
      <c r="J2587" t="s">
        <v>27</v>
      </c>
      <c r="K2587" t="s">
        <v>28</v>
      </c>
      <c r="L2587" s="2">
        <v>105</v>
      </c>
      <c r="M2587" s="3">
        <v>529</v>
      </c>
      <c r="N2587">
        <v>2</v>
      </c>
      <c r="O2587">
        <v>2</v>
      </c>
      <c r="P2587">
        <v>1</v>
      </c>
      <c r="Q2587">
        <v>0</v>
      </c>
      <c r="R2587" s="4">
        <v>136.79</v>
      </c>
      <c r="S2587">
        <v>0</v>
      </c>
      <c r="T2587">
        <v>1</v>
      </c>
    </row>
    <row r="2588" spans="1:20" ht="16.5" x14ac:dyDescent="0.3">
      <c r="A2588" t="s">
        <v>2642</v>
      </c>
      <c r="B2588" s="1">
        <v>45652</v>
      </c>
      <c r="C2588">
        <v>2024</v>
      </c>
      <c r="D2588" t="s">
        <v>1873</v>
      </c>
      <c r="E2588" t="s">
        <v>2413</v>
      </c>
      <c r="F2588" t="s">
        <v>57</v>
      </c>
      <c r="G2588" t="s">
        <v>24</v>
      </c>
      <c r="H2588" t="s">
        <v>48</v>
      </c>
      <c r="I2588" t="s">
        <v>26</v>
      </c>
      <c r="J2588" t="s">
        <v>27</v>
      </c>
      <c r="K2588" t="s">
        <v>28</v>
      </c>
      <c r="L2588" s="2">
        <v>101.2</v>
      </c>
      <c r="M2588" s="3">
        <v>485</v>
      </c>
      <c r="N2588">
        <v>4</v>
      </c>
      <c r="O2588">
        <v>4</v>
      </c>
      <c r="P2588">
        <v>1</v>
      </c>
      <c r="Q2588">
        <v>0</v>
      </c>
      <c r="R2588" s="4">
        <v>53.13</v>
      </c>
      <c r="S2588">
        <v>0</v>
      </c>
      <c r="T2588">
        <v>1</v>
      </c>
    </row>
    <row r="2589" spans="1:20" ht="16.5" x14ac:dyDescent="0.3">
      <c r="A2589" t="s">
        <v>2643</v>
      </c>
      <c r="B2589" s="1">
        <v>45652</v>
      </c>
      <c r="C2589">
        <v>2024</v>
      </c>
      <c r="D2589" t="s">
        <v>1873</v>
      </c>
      <c r="E2589" t="s">
        <v>2413</v>
      </c>
      <c r="F2589" t="s">
        <v>38</v>
      </c>
      <c r="G2589" t="s">
        <v>39</v>
      </c>
      <c r="H2589" t="s">
        <v>25</v>
      </c>
      <c r="I2589" t="s">
        <v>26</v>
      </c>
      <c r="J2589" t="s">
        <v>27</v>
      </c>
      <c r="K2589" t="s">
        <v>32</v>
      </c>
      <c r="L2589" s="2">
        <v>4.5</v>
      </c>
      <c r="M2589" s="3">
        <v>875</v>
      </c>
      <c r="N2589">
        <v>4</v>
      </c>
      <c r="O2589">
        <v>3</v>
      </c>
      <c r="P2589">
        <v>1</v>
      </c>
      <c r="Q2589">
        <v>0</v>
      </c>
      <c r="R2589" s="4">
        <v>21.46</v>
      </c>
      <c r="S2589">
        <v>0</v>
      </c>
      <c r="T2589">
        <v>1</v>
      </c>
    </row>
    <row r="2590" spans="1:20" ht="16.5" x14ac:dyDescent="0.3">
      <c r="A2590" t="s">
        <v>2644</v>
      </c>
      <c r="B2590" s="1">
        <v>45652</v>
      </c>
      <c r="C2590">
        <v>2024</v>
      </c>
      <c r="D2590" t="s">
        <v>1873</v>
      </c>
      <c r="E2590" t="s">
        <v>2413</v>
      </c>
      <c r="F2590" t="s">
        <v>38</v>
      </c>
      <c r="G2590" t="s">
        <v>39</v>
      </c>
      <c r="H2590" t="s">
        <v>51</v>
      </c>
      <c r="I2590" t="s">
        <v>40</v>
      </c>
      <c r="J2590" t="s">
        <v>41</v>
      </c>
      <c r="K2590" t="s">
        <v>28</v>
      </c>
      <c r="L2590" s="2">
        <v>123.8</v>
      </c>
      <c r="M2590" s="3">
        <v>1012</v>
      </c>
      <c r="N2590">
        <v>3</v>
      </c>
      <c r="O2590">
        <v>3</v>
      </c>
      <c r="P2590">
        <v>1</v>
      </c>
      <c r="Q2590">
        <v>0</v>
      </c>
      <c r="R2590" s="4">
        <v>246.8</v>
      </c>
      <c r="S2590">
        <v>0</v>
      </c>
      <c r="T2590">
        <v>1</v>
      </c>
    </row>
    <row r="2591" spans="1:20" ht="16.5" x14ac:dyDescent="0.3">
      <c r="A2591" t="s">
        <v>2645</v>
      </c>
      <c r="B2591" s="1">
        <v>45652</v>
      </c>
      <c r="C2591">
        <v>2024</v>
      </c>
      <c r="D2591" t="s">
        <v>1873</v>
      </c>
      <c r="E2591" t="s">
        <v>2413</v>
      </c>
      <c r="F2591" t="s">
        <v>38</v>
      </c>
      <c r="G2591" t="s">
        <v>39</v>
      </c>
      <c r="H2591" t="s">
        <v>43</v>
      </c>
      <c r="I2591" t="s">
        <v>40</v>
      </c>
      <c r="J2591" t="s">
        <v>41</v>
      </c>
      <c r="K2591" t="s">
        <v>32</v>
      </c>
      <c r="L2591" s="2">
        <v>14.2</v>
      </c>
      <c r="M2591" s="3">
        <v>1101</v>
      </c>
      <c r="N2591">
        <v>3</v>
      </c>
      <c r="O2591">
        <v>7</v>
      </c>
      <c r="P2591">
        <v>0</v>
      </c>
      <c r="Q2591">
        <v>4</v>
      </c>
      <c r="R2591" s="4">
        <v>97.97</v>
      </c>
      <c r="S2591">
        <v>0</v>
      </c>
      <c r="T2591">
        <v>1</v>
      </c>
    </row>
    <row r="2592" spans="1:20" ht="16.5" x14ac:dyDescent="0.3">
      <c r="A2592" t="s">
        <v>2646</v>
      </c>
      <c r="B2592" s="1">
        <v>45652</v>
      </c>
      <c r="C2592">
        <v>2024</v>
      </c>
      <c r="D2592" t="s">
        <v>1873</v>
      </c>
      <c r="E2592" t="s">
        <v>2413</v>
      </c>
      <c r="F2592" t="s">
        <v>23</v>
      </c>
      <c r="G2592" t="s">
        <v>35</v>
      </c>
      <c r="H2592" t="s">
        <v>48</v>
      </c>
      <c r="I2592" t="s">
        <v>31</v>
      </c>
      <c r="J2592" t="s">
        <v>27</v>
      </c>
      <c r="K2592" t="s">
        <v>28</v>
      </c>
      <c r="L2592" s="2">
        <v>166.6</v>
      </c>
      <c r="M2592" s="3">
        <v>398</v>
      </c>
      <c r="N2592">
        <v>6</v>
      </c>
      <c r="O2592">
        <v>6</v>
      </c>
      <c r="P2592">
        <v>1</v>
      </c>
      <c r="Q2592">
        <v>0</v>
      </c>
      <c r="R2592" s="4">
        <v>50.78</v>
      </c>
      <c r="S2592">
        <v>0</v>
      </c>
      <c r="T2592">
        <v>1</v>
      </c>
    </row>
    <row r="2593" spans="1:20" ht="16.5" x14ac:dyDescent="0.3">
      <c r="A2593" t="s">
        <v>2647</v>
      </c>
      <c r="B2593" s="1">
        <v>45652</v>
      </c>
      <c r="C2593">
        <v>2024</v>
      </c>
      <c r="D2593" t="s">
        <v>1873</v>
      </c>
      <c r="E2593" t="s">
        <v>2413</v>
      </c>
      <c r="F2593" t="s">
        <v>57</v>
      </c>
      <c r="G2593" t="s">
        <v>35</v>
      </c>
      <c r="H2593" t="s">
        <v>25</v>
      </c>
      <c r="I2593" t="s">
        <v>26</v>
      </c>
      <c r="J2593" t="s">
        <v>27</v>
      </c>
      <c r="K2593" t="s">
        <v>28</v>
      </c>
      <c r="L2593" s="2">
        <v>32.1</v>
      </c>
      <c r="M2593" s="3">
        <v>1260</v>
      </c>
      <c r="N2593">
        <v>4</v>
      </c>
      <c r="O2593">
        <v>5</v>
      </c>
      <c r="P2593">
        <v>0</v>
      </c>
      <c r="Q2593">
        <v>1</v>
      </c>
      <c r="R2593" s="4">
        <v>41.86</v>
      </c>
      <c r="S2593">
        <v>0</v>
      </c>
      <c r="T2593">
        <v>1</v>
      </c>
    </row>
    <row r="2594" spans="1:20" ht="16.5" x14ac:dyDescent="0.3">
      <c r="A2594" t="s">
        <v>2648</v>
      </c>
      <c r="B2594" s="1">
        <v>45652</v>
      </c>
      <c r="C2594">
        <v>2024</v>
      </c>
      <c r="D2594" t="s">
        <v>1873</v>
      </c>
      <c r="E2594" t="s">
        <v>2413</v>
      </c>
      <c r="F2594" t="s">
        <v>34</v>
      </c>
      <c r="G2594" t="s">
        <v>24</v>
      </c>
      <c r="H2594" t="s">
        <v>43</v>
      </c>
      <c r="I2594" t="s">
        <v>26</v>
      </c>
      <c r="J2594" t="s">
        <v>27</v>
      </c>
      <c r="K2594" t="s">
        <v>32</v>
      </c>
      <c r="L2594" s="2">
        <v>23.4</v>
      </c>
      <c r="M2594" s="3">
        <v>1155</v>
      </c>
      <c r="N2594">
        <v>5</v>
      </c>
      <c r="O2594">
        <v>8</v>
      </c>
      <c r="P2594">
        <v>0</v>
      </c>
      <c r="Q2594">
        <v>3</v>
      </c>
      <c r="R2594" s="4">
        <v>30.68</v>
      </c>
      <c r="S2594">
        <v>0</v>
      </c>
      <c r="T2594">
        <v>1</v>
      </c>
    </row>
    <row r="2595" spans="1:20" ht="16.5" x14ac:dyDescent="0.3">
      <c r="A2595" t="s">
        <v>2649</v>
      </c>
      <c r="B2595" s="1">
        <v>45652</v>
      </c>
      <c r="C2595">
        <v>2024</v>
      </c>
      <c r="D2595" t="s">
        <v>1873</v>
      </c>
      <c r="E2595" t="s">
        <v>2413</v>
      </c>
      <c r="F2595" t="s">
        <v>57</v>
      </c>
      <c r="G2595" t="s">
        <v>35</v>
      </c>
      <c r="H2595" t="s">
        <v>25</v>
      </c>
      <c r="I2595" t="s">
        <v>26</v>
      </c>
      <c r="J2595" t="s">
        <v>27</v>
      </c>
      <c r="K2595" t="s">
        <v>28</v>
      </c>
      <c r="L2595" s="2">
        <v>65</v>
      </c>
      <c r="M2595" s="3">
        <v>865</v>
      </c>
      <c r="N2595">
        <v>4</v>
      </c>
      <c r="O2595">
        <v>6</v>
      </c>
      <c r="P2595">
        <v>0</v>
      </c>
      <c r="Q2595">
        <v>2</v>
      </c>
      <c r="R2595" s="4">
        <v>51.6</v>
      </c>
      <c r="S2595">
        <v>0</v>
      </c>
      <c r="T2595">
        <v>1</v>
      </c>
    </row>
    <row r="2596" spans="1:20" ht="16.5" x14ac:dyDescent="0.3">
      <c r="A2596" t="s">
        <v>2650</v>
      </c>
      <c r="B2596" s="1">
        <v>45652</v>
      </c>
      <c r="C2596">
        <v>2024</v>
      </c>
      <c r="D2596" t="s">
        <v>1873</v>
      </c>
      <c r="E2596" t="s">
        <v>2413</v>
      </c>
      <c r="F2596" t="s">
        <v>38</v>
      </c>
      <c r="G2596" t="s">
        <v>39</v>
      </c>
      <c r="H2596" t="s">
        <v>25</v>
      </c>
      <c r="I2596" t="s">
        <v>26</v>
      </c>
      <c r="J2596" t="s">
        <v>27</v>
      </c>
      <c r="K2596" t="s">
        <v>32</v>
      </c>
      <c r="L2596" s="2">
        <v>14.6</v>
      </c>
      <c r="M2596" s="3">
        <v>969</v>
      </c>
      <c r="N2596">
        <v>4</v>
      </c>
      <c r="O2596">
        <v>4</v>
      </c>
      <c r="P2596">
        <v>1</v>
      </c>
      <c r="Q2596">
        <v>0</v>
      </c>
      <c r="R2596" s="4">
        <v>28.55</v>
      </c>
      <c r="S2596">
        <v>0</v>
      </c>
      <c r="T2596">
        <v>1</v>
      </c>
    </row>
    <row r="2597" spans="1:20" ht="16.5" x14ac:dyDescent="0.3">
      <c r="A2597" t="s">
        <v>2651</v>
      </c>
      <c r="B2597" s="1">
        <v>45653</v>
      </c>
      <c r="C2597">
        <v>2024</v>
      </c>
      <c r="D2597" t="s">
        <v>1873</v>
      </c>
      <c r="E2597" t="s">
        <v>2413</v>
      </c>
      <c r="F2597" t="s">
        <v>30</v>
      </c>
      <c r="G2597" t="s">
        <v>39</v>
      </c>
      <c r="H2597" t="s">
        <v>51</v>
      </c>
      <c r="I2597" t="s">
        <v>26</v>
      </c>
      <c r="J2597" t="s">
        <v>27</v>
      </c>
      <c r="K2597" t="s">
        <v>28</v>
      </c>
      <c r="L2597" s="2">
        <v>26.5</v>
      </c>
      <c r="M2597" s="3">
        <v>1052</v>
      </c>
      <c r="N2597">
        <v>5</v>
      </c>
      <c r="O2597">
        <v>4</v>
      </c>
      <c r="P2597">
        <v>1</v>
      </c>
      <c r="Q2597">
        <v>0</v>
      </c>
      <c r="R2597" s="4">
        <v>32.840000000000003</v>
      </c>
      <c r="S2597">
        <v>0</v>
      </c>
      <c r="T2597">
        <v>1</v>
      </c>
    </row>
    <row r="2598" spans="1:20" ht="16.5" x14ac:dyDescent="0.3">
      <c r="A2598" t="s">
        <v>2652</v>
      </c>
      <c r="B2598" s="1">
        <v>45653</v>
      </c>
      <c r="C2598">
        <v>2024</v>
      </c>
      <c r="D2598" t="s">
        <v>1873</v>
      </c>
      <c r="E2598" t="s">
        <v>2413</v>
      </c>
      <c r="F2598" t="s">
        <v>23</v>
      </c>
      <c r="G2598" t="s">
        <v>39</v>
      </c>
      <c r="H2598" t="s">
        <v>36</v>
      </c>
      <c r="I2598" t="s">
        <v>26</v>
      </c>
      <c r="J2598" t="s">
        <v>27</v>
      </c>
      <c r="K2598" t="s">
        <v>32</v>
      </c>
      <c r="L2598" s="2">
        <v>10.6</v>
      </c>
      <c r="M2598" s="3">
        <v>232</v>
      </c>
      <c r="N2598">
        <v>3</v>
      </c>
      <c r="O2598">
        <v>2</v>
      </c>
      <c r="P2598">
        <v>1</v>
      </c>
      <c r="Q2598">
        <v>0</v>
      </c>
      <c r="R2598" s="4">
        <v>15.54</v>
      </c>
      <c r="S2598">
        <v>0</v>
      </c>
      <c r="T2598">
        <v>1</v>
      </c>
    </row>
    <row r="2599" spans="1:20" ht="16.5" x14ac:dyDescent="0.3">
      <c r="A2599" t="s">
        <v>2653</v>
      </c>
      <c r="B2599" s="1">
        <v>45653</v>
      </c>
      <c r="C2599">
        <v>2024</v>
      </c>
      <c r="D2599" t="s">
        <v>1873</v>
      </c>
      <c r="E2599" t="s">
        <v>2413</v>
      </c>
      <c r="F2599" t="s">
        <v>57</v>
      </c>
      <c r="G2599" t="s">
        <v>35</v>
      </c>
      <c r="H2599" t="s">
        <v>48</v>
      </c>
      <c r="I2599" t="s">
        <v>31</v>
      </c>
      <c r="J2599" t="s">
        <v>27</v>
      </c>
      <c r="K2599" t="s">
        <v>28</v>
      </c>
      <c r="L2599" s="2">
        <v>131.6</v>
      </c>
      <c r="M2599" s="3">
        <v>432</v>
      </c>
      <c r="N2599">
        <v>6</v>
      </c>
      <c r="O2599">
        <v>5</v>
      </c>
      <c r="P2599">
        <v>1</v>
      </c>
      <c r="Q2599">
        <v>0</v>
      </c>
      <c r="R2599" s="4">
        <v>47.13</v>
      </c>
      <c r="S2599">
        <v>0</v>
      </c>
      <c r="T2599">
        <v>1</v>
      </c>
    </row>
    <row r="2600" spans="1:20" ht="16.5" x14ac:dyDescent="0.3">
      <c r="A2600" t="s">
        <v>2654</v>
      </c>
      <c r="B2600" s="1">
        <v>45653</v>
      </c>
      <c r="C2600">
        <v>2024</v>
      </c>
      <c r="D2600" t="s">
        <v>1873</v>
      </c>
      <c r="E2600" t="s">
        <v>2413</v>
      </c>
      <c r="F2600" t="s">
        <v>23</v>
      </c>
      <c r="G2600" t="s">
        <v>39</v>
      </c>
      <c r="H2600" t="s">
        <v>25</v>
      </c>
      <c r="I2600" t="s">
        <v>26</v>
      </c>
      <c r="J2600" t="s">
        <v>27</v>
      </c>
      <c r="K2600" t="s">
        <v>28</v>
      </c>
      <c r="L2600" s="2">
        <v>137.80000000000001</v>
      </c>
      <c r="M2600" s="3">
        <v>1067</v>
      </c>
      <c r="N2600">
        <v>4</v>
      </c>
      <c r="O2600">
        <v>4</v>
      </c>
      <c r="P2600">
        <v>1</v>
      </c>
      <c r="Q2600">
        <v>0</v>
      </c>
      <c r="R2600" s="4">
        <v>72.59</v>
      </c>
      <c r="S2600">
        <v>0</v>
      </c>
      <c r="T2600">
        <v>1</v>
      </c>
    </row>
    <row r="2601" spans="1:20" ht="16.5" x14ac:dyDescent="0.3">
      <c r="A2601" t="s">
        <v>2655</v>
      </c>
      <c r="B2601" s="1">
        <v>45653</v>
      </c>
      <c r="C2601">
        <v>2024</v>
      </c>
      <c r="D2601" t="s">
        <v>1873</v>
      </c>
      <c r="E2601" t="s">
        <v>2413</v>
      </c>
      <c r="F2601" t="s">
        <v>38</v>
      </c>
      <c r="G2601" t="s">
        <v>39</v>
      </c>
      <c r="H2601" t="s">
        <v>25</v>
      </c>
      <c r="I2601" t="s">
        <v>40</v>
      </c>
      <c r="J2601" t="s">
        <v>41</v>
      </c>
      <c r="K2601" t="s">
        <v>32</v>
      </c>
      <c r="L2601" s="2">
        <v>0.8</v>
      </c>
      <c r="M2601" s="3">
        <v>855</v>
      </c>
      <c r="N2601">
        <v>2</v>
      </c>
      <c r="O2601">
        <v>1</v>
      </c>
      <c r="P2601">
        <v>1</v>
      </c>
      <c r="Q2601">
        <v>0</v>
      </c>
      <c r="R2601" s="4">
        <v>57.27</v>
      </c>
      <c r="S2601">
        <v>0</v>
      </c>
      <c r="T2601">
        <v>1</v>
      </c>
    </row>
    <row r="2602" spans="1:20" ht="16.5" x14ac:dyDescent="0.3">
      <c r="A2602" t="s">
        <v>2656</v>
      </c>
      <c r="B2602" s="1">
        <v>45653</v>
      </c>
      <c r="C2602">
        <v>2024</v>
      </c>
      <c r="D2602" t="s">
        <v>1873</v>
      </c>
      <c r="E2602" t="s">
        <v>2413</v>
      </c>
      <c r="F2602" t="s">
        <v>34</v>
      </c>
      <c r="G2602" t="s">
        <v>24</v>
      </c>
      <c r="H2602" t="s">
        <v>36</v>
      </c>
      <c r="I2602" t="s">
        <v>31</v>
      </c>
      <c r="J2602" t="s">
        <v>27</v>
      </c>
      <c r="K2602" t="s">
        <v>28</v>
      </c>
      <c r="L2602" s="2">
        <v>84.2</v>
      </c>
      <c r="M2602" s="3">
        <v>237</v>
      </c>
      <c r="N2602">
        <v>5</v>
      </c>
      <c r="O2602">
        <v>5</v>
      </c>
      <c r="P2602">
        <v>1</v>
      </c>
      <c r="Q2602">
        <v>0</v>
      </c>
      <c r="R2602" s="4">
        <v>28.68</v>
      </c>
      <c r="S2602">
        <v>0</v>
      </c>
      <c r="T2602">
        <v>1</v>
      </c>
    </row>
    <row r="2603" spans="1:20" ht="16.5" x14ac:dyDescent="0.3">
      <c r="A2603" t="s">
        <v>2657</v>
      </c>
      <c r="B2603" s="1">
        <v>45653</v>
      </c>
      <c r="C2603">
        <v>2024</v>
      </c>
      <c r="D2603" t="s">
        <v>1873</v>
      </c>
      <c r="E2603" t="s">
        <v>2413</v>
      </c>
      <c r="F2603" t="s">
        <v>34</v>
      </c>
      <c r="G2603" t="s">
        <v>39</v>
      </c>
      <c r="H2603" t="s">
        <v>36</v>
      </c>
      <c r="I2603" t="s">
        <v>26</v>
      </c>
      <c r="J2603" t="s">
        <v>27</v>
      </c>
      <c r="K2603" t="s">
        <v>32</v>
      </c>
      <c r="L2603" s="2">
        <v>4.5</v>
      </c>
      <c r="M2603" s="3">
        <v>249</v>
      </c>
      <c r="N2603">
        <v>3</v>
      </c>
      <c r="O2603">
        <v>2</v>
      </c>
      <c r="P2603">
        <v>1</v>
      </c>
      <c r="Q2603">
        <v>0</v>
      </c>
      <c r="R2603" s="4">
        <v>11.02</v>
      </c>
      <c r="S2603">
        <v>0</v>
      </c>
      <c r="T2603">
        <v>1</v>
      </c>
    </row>
    <row r="2604" spans="1:20" ht="16.5" x14ac:dyDescent="0.3">
      <c r="A2604" t="s">
        <v>2658</v>
      </c>
      <c r="B2604" s="1">
        <v>45653</v>
      </c>
      <c r="C2604">
        <v>2024</v>
      </c>
      <c r="D2604" t="s">
        <v>1873</v>
      </c>
      <c r="E2604" t="s">
        <v>2413</v>
      </c>
      <c r="F2604" t="s">
        <v>30</v>
      </c>
      <c r="G2604" t="s">
        <v>35</v>
      </c>
      <c r="H2604" t="s">
        <v>25</v>
      </c>
      <c r="I2604" t="s">
        <v>26</v>
      </c>
      <c r="J2604" t="s">
        <v>27</v>
      </c>
      <c r="K2604" t="s">
        <v>32</v>
      </c>
      <c r="L2604" s="2">
        <v>6.3</v>
      </c>
      <c r="M2604" s="3">
        <v>914</v>
      </c>
      <c r="N2604">
        <v>4</v>
      </c>
      <c r="O2604">
        <v>4</v>
      </c>
      <c r="P2604">
        <v>1</v>
      </c>
      <c r="Q2604">
        <v>0</v>
      </c>
      <c r="R2604" s="4">
        <v>22.95</v>
      </c>
      <c r="S2604">
        <v>0</v>
      </c>
      <c r="T2604">
        <v>1</v>
      </c>
    </row>
    <row r="2605" spans="1:20" ht="16.5" x14ac:dyDescent="0.3">
      <c r="A2605" t="s">
        <v>2659</v>
      </c>
      <c r="B2605" s="1">
        <v>45653</v>
      </c>
      <c r="C2605">
        <v>2024</v>
      </c>
      <c r="D2605" t="s">
        <v>1873</v>
      </c>
      <c r="E2605" t="s">
        <v>2413</v>
      </c>
      <c r="F2605" t="s">
        <v>38</v>
      </c>
      <c r="G2605" t="s">
        <v>39</v>
      </c>
      <c r="H2605" t="s">
        <v>36</v>
      </c>
      <c r="I2605" t="s">
        <v>26</v>
      </c>
      <c r="J2605" t="s">
        <v>27</v>
      </c>
      <c r="K2605" t="s">
        <v>32</v>
      </c>
      <c r="L2605" s="2">
        <v>9.9</v>
      </c>
      <c r="M2605" s="3">
        <v>287</v>
      </c>
      <c r="N2605">
        <v>3</v>
      </c>
      <c r="O2605">
        <v>6</v>
      </c>
      <c r="P2605">
        <v>0</v>
      </c>
      <c r="Q2605">
        <v>3</v>
      </c>
      <c r="R2605" s="4">
        <v>17.260000000000002</v>
      </c>
      <c r="S2605">
        <v>0</v>
      </c>
      <c r="T2605">
        <v>1</v>
      </c>
    </row>
    <row r="2606" spans="1:20" ht="16.5" x14ac:dyDescent="0.3">
      <c r="A2606" t="s">
        <v>2660</v>
      </c>
      <c r="B2606" s="1">
        <v>45653</v>
      </c>
      <c r="C2606">
        <v>2024</v>
      </c>
      <c r="D2606" t="s">
        <v>1873</v>
      </c>
      <c r="E2606" t="s">
        <v>2413</v>
      </c>
      <c r="F2606" t="s">
        <v>30</v>
      </c>
      <c r="G2606" t="s">
        <v>39</v>
      </c>
      <c r="H2606" t="s">
        <v>51</v>
      </c>
      <c r="I2606" t="s">
        <v>40</v>
      </c>
      <c r="J2606" t="s">
        <v>41</v>
      </c>
      <c r="K2606" t="s">
        <v>32</v>
      </c>
      <c r="L2606" s="2">
        <v>4.4000000000000004</v>
      </c>
      <c r="M2606" s="3">
        <v>948</v>
      </c>
      <c r="N2606">
        <v>3</v>
      </c>
      <c r="O2606">
        <v>3</v>
      </c>
      <c r="P2606">
        <v>1</v>
      </c>
      <c r="Q2606">
        <v>0</v>
      </c>
      <c r="R2606" s="4">
        <v>64.09</v>
      </c>
      <c r="S2606">
        <v>0</v>
      </c>
      <c r="T2606">
        <v>1</v>
      </c>
    </row>
    <row r="2607" spans="1:20" ht="16.5" x14ac:dyDescent="0.3">
      <c r="A2607" t="s">
        <v>2661</v>
      </c>
      <c r="B2607" s="1">
        <v>45654</v>
      </c>
      <c r="C2607">
        <v>2024</v>
      </c>
      <c r="D2607" t="s">
        <v>1873</v>
      </c>
      <c r="E2607" t="s">
        <v>2413</v>
      </c>
      <c r="F2607" t="s">
        <v>30</v>
      </c>
      <c r="G2607" t="s">
        <v>24</v>
      </c>
      <c r="H2607" t="s">
        <v>25</v>
      </c>
      <c r="I2607" t="s">
        <v>26</v>
      </c>
      <c r="J2607" t="s">
        <v>27</v>
      </c>
      <c r="K2607" t="s">
        <v>28</v>
      </c>
      <c r="L2607" s="2">
        <v>25.3</v>
      </c>
      <c r="M2607" s="3">
        <v>1044</v>
      </c>
      <c r="N2607">
        <v>4</v>
      </c>
      <c r="O2607">
        <v>4</v>
      </c>
      <c r="P2607">
        <v>1</v>
      </c>
      <c r="Q2607">
        <v>0</v>
      </c>
      <c r="R2607" s="4">
        <v>37.369999999999997</v>
      </c>
      <c r="S2607">
        <v>0</v>
      </c>
      <c r="T2607">
        <v>1</v>
      </c>
    </row>
    <row r="2608" spans="1:20" ht="16.5" x14ac:dyDescent="0.3">
      <c r="A2608" t="s">
        <v>2662</v>
      </c>
      <c r="B2608" s="1">
        <v>45654</v>
      </c>
      <c r="C2608">
        <v>2024</v>
      </c>
      <c r="D2608" t="s">
        <v>1873</v>
      </c>
      <c r="E2608" t="s">
        <v>2413</v>
      </c>
      <c r="F2608" t="s">
        <v>23</v>
      </c>
      <c r="G2608" t="s">
        <v>35</v>
      </c>
      <c r="H2608" t="s">
        <v>36</v>
      </c>
      <c r="I2608" t="s">
        <v>26</v>
      </c>
      <c r="J2608" t="s">
        <v>27</v>
      </c>
      <c r="K2608" t="s">
        <v>32</v>
      </c>
      <c r="L2608" s="2">
        <v>1.6</v>
      </c>
      <c r="M2608" s="3">
        <v>279</v>
      </c>
      <c r="N2608">
        <v>3</v>
      </c>
      <c r="O2608">
        <v>3</v>
      </c>
      <c r="P2608">
        <v>1</v>
      </c>
      <c r="Q2608">
        <v>0</v>
      </c>
      <c r="R2608" s="4">
        <v>10.9</v>
      </c>
      <c r="S2608">
        <v>0</v>
      </c>
      <c r="T2608">
        <v>1</v>
      </c>
    </row>
    <row r="2609" spans="1:20" ht="16.5" x14ac:dyDescent="0.3">
      <c r="A2609" t="s">
        <v>2663</v>
      </c>
      <c r="B2609" s="1">
        <v>45654</v>
      </c>
      <c r="C2609">
        <v>2024</v>
      </c>
      <c r="D2609" t="s">
        <v>1873</v>
      </c>
      <c r="E2609" t="s">
        <v>2413</v>
      </c>
      <c r="F2609" t="s">
        <v>34</v>
      </c>
      <c r="G2609" t="s">
        <v>39</v>
      </c>
      <c r="H2609" t="s">
        <v>51</v>
      </c>
      <c r="I2609" t="s">
        <v>26</v>
      </c>
      <c r="J2609" t="s">
        <v>27</v>
      </c>
      <c r="K2609" t="s">
        <v>28</v>
      </c>
      <c r="L2609" s="2">
        <v>64.900000000000006</v>
      </c>
      <c r="M2609" s="3">
        <v>817</v>
      </c>
      <c r="N2609">
        <v>5</v>
      </c>
      <c r="O2609">
        <v>5</v>
      </c>
      <c r="P2609">
        <v>1</v>
      </c>
      <c r="Q2609">
        <v>0</v>
      </c>
      <c r="R2609" s="4">
        <v>40.61</v>
      </c>
      <c r="S2609">
        <v>0</v>
      </c>
      <c r="T2609">
        <v>1</v>
      </c>
    </row>
    <row r="2610" spans="1:20" ht="16.5" x14ac:dyDescent="0.3">
      <c r="A2610" t="s">
        <v>2664</v>
      </c>
      <c r="B2610" s="1">
        <v>45654</v>
      </c>
      <c r="C2610">
        <v>2024</v>
      </c>
      <c r="D2610" t="s">
        <v>1873</v>
      </c>
      <c r="E2610" t="s">
        <v>2413</v>
      </c>
      <c r="F2610" t="s">
        <v>38</v>
      </c>
      <c r="G2610" t="s">
        <v>24</v>
      </c>
      <c r="H2610" t="s">
        <v>43</v>
      </c>
      <c r="I2610" t="s">
        <v>31</v>
      </c>
      <c r="J2610" t="s">
        <v>27</v>
      </c>
      <c r="K2610" t="s">
        <v>32</v>
      </c>
      <c r="L2610" s="2">
        <v>3.6</v>
      </c>
      <c r="M2610" s="3">
        <v>1330</v>
      </c>
      <c r="N2610">
        <v>7</v>
      </c>
      <c r="O2610">
        <v>7</v>
      </c>
      <c r="P2610">
        <v>1</v>
      </c>
      <c r="Q2610">
        <v>0</v>
      </c>
      <c r="R2610" s="4">
        <v>19.399999999999999</v>
      </c>
      <c r="S2610">
        <v>0</v>
      </c>
      <c r="T2610">
        <v>1</v>
      </c>
    </row>
    <row r="2611" spans="1:20" ht="16.5" x14ac:dyDescent="0.3">
      <c r="A2611" t="s">
        <v>2665</v>
      </c>
      <c r="B2611" s="1">
        <v>45654</v>
      </c>
      <c r="C2611">
        <v>2024</v>
      </c>
      <c r="D2611" t="s">
        <v>1873</v>
      </c>
      <c r="E2611" t="s">
        <v>2413</v>
      </c>
      <c r="F2611" t="s">
        <v>23</v>
      </c>
      <c r="G2611" t="s">
        <v>39</v>
      </c>
      <c r="H2611" t="s">
        <v>48</v>
      </c>
      <c r="I2611" t="s">
        <v>26</v>
      </c>
      <c r="J2611" t="s">
        <v>27</v>
      </c>
      <c r="K2611" t="s">
        <v>28</v>
      </c>
      <c r="L2611" s="2">
        <v>89.3</v>
      </c>
      <c r="M2611" s="3">
        <v>545</v>
      </c>
      <c r="N2611">
        <v>4</v>
      </c>
      <c r="O2611">
        <v>4</v>
      </c>
      <c r="P2611">
        <v>1</v>
      </c>
      <c r="Q2611">
        <v>0</v>
      </c>
      <c r="R2611" s="4">
        <v>44.65</v>
      </c>
      <c r="S2611">
        <v>0</v>
      </c>
      <c r="T2611">
        <v>1</v>
      </c>
    </row>
    <row r="2612" spans="1:20" ht="16.5" x14ac:dyDescent="0.3">
      <c r="A2612" t="s">
        <v>2666</v>
      </c>
      <c r="B2612" s="1">
        <v>45654</v>
      </c>
      <c r="C2612">
        <v>2024</v>
      </c>
      <c r="D2612" t="s">
        <v>1873</v>
      </c>
      <c r="E2612" t="s">
        <v>2413</v>
      </c>
      <c r="F2612" t="s">
        <v>34</v>
      </c>
      <c r="G2612" t="s">
        <v>24</v>
      </c>
      <c r="H2612" t="s">
        <v>36</v>
      </c>
      <c r="I2612" t="s">
        <v>26</v>
      </c>
      <c r="J2612" t="s">
        <v>27</v>
      </c>
      <c r="K2612" t="s">
        <v>32</v>
      </c>
      <c r="L2612" s="2">
        <v>7.3</v>
      </c>
      <c r="M2612" s="3">
        <v>224</v>
      </c>
      <c r="N2612">
        <v>3</v>
      </c>
      <c r="O2612">
        <v>4</v>
      </c>
      <c r="P2612">
        <v>0</v>
      </c>
      <c r="Q2612">
        <v>1</v>
      </c>
      <c r="R2612" s="4">
        <v>12.28</v>
      </c>
      <c r="S2612">
        <v>0</v>
      </c>
      <c r="T2612">
        <v>1</v>
      </c>
    </row>
    <row r="2613" spans="1:20" ht="16.5" x14ac:dyDescent="0.3">
      <c r="A2613" t="s">
        <v>2667</v>
      </c>
      <c r="B2613" s="1">
        <v>45655</v>
      </c>
      <c r="C2613">
        <v>2024</v>
      </c>
      <c r="D2613" t="s">
        <v>1873</v>
      </c>
      <c r="E2613" t="s">
        <v>2413</v>
      </c>
      <c r="F2613" t="s">
        <v>57</v>
      </c>
      <c r="G2613" t="s">
        <v>35</v>
      </c>
      <c r="H2613" t="s">
        <v>36</v>
      </c>
      <c r="I2613" t="s">
        <v>31</v>
      </c>
      <c r="J2613" t="s">
        <v>27</v>
      </c>
      <c r="K2613" t="s">
        <v>32</v>
      </c>
      <c r="L2613" s="2">
        <v>10.7</v>
      </c>
      <c r="M2613" s="3">
        <v>246</v>
      </c>
      <c r="N2613">
        <v>5</v>
      </c>
      <c r="O2613">
        <v>5</v>
      </c>
      <c r="P2613">
        <v>1</v>
      </c>
      <c r="Q2613">
        <v>0</v>
      </c>
      <c r="R2613" s="4">
        <v>10.56</v>
      </c>
      <c r="S2613">
        <v>0</v>
      </c>
      <c r="T2613">
        <v>1</v>
      </c>
    </row>
    <row r="2614" spans="1:20" ht="16.5" x14ac:dyDescent="0.3">
      <c r="A2614" t="s">
        <v>2668</v>
      </c>
      <c r="B2614" s="1">
        <v>45656</v>
      </c>
      <c r="C2614">
        <v>2024</v>
      </c>
      <c r="D2614" t="s">
        <v>1873</v>
      </c>
      <c r="E2614" t="s">
        <v>2413</v>
      </c>
      <c r="F2614" t="s">
        <v>30</v>
      </c>
      <c r="G2614" t="s">
        <v>24</v>
      </c>
      <c r="H2614" t="s">
        <v>48</v>
      </c>
      <c r="I2614" t="s">
        <v>26</v>
      </c>
      <c r="J2614" t="s">
        <v>27</v>
      </c>
      <c r="K2614" t="s">
        <v>32</v>
      </c>
      <c r="L2614" s="2">
        <v>11.7</v>
      </c>
      <c r="M2614" s="3">
        <v>521</v>
      </c>
      <c r="N2614">
        <v>4</v>
      </c>
      <c r="O2614">
        <v>4</v>
      </c>
      <c r="P2614">
        <v>1</v>
      </c>
      <c r="Q2614">
        <v>0</v>
      </c>
      <c r="R2614" s="4">
        <v>20.440000000000001</v>
      </c>
      <c r="S2614">
        <v>0</v>
      </c>
      <c r="T2614">
        <v>1</v>
      </c>
    </row>
    <row r="2615" spans="1:20" ht="16.5" x14ac:dyDescent="0.3">
      <c r="A2615" t="s">
        <v>2669</v>
      </c>
      <c r="B2615" s="1">
        <v>45656</v>
      </c>
      <c r="C2615">
        <v>2024</v>
      </c>
      <c r="D2615" t="s">
        <v>1873</v>
      </c>
      <c r="E2615" t="s">
        <v>2413</v>
      </c>
      <c r="F2615" t="s">
        <v>34</v>
      </c>
      <c r="G2615" t="s">
        <v>39</v>
      </c>
      <c r="H2615" t="s">
        <v>51</v>
      </c>
      <c r="I2615" t="s">
        <v>40</v>
      </c>
      <c r="J2615" t="s">
        <v>41</v>
      </c>
      <c r="K2615" t="s">
        <v>28</v>
      </c>
      <c r="L2615" s="2">
        <v>44.3</v>
      </c>
      <c r="M2615" s="3">
        <v>1305</v>
      </c>
      <c r="N2615">
        <v>3</v>
      </c>
      <c r="O2615">
        <v>7</v>
      </c>
      <c r="P2615">
        <v>0</v>
      </c>
      <c r="Q2615">
        <v>4</v>
      </c>
      <c r="R2615" s="4">
        <v>103.6</v>
      </c>
      <c r="S2615">
        <v>0</v>
      </c>
      <c r="T2615">
        <v>1</v>
      </c>
    </row>
    <row r="2616" spans="1:20" ht="16.5" x14ac:dyDescent="0.3">
      <c r="A2616" t="s">
        <v>2670</v>
      </c>
      <c r="B2616" s="1">
        <v>45656</v>
      </c>
      <c r="C2616">
        <v>2024</v>
      </c>
      <c r="D2616" t="s">
        <v>1873</v>
      </c>
      <c r="E2616" t="s">
        <v>2413</v>
      </c>
      <c r="F2616" t="s">
        <v>23</v>
      </c>
      <c r="G2616" t="s">
        <v>35</v>
      </c>
      <c r="H2616" t="s">
        <v>51</v>
      </c>
      <c r="I2616" t="s">
        <v>31</v>
      </c>
      <c r="J2616" t="s">
        <v>27</v>
      </c>
      <c r="K2616" t="s">
        <v>28</v>
      </c>
      <c r="L2616" s="2">
        <v>194.7</v>
      </c>
      <c r="M2616" s="3">
        <v>1105</v>
      </c>
      <c r="N2616">
        <v>7</v>
      </c>
      <c r="O2616">
        <v>7</v>
      </c>
      <c r="P2616">
        <v>1</v>
      </c>
      <c r="Q2616">
        <v>0</v>
      </c>
      <c r="R2616" s="4">
        <v>63.28</v>
      </c>
      <c r="S2616">
        <v>0</v>
      </c>
      <c r="T2616">
        <v>1</v>
      </c>
    </row>
    <row r="2617" spans="1:20" ht="16.5" x14ac:dyDescent="0.3">
      <c r="A2617" t="s">
        <v>2671</v>
      </c>
      <c r="B2617" s="1">
        <v>45656</v>
      </c>
      <c r="C2617">
        <v>2024</v>
      </c>
      <c r="D2617" t="s">
        <v>1873</v>
      </c>
      <c r="E2617" t="s">
        <v>2413</v>
      </c>
      <c r="F2617" t="s">
        <v>57</v>
      </c>
      <c r="G2617" t="s">
        <v>35</v>
      </c>
      <c r="H2617" t="s">
        <v>36</v>
      </c>
      <c r="I2617" t="s">
        <v>26</v>
      </c>
      <c r="J2617" t="s">
        <v>27</v>
      </c>
      <c r="K2617" t="s">
        <v>28</v>
      </c>
      <c r="L2617" s="2">
        <v>102.3</v>
      </c>
      <c r="M2617" s="3">
        <v>233</v>
      </c>
      <c r="N2617">
        <v>3</v>
      </c>
      <c r="O2617">
        <v>5</v>
      </c>
      <c r="P2617">
        <v>0</v>
      </c>
      <c r="Q2617">
        <v>2</v>
      </c>
      <c r="R2617" s="4">
        <v>53.07</v>
      </c>
      <c r="S2617">
        <v>0</v>
      </c>
      <c r="T2617">
        <v>1</v>
      </c>
    </row>
    <row r="2618" spans="1:20" ht="16.5" x14ac:dyDescent="0.3">
      <c r="A2618" t="s">
        <v>2672</v>
      </c>
      <c r="B2618" s="1">
        <v>45656</v>
      </c>
      <c r="C2618">
        <v>2024</v>
      </c>
      <c r="D2618" t="s">
        <v>1873</v>
      </c>
      <c r="E2618" t="s">
        <v>2413</v>
      </c>
      <c r="F2618" t="s">
        <v>57</v>
      </c>
      <c r="G2618" t="s">
        <v>35</v>
      </c>
      <c r="H2618" t="s">
        <v>36</v>
      </c>
      <c r="I2618" t="s">
        <v>31</v>
      </c>
      <c r="J2618" t="s">
        <v>27</v>
      </c>
      <c r="K2618" t="s">
        <v>32</v>
      </c>
      <c r="L2618" s="2">
        <v>4.9000000000000004</v>
      </c>
      <c r="M2618" s="3">
        <v>269</v>
      </c>
      <c r="N2618">
        <v>5</v>
      </c>
      <c r="O2618">
        <v>5</v>
      </c>
      <c r="P2618">
        <v>1</v>
      </c>
      <c r="Q2618">
        <v>0</v>
      </c>
      <c r="R2618" s="4">
        <v>9.1</v>
      </c>
      <c r="S2618">
        <v>0</v>
      </c>
      <c r="T2618">
        <v>1</v>
      </c>
    </row>
    <row r="2619" spans="1:20" ht="16.5" x14ac:dyDescent="0.3">
      <c r="A2619" t="s">
        <v>2673</v>
      </c>
      <c r="B2619" s="1">
        <v>45656</v>
      </c>
      <c r="C2619">
        <v>2024</v>
      </c>
      <c r="D2619" t="s">
        <v>1873</v>
      </c>
      <c r="E2619" t="s">
        <v>2413</v>
      </c>
      <c r="F2619" t="s">
        <v>34</v>
      </c>
      <c r="G2619" t="s">
        <v>35</v>
      </c>
      <c r="H2619" t="s">
        <v>36</v>
      </c>
      <c r="I2619" t="s">
        <v>26</v>
      </c>
      <c r="J2619" t="s">
        <v>27</v>
      </c>
      <c r="K2619" t="s">
        <v>28</v>
      </c>
      <c r="L2619" s="2">
        <v>87.2</v>
      </c>
      <c r="M2619" s="3">
        <v>316</v>
      </c>
      <c r="N2619">
        <v>3</v>
      </c>
      <c r="O2619">
        <v>3</v>
      </c>
      <c r="P2619">
        <v>1</v>
      </c>
      <c r="Q2619">
        <v>0</v>
      </c>
      <c r="R2619" s="4">
        <v>43.35</v>
      </c>
      <c r="S2619">
        <v>0</v>
      </c>
      <c r="T2619">
        <v>1</v>
      </c>
    </row>
    <row r="2620" spans="1:20" ht="16.5" x14ac:dyDescent="0.3">
      <c r="A2620" t="s">
        <v>2674</v>
      </c>
      <c r="B2620" s="1">
        <v>45656</v>
      </c>
      <c r="C2620">
        <v>2024</v>
      </c>
      <c r="D2620" t="s">
        <v>1873</v>
      </c>
      <c r="E2620" t="s">
        <v>2413</v>
      </c>
      <c r="F2620" t="s">
        <v>30</v>
      </c>
      <c r="G2620" t="s">
        <v>39</v>
      </c>
      <c r="H2620" t="s">
        <v>25</v>
      </c>
      <c r="I2620" t="s">
        <v>26</v>
      </c>
      <c r="J2620" t="s">
        <v>27</v>
      </c>
      <c r="K2620" t="s">
        <v>28</v>
      </c>
      <c r="L2620" s="2">
        <v>61.4</v>
      </c>
      <c r="M2620" s="3">
        <v>987</v>
      </c>
      <c r="N2620">
        <v>4</v>
      </c>
      <c r="O2620">
        <v>4</v>
      </c>
      <c r="P2620">
        <v>1</v>
      </c>
      <c r="Q2620">
        <v>0</v>
      </c>
      <c r="R2620" s="4">
        <v>54.23</v>
      </c>
      <c r="S2620">
        <v>0</v>
      </c>
      <c r="T2620">
        <v>1</v>
      </c>
    </row>
    <row r="2621" spans="1:20" ht="16.5" x14ac:dyDescent="0.3">
      <c r="A2621" t="s">
        <v>2675</v>
      </c>
      <c r="B2621" s="1">
        <v>45656</v>
      </c>
      <c r="C2621">
        <v>2024</v>
      </c>
      <c r="D2621" t="s">
        <v>1873</v>
      </c>
      <c r="E2621" t="s">
        <v>2413</v>
      </c>
      <c r="F2621" t="s">
        <v>57</v>
      </c>
      <c r="G2621" t="s">
        <v>24</v>
      </c>
      <c r="H2621" t="s">
        <v>36</v>
      </c>
      <c r="I2621" t="s">
        <v>26</v>
      </c>
      <c r="J2621" t="s">
        <v>27</v>
      </c>
      <c r="K2621" t="s">
        <v>28</v>
      </c>
      <c r="L2621" s="2">
        <v>69.599999999999994</v>
      </c>
      <c r="M2621" s="3">
        <v>309</v>
      </c>
      <c r="N2621">
        <v>3</v>
      </c>
      <c r="O2621">
        <v>3</v>
      </c>
      <c r="P2621">
        <v>1</v>
      </c>
      <c r="Q2621">
        <v>0</v>
      </c>
      <c r="R2621" s="4">
        <v>40.61</v>
      </c>
      <c r="S2621">
        <v>0</v>
      </c>
      <c r="T2621">
        <v>1</v>
      </c>
    </row>
    <row r="2622" spans="1:20" ht="16.5" x14ac:dyDescent="0.3">
      <c r="A2622" t="s">
        <v>2676</v>
      </c>
      <c r="B2622" s="1">
        <v>45656</v>
      </c>
      <c r="C2622">
        <v>2024</v>
      </c>
      <c r="D2622" t="s">
        <v>1873</v>
      </c>
      <c r="E2622" t="s">
        <v>2413</v>
      </c>
      <c r="F2622" t="s">
        <v>23</v>
      </c>
      <c r="G2622" t="s">
        <v>39</v>
      </c>
      <c r="H2622" t="s">
        <v>51</v>
      </c>
      <c r="I2622" t="s">
        <v>26</v>
      </c>
      <c r="J2622" t="s">
        <v>27</v>
      </c>
      <c r="K2622" t="s">
        <v>28</v>
      </c>
      <c r="L2622" s="2">
        <v>177</v>
      </c>
      <c r="M2622" s="3">
        <v>943</v>
      </c>
      <c r="N2622">
        <v>5</v>
      </c>
      <c r="O2622">
        <v>4</v>
      </c>
      <c r="P2622">
        <v>1</v>
      </c>
      <c r="Q2622">
        <v>0</v>
      </c>
      <c r="R2622" s="4">
        <v>84.53</v>
      </c>
      <c r="S2622">
        <v>0</v>
      </c>
      <c r="T2622">
        <v>1</v>
      </c>
    </row>
    <row r="2623" spans="1:20" ht="16.5" x14ac:dyDescent="0.3">
      <c r="A2623" t="s">
        <v>2677</v>
      </c>
      <c r="B2623" s="1">
        <v>45656</v>
      </c>
      <c r="C2623">
        <v>2024</v>
      </c>
      <c r="D2623" t="s">
        <v>1873</v>
      </c>
      <c r="E2623" t="s">
        <v>2413</v>
      </c>
      <c r="F2623" t="s">
        <v>38</v>
      </c>
      <c r="G2623" t="s">
        <v>24</v>
      </c>
      <c r="H2623" t="s">
        <v>36</v>
      </c>
      <c r="I2623" t="s">
        <v>26</v>
      </c>
      <c r="J2623" t="s">
        <v>27</v>
      </c>
      <c r="K2623" t="s">
        <v>32</v>
      </c>
      <c r="L2623" s="2">
        <v>3.9</v>
      </c>
      <c r="M2623" s="3">
        <v>241</v>
      </c>
      <c r="N2623">
        <v>3</v>
      </c>
      <c r="O2623">
        <v>2</v>
      </c>
      <c r="P2623">
        <v>1</v>
      </c>
      <c r="Q2623">
        <v>0</v>
      </c>
      <c r="R2623" s="4">
        <v>13.3</v>
      </c>
      <c r="S2623">
        <v>0</v>
      </c>
      <c r="T2623">
        <v>1</v>
      </c>
    </row>
    <row r="2624" spans="1:20" ht="16.5" x14ac:dyDescent="0.3">
      <c r="A2624" t="s">
        <v>2678</v>
      </c>
      <c r="B2624" s="1">
        <v>45656</v>
      </c>
      <c r="C2624">
        <v>2024</v>
      </c>
      <c r="D2624" t="s">
        <v>1873</v>
      </c>
      <c r="E2624" t="s">
        <v>2413</v>
      </c>
      <c r="F2624" t="s">
        <v>38</v>
      </c>
      <c r="G2624" t="s">
        <v>39</v>
      </c>
      <c r="H2624" t="s">
        <v>48</v>
      </c>
      <c r="I2624" t="s">
        <v>26</v>
      </c>
      <c r="J2624" t="s">
        <v>27</v>
      </c>
      <c r="K2624" t="s">
        <v>32</v>
      </c>
      <c r="L2624" s="2">
        <v>1.7</v>
      </c>
      <c r="M2624" s="3">
        <v>418</v>
      </c>
      <c r="N2624">
        <v>4</v>
      </c>
      <c r="O2624">
        <v>3</v>
      </c>
      <c r="P2624">
        <v>1</v>
      </c>
      <c r="Q2624">
        <v>0</v>
      </c>
      <c r="R2624" s="4">
        <v>14.78</v>
      </c>
      <c r="S2624">
        <v>0</v>
      </c>
      <c r="T2624">
        <v>1</v>
      </c>
    </row>
    <row r="2625" spans="1:20" ht="16.5" x14ac:dyDescent="0.3">
      <c r="A2625" t="s">
        <v>2679</v>
      </c>
      <c r="B2625" s="1">
        <v>45656</v>
      </c>
      <c r="C2625">
        <v>2024</v>
      </c>
      <c r="D2625" t="s">
        <v>1873</v>
      </c>
      <c r="E2625" t="s">
        <v>2413</v>
      </c>
      <c r="F2625" t="s">
        <v>34</v>
      </c>
      <c r="G2625" t="s">
        <v>35</v>
      </c>
      <c r="H2625" t="s">
        <v>25</v>
      </c>
      <c r="I2625" t="s">
        <v>26</v>
      </c>
      <c r="J2625" t="s">
        <v>27</v>
      </c>
      <c r="K2625" t="s">
        <v>28</v>
      </c>
      <c r="L2625" s="2">
        <v>193.8</v>
      </c>
      <c r="M2625" s="3">
        <v>752</v>
      </c>
      <c r="N2625">
        <v>4</v>
      </c>
      <c r="O2625">
        <v>3</v>
      </c>
      <c r="P2625">
        <v>1</v>
      </c>
      <c r="Q2625">
        <v>0</v>
      </c>
      <c r="R2625" s="4">
        <v>84</v>
      </c>
      <c r="S2625">
        <v>0</v>
      </c>
      <c r="T2625">
        <v>1</v>
      </c>
    </row>
    <row r="2626" spans="1:20" ht="16.5" x14ac:dyDescent="0.3">
      <c r="A2626" t="s">
        <v>2680</v>
      </c>
      <c r="B2626" s="1">
        <v>45656</v>
      </c>
      <c r="C2626">
        <v>2024</v>
      </c>
      <c r="D2626" t="s">
        <v>1873</v>
      </c>
      <c r="E2626" t="s">
        <v>2413</v>
      </c>
      <c r="F2626" t="s">
        <v>34</v>
      </c>
      <c r="G2626" t="s">
        <v>39</v>
      </c>
      <c r="H2626" t="s">
        <v>51</v>
      </c>
      <c r="I2626" t="s">
        <v>26</v>
      </c>
      <c r="J2626" t="s">
        <v>27</v>
      </c>
      <c r="K2626" t="s">
        <v>32</v>
      </c>
      <c r="L2626" s="2">
        <v>17</v>
      </c>
      <c r="M2626" s="3">
        <v>1123</v>
      </c>
      <c r="N2626">
        <v>5</v>
      </c>
      <c r="O2626">
        <v>5</v>
      </c>
      <c r="P2626">
        <v>1</v>
      </c>
      <c r="Q2626">
        <v>0</v>
      </c>
      <c r="R2626" s="4">
        <v>24.49</v>
      </c>
      <c r="S2626">
        <v>0</v>
      </c>
      <c r="T2626">
        <v>1</v>
      </c>
    </row>
    <row r="2627" spans="1:20" ht="16.5" x14ac:dyDescent="0.3">
      <c r="A2627" t="s">
        <v>2681</v>
      </c>
      <c r="B2627" s="1">
        <v>45657</v>
      </c>
      <c r="C2627">
        <v>2024</v>
      </c>
      <c r="D2627" t="s">
        <v>1873</v>
      </c>
      <c r="E2627" t="s">
        <v>2413</v>
      </c>
      <c r="F2627" t="s">
        <v>23</v>
      </c>
      <c r="G2627" t="s">
        <v>35</v>
      </c>
      <c r="H2627" t="s">
        <v>48</v>
      </c>
      <c r="I2627" t="s">
        <v>31</v>
      </c>
      <c r="J2627" t="s">
        <v>27</v>
      </c>
      <c r="K2627" t="s">
        <v>28</v>
      </c>
      <c r="L2627" s="2">
        <v>93.9</v>
      </c>
      <c r="M2627" s="3">
        <v>494</v>
      </c>
      <c r="N2627">
        <v>6</v>
      </c>
      <c r="O2627">
        <v>6</v>
      </c>
      <c r="P2627">
        <v>1</v>
      </c>
      <c r="Q2627">
        <v>0</v>
      </c>
      <c r="R2627" s="4">
        <v>35.17</v>
      </c>
      <c r="S2627">
        <v>0</v>
      </c>
      <c r="T2627">
        <v>1</v>
      </c>
    </row>
    <row r="2628" spans="1:20" ht="16.5" x14ac:dyDescent="0.3">
      <c r="A2628" t="s">
        <v>2682</v>
      </c>
      <c r="B2628" s="1">
        <v>45657</v>
      </c>
      <c r="C2628">
        <v>2024</v>
      </c>
      <c r="D2628" t="s">
        <v>1873</v>
      </c>
      <c r="E2628" t="s">
        <v>2413</v>
      </c>
      <c r="F2628" t="s">
        <v>30</v>
      </c>
      <c r="G2628" t="s">
        <v>35</v>
      </c>
      <c r="H2628" t="s">
        <v>25</v>
      </c>
      <c r="I2628" t="s">
        <v>26</v>
      </c>
      <c r="J2628" t="s">
        <v>27</v>
      </c>
      <c r="K2628" t="s">
        <v>32</v>
      </c>
      <c r="L2628" s="2">
        <v>3.4</v>
      </c>
      <c r="M2628" s="3">
        <v>769</v>
      </c>
      <c r="N2628">
        <v>4</v>
      </c>
      <c r="O2628">
        <v>4</v>
      </c>
      <c r="P2628">
        <v>1</v>
      </c>
      <c r="Q2628">
        <v>0</v>
      </c>
      <c r="R2628" s="4">
        <v>18.63</v>
      </c>
      <c r="S2628">
        <v>0</v>
      </c>
      <c r="T2628">
        <v>1</v>
      </c>
    </row>
    <row r="2629" spans="1:20" ht="16.5" x14ac:dyDescent="0.3">
      <c r="A2629" t="s">
        <v>2683</v>
      </c>
      <c r="B2629" s="1">
        <v>45657</v>
      </c>
      <c r="C2629">
        <v>2024</v>
      </c>
      <c r="D2629" t="s">
        <v>1873</v>
      </c>
      <c r="E2629" t="s">
        <v>2413</v>
      </c>
      <c r="F2629" t="s">
        <v>57</v>
      </c>
      <c r="G2629" t="s">
        <v>24</v>
      </c>
      <c r="H2629" t="s">
        <v>51</v>
      </c>
      <c r="I2629" t="s">
        <v>31</v>
      </c>
      <c r="J2629" t="s">
        <v>27</v>
      </c>
      <c r="K2629" t="s">
        <v>28</v>
      </c>
      <c r="L2629" s="2">
        <v>263.39999999999998</v>
      </c>
      <c r="M2629" s="3">
        <v>965</v>
      </c>
      <c r="N2629">
        <v>7</v>
      </c>
      <c r="O2629">
        <v>7</v>
      </c>
      <c r="P2629">
        <v>1</v>
      </c>
      <c r="Q2629">
        <v>0</v>
      </c>
      <c r="R2629" s="4">
        <v>78.63</v>
      </c>
      <c r="S2629">
        <v>0</v>
      </c>
      <c r="T2629">
        <v>1</v>
      </c>
    </row>
    <row r="2630" spans="1:20" ht="16.5" x14ac:dyDescent="0.3">
      <c r="A2630" t="s">
        <v>2684</v>
      </c>
      <c r="B2630" s="1">
        <v>45657</v>
      </c>
      <c r="C2630">
        <v>2024</v>
      </c>
      <c r="D2630" t="s">
        <v>1873</v>
      </c>
      <c r="E2630" t="s">
        <v>2413</v>
      </c>
      <c r="F2630" t="s">
        <v>38</v>
      </c>
      <c r="G2630" t="s">
        <v>35</v>
      </c>
      <c r="H2630" t="s">
        <v>48</v>
      </c>
      <c r="I2630" t="s">
        <v>26</v>
      </c>
      <c r="J2630" t="s">
        <v>27</v>
      </c>
      <c r="K2630" t="s">
        <v>28</v>
      </c>
      <c r="L2630" s="2">
        <v>17</v>
      </c>
      <c r="M2630" s="3">
        <v>521</v>
      </c>
      <c r="N2630">
        <v>4</v>
      </c>
      <c r="O2630">
        <v>4</v>
      </c>
      <c r="P2630">
        <v>1</v>
      </c>
      <c r="Q2630">
        <v>0</v>
      </c>
      <c r="R2630" s="4">
        <v>22.28</v>
      </c>
      <c r="S2630">
        <v>0</v>
      </c>
      <c r="T2630">
        <v>1</v>
      </c>
    </row>
    <row r="2631" spans="1:20" ht="16.5" x14ac:dyDescent="0.3">
      <c r="A2631" t="s">
        <v>2685</v>
      </c>
      <c r="B2631" s="1">
        <v>45657</v>
      </c>
      <c r="C2631">
        <v>2024</v>
      </c>
      <c r="D2631" t="s">
        <v>1873</v>
      </c>
      <c r="E2631" t="s">
        <v>2413</v>
      </c>
      <c r="F2631" t="s">
        <v>34</v>
      </c>
      <c r="G2631" t="s">
        <v>35</v>
      </c>
      <c r="H2631" t="s">
        <v>36</v>
      </c>
      <c r="I2631" t="s">
        <v>26</v>
      </c>
      <c r="J2631" t="s">
        <v>27</v>
      </c>
      <c r="K2631" t="s">
        <v>28</v>
      </c>
      <c r="L2631" s="2">
        <v>40.799999999999997</v>
      </c>
      <c r="M2631" s="3">
        <v>307</v>
      </c>
      <c r="N2631">
        <v>3</v>
      </c>
      <c r="O2631">
        <v>5</v>
      </c>
      <c r="P2631">
        <v>0</v>
      </c>
      <c r="Q2631">
        <v>2</v>
      </c>
      <c r="R2631" s="4">
        <v>27.89</v>
      </c>
      <c r="S2631">
        <v>0</v>
      </c>
      <c r="T2631">
        <v>1</v>
      </c>
    </row>
    <row r="2632" spans="1:20" ht="16.5" x14ac:dyDescent="0.3">
      <c r="A2632" t="s">
        <v>2686</v>
      </c>
      <c r="B2632" s="1">
        <v>45657</v>
      </c>
      <c r="C2632">
        <v>2024</v>
      </c>
      <c r="D2632" t="s">
        <v>1873</v>
      </c>
      <c r="E2632" t="s">
        <v>2413</v>
      </c>
      <c r="F2632" t="s">
        <v>23</v>
      </c>
      <c r="G2632" t="s">
        <v>35</v>
      </c>
      <c r="H2632" t="s">
        <v>43</v>
      </c>
      <c r="I2632" t="s">
        <v>26</v>
      </c>
      <c r="J2632" t="s">
        <v>27</v>
      </c>
      <c r="K2632" t="s">
        <v>28</v>
      </c>
      <c r="L2632" s="2">
        <v>68.400000000000006</v>
      </c>
      <c r="M2632" s="3">
        <v>1304</v>
      </c>
      <c r="N2632">
        <v>5</v>
      </c>
      <c r="O2632">
        <v>4</v>
      </c>
      <c r="P2632">
        <v>1</v>
      </c>
      <c r="Q2632">
        <v>0</v>
      </c>
      <c r="R2632" s="4">
        <v>53.62</v>
      </c>
      <c r="S2632">
        <v>0</v>
      </c>
      <c r="T2632">
        <v>1</v>
      </c>
    </row>
    <row r="2633" spans="1:20" ht="16.5" x14ac:dyDescent="0.3">
      <c r="A2633" t="s">
        <v>2687</v>
      </c>
      <c r="B2633" s="1">
        <v>45657</v>
      </c>
      <c r="C2633">
        <v>2024</v>
      </c>
      <c r="D2633" t="s">
        <v>1873</v>
      </c>
      <c r="E2633" t="s">
        <v>2413</v>
      </c>
      <c r="F2633" t="s">
        <v>34</v>
      </c>
      <c r="G2633" t="s">
        <v>35</v>
      </c>
      <c r="H2633" t="s">
        <v>51</v>
      </c>
      <c r="I2633" t="s">
        <v>26</v>
      </c>
      <c r="J2633" t="s">
        <v>27</v>
      </c>
      <c r="K2633" t="s">
        <v>32</v>
      </c>
      <c r="L2633" s="2">
        <v>4.3</v>
      </c>
      <c r="M2633" s="3">
        <v>1149</v>
      </c>
      <c r="N2633">
        <v>5</v>
      </c>
      <c r="O2633">
        <v>5</v>
      </c>
      <c r="P2633">
        <v>1</v>
      </c>
      <c r="Q2633">
        <v>0</v>
      </c>
      <c r="R2633" s="4">
        <v>19.25</v>
      </c>
      <c r="S2633">
        <v>0</v>
      </c>
      <c r="T2633">
        <v>1</v>
      </c>
    </row>
    <row r="2634" spans="1:20" ht="16.5" x14ac:dyDescent="0.3">
      <c r="A2634" t="s">
        <v>2688</v>
      </c>
      <c r="B2634" s="1">
        <v>45657</v>
      </c>
      <c r="C2634">
        <v>2024</v>
      </c>
      <c r="D2634" t="s">
        <v>1873</v>
      </c>
      <c r="E2634" t="s">
        <v>2413</v>
      </c>
      <c r="F2634" t="s">
        <v>38</v>
      </c>
      <c r="G2634" t="s">
        <v>35</v>
      </c>
      <c r="H2634" t="s">
        <v>43</v>
      </c>
      <c r="I2634" t="s">
        <v>26</v>
      </c>
      <c r="J2634" t="s">
        <v>27</v>
      </c>
      <c r="K2634" t="s">
        <v>32</v>
      </c>
      <c r="L2634" s="2">
        <v>10.8</v>
      </c>
      <c r="M2634" s="3">
        <v>1405</v>
      </c>
      <c r="N2634">
        <v>5</v>
      </c>
      <c r="O2634">
        <v>8</v>
      </c>
      <c r="P2634">
        <v>0</v>
      </c>
      <c r="Q2634">
        <v>3</v>
      </c>
      <c r="R2634" s="4">
        <v>31.89</v>
      </c>
      <c r="S2634">
        <v>0</v>
      </c>
      <c r="T2634">
        <v>1</v>
      </c>
    </row>
    <row r="2635" spans="1:20" ht="16.5" x14ac:dyDescent="0.3">
      <c r="A2635" t="s">
        <v>2689</v>
      </c>
      <c r="B2635" s="1">
        <v>45658</v>
      </c>
      <c r="C2635">
        <v>2025</v>
      </c>
      <c r="D2635" t="s">
        <v>21</v>
      </c>
      <c r="E2635" t="s">
        <v>22</v>
      </c>
      <c r="F2635" t="s">
        <v>34</v>
      </c>
      <c r="G2635" t="s">
        <v>39</v>
      </c>
      <c r="H2635" t="s">
        <v>48</v>
      </c>
      <c r="I2635" t="s">
        <v>40</v>
      </c>
      <c r="J2635" t="s">
        <v>27</v>
      </c>
      <c r="K2635" t="s">
        <v>32</v>
      </c>
      <c r="L2635" s="2">
        <v>5.8</v>
      </c>
      <c r="M2635" s="3">
        <v>502</v>
      </c>
      <c r="N2635">
        <v>2</v>
      </c>
      <c r="O2635">
        <v>2</v>
      </c>
      <c r="P2635">
        <v>1</v>
      </c>
      <c r="Q2635">
        <v>0</v>
      </c>
      <c r="R2635" s="4">
        <v>28.18</v>
      </c>
      <c r="S2635">
        <v>0</v>
      </c>
      <c r="T2635">
        <v>1</v>
      </c>
    </row>
    <row r="2636" spans="1:20" ht="16.5" x14ac:dyDescent="0.3">
      <c r="A2636" t="s">
        <v>2690</v>
      </c>
      <c r="B2636" s="1">
        <v>45658</v>
      </c>
      <c r="C2636">
        <v>2025</v>
      </c>
      <c r="D2636" t="s">
        <v>21</v>
      </c>
      <c r="E2636" t="s">
        <v>22</v>
      </c>
      <c r="F2636" t="s">
        <v>57</v>
      </c>
      <c r="G2636" t="s">
        <v>35</v>
      </c>
      <c r="H2636" t="s">
        <v>43</v>
      </c>
      <c r="I2636" t="s">
        <v>40</v>
      </c>
      <c r="J2636" t="s">
        <v>41</v>
      </c>
      <c r="K2636" t="s">
        <v>32</v>
      </c>
      <c r="L2636" s="2">
        <v>1.2</v>
      </c>
      <c r="M2636" s="3">
        <v>1285</v>
      </c>
      <c r="N2636">
        <v>3</v>
      </c>
      <c r="O2636">
        <v>2</v>
      </c>
      <c r="P2636">
        <v>1</v>
      </c>
      <c r="Q2636">
        <v>0</v>
      </c>
      <c r="R2636" s="4">
        <v>64.67</v>
      </c>
      <c r="S2636">
        <v>0</v>
      </c>
      <c r="T2636">
        <v>1</v>
      </c>
    </row>
    <row r="2637" spans="1:20" ht="16.5" x14ac:dyDescent="0.3">
      <c r="A2637" t="s">
        <v>2691</v>
      </c>
      <c r="B2637" s="1">
        <v>45658</v>
      </c>
      <c r="C2637">
        <v>2025</v>
      </c>
      <c r="D2637" t="s">
        <v>21</v>
      </c>
      <c r="E2637" t="s">
        <v>22</v>
      </c>
      <c r="F2637" t="s">
        <v>57</v>
      </c>
      <c r="G2637" t="s">
        <v>39</v>
      </c>
      <c r="H2637" t="s">
        <v>51</v>
      </c>
      <c r="I2637" t="s">
        <v>26</v>
      </c>
      <c r="J2637" t="s">
        <v>27</v>
      </c>
      <c r="K2637" t="s">
        <v>28</v>
      </c>
      <c r="L2637" s="2">
        <v>221.8</v>
      </c>
      <c r="M2637" s="3">
        <v>1031</v>
      </c>
      <c r="N2637">
        <v>5</v>
      </c>
      <c r="O2637">
        <v>5</v>
      </c>
      <c r="P2637">
        <v>1</v>
      </c>
      <c r="Q2637">
        <v>0</v>
      </c>
      <c r="R2637" s="4">
        <v>97.27</v>
      </c>
      <c r="S2637">
        <v>0</v>
      </c>
      <c r="T2637">
        <v>1</v>
      </c>
    </row>
    <row r="2638" spans="1:20" ht="16.5" x14ac:dyDescent="0.3">
      <c r="A2638" t="s">
        <v>2692</v>
      </c>
      <c r="B2638" s="1">
        <v>45659</v>
      </c>
      <c r="C2638">
        <v>2025</v>
      </c>
      <c r="D2638" t="s">
        <v>21</v>
      </c>
      <c r="E2638" t="s">
        <v>22</v>
      </c>
      <c r="F2638" t="s">
        <v>23</v>
      </c>
      <c r="G2638" t="s">
        <v>39</v>
      </c>
      <c r="H2638" t="s">
        <v>36</v>
      </c>
      <c r="I2638" t="s">
        <v>26</v>
      </c>
      <c r="J2638" t="s">
        <v>27</v>
      </c>
      <c r="K2638" t="s">
        <v>32</v>
      </c>
      <c r="L2638" s="2">
        <v>9.4</v>
      </c>
      <c r="M2638" s="3">
        <v>201</v>
      </c>
      <c r="N2638">
        <v>3</v>
      </c>
      <c r="O2638">
        <v>3</v>
      </c>
      <c r="P2638">
        <v>1</v>
      </c>
      <c r="Q2638">
        <v>0</v>
      </c>
      <c r="R2638" s="4">
        <v>13.94</v>
      </c>
      <c r="S2638">
        <v>0</v>
      </c>
      <c r="T2638">
        <v>1</v>
      </c>
    </row>
    <row r="2639" spans="1:20" ht="16.5" x14ac:dyDescent="0.3">
      <c r="A2639" t="s">
        <v>2693</v>
      </c>
      <c r="B2639" s="1">
        <v>45659</v>
      </c>
      <c r="C2639">
        <v>2025</v>
      </c>
      <c r="D2639" t="s">
        <v>21</v>
      </c>
      <c r="E2639" t="s">
        <v>22</v>
      </c>
      <c r="F2639" t="s">
        <v>38</v>
      </c>
      <c r="G2639" t="s">
        <v>39</v>
      </c>
      <c r="H2639" t="s">
        <v>36</v>
      </c>
      <c r="I2639" t="s">
        <v>26</v>
      </c>
      <c r="J2639" t="s">
        <v>27</v>
      </c>
      <c r="K2639" t="s">
        <v>32</v>
      </c>
      <c r="L2639" s="2">
        <v>2.4</v>
      </c>
      <c r="M2639" s="3">
        <v>247</v>
      </c>
      <c r="N2639">
        <v>3</v>
      </c>
      <c r="O2639">
        <v>3</v>
      </c>
      <c r="P2639">
        <v>1</v>
      </c>
      <c r="Q2639">
        <v>0</v>
      </c>
      <c r="R2639" s="4">
        <v>11.39</v>
      </c>
      <c r="S2639">
        <v>0</v>
      </c>
      <c r="T2639">
        <v>1</v>
      </c>
    </row>
    <row r="2640" spans="1:20" ht="16.5" x14ac:dyDescent="0.3">
      <c r="A2640" t="s">
        <v>2694</v>
      </c>
      <c r="B2640" s="1">
        <v>45659</v>
      </c>
      <c r="C2640">
        <v>2025</v>
      </c>
      <c r="D2640" t="s">
        <v>21</v>
      </c>
      <c r="E2640" t="s">
        <v>22</v>
      </c>
      <c r="F2640" t="s">
        <v>34</v>
      </c>
      <c r="G2640" t="s">
        <v>35</v>
      </c>
      <c r="H2640" t="s">
        <v>25</v>
      </c>
      <c r="I2640" t="s">
        <v>31</v>
      </c>
      <c r="J2640" t="s">
        <v>27</v>
      </c>
      <c r="K2640" t="s">
        <v>32</v>
      </c>
      <c r="L2640" s="2">
        <v>7.3</v>
      </c>
      <c r="M2640" s="3">
        <v>836</v>
      </c>
      <c r="N2640">
        <v>6</v>
      </c>
      <c r="O2640">
        <v>6</v>
      </c>
      <c r="P2640">
        <v>1</v>
      </c>
      <c r="Q2640">
        <v>0</v>
      </c>
      <c r="R2640" s="4">
        <v>13.46</v>
      </c>
      <c r="S2640">
        <v>0</v>
      </c>
      <c r="T2640">
        <v>1</v>
      </c>
    </row>
    <row r="2641" spans="1:20" ht="16.5" x14ac:dyDescent="0.3">
      <c r="A2641" t="s">
        <v>2695</v>
      </c>
      <c r="B2641" s="1">
        <v>45659</v>
      </c>
      <c r="C2641">
        <v>2025</v>
      </c>
      <c r="D2641" t="s">
        <v>21</v>
      </c>
      <c r="E2641" t="s">
        <v>22</v>
      </c>
      <c r="F2641" t="s">
        <v>38</v>
      </c>
      <c r="G2641" t="s">
        <v>35</v>
      </c>
      <c r="H2641" t="s">
        <v>25</v>
      </c>
      <c r="I2641" t="s">
        <v>26</v>
      </c>
      <c r="J2641" t="s">
        <v>27</v>
      </c>
      <c r="K2641" t="s">
        <v>28</v>
      </c>
      <c r="L2641" s="2">
        <v>88.9</v>
      </c>
      <c r="M2641" s="3">
        <v>914</v>
      </c>
      <c r="N2641">
        <v>4</v>
      </c>
      <c r="O2641">
        <v>3</v>
      </c>
      <c r="P2641">
        <v>1</v>
      </c>
      <c r="Q2641">
        <v>0</v>
      </c>
      <c r="R2641" s="4">
        <v>70.75</v>
      </c>
      <c r="S2641">
        <v>0</v>
      </c>
      <c r="T2641">
        <v>1</v>
      </c>
    </row>
    <row r="2642" spans="1:20" ht="16.5" x14ac:dyDescent="0.3">
      <c r="A2642" t="s">
        <v>2696</v>
      </c>
      <c r="B2642" s="1">
        <v>45659</v>
      </c>
      <c r="C2642">
        <v>2025</v>
      </c>
      <c r="D2642" t="s">
        <v>21</v>
      </c>
      <c r="E2642" t="s">
        <v>22</v>
      </c>
      <c r="F2642" t="s">
        <v>57</v>
      </c>
      <c r="G2642" t="s">
        <v>24</v>
      </c>
      <c r="H2642" t="s">
        <v>25</v>
      </c>
      <c r="I2642" t="s">
        <v>40</v>
      </c>
      <c r="J2642" t="s">
        <v>41</v>
      </c>
      <c r="K2642" t="s">
        <v>28</v>
      </c>
      <c r="L2642" s="2">
        <v>112.9</v>
      </c>
      <c r="M2642" s="3">
        <v>850</v>
      </c>
      <c r="N2642">
        <v>2</v>
      </c>
      <c r="O2642">
        <v>2</v>
      </c>
      <c r="P2642">
        <v>1</v>
      </c>
      <c r="Q2642">
        <v>0</v>
      </c>
      <c r="R2642" s="4">
        <v>216.18</v>
      </c>
      <c r="S2642">
        <v>0</v>
      </c>
      <c r="T2642">
        <v>1</v>
      </c>
    </row>
    <row r="2643" spans="1:20" ht="16.5" x14ac:dyDescent="0.3">
      <c r="A2643" t="s">
        <v>2697</v>
      </c>
      <c r="B2643" s="1">
        <v>45659</v>
      </c>
      <c r="C2643">
        <v>2025</v>
      </c>
      <c r="D2643" t="s">
        <v>21</v>
      </c>
      <c r="E2643" t="s">
        <v>22</v>
      </c>
      <c r="F2643" t="s">
        <v>34</v>
      </c>
      <c r="G2643" t="s">
        <v>24</v>
      </c>
      <c r="H2643" t="s">
        <v>43</v>
      </c>
      <c r="I2643" t="s">
        <v>26</v>
      </c>
      <c r="J2643" t="s">
        <v>27</v>
      </c>
      <c r="K2643" t="s">
        <v>28</v>
      </c>
      <c r="L2643" s="2">
        <v>86.5</v>
      </c>
      <c r="M2643" s="3">
        <v>997</v>
      </c>
      <c r="N2643">
        <v>5</v>
      </c>
      <c r="O2643">
        <v>7</v>
      </c>
      <c r="P2643">
        <v>0</v>
      </c>
      <c r="Q2643">
        <v>2</v>
      </c>
      <c r="R2643" s="4">
        <v>47.4</v>
      </c>
      <c r="S2643">
        <v>0</v>
      </c>
      <c r="T2643">
        <v>1</v>
      </c>
    </row>
    <row r="2644" spans="1:20" ht="16.5" x14ac:dyDescent="0.3">
      <c r="A2644" t="s">
        <v>2698</v>
      </c>
      <c r="B2644" s="1">
        <v>45659</v>
      </c>
      <c r="C2644">
        <v>2025</v>
      </c>
      <c r="D2644" t="s">
        <v>21</v>
      </c>
      <c r="E2644" t="s">
        <v>22</v>
      </c>
      <c r="F2644" t="s">
        <v>23</v>
      </c>
      <c r="G2644" t="s">
        <v>39</v>
      </c>
      <c r="H2644" t="s">
        <v>48</v>
      </c>
      <c r="I2644" t="s">
        <v>31</v>
      </c>
      <c r="J2644" t="s">
        <v>27</v>
      </c>
      <c r="K2644" t="s">
        <v>32</v>
      </c>
      <c r="L2644" s="2">
        <v>10.1</v>
      </c>
      <c r="M2644" s="3">
        <v>538</v>
      </c>
      <c r="N2644">
        <v>6</v>
      </c>
      <c r="O2644">
        <v>6</v>
      </c>
      <c r="P2644">
        <v>1</v>
      </c>
      <c r="Q2644">
        <v>0</v>
      </c>
      <c r="R2644" s="4">
        <v>14.59</v>
      </c>
      <c r="S2644">
        <v>0</v>
      </c>
      <c r="T2644">
        <v>1</v>
      </c>
    </row>
    <row r="2645" spans="1:20" ht="16.5" x14ac:dyDescent="0.3">
      <c r="A2645" t="s">
        <v>2699</v>
      </c>
      <c r="B2645" s="1">
        <v>45659</v>
      </c>
      <c r="C2645">
        <v>2025</v>
      </c>
      <c r="D2645" t="s">
        <v>21</v>
      </c>
      <c r="E2645" t="s">
        <v>22</v>
      </c>
      <c r="F2645" t="s">
        <v>38</v>
      </c>
      <c r="G2645" t="s">
        <v>35</v>
      </c>
      <c r="H2645" t="s">
        <v>25</v>
      </c>
      <c r="I2645" t="s">
        <v>26</v>
      </c>
      <c r="J2645" t="s">
        <v>27</v>
      </c>
      <c r="K2645" t="s">
        <v>28</v>
      </c>
      <c r="L2645" s="2">
        <v>157.69999999999999</v>
      </c>
      <c r="M2645" s="3">
        <v>801</v>
      </c>
      <c r="N2645">
        <v>4</v>
      </c>
      <c r="O2645">
        <v>4</v>
      </c>
      <c r="P2645">
        <v>1</v>
      </c>
      <c r="Q2645">
        <v>0</v>
      </c>
      <c r="R2645" s="4">
        <v>89.48</v>
      </c>
      <c r="S2645">
        <v>0</v>
      </c>
      <c r="T2645">
        <v>1</v>
      </c>
    </row>
    <row r="2646" spans="1:20" ht="16.5" x14ac:dyDescent="0.3">
      <c r="A2646" t="s">
        <v>2700</v>
      </c>
      <c r="B2646" s="1">
        <v>45660</v>
      </c>
      <c r="C2646">
        <v>2025</v>
      </c>
      <c r="D2646" t="s">
        <v>21</v>
      </c>
      <c r="E2646" t="s">
        <v>22</v>
      </c>
      <c r="F2646" t="s">
        <v>30</v>
      </c>
      <c r="G2646" t="s">
        <v>24</v>
      </c>
      <c r="H2646" t="s">
        <v>36</v>
      </c>
      <c r="I2646" t="s">
        <v>26</v>
      </c>
      <c r="J2646" t="s">
        <v>27</v>
      </c>
      <c r="K2646" t="s">
        <v>28</v>
      </c>
      <c r="L2646" s="2">
        <v>30.2</v>
      </c>
      <c r="M2646" s="3">
        <v>327</v>
      </c>
      <c r="N2646">
        <v>3</v>
      </c>
      <c r="O2646">
        <v>3</v>
      </c>
      <c r="P2646">
        <v>1</v>
      </c>
      <c r="Q2646">
        <v>0</v>
      </c>
      <c r="R2646" s="4">
        <v>22.76</v>
      </c>
      <c r="S2646">
        <v>0</v>
      </c>
      <c r="T2646">
        <v>1</v>
      </c>
    </row>
    <row r="2647" spans="1:20" ht="16.5" x14ac:dyDescent="0.3">
      <c r="A2647" t="s">
        <v>2701</v>
      </c>
      <c r="B2647" s="1">
        <v>45660</v>
      </c>
      <c r="C2647">
        <v>2025</v>
      </c>
      <c r="D2647" t="s">
        <v>21</v>
      </c>
      <c r="E2647" t="s">
        <v>22</v>
      </c>
      <c r="F2647" t="s">
        <v>34</v>
      </c>
      <c r="G2647" t="s">
        <v>39</v>
      </c>
      <c r="H2647" t="s">
        <v>43</v>
      </c>
      <c r="I2647" t="s">
        <v>26</v>
      </c>
      <c r="J2647" t="s">
        <v>27</v>
      </c>
      <c r="K2647" t="s">
        <v>28</v>
      </c>
      <c r="L2647" s="2">
        <v>153.4</v>
      </c>
      <c r="M2647" s="3">
        <v>1159</v>
      </c>
      <c r="N2647">
        <v>5</v>
      </c>
      <c r="O2647">
        <v>4</v>
      </c>
      <c r="P2647">
        <v>1</v>
      </c>
      <c r="Q2647">
        <v>0</v>
      </c>
      <c r="R2647" s="4">
        <v>78.91</v>
      </c>
      <c r="S2647">
        <v>0</v>
      </c>
      <c r="T2647">
        <v>1</v>
      </c>
    </row>
    <row r="2648" spans="1:20" ht="16.5" x14ac:dyDescent="0.3">
      <c r="A2648" t="s">
        <v>2702</v>
      </c>
      <c r="B2648" s="1">
        <v>45660</v>
      </c>
      <c r="C2648">
        <v>2025</v>
      </c>
      <c r="D2648" t="s">
        <v>21</v>
      </c>
      <c r="E2648" t="s">
        <v>22</v>
      </c>
      <c r="F2648" t="s">
        <v>38</v>
      </c>
      <c r="G2648" t="s">
        <v>39</v>
      </c>
      <c r="H2648" t="s">
        <v>48</v>
      </c>
      <c r="I2648" t="s">
        <v>26</v>
      </c>
      <c r="J2648" t="s">
        <v>27</v>
      </c>
      <c r="K2648" t="s">
        <v>32</v>
      </c>
      <c r="L2648" s="2">
        <v>5</v>
      </c>
      <c r="M2648" s="3">
        <v>380</v>
      </c>
      <c r="N2648">
        <v>4</v>
      </c>
      <c r="O2648">
        <v>4</v>
      </c>
      <c r="P2648">
        <v>1</v>
      </c>
      <c r="Q2648">
        <v>0</v>
      </c>
      <c r="R2648" s="4">
        <v>16.7</v>
      </c>
      <c r="S2648">
        <v>0</v>
      </c>
      <c r="T2648">
        <v>1</v>
      </c>
    </row>
    <row r="2649" spans="1:20" ht="16.5" x14ac:dyDescent="0.3">
      <c r="A2649" t="s">
        <v>2703</v>
      </c>
      <c r="B2649" s="1">
        <v>45660</v>
      </c>
      <c r="C2649">
        <v>2025</v>
      </c>
      <c r="D2649" t="s">
        <v>21</v>
      </c>
      <c r="E2649" t="s">
        <v>22</v>
      </c>
      <c r="F2649" t="s">
        <v>23</v>
      </c>
      <c r="G2649" t="s">
        <v>24</v>
      </c>
      <c r="H2649" t="s">
        <v>36</v>
      </c>
      <c r="I2649" t="s">
        <v>40</v>
      </c>
      <c r="J2649" t="s">
        <v>27</v>
      </c>
      <c r="K2649" t="s">
        <v>32</v>
      </c>
      <c r="L2649" s="2">
        <v>6.5</v>
      </c>
      <c r="M2649" s="3">
        <v>282</v>
      </c>
      <c r="N2649">
        <v>1</v>
      </c>
      <c r="O2649">
        <v>1</v>
      </c>
      <c r="P2649">
        <v>1</v>
      </c>
      <c r="Q2649">
        <v>0</v>
      </c>
      <c r="R2649" s="4">
        <v>24.37</v>
      </c>
      <c r="S2649">
        <v>0</v>
      </c>
      <c r="T2649">
        <v>1</v>
      </c>
    </row>
    <row r="2650" spans="1:20" ht="16.5" x14ac:dyDescent="0.3">
      <c r="A2650" t="s">
        <v>2704</v>
      </c>
      <c r="B2650" s="1">
        <v>45660</v>
      </c>
      <c r="C2650">
        <v>2025</v>
      </c>
      <c r="D2650" t="s">
        <v>21</v>
      </c>
      <c r="E2650" t="s">
        <v>22</v>
      </c>
      <c r="F2650" t="s">
        <v>38</v>
      </c>
      <c r="G2650" t="s">
        <v>39</v>
      </c>
      <c r="H2650" t="s">
        <v>36</v>
      </c>
      <c r="I2650" t="s">
        <v>26</v>
      </c>
      <c r="J2650" t="s">
        <v>27</v>
      </c>
      <c r="K2650" t="s">
        <v>28</v>
      </c>
      <c r="L2650" s="2">
        <v>79.3</v>
      </c>
      <c r="M2650" s="3">
        <v>218</v>
      </c>
      <c r="N2650">
        <v>3</v>
      </c>
      <c r="O2650">
        <v>3</v>
      </c>
      <c r="P2650">
        <v>1</v>
      </c>
      <c r="Q2650">
        <v>0</v>
      </c>
      <c r="R2650" s="4">
        <v>54.68</v>
      </c>
      <c r="S2650">
        <v>0</v>
      </c>
      <c r="T2650">
        <v>1</v>
      </c>
    </row>
    <row r="2651" spans="1:20" ht="16.5" x14ac:dyDescent="0.3">
      <c r="A2651" t="s">
        <v>2705</v>
      </c>
      <c r="B2651" s="1">
        <v>45660</v>
      </c>
      <c r="C2651">
        <v>2025</v>
      </c>
      <c r="D2651" t="s">
        <v>21</v>
      </c>
      <c r="E2651" t="s">
        <v>22</v>
      </c>
      <c r="F2651" t="s">
        <v>34</v>
      </c>
      <c r="G2651" t="s">
        <v>39</v>
      </c>
      <c r="H2651" t="s">
        <v>51</v>
      </c>
      <c r="I2651" t="s">
        <v>40</v>
      </c>
      <c r="J2651" t="s">
        <v>41</v>
      </c>
      <c r="K2651" t="s">
        <v>32</v>
      </c>
      <c r="L2651" s="2">
        <v>4.7</v>
      </c>
      <c r="M2651" s="3">
        <v>1052</v>
      </c>
      <c r="N2651">
        <v>3</v>
      </c>
      <c r="O2651">
        <v>2</v>
      </c>
      <c r="P2651">
        <v>1</v>
      </c>
      <c r="Q2651">
        <v>0</v>
      </c>
      <c r="R2651" s="4">
        <v>60.26</v>
      </c>
      <c r="S2651">
        <v>0</v>
      </c>
      <c r="T2651">
        <v>1</v>
      </c>
    </row>
    <row r="2652" spans="1:20" ht="16.5" x14ac:dyDescent="0.3">
      <c r="A2652" t="s">
        <v>2706</v>
      </c>
      <c r="B2652" s="1">
        <v>45660</v>
      </c>
      <c r="C2652">
        <v>2025</v>
      </c>
      <c r="D2652" t="s">
        <v>21</v>
      </c>
      <c r="E2652" t="s">
        <v>22</v>
      </c>
      <c r="F2652" t="s">
        <v>23</v>
      </c>
      <c r="G2652" t="s">
        <v>39</v>
      </c>
      <c r="H2652" t="s">
        <v>48</v>
      </c>
      <c r="I2652" t="s">
        <v>31</v>
      </c>
      <c r="J2652" t="s">
        <v>27</v>
      </c>
      <c r="K2652" t="s">
        <v>28</v>
      </c>
      <c r="L2652" s="2">
        <v>58.8</v>
      </c>
      <c r="M2652" s="3">
        <v>507</v>
      </c>
      <c r="N2652">
        <v>6</v>
      </c>
      <c r="O2652">
        <v>6</v>
      </c>
      <c r="P2652">
        <v>1</v>
      </c>
      <c r="Q2652">
        <v>0</v>
      </c>
      <c r="R2652" s="4">
        <v>28.34</v>
      </c>
      <c r="S2652">
        <v>0</v>
      </c>
      <c r="T2652">
        <v>1</v>
      </c>
    </row>
    <row r="2653" spans="1:20" ht="16.5" x14ac:dyDescent="0.3">
      <c r="A2653" t="s">
        <v>2707</v>
      </c>
      <c r="B2653" s="1">
        <v>45660</v>
      </c>
      <c r="C2653">
        <v>2025</v>
      </c>
      <c r="D2653" t="s">
        <v>21</v>
      </c>
      <c r="E2653" t="s">
        <v>22</v>
      </c>
      <c r="F2653" t="s">
        <v>34</v>
      </c>
      <c r="G2653" t="s">
        <v>35</v>
      </c>
      <c r="H2653" t="s">
        <v>36</v>
      </c>
      <c r="I2653" t="s">
        <v>26</v>
      </c>
      <c r="J2653" t="s">
        <v>27</v>
      </c>
      <c r="K2653" t="s">
        <v>32</v>
      </c>
      <c r="L2653" s="2">
        <v>7.5</v>
      </c>
      <c r="M2653" s="3">
        <v>218</v>
      </c>
      <c r="N2653">
        <v>3</v>
      </c>
      <c r="O2653">
        <v>3</v>
      </c>
      <c r="P2653">
        <v>1</v>
      </c>
      <c r="Q2653">
        <v>0</v>
      </c>
      <c r="R2653" s="4">
        <v>11.71</v>
      </c>
      <c r="S2653">
        <v>0</v>
      </c>
      <c r="T2653">
        <v>1</v>
      </c>
    </row>
    <row r="2654" spans="1:20" ht="16.5" x14ac:dyDescent="0.3">
      <c r="A2654" t="s">
        <v>2708</v>
      </c>
      <c r="B2654" s="1">
        <v>45660</v>
      </c>
      <c r="C2654">
        <v>2025</v>
      </c>
      <c r="D2654" t="s">
        <v>21</v>
      </c>
      <c r="E2654" t="s">
        <v>22</v>
      </c>
      <c r="F2654" t="s">
        <v>34</v>
      </c>
      <c r="G2654" t="s">
        <v>39</v>
      </c>
      <c r="H2654" t="s">
        <v>25</v>
      </c>
      <c r="I2654" t="s">
        <v>26</v>
      </c>
      <c r="J2654" t="s">
        <v>27</v>
      </c>
      <c r="K2654" t="s">
        <v>32</v>
      </c>
      <c r="L2654" s="2">
        <v>2.2999999999999998</v>
      </c>
      <c r="M2654" s="3">
        <v>816</v>
      </c>
      <c r="N2654">
        <v>4</v>
      </c>
      <c r="O2654">
        <v>6</v>
      </c>
      <c r="P2654">
        <v>0</v>
      </c>
      <c r="Q2654">
        <v>2</v>
      </c>
      <c r="R2654" s="4">
        <v>15.77</v>
      </c>
      <c r="S2654">
        <v>0</v>
      </c>
      <c r="T2654">
        <v>1</v>
      </c>
    </row>
    <row r="2655" spans="1:20" ht="16.5" x14ac:dyDescent="0.3">
      <c r="A2655" t="s">
        <v>2709</v>
      </c>
      <c r="B2655" s="1">
        <v>45661</v>
      </c>
      <c r="C2655">
        <v>2025</v>
      </c>
      <c r="D2655" t="s">
        <v>21</v>
      </c>
      <c r="E2655" t="s">
        <v>22</v>
      </c>
      <c r="F2655" t="s">
        <v>34</v>
      </c>
      <c r="G2655" t="s">
        <v>24</v>
      </c>
      <c r="H2655" t="s">
        <v>25</v>
      </c>
      <c r="I2655" t="s">
        <v>26</v>
      </c>
      <c r="J2655" t="s">
        <v>27</v>
      </c>
      <c r="K2655" t="s">
        <v>32</v>
      </c>
      <c r="L2655" s="2">
        <v>2.4</v>
      </c>
      <c r="M2655" s="3">
        <v>651</v>
      </c>
      <c r="N2655">
        <v>4</v>
      </c>
      <c r="O2655">
        <v>3</v>
      </c>
      <c r="P2655">
        <v>1</v>
      </c>
      <c r="Q2655">
        <v>0</v>
      </c>
      <c r="R2655" s="4">
        <v>14.4</v>
      </c>
      <c r="S2655">
        <v>0</v>
      </c>
      <c r="T2655">
        <v>1</v>
      </c>
    </row>
    <row r="2656" spans="1:20" ht="16.5" x14ac:dyDescent="0.3">
      <c r="A2656" t="s">
        <v>2710</v>
      </c>
      <c r="B2656" s="1">
        <v>45661</v>
      </c>
      <c r="C2656">
        <v>2025</v>
      </c>
      <c r="D2656" t="s">
        <v>21</v>
      </c>
      <c r="E2656" t="s">
        <v>22</v>
      </c>
      <c r="F2656" t="s">
        <v>57</v>
      </c>
      <c r="G2656" t="s">
        <v>35</v>
      </c>
      <c r="H2656" t="s">
        <v>36</v>
      </c>
      <c r="I2656" t="s">
        <v>40</v>
      </c>
      <c r="J2656" t="s">
        <v>27</v>
      </c>
      <c r="K2656" t="s">
        <v>28</v>
      </c>
      <c r="L2656" s="2">
        <v>145.9</v>
      </c>
      <c r="M2656" s="3">
        <v>277</v>
      </c>
      <c r="N2656">
        <v>1</v>
      </c>
      <c r="O2656">
        <v>1</v>
      </c>
      <c r="P2656">
        <v>1</v>
      </c>
      <c r="Q2656">
        <v>0</v>
      </c>
      <c r="R2656" s="4">
        <v>126.51</v>
      </c>
      <c r="S2656">
        <v>0</v>
      </c>
      <c r="T2656">
        <v>1</v>
      </c>
    </row>
    <row r="2657" spans="1:20" ht="16.5" x14ac:dyDescent="0.3">
      <c r="A2657" t="s">
        <v>2711</v>
      </c>
      <c r="B2657" s="1">
        <v>45661</v>
      </c>
      <c r="C2657">
        <v>2025</v>
      </c>
      <c r="D2657" t="s">
        <v>21</v>
      </c>
      <c r="E2657" t="s">
        <v>22</v>
      </c>
      <c r="F2657" t="s">
        <v>57</v>
      </c>
      <c r="G2657" t="s">
        <v>39</v>
      </c>
      <c r="H2657" t="s">
        <v>51</v>
      </c>
      <c r="I2657" t="s">
        <v>31</v>
      </c>
      <c r="J2657" t="s">
        <v>27</v>
      </c>
      <c r="K2657" t="s">
        <v>28</v>
      </c>
      <c r="L2657" s="2">
        <v>63.6</v>
      </c>
      <c r="M2657" s="3">
        <v>968</v>
      </c>
      <c r="N2657">
        <v>7</v>
      </c>
      <c r="O2657">
        <v>9</v>
      </c>
      <c r="P2657">
        <v>0</v>
      </c>
      <c r="Q2657">
        <v>2</v>
      </c>
      <c r="R2657" s="4">
        <v>32.700000000000003</v>
      </c>
      <c r="S2657">
        <v>0</v>
      </c>
      <c r="T2657">
        <v>1</v>
      </c>
    </row>
    <row r="2658" spans="1:20" ht="16.5" x14ac:dyDescent="0.3">
      <c r="A2658" t="s">
        <v>2712</v>
      </c>
      <c r="B2658" s="1">
        <v>45661</v>
      </c>
      <c r="C2658">
        <v>2025</v>
      </c>
      <c r="D2658" t="s">
        <v>21</v>
      </c>
      <c r="E2658" t="s">
        <v>22</v>
      </c>
      <c r="F2658" t="s">
        <v>23</v>
      </c>
      <c r="G2658" t="s">
        <v>39</v>
      </c>
      <c r="H2658" t="s">
        <v>25</v>
      </c>
      <c r="I2658" t="s">
        <v>26</v>
      </c>
      <c r="J2658" t="s">
        <v>27</v>
      </c>
      <c r="K2658" t="s">
        <v>32</v>
      </c>
      <c r="L2658" s="2">
        <v>10</v>
      </c>
      <c r="M2658" s="3">
        <v>852</v>
      </c>
      <c r="N2658">
        <v>4</v>
      </c>
      <c r="O2658">
        <v>4</v>
      </c>
      <c r="P2658">
        <v>1</v>
      </c>
      <c r="Q2658">
        <v>0</v>
      </c>
      <c r="R2658" s="4">
        <v>22.32</v>
      </c>
      <c r="S2658">
        <v>0</v>
      </c>
      <c r="T2658">
        <v>1</v>
      </c>
    </row>
    <row r="2659" spans="1:20" ht="16.5" x14ac:dyDescent="0.3">
      <c r="A2659" t="s">
        <v>2713</v>
      </c>
      <c r="B2659" s="1">
        <v>45662</v>
      </c>
      <c r="C2659">
        <v>2025</v>
      </c>
      <c r="D2659" t="s">
        <v>21</v>
      </c>
      <c r="E2659" t="s">
        <v>22</v>
      </c>
      <c r="F2659" t="s">
        <v>38</v>
      </c>
      <c r="G2659" t="s">
        <v>39</v>
      </c>
      <c r="H2659" t="s">
        <v>36</v>
      </c>
      <c r="I2659" t="s">
        <v>26</v>
      </c>
      <c r="J2659" t="s">
        <v>27</v>
      </c>
      <c r="K2659" t="s">
        <v>28</v>
      </c>
      <c r="L2659" s="2">
        <v>180.9</v>
      </c>
      <c r="M2659" s="3">
        <v>314</v>
      </c>
      <c r="N2659">
        <v>3</v>
      </c>
      <c r="O2659">
        <v>3</v>
      </c>
      <c r="P2659">
        <v>1</v>
      </c>
      <c r="Q2659">
        <v>0</v>
      </c>
      <c r="R2659" s="4">
        <v>96.72</v>
      </c>
      <c r="S2659">
        <v>0</v>
      </c>
      <c r="T2659">
        <v>1</v>
      </c>
    </row>
    <row r="2660" spans="1:20" ht="16.5" x14ac:dyDescent="0.3">
      <c r="A2660" t="s">
        <v>2714</v>
      </c>
      <c r="B2660" s="1">
        <v>45662</v>
      </c>
      <c r="C2660">
        <v>2025</v>
      </c>
      <c r="D2660" t="s">
        <v>21</v>
      </c>
      <c r="E2660" t="s">
        <v>22</v>
      </c>
      <c r="F2660" t="s">
        <v>38</v>
      </c>
      <c r="G2660" t="s">
        <v>35</v>
      </c>
      <c r="H2660" t="s">
        <v>36</v>
      </c>
      <c r="I2660" t="s">
        <v>26</v>
      </c>
      <c r="J2660" t="s">
        <v>27</v>
      </c>
      <c r="K2660" t="s">
        <v>32</v>
      </c>
      <c r="L2660" s="2">
        <v>9</v>
      </c>
      <c r="M2660" s="3">
        <v>278</v>
      </c>
      <c r="N2660">
        <v>3</v>
      </c>
      <c r="O2660">
        <v>2</v>
      </c>
      <c r="P2660">
        <v>1</v>
      </c>
      <c r="Q2660">
        <v>0</v>
      </c>
      <c r="R2660" s="4">
        <v>16.43</v>
      </c>
      <c r="S2660">
        <v>0</v>
      </c>
      <c r="T2660">
        <v>1</v>
      </c>
    </row>
    <row r="2661" spans="1:20" ht="16.5" x14ac:dyDescent="0.3">
      <c r="A2661" t="s">
        <v>2715</v>
      </c>
      <c r="B2661" s="1">
        <v>45662</v>
      </c>
      <c r="C2661">
        <v>2025</v>
      </c>
      <c r="D2661" t="s">
        <v>21</v>
      </c>
      <c r="E2661" t="s">
        <v>22</v>
      </c>
      <c r="F2661" t="s">
        <v>38</v>
      </c>
      <c r="G2661" t="s">
        <v>35</v>
      </c>
      <c r="H2661" t="s">
        <v>51</v>
      </c>
      <c r="I2661" t="s">
        <v>26</v>
      </c>
      <c r="J2661" t="s">
        <v>27</v>
      </c>
      <c r="K2661" t="s">
        <v>32</v>
      </c>
      <c r="L2661" s="2">
        <v>6.9</v>
      </c>
      <c r="M2661" s="3">
        <v>1207</v>
      </c>
      <c r="N2661">
        <v>5</v>
      </c>
      <c r="O2661">
        <v>5</v>
      </c>
      <c r="P2661">
        <v>1</v>
      </c>
      <c r="Q2661">
        <v>0</v>
      </c>
      <c r="R2661" s="4">
        <v>28.01</v>
      </c>
      <c r="S2661">
        <v>0</v>
      </c>
      <c r="T2661">
        <v>1</v>
      </c>
    </row>
    <row r="2662" spans="1:20" ht="16.5" x14ac:dyDescent="0.3">
      <c r="A2662" t="s">
        <v>2716</v>
      </c>
      <c r="B2662" s="1">
        <v>45662</v>
      </c>
      <c r="C2662">
        <v>2025</v>
      </c>
      <c r="D2662" t="s">
        <v>21</v>
      </c>
      <c r="E2662" t="s">
        <v>22</v>
      </c>
      <c r="F2662" t="s">
        <v>38</v>
      </c>
      <c r="G2662" t="s">
        <v>39</v>
      </c>
      <c r="H2662" t="s">
        <v>48</v>
      </c>
      <c r="I2662" t="s">
        <v>40</v>
      </c>
      <c r="J2662" t="s">
        <v>27</v>
      </c>
      <c r="K2662" t="s">
        <v>32</v>
      </c>
      <c r="L2662" s="2">
        <v>2.2000000000000002</v>
      </c>
      <c r="M2662" s="3">
        <v>525</v>
      </c>
      <c r="N2662">
        <v>2</v>
      </c>
      <c r="O2662">
        <v>1</v>
      </c>
      <c r="P2662">
        <v>1</v>
      </c>
      <c r="Q2662">
        <v>0</v>
      </c>
      <c r="R2662" s="4">
        <v>29.34</v>
      </c>
      <c r="S2662">
        <v>0</v>
      </c>
      <c r="T2662">
        <v>1</v>
      </c>
    </row>
    <row r="2663" spans="1:20" ht="16.5" x14ac:dyDescent="0.3">
      <c r="A2663" t="s">
        <v>2717</v>
      </c>
      <c r="B2663" s="1">
        <v>45663</v>
      </c>
      <c r="C2663">
        <v>2025</v>
      </c>
      <c r="D2663" t="s">
        <v>21</v>
      </c>
      <c r="E2663" t="s">
        <v>22</v>
      </c>
      <c r="F2663" t="s">
        <v>38</v>
      </c>
      <c r="G2663" t="s">
        <v>39</v>
      </c>
      <c r="H2663" t="s">
        <v>48</v>
      </c>
      <c r="I2663" t="s">
        <v>26</v>
      </c>
      <c r="J2663" t="s">
        <v>27</v>
      </c>
      <c r="K2663" t="s">
        <v>32</v>
      </c>
      <c r="L2663" s="2">
        <v>5.5</v>
      </c>
      <c r="M2663" s="3">
        <v>466</v>
      </c>
      <c r="N2663">
        <v>4</v>
      </c>
      <c r="O2663">
        <v>4</v>
      </c>
      <c r="P2663">
        <v>1</v>
      </c>
      <c r="Q2663">
        <v>0</v>
      </c>
      <c r="R2663" s="4">
        <v>16.29</v>
      </c>
      <c r="S2663">
        <v>0</v>
      </c>
      <c r="T2663">
        <v>1</v>
      </c>
    </row>
    <row r="2664" spans="1:20" ht="16.5" x14ac:dyDescent="0.3">
      <c r="A2664" t="s">
        <v>2718</v>
      </c>
      <c r="B2664" s="1">
        <v>45663</v>
      </c>
      <c r="C2664">
        <v>2025</v>
      </c>
      <c r="D2664" t="s">
        <v>21</v>
      </c>
      <c r="E2664" t="s">
        <v>22</v>
      </c>
      <c r="F2664" t="s">
        <v>30</v>
      </c>
      <c r="G2664" t="s">
        <v>39</v>
      </c>
      <c r="H2664" t="s">
        <v>36</v>
      </c>
      <c r="I2664" t="s">
        <v>26</v>
      </c>
      <c r="J2664" t="s">
        <v>27</v>
      </c>
      <c r="K2664" t="s">
        <v>28</v>
      </c>
      <c r="L2664" s="2">
        <v>44.7</v>
      </c>
      <c r="M2664" s="3">
        <v>287</v>
      </c>
      <c r="N2664">
        <v>3</v>
      </c>
      <c r="O2664">
        <v>6</v>
      </c>
      <c r="P2664">
        <v>0</v>
      </c>
      <c r="Q2664">
        <v>3</v>
      </c>
      <c r="R2664" s="4">
        <v>32.409999999999997</v>
      </c>
      <c r="S2664">
        <v>0</v>
      </c>
      <c r="T2664">
        <v>1</v>
      </c>
    </row>
    <row r="2665" spans="1:20" ht="16.5" x14ac:dyDescent="0.3">
      <c r="A2665" t="s">
        <v>2719</v>
      </c>
      <c r="B2665" s="1">
        <v>45663</v>
      </c>
      <c r="C2665">
        <v>2025</v>
      </c>
      <c r="D2665" t="s">
        <v>21</v>
      </c>
      <c r="E2665" t="s">
        <v>22</v>
      </c>
      <c r="F2665" t="s">
        <v>57</v>
      </c>
      <c r="G2665" t="s">
        <v>24</v>
      </c>
      <c r="H2665" t="s">
        <v>25</v>
      </c>
      <c r="I2665" t="s">
        <v>26</v>
      </c>
      <c r="J2665" t="s">
        <v>27</v>
      </c>
      <c r="K2665" t="s">
        <v>32</v>
      </c>
      <c r="L2665" s="2">
        <v>10</v>
      </c>
      <c r="M2665" s="3">
        <v>877</v>
      </c>
      <c r="N2665">
        <v>4</v>
      </c>
      <c r="O2665">
        <v>3</v>
      </c>
      <c r="P2665">
        <v>1</v>
      </c>
      <c r="Q2665">
        <v>0</v>
      </c>
      <c r="R2665" s="4">
        <v>24.13</v>
      </c>
      <c r="S2665">
        <v>0</v>
      </c>
      <c r="T2665">
        <v>1</v>
      </c>
    </row>
    <row r="2666" spans="1:20" ht="16.5" x14ac:dyDescent="0.3">
      <c r="A2666" t="s">
        <v>2720</v>
      </c>
      <c r="B2666" s="1">
        <v>45663</v>
      </c>
      <c r="C2666">
        <v>2025</v>
      </c>
      <c r="D2666" t="s">
        <v>21</v>
      </c>
      <c r="E2666" t="s">
        <v>22</v>
      </c>
      <c r="F2666" t="s">
        <v>23</v>
      </c>
      <c r="G2666" t="s">
        <v>39</v>
      </c>
      <c r="H2666" t="s">
        <v>43</v>
      </c>
      <c r="I2666" t="s">
        <v>40</v>
      </c>
      <c r="J2666" t="s">
        <v>41</v>
      </c>
      <c r="K2666" t="s">
        <v>32</v>
      </c>
      <c r="L2666" s="2">
        <v>0.8</v>
      </c>
      <c r="M2666" s="3">
        <v>1203</v>
      </c>
      <c r="N2666">
        <v>3</v>
      </c>
      <c r="O2666">
        <v>3</v>
      </c>
      <c r="P2666">
        <v>1</v>
      </c>
      <c r="Q2666">
        <v>0</v>
      </c>
      <c r="R2666" s="4">
        <v>62.5</v>
      </c>
      <c r="S2666">
        <v>0</v>
      </c>
      <c r="T2666">
        <v>1</v>
      </c>
    </row>
    <row r="2667" spans="1:20" ht="16.5" x14ac:dyDescent="0.3">
      <c r="A2667" t="s">
        <v>2721</v>
      </c>
      <c r="B2667" s="1">
        <v>45663</v>
      </c>
      <c r="C2667">
        <v>2025</v>
      </c>
      <c r="D2667" t="s">
        <v>21</v>
      </c>
      <c r="E2667" t="s">
        <v>22</v>
      </c>
      <c r="F2667" t="s">
        <v>38</v>
      </c>
      <c r="G2667" t="s">
        <v>35</v>
      </c>
      <c r="H2667" t="s">
        <v>51</v>
      </c>
      <c r="I2667" t="s">
        <v>40</v>
      </c>
      <c r="J2667" t="s">
        <v>41</v>
      </c>
      <c r="K2667" t="s">
        <v>28</v>
      </c>
      <c r="L2667" s="2">
        <v>276.2</v>
      </c>
      <c r="M2667" s="3">
        <v>1010</v>
      </c>
      <c r="N2667">
        <v>3</v>
      </c>
      <c r="O2667">
        <v>2</v>
      </c>
      <c r="P2667">
        <v>1</v>
      </c>
      <c r="Q2667">
        <v>0</v>
      </c>
      <c r="R2667" s="4">
        <v>425.86</v>
      </c>
      <c r="S2667">
        <v>0</v>
      </c>
      <c r="T2667">
        <v>1</v>
      </c>
    </row>
    <row r="2668" spans="1:20" ht="16.5" x14ac:dyDescent="0.3">
      <c r="A2668" t="s">
        <v>2722</v>
      </c>
      <c r="B2668" s="1">
        <v>45663</v>
      </c>
      <c r="C2668">
        <v>2025</v>
      </c>
      <c r="D2668" t="s">
        <v>21</v>
      </c>
      <c r="E2668" t="s">
        <v>22</v>
      </c>
      <c r="F2668" t="s">
        <v>57</v>
      </c>
      <c r="G2668" t="s">
        <v>35</v>
      </c>
      <c r="H2668" t="s">
        <v>48</v>
      </c>
      <c r="I2668" t="s">
        <v>31</v>
      </c>
      <c r="J2668" t="s">
        <v>27</v>
      </c>
      <c r="K2668" t="s">
        <v>28</v>
      </c>
      <c r="L2668" s="2">
        <v>78.3</v>
      </c>
      <c r="M2668" s="3">
        <v>516</v>
      </c>
      <c r="N2668">
        <v>6</v>
      </c>
      <c r="O2668">
        <v>5</v>
      </c>
      <c r="P2668">
        <v>1</v>
      </c>
      <c r="Q2668">
        <v>0</v>
      </c>
      <c r="R2668" s="4">
        <v>33.869999999999997</v>
      </c>
      <c r="S2668">
        <v>0</v>
      </c>
      <c r="T2668">
        <v>1</v>
      </c>
    </row>
    <row r="2669" spans="1:20" ht="16.5" x14ac:dyDescent="0.3">
      <c r="A2669" t="s">
        <v>2723</v>
      </c>
      <c r="B2669" s="1">
        <v>45663</v>
      </c>
      <c r="C2669">
        <v>2025</v>
      </c>
      <c r="D2669" t="s">
        <v>21</v>
      </c>
      <c r="E2669" t="s">
        <v>22</v>
      </c>
      <c r="F2669" t="s">
        <v>30</v>
      </c>
      <c r="G2669" t="s">
        <v>35</v>
      </c>
      <c r="H2669" t="s">
        <v>36</v>
      </c>
      <c r="I2669" t="s">
        <v>40</v>
      </c>
      <c r="J2669" t="s">
        <v>27</v>
      </c>
      <c r="K2669" t="s">
        <v>32</v>
      </c>
      <c r="L2669" s="2">
        <v>9.8000000000000007</v>
      </c>
      <c r="M2669" s="3">
        <v>295</v>
      </c>
      <c r="N2669">
        <v>1</v>
      </c>
      <c r="O2669">
        <v>3</v>
      </c>
      <c r="P2669">
        <v>0</v>
      </c>
      <c r="Q2669">
        <v>2</v>
      </c>
      <c r="R2669" s="4">
        <v>35.4</v>
      </c>
      <c r="S2669">
        <v>0</v>
      </c>
      <c r="T2669">
        <v>1</v>
      </c>
    </row>
    <row r="2670" spans="1:20" ht="16.5" x14ac:dyDescent="0.3">
      <c r="A2670" t="s">
        <v>2724</v>
      </c>
      <c r="B2670" s="1">
        <v>45663</v>
      </c>
      <c r="C2670">
        <v>2025</v>
      </c>
      <c r="D2670" t="s">
        <v>21</v>
      </c>
      <c r="E2670" t="s">
        <v>22</v>
      </c>
      <c r="F2670" t="s">
        <v>38</v>
      </c>
      <c r="G2670" t="s">
        <v>35</v>
      </c>
      <c r="H2670" t="s">
        <v>48</v>
      </c>
      <c r="I2670" t="s">
        <v>26</v>
      </c>
      <c r="J2670" t="s">
        <v>27</v>
      </c>
      <c r="K2670" t="s">
        <v>32</v>
      </c>
      <c r="L2670" s="2">
        <v>4.7</v>
      </c>
      <c r="M2670" s="3">
        <v>394</v>
      </c>
      <c r="N2670">
        <v>4</v>
      </c>
      <c r="O2670">
        <v>3</v>
      </c>
      <c r="P2670">
        <v>1</v>
      </c>
      <c r="Q2670">
        <v>0</v>
      </c>
      <c r="R2670" s="4">
        <v>15.26</v>
      </c>
      <c r="S2670">
        <v>0</v>
      </c>
      <c r="T2670">
        <v>1</v>
      </c>
    </row>
    <row r="2671" spans="1:20" ht="16.5" x14ac:dyDescent="0.3">
      <c r="A2671" t="s">
        <v>2725</v>
      </c>
      <c r="B2671" s="1">
        <v>45663</v>
      </c>
      <c r="C2671">
        <v>2025</v>
      </c>
      <c r="D2671" t="s">
        <v>21</v>
      </c>
      <c r="E2671" t="s">
        <v>22</v>
      </c>
      <c r="F2671" t="s">
        <v>57</v>
      </c>
      <c r="G2671" t="s">
        <v>35</v>
      </c>
      <c r="H2671" t="s">
        <v>48</v>
      </c>
      <c r="I2671" t="s">
        <v>31</v>
      </c>
      <c r="J2671" t="s">
        <v>27</v>
      </c>
      <c r="K2671" t="s">
        <v>32</v>
      </c>
      <c r="L2671" s="2">
        <v>19.8</v>
      </c>
      <c r="M2671" s="3">
        <v>584</v>
      </c>
      <c r="N2671">
        <v>6</v>
      </c>
      <c r="O2671">
        <v>5</v>
      </c>
      <c r="P2671">
        <v>1</v>
      </c>
      <c r="Q2671">
        <v>0</v>
      </c>
      <c r="R2671" s="4">
        <v>18.809999999999999</v>
      </c>
      <c r="S2671">
        <v>0</v>
      </c>
      <c r="T2671">
        <v>1</v>
      </c>
    </row>
    <row r="2672" spans="1:20" ht="16.5" x14ac:dyDescent="0.3">
      <c r="A2672" t="s">
        <v>2726</v>
      </c>
      <c r="B2672" s="1">
        <v>45663</v>
      </c>
      <c r="C2672">
        <v>2025</v>
      </c>
      <c r="D2672" t="s">
        <v>21</v>
      </c>
      <c r="E2672" t="s">
        <v>22</v>
      </c>
      <c r="F2672" t="s">
        <v>57</v>
      </c>
      <c r="G2672" t="s">
        <v>39</v>
      </c>
      <c r="H2672" t="s">
        <v>25</v>
      </c>
      <c r="I2672" t="s">
        <v>26</v>
      </c>
      <c r="J2672" t="s">
        <v>27</v>
      </c>
      <c r="K2672" t="s">
        <v>32</v>
      </c>
      <c r="L2672" s="2">
        <v>8.6</v>
      </c>
      <c r="M2672" s="3">
        <v>684</v>
      </c>
      <c r="N2672">
        <v>4</v>
      </c>
      <c r="O2672">
        <v>3</v>
      </c>
      <c r="P2672">
        <v>1</v>
      </c>
      <c r="Q2672">
        <v>0</v>
      </c>
      <c r="R2672" s="4">
        <v>21.61</v>
      </c>
      <c r="S2672">
        <v>0</v>
      </c>
      <c r="T2672">
        <v>1</v>
      </c>
    </row>
    <row r="2673" spans="1:20" ht="16.5" x14ac:dyDescent="0.3">
      <c r="A2673" t="s">
        <v>2727</v>
      </c>
      <c r="B2673" s="1">
        <v>45664</v>
      </c>
      <c r="C2673">
        <v>2025</v>
      </c>
      <c r="D2673" t="s">
        <v>21</v>
      </c>
      <c r="E2673" t="s">
        <v>22</v>
      </c>
      <c r="F2673" t="s">
        <v>57</v>
      </c>
      <c r="G2673" t="s">
        <v>24</v>
      </c>
      <c r="H2673" t="s">
        <v>43</v>
      </c>
      <c r="I2673" t="s">
        <v>26</v>
      </c>
      <c r="J2673" t="s">
        <v>27</v>
      </c>
      <c r="K2673" t="s">
        <v>28</v>
      </c>
      <c r="L2673" s="2">
        <v>35.299999999999997</v>
      </c>
      <c r="M2673" s="3">
        <v>1009</v>
      </c>
      <c r="N2673">
        <v>5</v>
      </c>
      <c r="O2673">
        <v>4</v>
      </c>
      <c r="P2673">
        <v>1</v>
      </c>
      <c r="Q2673">
        <v>0</v>
      </c>
      <c r="R2673" s="4">
        <v>36.700000000000003</v>
      </c>
      <c r="S2673">
        <v>0</v>
      </c>
      <c r="T2673">
        <v>1</v>
      </c>
    </row>
    <row r="2674" spans="1:20" ht="16.5" x14ac:dyDescent="0.3">
      <c r="A2674" t="s">
        <v>2728</v>
      </c>
      <c r="B2674" s="1">
        <v>45664</v>
      </c>
      <c r="C2674">
        <v>2025</v>
      </c>
      <c r="D2674" t="s">
        <v>21</v>
      </c>
      <c r="E2674" t="s">
        <v>22</v>
      </c>
      <c r="F2674" t="s">
        <v>30</v>
      </c>
      <c r="G2674" t="s">
        <v>39</v>
      </c>
      <c r="H2674" t="s">
        <v>36</v>
      </c>
      <c r="I2674" t="s">
        <v>26</v>
      </c>
      <c r="J2674" t="s">
        <v>27</v>
      </c>
      <c r="K2674" t="s">
        <v>28</v>
      </c>
      <c r="L2674" s="2">
        <v>45.7</v>
      </c>
      <c r="M2674" s="3">
        <v>131</v>
      </c>
      <c r="N2674">
        <v>3</v>
      </c>
      <c r="O2674">
        <v>3</v>
      </c>
      <c r="P2674">
        <v>1</v>
      </c>
      <c r="Q2674">
        <v>0</v>
      </c>
      <c r="R2674" s="4">
        <v>27.98</v>
      </c>
      <c r="S2674">
        <v>0</v>
      </c>
      <c r="T2674">
        <v>1</v>
      </c>
    </row>
    <row r="2675" spans="1:20" ht="16.5" x14ac:dyDescent="0.3">
      <c r="A2675" t="s">
        <v>2729</v>
      </c>
      <c r="B2675" s="1">
        <v>45664</v>
      </c>
      <c r="C2675">
        <v>2025</v>
      </c>
      <c r="D2675" t="s">
        <v>21</v>
      </c>
      <c r="E2675" t="s">
        <v>22</v>
      </c>
      <c r="F2675" t="s">
        <v>30</v>
      </c>
      <c r="G2675" t="s">
        <v>39</v>
      </c>
      <c r="H2675" t="s">
        <v>51</v>
      </c>
      <c r="I2675" t="s">
        <v>31</v>
      </c>
      <c r="J2675" t="s">
        <v>27</v>
      </c>
      <c r="K2675" t="s">
        <v>32</v>
      </c>
      <c r="L2675" s="2">
        <v>8.6</v>
      </c>
      <c r="M2675" s="3">
        <v>724</v>
      </c>
      <c r="N2675">
        <v>7</v>
      </c>
      <c r="O2675">
        <v>9</v>
      </c>
      <c r="P2675">
        <v>0</v>
      </c>
      <c r="Q2675">
        <v>2</v>
      </c>
      <c r="R2675" s="4">
        <v>15.44</v>
      </c>
      <c r="S2675">
        <v>0</v>
      </c>
      <c r="T2675">
        <v>1</v>
      </c>
    </row>
    <row r="2676" spans="1:20" ht="16.5" x14ac:dyDescent="0.3">
      <c r="A2676" t="s">
        <v>2730</v>
      </c>
      <c r="B2676" s="1">
        <v>45664</v>
      </c>
      <c r="C2676">
        <v>2025</v>
      </c>
      <c r="D2676" t="s">
        <v>21</v>
      </c>
      <c r="E2676" t="s">
        <v>22</v>
      </c>
      <c r="F2676" t="s">
        <v>38</v>
      </c>
      <c r="G2676" t="s">
        <v>39</v>
      </c>
      <c r="H2676" t="s">
        <v>25</v>
      </c>
      <c r="I2676" t="s">
        <v>26</v>
      </c>
      <c r="J2676" t="s">
        <v>27</v>
      </c>
      <c r="K2676" t="s">
        <v>28</v>
      </c>
      <c r="L2676" s="2">
        <v>100.5</v>
      </c>
      <c r="M2676" s="3">
        <v>922</v>
      </c>
      <c r="N2676">
        <v>4</v>
      </c>
      <c r="O2676">
        <v>4</v>
      </c>
      <c r="P2676">
        <v>1</v>
      </c>
      <c r="Q2676">
        <v>0</v>
      </c>
      <c r="R2676" s="4">
        <v>73.92</v>
      </c>
      <c r="S2676">
        <v>0</v>
      </c>
      <c r="T2676">
        <v>1</v>
      </c>
    </row>
    <row r="2677" spans="1:20" ht="16.5" x14ac:dyDescent="0.3">
      <c r="A2677" t="s">
        <v>2731</v>
      </c>
      <c r="B2677" s="1">
        <v>45664</v>
      </c>
      <c r="C2677">
        <v>2025</v>
      </c>
      <c r="D2677" t="s">
        <v>21</v>
      </c>
      <c r="E2677" t="s">
        <v>22</v>
      </c>
      <c r="F2677" t="s">
        <v>34</v>
      </c>
      <c r="G2677" t="s">
        <v>35</v>
      </c>
      <c r="H2677" t="s">
        <v>48</v>
      </c>
      <c r="I2677" t="s">
        <v>40</v>
      </c>
      <c r="J2677" t="s">
        <v>27</v>
      </c>
      <c r="K2677" t="s">
        <v>32</v>
      </c>
      <c r="L2677" s="2">
        <v>3.7</v>
      </c>
      <c r="M2677" s="3">
        <v>481</v>
      </c>
      <c r="N2677">
        <v>2</v>
      </c>
      <c r="O2677">
        <v>2</v>
      </c>
      <c r="P2677">
        <v>1</v>
      </c>
      <c r="Q2677">
        <v>0</v>
      </c>
      <c r="R2677" s="4">
        <v>23.06</v>
      </c>
      <c r="S2677">
        <v>0</v>
      </c>
      <c r="T2677">
        <v>1</v>
      </c>
    </row>
    <row r="2678" spans="1:20" ht="16.5" x14ac:dyDescent="0.3">
      <c r="A2678" t="s">
        <v>2732</v>
      </c>
      <c r="B2678" s="1">
        <v>45664</v>
      </c>
      <c r="C2678">
        <v>2025</v>
      </c>
      <c r="D2678" t="s">
        <v>21</v>
      </c>
      <c r="E2678" t="s">
        <v>22</v>
      </c>
      <c r="F2678" t="s">
        <v>38</v>
      </c>
      <c r="G2678" t="s">
        <v>35</v>
      </c>
      <c r="H2678" t="s">
        <v>48</v>
      </c>
      <c r="I2678" t="s">
        <v>26</v>
      </c>
      <c r="J2678" t="s">
        <v>27</v>
      </c>
      <c r="K2678" t="s">
        <v>32</v>
      </c>
      <c r="L2678" s="2">
        <v>14.6</v>
      </c>
      <c r="M2678" s="3">
        <v>490</v>
      </c>
      <c r="N2678">
        <v>4</v>
      </c>
      <c r="O2678">
        <v>4</v>
      </c>
      <c r="P2678">
        <v>1</v>
      </c>
      <c r="Q2678">
        <v>0</v>
      </c>
      <c r="R2678" s="4">
        <v>24.48</v>
      </c>
      <c r="S2678">
        <v>0</v>
      </c>
      <c r="T2678">
        <v>1</v>
      </c>
    </row>
    <row r="2679" spans="1:20" ht="16.5" x14ac:dyDescent="0.3">
      <c r="A2679" t="s">
        <v>2733</v>
      </c>
      <c r="B2679" s="1">
        <v>45664</v>
      </c>
      <c r="C2679">
        <v>2025</v>
      </c>
      <c r="D2679" t="s">
        <v>21</v>
      </c>
      <c r="E2679" t="s">
        <v>22</v>
      </c>
      <c r="F2679" t="s">
        <v>34</v>
      </c>
      <c r="G2679" t="s">
        <v>39</v>
      </c>
      <c r="H2679" t="s">
        <v>48</v>
      </c>
      <c r="I2679" t="s">
        <v>26</v>
      </c>
      <c r="J2679" t="s">
        <v>27</v>
      </c>
      <c r="K2679" t="s">
        <v>32</v>
      </c>
      <c r="L2679" s="2">
        <v>6.6</v>
      </c>
      <c r="M2679" s="3">
        <v>441</v>
      </c>
      <c r="N2679">
        <v>4</v>
      </c>
      <c r="O2679">
        <v>5</v>
      </c>
      <c r="P2679">
        <v>0</v>
      </c>
      <c r="Q2679">
        <v>1</v>
      </c>
      <c r="R2679" s="4">
        <v>13.9</v>
      </c>
      <c r="S2679">
        <v>0</v>
      </c>
      <c r="T2679">
        <v>1</v>
      </c>
    </row>
    <row r="2680" spans="1:20" ht="16.5" x14ac:dyDescent="0.3">
      <c r="A2680" t="s">
        <v>2734</v>
      </c>
      <c r="B2680" s="1">
        <v>45664</v>
      </c>
      <c r="C2680">
        <v>2025</v>
      </c>
      <c r="D2680" t="s">
        <v>21</v>
      </c>
      <c r="E2680" t="s">
        <v>22</v>
      </c>
      <c r="F2680" t="s">
        <v>30</v>
      </c>
      <c r="G2680" t="s">
        <v>35</v>
      </c>
      <c r="H2680" t="s">
        <v>43</v>
      </c>
      <c r="I2680" t="s">
        <v>31</v>
      </c>
      <c r="J2680" t="s">
        <v>27</v>
      </c>
      <c r="K2680" t="s">
        <v>32</v>
      </c>
      <c r="L2680" s="2">
        <v>21.2</v>
      </c>
      <c r="M2680" s="3">
        <v>964</v>
      </c>
      <c r="N2680">
        <v>7</v>
      </c>
      <c r="O2680">
        <v>7</v>
      </c>
      <c r="P2680">
        <v>1</v>
      </c>
      <c r="Q2680">
        <v>0</v>
      </c>
      <c r="R2680" s="4">
        <v>20.43</v>
      </c>
      <c r="S2680">
        <v>0</v>
      </c>
      <c r="T2680">
        <v>1</v>
      </c>
    </row>
    <row r="2681" spans="1:20" ht="16.5" x14ac:dyDescent="0.3">
      <c r="A2681" t="s">
        <v>2735</v>
      </c>
      <c r="B2681" s="1">
        <v>45664</v>
      </c>
      <c r="C2681">
        <v>2025</v>
      </c>
      <c r="D2681" t="s">
        <v>21</v>
      </c>
      <c r="E2681" t="s">
        <v>22</v>
      </c>
      <c r="F2681" t="s">
        <v>57</v>
      </c>
      <c r="G2681" t="s">
        <v>35</v>
      </c>
      <c r="H2681" t="s">
        <v>43</v>
      </c>
      <c r="I2681" t="s">
        <v>26</v>
      </c>
      <c r="J2681" t="s">
        <v>27</v>
      </c>
      <c r="K2681" t="s">
        <v>28</v>
      </c>
      <c r="L2681" s="2">
        <v>108.1</v>
      </c>
      <c r="M2681" s="3">
        <v>1208</v>
      </c>
      <c r="N2681">
        <v>5</v>
      </c>
      <c r="O2681">
        <v>5</v>
      </c>
      <c r="P2681">
        <v>1</v>
      </c>
      <c r="Q2681">
        <v>0</v>
      </c>
      <c r="R2681" s="4">
        <v>68.5</v>
      </c>
      <c r="S2681">
        <v>0</v>
      </c>
      <c r="T2681">
        <v>1</v>
      </c>
    </row>
    <row r="2682" spans="1:20" ht="16.5" x14ac:dyDescent="0.3">
      <c r="A2682" t="s">
        <v>2736</v>
      </c>
      <c r="B2682" s="1">
        <v>45664</v>
      </c>
      <c r="C2682">
        <v>2025</v>
      </c>
      <c r="D2682" t="s">
        <v>21</v>
      </c>
      <c r="E2682" t="s">
        <v>22</v>
      </c>
      <c r="F2682" t="s">
        <v>34</v>
      </c>
      <c r="G2682" t="s">
        <v>35</v>
      </c>
      <c r="H2682" t="s">
        <v>43</v>
      </c>
      <c r="I2682" t="s">
        <v>31</v>
      </c>
      <c r="J2682" t="s">
        <v>27</v>
      </c>
      <c r="K2682" t="s">
        <v>32</v>
      </c>
      <c r="L2682" s="2">
        <v>1.1000000000000001</v>
      </c>
      <c r="M2682" s="3">
        <v>1097</v>
      </c>
      <c r="N2682">
        <v>7</v>
      </c>
      <c r="O2682">
        <v>7</v>
      </c>
      <c r="P2682">
        <v>1</v>
      </c>
      <c r="Q2682">
        <v>0</v>
      </c>
      <c r="R2682" s="4">
        <v>12.91</v>
      </c>
      <c r="S2682">
        <v>0</v>
      </c>
      <c r="T2682">
        <v>1</v>
      </c>
    </row>
    <row r="2683" spans="1:20" ht="16.5" x14ac:dyDescent="0.3">
      <c r="A2683" t="s">
        <v>2737</v>
      </c>
      <c r="B2683" s="1">
        <v>45664</v>
      </c>
      <c r="C2683">
        <v>2025</v>
      </c>
      <c r="D2683" t="s">
        <v>21</v>
      </c>
      <c r="E2683" t="s">
        <v>22</v>
      </c>
      <c r="F2683" t="s">
        <v>34</v>
      </c>
      <c r="G2683" t="s">
        <v>39</v>
      </c>
      <c r="H2683" t="s">
        <v>43</v>
      </c>
      <c r="I2683" t="s">
        <v>26</v>
      </c>
      <c r="J2683" t="s">
        <v>27</v>
      </c>
      <c r="K2683" t="s">
        <v>32</v>
      </c>
      <c r="L2683" s="2">
        <v>17.2</v>
      </c>
      <c r="M2683" s="3">
        <v>1255</v>
      </c>
      <c r="N2683">
        <v>5</v>
      </c>
      <c r="O2683">
        <v>5</v>
      </c>
      <c r="P2683">
        <v>1</v>
      </c>
      <c r="Q2683">
        <v>0</v>
      </c>
      <c r="R2683" s="4">
        <v>26.83</v>
      </c>
      <c r="S2683">
        <v>0</v>
      </c>
      <c r="T2683">
        <v>1</v>
      </c>
    </row>
    <row r="2684" spans="1:20" ht="16.5" x14ac:dyDescent="0.3">
      <c r="A2684" t="s">
        <v>2738</v>
      </c>
      <c r="B2684" s="1">
        <v>45665</v>
      </c>
      <c r="C2684">
        <v>2025</v>
      </c>
      <c r="D2684" t="s">
        <v>21</v>
      </c>
      <c r="E2684" t="s">
        <v>22</v>
      </c>
      <c r="F2684" t="s">
        <v>23</v>
      </c>
      <c r="G2684" t="s">
        <v>24</v>
      </c>
      <c r="H2684" t="s">
        <v>36</v>
      </c>
      <c r="I2684" t="s">
        <v>31</v>
      </c>
      <c r="J2684" t="s">
        <v>27</v>
      </c>
      <c r="K2684" t="s">
        <v>28</v>
      </c>
      <c r="L2684" s="2">
        <v>106.5</v>
      </c>
      <c r="M2684" s="3">
        <v>211</v>
      </c>
      <c r="N2684">
        <v>5</v>
      </c>
      <c r="O2684">
        <v>5</v>
      </c>
      <c r="P2684">
        <v>1</v>
      </c>
      <c r="Q2684">
        <v>0</v>
      </c>
      <c r="R2684" s="4">
        <v>36.26</v>
      </c>
      <c r="S2684">
        <v>0</v>
      </c>
      <c r="T2684">
        <v>1</v>
      </c>
    </row>
    <row r="2685" spans="1:20" ht="16.5" x14ac:dyDescent="0.3">
      <c r="A2685" t="s">
        <v>2739</v>
      </c>
      <c r="B2685" s="1">
        <v>45665</v>
      </c>
      <c r="C2685">
        <v>2025</v>
      </c>
      <c r="D2685" t="s">
        <v>21</v>
      </c>
      <c r="E2685" t="s">
        <v>22</v>
      </c>
      <c r="F2685" t="s">
        <v>38</v>
      </c>
      <c r="G2685" t="s">
        <v>39</v>
      </c>
      <c r="H2685" t="s">
        <v>36</v>
      </c>
      <c r="I2685" t="s">
        <v>40</v>
      </c>
      <c r="J2685" t="s">
        <v>27</v>
      </c>
      <c r="K2685" t="s">
        <v>32</v>
      </c>
      <c r="L2685" s="2">
        <v>7.8</v>
      </c>
      <c r="M2685" s="3">
        <v>228</v>
      </c>
      <c r="N2685">
        <v>1</v>
      </c>
      <c r="O2685">
        <v>1</v>
      </c>
      <c r="P2685">
        <v>1</v>
      </c>
      <c r="Q2685">
        <v>0</v>
      </c>
      <c r="R2685" s="4">
        <v>30.9</v>
      </c>
      <c r="S2685">
        <v>0</v>
      </c>
      <c r="T2685">
        <v>1</v>
      </c>
    </row>
    <row r="2686" spans="1:20" ht="16.5" x14ac:dyDescent="0.3">
      <c r="A2686" t="s">
        <v>2740</v>
      </c>
      <c r="B2686" s="1">
        <v>45665</v>
      </c>
      <c r="C2686">
        <v>2025</v>
      </c>
      <c r="D2686" t="s">
        <v>21</v>
      </c>
      <c r="E2686" t="s">
        <v>22</v>
      </c>
      <c r="F2686" t="s">
        <v>34</v>
      </c>
      <c r="G2686" t="s">
        <v>39</v>
      </c>
      <c r="H2686" t="s">
        <v>36</v>
      </c>
      <c r="I2686" t="s">
        <v>40</v>
      </c>
      <c r="J2686" t="s">
        <v>27</v>
      </c>
      <c r="K2686" t="s">
        <v>28</v>
      </c>
      <c r="L2686" s="2">
        <v>186.6</v>
      </c>
      <c r="M2686" s="3">
        <v>267</v>
      </c>
      <c r="N2686">
        <v>1</v>
      </c>
      <c r="O2686">
        <v>1</v>
      </c>
      <c r="P2686">
        <v>1</v>
      </c>
      <c r="Q2686">
        <v>0</v>
      </c>
      <c r="R2686" s="4">
        <v>128.83000000000001</v>
      </c>
      <c r="S2686">
        <v>0</v>
      </c>
      <c r="T2686">
        <v>1</v>
      </c>
    </row>
    <row r="2687" spans="1:20" ht="16.5" x14ac:dyDescent="0.3">
      <c r="A2687" t="s">
        <v>2741</v>
      </c>
      <c r="B2687" s="1">
        <v>45665</v>
      </c>
      <c r="C2687">
        <v>2025</v>
      </c>
      <c r="D2687" t="s">
        <v>21</v>
      </c>
      <c r="E2687" t="s">
        <v>22</v>
      </c>
      <c r="F2687" t="s">
        <v>23</v>
      </c>
      <c r="G2687" t="s">
        <v>39</v>
      </c>
      <c r="H2687" t="s">
        <v>25</v>
      </c>
      <c r="I2687" t="s">
        <v>31</v>
      </c>
      <c r="J2687" t="s">
        <v>27</v>
      </c>
      <c r="K2687" t="s">
        <v>32</v>
      </c>
      <c r="L2687" s="2">
        <v>6.4</v>
      </c>
      <c r="M2687" s="3">
        <v>883</v>
      </c>
      <c r="N2687">
        <v>6</v>
      </c>
      <c r="O2687">
        <v>6</v>
      </c>
      <c r="P2687">
        <v>1</v>
      </c>
      <c r="Q2687">
        <v>0</v>
      </c>
      <c r="R2687" s="4">
        <v>13.98</v>
      </c>
      <c r="S2687">
        <v>0</v>
      </c>
      <c r="T2687">
        <v>1</v>
      </c>
    </row>
    <row r="2688" spans="1:20" ht="16.5" x14ac:dyDescent="0.3">
      <c r="A2688" t="s">
        <v>2742</v>
      </c>
      <c r="B2688" s="1">
        <v>45665</v>
      </c>
      <c r="C2688">
        <v>2025</v>
      </c>
      <c r="D2688" t="s">
        <v>21</v>
      </c>
      <c r="E2688" t="s">
        <v>22</v>
      </c>
      <c r="F2688" t="s">
        <v>30</v>
      </c>
      <c r="G2688" t="s">
        <v>35</v>
      </c>
      <c r="H2688" t="s">
        <v>48</v>
      </c>
      <c r="I2688" t="s">
        <v>31</v>
      </c>
      <c r="J2688" t="s">
        <v>27</v>
      </c>
      <c r="K2688" t="s">
        <v>28</v>
      </c>
      <c r="L2688" s="2">
        <v>80.5</v>
      </c>
      <c r="M2688" s="3">
        <v>475</v>
      </c>
      <c r="N2688">
        <v>6</v>
      </c>
      <c r="O2688">
        <v>8</v>
      </c>
      <c r="P2688">
        <v>0</v>
      </c>
      <c r="Q2688">
        <v>2</v>
      </c>
      <c r="R2688" s="4">
        <v>37.75</v>
      </c>
      <c r="S2688">
        <v>0</v>
      </c>
      <c r="T2688">
        <v>1</v>
      </c>
    </row>
    <row r="2689" spans="1:20" ht="16.5" x14ac:dyDescent="0.3">
      <c r="A2689" t="s">
        <v>2743</v>
      </c>
      <c r="B2689" s="1">
        <v>45665</v>
      </c>
      <c r="C2689">
        <v>2025</v>
      </c>
      <c r="D2689" t="s">
        <v>21</v>
      </c>
      <c r="E2689" t="s">
        <v>22</v>
      </c>
      <c r="F2689" t="s">
        <v>34</v>
      </c>
      <c r="G2689" t="s">
        <v>35</v>
      </c>
      <c r="H2689" t="s">
        <v>36</v>
      </c>
      <c r="I2689" t="s">
        <v>40</v>
      </c>
      <c r="J2689" t="s">
        <v>27</v>
      </c>
      <c r="K2689" t="s">
        <v>28</v>
      </c>
      <c r="L2689" s="2">
        <v>140.80000000000001</v>
      </c>
      <c r="M2689" s="3">
        <v>291</v>
      </c>
      <c r="N2689">
        <v>1</v>
      </c>
      <c r="O2689">
        <v>1</v>
      </c>
      <c r="P2689">
        <v>1</v>
      </c>
      <c r="Q2689">
        <v>0</v>
      </c>
      <c r="R2689" s="4">
        <v>115.58</v>
      </c>
      <c r="S2689">
        <v>0</v>
      </c>
      <c r="T2689">
        <v>1</v>
      </c>
    </row>
    <row r="2690" spans="1:20" ht="16.5" x14ac:dyDescent="0.3">
      <c r="A2690" t="s">
        <v>2744</v>
      </c>
      <c r="B2690" s="1">
        <v>45665</v>
      </c>
      <c r="C2690">
        <v>2025</v>
      </c>
      <c r="D2690" t="s">
        <v>21</v>
      </c>
      <c r="E2690" t="s">
        <v>22</v>
      </c>
      <c r="F2690" t="s">
        <v>30</v>
      </c>
      <c r="G2690" t="s">
        <v>39</v>
      </c>
      <c r="H2690" t="s">
        <v>36</v>
      </c>
      <c r="I2690" t="s">
        <v>26</v>
      </c>
      <c r="J2690" t="s">
        <v>27</v>
      </c>
      <c r="K2690" t="s">
        <v>32</v>
      </c>
      <c r="L2690" s="2">
        <v>6</v>
      </c>
      <c r="M2690" s="3">
        <v>229</v>
      </c>
      <c r="N2690">
        <v>3</v>
      </c>
      <c r="O2690">
        <v>3</v>
      </c>
      <c r="P2690">
        <v>1</v>
      </c>
      <c r="Q2690">
        <v>0</v>
      </c>
      <c r="R2690" s="4">
        <v>13.17</v>
      </c>
      <c r="S2690">
        <v>0</v>
      </c>
      <c r="T2690">
        <v>1</v>
      </c>
    </row>
    <row r="2691" spans="1:20" ht="16.5" x14ac:dyDescent="0.3">
      <c r="A2691" t="s">
        <v>2745</v>
      </c>
      <c r="B2691" s="1">
        <v>45665</v>
      </c>
      <c r="C2691">
        <v>2025</v>
      </c>
      <c r="D2691" t="s">
        <v>21</v>
      </c>
      <c r="E2691" t="s">
        <v>22</v>
      </c>
      <c r="F2691" t="s">
        <v>23</v>
      </c>
      <c r="G2691" t="s">
        <v>39</v>
      </c>
      <c r="H2691" t="s">
        <v>25</v>
      </c>
      <c r="I2691" t="s">
        <v>26</v>
      </c>
      <c r="J2691" t="s">
        <v>27</v>
      </c>
      <c r="K2691" t="s">
        <v>28</v>
      </c>
      <c r="L2691" s="2">
        <v>142.4</v>
      </c>
      <c r="M2691" s="3">
        <v>928</v>
      </c>
      <c r="N2691">
        <v>4</v>
      </c>
      <c r="O2691">
        <v>4</v>
      </c>
      <c r="P2691">
        <v>1</v>
      </c>
      <c r="Q2691">
        <v>0</v>
      </c>
      <c r="R2691" s="4">
        <v>80.03</v>
      </c>
      <c r="S2691">
        <v>0</v>
      </c>
      <c r="T2691">
        <v>1</v>
      </c>
    </row>
    <row r="2692" spans="1:20" ht="16.5" x14ac:dyDescent="0.3">
      <c r="A2692" t="s">
        <v>2746</v>
      </c>
      <c r="B2692" s="1">
        <v>45665</v>
      </c>
      <c r="C2692">
        <v>2025</v>
      </c>
      <c r="D2692" t="s">
        <v>21</v>
      </c>
      <c r="E2692" t="s">
        <v>22</v>
      </c>
      <c r="F2692" t="s">
        <v>30</v>
      </c>
      <c r="G2692" t="s">
        <v>35</v>
      </c>
      <c r="H2692" t="s">
        <v>36</v>
      </c>
      <c r="I2692" t="s">
        <v>26</v>
      </c>
      <c r="J2692" t="s">
        <v>27</v>
      </c>
      <c r="K2692" t="s">
        <v>28</v>
      </c>
      <c r="L2692" s="2">
        <v>192.3</v>
      </c>
      <c r="M2692" s="3">
        <v>283</v>
      </c>
      <c r="N2692">
        <v>3</v>
      </c>
      <c r="O2692">
        <v>3</v>
      </c>
      <c r="P2692">
        <v>1</v>
      </c>
      <c r="Q2692">
        <v>0</v>
      </c>
      <c r="R2692" s="4">
        <v>90.24</v>
      </c>
      <c r="S2692">
        <v>0</v>
      </c>
      <c r="T2692">
        <v>1</v>
      </c>
    </row>
    <row r="2693" spans="1:20" ht="16.5" x14ac:dyDescent="0.3">
      <c r="A2693" t="s">
        <v>2747</v>
      </c>
      <c r="B2693" s="1">
        <v>45665</v>
      </c>
      <c r="C2693">
        <v>2025</v>
      </c>
      <c r="D2693" t="s">
        <v>21</v>
      </c>
      <c r="E2693" t="s">
        <v>22</v>
      </c>
      <c r="F2693" t="s">
        <v>23</v>
      </c>
      <c r="G2693" t="s">
        <v>24</v>
      </c>
      <c r="H2693" t="s">
        <v>25</v>
      </c>
      <c r="I2693" t="s">
        <v>26</v>
      </c>
      <c r="J2693" t="s">
        <v>27</v>
      </c>
      <c r="K2693" t="s">
        <v>28</v>
      </c>
      <c r="L2693" s="2">
        <v>13.6</v>
      </c>
      <c r="M2693" s="3">
        <v>943</v>
      </c>
      <c r="N2693">
        <v>4</v>
      </c>
      <c r="O2693">
        <v>4</v>
      </c>
      <c r="P2693">
        <v>1</v>
      </c>
      <c r="Q2693">
        <v>0</v>
      </c>
      <c r="R2693" s="4">
        <v>24.38</v>
      </c>
      <c r="S2693">
        <v>0</v>
      </c>
      <c r="T2693">
        <v>1</v>
      </c>
    </row>
    <row r="2694" spans="1:20" ht="16.5" x14ac:dyDescent="0.3">
      <c r="A2694" t="s">
        <v>2748</v>
      </c>
      <c r="B2694" s="1">
        <v>45666</v>
      </c>
      <c r="C2694">
        <v>2025</v>
      </c>
      <c r="D2694" t="s">
        <v>21</v>
      </c>
      <c r="E2694" t="s">
        <v>22</v>
      </c>
      <c r="F2694" t="s">
        <v>34</v>
      </c>
      <c r="G2694" t="s">
        <v>35</v>
      </c>
      <c r="H2694" t="s">
        <v>48</v>
      </c>
      <c r="I2694" t="s">
        <v>26</v>
      </c>
      <c r="J2694" t="s">
        <v>27</v>
      </c>
      <c r="K2694" t="s">
        <v>32</v>
      </c>
      <c r="L2694" s="2">
        <v>7.2</v>
      </c>
      <c r="M2694" s="3">
        <v>462</v>
      </c>
      <c r="N2694">
        <v>4</v>
      </c>
      <c r="O2694">
        <v>4</v>
      </c>
      <c r="P2694">
        <v>1</v>
      </c>
      <c r="Q2694">
        <v>0</v>
      </c>
      <c r="R2694" s="4">
        <v>14.67</v>
      </c>
      <c r="S2694">
        <v>0</v>
      </c>
      <c r="T2694">
        <v>1</v>
      </c>
    </row>
    <row r="2695" spans="1:20" ht="16.5" x14ac:dyDescent="0.3">
      <c r="A2695" t="s">
        <v>2749</v>
      </c>
      <c r="B2695" s="1">
        <v>45666</v>
      </c>
      <c r="C2695">
        <v>2025</v>
      </c>
      <c r="D2695" t="s">
        <v>21</v>
      </c>
      <c r="E2695" t="s">
        <v>22</v>
      </c>
      <c r="F2695" t="s">
        <v>38</v>
      </c>
      <c r="G2695" t="s">
        <v>24</v>
      </c>
      <c r="H2695" t="s">
        <v>51</v>
      </c>
      <c r="I2695" t="s">
        <v>26</v>
      </c>
      <c r="J2695" t="s">
        <v>27</v>
      </c>
      <c r="K2695" t="s">
        <v>28</v>
      </c>
      <c r="L2695" s="2">
        <v>72.900000000000006</v>
      </c>
      <c r="M2695" s="3">
        <v>925</v>
      </c>
      <c r="N2695">
        <v>5</v>
      </c>
      <c r="O2695">
        <v>5</v>
      </c>
      <c r="P2695">
        <v>1</v>
      </c>
      <c r="Q2695">
        <v>0</v>
      </c>
      <c r="R2695" s="4">
        <v>57.27</v>
      </c>
      <c r="S2695">
        <v>0</v>
      </c>
      <c r="T2695">
        <v>1</v>
      </c>
    </row>
    <row r="2696" spans="1:20" ht="16.5" x14ac:dyDescent="0.3">
      <c r="A2696" t="s">
        <v>2750</v>
      </c>
      <c r="B2696" s="1">
        <v>45666</v>
      </c>
      <c r="C2696">
        <v>2025</v>
      </c>
      <c r="D2696" t="s">
        <v>21</v>
      </c>
      <c r="E2696" t="s">
        <v>22</v>
      </c>
      <c r="F2696" t="s">
        <v>38</v>
      </c>
      <c r="G2696" t="s">
        <v>35</v>
      </c>
      <c r="H2696" t="s">
        <v>36</v>
      </c>
      <c r="I2696" t="s">
        <v>26</v>
      </c>
      <c r="J2696" t="s">
        <v>27</v>
      </c>
      <c r="K2696" t="s">
        <v>32</v>
      </c>
      <c r="L2696" s="2">
        <v>2.4</v>
      </c>
      <c r="M2696" s="3">
        <v>271</v>
      </c>
      <c r="N2696">
        <v>3</v>
      </c>
      <c r="O2696">
        <v>3</v>
      </c>
      <c r="P2696">
        <v>1</v>
      </c>
      <c r="Q2696">
        <v>0</v>
      </c>
      <c r="R2696" s="4">
        <v>12.26</v>
      </c>
      <c r="S2696">
        <v>0</v>
      </c>
      <c r="T2696">
        <v>1</v>
      </c>
    </row>
    <row r="2697" spans="1:20" ht="16.5" x14ac:dyDescent="0.3">
      <c r="A2697" t="s">
        <v>2751</v>
      </c>
      <c r="B2697" s="1">
        <v>45666</v>
      </c>
      <c r="C2697">
        <v>2025</v>
      </c>
      <c r="D2697" t="s">
        <v>21</v>
      </c>
      <c r="E2697" t="s">
        <v>22</v>
      </c>
      <c r="F2697" t="s">
        <v>38</v>
      </c>
      <c r="G2697" t="s">
        <v>39</v>
      </c>
      <c r="H2697" t="s">
        <v>25</v>
      </c>
      <c r="I2697" t="s">
        <v>40</v>
      </c>
      <c r="J2697" t="s">
        <v>41</v>
      </c>
      <c r="K2697" t="s">
        <v>32</v>
      </c>
      <c r="L2697" s="2">
        <v>13.8</v>
      </c>
      <c r="M2697" s="3">
        <v>864</v>
      </c>
      <c r="N2697">
        <v>2</v>
      </c>
      <c r="O2697">
        <v>2</v>
      </c>
      <c r="P2697">
        <v>1</v>
      </c>
      <c r="Q2697">
        <v>0</v>
      </c>
      <c r="R2697" s="4">
        <v>84.85</v>
      </c>
      <c r="S2697">
        <v>0</v>
      </c>
      <c r="T2697">
        <v>1</v>
      </c>
    </row>
    <row r="2698" spans="1:20" ht="16.5" x14ac:dyDescent="0.3">
      <c r="A2698" t="s">
        <v>2752</v>
      </c>
      <c r="B2698" s="1">
        <v>45666</v>
      </c>
      <c r="C2698">
        <v>2025</v>
      </c>
      <c r="D2698" t="s">
        <v>21</v>
      </c>
      <c r="E2698" t="s">
        <v>22</v>
      </c>
      <c r="F2698" t="s">
        <v>57</v>
      </c>
      <c r="G2698" t="s">
        <v>24</v>
      </c>
      <c r="H2698" t="s">
        <v>51</v>
      </c>
      <c r="I2698" t="s">
        <v>40</v>
      </c>
      <c r="J2698" t="s">
        <v>41</v>
      </c>
      <c r="K2698" t="s">
        <v>32</v>
      </c>
      <c r="L2698" s="2">
        <v>2.2000000000000002</v>
      </c>
      <c r="M2698" s="3">
        <v>858</v>
      </c>
      <c r="N2698">
        <v>3</v>
      </c>
      <c r="O2698">
        <v>3</v>
      </c>
      <c r="P2698">
        <v>1</v>
      </c>
      <c r="Q2698">
        <v>0</v>
      </c>
      <c r="R2698" s="4">
        <v>49.87</v>
      </c>
      <c r="S2698">
        <v>0</v>
      </c>
      <c r="T2698">
        <v>1</v>
      </c>
    </row>
    <row r="2699" spans="1:20" ht="16.5" x14ac:dyDescent="0.3">
      <c r="A2699" t="s">
        <v>2753</v>
      </c>
      <c r="B2699" s="1">
        <v>45666</v>
      </c>
      <c r="C2699">
        <v>2025</v>
      </c>
      <c r="D2699" t="s">
        <v>21</v>
      </c>
      <c r="E2699" t="s">
        <v>22</v>
      </c>
      <c r="F2699" t="s">
        <v>38</v>
      </c>
      <c r="G2699" t="s">
        <v>39</v>
      </c>
      <c r="H2699" t="s">
        <v>25</v>
      </c>
      <c r="I2699" t="s">
        <v>31</v>
      </c>
      <c r="J2699" t="s">
        <v>27</v>
      </c>
      <c r="K2699" t="s">
        <v>28</v>
      </c>
      <c r="L2699" s="2">
        <v>173.2</v>
      </c>
      <c r="M2699" s="3">
        <v>1041</v>
      </c>
      <c r="N2699">
        <v>6</v>
      </c>
      <c r="O2699">
        <v>6</v>
      </c>
      <c r="P2699">
        <v>1</v>
      </c>
      <c r="Q2699">
        <v>0</v>
      </c>
      <c r="R2699" s="4">
        <v>64.64</v>
      </c>
      <c r="S2699">
        <v>0</v>
      </c>
      <c r="T2699">
        <v>1</v>
      </c>
    </row>
    <row r="2700" spans="1:20" ht="16.5" x14ac:dyDescent="0.3">
      <c r="A2700" t="s">
        <v>2754</v>
      </c>
      <c r="B2700" s="1">
        <v>45666</v>
      </c>
      <c r="C2700">
        <v>2025</v>
      </c>
      <c r="D2700" t="s">
        <v>21</v>
      </c>
      <c r="E2700" t="s">
        <v>22</v>
      </c>
      <c r="F2700" t="s">
        <v>38</v>
      </c>
      <c r="G2700" t="s">
        <v>39</v>
      </c>
      <c r="H2700" t="s">
        <v>36</v>
      </c>
      <c r="I2700" t="s">
        <v>26</v>
      </c>
      <c r="J2700" t="s">
        <v>27</v>
      </c>
      <c r="K2700" t="s">
        <v>32</v>
      </c>
      <c r="L2700" s="2">
        <v>15.9</v>
      </c>
      <c r="M2700" s="3">
        <v>226</v>
      </c>
      <c r="N2700">
        <v>3</v>
      </c>
      <c r="O2700">
        <v>3</v>
      </c>
      <c r="P2700">
        <v>1</v>
      </c>
      <c r="Q2700">
        <v>0</v>
      </c>
      <c r="R2700" s="4">
        <v>20.68</v>
      </c>
      <c r="S2700">
        <v>0</v>
      </c>
      <c r="T2700">
        <v>1</v>
      </c>
    </row>
    <row r="2701" spans="1:20" ht="16.5" x14ac:dyDescent="0.3">
      <c r="A2701" t="s">
        <v>2755</v>
      </c>
      <c r="B2701" s="1">
        <v>45666</v>
      </c>
      <c r="C2701">
        <v>2025</v>
      </c>
      <c r="D2701" t="s">
        <v>21</v>
      </c>
      <c r="E2701" t="s">
        <v>22</v>
      </c>
      <c r="F2701" t="s">
        <v>23</v>
      </c>
      <c r="G2701" t="s">
        <v>39</v>
      </c>
      <c r="H2701" t="s">
        <v>43</v>
      </c>
      <c r="I2701" t="s">
        <v>40</v>
      </c>
      <c r="J2701" t="s">
        <v>41</v>
      </c>
      <c r="K2701" t="s">
        <v>32</v>
      </c>
      <c r="L2701" s="2">
        <v>2.9</v>
      </c>
      <c r="M2701" s="3">
        <v>1238</v>
      </c>
      <c r="N2701">
        <v>3</v>
      </c>
      <c r="O2701">
        <v>3</v>
      </c>
      <c r="P2701">
        <v>1</v>
      </c>
      <c r="Q2701">
        <v>0</v>
      </c>
      <c r="R2701" s="4">
        <v>62.11</v>
      </c>
      <c r="S2701">
        <v>0</v>
      </c>
      <c r="T2701">
        <v>1</v>
      </c>
    </row>
    <row r="2702" spans="1:20" ht="16.5" x14ac:dyDescent="0.3">
      <c r="A2702" t="s">
        <v>2756</v>
      </c>
      <c r="B2702" s="1">
        <v>45667</v>
      </c>
      <c r="C2702">
        <v>2025</v>
      </c>
      <c r="D2702" t="s">
        <v>21</v>
      </c>
      <c r="E2702" t="s">
        <v>22</v>
      </c>
      <c r="F2702" t="s">
        <v>23</v>
      </c>
      <c r="G2702" t="s">
        <v>24</v>
      </c>
      <c r="H2702" t="s">
        <v>48</v>
      </c>
      <c r="I2702" t="s">
        <v>26</v>
      </c>
      <c r="J2702" t="s">
        <v>27</v>
      </c>
      <c r="K2702" t="s">
        <v>28</v>
      </c>
      <c r="L2702" s="2">
        <v>23.5</v>
      </c>
      <c r="M2702" s="3">
        <v>523</v>
      </c>
      <c r="N2702">
        <v>4</v>
      </c>
      <c r="O2702">
        <v>5</v>
      </c>
      <c r="P2702">
        <v>0</v>
      </c>
      <c r="Q2702">
        <v>1</v>
      </c>
      <c r="R2702" s="4">
        <v>23.22</v>
      </c>
      <c r="S2702">
        <v>0</v>
      </c>
      <c r="T2702">
        <v>1</v>
      </c>
    </row>
    <row r="2703" spans="1:20" ht="16.5" x14ac:dyDescent="0.3">
      <c r="A2703" t="s">
        <v>2757</v>
      </c>
      <c r="B2703" s="1">
        <v>45667</v>
      </c>
      <c r="C2703">
        <v>2025</v>
      </c>
      <c r="D2703" t="s">
        <v>21</v>
      </c>
      <c r="E2703" t="s">
        <v>22</v>
      </c>
      <c r="F2703" t="s">
        <v>23</v>
      </c>
      <c r="G2703" t="s">
        <v>39</v>
      </c>
      <c r="H2703" t="s">
        <v>25</v>
      </c>
      <c r="I2703" t="s">
        <v>31</v>
      </c>
      <c r="J2703" t="s">
        <v>27</v>
      </c>
      <c r="K2703" t="s">
        <v>28</v>
      </c>
      <c r="L2703" s="2">
        <v>158.9</v>
      </c>
      <c r="M2703" s="3">
        <v>855</v>
      </c>
      <c r="N2703">
        <v>6</v>
      </c>
      <c r="O2703">
        <v>6</v>
      </c>
      <c r="P2703">
        <v>1</v>
      </c>
      <c r="Q2703">
        <v>0</v>
      </c>
      <c r="R2703" s="4">
        <v>61.65</v>
      </c>
      <c r="S2703">
        <v>0</v>
      </c>
      <c r="T2703">
        <v>1</v>
      </c>
    </row>
    <row r="2704" spans="1:20" ht="16.5" x14ac:dyDescent="0.3">
      <c r="A2704" t="s">
        <v>2758</v>
      </c>
      <c r="B2704" s="1">
        <v>45667</v>
      </c>
      <c r="C2704">
        <v>2025</v>
      </c>
      <c r="D2704" t="s">
        <v>21</v>
      </c>
      <c r="E2704" t="s">
        <v>22</v>
      </c>
      <c r="F2704" t="s">
        <v>38</v>
      </c>
      <c r="G2704" t="s">
        <v>24</v>
      </c>
      <c r="H2704" t="s">
        <v>48</v>
      </c>
      <c r="I2704" t="s">
        <v>31</v>
      </c>
      <c r="J2704" t="s">
        <v>27</v>
      </c>
      <c r="K2704" t="s">
        <v>32</v>
      </c>
      <c r="L2704" s="2">
        <v>2.6</v>
      </c>
      <c r="M2704" s="3">
        <v>522</v>
      </c>
      <c r="N2704">
        <v>6</v>
      </c>
      <c r="O2704">
        <v>5</v>
      </c>
      <c r="P2704">
        <v>1</v>
      </c>
      <c r="Q2704">
        <v>0</v>
      </c>
      <c r="R2704" s="4">
        <v>11.07</v>
      </c>
      <c r="S2704">
        <v>0</v>
      </c>
      <c r="T2704">
        <v>1</v>
      </c>
    </row>
    <row r="2705" spans="1:20" ht="16.5" x14ac:dyDescent="0.3">
      <c r="A2705" t="s">
        <v>2759</v>
      </c>
      <c r="B2705" s="1">
        <v>45667</v>
      </c>
      <c r="C2705">
        <v>2025</v>
      </c>
      <c r="D2705" t="s">
        <v>21</v>
      </c>
      <c r="E2705" t="s">
        <v>22</v>
      </c>
      <c r="F2705" t="s">
        <v>34</v>
      </c>
      <c r="G2705" t="s">
        <v>35</v>
      </c>
      <c r="H2705" t="s">
        <v>48</v>
      </c>
      <c r="I2705" t="s">
        <v>40</v>
      </c>
      <c r="J2705" t="s">
        <v>27</v>
      </c>
      <c r="K2705" t="s">
        <v>28</v>
      </c>
      <c r="L2705" s="2">
        <v>145.9</v>
      </c>
      <c r="M2705" s="3">
        <v>522</v>
      </c>
      <c r="N2705">
        <v>2</v>
      </c>
      <c r="O2705">
        <v>2</v>
      </c>
      <c r="P2705">
        <v>1</v>
      </c>
      <c r="Q2705">
        <v>0</v>
      </c>
      <c r="R2705" s="4">
        <v>122.72</v>
      </c>
      <c r="S2705">
        <v>0</v>
      </c>
      <c r="T2705">
        <v>1</v>
      </c>
    </row>
    <row r="2706" spans="1:20" ht="16.5" x14ac:dyDescent="0.3">
      <c r="A2706" t="s">
        <v>2760</v>
      </c>
      <c r="B2706" s="1">
        <v>45667</v>
      </c>
      <c r="C2706">
        <v>2025</v>
      </c>
      <c r="D2706" t="s">
        <v>21</v>
      </c>
      <c r="E2706" t="s">
        <v>22</v>
      </c>
      <c r="F2706" t="s">
        <v>23</v>
      </c>
      <c r="G2706" t="s">
        <v>35</v>
      </c>
      <c r="H2706" t="s">
        <v>25</v>
      </c>
      <c r="I2706" t="s">
        <v>26</v>
      </c>
      <c r="J2706" t="s">
        <v>27</v>
      </c>
      <c r="K2706" t="s">
        <v>32</v>
      </c>
      <c r="L2706" s="2">
        <v>8.3000000000000007</v>
      </c>
      <c r="M2706" s="3">
        <v>790</v>
      </c>
      <c r="N2706">
        <v>4</v>
      </c>
      <c r="O2706">
        <v>3</v>
      </c>
      <c r="P2706">
        <v>1</v>
      </c>
      <c r="Q2706">
        <v>0</v>
      </c>
      <c r="R2706" s="4">
        <v>22.2</v>
      </c>
      <c r="S2706">
        <v>0</v>
      </c>
      <c r="T2706">
        <v>1</v>
      </c>
    </row>
    <row r="2707" spans="1:20" ht="16.5" x14ac:dyDescent="0.3">
      <c r="A2707" t="s">
        <v>2761</v>
      </c>
      <c r="B2707" s="1">
        <v>45667</v>
      </c>
      <c r="C2707">
        <v>2025</v>
      </c>
      <c r="D2707" t="s">
        <v>21</v>
      </c>
      <c r="E2707" t="s">
        <v>22</v>
      </c>
      <c r="F2707" t="s">
        <v>57</v>
      </c>
      <c r="G2707" t="s">
        <v>35</v>
      </c>
      <c r="H2707" t="s">
        <v>25</v>
      </c>
      <c r="I2707" t="s">
        <v>26</v>
      </c>
      <c r="J2707" t="s">
        <v>27</v>
      </c>
      <c r="K2707" t="s">
        <v>32</v>
      </c>
      <c r="L2707" s="2">
        <v>1.8</v>
      </c>
      <c r="M2707" s="3">
        <v>1059</v>
      </c>
      <c r="N2707">
        <v>4</v>
      </c>
      <c r="O2707">
        <v>4</v>
      </c>
      <c r="P2707">
        <v>1</v>
      </c>
      <c r="Q2707">
        <v>0</v>
      </c>
      <c r="R2707" s="4">
        <v>21.89</v>
      </c>
      <c r="S2707">
        <v>0</v>
      </c>
      <c r="T2707">
        <v>1</v>
      </c>
    </row>
    <row r="2708" spans="1:20" ht="16.5" x14ac:dyDescent="0.3">
      <c r="A2708" t="s">
        <v>2762</v>
      </c>
      <c r="B2708" s="1">
        <v>45667</v>
      </c>
      <c r="C2708">
        <v>2025</v>
      </c>
      <c r="D2708" t="s">
        <v>21</v>
      </c>
      <c r="E2708" t="s">
        <v>22</v>
      </c>
      <c r="F2708" t="s">
        <v>57</v>
      </c>
      <c r="G2708" t="s">
        <v>39</v>
      </c>
      <c r="H2708" t="s">
        <v>25</v>
      </c>
      <c r="I2708" t="s">
        <v>26</v>
      </c>
      <c r="J2708" t="s">
        <v>27</v>
      </c>
      <c r="K2708" t="s">
        <v>32</v>
      </c>
      <c r="L2708" s="2">
        <v>4</v>
      </c>
      <c r="M2708" s="3">
        <v>888</v>
      </c>
      <c r="N2708">
        <v>4</v>
      </c>
      <c r="O2708">
        <v>4</v>
      </c>
      <c r="P2708">
        <v>1</v>
      </c>
      <c r="Q2708">
        <v>0</v>
      </c>
      <c r="R2708" s="4">
        <v>21.79</v>
      </c>
      <c r="S2708">
        <v>0</v>
      </c>
      <c r="T2708">
        <v>1</v>
      </c>
    </row>
    <row r="2709" spans="1:20" ht="16.5" x14ac:dyDescent="0.3">
      <c r="A2709" t="s">
        <v>2763</v>
      </c>
      <c r="B2709" s="1">
        <v>45667</v>
      </c>
      <c r="C2709">
        <v>2025</v>
      </c>
      <c r="D2709" t="s">
        <v>21</v>
      </c>
      <c r="E2709" t="s">
        <v>22</v>
      </c>
      <c r="F2709" t="s">
        <v>57</v>
      </c>
      <c r="G2709" t="s">
        <v>39</v>
      </c>
      <c r="H2709" t="s">
        <v>36</v>
      </c>
      <c r="I2709" t="s">
        <v>26</v>
      </c>
      <c r="J2709" t="s">
        <v>27</v>
      </c>
      <c r="K2709" t="s">
        <v>28</v>
      </c>
      <c r="L2709" s="2">
        <v>37.299999999999997</v>
      </c>
      <c r="M2709" s="3">
        <v>233</v>
      </c>
      <c r="N2709">
        <v>3</v>
      </c>
      <c r="O2709">
        <v>6</v>
      </c>
      <c r="P2709">
        <v>0</v>
      </c>
      <c r="Q2709">
        <v>3</v>
      </c>
      <c r="R2709" s="4">
        <v>26.03</v>
      </c>
      <c r="S2709">
        <v>0</v>
      </c>
      <c r="T2709">
        <v>1</v>
      </c>
    </row>
    <row r="2710" spans="1:20" ht="16.5" x14ac:dyDescent="0.3">
      <c r="A2710" t="s">
        <v>2764</v>
      </c>
      <c r="B2710" s="1">
        <v>45667</v>
      </c>
      <c r="C2710">
        <v>2025</v>
      </c>
      <c r="D2710" t="s">
        <v>21</v>
      </c>
      <c r="E2710" t="s">
        <v>22</v>
      </c>
      <c r="F2710" t="s">
        <v>34</v>
      </c>
      <c r="G2710" t="s">
        <v>24</v>
      </c>
      <c r="H2710" t="s">
        <v>25</v>
      </c>
      <c r="I2710" t="s">
        <v>40</v>
      </c>
      <c r="J2710" t="s">
        <v>41</v>
      </c>
      <c r="K2710" t="s">
        <v>28</v>
      </c>
      <c r="L2710" s="2">
        <v>74.5</v>
      </c>
      <c r="M2710" s="3">
        <v>924</v>
      </c>
      <c r="N2710">
        <v>2</v>
      </c>
      <c r="O2710">
        <v>5</v>
      </c>
      <c r="P2710">
        <v>0</v>
      </c>
      <c r="Q2710">
        <v>3</v>
      </c>
      <c r="R2710" s="4">
        <v>135.94</v>
      </c>
      <c r="S2710">
        <v>0</v>
      </c>
      <c r="T2710">
        <v>1</v>
      </c>
    </row>
    <row r="2711" spans="1:20" ht="16.5" x14ac:dyDescent="0.3">
      <c r="A2711" t="s">
        <v>2765</v>
      </c>
      <c r="B2711" s="1">
        <v>45668</v>
      </c>
      <c r="C2711">
        <v>2025</v>
      </c>
      <c r="D2711" t="s">
        <v>21</v>
      </c>
      <c r="E2711" t="s">
        <v>22</v>
      </c>
      <c r="F2711" t="s">
        <v>23</v>
      </c>
      <c r="G2711" t="s">
        <v>24</v>
      </c>
      <c r="H2711" t="s">
        <v>25</v>
      </c>
      <c r="I2711" t="s">
        <v>40</v>
      </c>
      <c r="J2711" t="s">
        <v>41</v>
      </c>
      <c r="K2711" t="s">
        <v>32</v>
      </c>
      <c r="L2711" s="2">
        <v>4.4000000000000004</v>
      </c>
      <c r="M2711" s="3">
        <v>965</v>
      </c>
      <c r="N2711">
        <v>2</v>
      </c>
      <c r="O2711">
        <v>2</v>
      </c>
      <c r="P2711">
        <v>1</v>
      </c>
      <c r="Q2711">
        <v>0</v>
      </c>
      <c r="R2711" s="4">
        <v>59.86</v>
      </c>
      <c r="S2711">
        <v>0</v>
      </c>
      <c r="T2711">
        <v>1</v>
      </c>
    </row>
    <row r="2712" spans="1:20" ht="16.5" x14ac:dyDescent="0.3">
      <c r="A2712" t="s">
        <v>2766</v>
      </c>
      <c r="B2712" s="1">
        <v>45668</v>
      </c>
      <c r="C2712">
        <v>2025</v>
      </c>
      <c r="D2712" t="s">
        <v>21</v>
      </c>
      <c r="E2712" t="s">
        <v>22</v>
      </c>
      <c r="F2712" t="s">
        <v>57</v>
      </c>
      <c r="G2712" t="s">
        <v>24</v>
      </c>
      <c r="H2712" t="s">
        <v>51</v>
      </c>
      <c r="I2712" t="s">
        <v>26</v>
      </c>
      <c r="J2712" t="s">
        <v>27</v>
      </c>
      <c r="K2712" t="s">
        <v>32</v>
      </c>
      <c r="L2712" s="2">
        <v>2</v>
      </c>
      <c r="M2712" s="3">
        <v>949</v>
      </c>
      <c r="N2712">
        <v>5</v>
      </c>
      <c r="O2712">
        <v>5</v>
      </c>
      <c r="P2712">
        <v>1</v>
      </c>
      <c r="Q2712">
        <v>0</v>
      </c>
      <c r="R2712" s="4">
        <v>19.87</v>
      </c>
      <c r="S2712">
        <v>0</v>
      </c>
      <c r="T2712">
        <v>1</v>
      </c>
    </row>
    <row r="2713" spans="1:20" ht="16.5" x14ac:dyDescent="0.3">
      <c r="A2713" t="s">
        <v>2767</v>
      </c>
      <c r="B2713" s="1">
        <v>45668</v>
      </c>
      <c r="C2713">
        <v>2025</v>
      </c>
      <c r="D2713" t="s">
        <v>21</v>
      </c>
      <c r="E2713" t="s">
        <v>22</v>
      </c>
      <c r="F2713" t="s">
        <v>38</v>
      </c>
      <c r="G2713" t="s">
        <v>35</v>
      </c>
      <c r="H2713" t="s">
        <v>36</v>
      </c>
      <c r="I2713" t="s">
        <v>26</v>
      </c>
      <c r="J2713" t="s">
        <v>27</v>
      </c>
      <c r="K2713" t="s">
        <v>28</v>
      </c>
      <c r="L2713" s="2">
        <v>43.8</v>
      </c>
      <c r="M2713" s="3">
        <v>214</v>
      </c>
      <c r="N2713">
        <v>3</v>
      </c>
      <c r="O2713">
        <v>3</v>
      </c>
      <c r="P2713">
        <v>1</v>
      </c>
      <c r="Q2713">
        <v>0</v>
      </c>
      <c r="R2713" s="4">
        <v>34.36</v>
      </c>
      <c r="S2713">
        <v>0</v>
      </c>
      <c r="T2713">
        <v>1</v>
      </c>
    </row>
    <row r="2714" spans="1:20" ht="16.5" x14ac:dyDescent="0.3">
      <c r="A2714" t="s">
        <v>2768</v>
      </c>
      <c r="B2714" s="1">
        <v>45668</v>
      </c>
      <c r="C2714">
        <v>2025</v>
      </c>
      <c r="D2714" t="s">
        <v>21</v>
      </c>
      <c r="E2714" t="s">
        <v>22</v>
      </c>
      <c r="F2714" t="s">
        <v>23</v>
      </c>
      <c r="G2714" t="s">
        <v>35</v>
      </c>
      <c r="H2714" t="s">
        <v>48</v>
      </c>
      <c r="I2714" t="s">
        <v>26</v>
      </c>
      <c r="J2714" t="s">
        <v>27</v>
      </c>
      <c r="K2714" t="s">
        <v>32</v>
      </c>
      <c r="L2714" s="2">
        <v>20.3</v>
      </c>
      <c r="M2714" s="3">
        <v>522</v>
      </c>
      <c r="N2714">
        <v>4</v>
      </c>
      <c r="O2714">
        <v>4</v>
      </c>
      <c r="P2714">
        <v>1</v>
      </c>
      <c r="Q2714">
        <v>0</v>
      </c>
      <c r="R2714" s="4">
        <v>22.46</v>
      </c>
      <c r="S2714">
        <v>0</v>
      </c>
      <c r="T2714">
        <v>1</v>
      </c>
    </row>
    <row r="2715" spans="1:20" ht="16.5" x14ac:dyDescent="0.3">
      <c r="A2715" t="s">
        <v>2769</v>
      </c>
      <c r="B2715" s="1">
        <v>45668</v>
      </c>
      <c r="C2715">
        <v>2025</v>
      </c>
      <c r="D2715" t="s">
        <v>21</v>
      </c>
      <c r="E2715" t="s">
        <v>22</v>
      </c>
      <c r="F2715" t="s">
        <v>23</v>
      </c>
      <c r="G2715" t="s">
        <v>39</v>
      </c>
      <c r="H2715" t="s">
        <v>36</v>
      </c>
      <c r="I2715" t="s">
        <v>26</v>
      </c>
      <c r="J2715" t="s">
        <v>27</v>
      </c>
      <c r="K2715" t="s">
        <v>32</v>
      </c>
      <c r="L2715" s="2">
        <v>2.1</v>
      </c>
      <c r="M2715" s="3">
        <v>210</v>
      </c>
      <c r="N2715">
        <v>3</v>
      </c>
      <c r="O2715">
        <v>3</v>
      </c>
      <c r="P2715">
        <v>1</v>
      </c>
      <c r="Q2715">
        <v>0</v>
      </c>
      <c r="R2715" s="4">
        <v>8.89</v>
      </c>
      <c r="S2715">
        <v>0</v>
      </c>
      <c r="T2715">
        <v>1</v>
      </c>
    </row>
    <row r="2716" spans="1:20" ht="16.5" x14ac:dyDescent="0.3">
      <c r="A2716" t="s">
        <v>2770</v>
      </c>
      <c r="B2716" s="1">
        <v>45668</v>
      </c>
      <c r="C2716">
        <v>2025</v>
      </c>
      <c r="D2716" t="s">
        <v>21</v>
      </c>
      <c r="E2716" t="s">
        <v>22</v>
      </c>
      <c r="F2716" t="s">
        <v>38</v>
      </c>
      <c r="G2716" t="s">
        <v>39</v>
      </c>
      <c r="H2716" t="s">
        <v>43</v>
      </c>
      <c r="I2716" t="s">
        <v>40</v>
      </c>
      <c r="J2716" t="s">
        <v>41</v>
      </c>
      <c r="K2716" t="s">
        <v>28</v>
      </c>
      <c r="L2716" s="2">
        <v>119.5</v>
      </c>
      <c r="M2716" s="3">
        <v>1266</v>
      </c>
      <c r="N2716">
        <v>3</v>
      </c>
      <c r="O2716">
        <v>3</v>
      </c>
      <c r="P2716">
        <v>1</v>
      </c>
      <c r="Q2716">
        <v>0</v>
      </c>
      <c r="R2716" s="4">
        <v>244.19</v>
      </c>
      <c r="S2716">
        <v>0</v>
      </c>
      <c r="T2716">
        <v>1</v>
      </c>
    </row>
    <row r="2717" spans="1:20" ht="16.5" x14ac:dyDescent="0.3">
      <c r="A2717" t="s">
        <v>2771</v>
      </c>
      <c r="B2717" s="1">
        <v>45669</v>
      </c>
      <c r="C2717">
        <v>2025</v>
      </c>
      <c r="D2717" t="s">
        <v>21</v>
      </c>
      <c r="E2717" t="s">
        <v>22</v>
      </c>
      <c r="F2717" t="s">
        <v>57</v>
      </c>
      <c r="G2717" t="s">
        <v>35</v>
      </c>
      <c r="H2717" t="s">
        <v>51</v>
      </c>
      <c r="I2717" t="s">
        <v>26</v>
      </c>
      <c r="J2717" t="s">
        <v>27</v>
      </c>
      <c r="K2717" t="s">
        <v>32</v>
      </c>
      <c r="L2717" s="2">
        <v>11.4</v>
      </c>
      <c r="M2717" s="3">
        <v>1017</v>
      </c>
      <c r="N2717">
        <v>5</v>
      </c>
      <c r="O2717">
        <v>8</v>
      </c>
      <c r="P2717">
        <v>0</v>
      </c>
      <c r="Q2717">
        <v>3</v>
      </c>
      <c r="R2717" s="4">
        <v>25.31</v>
      </c>
      <c r="S2717">
        <v>0</v>
      </c>
      <c r="T2717">
        <v>1</v>
      </c>
    </row>
    <row r="2718" spans="1:20" ht="16.5" x14ac:dyDescent="0.3">
      <c r="A2718" t="s">
        <v>2772</v>
      </c>
      <c r="B2718" s="1">
        <v>45669</v>
      </c>
      <c r="C2718">
        <v>2025</v>
      </c>
      <c r="D2718" t="s">
        <v>21</v>
      </c>
      <c r="E2718" t="s">
        <v>22</v>
      </c>
      <c r="F2718" t="s">
        <v>34</v>
      </c>
      <c r="G2718" t="s">
        <v>35</v>
      </c>
      <c r="H2718" t="s">
        <v>48</v>
      </c>
      <c r="I2718" t="s">
        <v>31</v>
      </c>
      <c r="J2718" t="s">
        <v>27</v>
      </c>
      <c r="K2718" t="s">
        <v>32</v>
      </c>
      <c r="L2718" s="2">
        <v>5.4</v>
      </c>
      <c r="M2718" s="3">
        <v>530</v>
      </c>
      <c r="N2718">
        <v>6</v>
      </c>
      <c r="O2718">
        <v>6</v>
      </c>
      <c r="P2718">
        <v>1</v>
      </c>
      <c r="Q2718">
        <v>0</v>
      </c>
      <c r="R2718" s="4">
        <v>9.5</v>
      </c>
      <c r="S2718">
        <v>0</v>
      </c>
      <c r="T2718">
        <v>1</v>
      </c>
    </row>
    <row r="2719" spans="1:20" ht="16.5" x14ac:dyDescent="0.3">
      <c r="A2719" t="s">
        <v>2773</v>
      </c>
      <c r="B2719" s="1">
        <v>45669</v>
      </c>
      <c r="C2719">
        <v>2025</v>
      </c>
      <c r="D2719" t="s">
        <v>21</v>
      </c>
      <c r="E2719" t="s">
        <v>22</v>
      </c>
      <c r="F2719" t="s">
        <v>38</v>
      </c>
      <c r="G2719" t="s">
        <v>39</v>
      </c>
      <c r="H2719" t="s">
        <v>25</v>
      </c>
      <c r="I2719" t="s">
        <v>26</v>
      </c>
      <c r="J2719" t="s">
        <v>27</v>
      </c>
      <c r="K2719" t="s">
        <v>32</v>
      </c>
      <c r="L2719" s="2">
        <v>7.2</v>
      </c>
      <c r="M2719" s="3">
        <v>922</v>
      </c>
      <c r="N2719">
        <v>4</v>
      </c>
      <c r="O2719">
        <v>4</v>
      </c>
      <c r="P2719">
        <v>1</v>
      </c>
      <c r="Q2719">
        <v>0</v>
      </c>
      <c r="R2719" s="4">
        <v>23.55</v>
      </c>
      <c r="S2719">
        <v>0</v>
      </c>
      <c r="T2719">
        <v>1</v>
      </c>
    </row>
    <row r="2720" spans="1:20" ht="16.5" x14ac:dyDescent="0.3">
      <c r="A2720" t="s">
        <v>2774</v>
      </c>
      <c r="B2720" s="1">
        <v>45669</v>
      </c>
      <c r="C2720">
        <v>2025</v>
      </c>
      <c r="D2720" t="s">
        <v>21</v>
      </c>
      <c r="E2720" t="s">
        <v>22</v>
      </c>
      <c r="F2720" t="s">
        <v>38</v>
      </c>
      <c r="G2720" t="s">
        <v>35</v>
      </c>
      <c r="H2720" t="s">
        <v>36</v>
      </c>
      <c r="I2720" t="s">
        <v>40</v>
      </c>
      <c r="J2720" t="s">
        <v>27</v>
      </c>
      <c r="K2720" t="s">
        <v>28</v>
      </c>
      <c r="L2720" s="2">
        <v>173</v>
      </c>
      <c r="M2720" s="3">
        <v>229</v>
      </c>
      <c r="N2720">
        <v>1</v>
      </c>
      <c r="O2720">
        <v>1</v>
      </c>
      <c r="P2720">
        <v>1</v>
      </c>
      <c r="Q2720">
        <v>0</v>
      </c>
      <c r="R2720" s="4">
        <v>187.44</v>
      </c>
      <c r="S2720">
        <v>0</v>
      </c>
      <c r="T2720">
        <v>1</v>
      </c>
    </row>
    <row r="2721" spans="1:20" ht="16.5" x14ac:dyDescent="0.3">
      <c r="A2721" t="s">
        <v>2775</v>
      </c>
      <c r="B2721" s="1">
        <v>45669</v>
      </c>
      <c r="C2721">
        <v>2025</v>
      </c>
      <c r="D2721" t="s">
        <v>21</v>
      </c>
      <c r="E2721" t="s">
        <v>22</v>
      </c>
      <c r="F2721" t="s">
        <v>30</v>
      </c>
      <c r="G2721" t="s">
        <v>39</v>
      </c>
      <c r="H2721" t="s">
        <v>51</v>
      </c>
      <c r="I2721" t="s">
        <v>40</v>
      </c>
      <c r="J2721" t="s">
        <v>41</v>
      </c>
      <c r="K2721" t="s">
        <v>28</v>
      </c>
      <c r="L2721" s="2">
        <v>43.1</v>
      </c>
      <c r="M2721" s="3">
        <v>1152</v>
      </c>
      <c r="N2721">
        <v>3</v>
      </c>
      <c r="O2721">
        <v>2</v>
      </c>
      <c r="P2721">
        <v>1</v>
      </c>
      <c r="Q2721">
        <v>0</v>
      </c>
      <c r="R2721" s="4">
        <v>140.97999999999999</v>
      </c>
      <c r="S2721">
        <v>0</v>
      </c>
      <c r="T2721">
        <v>1</v>
      </c>
    </row>
    <row r="2722" spans="1:20" ht="16.5" x14ac:dyDescent="0.3">
      <c r="A2722" t="s">
        <v>2776</v>
      </c>
      <c r="B2722" s="1">
        <v>45669</v>
      </c>
      <c r="C2722">
        <v>2025</v>
      </c>
      <c r="D2722" t="s">
        <v>21</v>
      </c>
      <c r="E2722" t="s">
        <v>22</v>
      </c>
      <c r="F2722" t="s">
        <v>23</v>
      </c>
      <c r="G2722" t="s">
        <v>35</v>
      </c>
      <c r="H2722" t="s">
        <v>48</v>
      </c>
      <c r="I2722" t="s">
        <v>26</v>
      </c>
      <c r="J2722" t="s">
        <v>27</v>
      </c>
      <c r="K2722" t="s">
        <v>32</v>
      </c>
      <c r="L2722" s="2">
        <v>6.6</v>
      </c>
      <c r="M2722" s="3">
        <v>427</v>
      </c>
      <c r="N2722">
        <v>4</v>
      </c>
      <c r="O2722">
        <v>4</v>
      </c>
      <c r="P2722">
        <v>1</v>
      </c>
      <c r="Q2722">
        <v>0</v>
      </c>
      <c r="R2722" s="4">
        <v>16.04</v>
      </c>
      <c r="S2722">
        <v>0</v>
      </c>
      <c r="T2722">
        <v>1</v>
      </c>
    </row>
    <row r="2723" spans="1:20" ht="16.5" x14ac:dyDescent="0.3">
      <c r="A2723" t="s">
        <v>2777</v>
      </c>
      <c r="B2723" s="1">
        <v>45669</v>
      </c>
      <c r="C2723">
        <v>2025</v>
      </c>
      <c r="D2723" t="s">
        <v>21</v>
      </c>
      <c r="E2723" t="s">
        <v>22</v>
      </c>
      <c r="F2723" t="s">
        <v>23</v>
      </c>
      <c r="G2723" t="s">
        <v>39</v>
      </c>
      <c r="H2723" t="s">
        <v>43</v>
      </c>
      <c r="I2723" t="s">
        <v>31</v>
      </c>
      <c r="J2723" t="s">
        <v>27</v>
      </c>
      <c r="K2723" t="s">
        <v>32</v>
      </c>
      <c r="L2723" s="2">
        <v>4.2</v>
      </c>
      <c r="M2723" s="3">
        <v>1272</v>
      </c>
      <c r="N2723">
        <v>7</v>
      </c>
      <c r="O2723">
        <v>7</v>
      </c>
      <c r="P2723">
        <v>1</v>
      </c>
      <c r="Q2723">
        <v>0</v>
      </c>
      <c r="R2723" s="4">
        <v>15.44</v>
      </c>
      <c r="S2723">
        <v>0</v>
      </c>
      <c r="T2723">
        <v>1</v>
      </c>
    </row>
    <row r="2724" spans="1:20" ht="16.5" x14ac:dyDescent="0.3">
      <c r="A2724" t="s">
        <v>2778</v>
      </c>
      <c r="B2724" s="1">
        <v>45670</v>
      </c>
      <c r="C2724">
        <v>2025</v>
      </c>
      <c r="D2724" t="s">
        <v>21</v>
      </c>
      <c r="E2724" t="s">
        <v>22</v>
      </c>
      <c r="F2724" t="s">
        <v>23</v>
      </c>
      <c r="G2724" t="s">
        <v>24</v>
      </c>
      <c r="H2724" t="s">
        <v>36</v>
      </c>
      <c r="I2724" t="s">
        <v>40</v>
      </c>
      <c r="J2724" t="s">
        <v>27</v>
      </c>
      <c r="K2724" t="s">
        <v>28</v>
      </c>
      <c r="L2724" s="2">
        <v>202.9</v>
      </c>
      <c r="M2724" s="3">
        <v>306</v>
      </c>
      <c r="N2724">
        <v>1</v>
      </c>
      <c r="O2724">
        <v>1</v>
      </c>
      <c r="P2724">
        <v>1</v>
      </c>
      <c r="Q2724">
        <v>0</v>
      </c>
      <c r="R2724" s="4">
        <v>172.37</v>
      </c>
      <c r="S2724">
        <v>0</v>
      </c>
      <c r="T2724">
        <v>1</v>
      </c>
    </row>
    <row r="2725" spans="1:20" ht="16.5" x14ac:dyDescent="0.3">
      <c r="A2725" t="s">
        <v>2779</v>
      </c>
      <c r="B2725" s="1">
        <v>45670</v>
      </c>
      <c r="C2725">
        <v>2025</v>
      </c>
      <c r="D2725" t="s">
        <v>21</v>
      </c>
      <c r="E2725" t="s">
        <v>22</v>
      </c>
      <c r="F2725" t="s">
        <v>57</v>
      </c>
      <c r="G2725" t="s">
        <v>35</v>
      </c>
      <c r="H2725" t="s">
        <v>43</v>
      </c>
      <c r="I2725" t="s">
        <v>40</v>
      </c>
      <c r="J2725" t="s">
        <v>41</v>
      </c>
      <c r="K2725" t="s">
        <v>32</v>
      </c>
      <c r="L2725" s="2">
        <v>16.8</v>
      </c>
      <c r="M2725" s="3">
        <v>1362</v>
      </c>
      <c r="N2725">
        <v>3</v>
      </c>
      <c r="O2725">
        <v>3</v>
      </c>
      <c r="P2725">
        <v>1</v>
      </c>
      <c r="Q2725">
        <v>0</v>
      </c>
      <c r="R2725" s="4">
        <v>95.24</v>
      </c>
      <c r="S2725">
        <v>0</v>
      </c>
      <c r="T2725">
        <v>1</v>
      </c>
    </row>
    <row r="2726" spans="1:20" ht="16.5" x14ac:dyDescent="0.3">
      <c r="A2726" t="s">
        <v>2780</v>
      </c>
      <c r="B2726" s="1">
        <v>45670</v>
      </c>
      <c r="C2726">
        <v>2025</v>
      </c>
      <c r="D2726" t="s">
        <v>21</v>
      </c>
      <c r="E2726" t="s">
        <v>22</v>
      </c>
      <c r="F2726" t="s">
        <v>34</v>
      </c>
      <c r="G2726" t="s">
        <v>39</v>
      </c>
      <c r="H2726" t="s">
        <v>25</v>
      </c>
      <c r="I2726" t="s">
        <v>31</v>
      </c>
      <c r="J2726" t="s">
        <v>27</v>
      </c>
      <c r="K2726" t="s">
        <v>28</v>
      </c>
      <c r="L2726" s="2">
        <v>49.9</v>
      </c>
      <c r="M2726" s="3">
        <v>695</v>
      </c>
      <c r="N2726">
        <v>6</v>
      </c>
      <c r="O2726">
        <v>7</v>
      </c>
      <c r="P2726">
        <v>0</v>
      </c>
      <c r="Q2726">
        <v>1</v>
      </c>
      <c r="R2726" s="4">
        <v>22.62</v>
      </c>
      <c r="S2726">
        <v>0</v>
      </c>
      <c r="T2726">
        <v>1</v>
      </c>
    </row>
    <row r="2727" spans="1:20" ht="16.5" x14ac:dyDescent="0.3">
      <c r="A2727" t="s">
        <v>2781</v>
      </c>
      <c r="B2727" s="1">
        <v>45670</v>
      </c>
      <c r="C2727">
        <v>2025</v>
      </c>
      <c r="D2727" t="s">
        <v>21</v>
      </c>
      <c r="E2727" t="s">
        <v>22</v>
      </c>
      <c r="F2727" t="s">
        <v>34</v>
      </c>
      <c r="G2727" t="s">
        <v>35</v>
      </c>
      <c r="H2727" t="s">
        <v>48</v>
      </c>
      <c r="I2727" t="s">
        <v>26</v>
      </c>
      <c r="J2727" t="s">
        <v>27</v>
      </c>
      <c r="K2727" t="s">
        <v>32</v>
      </c>
      <c r="L2727" s="2">
        <v>5.2</v>
      </c>
      <c r="M2727" s="3">
        <v>458</v>
      </c>
      <c r="N2727">
        <v>4</v>
      </c>
      <c r="O2727">
        <v>4</v>
      </c>
      <c r="P2727">
        <v>1</v>
      </c>
      <c r="Q2727">
        <v>0</v>
      </c>
      <c r="R2727" s="4">
        <v>13.72</v>
      </c>
      <c r="S2727">
        <v>0</v>
      </c>
      <c r="T2727">
        <v>1</v>
      </c>
    </row>
    <row r="2728" spans="1:20" ht="16.5" x14ac:dyDescent="0.3">
      <c r="A2728" t="s">
        <v>2782</v>
      </c>
      <c r="B2728" s="1">
        <v>45670</v>
      </c>
      <c r="C2728">
        <v>2025</v>
      </c>
      <c r="D2728" t="s">
        <v>21</v>
      </c>
      <c r="E2728" t="s">
        <v>22</v>
      </c>
      <c r="F2728" t="s">
        <v>57</v>
      </c>
      <c r="G2728" t="s">
        <v>24</v>
      </c>
      <c r="H2728" t="s">
        <v>25</v>
      </c>
      <c r="I2728" t="s">
        <v>26</v>
      </c>
      <c r="J2728" t="s">
        <v>27</v>
      </c>
      <c r="K2728" t="s">
        <v>28</v>
      </c>
      <c r="L2728" s="2">
        <v>244.9</v>
      </c>
      <c r="M2728" s="3">
        <v>1042</v>
      </c>
      <c r="N2728">
        <v>4</v>
      </c>
      <c r="O2728">
        <v>3</v>
      </c>
      <c r="P2728">
        <v>1</v>
      </c>
      <c r="Q2728">
        <v>0</v>
      </c>
      <c r="R2728" s="4">
        <v>109.37</v>
      </c>
      <c r="S2728">
        <v>0</v>
      </c>
      <c r="T2728">
        <v>1</v>
      </c>
    </row>
    <row r="2729" spans="1:20" ht="16.5" x14ac:dyDescent="0.3">
      <c r="A2729" t="s">
        <v>2783</v>
      </c>
      <c r="B2729" s="1">
        <v>45670</v>
      </c>
      <c r="C2729">
        <v>2025</v>
      </c>
      <c r="D2729" t="s">
        <v>21</v>
      </c>
      <c r="E2729" t="s">
        <v>22</v>
      </c>
      <c r="F2729" t="s">
        <v>38</v>
      </c>
      <c r="G2729" t="s">
        <v>35</v>
      </c>
      <c r="H2729" t="s">
        <v>48</v>
      </c>
      <c r="I2729" t="s">
        <v>26</v>
      </c>
      <c r="J2729" t="s">
        <v>27</v>
      </c>
      <c r="K2729" t="s">
        <v>32</v>
      </c>
      <c r="L2729" s="2">
        <v>1.5</v>
      </c>
      <c r="M2729" s="3">
        <v>566</v>
      </c>
      <c r="N2729">
        <v>4</v>
      </c>
      <c r="O2729">
        <v>4</v>
      </c>
      <c r="P2729">
        <v>1</v>
      </c>
      <c r="Q2729">
        <v>0</v>
      </c>
      <c r="R2729" s="4">
        <v>15.38</v>
      </c>
      <c r="S2729">
        <v>0</v>
      </c>
      <c r="T2729">
        <v>1</v>
      </c>
    </row>
    <row r="2730" spans="1:20" ht="16.5" x14ac:dyDescent="0.3">
      <c r="A2730" t="s">
        <v>2784</v>
      </c>
      <c r="B2730" s="1">
        <v>45670</v>
      </c>
      <c r="C2730">
        <v>2025</v>
      </c>
      <c r="D2730" t="s">
        <v>21</v>
      </c>
      <c r="E2730" t="s">
        <v>22</v>
      </c>
      <c r="F2730" t="s">
        <v>38</v>
      </c>
      <c r="G2730" t="s">
        <v>35</v>
      </c>
      <c r="H2730" t="s">
        <v>48</v>
      </c>
      <c r="I2730" t="s">
        <v>31</v>
      </c>
      <c r="J2730" t="s">
        <v>27</v>
      </c>
      <c r="K2730" t="s">
        <v>32</v>
      </c>
      <c r="L2730" s="2">
        <v>4.5</v>
      </c>
      <c r="M2730" s="3">
        <v>516</v>
      </c>
      <c r="N2730">
        <v>6</v>
      </c>
      <c r="O2730">
        <v>5</v>
      </c>
      <c r="P2730">
        <v>1</v>
      </c>
      <c r="Q2730">
        <v>0</v>
      </c>
      <c r="R2730" s="4">
        <v>12.81</v>
      </c>
      <c r="S2730">
        <v>0</v>
      </c>
      <c r="T2730">
        <v>1</v>
      </c>
    </row>
    <row r="2731" spans="1:20" ht="16.5" x14ac:dyDescent="0.3">
      <c r="A2731" t="s">
        <v>2785</v>
      </c>
      <c r="B2731" s="1">
        <v>45670</v>
      </c>
      <c r="C2731">
        <v>2025</v>
      </c>
      <c r="D2731" t="s">
        <v>21</v>
      </c>
      <c r="E2731" t="s">
        <v>22</v>
      </c>
      <c r="F2731" t="s">
        <v>30</v>
      </c>
      <c r="G2731" t="s">
        <v>24</v>
      </c>
      <c r="H2731" t="s">
        <v>48</v>
      </c>
      <c r="I2731" t="s">
        <v>31</v>
      </c>
      <c r="J2731" t="s">
        <v>27</v>
      </c>
      <c r="K2731" t="s">
        <v>32</v>
      </c>
      <c r="L2731" s="2">
        <v>6.8</v>
      </c>
      <c r="M2731" s="3">
        <v>487</v>
      </c>
      <c r="N2731">
        <v>6</v>
      </c>
      <c r="O2731">
        <v>6</v>
      </c>
      <c r="P2731">
        <v>1</v>
      </c>
      <c r="Q2731">
        <v>0</v>
      </c>
      <c r="R2731" s="4">
        <v>13.18</v>
      </c>
      <c r="S2731">
        <v>1</v>
      </c>
      <c r="T2731">
        <v>1</v>
      </c>
    </row>
    <row r="2732" spans="1:20" ht="16.5" x14ac:dyDescent="0.3">
      <c r="A2732" t="s">
        <v>2786</v>
      </c>
      <c r="B2732" s="1">
        <v>45670</v>
      </c>
      <c r="C2732">
        <v>2025</v>
      </c>
      <c r="D2732" t="s">
        <v>21</v>
      </c>
      <c r="E2732" t="s">
        <v>22</v>
      </c>
      <c r="F2732" t="s">
        <v>57</v>
      </c>
      <c r="G2732" t="s">
        <v>39</v>
      </c>
      <c r="H2732" t="s">
        <v>48</v>
      </c>
      <c r="I2732" t="s">
        <v>26</v>
      </c>
      <c r="J2732" t="s">
        <v>27</v>
      </c>
      <c r="K2732" t="s">
        <v>32</v>
      </c>
      <c r="L2732" s="2">
        <v>1.3</v>
      </c>
      <c r="M2732" s="3">
        <v>572</v>
      </c>
      <c r="N2732">
        <v>4</v>
      </c>
      <c r="O2732">
        <v>3</v>
      </c>
      <c r="P2732">
        <v>1</v>
      </c>
      <c r="Q2732">
        <v>0</v>
      </c>
      <c r="R2732" s="4">
        <v>12.87</v>
      </c>
      <c r="S2732">
        <v>0</v>
      </c>
      <c r="T2732">
        <v>1</v>
      </c>
    </row>
    <row r="2733" spans="1:20" ht="16.5" x14ac:dyDescent="0.3">
      <c r="A2733" t="s">
        <v>2787</v>
      </c>
      <c r="B2733" s="1">
        <v>45670</v>
      </c>
      <c r="C2733">
        <v>2025</v>
      </c>
      <c r="D2733" t="s">
        <v>21</v>
      </c>
      <c r="E2733" t="s">
        <v>22</v>
      </c>
      <c r="F2733" t="s">
        <v>38</v>
      </c>
      <c r="G2733" t="s">
        <v>35</v>
      </c>
      <c r="H2733" t="s">
        <v>36</v>
      </c>
      <c r="I2733" t="s">
        <v>31</v>
      </c>
      <c r="J2733" t="s">
        <v>27</v>
      </c>
      <c r="K2733" t="s">
        <v>28</v>
      </c>
      <c r="L2733" s="2">
        <v>154.80000000000001</v>
      </c>
      <c r="M2733" s="3">
        <v>252</v>
      </c>
      <c r="N2733">
        <v>5</v>
      </c>
      <c r="O2733">
        <v>5</v>
      </c>
      <c r="P2733">
        <v>1</v>
      </c>
      <c r="Q2733">
        <v>0</v>
      </c>
      <c r="R2733" s="4">
        <v>67.69</v>
      </c>
      <c r="S2733">
        <v>0</v>
      </c>
      <c r="T2733">
        <v>1</v>
      </c>
    </row>
    <row r="2734" spans="1:20" ht="16.5" x14ac:dyDescent="0.3">
      <c r="A2734" t="s">
        <v>2788</v>
      </c>
      <c r="B2734" s="1">
        <v>45670</v>
      </c>
      <c r="C2734">
        <v>2025</v>
      </c>
      <c r="D2734" t="s">
        <v>21</v>
      </c>
      <c r="E2734" t="s">
        <v>22</v>
      </c>
      <c r="F2734" t="s">
        <v>23</v>
      </c>
      <c r="G2734" t="s">
        <v>24</v>
      </c>
      <c r="H2734" t="s">
        <v>51</v>
      </c>
      <c r="I2734" t="s">
        <v>26</v>
      </c>
      <c r="J2734" t="s">
        <v>27</v>
      </c>
      <c r="K2734" t="s">
        <v>28</v>
      </c>
      <c r="L2734" s="2">
        <v>81.400000000000006</v>
      </c>
      <c r="M2734" s="3">
        <v>890</v>
      </c>
      <c r="N2734">
        <v>5</v>
      </c>
      <c r="O2734">
        <v>4</v>
      </c>
      <c r="P2734">
        <v>1</v>
      </c>
      <c r="Q2734">
        <v>0</v>
      </c>
      <c r="R2734" s="4">
        <v>53.39</v>
      </c>
      <c r="S2734">
        <v>0</v>
      </c>
      <c r="T2734">
        <v>1</v>
      </c>
    </row>
    <row r="2735" spans="1:20" ht="16.5" x14ac:dyDescent="0.3">
      <c r="A2735" t="s">
        <v>2789</v>
      </c>
      <c r="B2735" s="1">
        <v>45670</v>
      </c>
      <c r="C2735">
        <v>2025</v>
      </c>
      <c r="D2735" t="s">
        <v>21</v>
      </c>
      <c r="E2735" t="s">
        <v>22</v>
      </c>
      <c r="F2735" t="s">
        <v>23</v>
      </c>
      <c r="G2735" t="s">
        <v>39</v>
      </c>
      <c r="H2735" t="s">
        <v>51</v>
      </c>
      <c r="I2735" t="s">
        <v>31</v>
      </c>
      <c r="J2735" t="s">
        <v>27</v>
      </c>
      <c r="K2735" t="s">
        <v>28</v>
      </c>
      <c r="L2735" s="2">
        <v>163.9</v>
      </c>
      <c r="M2735" s="3">
        <v>789</v>
      </c>
      <c r="N2735">
        <v>7</v>
      </c>
      <c r="O2735">
        <v>7</v>
      </c>
      <c r="P2735">
        <v>1</v>
      </c>
      <c r="Q2735">
        <v>0</v>
      </c>
      <c r="R2735" s="4">
        <v>67.2</v>
      </c>
      <c r="S2735">
        <v>0</v>
      </c>
      <c r="T2735">
        <v>1</v>
      </c>
    </row>
    <row r="2736" spans="1:20" ht="16.5" x14ac:dyDescent="0.3">
      <c r="A2736" t="s">
        <v>2790</v>
      </c>
      <c r="B2736" s="1">
        <v>45671</v>
      </c>
      <c r="C2736">
        <v>2025</v>
      </c>
      <c r="D2736" t="s">
        <v>21</v>
      </c>
      <c r="E2736" t="s">
        <v>22</v>
      </c>
      <c r="F2736" t="s">
        <v>57</v>
      </c>
      <c r="G2736" t="s">
        <v>35</v>
      </c>
      <c r="H2736" t="s">
        <v>25</v>
      </c>
      <c r="I2736" t="s">
        <v>40</v>
      </c>
      <c r="J2736" t="s">
        <v>41</v>
      </c>
      <c r="K2736" t="s">
        <v>32</v>
      </c>
      <c r="L2736" s="2">
        <v>3.7</v>
      </c>
      <c r="M2736" s="3">
        <v>1025</v>
      </c>
      <c r="N2736">
        <v>2</v>
      </c>
      <c r="O2736">
        <v>2</v>
      </c>
      <c r="P2736">
        <v>1</v>
      </c>
      <c r="Q2736">
        <v>0</v>
      </c>
      <c r="R2736" s="4">
        <v>67</v>
      </c>
      <c r="S2736">
        <v>0</v>
      </c>
      <c r="T2736">
        <v>1</v>
      </c>
    </row>
    <row r="2737" spans="1:20" ht="16.5" x14ac:dyDescent="0.3">
      <c r="A2737" t="s">
        <v>2791</v>
      </c>
      <c r="B2737" s="1">
        <v>45671</v>
      </c>
      <c r="C2737">
        <v>2025</v>
      </c>
      <c r="D2737" t="s">
        <v>21</v>
      </c>
      <c r="E2737" t="s">
        <v>22</v>
      </c>
      <c r="F2737" t="s">
        <v>23</v>
      </c>
      <c r="G2737" t="s">
        <v>39</v>
      </c>
      <c r="H2737" t="s">
        <v>51</v>
      </c>
      <c r="I2737" t="s">
        <v>26</v>
      </c>
      <c r="J2737" t="s">
        <v>27</v>
      </c>
      <c r="K2737" t="s">
        <v>28</v>
      </c>
      <c r="L2737" s="2">
        <v>90.1</v>
      </c>
      <c r="M2737" s="3">
        <v>1123</v>
      </c>
      <c r="N2737">
        <v>5</v>
      </c>
      <c r="O2737">
        <v>5</v>
      </c>
      <c r="P2737">
        <v>1</v>
      </c>
      <c r="Q2737">
        <v>0</v>
      </c>
      <c r="R2737" s="4">
        <v>58.45</v>
      </c>
      <c r="S2737">
        <v>0</v>
      </c>
      <c r="T2737">
        <v>1</v>
      </c>
    </row>
    <row r="2738" spans="1:20" ht="16.5" x14ac:dyDescent="0.3">
      <c r="A2738" t="s">
        <v>2792</v>
      </c>
      <c r="B2738" s="1">
        <v>45671</v>
      </c>
      <c r="C2738">
        <v>2025</v>
      </c>
      <c r="D2738" t="s">
        <v>21</v>
      </c>
      <c r="E2738" t="s">
        <v>22</v>
      </c>
      <c r="F2738" t="s">
        <v>30</v>
      </c>
      <c r="G2738" t="s">
        <v>39</v>
      </c>
      <c r="H2738" t="s">
        <v>36</v>
      </c>
      <c r="I2738" t="s">
        <v>40</v>
      </c>
      <c r="J2738" t="s">
        <v>27</v>
      </c>
      <c r="K2738" t="s">
        <v>28</v>
      </c>
      <c r="L2738" s="2">
        <v>210.8</v>
      </c>
      <c r="M2738" s="3">
        <v>333</v>
      </c>
      <c r="N2738">
        <v>1</v>
      </c>
      <c r="O2738">
        <v>4</v>
      </c>
      <c r="P2738">
        <v>0</v>
      </c>
      <c r="Q2738">
        <v>3</v>
      </c>
      <c r="R2738" s="4">
        <v>184.02</v>
      </c>
      <c r="S2738">
        <v>0</v>
      </c>
      <c r="T2738">
        <v>1</v>
      </c>
    </row>
    <row r="2739" spans="1:20" ht="16.5" x14ac:dyDescent="0.3">
      <c r="A2739" t="s">
        <v>2793</v>
      </c>
      <c r="B2739" s="1">
        <v>45671</v>
      </c>
      <c r="C2739">
        <v>2025</v>
      </c>
      <c r="D2739" t="s">
        <v>21</v>
      </c>
      <c r="E2739" t="s">
        <v>22</v>
      </c>
      <c r="F2739" t="s">
        <v>30</v>
      </c>
      <c r="G2739" t="s">
        <v>39</v>
      </c>
      <c r="H2739" t="s">
        <v>25</v>
      </c>
      <c r="I2739" t="s">
        <v>26</v>
      </c>
      <c r="J2739" t="s">
        <v>27</v>
      </c>
      <c r="K2739" t="s">
        <v>28</v>
      </c>
      <c r="L2739" s="2">
        <v>81.599999999999994</v>
      </c>
      <c r="M2739" s="3">
        <v>967</v>
      </c>
      <c r="N2739">
        <v>4</v>
      </c>
      <c r="O2739">
        <v>4</v>
      </c>
      <c r="P2739">
        <v>1</v>
      </c>
      <c r="Q2739">
        <v>0</v>
      </c>
      <c r="R2739" s="4">
        <v>50.75</v>
      </c>
      <c r="S2739">
        <v>0</v>
      </c>
      <c r="T2739">
        <v>1</v>
      </c>
    </row>
    <row r="2740" spans="1:20" ht="16.5" x14ac:dyDescent="0.3">
      <c r="A2740" t="s">
        <v>2794</v>
      </c>
      <c r="B2740" s="1">
        <v>45671</v>
      </c>
      <c r="C2740">
        <v>2025</v>
      </c>
      <c r="D2740" t="s">
        <v>21</v>
      </c>
      <c r="E2740" t="s">
        <v>22</v>
      </c>
      <c r="F2740" t="s">
        <v>30</v>
      </c>
      <c r="G2740" t="s">
        <v>35</v>
      </c>
      <c r="H2740" t="s">
        <v>48</v>
      </c>
      <c r="I2740" t="s">
        <v>26</v>
      </c>
      <c r="J2740" t="s">
        <v>27</v>
      </c>
      <c r="K2740" t="s">
        <v>28</v>
      </c>
      <c r="L2740" s="2">
        <v>208.1</v>
      </c>
      <c r="M2740" s="3">
        <v>364</v>
      </c>
      <c r="N2740">
        <v>4</v>
      </c>
      <c r="O2740">
        <v>4</v>
      </c>
      <c r="P2740">
        <v>1</v>
      </c>
      <c r="Q2740">
        <v>0</v>
      </c>
      <c r="R2740" s="4">
        <v>95.46</v>
      </c>
      <c r="S2740">
        <v>0</v>
      </c>
      <c r="T2740">
        <v>1</v>
      </c>
    </row>
    <row r="2741" spans="1:20" ht="16.5" x14ac:dyDescent="0.3">
      <c r="A2741" t="s">
        <v>2795</v>
      </c>
      <c r="B2741" s="1">
        <v>45671</v>
      </c>
      <c r="C2741">
        <v>2025</v>
      </c>
      <c r="D2741" t="s">
        <v>21</v>
      </c>
      <c r="E2741" t="s">
        <v>22</v>
      </c>
      <c r="F2741" t="s">
        <v>23</v>
      </c>
      <c r="G2741" t="s">
        <v>39</v>
      </c>
      <c r="H2741" t="s">
        <v>43</v>
      </c>
      <c r="I2741" t="s">
        <v>40</v>
      </c>
      <c r="J2741" t="s">
        <v>41</v>
      </c>
      <c r="K2741" t="s">
        <v>32</v>
      </c>
      <c r="L2741" s="2">
        <v>3.8</v>
      </c>
      <c r="M2741" s="3">
        <v>1134</v>
      </c>
      <c r="N2741">
        <v>3</v>
      </c>
      <c r="O2741">
        <v>3</v>
      </c>
      <c r="P2741">
        <v>1</v>
      </c>
      <c r="Q2741">
        <v>0</v>
      </c>
      <c r="R2741" s="4">
        <v>70.489999999999995</v>
      </c>
      <c r="S2741">
        <v>0</v>
      </c>
      <c r="T2741">
        <v>1</v>
      </c>
    </row>
    <row r="2742" spans="1:20" ht="16.5" x14ac:dyDescent="0.3">
      <c r="A2742" t="s">
        <v>2796</v>
      </c>
      <c r="B2742" s="1">
        <v>45671</v>
      </c>
      <c r="C2742">
        <v>2025</v>
      </c>
      <c r="D2742" t="s">
        <v>21</v>
      </c>
      <c r="E2742" t="s">
        <v>22</v>
      </c>
      <c r="F2742" t="s">
        <v>38</v>
      </c>
      <c r="G2742" t="s">
        <v>35</v>
      </c>
      <c r="H2742" t="s">
        <v>48</v>
      </c>
      <c r="I2742" t="s">
        <v>26</v>
      </c>
      <c r="J2742" t="s">
        <v>27</v>
      </c>
      <c r="K2742" t="s">
        <v>32</v>
      </c>
      <c r="L2742" s="2">
        <v>12.1</v>
      </c>
      <c r="M2742" s="3">
        <v>509</v>
      </c>
      <c r="N2742">
        <v>4</v>
      </c>
      <c r="O2742">
        <v>3</v>
      </c>
      <c r="P2742">
        <v>1</v>
      </c>
      <c r="Q2742">
        <v>0</v>
      </c>
      <c r="R2742" s="4">
        <v>20.29</v>
      </c>
      <c r="S2742">
        <v>0</v>
      </c>
      <c r="T2742">
        <v>1</v>
      </c>
    </row>
    <row r="2743" spans="1:20" ht="16.5" x14ac:dyDescent="0.3">
      <c r="A2743" t="s">
        <v>2797</v>
      </c>
      <c r="B2743" s="1">
        <v>45671</v>
      </c>
      <c r="C2743">
        <v>2025</v>
      </c>
      <c r="D2743" t="s">
        <v>21</v>
      </c>
      <c r="E2743" t="s">
        <v>22</v>
      </c>
      <c r="F2743" t="s">
        <v>34</v>
      </c>
      <c r="G2743" t="s">
        <v>39</v>
      </c>
      <c r="H2743" t="s">
        <v>43</v>
      </c>
      <c r="I2743" t="s">
        <v>26</v>
      </c>
      <c r="J2743" t="s">
        <v>27</v>
      </c>
      <c r="K2743" t="s">
        <v>28</v>
      </c>
      <c r="L2743" s="2">
        <v>159.6</v>
      </c>
      <c r="M2743" s="3">
        <v>1386</v>
      </c>
      <c r="N2743">
        <v>5</v>
      </c>
      <c r="O2743">
        <v>5</v>
      </c>
      <c r="P2743">
        <v>1</v>
      </c>
      <c r="Q2743">
        <v>0</v>
      </c>
      <c r="R2743" s="4">
        <v>77</v>
      </c>
      <c r="S2743">
        <v>0</v>
      </c>
      <c r="T2743">
        <v>1</v>
      </c>
    </row>
    <row r="2744" spans="1:20" ht="16.5" x14ac:dyDescent="0.3">
      <c r="A2744" t="s">
        <v>2798</v>
      </c>
      <c r="B2744" s="1">
        <v>45671</v>
      </c>
      <c r="C2744">
        <v>2025</v>
      </c>
      <c r="D2744" t="s">
        <v>21</v>
      </c>
      <c r="E2744" t="s">
        <v>22</v>
      </c>
      <c r="F2744" t="s">
        <v>34</v>
      </c>
      <c r="G2744" t="s">
        <v>35</v>
      </c>
      <c r="H2744" t="s">
        <v>36</v>
      </c>
      <c r="I2744" t="s">
        <v>40</v>
      </c>
      <c r="J2744" t="s">
        <v>27</v>
      </c>
      <c r="K2744" t="s">
        <v>28</v>
      </c>
      <c r="L2744" s="2">
        <v>101.2</v>
      </c>
      <c r="M2744" s="3">
        <v>235</v>
      </c>
      <c r="N2744">
        <v>1</v>
      </c>
      <c r="O2744">
        <v>1</v>
      </c>
      <c r="P2744">
        <v>1</v>
      </c>
      <c r="Q2744">
        <v>0</v>
      </c>
      <c r="R2744" s="4">
        <v>84.89</v>
      </c>
      <c r="S2744">
        <v>0</v>
      </c>
      <c r="T2744">
        <v>1</v>
      </c>
    </row>
    <row r="2745" spans="1:20" ht="16.5" x14ac:dyDescent="0.3">
      <c r="A2745" t="s">
        <v>2799</v>
      </c>
      <c r="B2745" s="1">
        <v>45671</v>
      </c>
      <c r="C2745">
        <v>2025</v>
      </c>
      <c r="D2745" t="s">
        <v>21</v>
      </c>
      <c r="E2745" t="s">
        <v>22</v>
      </c>
      <c r="F2745" t="s">
        <v>30</v>
      </c>
      <c r="G2745" t="s">
        <v>39</v>
      </c>
      <c r="H2745" t="s">
        <v>48</v>
      </c>
      <c r="I2745" t="s">
        <v>31</v>
      </c>
      <c r="J2745" t="s">
        <v>27</v>
      </c>
      <c r="K2745" t="s">
        <v>32</v>
      </c>
      <c r="L2745" s="2">
        <v>8</v>
      </c>
      <c r="M2745" s="3">
        <v>582</v>
      </c>
      <c r="N2745">
        <v>6</v>
      </c>
      <c r="O2745">
        <v>5</v>
      </c>
      <c r="P2745">
        <v>1</v>
      </c>
      <c r="Q2745">
        <v>0</v>
      </c>
      <c r="R2745" s="4">
        <v>14.14</v>
      </c>
      <c r="S2745">
        <v>0</v>
      </c>
      <c r="T2745">
        <v>1</v>
      </c>
    </row>
    <row r="2746" spans="1:20" ht="16.5" x14ac:dyDescent="0.3">
      <c r="A2746" t="s">
        <v>2800</v>
      </c>
      <c r="B2746" s="1">
        <v>45671</v>
      </c>
      <c r="C2746">
        <v>2025</v>
      </c>
      <c r="D2746" t="s">
        <v>21</v>
      </c>
      <c r="E2746" t="s">
        <v>22</v>
      </c>
      <c r="F2746" t="s">
        <v>57</v>
      </c>
      <c r="G2746" t="s">
        <v>35</v>
      </c>
      <c r="H2746" t="s">
        <v>25</v>
      </c>
      <c r="I2746" t="s">
        <v>31</v>
      </c>
      <c r="J2746" t="s">
        <v>27</v>
      </c>
      <c r="K2746" t="s">
        <v>32</v>
      </c>
      <c r="L2746" s="2">
        <v>6.9</v>
      </c>
      <c r="M2746" s="3">
        <v>1047</v>
      </c>
      <c r="N2746">
        <v>6</v>
      </c>
      <c r="O2746">
        <v>6</v>
      </c>
      <c r="P2746">
        <v>1</v>
      </c>
      <c r="Q2746">
        <v>0</v>
      </c>
      <c r="R2746" s="4">
        <v>17.399999999999999</v>
      </c>
      <c r="S2746">
        <v>0</v>
      </c>
      <c r="T2746">
        <v>1</v>
      </c>
    </row>
    <row r="2747" spans="1:20" ht="16.5" x14ac:dyDescent="0.3">
      <c r="A2747" t="s">
        <v>2801</v>
      </c>
      <c r="B2747" s="1">
        <v>45671</v>
      </c>
      <c r="C2747">
        <v>2025</v>
      </c>
      <c r="D2747" t="s">
        <v>21</v>
      </c>
      <c r="E2747" t="s">
        <v>22</v>
      </c>
      <c r="F2747" t="s">
        <v>34</v>
      </c>
      <c r="G2747" t="s">
        <v>39</v>
      </c>
      <c r="H2747" t="s">
        <v>36</v>
      </c>
      <c r="I2747" t="s">
        <v>26</v>
      </c>
      <c r="J2747" t="s">
        <v>27</v>
      </c>
      <c r="K2747" t="s">
        <v>28</v>
      </c>
      <c r="L2747" s="2">
        <v>58.6</v>
      </c>
      <c r="M2747" s="3">
        <v>259</v>
      </c>
      <c r="N2747">
        <v>3</v>
      </c>
      <c r="O2747">
        <v>3</v>
      </c>
      <c r="P2747">
        <v>1</v>
      </c>
      <c r="Q2747">
        <v>0</v>
      </c>
      <c r="R2747" s="4">
        <v>28.51</v>
      </c>
      <c r="S2747">
        <v>0</v>
      </c>
      <c r="T2747">
        <v>1</v>
      </c>
    </row>
    <row r="2748" spans="1:20" ht="16.5" x14ac:dyDescent="0.3">
      <c r="A2748" t="s">
        <v>2802</v>
      </c>
      <c r="B2748" s="1">
        <v>45671</v>
      </c>
      <c r="C2748">
        <v>2025</v>
      </c>
      <c r="D2748" t="s">
        <v>21</v>
      </c>
      <c r="E2748" t="s">
        <v>22</v>
      </c>
      <c r="F2748" t="s">
        <v>57</v>
      </c>
      <c r="G2748" t="s">
        <v>39</v>
      </c>
      <c r="H2748" t="s">
        <v>25</v>
      </c>
      <c r="I2748" t="s">
        <v>26</v>
      </c>
      <c r="J2748" t="s">
        <v>27</v>
      </c>
      <c r="K2748" t="s">
        <v>32</v>
      </c>
      <c r="L2748" s="2">
        <v>5.5</v>
      </c>
      <c r="M2748" s="3">
        <v>1012</v>
      </c>
      <c r="N2748">
        <v>4</v>
      </c>
      <c r="O2748">
        <v>4</v>
      </c>
      <c r="P2748">
        <v>1</v>
      </c>
      <c r="Q2748">
        <v>0</v>
      </c>
      <c r="R2748" s="4">
        <v>22.23</v>
      </c>
      <c r="S2748">
        <v>0</v>
      </c>
      <c r="T2748">
        <v>1</v>
      </c>
    </row>
    <row r="2749" spans="1:20" ht="16.5" x14ac:dyDescent="0.3">
      <c r="A2749" t="s">
        <v>2803</v>
      </c>
      <c r="B2749" s="1">
        <v>45671</v>
      </c>
      <c r="C2749">
        <v>2025</v>
      </c>
      <c r="D2749" t="s">
        <v>21</v>
      </c>
      <c r="E2749" t="s">
        <v>22</v>
      </c>
      <c r="F2749" t="s">
        <v>38</v>
      </c>
      <c r="G2749" t="s">
        <v>39</v>
      </c>
      <c r="H2749" t="s">
        <v>36</v>
      </c>
      <c r="I2749" t="s">
        <v>40</v>
      </c>
      <c r="J2749" t="s">
        <v>27</v>
      </c>
      <c r="K2749" t="s">
        <v>32</v>
      </c>
      <c r="L2749" s="2">
        <v>4.7</v>
      </c>
      <c r="M2749" s="3">
        <v>246</v>
      </c>
      <c r="N2749">
        <v>1</v>
      </c>
      <c r="O2749">
        <v>1</v>
      </c>
      <c r="P2749">
        <v>1</v>
      </c>
      <c r="Q2749">
        <v>0</v>
      </c>
      <c r="R2749" s="4">
        <v>27.16</v>
      </c>
      <c r="S2749">
        <v>0</v>
      </c>
      <c r="T2749">
        <v>1</v>
      </c>
    </row>
    <row r="2750" spans="1:20" ht="16.5" x14ac:dyDescent="0.3">
      <c r="A2750" t="s">
        <v>2804</v>
      </c>
      <c r="B2750" s="1">
        <v>45671</v>
      </c>
      <c r="C2750">
        <v>2025</v>
      </c>
      <c r="D2750" t="s">
        <v>21</v>
      </c>
      <c r="E2750" t="s">
        <v>22</v>
      </c>
      <c r="F2750" t="s">
        <v>34</v>
      </c>
      <c r="G2750" t="s">
        <v>35</v>
      </c>
      <c r="H2750" t="s">
        <v>25</v>
      </c>
      <c r="I2750" t="s">
        <v>40</v>
      </c>
      <c r="J2750" t="s">
        <v>41</v>
      </c>
      <c r="K2750" t="s">
        <v>28</v>
      </c>
      <c r="L2750" s="2">
        <v>79.099999999999994</v>
      </c>
      <c r="M2750" s="3">
        <v>690</v>
      </c>
      <c r="N2750">
        <v>2</v>
      </c>
      <c r="O2750">
        <v>1</v>
      </c>
      <c r="P2750">
        <v>1</v>
      </c>
      <c r="Q2750">
        <v>0</v>
      </c>
      <c r="R2750" s="4">
        <v>127.34</v>
      </c>
      <c r="S2750">
        <v>0</v>
      </c>
      <c r="T2750">
        <v>1</v>
      </c>
    </row>
    <row r="2751" spans="1:20" ht="16.5" x14ac:dyDescent="0.3">
      <c r="A2751" t="s">
        <v>2805</v>
      </c>
      <c r="B2751" s="1">
        <v>45672</v>
      </c>
      <c r="C2751">
        <v>2025</v>
      </c>
      <c r="D2751" t="s">
        <v>21</v>
      </c>
      <c r="E2751" t="s">
        <v>22</v>
      </c>
      <c r="F2751" t="s">
        <v>23</v>
      </c>
      <c r="G2751" t="s">
        <v>24</v>
      </c>
      <c r="H2751" t="s">
        <v>25</v>
      </c>
      <c r="I2751" t="s">
        <v>31</v>
      </c>
      <c r="J2751" t="s">
        <v>27</v>
      </c>
      <c r="K2751" t="s">
        <v>32</v>
      </c>
      <c r="L2751" s="2">
        <v>8.5</v>
      </c>
      <c r="M2751" s="3">
        <v>800</v>
      </c>
      <c r="N2751">
        <v>6</v>
      </c>
      <c r="O2751">
        <v>5</v>
      </c>
      <c r="P2751">
        <v>1</v>
      </c>
      <c r="Q2751">
        <v>0</v>
      </c>
      <c r="R2751" s="4">
        <v>14.04</v>
      </c>
      <c r="S2751">
        <v>0</v>
      </c>
      <c r="T2751">
        <v>1</v>
      </c>
    </row>
    <row r="2752" spans="1:20" ht="16.5" x14ac:dyDescent="0.3">
      <c r="A2752" t="s">
        <v>2806</v>
      </c>
      <c r="B2752" s="1">
        <v>45672</v>
      </c>
      <c r="C2752">
        <v>2025</v>
      </c>
      <c r="D2752" t="s">
        <v>21</v>
      </c>
      <c r="E2752" t="s">
        <v>22</v>
      </c>
      <c r="F2752" t="s">
        <v>23</v>
      </c>
      <c r="G2752" t="s">
        <v>39</v>
      </c>
      <c r="H2752" t="s">
        <v>48</v>
      </c>
      <c r="I2752" t="s">
        <v>40</v>
      </c>
      <c r="J2752" t="s">
        <v>27</v>
      </c>
      <c r="K2752" t="s">
        <v>28</v>
      </c>
      <c r="L2752" s="2">
        <v>70</v>
      </c>
      <c r="M2752" s="3">
        <v>454</v>
      </c>
      <c r="N2752">
        <v>2</v>
      </c>
      <c r="O2752">
        <v>2</v>
      </c>
      <c r="P2752">
        <v>1</v>
      </c>
      <c r="Q2752">
        <v>0</v>
      </c>
      <c r="R2752" s="4">
        <v>85.88</v>
      </c>
      <c r="S2752">
        <v>0</v>
      </c>
      <c r="T2752">
        <v>1</v>
      </c>
    </row>
    <row r="2753" spans="1:20" ht="16.5" x14ac:dyDescent="0.3">
      <c r="A2753" t="s">
        <v>2807</v>
      </c>
      <c r="B2753" s="1">
        <v>45672</v>
      </c>
      <c r="C2753">
        <v>2025</v>
      </c>
      <c r="D2753" t="s">
        <v>21</v>
      </c>
      <c r="E2753" t="s">
        <v>22</v>
      </c>
      <c r="F2753" t="s">
        <v>34</v>
      </c>
      <c r="G2753" t="s">
        <v>35</v>
      </c>
      <c r="H2753" t="s">
        <v>48</v>
      </c>
      <c r="I2753" t="s">
        <v>26</v>
      </c>
      <c r="J2753" t="s">
        <v>27</v>
      </c>
      <c r="K2753" t="s">
        <v>32</v>
      </c>
      <c r="L2753" s="2">
        <v>13.4</v>
      </c>
      <c r="M2753" s="3">
        <v>503</v>
      </c>
      <c r="N2753">
        <v>4</v>
      </c>
      <c r="O2753">
        <v>6</v>
      </c>
      <c r="P2753">
        <v>0</v>
      </c>
      <c r="Q2753">
        <v>2</v>
      </c>
      <c r="R2753" s="4">
        <v>19.75</v>
      </c>
      <c r="S2753">
        <v>0</v>
      </c>
      <c r="T2753">
        <v>1</v>
      </c>
    </row>
    <row r="2754" spans="1:20" ht="16.5" x14ac:dyDescent="0.3">
      <c r="A2754" t="s">
        <v>2808</v>
      </c>
      <c r="B2754" s="1">
        <v>45672</v>
      </c>
      <c r="C2754">
        <v>2025</v>
      </c>
      <c r="D2754" t="s">
        <v>21</v>
      </c>
      <c r="E2754" t="s">
        <v>22</v>
      </c>
      <c r="F2754" t="s">
        <v>34</v>
      </c>
      <c r="G2754" t="s">
        <v>39</v>
      </c>
      <c r="H2754" t="s">
        <v>48</v>
      </c>
      <c r="I2754" t="s">
        <v>26</v>
      </c>
      <c r="J2754" t="s">
        <v>27</v>
      </c>
      <c r="K2754" t="s">
        <v>32</v>
      </c>
      <c r="L2754" s="2">
        <v>6.6</v>
      </c>
      <c r="M2754" s="3">
        <v>447</v>
      </c>
      <c r="N2754">
        <v>4</v>
      </c>
      <c r="O2754">
        <v>4</v>
      </c>
      <c r="P2754">
        <v>1</v>
      </c>
      <c r="Q2754">
        <v>0</v>
      </c>
      <c r="R2754" s="4">
        <v>14.37</v>
      </c>
      <c r="S2754">
        <v>0</v>
      </c>
      <c r="T2754">
        <v>1</v>
      </c>
    </row>
    <row r="2755" spans="1:20" ht="16.5" x14ac:dyDescent="0.3">
      <c r="A2755" t="s">
        <v>2809</v>
      </c>
      <c r="B2755" s="1">
        <v>45672</v>
      </c>
      <c r="C2755">
        <v>2025</v>
      </c>
      <c r="D2755" t="s">
        <v>21</v>
      </c>
      <c r="E2755" t="s">
        <v>22</v>
      </c>
      <c r="F2755" t="s">
        <v>23</v>
      </c>
      <c r="G2755" t="s">
        <v>35</v>
      </c>
      <c r="H2755" t="s">
        <v>48</v>
      </c>
      <c r="I2755" t="s">
        <v>31</v>
      </c>
      <c r="J2755" t="s">
        <v>27</v>
      </c>
      <c r="K2755" t="s">
        <v>28</v>
      </c>
      <c r="L2755" s="2">
        <v>81.900000000000006</v>
      </c>
      <c r="M2755" s="3">
        <v>506</v>
      </c>
      <c r="N2755">
        <v>6</v>
      </c>
      <c r="O2755">
        <v>6</v>
      </c>
      <c r="P2755">
        <v>1</v>
      </c>
      <c r="Q2755">
        <v>0</v>
      </c>
      <c r="R2755" s="4">
        <v>34.06</v>
      </c>
      <c r="S2755">
        <v>0</v>
      </c>
      <c r="T2755">
        <v>1</v>
      </c>
    </row>
    <row r="2756" spans="1:20" ht="16.5" x14ac:dyDescent="0.3">
      <c r="A2756" t="s">
        <v>2810</v>
      </c>
      <c r="B2756" s="1">
        <v>45672</v>
      </c>
      <c r="C2756">
        <v>2025</v>
      </c>
      <c r="D2756" t="s">
        <v>21</v>
      </c>
      <c r="E2756" t="s">
        <v>22</v>
      </c>
      <c r="F2756" t="s">
        <v>57</v>
      </c>
      <c r="G2756" t="s">
        <v>35</v>
      </c>
      <c r="H2756" t="s">
        <v>48</v>
      </c>
      <c r="I2756" t="s">
        <v>26</v>
      </c>
      <c r="J2756" t="s">
        <v>27</v>
      </c>
      <c r="K2756" t="s">
        <v>28</v>
      </c>
      <c r="L2756" s="2">
        <v>184.8</v>
      </c>
      <c r="M2756" s="3">
        <v>452</v>
      </c>
      <c r="N2756">
        <v>4</v>
      </c>
      <c r="O2756">
        <v>3</v>
      </c>
      <c r="P2756">
        <v>1</v>
      </c>
      <c r="Q2756">
        <v>0</v>
      </c>
      <c r="R2756" s="4">
        <v>90.59</v>
      </c>
      <c r="S2756">
        <v>0</v>
      </c>
      <c r="T2756">
        <v>1</v>
      </c>
    </row>
    <row r="2757" spans="1:20" ht="16.5" x14ac:dyDescent="0.3">
      <c r="A2757" t="s">
        <v>2811</v>
      </c>
      <c r="B2757" s="1">
        <v>45672</v>
      </c>
      <c r="C2757">
        <v>2025</v>
      </c>
      <c r="D2757" t="s">
        <v>21</v>
      </c>
      <c r="E2757" t="s">
        <v>22</v>
      </c>
      <c r="F2757" t="s">
        <v>23</v>
      </c>
      <c r="G2757" t="s">
        <v>35</v>
      </c>
      <c r="H2757" t="s">
        <v>36</v>
      </c>
      <c r="I2757" t="s">
        <v>31</v>
      </c>
      <c r="J2757" t="s">
        <v>27</v>
      </c>
      <c r="K2757" t="s">
        <v>32</v>
      </c>
      <c r="L2757" s="2">
        <v>4.8</v>
      </c>
      <c r="M2757" s="3">
        <v>259</v>
      </c>
      <c r="N2757">
        <v>5</v>
      </c>
      <c r="O2757">
        <v>5</v>
      </c>
      <c r="P2757">
        <v>1</v>
      </c>
      <c r="Q2757">
        <v>0</v>
      </c>
      <c r="R2757" s="4">
        <v>7.45</v>
      </c>
      <c r="S2757">
        <v>0</v>
      </c>
      <c r="T2757">
        <v>1</v>
      </c>
    </row>
    <row r="2758" spans="1:20" ht="16.5" x14ac:dyDescent="0.3">
      <c r="A2758" t="s">
        <v>2812</v>
      </c>
      <c r="B2758" s="1">
        <v>45672</v>
      </c>
      <c r="C2758">
        <v>2025</v>
      </c>
      <c r="D2758" t="s">
        <v>21</v>
      </c>
      <c r="E2758" t="s">
        <v>22</v>
      </c>
      <c r="F2758" t="s">
        <v>34</v>
      </c>
      <c r="G2758" t="s">
        <v>35</v>
      </c>
      <c r="H2758" t="s">
        <v>48</v>
      </c>
      <c r="I2758" t="s">
        <v>31</v>
      </c>
      <c r="J2758" t="s">
        <v>27</v>
      </c>
      <c r="K2758" t="s">
        <v>32</v>
      </c>
      <c r="L2758" s="2">
        <v>12.3</v>
      </c>
      <c r="M2758" s="3">
        <v>458</v>
      </c>
      <c r="N2758">
        <v>6</v>
      </c>
      <c r="O2758">
        <v>6</v>
      </c>
      <c r="P2758">
        <v>1</v>
      </c>
      <c r="Q2758">
        <v>0</v>
      </c>
      <c r="R2758" s="4">
        <v>12.79</v>
      </c>
      <c r="S2758">
        <v>0</v>
      </c>
      <c r="T2758">
        <v>1</v>
      </c>
    </row>
    <row r="2759" spans="1:20" ht="16.5" x14ac:dyDescent="0.3">
      <c r="A2759" t="s">
        <v>2813</v>
      </c>
      <c r="B2759" s="1">
        <v>45672</v>
      </c>
      <c r="C2759">
        <v>2025</v>
      </c>
      <c r="D2759" t="s">
        <v>21</v>
      </c>
      <c r="E2759" t="s">
        <v>22</v>
      </c>
      <c r="F2759" t="s">
        <v>57</v>
      </c>
      <c r="G2759" t="s">
        <v>24</v>
      </c>
      <c r="H2759" t="s">
        <v>48</v>
      </c>
      <c r="I2759" t="s">
        <v>26</v>
      </c>
      <c r="J2759" t="s">
        <v>27</v>
      </c>
      <c r="K2759" t="s">
        <v>32</v>
      </c>
      <c r="L2759" s="2">
        <v>2.5</v>
      </c>
      <c r="M2759" s="3">
        <v>526</v>
      </c>
      <c r="N2759">
        <v>4</v>
      </c>
      <c r="O2759">
        <v>4</v>
      </c>
      <c r="P2759">
        <v>1</v>
      </c>
      <c r="Q2759">
        <v>0</v>
      </c>
      <c r="R2759" s="4">
        <v>14.97</v>
      </c>
      <c r="S2759">
        <v>0</v>
      </c>
      <c r="T2759">
        <v>1</v>
      </c>
    </row>
    <row r="2760" spans="1:20" ht="16.5" x14ac:dyDescent="0.3">
      <c r="A2760" t="s">
        <v>2814</v>
      </c>
      <c r="B2760" s="1">
        <v>45672</v>
      </c>
      <c r="C2760">
        <v>2025</v>
      </c>
      <c r="D2760" t="s">
        <v>21</v>
      </c>
      <c r="E2760" t="s">
        <v>22</v>
      </c>
      <c r="F2760" t="s">
        <v>34</v>
      </c>
      <c r="G2760" t="s">
        <v>39</v>
      </c>
      <c r="H2760" t="s">
        <v>25</v>
      </c>
      <c r="I2760" t="s">
        <v>26</v>
      </c>
      <c r="J2760" t="s">
        <v>27</v>
      </c>
      <c r="K2760" t="s">
        <v>28</v>
      </c>
      <c r="L2760" s="2">
        <v>138.30000000000001</v>
      </c>
      <c r="M2760" s="3">
        <v>1009</v>
      </c>
      <c r="N2760">
        <v>4</v>
      </c>
      <c r="O2760">
        <v>7</v>
      </c>
      <c r="P2760">
        <v>0</v>
      </c>
      <c r="Q2760">
        <v>3</v>
      </c>
      <c r="R2760" s="4">
        <v>70.61</v>
      </c>
      <c r="S2760">
        <v>0</v>
      </c>
      <c r="T2760">
        <v>1</v>
      </c>
    </row>
    <row r="2761" spans="1:20" ht="16.5" x14ac:dyDescent="0.3">
      <c r="A2761" t="s">
        <v>2815</v>
      </c>
      <c r="B2761" s="1">
        <v>45673</v>
      </c>
      <c r="C2761">
        <v>2025</v>
      </c>
      <c r="D2761" t="s">
        <v>21</v>
      </c>
      <c r="E2761" t="s">
        <v>22</v>
      </c>
      <c r="F2761" t="s">
        <v>38</v>
      </c>
      <c r="G2761" t="s">
        <v>24</v>
      </c>
      <c r="H2761" t="s">
        <v>36</v>
      </c>
      <c r="I2761" t="s">
        <v>26</v>
      </c>
      <c r="J2761" t="s">
        <v>27</v>
      </c>
      <c r="K2761" t="s">
        <v>28</v>
      </c>
      <c r="L2761" s="2">
        <v>29</v>
      </c>
      <c r="M2761" s="3">
        <v>321</v>
      </c>
      <c r="N2761">
        <v>3</v>
      </c>
      <c r="O2761">
        <v>3</v>
      </c>
      <c r="P2761">
        <v>1</v>
      </c>
      <c r="Q2761">
        <v>0</v>
      </c>
      <c r="R2761" s="4">
        <v>28.22</v>
      </c>
      <c r="S2761">
        <v>0</v>
      </c>
      <c r="T2761">
        <v>1</v>
      </c>
    </row>
    <row r="2762" spans="1:20" ht="16.5" x14ac:dyDescent="0.3">
      <c r="A2762" t="s">
        <v>2816</v>
      </c>
      <c r="B2762" s="1">
        <v>45673</v>
      </c>
      <c r="C2762">
        <v>2025</v>
      </c>
      <c r="D2762" t="s">
        <v>21</v>
      </c>
      <c r="E2762" t="s">
        <v>22</v>
      </c>
      <c r="F2762" t="s">
        <v>57</v>
      </c>
      <c r="G2762" t="s">
        <v>35</v>
      </c>
      <c r="H2762" t="s">
        <v>48</v>
      </c>
      <c r="I2762" t="s">
        <v>31</v>
      </c>
      <c r="J2762" t="s">
        <v>27</v>
      </c>
      <c r="K2762" t="s">
        <v>32</v>
      </c>
      <c r="L2762" s="2">
        <v>4.3</v>
      </c>
      <c r="M2762" s="3">
        <v>479</v>
      </c>
      <c r="N2762">
        <v>6</v>
      </c>
      <c r="O2762">
        <v>7</v>
      </c>
      <c r="P2762">
        <v>0</v>
      </c>
      <c r="Q2762">
        <v>1</v>
      </c>
      <c r="R2762" s="4">
        <v>10.6</v>
      </c>
      <c r="S2762">
        <v>0</v>
      </c>
      <c r="T2762">
        <v>1</v>
      </c>
    </row>
    <row r="2763" spans="1:20" ht="16.5" x14ac:dyDescent="0.3">
      <c r="A2763" t="s">
        <v>2817</v>
      </c>
      <c r="B2763" s="1">
        <v>45673</v>
      </c>
      <c r="C2763">
        <v>2025</v>
      </c>
      <c r="D2763" t="s">
        <v>21</v>
      </c>
      <c r="E2763" t="s">
        <v>22</v>
      </c>
      <c r="F2763" t="s">
        <v>38</v>
      </c>
      <c r="G2763" t="s">
        <v>39</v>
      </c>
      <c r="H2763" t="s">
        <v>43</v>
      </c>
      <c r="I2763" t="s">
        <v>26</v>
      </c>
      <c r="J2763" t="s">
        <v>27</v>
      </c>
      <c r="K2763" t="s">
        <v>32</v>
      </c>
      <c r="L2763" s="2">
        <v>4.2</v>
      </c>
      <c r="M2763" s="3">
        <v>1240</v>
      </c>
      <c r="N2763">
        <v>5</v>
      </c>
      <c r="O2763">
        <v>5</v>
      </c>
      <c r="P2763">
        <v>1</v>
      </c>
      <c r="Q2763">
        <v>0</v>
      </c>
      <c r="R2763" s="4">
        <v>26.22</v>
      </c>
      <c r="S2763">
        <v>0</v>
      </c>
      <c r="T2763">
        <v>1</v>
      </c>
    </row>
    <row r="2764" spans="1:20" ht="16.5" x14ac:dyDescent="0.3">
      <c r="A2764" t="s">
        <v>2818</v>
      </c>
      <c r="B2764" s="1">
        <v>45673</v>
      </c>
      <c r="C2764">
        <v>2025</v>
      </c>
      <c r="D2764" t="s">
        <v>21</v>
      </c>
      <c r="E2764" t="s">
        <v>22</v>
      </c>
      <c r="F2764" t="s">
        <v>34</v>
      </c>
      <c r="G2764" t="s">
        <v>35</v>
      </c>
      <c r="H2764" t="s">
        <v>43</v>
      </c>
      <c r="I2764" t="s">
        <v>40</v>
      </c>
      <c r="J2764" t="s">
        <v>41</v>
      </c>
      <c r="K2764" t="s">
        <v>32</v>
      </c>
      <c r="L2764" s="2">
        <v>4.7</v>
      </c>
      <c r="M2764" s="3">
        <v>931</v>
      </c>
      <c r="N2764">
        <v>3</v>
      </c>
      <c r="O2764">
        <v>2</v>
      </c>
      <c r="P2764">
        <v>1</v>
      </c>
      <c r="Q2764">
        <v>0</v>
      </c>
      <c r="R2764" s="4">
        <v>51.7</v>
      </c>
      <c r="S2764">
        <v>0</v>
      </c>
      <c r="T2764">
        <v>1</v>
      </c>
    </row>
    <row r="2765" spans="1:20" ht="16.5" x14ac:dyDescent="0.3">
      <c r="A2765" t="s">
        <v>2819</v>
      </c>
      <c r="B2765" s="1">
        <v>45674</v>
      </c>
      <c r="C2765">
        <v>2025</v>
      </c>
      <c r="D2765" t="s">
        <v>21</v>
      </c>
      <c r="E2765" t="s">
        <v>22</v>
      </c>
      <c r="F2765" t="s">
        <v>23</v>
      </c>
      <c r="G2765" t="s">
        <v>35</v>
      </c>
      <c r="H2765" t="s">
        <v>36</v>
      </c>
      <c r="I2765" t="s">
        <v>26</v>
      </c>
      <c r="J2765" t="s">
        <v>27</v>
      </c>
      <c r="K2765" t="s">
        <v>28</v>
      </c>
      <c r="L2765" s="2">
        <v>176.8</v>
      </c>
      <c r="M2765" s="3">
        <v>260</v>
      </c>
      <c r="N2765">
        <v>3</v>
      </c>
      <c r="O2765">
        <v>2</v>
      </c>
      <c r="P2765">
        <v>1</v>
      </c>
      <c r="Q2765">
        <v>0</v>
      </c>
      <c r="R2765" s="4">
        <v>85.66</v>
      </c>
      <c r="S2765">
        <v>0</v>
      </c>
      <c r="T2765">
        <v>1</v>
      </c>
    </row>
    <row r="2766" spans="1:20" ht="16.5" x14ac:dyDescent="0.3">
      <c r="A2766" t="s">
        <v>2820</v>
      </c>
      <c r="B2766" s="1">
        <v>45674</v>
      </c>
      <c r="C2766">
        <v>2025</v>
      </c>
      <c r="D2766" t="s">
        <v>21</v>
      </c>
      <c r="E2766" t="s">
        <v>22</v>
      </c>
      <c r="F2766" t="s">
        <v>30</v>
      </c>
      <c r="G2766" t="s">
        <v>39</v>
      </c>
      <c r="H2766" t="s">
        <v>43</v>
      </c>
      <c r="I2766" t="s">
        <v>26</v>
      </c>
      <c r="J2766" t="s">
        <v>27</v>
      </c>
      <c r="K2766" t="s">
        <v>32</v>
      </c>
      <c r="L2766" s="2">
        <v>2.6</v>
      </c>
      <c r="M2766" s="3">
        <v>848</v>
      </c>
      <c r="N2766">
        <v>5</v>
      </c>
      <c r="O2766">
        <v>5</v>
      </c>
      <c r="P2766">
        <v>1</v>
      </c>
      <c r="Q2766">
        <v>0</v>
      </c>
      <c r="R2766" s="4">
        <v>20.53</v>
      </c>
      <c r="S2766">
        <v>0</v>
      </c>
      <c r="T2766">
        <v>1</v>
      </c>
    </row>
    <row r="2767" spans="1:20" ht="16.5" x14ac:dyDescent="0.3">
      <c r="A2767" t="s">
        <v>2821</v>
      </c>
      <c r="B2767" s="1">
        <v>45674</v>
      </c>
      <c r="C2767">
        <v>2025</v>
      </c>
      <c r="D2767" t="s">
        <v>21</v>
      </c>
      <c r="E2767" t="s">
        <v>22</v>
      </c>
      <c r="F2767" t="s">
        <v>23</v>
      </c>
      <c r="G2767" t="s">
        <v>39</v>
      </c>
      <c r="H2767" t="s">
        <v>25</v>
      </c>
      <c r="I2767" t="s">
        <v>40</v>
      </c>
      <c r="J2767" t="s">
        <v>41</v>
      </c>
      <c r="K2767" t="s">
        <v>32</v>
      </c>
      <c r="L2767" s="2">
        <v>14</v>
      </c>
      <c r="M2767" s="3">
        <v>890</v>
      </c>
      <c r="N2767">
        <v>2</v>
      </c>
      <c r="O2767">
        <v>2</v>
      </c>
      <c r="P2767">
        <v>1</v>
      </c>
      <c r="Q2767">
        <v>0</v>
      </c>
      <c r="R2767" s="4">
        <v>76.260000000000005</v>
      </c>
      <c r="S2767">
        <v>0</v>
      </c>
      <c r="T2767">
        <v>1</v>
      </c>
    </row>
    <row r="2768" spans="1:20" ht="16.5" x14ac:dyDescent="0.3">
      <c r="A2768" t="s">
        <v>2822</v>
      </c>
      <c r="B2768" s="1">
        <v>45674</v>
      </c>
      <c r="C2768">
        <v>2025</v>
      </c>
      <c r="D2768" t="s">
        <v>21</v>
      </c>
      <c r="E2768" t="s">
        <v>22</v>
      </c>
      <c r="F2768" t="s">
        <v>34</v>
      </c>
      <c r="G2768" t="s">
        <v>35</v>
      </c>
      <c r="H2768" t="s">
        <v>48</v>
      </c>
      <c r="I2768" t="s">
        <v>40</v>
      </c>
      <c r="J2768" t="s">
        <v>27</v>
      </c>
      <c r="K2768" t="s">
        <v>28</v>
      </c>
      <c r="L2768" s="2">
        <v>116.6</v>
      </c>
      <c r="M2768" s="3">
        <v>495</v>
      </c>
      <c r="N2768">
        <v>2</v>
      </c>
      <c r="O2768">
        <v>2</v>
      </c>
      <c r="P2768">
        <v>1</v>
      </c>
      <c r="Q2768">
        <v>0</v>
      </c>
      <c r="R2768" s="4">
        <v>108.61</v>
      </c>
      <c r="S2768">
        <v>0</v>
      </c>
      <c r="T2768">
        <v>1</v>
      </c>
    </row>
    <row r="2769" spans="1:20" ht="16.5" x14ac:dyDescent="0.3">
      <c r="A2769" t="s">
        <v>2823</v>
      </c>
      <c r="B2769" s="1">
        <v>45674</v>
      </c>
      <c r="C2769">
        <v>2025</v>
      </c>
      <c r="D2769" t="s">
        <v>21</v>
      </c>
      <c r="E2769" t="s">
        <v>22</v>
      </c>
      <c r="F2769" t="s">
        <v>57</v>
      </c>
      <c r="G2769" t="s">
        <v>39</v>
      </c>
      <c r="H2769" t="s">
        <v>36</v>
      </c>
      <c r="I2769" t="s">
        <v>26</v>
      </c>
      <c r="J2769" t="s">
        <v>27</v>
      </c>
      <c r="K2769" t="s">
        <v>32</v>
      </c>
      <c r="L2769" s="2">
        <v>7.8</v>
      </c>
      <c r="M2769" s="3">
        <v>295</v>
      </c>
      <c r="N2769">
        <v>3</v>
      </c>
      <c r="O2769">
        <v>3</v>
      </c>
      <c r="P2769">
        <v>1</v>
      </c>
      <c r="Q2769">
        <v>0</v>
      </c>
      <c r="R2769" s="4">
        <v>15.74</v>
      </c>
      <c r="S2769">
        <v>0</v>
      </c>
      <c r="T2769">
        <v>1</v>
      </c>
    </row>
    <row r="2770" spans="1:20" ht="16.5" x14ac:dyDescent="0.3">
      <c r="A2770" t="s">
        <v>2824</v>
      </c>
      <c r="B2770" s="1">
        <v>45675</v>
      </c>
      <c r="C2770">
        <v>2025</v>
      </c>
      <c r="D2770" t="s">
        <v>21</v>
      </c>
      <c r="E2770" t="s">
        <v>22</v>
      </c>
      <c r="F2770" t="s">
        <v>38</v>
      </c>
      <c r="G2770" t="s">
        <v>39</v>
      </c>
      <c r="H2770" t="s">
        <v>25</v>
      </c>
      <c r="I2770" t="s">
        <v>26</v>
      </c>
      <c r="J2770" t="s">
        <v>27</v>
      </c>
      <c r="K2770" t="s">
        <v>32</v>
      </c>
      <c r="L2770" s="2">
        <v>1.1000000000000001</v>
      </c>
      <c r="M2770" s="3">
        <v>975</v>
      </c>
      <c r="N2770">
        <v>4</v>
      </c>
      <c r="O2770">
        <v>4</v>
      </c>
      <c r="P2770">
        <v>1</v>
      </c>
      <c r="Q2770">
        <v>0</v>
      </c>
      <c r="R2770" s="4">
        <v>20.64</v>
      </c>
      <c r="S2770">
        <v>0</v>
      </c>
      <c r="T2770">
        <v>1</v>
      </c>
    </row>
    <row r="2771" spans="1:20" ht="16.5" x14ac:dyDescent="0.3">
      <c r="A2771" t="s">
        <v>2825</v>
      </c>
      <c r="B2771" s="1">
        <v>45675</v>
      </c>
      <c r="C2771">
        <v>2025</v>
      </c>
      <c r="D2771" t="s">
        <v>21</v>
      </c>
      <c r="E2771" t="s">
        <v>22</v>
      </c>
      <c r="F2771" t="s">
        <v>38</v>
      </c>
      <c r="G2771" t="s">
        <v>35</v>
      </c>
      <c r="H2771" t="s">
        <v>51</v>
      </c>
      <c r="I2771" t="s">
        <v>40</v>
      </c>
      <c r="J2771" t="s">
        <v>41</v>
      </c>
      <c r="K2771" t="s">
        <v>32</v>
      </c>
      <c r="L2771" s="2">
        <v>4.5999999999999996</v>
      </c>
      <c r="M2771" s="3">
        <v>978</v>
      </c>
      <c r="N2771">
        <v>3</v>
      </c>
      <c r="O2771">
        <v>2</v>
      </c>
      <c r="P2771">
        <v>1</v>
      </c>
      <c r="Q2771">
        <v>0</v>
      </c>
      <c r="R2771" s="4">
        <v>65.58</v>
      </c>
      <c r="S2771">
        <v>0</v>
      </c>
      <c r="T2771">
        <v>1</v>
      </c>
    </row>
    <row r="2772" spans="1:20" ht="16.5" x14ac:dyDescent="0.3">
      <c r="A2772" t="s">
        <v>2826</v>
      </c>
      <c r="B2772" s="1">
        <v>45675</v>
      </c>
      <c r="C2772">
        <v>2025</v>
      </c>
      <c r="D2772" t="s">
        <v>21</v>
      </c>
      <c r="E2772" t="s">
        <v>22</v>
      </c>
      <c r="F2772" t="s">
        <v>38</v>
      </c>
      <c r="G2772" t="s">
        <v>39</v>
      </c>
      <c r="H2772" t="s">
        <v>48</v>
      </c>
      <c r="I2772" t="s">
        <v>31</v>
      </c>
      <c r="J2772" t="s">
        <v>27</v>
      </c>
      <c r="K2772" t="s">
        <v>28</v>
      </c>
      <c r="L2772" s="2">
        <v>145.80000000000001</v>
      </c>
      <c r="M2772" s="3">
        <v>556</v>
      </c>
      <c r="N2772">
        <v>6</v>
      </c>
      <c r="O2772">
        <v>6</v>
      </c>
      <c r="P2772">
        <v>1</v>
      </c>
      <c r="Q2772">
        <v>0</v>
      </c>
      <c r="R2772" s="4">
        <v>63.99</v>
      </c>
      <c r="S2772">
        <v>0</v>
      </c>
      <c r="T2772">
        <v>1</v>
      </c>
    </row>
    <row r="2773" spans="1:20" ht="16.5" x14ac:dyDescent="0.3">
      <c r="A2773" t="s">
        <v>2827</v>
      </c>
      <c r="B2773" s="1">
        <v>45676</v>
      </c>
      <c r="C2773">
        <v>2025</v>
      </c>
      <c r="D2773" t="s">
        <v>21</v>
      </c>
      <c r="E2773" t="s">
        <v>22</v>
      </c>
      <c r="F2773" t="s">
        <v>23</v>
      </c>
      <c r="G2773" t="s">
        <v>39</v>
      </c>
      <c r="H2773" t="s">
        <v>36</v>
      </c>
      <c r="I2773" t="s">
        <v>31</v>
      </c>
      <c r="J2773" t="s">
        <v>27</v>
      </c>
      <c r="K2773" t="s">
        <v>28</v>
      </c>
      <c r="L2773" s="2">
        <v>84.1</v>
      </c>
      <c r="M2773" s="3">
        <v>252</v>
      </c>
      <c r="N2773">
        <v>5</v>
      </c>
      <c r="O2773">
        <v>5</v>
      </c>
      <c r="P2773">
        <v>1</v>
      </c>
      <c r="Q2773">
        <v>0</v>
      </c>
      <c r="R2773" s="4">
        <v>33.67</v>
      </c>
      <c r="S2773">
        <v>0</v>
      </c>
      <c r="T2773">
        <v>1</v>
      </c>
    </row>
    <row r="2774" spans="1:20" ht="16.5" x14ac:dyDescent="0.3">
      <c r="A2774" t="s">
        <v>2828</v>
      </c>
      <c r="B2774" s="1">
        <v>45676</v>
      </c>
      <c r="C2774">
        <v>2025</v>
      </c>
      <c r="D2774" t="s">
        <v>21</v>
      </c>
      <c r="E2774" t="s">
        <v>22</v>
      </c>
      <c r="F2774" t="s">
        <v>57</v>
      </c>
      <c r="G2774" t="s">
        <v>35</v>
      </c>
      <c r="H2774" t="s">
        <v>25</v>
      </c>
      <c r="I2774" t="s">
        <v>26</v>
      </c>
      <c r="J2774" t="s">
        <v>27</v>
      </c>
      <c r="K2774" t="s">
        <v>28</v>
      </c>
      <c r="L2774" s="2">
        <v>146.80000000000001</v>
      </c>
      <c r="M2774" s="3">
        <v>882</v>
      </c>
      <c r="N2774">
        <v>4</v>
      </c>
      <c r="O2774">
        <v>4</v>
      </c>
      <c r="P2774">
        <v>1</v>
      </c>
      <c r="Q2774">
        <v>0</v>
      </c>
      <c r="R2774" s="4">
        <v>74.3</v>
      </c>
      <c r="S2774">
        <v>0</v>
      </c>
      <c r="T2774">
        <v>1</v>
      </c>
    </row>
    <row r="2775" spans="1:20" ht="16.5" x14ac:dyDescent="0.3">
      <c r="A2775" t="s">
        <v>2829</v>
      </c>
      <c r="B2775" s="1">
        <v>45677</v>
      </c>
      <c r="C2775">
        <v>2025</v>
      </c>
      <c r="D2775" t="s">
        <v>21</v>
      </c>
      <c r="E2775" t="s">
        <v>22</v>
      </c>
      <c r="F2775" t="s">
        <v>30</v>
      </c>
      <c r="G2775" t="s">
        <v>35</v>
      </c>
      <c r="H2775" t="s">
        <v>48</v>
      </c>
      <c r="I2775" t="s">
        <v>26</v>
      </c>
      <c r="J2775" t="s">
        <v>27</v>
      </c>
      <c r="K2775" t="s">
        <v>32</v>
      </c>
      <c r="L2775" s="2">
        <v>6.4</v>
      </c>
      <c r="M2775" s="3">
        <v>498</v>
      </c>
      <c r="N2775">
        <v>4</v>
      </c>
      <c r="O2775">
        <v>3</v>
      </c>
      <c r="P2775">
        <v>1</v>
      </c>
      <c r="Q2775">
        <v>0</v>
      </c>
      <c r="R2775" s="4">
        <v>18.46</v>
      </c>
      <c r="S2775">
        <v>0</v>
      </c>
      <c r="T2775">
        <v>1</v>
      </c>
    </row>
    <row r="2776" spans="1:20" ht="16.5" x14ac:dyDescent="0.3">
      <c r="A2776" t="s">
        <v>2830</v>
      </c>
      <c r="B2776" s="1">
        <v>45677</v>
      </c>
      <c r="C2776">
        <v>2025</v>
      </c>
      <c r="D2776" t="s">
        <v>21</v>
      </c>
      <c r="E2776" t="s">
        <v>22</v>
      </c>
      <c r="F2776" t="s">
        <v>38</v>
      </c>
      <c r="G2776" t="s">
        <v>24</v>
      </c>
      <c r="H2776" t="s">
        <v>48</v>
      </c>
      <c r="I2776" t="s">
        <v>26</v>
      </c>
      <c r="J2776" t="s">
        <v>27</v>
      </c>
      <c r="K2776" t="s">
        <v>32</v>
      </c>
      <c r="L2776" s="2">
        <v>4.2</v>
      </c>
      <c r="M2776" s="3">
        <v>565</v>
      </c>
      <c r="N2776">
        <v>4</v>
      </c>
      <c r="O2776">
        <v>4</v>
      </c>
      <c r="P2776">
        <v>1</v>
      </c>
      <c r="Q2776">
        <v>0</v>
      </c>
      <c r="R2776" s="4">
        <v>17.899999999999999</v>
      </c>
      <c r="S2776">
        <v>0</v>
      </c>
      <c r="T2776">
        <v>1</v>
      </c>
    </row>
    <row r="2777" spans="1:20" ht="16.5" x14ac:dyDescent="0.3">
      <c r="A2777" t="s">
        <v>2831</v>
      </c>
      <c r="B2777" s="1">
        <v>45677</v>
      </c>
      <c r="C2777">
        <v>2025</v>
      </c>
      <c r="D2777" t="s">
        <v>21</v>
      </c>
      <c r="E2777" t="s">
        <v>22</v>
      </c>
      <c r="F2777" t="s">
        <v>34</v>
      </c>
      <c r="G2777" t="s">
        <v>39</v>
      </c>
      <c r="H2777" t="s">
        <v>43</v>
      </c>
      <c r="I2777" t="s">
        <v>26</v>
      </c>
      <c r="J2777" t="s">
        <v>27</v>
      </c>
      <c r="K2777" t="s">
        <v>28</v>
      </c>
      <c r="L2777" s="2">
        <v>127.4</v>
      </c>
      <c r="M2777" s="3">
        <v>1067</v>
      </c>
      <c r="N2777">
        <v>5</v>
      </c>
      <c r="O2777">
        <v>8</v>
      </c>
      <c r="P2777">
        <v>0</v>
      </c>
      <c r="Q2777">
        <v>3</v>
      </c>
      <c r="R2777" s="4">
        <v>62.37</v>
      </c>
      <c r="S2777">
        <v>0</v>
      </c>
      <c r="T2777">
        <v>1</v>
      </c>
    </row>
    <row r="2778" spans="1:20" ht="16.5" x14ac:dyDescent="0.3">
      <c r="A2778" t="s">
        <v>2832</v>
      </c>
      <c r="B2778" s="1">
        <v>45677</v>
      </c>
      <c r="C2778">
        <v>2025</v>
      </c>
      <c r="D2778" t="s">
        <v>21</v>
      </c>
      <c r="E2778" t="s">
        <v>22</v>
      </c>
      <c r="F2778" t="s">
        <v>34</v>
      </c>
      <c r="G2778" t="s">
        <v>24</v>
      </c>
      <c r="H2778" t="s">
        <v>48</v>
      </c>
      <c r="I2778" t="s">
        <v>40</v>
      </c>
      <c r="J2778" t="s">
        <v>27</v>
      </c>
      <c r="K2778" t="s">
        <v>32</v>
      </c>
      <c r="L2778" s="2">
        <v>3</v>
      </c>
      <c r="M2778" s="3">
        <v>391</v>
      </c>
      <c r="N2778">
        <v>2</v>
      </c>
      <c r="O2778">
        <v>2</v>
      </c>
      <c r="P2778">
        <v>1</v>
      </c>
      <c r="Q2778">
        <v>0</v>
      </c>
      <c r="R2778" s="4">
        <v>21.51</v>
      </c>
      <c r="S2778">
        <v>0</v>
      </c>
      <c r="T2778">
        <v>1</v>
      </c>
    </row>
    <row r="2779" spans="1:20" ht="16.5" x14ac:dyDescent="0.3">
      <c r="A2779" t="s">
        <v>2833</v>
      </c>
      <c r="B2779" s="1">
        <v>45677</v>
      </c>
      <c r="C2779">
        <v>2025</v>
      </c>
      <c r="D2779" t="s">
        <v>21</v>
      </c>
      <c r="E2779" t="s">
        <v>22</v>
      </c>
      <c r="F2779" t="s">
        <v>34</v>
      </c>
      <c r="G2779" t="s">
        <v>35</v>
      </c>
      <c r="H2779" t="s">
        <v>36</v>
      </c>
      <c r="I2779" t="s">
        <v>31</v>
      </c>
      <c r="J2779" t="s">
        <v>27</v>
      </c>
      <c r="K2779" t="s">
        <v>32</v>
      </c>
      <c r="L2779" s="2">
        <v>9.1</v>
      </c>
      <c r="M2779" s="3">
        <v>219</v>
      </c>
      <c r="N2779">
        <v>5</v>
      </c>
      <c r="O2779">
        <v>7</v>
      </c>
      <c r="P2779">
        <v>0</v>
      </c>
      <c r="Q2779">
        <v>2</v>
      </c>
      <c r="R2779" s="4">
        <v>9.25</v>
      </c>
      <c r="S2779">
        <v>0</v>
      </c>
      <c r="T2779">
        <v>1</v>
      </c>
    </row>
    <row r="2780" spans="1:20" ht="16.5" x14ac:dyDescent="0.3">
      <c r="A2780" t="s">
        <v>2834</v>
      </c>
      <c r="B2780" s="1">
        <v>45677</v>
      </c>
      <c r="C2780">
        <v>2025</v>
      </c>
      <c r="D2780" t="s">
        <v>21</v>
      </c>
      <c r="E2780" t="s">
        <v>22</v>
      </c>
      <c r="F2780" t="s">
        <v>38</v>
      </c>
      <c r="G2780" t="s">
        <v>39</v>
      </c>
      <c r="H2780" t="s">
        <v>36</v>
      </c>
      <c r="I2780" t="s">
        <v>26</v>
      </c>
      <c r="J2780" t="s">
        <v>27</v>
      </c>
      <c r="K2780" t="s">
        <v>32</v>
      </c>
      <c r="L2780" s="2">
        <v>6.6</v>
      </c>
      <c r="M2780" s="3">
        <v>248</v>
      </c>
      <c r="N2780">
        <v>3</v>
      </c>
      <c r="O2780">
        <v>2</v>
      </c>
      <c r="P2780">
        <v>1</v>
      </c>
      <c r="Q2780">
        <v>0</v>
      </c>
      <c r="R2780" s="4">
        <v>13.7</v>
      </c>
      <c r="S2780">
        <v>0</v>
      </c>
      <c r="T2780">
        <v>1</v>
      </c>
    </row>
    <row r="2781" spans="1:20" ht="16.5" x14ac:dyDescent="0.3">
      <c r="A2781" t="s">
        <v>2835</v>
      </c>
      <c r="B2781" s="1">
        <v>45678</v>
      </c>
      <c r="C2781">
        <v>2025</v>
      </c>
      <c r="D2781" t="s">
        <v>21</v>
      </c>
      <c r="E2781" t="s">
        <v>22</v>
      </c>
      <c r="F2781" t="s">
        <v>34</v>
      </c>
      <c r="G2781" t="s">
        <v>39</v>
      </c>
      <c r="H2781" t="s">
        <v>36</v>
      </c>
      <c r="I2781" t="s">
        <v>31</v>
      </c>
      <c r="J2781" t="s">
        <v>27</v>
      </c>
      <c r="K2781" t="s">
        <v>28</v>
      </c>
      <c r="L2781" s="2">
        <v>288.7</v>
      </c>
      <c r="M2781" s="3">
        <v>228</v>
      </c>
      <c r="N2781">
        <v>5</v>
      </c>
      <c r="O2781">
        <v>4</v>
      </c>
      <c r="P2781">
        <v>1</v>
      </c>
      <c r="Q2781">
        <v>0</v>
      </c>
      <c r="R2781" s="4">
        <v>68.930000000000007</v>
      </c>
      <c r="S2781">
        <v>0</v>
      </c>
      <c r="T2781">
        <v>1</v>
      </c>
    </row>
    <row r="2782" spans="1:20" ht="16.5" x14ac:dyDescent="0.3">
      <c r="A2782" t="s">
        <v>2836</v>
      </c>
      <c r="B2782" s="1">
        <v>45678</v>
      </c>
      <c r="C2782">
        <v>2025</v>
      </c>
      <c r="D2782" t="s">
        <v>21</v>
      </c>
      <c r="E2782" t="s">
        <v>22</v>
      </c>
      <c r="F2782" t="s">
        <v>23</v>
      </c>
      <c r="G2782" t="s">
        <v>35</v>
      </c>
      <c r="H2782" t="s">
        <v>51</v>
      </c>
      <c r="I2782" t="s">
        <v>26</v>
      </c>
      <c r="J2782" t="s">
        <v>27</v>
      </c>
      <c r="K2782" t="s">
        <v>32</v>
      </c>
      <c r="L2782" s="2">
        <v>10.7</v>
      </c>
      <c r="M2782" s="3">
        <v>1217</v>
      </c>
      <c r="N2782">
        <v>5</v>
      </c>
      <c r="O2782">
        <v>5</v>
      </c>
      <c r="P2782">
        <v>1</v>
      </c>
      <c r="Q2782">
        <v>0</v>
      </c>
      <c r="R2782" s="4">
        <v>28.21</v>
      </c>
      <c r="S2782">
        <v>0</v>
      </c>
      <c r="T2782">
        <v>1</v>
      </c>
    </row>
    <row r="2783" spans="1:20" ht="16.5" x14ac:dyDescent="0.3">
      <c r="A2783" t="s">
        <v>2837</v>
      </c>
      <c r="B2783" s="1">
        <v>45679</v>
      </c>
      <c r="C2783">
        <v>2025</v>
      </c>
      <c r="D2783" t="s">
        <v>21</v>
      </c>
      <c r="E2783" t="s">
        <v>22</v>
      </c>
      <c r="F2783" t="s">
        <v>34</v>
      </c>
      <c r="G2783" t="s">
        <v>35</v>
      </c>
      <c r="H2783" t="s">
        <v>43</v>
      </c>
      <c r="I2783" t="s">
        <v>26</v>
      </c>
      <c r="J2783" t="s">
        <v>27</v>
      </c>
      <c r="K2783" t="s">
        <v>28</v>
      </c>
      <c r="L2783" s="2">
        <v>74.2</v>
      </c>
      <c r="M2783" s="3">
        <v>972</v>
      </c>
      <c r="N2783">
        <v>5</v>
      </c>
      <c r="O2783">
        <v>4</v>
      </c>
      <c r="P2783">
        <v>1</v>
      </c>
      <c r="Q2783">
        <v>0</v>
      </c>
      <c r="R2783" s="4">
        <v>44.33</v>
      </c>
      <c r="S2783">
        <v>0</v>
      </c>
      <c r="T2783">
        <v>1</v>
      </c>
    </row>
    <row r="2784" spans="1:20" ht="16.5" x14ac:dyDescent="0.3">
      <c r="A2784" t="s">
        <v>2838</v>
      </c>
      <c r="B2784" s="1">
        <v>45679</v>
      </c>
      <c r="C2784">
        <v>2025</v>
      </c>
      <c r="D2784" t="s">
        <v>21</v>
      </c>
      <c r="E2784" t="s">
        <v>22</v>
      </c>
      <c r="F2784" t="s">
        <v>57</v>
      </c>
      <c r="G2784" t="s">
        <v>35</v>
      </c>
      <c r="H2784" t="s">
        <v>48</v>
      </c>
      <c r="I2784" t="s">
        <v>26</v>
      </c>
      <c r="J2784" t="s">
        <v>27</v>
      </c>
      <c r="K2784" t="s">
        <v>32</v>
      </c>
      <c r="L2784" s="2">
        <v>18.600000000000001</v>
      </c>
      <c r="M2784" s="3">
        <v>464</v>
      </c>
      <c r="N2784">
        <v>4</v>
      </c>
      <c r="O2784">
        <v>4</v>
      </c>
      <c r="P2784">
        <v>1</v>
      </c>
      <c r="Q2784">
        <v>0</v>
      </c>
      <c r="R2784" s="4">
        <v>23.82</v>
      </c>
      <c r="S2784">
        <v>0</v>
      </c>
      <c r="T2784">
        <v>1</v>
      </c>
    </row>
    <row r="2785" spans="1:20" ht="16.5" x14ac:dyDescent="0.3">
      <c r="A2785" t="s">
        <v>2839</v>
      </c>
      <c r="B2785" s="1">
        <v>45679</v>
      </c>
      <c r="C2785">
        <v>2025</v>
      </c>
      <c r="D2785" t="s">
        <v>21</v>
      </c>
      <c r="E2785" t="s">
        <v>22</v>
      </c>
      <c r="F2785" t="s">
        <v>38</v>
      </c>
      <c r="G2785" t="s">
        <v>39</v>
      </c>
      <c r="H2785" t="s">
        <v>43</v>
      </c>
      <c r="I2785" t="s">
        <v>31</v>
      </c>
      <c r="J2785" t="s">
        <v>27</v>
      </c>
      <c r="K2785" t="s">
        <v>32</v>
      </c>
      <c r="L2785" s="2">
        <v>2.7</v>
      </c>
      <c r="M2785" s="3">
        <v>1235</v>
      </c>
      <c r="N2785">
        <v>7</v>
      </c>
      <c r="O2785">
        <v>7</v>
      </c>
      <c r="P2785">
        <v>1</v>
      </c>
      <c r="Q2785">
        <v>0</v>
      </c>
      <c r="R2785" s="4">
        <v>18.27</v>
      </c>
      <c r="S2785">
        <v>0</v>
      </c>
      <c r="T2785">
        <v>1</v>
      </c>
    </row>
    <row r="2786" spans="1:20" ht="16.5" x14ac:dyDescent="0.3">
      <c r="A2786" t="s">
        <v>2840</v>
      </c>
      <c r="B2786" s="1">
        <v>45679</v>
      </c>
      <c r="C2786">
        <v>2025</v>
      </c>
      <c r="D2786" t="s">
        <v>21</v>
      </c>
      <c r="E2786" t="s">
        <v>22</v>
      </c>
      <c r="F2786" t="s">
        <v>57</v>
      </c>
      <c r="G2786" t="s">
        <v>35</v>
      </c>
      <c r="H2786" t="s">
        <v>36</v>
      </c>
      <c r="I2786" t="s">
        <v>26</v>
      </c>
      <c r="J2786" t="s">
        <v>27</v>
      </c>
      <c r="K2786" t="s">
        <v>32</v>
      </c>
      <c r="L2786" s="2">
        <v>6.2</v>
      </c>
      <c r="M2786" s="3">
        <v>229</v>
      </c>
      <c r="N2786">
        <v>3</v>
      </c>
      <c r="O2786">
        <v>3</v>
      </c>
      <c r="P2786">
        <v>1</v>
      </c>
      <c r="Q2786">
        <v>0</v>
      </c>
      <c r="R2786" s="4">
        <v>11.48</v>
      </c>
      <c r="S2786">
        <v>0</v>
      </c>
      <c r="T2786">
        <v>1</v>
      </c>
    </row>
    <row r="2787" spans="1:20" ht="16.5" x14ac:dyDescent="0.3">
      <c r="A2787" t="s">
        <v>2841</v>
      </c>
      <c r="B2787" s="1">
        <v>45679</v>
      </c>
      <c r="C2787">
        <v>2025</v>
      </c>
      <c r="D2787" t="s">
        <v>21</v>
      </c>
      <c r="E2787" t="s">
        <v>22</v>
      </c>
      <c r="F2787" t="s">
        <v>30</v>
      </c>
      <c r="G2787" t="s">
        <v>35</v>
      </c>
      <c r="H2787" t="s">
        <v>48</v>
      </c>
      <c r="I2787" t="s">
        <v>40</v>
      </c>
      <c r="J2787" t="s">
        <v>27</v>
      </c>
      <c r="K2787" t="s">
        <v>32</v>
      </c>
      <c r="L2787" s="2">
        <v>16.3</v>
      </c>
      <c r="M2787" s="3">
        <v>516</v>
      </c>
      <c r="N2787">
        <v>2</v>
      </c>
      <c r="O2787">
        <v>2</v>
      </c>
      <c r="P2787">
        <v>1</v>
      </c>
      <c r="Q2787">
        <v>0</v>
      </c>
      <c r="R2787" s="4">
        <v>45.44</v>
      </c>
      <c r="S2787">
        <v>0</v>
      </c>
      <c r="T2787">
        <v>1</v>
      </c>
    </row>
    <row r="2788" spans="1:20" ht="16.5" x14ac:dyDescent="0.3">
      <c r="A2788" t="s">
        <v>2842</v>
      </c>
      <c r="B2788" s="1">
        <v>45679</v>
      </c>
      <c r="C2788">
        <v>2025</v>
      </c>
      <c r="D2788" t="s">
        <v>21</v>
      </c>
      <c r="E2788" t="s">
        <v>22</v>
      </c>
      <c r="F2788" t="s">
        <v>38</v>
      </c>
      <c r="G2788" t="s">
        <v>39</v>
      </c>
      <c r="H2788" t="s">
        <v>36</v>
      </c>
      <c r="I2788" t="s">
        <v>26</v>
      </c>
      <c r="J2788" t="s">
        <v>27</v>
      </c>
      <c r="K2788" t="s">
        <v>32</v>
      </c>
      <c r="L2788" s="2">
        <v>2.4</v>
      </c>
      <c r="M2788" s="3">
        <v>235</v>
      </c>
      <c r="N2788">
        <v>3</v>
      </c>
      <c r="O2788">
        <v>3</v>
      </c>
      <c r="P2788">
        <v>1</v>
      </c>
      <c r="Q2788">
        <v>0</v>
      </c>
      <c r="R2788" s="4">
        <v>11.44</v>
      </c>
      <c r="S2788">
        <v>0</v>
      </c>
      <c r="T2788">
        <v>1</v>
      </c>
    </row>
    <row r="2789" spans="1:20" ht="16.5" x14ac:dyDescent="0.3">
      <c r="A2789" t="s">
        <v>2843</v>
      </c>
      <c r="B2789" s="1">
        <v>45679</v>
      </c>
      <c r="C2789">
        <v>2025</v>
      </c>
      <c r="D2789" t="s">
        <v>21</v>
      </c>
      <c r="E2789" t="s">
        <v>22</v>
      </c>
      <c r="F2789" t="s">
        <v>23</v>
      </c>
      <c r="G2789" t="s">
        <v>35</v>
      </c>
      <c r="H2789" t="s">
        <v>48</v>
      </c>
      <c r="I2789" t="s">
        <v>26</v>
      </c>
      <c r="J2789" t="s">
        <v>27</v>
      </c>
      <c r="K2789" t="s">
        <v>28</v>
      </c>
      <c r="L2789" s="2">
        <v>35.700000000000003</v>
      </c>
      <c r="M2789" s="3">
        <v>388</v>
      </c>
      <c r="N2789">
        <v>4</v>
      </c>
      <c r="O2789">
        <v>3</v>
      </c>
      <c r="P2789">
        <v>1</v>
      </c>
      <c r="Q2789">
        <v>0</v>
      </c>
      <c r="R2789" s="4">
        <v>27.47</v>
      </c>
      <c r="S2789">
        <v>0</v>
      </c>
      <c r="T2789">
        <v>1</v>
      </c>
    </row>
    <row r="2790" spans="1:20" ht="16.5" x14ac:dyDescent="0.3">
      <c r="A2790" t="s">
        <v>2844</v>
      </c>
      <c r="B2790" s="1">
        <v>45679</v>
      </c>
      <c r="C2790">
        <v>2025</v>
      </c>
      <c r="D2790" t="s">
        <v>21</v>
      </c>
      <c r="E2790" t="s">
        <v>22</v>
      </c>
      <c r="F2790" t="s">
        <v>57</v>
      </c>
      <c r="G2790" t="s">
        <v>39</v>
      </c>
      <c r="H2790" t="s">
        <v>36</v>
      </c>
      <c r="I2790" t="s">
        <v>26</v>
      </c>
      <c r="J2790" t="s">
        <v>27</v>
      </c>
      <c r="K2790" t="s">
        <v>32</v>
      </c>
      <c r="L2790" s="2">
        <v>2.2000000000000002</v>
      </c>
      <c r="M2790" s="3">
        <v>255</v>
      </c>
      <c r="N2790">
        <v>3</v>
      </c>
      <c r="O2790">
        <v>3</v>
      </c>
      <c r="P2790">
        <v>1</v>
      </c>
      <c r="Q2790">
        <v>0</v>
      </c>
      <c r="R2790" s="4">
        <v>12.26</v>
      </c>
      <c r="S2790">
        <v>0</v>
      </c>
      <c r="T2790">
        <v>1</v>
      </c>
    </row>
    <row r="2791" spans="1:20" ht="16.5" x14ac:dyDescent="0.3">
      <c r="A2791" t="s">
        <v>2845</v>
      </c>
      <c r="B2791" s="1">
        <v>45679</v>
      </c>
      <c r="C2791">
        <v>2025</v>
      </c>
      <c r="D2791" t="s">
        <v>21</v>
      </c>
      <c r="E2791" t="s">
        <v>22</v>
      </c>
      <c r="F2791" t="s">
        <v>57</v>
      </c>
      <c r="G2791" t="s">
        <v>35</v>
      </c>
      <c r="H2791" t="s">
        <v>36</v>
      </c>
      <c r="I2791" t="s">
        <v>26</v>
      </c>
      <c r="J2791" t="s">
        <v>27</v>
      </c>
      <c r="K2791" t="s">
        <v>32</v>
      </c>
      <c r="L2791" s="2">
        <v>12.3</v>
      </c>
      <c r="M2791" s="3">
        <v>282</v>
      </c>
      <c r="N2791">
        <v>3</v>
      </c>
      <c r="O2791">
        <v>5</v>
      </c>
      <c r="P2791">
        <v>0</v>
      </c>
      <c r="Q2791">
        <v>2</v>
      </c>
      <c r="R2791" s="4">
        <v>18.28</v>
      </c>
      <c r="S2791">
        <v>0</v>
      </c>
      <c r="T2791">
        <v>1</v>
      </c>
    </row>
    <row r="2792" spans="1:20" ht="16.5" x14ac:dyDescent="0.3">
      <c r="A2792" t="s">
        <v>2846</v>
      </c>
      <c r="B2792" s="1">
        <v>45679</v>
      </c>
      <c r="C2792">
        <v>2025</v>
      </c>
      <c r="D2792" t="s">
        <v>21</v>
      </c>
      <c r="E2792" t="s">
        <v>22</v>
      </c>
      <c r="F2792" t="s">
        <v>30</v>
      </c>
      <c r="G2792" t="s">
        <v>24</v>
      </c>
      <c r="H2792" t="s">
        <v>36</v>
      </c>
      <c r="I2792" t="s">
        <v>26</v>
      </c>
      <c r="J2792" t="s">
        <v>27</v>
      </c>
      <c r="K2792" t="s">
        <v>32</v>
      </c>
      <c r="L2792" s="2">
        <v>2.4</v>
      </c>
      <c r="M2792" s="3">
        <v>300</v>
      </c>
      <c r="N2792">
        <v>3</v>
      </c>
      <c r="O2792">
        <v>3</v>
      </c>
      <c r="P2792">
        <v>1</v>
      </c>
      <c r="Q2792">
        <v>0</v>
      </c>
      <c r="R2792" s="4">
        <v>12.26</v>
      </c>
      <c r="S2792">
        <v>0</v>
      </c>
      <c r="T2792">
        <v>1</v>
      </c>
    </row>
    <row r="2793" spans="1:20" ht="16.5" x14ac:dyDescent="0.3">
      <c r="A2793" t="s">
        <v>2847</v>
      </c>
      <c r="B2793" s="1">
        <v>45679</v>
      </c>
      <c r="C2793">
        <v>2025</v>
      </c>
      <c r="D2793" t="s">
        <v>21</v>
      </c>
      <c r="E2793" t="s">
        <v>22</v>
      </c>
      <c r="F2793" t="s">
        <v>30</v>
      </c>
      <c r="G2793" t="s">
        <v>35</v>
      </c>
      <c r="H2793" t="s">
        <v>36</v>
      </c>
      <c r="I2793" t="s">
        <v>40</v>
      </c>
      <c r="J2793" t="s">
        <v>27</v>
      </c>
      <c r="K2793" t="s">
        <v>32</v>
      </c>
      <c r="L2793" s="2">
        <v>5.9</v>
      </c>
      <c r="M2793" s="3">
        <v>204</v>
      </c>
      <c r="N2793">
        <v>1</v>
      </c>
      <c r="O2793">
        <v>4</v>
      </c>
      <c r="P2793">
        <v>0</v>
      </c>
      <c r="Q2793">
        <v>3</v>
      </c>
      <c r="R2793" s="4">
        <v>25.71</v>
      </c>
      <c r="S2793">
        <v>0</v>
      </c>
      <c r="T2793">
        <v>1</v>
      </c>
    </row>
    <row r="2794" spans="1:20" ht="16.5" x14ac:dyDescent="0.3">
      <c r="A2794" t="s">
        <v>2848</v>
      </c>
      <c r="B2794" s="1">
        <v>45679</v>
      </c>
      <c r="C2794">
        <v>2025</v>
      </c>
      <c r="D2794" t="s">
        <v>21</v>
      </c>
      <c r="E2794" t="s">
        <v>22</v>
      </c>
      <c r="F2794" t="s">
        <v>57</v>
      </c>
      <c r="G2794" t="s">
        <v>35</v>
      </c>
      <c r="H2794" t="s">
        <v>36</v>
      </c>
      <c r="I2794" t="s">
        <v>40</v>
      </c>
      <c r="J2794" t="s">
        <v>27</v>
      </c>
      <c r="K2794" t="s">
        <v>32</v>
      </c>
      <c r="L2794" s="2">
        <v>9.5</v>
      </c>
      <c r="M2794" s="3">
        <v>358</v>
      </c>
      <c r="N2794">
        <v>1</v>
      </c>
      <c r="O2794">
        <v>1</v>
      </c>
      <c r="P2794">
        <v>1</v>
      </c>
      <c r="Q2794">
        <v>0</v>
      </c>
      <c r="R2794" s="4">
        <v>34.479999999999997</v>
      </c>
      <c r="S2794">
        <v>0</v>
      </c>
      <c r="T2794">
        <v>1</v>
      </c>
    </row>
    <row r="2795" spans="1:20" ht="16.5" x14ac:dyDescent="0.3">
      <c r="A2795" t="s">
        <v>2849</v>
      </c>
      <c r="B2795" s="1">
        <v>45679</v>
      </c>
      <c r="C2795">
        <v>2025</v>
      </c>
      <c r="D2795" t="s">
        <v>21</v>
      </c>
      <c r="E2795" t="s">
        <v>22</v>
      </c>
      <c r="F2795" t="s">
        <v>34</v>
      </c>
      <c r="G2795" t="s">
        <v>39</v>
      </c>
      <c r="H2795" t="s">
        <v>25</v>
      </c>
      <c r="I2795" t="s">
        <v>26</v>
      </c>
      <c r="J2795" t="s">
        <v>27</v>
      </c>
      <c r="K2795" t="s">
        <v>32</v>
      </c>
      <c r="L2795" s="2">
        <v>10.7</v>
      </c>
      <c r="M2795" s="3">
        <v>928</v>
      </c>
      <c r="N2795">
        <v>4</v>
      </c>
      <c r="O2795">
        <v>4</v>
      </c>
      <c r="P2795">
        <v>1</v>
      </c>
      <c r="Q2795">
        <v>0</v>
      </c>
      <c r="R2795" s="4">
        <v>22.84</v>
      </c>
      <c r="S2795">
        <v>0</v>
      </c>
      <c r="T2795">
        <v>1</v>
      </c>
    </row>
    <row r="2796" spans="1:20" ht="16.5" x14ac:dyDescent="0.3">
      <c r="A2796" t="s">
        <v>2850</v>
      </c>
      <c r="B2796" s="1">
        <v>45680</v>
      </c>
      <c r="C2796">
        <v>2025</v>
      </c>
      <c r="D2796" t="s">
        <v>21</v>
      </c>
      <c r="E2796" t="s">
        <v>22</v>
      </c>
      <c r="F2796" t="s">
        <v>30</v>
      </c>
      <c r="G2796" t="s">
        <v>39</v>
      </c>
      <c r="H2796" t="s">
        <v>36</v>
      </c>
      <c r="I2796" t="s">
        <v>26</v>
      </c>
      <c r="J2796" t="s">
        <v>27</v>
      </c>
      <c r="K2796" t="s">
        <v>32</v>
      </c>
      <c r="L2796" s="2">
        <v>3.4</v>
      </c>
      <c r="M2796" s="3">
        <v>248</v>
      </c>
      <c r="N2796">
        <v>3</v>
      </c>
      <c r="O2796">
        <v>4</v>
      </c>
      <c r="P2796">
        <v>0</v>
      </c>
      <c r="Q2796">
        <v>1</v>
      </c>
      <c r="R2796" s="4">
        <v>10.83</v>
      </c>
      <c r="S2796">
        <v>0</v>
      </c>
      <c r="T2796">
        <v>1</v>
      </c>
    </row>
    <row r="2797" spans="1:20" ht="16.5" x14ac:dyDescent="0.3">
      <c r="A2797" t="s">
        <v>2851</v>
      </c>
      <c r="B2797" s="1">
        <v>45680</v>
      </c>
      <c r="C2797">
        <v>2025</v>
      </c>
      <c r="D2797" t="s">
        <v>21</v>
      </c>
      <c r="E2797" t="s">
        <v>22</v>
      </c>
      <c r="F2797" t="s">
        <v>30</v>
      </c>
      <c r="G2797" t="s">
        <v>39</v>
      </c>
      <c r="H2797" t="s">
        <v>36</v>
      </c>
      <c r="I2797" t="s">
        <v>31</v>
      </c>
      <c r="J2797" t="s">
        <v>27</v>
      </c>
      <c r="K2797" t="s">
        <v>28</v>
      </c>
      <c r="L2797" s="2">
        <v>47.1</v>
      </c>
      <c r="M2797" s="3">
        <v>285</v>
      </c>
      <c r="N2797">
        <v>5</v>
      </c>
      <c r="O2797">
        <v>8</v>
      </c>
      <c r="P2797">
        <v>0</v>
      </c>
      <c r="Q2797">
        <v>3</v>
      </c>
      <c r="R2797" s="4">
        <v>22.92</v>
      </c>
      <c r="S2797">
        <v>0</v>
      </c>
      <c r="T2797">
        <v>1</v>
      </c>
    </row>
    <row r="2798" spans="1:20" ht="16.5" x14ac:dyDescent="0.3">
      <c r="A2798" t="s">
        <v>2852</v>
      </c>
      <c r="B2798" s="1">
        <v>45680</v>
      </c>
      <c r="C2798">
        <v>2025</v>
      </c>
      <c r="D2798" t="s">
        <v>21</v>
      </c>
      <c r="E2798" t="s">
        <v>22</v>
      </c>
      <c r="F2798" t="s">
        <v>30</v>
      </c>
      <c r="G2798" t="s">
        <v>39</v>
      </c>
      <c r="H2798" t="s">
        <v>48</v>
      </c>
      <c r="I2798" t="s">
        <v>26</v>
      </c>
      <c r="J2798" t="s">
        <v>27</v>
      </c>
      <c r="K2798" t="s">
        <v>32</v>
      </c>
      <c r="L2798" s="2">
        <v>7.8</v>
      </c>
      <c r="M2798" s="3">
        <v>443</v>
      </c>
      <c r="N2798">
        <v>4</v>
      </c>
      <c r="O2798">
        <v>4</v>
      </c>
      <c r="P2798">
        <v>1</v>
      </c>
      <c r="Q2798">
        <v>0</v>
      </c>
      <c r="R2798" s="4">
        <v>18.420000000000002</v>
      </c>
      <c r="S2798">
        <v>0</v>
      </c>
      <c r="T2798">
        <v>1</v>
      </c>
    </row>
    <row r="2799" spans="1:20" ht="16.5" x14ac:dyDescent="0.3">
      <c r="A2799" t="s">
        <v>2853</v>
      </c>
      <c r="B2799" s="1">
        <v>45680</v>
      </c>
      <c r="C2799">
        <v>2025</v>
      </c>
      <c r="D2799" t="s">
        <v>21</v>
      </c>
      <c r="E2799" t="s">
        <v>22</v>
      </c>
      <c r="F2799" t="s">
        <v>38</v>
      </c>
      <c r="G2799" t="s">
        <v>35</v>
      </c>
      <c r="H2799" t="s">
        <v>36</v>
      </c>
      <c r="I2799" t="s">
        <v>26</v>
      </c>
      <c r="J2799" t="s">
        <v>27</v>
      </c>
      <c r="K2799" t="s">
        <v>32</v>
      </c>
      <c r="L2799" s="2">
        <v>0.8</v>
      </c>
      <c r="M2799" s="3">
        <v>291</v>
      </c>
      <c r="N2799">
        <v>3</v>
      </c>
      <c r="O2799">
        <v>3</v>
      </c>
      <c r="P2799">
        <v>1</v>
      </c>
      <c r="Q2799">
        <v>0</v>
      </c>
      <c r="R2799" s="4">
        <v>10.61</v>
      </c>
      <c r="S2799">
        <v>0</v>
      </c>
      <c r="T2799">
        <v>1</v>
      </c>
    </row>
    <row r="2800" spans="1:20" ht="16.5" x14ac:dyDescent="0.3">
      <c r="A2800" t="s">
        <v>2854</v>
      </c>
      <c r="B2800" s="1">
        <v>45680</v>
      </c>
      <c r="C2800">
        <v>2025</v>
      </c>
      <c r="D2800" t="s">
        <v>21</v>
      </c>
      <c r="E2800" t="s">
        <v>22</v>
      </c>
      <c r="F2800" t="s">
        <v>34</v>
      </c>
      <c r="G2800" t="s">
        <v>35</v>
      </c>
      <c r="H2800" t="s">
        <v>36</v>
      </c>
      <c r="I2800" t="s">
        <v>31</v>
      </c>
      <c r="J2800" t="s">
        <v>27</v>
      </c>
      <c r="K2800" t="s">
        <v>32</v>
      </c>
      <c r="L2800" s="2">
        <v>13.9</v>
      </c>
      <c r="M2800" s="3">
        <v>257</v>
      </c>
      <c r="N2800">
        <v>5</v>
      </c>
      <c r="O2800">
        <v>4</v>
      </c>
      <c r="P2800">
        <v>1</v>
      </c>
      <c r="Q2800">
        <v>0</v>
      </c>
      <c r="R2800" s="4">
        <v>10.73</v>
      </c>
      <c r="S2800">
        <v>0</v>
      </c>
      <c r="T2800">
        <v>1</v>
      </c>
    </row>
    <row r="2801" spans="1:20" ht="16.5" x14ac:dyDescent="0.3">
      <c r="A2801" t="s">
        <v>2855</v>
      </c>
      <c r="B2801" s="1">
        <v>45680</v>
      </c>
      <c r="C2801">
        <v>2025</v>
      </c>
      <c r="D2801" t="s">
        <v>21</v>
      </c>
      <c r="E2801" t="s">
        <v>22</v>
      </c>
      <c r="F2801" t="s">
        <v>30</v>
      </c>
      <c r="G2801" t="s">
        <v>24</v>
      </c>
      <c r="H2801" t="s">
        <v>25</v>
      </c>
      <c r="I2801" t="s">
        <v>26</v>
      </c>
      <c r="J2801" t="s">
        <v>27</v>
      </c>
      <c r="K2801" t="s">
        <v>32</v>
      </c>
      <c r="L2801" s="2">
        <v>25.3</v>
      </c>
      <c r="M2801" s="3">
        <v>746</v>
      </c>
      <c r="N2801">
        <v>4</v>
      </c>
      <c r="O2801">
        <v>4</v>
      </c>
      <c r="P2801">
        <v>1</v>
      </c>
      <c r="Q2801">
        <v>0</v>
      </c>
      <c r="R2801" s="4">
        <v>31.66</v>
      </c>
      <c r="S2801">
        <v>0</v>
      </c>
      <c r="T2801">
        <v>1</v>
      </c>
    </row>
    <row r="2802" spans="1:20" ht="16.5" x14ac:dyDescent="0.3">
      <c r="A2802" t="s">
        <v>2856</v>
      </c>
      <c r="B2802" s="1">
        <v>45680</v>
      </c>
      <c r="C2802">
        <v>2025</v>
      </c>
      <c r="D2802" t="s">
        <v>21</v>
      </c>
      <c r="E2802" t="s">
        <v>22</v>
      </c>
      <c r="F2802" t="s">
        <v>57</v>
      </c>
      <c r="G2802" t="s">
        <v>39</v>
      </c>
      <c r="H2802" t="s">
        <v>48</v>
      </c>
      <c r="I2802" t="s">
        <v>26</v>
      </c>
      <c r="J2802" t="s">
        <v>27</v>
      </c>
      <c r="K2802" t="s">
        <v>28</v>
      </c>
      <c r="L2802" s="2">
        <v>302.10000000000002</v>
      </c>
      <c r="M2802" s="3">
        <v>508</v>
      </c>
      <c r="N2802">
        <v>4</v>
      </c>
      <c r="O2802">
        <v>3</v>
      </c>
      <c r="P2802">
        <v>1</v>
      </c>
      <c r="Q2802">
        <v>0</v>
      </c>
      <c r="R2802" s="4">
        <v>128.41</v>
      </c>
      <c r="S2802">
        <v>0</v>
      </c>
      <c r="T2802">
        <v>1</v>
      </c>
    </row>
    <row r="2803" spans="1:20" ht="16.5" x14ac:dyDescent="0.3">
      <c r="A2803" t="s">
        <v>2857</v>
      </c>
      <c r="B2803" s="1">
        <v>45680</v>
      </c>
      <c r="C2803">
        <v>2025</v>
      </c>
      <c r="D2803" t="s">
        <v>21</v>
      </c>
      <c r="E2803" t="s">
        <v>22</v>
      </c>
      <c r="F2803" t="s">
        <v>34</v>
      </c>
      <c r="G2803" t="s">
        <v>39</v>
      </c>
      <c r="H2803" t="s">
        <v>36</v>
      </c>
      <c r="I2803" t="s">
        <v>26</v>
      </c>
      <c r="J2803" t="s">
        <v>27</v>
      </c>
      <c r="K2803" t="s">
        <v>32</v>
      </c>
      <c r="L2803" s="2">
        <v>10.3</v>
      </c>
      <c r="M2803" s="3">
        <v>295</v>
      </c>
      <c r="N2803">
        <v>3</v>
      </c>
      <c r="O2803">
        <v>3</v>
      </c>
      <c r="P2803">
        <v>1</v>
      </c>
      <c r="Q2803">
        <v>0</v>
      </c>
      <c r="R2803" s="4">
        <v>13.72</v>
      </c>
      <c r="S2803">
        <v>0</v>
      </c>
      <c r="T2803">
        <v>1</v>
      </c>
    </row>
    <row r="2804" spans="1:20" ht="16.5" x14ac:dyDescent="0.3">
      <c r="A2804" t="s">
        <v>2858</v>
      </c>
      <c r="B2804" s="1">
        <v>45680</v>
      </c>
      <c r="C2804">
        <v>2025</v>
      </c>
      <c r="D2804" t="s">
        <v>21</v>
      </c>
      <c r="E2804" t="s">
        <v>22</v>
      </c>
      <c r="F2804" t="s">
        <v>23</v>
      </c>
      <c r="G2804" t="s">
        <v>39</v>
      </c>
      <c r="H2804" t="s">
        <v>48</v>
      </c>
      <c r="I2804" t="s">
        <v>26</v>
      </c>
      <c r="J2804" t="s">
        <v>27</v>
      </c>
      <c r="K2804" t="s">
        <v>32</v>
      </c>
      <c r="L2804" s="2">
        <v>3.7</v>
      </c>
      <c r="M2804" s="3">
        <v>574</v>
      </c>
      <c r="N2804">
        <v>4</v>
      </c>
      <c r="O2804">
        <v>3</v>
      </c>
      <c r="P2804">
        <v>1</v>
      </c>
      <c r="Q2804">
        <v>0</v>
      </c>
      <c r="R2804" s="4">
        <v>15.44</v>
      </c>
      <c r="S2804">
        <v>0</v>
      </c>
      <c r="T2804">
        <v>1</v>
      </c>
    </row>
    <row r="2805" spans="1:20" ht="16.5" x14ac:dyDescent="0.3">
      <c r="A2805" t="s">
        <v>2859</v>
      </c>
      <c r="B2805" s="1">
        <v>45681</v>
      </c>
      <c r="C2805">
        <v>2025</v>
      </c>
      <c r="D2805" t="s">
        <v>21</v>
      </c>
      <c r="E2805" t="s">
        <v>22</v>
      </c>
      <c r="F2805" t="s">
        <v>30</v>
      </c>
      <c r="G2805" t="s">
        <v>39</v>
      </c>
      <c r="H2805" t="s">
        <v>48</v>
      </c>
      <c r="I2805" t="s">
        <v>31</v>
      </c>
      <c r="J2805" t="s">
        <v>27</v>
      </c>
      <c r="K2805" t="s">
        <v>32</v>
      </c>
      <c r="L2805" s="2">
        <v>6.5</v>
      </c>
      <c r="M2805" s="3">
        <v>461</v>
      </c>
      <c r="N2805">
        <v>6</v>
      </c>
      <c r="O2805">
        <v>6</v>
      </c>
      <c r="P2805">
        <v>1</v>
      </c>
      <c r="Q2805">
        <v>0</v>
      </c>
      <c r="R2805" s="4">
        <v>12.74</v>
      </c>
      <c r="S2805">
        <v>0</v>
      </c>
      <c r="T2805">
        <v>1</v>
      </c>
    </row>
    <row r="2806" spans="1:20" ht="16.5" x14ac:dyDescent="0.3">
      <c r="A2806" t="s">
        <v>2860</v>
      </c>
      <c r="B2806" s="1">
        <v>45681</v>
      </c>
      <c r="C2806">
        <v>2025</v>
      </c>
      <c r="D2806" t="s">
        <v>21</v>
      </c>
      <c r="E2806" t="s">
        <v>22</v>
      </c>
      <c r="F2806" t="s">
        <v>57</v>
      </c>
      <c r="G2806" t="s">
        <v>39</v>
      </c>
      <c r="H2806" t="s">
        <v>51</v>
      </c>
      <c r="I2806" t="s">
        <v>26</v>
      </c>
      <c r="J2806" t="s">
        <v>27</v>
      </c>
      <c r="K2806" t="s">
        <v>32</v>
      </c>
      <c r="L2806" s="2">
        <v>7.5</v>
      </c>
      <c r="M2806" s="3">
        <v>1185</v>
      </c>
      <c r="N2806">
        <v>5</v>
      </c>
      <c r="O2806">
        <v>5</v>
      </c>
      <c r="P2806">
        <v>1</v>
      </c>
      <c r="Q2806">
        <v>0</v>
      </c>
      <c r="R2806" s="4">
        <v>24.61</v>
      </c>
      <c r="S2806">
        <v>0</v>
      </c>
      <c r="T2806">
        <v>1</v>
      </c>
    </row>
    <row r="2807" spans="1:20" ht="16.5" x14ac:dyDescent="0.3">
      <c r="A2807" t="s">
        <v>2861</v>
      </c>
      <c r="B2807" s="1">
        <v>45681</v>
      </c>
      <c r="C2807">
        <v>2025</v>
      </c>
      <c r="D2807" t="s">
        <v>21</v>
      </c>
      <c r="E2807" t="s">
        <v>22</v>
      </c>
      <c r="F2807" t="s">
        <v>23</v>
      </c>
      <c r="G2807" t="s">
        <v>24</v>
      </c>
      <c r="H2807" t="s">
        <v>25</v>
      </c>
      <c r="I2807" t="s">
        <v>31</v>
      </c>
      <c r="J2807" t="s">
        <v>27</v>
      </c>
      <c r="K2807" t="s">
        <v>32</v>
      </c>
      <c r="L2807" s="2">
        <v>0.8</v>
      </c>
      <c r="M2807" s="3">
        <v>819</v>
      </c>
      <c r="N2807">
        <v>6</v>
      </c>
      <c r="O2807">
        <v>6</v>
      </c>
      <c r="P2807">
        <v>1</v>
      </c>
      <c r="Q2807">
        <v>0</v>
      </c>
      <c r="R2807" s="4">
        <v>11.23</v>
      </c>
      <c r="S2807">
        <v>0</v>
      </c>
      <c r="T2807">
        <v>1</v>
      </c>
    </row>
    <row r="2808" spans="1:20" ht="16.5" x14ac:dyDescent="0.3">
      <c r="A2808" t="s">
        <v>2862</v>
      </c>
      <c r="B2808" s="1">
        <v>45681</v>
      </c>
      <c r="C2808">
        <v>2025</v>
      </c>
      <c r="D2808" t="s">
        <v>21</v>
      </c>
      <c r="E2808" t="s">
        <v>22</v>
      </c>
      <c r="F2808" t="s">
        <v>57</v>
      </c>
      <c r="G2808" t="s">
        <v>35</v>
      </c>
      <c r="H2808" t="s">
        <v>25</v>
      </c>
      <c r="I2808" t="s">
        <v>31</v>
      </c>
      <c r="J2808" t="s">
        <v>27</v>
      </c>
      <c r="K2808" t="s">
        <v>32</v>
      </c>
      <c r="L2808" s="2">
        <v>14.8</v>
      </c>
      <c r="M2808" s="3">
        <v>1002</v>
      </c>
      <c r="N2808">
        <v>6</v>
      </c>
      <c r="O2808">
        <v>5</v>
      </c>
      <c r="P2808">
        <v>1</v>
      </c>
      <c r="Q2808">
        <v>0</v>
      </c>
      <c r="R2808" s="4">
        <v>18.600000000000001</v>
      </c>
      <c r="S2808">
        <v>0</v>
      </c>
      <c r="T2808">
        <v>1</v>
      </c>
    </row>
    <row r="2809" spans="1:20" ht="16.5" x14ac:dyDescent="0.3">
      <c r="A2809" t="s">
        <v>2863</v>
      </c>
      <c r="B2809" s="1">
        <v>45681</v>
      </c>
      <c r="C2809">
        <v>2025</v>
      </c>
      <c r="D2809" t="s">
        <v>21</v>
      </c>
      <c r="E2809" t="s">
        <v>22</v>
      </c>
      <c r="F2809" t="s">
        <v>34</v>
      </c>
      <c r="G2809" t="s">
        <v>24</v>
      </c>
      <c r="H2809" t="s">
        <v>25</v>
      </c>
      <c r="I2809" t="s">
        <v>40</v>
      </c>
      <c r="J2809" t="s">
        <v>41</v>
      </c>
      <c r="K2809" t="s">
        <v>32</v>
      </c>
      <c r="L2809" s="2">
        <v>3.4</v>
      </c>
      <c r="M2809" s="3">
        <v>847</v>
      </c>
      <c r="N2809">
        <v>2</v>
      </c>
      <c r="O2809">
        <v>2</v>
      </c>
      <c r="P2809">
        <v>1</v>
      </c>
      <c r="Q2809">
        <v>0</v>
      </c>
      <c r="R2809" s="4">
        <v>49.28</v>
      </c>
      <c r="S2809">
        <v>0</v>
      </c>
      <c r="T2809">
        <v>1</v>
      </c>
    </row>
    <row r="2810" spans="1:20" ht="16.5" x14ac:dyDescent="0.3">
      <c r="A2810" t="s">
        <v>2864</v>
      </c>
      <c r="B2810" s="1">
        <v>45681</v>
      </c>
      <c r="C2810">
        <v>2025</v>
      </c>
      <c r="D2810" t="s">
        <v>21</v>
      </c>
      <c r="E2810" t="s">
        <v>22</v>
      </c>
      <c r="F2810" t="s">
        <v>38</v>
      </c>
      <c r="G2810" t="s">
        <v>24</v>
      </c>
      <c r="H2810" t="s">
        <v>43</v>
      </c>
      <c r="I2810" t="s">
        <v>40</v>
      </c>
      <c r="J2810" t="s">
        <v>41</v>
      </c>
      <c r="K2810" t="s">
        <v>32</v>
      </c>
      <c r="L2810" s="2">
        <v>3.8</v>
      </c>
      <c r="M2810" s="3">
        <v>1181</v>
      </c>
      <c r="N2810">
        <v>3</v>
      </c>
      <c r="O2810">
        <v>2</v>
      </c>
      <c r="P2810">
        <v>1</v>
      </c>
      <c r="Q2810">
        <v>0</v>
      </c>
      <c r="R2810" s="4">
        <v>71.459999999999994</v>
      </c>
      <c r="S2810">
        <v>0</v>
      </c>
      <c r="T2810">
        <v>1</v>
      </c>
    </row>
    <row r="2811" spans="1:20" ht="16.5" x14ac:dyDescent="0.3">
      <c r="A2811" t="s">
        <v>2865</v>
      </c>
      <c r="B2811" s="1">
        <v>45682</v>
      </c>
      <c r="C2811">
        <v>2025</v>
      </c>
      <c r="D2811" t="s">
        <v>21</v>
      </c>
      <c r="E2811" t="s">
        <v>22</v>
      </c>
      <c r="F2811" t="s">
        <v>34</v>
      </c>
      <c r="G2811" t="s">
        <v>35</v>
      </c>
      <c r="H2811" t="s">
        <v>36</v>
      </c>
      <c r="I2811" t="s">
        <v>26</v>
      </c>
      <c r="J2811" t="s">
        <v>27</v>
      </c>
      <c r="K2811" t="s">
        <v>28</v>
      </c>
      <c r="L2811" s="2">
        <v>78.2</v>
      </c>
      <c r="M2811" s="3">
        <v>237</v>
      </c>
      <c r="N2811">
        <v>3</v>
      </c>
      <c r="O2811">
        <v>3</v>
      </c>
      <c r="P2811">
        <v>1</v>
      </c>
      <c r="Q2811">
        <v>0</v>
      </c>
      <c r="R2811" s="4">
        <v>39.92</v>
      </c>
      <c r="S2811">
        <v>0</v>
      </c>
      <c r="T2811">
        <v>1</v>
      </c>
    </row>
    <row r="2812" spans="1:20" ht="16.5" x14ac:dyDescent="0.3">
      <c r="A2812" t="s">
        <v>2866</v>
      </c>
      <c r="B2812" s="1">
        <v>45682</v>
      </c>
      <c r="C2812">
        <v>2025</v>
      </c>
      <c r="D2812" t="s">
        <v>21</v>
      </c>
      <c r="E2812" t="s">
        <v>22</v>
      </c>
      <c r="F2812" t="s">
        <v>30</v>
      </c>
      <c r="G2812" t="s">
        <v>39</v>
      </c>
      <c r="H2812" t="s">
        <v>25</v>
      </c>
      <c r="I2812" t="s">
        <v>26</v>
      </c>
      <c r="J2812" t="s">
        <v>27</v>
      </c>
      <c r="K2812" t="s">
        <v>28</v>
      </c>
      <c r="L2812" s="2">
        <v>153.9</v>
      </c>
      <c r="M2812" s="3">
        <v>1022</v>
      </c>
      <c r="N2812">
        <v>4</v>
      </c>
      <c r="O2812">
        <v>3</v>
      </c>
      <c r="P2812">
        <v>1</v>
      </c>
      <c r="Q2812">
        <v>0</v>
      </c>
      <c r="R2812" s="4">
        <v>82.64</v>
      </c>
      <c r="S2812">
        <v>0</v>
      </c>
      <c r="T2812">
        <v>1</v>
      </c>
    </row>
    <row r="2813" spans="1:20" ht="16.5" x14ac:dyDescent="0.3">
      <c r="A2813" t="s">
        <v>2867</v>
      </c>
      <c r="B2813" s="1">
        <v>45682</v>
      </c>
      <c r="C2813">
        <v>2025</v>
      </c>
      <c r="D2813" t="s">
        <v>21</v>
      </c>
      <c r="E2813" t="s">
        <v>22</v>
      </c>
      <c r="F2813" t="s">
        <v>23</v>
      </c>
      <c r="G2813" t="s">
        <v>35</v>
      </c>
      <c r="H2813" t="s">
        <v>25</v>
      </c>
      <c r="I2813" t="s">
        <v>26</v>
      </c>
      <c r="J2813" t="s">
        <v>27</v>
      </c>
      <c r="K2813" t="s">
        <v>28</v>
      </c>
      <c r="L2813" s="2">
        <v>42.3</v>
      </c>
      <c r="M2813" s="3">
        <v>905</v>
      </c>
      <c r="N2813">
        <v>4</v>
      </c>
      <c r="O2813">
        <v>4</v>
      </c>
      <c r="P2813">
        <v>1</v>
      </c>
      <c r="Q2813">
        <v>0</v>
      </c>
      <c r="R2813" s="4">
        <v>37.94</v>
      </c>
      <c r="S2813">
        <v>0</v>
      </c>
      <c r="T2813">
        <v>1</v>
      </c>
    </row>
    <row r="2814" spans="1:20" ht="16.5" x14ac:dyDescent="0.3">
      <c r="A2814" t="s">
        <v>2868</v>
      </c>
      <c r="B2814" s="1">
        <v>45682</v>
      </c>
      <c r="C2814">
        <v>2025</v>
      </c>
      <c r="D2814" t="s">
        <v>21</v>
      </c>
      <c r="E2814" t="s">
        <v>22</v>
      </c>
      <c r="F2814" t="s">
        <v>23</v>
      </c>
      <c r="G2814" t="s">
        <v>39</v>
      </c>
      <c r="H2814" t="s">
        <v>48</v>
      </c>
      <c r="I2814" t="s">
        <v>26</v>
      </c>
      <c r="J2814" t="s">
        <v>27</v>
      </c>
      <c r="K2814" t="s">
        <v>32</v>
      </c>
      <c r="L2814" s="2">
        <v>7.7</v>
      </c>
      <c r="M2814" s="3">
        <v>504</v>
      </c>
      <c r="N2814">
        <v>4</v>
      </c>
      <c r="O2814">
        <v>4</v>
      </c>
      <c r="P2814">
        <v>1</v>
      </c>
      <c r="Q2814">
        <v>0</v>
      </c>
      <c r="R2814" s="4">
        <v>18.02</v>
      </c>
      <c r="S2814">
        <v>0</v>
      </c>
      <c r="T2814">
        <v>1</v>
      </c>
    </row>
    <row r="2815" spans="1:20" ht="16.5" x14ac:dyDescent="0.3">
      <c r="A2815" t="s">
        <v>2869</v>
      </c>
      <c r="B2815" s="1">
        <v>45683</v>
      </c>
      <c r="C2815">
        <v>2025</v>
      </c>
      <c r="D2815" t="s">
        <v>21</v>
      </c>
      <c r="E2815" t="s">
        <v>22</v>
      </c>
      <c r="F2815" t="s">
        <v>34</v>
      </c>
      <c r="G2815" t="s">
        <v>39</v>
      </c>
      <c r="H2815" t="s">
        <v>43</v>
      </c>
      <c r="I2815" t="s">
        <v>26</v>
      </c>
      <c r="J2815" t="s">
        <v>27</v>
      </c>
      <c r="K2815" t="s">
        <v>32</v>
      </c>
      <c r="L2815" s="2">
        <v>9.1</v>
      </c>
      <c r="M2815" s="3">
        <v>1135</v>
      </c>
      <c r="N2815">
        <v>5</v>
      </c>
      <c r="O2815">
        <v>5</v>
      </c>
      <c r="P2815">
        <v>1</v>
      </c>
      <c r="Q2815">
        <v>0</v>
      </c>
      <c r="R2815" s="4">
        <v>18.75</v>
      </c>
      <c r="S2815">
        <v>0</v>
      </c>
      <c r="T2815">
        <v>1</v>
      </c>
    </row>
    <row r="2816" spans="1:20" ht="16.5" x14ac:dyDescent="0.3">
      <c r="A2816" t="s">
        <v>2870</v>
      </c>
      <c r="B2816" s="1">
        <v>45683</v>
      </c>
      <c r="C2816">
        <v>2025</v>
      </c>
      <c r="D2816" t="s">
        <v>21</v>
      </c>
      <c r="E2816" t="s">
        <v>22</v>
      </c>
      <c r="F2816" t="s">
        <v>23</v>
      </c>
      <c r="G2816" t="s">
        <v>24</v>
      </c>
      <c r="H2816" t="s">
        <v>43</v>
      </c>
      <c r="I2816" t="s">
        <v>26</v>
      </c>
      <c r="J2816" t="s">
        <v>27</v>
      </c>
      <c r="K2816" t="s">
        <v>28</v>
      </c>
      <c r="L2816" s="2">
        <v>182.9</v>
      </c>
      <c r="M2816" s="3">
        <v>1492</v>
      </c>
      <c r="N2816">
        <v>5</v>
      </c>
      <c r="O2816">
        <v>5</v>
      </c>
      <c r="P2816">
        <v>1</v>
      </c>
      <c r="Q2816">
        <v>0</v>
      </c>
      <c r="R2816" s="4">
        <v>100.21</v>
      </c>
      <c r="S2816">
        <v>0</v>
      </c>
      <c r="T2816">
        <v>1</v>
      </c>
    </row>
    <row r="2817" spans="1:20" ht="16.5" x14ac:dyDescent="0.3">
      <c r="A2817" t="s">
        <v>2871</v>
      </c>
      <c r="B2817" s="1">
        <v>45683</v>
      </c>
      <c r="C2817">
        <v>2025</v>
      </c>
      <c r="D2817" t="s">
        <v>21</v>
      </c>
      <c r="E2817" t="s">
        <v>22</v>
      </c>
      <c r="F2817" t="s">
        <v>57</v>
      </c>
      <c r="G2817" t="s">
        <v>39</v>
      </c>
      <c r="H2817" t="s">
        <v>51</v>
      </c>
      <c r="I2817" t="s">
        <v>26</v>
      </c>
      <c r="J2817" t="s">
        <v>27</v>
      </c>
      <c r="K2817" t="s">
        <v>32</v>
      </c>
      <c r="L2817" s="2">
        <v>6.1</v>
      </c>
      <c r="M2817" s="3">
        <v>872</v>
      </c>
      <c r="N2817">
        <v>5</v>
      </c>
      <c r="O2817">
        <v>5</v>
      </c>
      <c r="P2817">
        <v>1</v>
      </c>
      <c r="Q2817">
        <v>0</v>
      </c>
      <c r="R2817" s="4">
        <v>20.47</v>
      </c>
      <c r="S2817">
        <v>0</v>
      </c>
      <c r="T2817">
        <v>1</v>
      </c>
    </row>
    <row r="2818" spans="1:20" ht="16.5" x14ac:dyDescent="0.3">
      <c r="A2818" t="s">
        <v>2872</v>
      </c>
      <c r="B2818" s="1">
        <v>45683</v>
      </c>
      <c r="C2818">
        <v>2025</v>
      </c>
      <c r="D2818" t="s">
        <v>21</v>
      </c>
      <c r="E2818" t="s">
        <v>22</v>
      </c>
      <c r="F2818" t="s">
        <v>34</v>
      </c>
      <c r="G2818" t="s">
        <v>39</v>
      </c>
      <c r="H2818" t="s">
        <v>51</v>
      </c>
      <c r="I2818" t="s">
        <v>40</v>
      </c>
      <c r="J2818" t="s">
        <v>41</v>
      </c>
      <c r="K2818" t="s">
        <v>32</v>
      </c>
      <c r="L2818" s="2">
        <v>10</v>
      </c>
      <c r="M2818" s="3">
        <v>1245</v>
      </c>
      <c r="N2818">
        <v>3</v>
      </c>
      <c r="O2818">
        <v>3</v>
      </c>
      <c r="P2818">
        <v>1</v>
      </c>
      <c r="Q2818">
        <v>0</v>
      </c>
      <c r="R2818" s="4">
        <v>69.680000000000007</v>
      </c>
      <c r="S2818">
        <v>0</v>
      </c>
      <c r="T2818">
        <v>1</v>
      </c>
    </row>
    <row r="2819" spans="1:20" ht="16.5" x14ac:dyDescent="0.3">
      <c r="A2819" t="s">
        <v>2873</v>
      </c>
      <c r="B2819" s="1">
        <v>45684</v>
      </c>
      <c r="C2819">
        <v>2025</v>
      </c>
      <c r="D2819" t="s">
        <v>21</v>
      </c>
      <c r="E2819" t="s">
        <v>22</v>
      </c>
      <c r="F2819" t="s">
        <v>38</v>
      </c>
      <c r="G2819" t="s">
        <v>24</v>
      </c>
      <c r="H2819" t="s">
        <v>51</v>
      </c>
      <c r="I2819" t="s">
        <v>40</v>
      </c>
      <c r="J2819" t="s">
        <v>41</v>
      </c>
      <c r="K2819" t="s">
        <v>32</v>
      </c>
      <c r="L2819" s="2">
        <v>4.3</v>
      </c>
      <c r="M2819" s="3">
        <v>839</v>
      </c>
      <c r="N2819">
        <v>3</v>
      </c>
      <c r="O2819">
        <v>6</v>
      </c>
      <c r="P2819">
        <v>0</v>
      </c>
      <c r="Q2819">
        <v>3</v>
      </c>
      <c r="R2819" s="4">
        <v>65.06</v>
      </c>
      <c r="S2819">
        <v>0</v>
      </c>
      <c r="T2819">
        <v>1</v>
      </c>
    </row>
    <row r="2820" spans="1:20" ht="16.5" x14ac:dyDescent="0.3">
      <c r="A2820" t="s">
        <v>2874</v>
      </c>
      <c r="B2820" s="1">
        <v>45684</v>
      </c>
      <c r="C2820">
        <v>2025</v>
      </c>
      <c r="D2820" t="s">
        <v>21</v>
      </c>
      <c r="E2820" t="s">
        <v>22</v>
      </c>
      <c r="F2820" t="s">
        <v>57</v>
      </c>
      <c r="G2820" t="s">
        <v>35</v>
      </c>
      <c r="H2820" t="s">
        <v>48</v>
      </c>
      <c r="I2820" t="s">
        <v>26</v>
      </c>
      <c r="J2820" t="s">
        <v>27</v>
      </c>
      <c r="K2820" t="s">
        <v>28</v>
      </c>
      <c r="L2820" s="2">
        <v>198</v>
      </c>
      <c r="M2820" s="3">
        <v>523</v>
      </c>
      <c r="N2820">
        <v>4</v>
      </c>
      <c r="O2820">
        <v>4</v>
      </c>
      <c r="P2820">
        <v>1</v>
      </c>
      <c r="Q2820">
        <v>0</v>
      </c>
      <c r="R2820" s="4">
        <v>92.66</v>
      </c>
      <c r="S2820">
        <v>0</v>
      </c>
      <c r="T2820">
        <v>1</v>
      </c>
    </row>
    <row r="2821" spans="1:20" ht="16.5" x14ac:dyDescent="0.3">
      <c r="A2821" t="s">
        <v>2875</v>
      </c>
      <c r="B2821" s="1">
        <v>45684</v>
      </c>
      <c r="C2821">
        <v>2025</v>
      </c>
      <c r="D2821" t="s">
        <v>21</v>
      </c>
      <c r="E2821" t="s">
        <v>22</v>
      </c>
      <c r="F2821" t="s">
        <v>38</v>
      </c>
      <c r="G2821" t="s">
        <v>39</v>
      </c>
      <c r="H2821" t="s">
        <v>43</v>
      </c>
      <c r="I2821" t="s">
        <v>31</v>
      </c>
      <c r="J2821" t="s">
        <v>27</v>
      </c>
      <c r="K2821" t="s">
        <v>32</v>
      </c>
      <c r="L2821" s="2">
        <v>1.3</v>
      </c>
      <c r="M2821" s="3">
        <v>1239</v>
      </c>
      <c r="N2821">
        <v>7</v>
      </c>
      <c r="O2821">
        <v>7</v>
      </c>
      <c r="P2821">
        <v>1</v>
      </c>
      <c r="Q2821">
        <v>0</v>
      </c>
      <c r="R2821" s="4">
        <v>18.04</v>
      </c>
      <c r="S2821">
        <v>0</v>
      </c>
      <c r="T2821">
        <v>1</v>
      </c>
    </row>
    <row r="2822" spans="1:20" ht="16.5" x14ac:dyDescent="0.3">
      <c r="A2822" t="s">
        <v>2876</v>
      </c>
      <c r="B2822" s="1">
        <v>45684</v>
      </c>
      <c r="C2822">
        <v>2025</v>
      </c>
      <c r="D2822" t="s">
        <v>21</v>
      </c>
      <c r="E2822" t="s">
        <v>22</v>
      </c>
      <c r="F2822" t="s">
        <v>23</v>
      </c>
      <c r="G2822" t="s">
        <v>35</v>
      </c>
      <c r="H2822" t="s">
        <v>48</v>
      </c>
      <c r="I2822" t="s">
        <v>26</v>
      </c>
      <c r="J2822" t="s">
        <v>27</v>
      </c>
      <c r="K2822" t="s">
        <v>32</v>
      </c>
      <c r="L2822" s="2">
        <v>3.4</v>
      </c>
      <c r="M2822" s="3">
        <v>389</v>
      </c>
      <c r="N2822">
        <v>4</v>
      </c>
      <c r="O2822">
        <v>4</v>
      </c>
      <c r="P2822">
        <v>1</v>
      </c>
      <c r="Q2822">
        <v>0</v>
      </c>
      <c r="R2822" s="4">
        <v>12.3</v>
      </c>
      <c r="S2822">
        <v>0</v>
      </c>
      <c r="T2822">
        <v>1</v>
      </c>
    </row>
    <row r="2823" spans="1:20" ht="16.5" x14ac:dyDescent="0.3">
      <c r="A2823" t="s">
        <v>2877</v>
      </c>
      <c r="B2823" s="1">
        <v>45684</v>
      </c>
      <c r="C2823">
        <v>2025</v>
      </c>
      <c r="D2823" t="s">
        <v>21</v>
      </c>
      <c r="E2823" t="s">
        <v>22</v>
      </c>
      <c r="F2823" t="s">
        <v>34</v>
      </c>
      <c r="G2823" t="s">
        <v>35</v>
      </c>
      <c r="H2823" t="s">
        <v>25</v>
      </c>
      <c r="I2823" t="s">
        <v>26</v>
      </c>
      <c r="J2823" t="s">
        <v>27</v>
      </c>
      <c r="K2823" t="s">
        <v>32</v>
      </c>
      <c r="L2823" s="2">
        <v>4.2</v>
      </c>
      <c r="M2823" s="3">
        <v>719</v>
      </c>
      <c r="N2823">
        <v>4</v>
      </c>
      <c r="O2823">
        <v>4</v>
      </c>
      <c r="P2823">
        <v>1</v>
      </c>
      <c r="Q2823">
        <v>0</v>
      </c>
      <c r="R2823" s="4">
        <v>17.29</v>
      </c>
      <c r="S2823">
        <v>0</v>
      </c>
      <c r="T2823">
        <v>1</v>
      </c>
    </row>
    <row r="2824" spans="1:20" ht="16.5" x14ac:dyDescent="0.3">
      <c r="A2824" t="s">
        <v>2878</v>
      </c>
      <c r="B2824" s="1">
        <v>45684</v>
      </c>
      <c r="C2824">
        <v>2025</v>
      </c>
      <c r="D2824" t="s">
        <v>21</v>
      </c>
      <c r="E2824" t="s">
        <v>22</v>
      </c>
      <c r="F2824" t="s">
        <v>34</v>
      </c>
      <c r="G2824" t="s">
        <v>35</v>
      </c>
      <c r="H2824" t="s">
        <v>36</v>
      </c>
      <c r="I2824" t="s">
        <v>26</v>
      </c>
      <c r="J2824" t="s">
        <v>27</v>
      </c>
      <c r="K2824" t="s">
        <v>32</v>
      </c>
      <c r="L2824" s="2">
        <v>3.4</v>
      </c>
      <c r="M2824" s="3">
        <v>294</v>
      </c>
      <c r="N2824">
        <v>3</v>
      </c>
      <c r="O2824">
        <v>2</v>
      </c>
      <c r="P2824">
        <v>1</v>
      </c>
      <c r="Q2824">
        <v>0</v>
      </c>
      <c r="R2824" s="4">
        <v>10.54</v>
      </c>
      <c r="S2824">
        <v>0</v>
      </c>
      <c r="T2824">
        <v>1</v>
      </c>
    </row>
    <row r="2825" spans="1:20" ht="16.5" x14ac:dyDescent="0.3">
      <c r="A2825" t="s">
        <v>2879</v>
      </c>
      <c r="B2825" s="1">
        <v>45684</v>
      </c>
      <c r="C2825">
        <v>2025</v>
      </c>
      <c r="D2825" t="s">
        <v>21</v>
      </c>
      <c r="E2825" t="s">
        <v>22</v>
      </c>
      <c r="F2825" t="s">
        <v>38</v>
      </c>
      <c r="G2825" t="s">
        <v>24</v>
      </c>
      <c r="H2825" t="s">
        <v>43</v>
      </c>
      <c r="I2825" t="s">
        <v>31</v>
      </c>
      <c r="J2825" t="s">
        <v>27</v>
      </c>
      <c r="K2825" t="s">
        <v>28</v>
      </c>
      <c r="L2825" s="2">
        <v>124.4</v>
      </c>
      <c r="M2825" s="3">
        <v>1161</v>
      </c>
      <c r="N2825">
        <v>7</v>
      </c>
      <c r="O2825">
        <v>6</v>
      </c>
      <c r="P2825">
        <v>1</v>
      </c>
      <c r="Q2825">
        <v>0</v>
      </c>
      <c r="R2825" s="4">
        <v>57.04</v>
      </c>
      <c r="S2825">
        <v>0</v>
      </c>
      <c r="T2825">
        <v>1</v>
      </c>
    </row>
    <row r="2826" spans="1:20" ht="16.5" x14ac:dyDescent="0.3">
      <c r="A2826" t="s">
        <v>2880</v>
      </c>
      <c r="B2826" s="1">
        <v>45684</v>
      </c>
      <c r="C2826">
        <v>2025</v>
      </c>
      <c r="D2826" t="s">
        <v>21</v>
      </c>
      <c r="E2826" t="s">
        <v>22</v>
      </c>
      <c r="F2826" t="s">
        <v>38</v>
      </c>
      <c r="G2826" t="s">
        <v>35</v>
      </c>
      <c r="H2826" t="s">
        <v>51</v>
      </c>
      <c r="I2826" t="s">
        <v>26</v>
      </c>
      <c r="J2826" t="s">
        <v>27</v>
      </c>
      <c r="K2826" t="s">
        <v>32</v>
      </c>
      <c r="L2826" s="2">
        <v>5.0999999999999996</v>
      </c>
      <c r="M2826" s="3">
        <v>1189</v>
      </c>
      <c r="N2826">
        <v>5</v>
      </c>
      <c r="O2826">
        <v>5</v>
      </c>
      <c r="P2826">
        <v>1</v>
      </c>
      <c r="Q2826">
        <v>0</v>
      </c>
      <c r="R2826" s="4">
        <v>25.43</v>
      </c>
      <c r="S2826">
        <v>0</v>
      </c>
      <c r="T2826">
        <v>1</v>
      </c>
    </row>
    <row r="2827" spans="1:20" ht="16.5" x14ac:dyDescent="0.3">
      <c r="A2827" t="s">
        <v>2881</v>
      </c>
      <c r="B2827" s="1">
        <v>45684</v>
      </c>
      <c r="C2827">
        <v>2025</v>
      </c>
      <c r="D2827" t="s">
        <v>21</v>
      </c>
      <c r="E2827" t="s">
        <v>22</v>
      </c>
      <c r="F2827" t="s">
        <v>57</v>
      </c>
      <c r="G2827" t="s">
        <v>35</v>
      </c>
      <c r="H2827" t="s">
        <v>25</v>
      </c>
      <c r="I2827" t="s">
        <v>31</v>
      </c>
      <c r="J2827" t="s">
        <v>27</v>
      </c>
      <c r="K2827" t="s">
        <v>28</v>
      </c>
      <c r="L2827" s="2">
        <v>95.4</v>
      </c>
      <c r="M2827" s="3">
        <v>934</v>
      </c>
      <c r="N2827">
        <v>6</v>
      </c>
      <c r="O2827">
        <v>6</v>
      </c>
      <c r="P2827">
        <v>1</v>
      </c>
      <c r="Q2827">
        <v>0</v>
      </c>
      <c r="R2827" s="4">
        <v>46.3</v>
      </c>
      <c r="S2827">
        <v>0</v>
      </c>
      <c r="T2827">
        <v>1</v>
      </c>
    </row>
    <row r="2828" spans="1:20" ht="16.5" x14ac:dyDescent="0.3">
      <c r="A2828" t="s">
        <v>2882</v>
      </c>
      <c r="B2828" s="1">
        <v>45684</v>
      </c>
      <c r="C2828">
        <v>2025</v>
      </c>
      <c r="D2828" t="s">
        <v>21</v>
      </c>
      <c r="E2828" t="s">
        <v>22</v>
      </c>
      <c r="F2828" t="s">
        <v>57</v>
      </c>
      <c r="G2828" t="s">
        <v>35</v>
      </c>
      <c r="H2828" t="s">
        <v>51</v>
      </c>
      <c r="I2828" t="s">
        <v>31</v>
      </c>
      <c r="J2828" t="s">
        <v>27</v>
      </c>
      <c r="K2828" t="s">
        <v>28</v>
      </c>
      <c r="L2828" s="2">
        <v>45.5</v>
      </c>
      <c r="M2828" s="3">
        <v>1466</v>
      </c>
      <c r="N2828">
        <v>7</v>
      </c>
      <c r="O2828">
        <v>7</v>
      </c>
      <c r="P2828">
        <v>1</v>
      </c>
      <c r="Q2828">
        <v>0</v>
      </c>
      <c r="R2828" s="4">
        <v>33.86</v>
      </c>
      <c r="S2828">
        <v>0</v>
      </c>
      <c r="T2828">
        <v>1</v>
      </c>
    </row>
    <row r="2829" spans="1:20" ht="16.5" x14ac:dyDescent="0.3">
      <c r="A2829" t="s">
        <v>2883</v>
      </c>
      <c r="B2829" s="1">
        <v>45684</v>
      </c>
      <c r="C2829">
        <v>2025</v>
      </c>
      <c r="D2829" t="s">
        <v>21</v>
      </c>
      <c r="E2829" t="s">
        <v>22</v>
      </c>
      <c r="F2829" t="s">
        <v>23</v>
      </c>
      <c r="G2829" t="s">
        <v>35</v>
      </c>
      <c r="H2829" t="s">
        <v>48</v>
      </c>
      <c r="I2829" t="s">
        <v>26</v>
      </c>
      <c r="J2829" t="s">
        <v>27</v>
      </c>
      <c r="K2829" t="s">
        <v>28</v>
      </c>
      <c r="L2829" s="2">
        <v>12.6</v>
      </c>
      <c r="M2829" s="3">
        <v>495</v>
      </c>
      <c r="N2829">
        <v>4</v>
      </c>
      <c r="O2829">
        <v>4</v>
      </c>
      <c r="P2829">
        <v>1</v>
      </c>
      <c r="Q2829">
        <v>0</v>
      </c>
      <c r="R2829" s="4">
        <v>19.12</v>
      </c>
      <c r="S2829">
        <v>0</v>
      </c>
      <c r="T2829">
        <v>1</v>
      </c>
    </row>
    <row r="2830" spans="1:20" ht="16.5" x14ac:dyDescent="0.3">
      <c r="A2830" t="s">
        <v>2884</v>
      </c>
      <c r="B2830" s="1">
        <v>45684</v>
      </c>
      <c r="C2830">
        <v>2025</v>
      </c>
      <c r="D2830" t="s">
        <v>21</v>
      </c>
      <c r="E2830" t="s">
        <v>22</v>
      </c>
      <c r="F2830" t="s">
        <v>30</v>
      </c>
      <c r="G2830" t="s">
        <v>35</v>
      </c>
      <c r="H2830" t="s">
        <v>25</v>
      </c>
      <c r="I2830" t="s">
        <v>26</v>
      </c>
      <c r="J2830" t="s">
        <v>27</v>
      </c>
      <c r="K2830" t="s">
        <v>28</v>
      </c>
      <c r="L2830" s="2">
        <v>256.3</v>
      </c>
      <c r="M2830" s="3">
        <v>848</v>
      </c>
      <c r="N2830">
        <v>4</v>
      </c>
      <c r="O2830">
        <v>4</v>
      </c>
      <c r="P2830">
        <v>1</v>
      </c>
      <c r="Q2830">
        <v>0</v>
      </c>
      <c r="R2830" s="4">
        <v>123.54</v>
      </c>
      <c r="S2830">
        <v>0</v>
      </c>
      <c r="T2830">
        <v>1</v>
      </c>
    </row>
    <row r="2831" spans="1:20" ht="16.5" x14ac:dyDescent="0.3">
      <c r="A2831" t="s">
        <v>2885</v>
      </c>
      <c r="B2831" s="1">
        <v>45685</v>
      </c>
      <c r="C2831">
        <v>2025</v>
      </c>
      <c r="D2831" t="s">
        <v>21</v>
      </c>
      <c r="E2831" t="s">
        <v>22</v>
      </c>
      <c r="F2831" t="s">
        <v>57</v>
      </c>
      <c r="G2831" t="s">
        <v>39</v>
      </c>
      <c r="H2831" t="s">
        <v>36</v>
      </c>
      <c r="I2831" t="s">
        <v>26</v>
      </c>
      <c r="J2831" t="s">
        <v>27</v>
      </c>
      <c r="K2831" t="s">
        <v>28</v>
      </c>
      <c r="L2831" s="2">
        <v>271.39999999999998</v>
      </c>
      <c r="M2831" s="3">
        <v>175</v>
      </c>
      <c r="N2831">
        <v>3</v>
      </c>
      <c r="O2831">
        <v>3</v>
      </c>
      <c r="P2831">
        <v>1</v>
      </c>
      <c r="Q2831">
        <v>0</v>
      </c>
      <c r="R2831" s="4">
        <v>104.87</v>
      </c>
      <c r="S2831">
        <v>0</v>
      </c>
      <c r="T2831">
        <v>1</v>
      </c>
    </row>
    <row r="2832" spans="1:20" ht="16.5" x14ac:dyDescent="0.3">
      <c r="A2832" t="s">
        <v>2886</v>
      </c>
      <c r="B2832" s="1">
        <v>45685</v>
      </c>
      <c r="C2832">
        <v>2025</v>
      </c>
      <c r="D2832" t="s">
        <v>21</v>
      </c>
      <c r="E2832" t="s">
        <v>22</v>
      </c>
      <c r="F2832" t="s">
        <v>38</v>
      </c>
      <c r="G2832" t="s">
        <v>24</v>
      </c>
      <c r="H2832" t="s">
        <v>25</v>
      </c>
      <c r="I2832" t="s">
        <v>26</v>
      </c>
      <c r="J2832" t="s">
        <v>27</v>
      </c>
      <c r="K2832" t="s">
        <v>32</v>
      </c>
      <c r="L2832" s="2">
        <v>14.8</v>
      </c>
      <c r="M2832" s="3">
        <v>1077</v>
      </c>
      <c r="N2832">
        <v>4</v>
      </c>
      <c r="O2832">
        <v>4</v>
      </c>
      <c r="P2832">
        <v>1</v>
      </c>
      <c r="Q2832">
        <v>0</v>
      </c>
      <c r="R2832" s="4">
        <v>31.27</v>
      </c>
      <c r="S2832">
        <v>0</v>
      </c>
      <c r="T2832">
        <v>1</v>
      </c>
    </row>
    <row r="2833" spans="1:20" ht="16.5" x14ac:dyDescent="0.3">
      <c r="A2833" t="s">
        <v>2887</v>
      </c>
      <c r="B2833" s="1">
        <v>45685</v>
      </c>
      <c r="C2833">
        <v>2025</v>
      </c>
      <c r="D2833" t="s">
        <v>21</v>
      </c>
      <c r="E2833" t="s">
        <v>22</v>
      </c>
      <c r="F2833" t="s">
        <v>38</v>
      </c>
      <c r="G2833" t="s">
        <v>39</v>
      </c>
      <c r="H2833" t="s">
        <v>36</v>
      </c>
      <c r="I2833" t="s">
        <v>26</v>
      </c>
      <c r="J2833" t="s">
        <v>27</v>
      </c>
      <c r="K2833" t="s">
        <v>32</v>
      </c>
      <c r="L2833" s="2">
        <v>1.4</v>
      </c>
      <c r="M2833" s="3">
        <v>307</v>
      </c>
      <c r="N2833">
        <v>3</v>
      </c>
      <c r="O2833">
        <v>2</v>
      </c>
      <c r="P2833">
        <v>1</v>
      </c>
      <c r="Q2833">
        <v>0</v>
      </c>
      <c r="R2833" s="4">
        <v>12.27</v>
      </c>
      <c r="S2833">
        <v>0</v>
      </c>
      <c r="T2833">
        <v>1</v>
      </c>
    </row>
    <row r="2834" spans="1:20" ht="16.5" x14ac:dyDescent="0.3">
      <c r="A2834" t="s">
        <v>2888</v>
      </c>
      <c r="B2834" s="1">
        <v>45685</v>
      </c>
      <c r="C2834">
        <v>2025</v>
      </c>
      <c r="D2834" t="s">
        <v>21</v>
      </c>
      <c r="E2834" t="s">
        <v>22</v>
      </c>
      <c r="F2834" t="s">
        <v>23</v>
      </c>
      <c r="G2834" t="s">
        <v>39</v>
      </c>
      <c r="H2834" t="s">
        <v>36</v>
      </c>
      <c r="I2834" t="s">
        <v>40</v>
      </c>
      <c r="J2834" t="s">
        <v>27</v>
      </c>
      <c r="K2834" t="s">
        <v>32</v>
      </c>
      <c r="L2834" s="2">
        <v>3.2</v>
      </c>
      <c r="M2834" s="3">
        <v>284</v>
      </c>
      <c r="N2834">
        <v>1</v>
      </c>
      <c r="O2834">
        <v>1</v>
      </c>
      <c r="P2834">
        <v>1</v>
      </c>
      <c r="Q2834">
        <v>0</v>
      </c>
      <c r="R2834" s="4">
        <v>21.05</v>
      </c>
      <c r="S2834">
        <v>0</v>
      </c>
      <c r="T2834">
        <v>1</v>
      </c>
    </row>
    <row r="2835" spans="1:20" ht="16.5" x14ac:dyDescent="0.3">
      <c r="A2835" t="s">
        <v>2889</v>
      </c>
      <c r="B2835" s="1">
        <v>45686</v>
      </c>
      <c r="C2835">
        <v>2025</v>
      </c>
      <c r="D2835" t="s">
        <v>21</v>
      </c>
      <c r="E2835" t="s">
        <v>22</v>
      </c>
      <c r="F2835" t="s">
        <v>23</v>
      </c>
      <c r="G2835" t="s">
        <v>39</v>
      </c>
      <c r="H2835" t="s">
        <v>25</v>
      </c>
      <c r="I2835" t="s">
        <v>26</v>
      </c>
      <c r="J2835" t="s">
        <v>27</v>
      </c>
      <c r="K2835" t="s">
        <v>28</v>
      </c>
      <c r="L2835" s="2">
        <v>84.3</v>
      </c>
      <c r="M2835" s="3">
        <v>934</v>
      </c>
      <c r="N2835">
        <v>4</v>
      </c>
      <c r="O2835">
        <v>3</v>
      </c>
      <c r="P2835">
        <v>1</v>
      </c>
      <c r="Q2835">
        <v>0</v>
      </c>
      <c r="R2835" s="4">
        <v>54.85</v>
      </c>
      <c r="S2835">
        <v>0</v>
      </c>
      <c r="T2835">
        <v>1</v>
      </c>
    </row>
    <row r="2836" spans="1:20" ht="16.5" x14ac:dyDescent="0.3">
      <c r="A2836" t="s">
        <v>2890</v>
      </c>
      <c r="B2836" s="1">
        <v>45686</v>
      </c>
      <c r="C2836">
        <v>2025</v>
      </c>
      <c r="D2836" t="s">
        <v>21</v>
      </c>
      <c r="E2836" t="s">
        <v>22</v>
      </c>
      <c r="F2836" t="s">
        <v>34</v>
      </c>
      <c r="G2836" t="s">
        <v>39</v>
      </c>
      <c r="H2836" t="s">
        <v>36</v>
      </c>
      <c r="I2836" t="s">
        <v>26</v>
      </c>
      <c r="J2836" t="s">
        <v>27</v>
      </c>
      <c r="K2836" t="s">
        <v>32</v>
      </c>
      <c r="L2836" s="2">
        <v>18.3</v>
      </c>
      <c r="M2836" s="3">
        <v>237</v>
      </c>
      <c r="N2836">
        <v>3</v>
      </c>
      <c r="O2836">
        <v>2</v>
      </c>
      <c r="P2836">
        <v>1</v>
      </c>
      <c r="Q2836">
        <v>0</v>
      </c>
      <c r="R2836" s="4">
        <v>15.96</v>
      </c>
      <c r="S2836">
        <v>0</v>
      </c>
      <c r="T2836">
        <v>1</v>
      </c>
    </row>
    <row r="2837" spans="1:20" ht="16.5" x14ac:dyDescent="0.3">
      <c r="A2837" t="s">
        <v>2891</v>
      </c>
      <c r="B2837" s="1">
        <v>45686</v>
      </c>
      <c r="C2837">
        <v>2025</v>
      </c>
      <c r="D2837" t="s">
        <v>21</v>
      </c>
      <c r="E2837" t="s">
        <v>22</v>
      </c>
      <c r="F2837" t="s">
        <v>57</v>
      </c>
      <c r="G2837" t="s">
        <v>35</v>
      </c>
      <c r="H2837" t="s">
        <v>51</v>
      </c>
      <c r="I2837" t="s">
        <v>31</v>
      </c>
      <c r="J2837" t="s">
        <v>27</v>
      </c>
      <c r="K2837" t="s">
        <v>28</v>
      </c>
      <c r="L2837" s="2">
        <v>219.3</v>
      </c>
      <c r="M2837" s="3">
        <v>1211</v>
      </c>
      <c r="N2837">
        <v>7</v>
      </c>
      <c r="O2837">
        <v>7</v>
      </c>
      <c r="P2837">
        <v>1</v>
      </c>
      <c r="Q2837">
        <v>0</v>
      </c>
      <c r="R2837" s="4">
        <v>77.88</v>
      </c>
      <c r="S2837">
        <v>0</v>
      </c>
      <c r="T2837">
        <v>1</v>
      </c>
    </row>
    <row r="2838" spans="1:20" ht="16.5" x14ac:dyDescent="0.3">
      <c r="A2838" t="s">
        <v>2892</v>
      </c>
      <c r="B2838" s="1">
        <v>45686</v>
      </c>
      <c r="C2838">
        <v>2025</v>
      </c>
      <c r="D2838" t="s">
        <v>21</v>
      </c>
      <c r="E2838" t="s">
        <v>22</v>
      </c>
      <c r="F2838" t="s">
        <v>30</v>
      </c>
      <c r="G2838" t="s">
        <v>39</v>
      </c>
      <c r="H2838" t="s">
        <v>43</v>
      </c>
      <c r="I2838" t="s">
        <v>26</v>
      </c>
      <c r="J2838" t="s">
        <v>27</v>
      </c>
      <c r="K2838" t="s">
        <v>28</v>
      </c>
      <c r="L2838" s="2">
        <v>89</v>
      </c>
      <c r="M2838" s="3">
        <v>1392</v>
      </c>
      <c r="N2838">
        <v>5</v>
      </c>
      <c r="O2838">
        <v>5</v>
      </c>
      <c r="P2838">
        <v>1</v>
      </c>
      <c r="Q2838">
        <v>0</v>
      </c>
      <c r="R2838" s="4">
        <v>73.36</v>
      </c>
      <c r="S2838">
        <v>0</v>
      </c>
      <c r="T2838">
        <v>1</v>
      </c>
    </row>
    <row r="2839" spans="1:20" ht="16.5" x14ac:dyDescent="0.3">
      <c r="A2839" t="s">
        <v>2893</v>
      </c>
      <c r="B2839" s="1">
        <v>45686</v>
      </c>
      <c r="C2839">
        <v>2025</v>
      </c>
      <c r="D2839" t="s">
        <v>21</v>
      </c>
      <c r="E2839" t="s">
        <v>22</v>
      </c>
      <c r="F2839" t="s">
        <v>34</v>
      </c>
      <c r="G2839" t="s">
        <v>39</v>
      </c>
      <c r="H2839" t="s">
        <v>43</v>
      </c>
      <c r="I2839" t="s">
        <v>26</v>
      </c>
      <c r="J2839" t="s">
        <v>27</v>
      </c>
      <c r="K2839" t="s">
        <v>28</v>
      </c>
      <c r="L2839" s="2">
        <v>261.8</v>
      </c>
      <c r="M2839" s="3">
        <v>1086</v>
      </c>
      <c r="N2839">
        <v>5</v>
      </c>
      <c r="O2839">
        <v>4</v>
      </c>
      <c r="P2839">
        <v>1</v>
      </c>
      <c r="Q2839">
        <v>0</v>
      </c>
      <c r="R2839" s="4">
        <v>95.21</v>
      </c>
      <c r="S2839">
        <v>0</v>
      </c>
      <c r="T2839">
        <v>1</v>
      </c>
    </row>
    <row r="2840" spans="1:20" ht="16.5" x14ac:dyDescent="0.3">
      <c r="A2840" t="s">
        <v>2894</v>
      </c>
      <c r="B2840" s="1">
        <v>45686</v>
      </c>
      <c r="C2840">
        <v>2025</v>
      </c>
      <c r="D2840" t="s">
        <v>21</v>
      </c>
      <c r="E2840" t="s">
        <v>22</v>
      </c>
      <c r="F2840" t="s">
        <v>23</v>
      </c>
      <c r="G2840" t="s">
        <v>35</v>
      </c>
      <c r="H2840" t="s">
        <v>25</v>
      </c>
      <c r="I2840" t="s">
        <v>40</v>
      </c>
      <c r="J2840" t="s">
        <v>41</v>
      </c>
      <c r="K2840" t="s">
        <v>32</v>
      </c>
      <c r="L2840" s="2">
        <v>11</v>
      </c>
      <c r="M2840" s="3">
        <v>867</v>
      </c>
      <c r="N2840">
        <v>2</v>
      </c>
      <c r="O2840">
        <v>1</v>
      </c>
      <c r="P2840">
        <v>1</v>
      </c>
      <c r="Q2840">
        <v>0</v>
      </c>
      <c r="R2840" s="4">
        <v>75.349999999999994</v>
      </c>
      <c r="S2840">
        <v>0</v>
      </c>
      <c r="T2840">
        <v>1</v>
      </c>
    </row>
    <row r="2841" spans="1:20" ht="16.5" x14ac:dyDescent="0.3">
      <c r="A2841" t="s">
        <v>2895</v>
      </c>
      <c r="B2841" s="1">
        <v>45686</v>
      </c>
      <c r="C2841">
        <v>2025</v>
      </c>
      <c r="D2841" t="s">
        <v>21</v>
      </c>
      <c r="E2841" t="s">
        <v>22</v>
      </c>
      <c r="F2841" t="s">
        <v>23</v>
      </c>
      <c r="G2841" t="s">
        <v>24</v>
      </c>
      <c r="H2841" t="s">
        <v>25</v>
      </c>
      <c r="I2841" t="s">
        <v>26</v>
      </c>
      <c r="J2841" t="s">
        <v>27</v>
      </c>
      <c r="K2841" t="s">
        <v>28</v>
      </c>
      <c r="L2841" s="2">
        <v>73.099999999999994</v>
      </c>
      <c r="M2841" s="3">
        <v>961</v>
      </c>
      <c r="N2841">
        <v>4</v>
      </c>
      <c r="O2841">
        <v>4</v>
      </c>
      <c r="P2841">
        <v>1</v>
      </c>
      <c r="Q2841">
        <v>0</v>
      </c>
      <c r="R2841" s="4">
        <v>49.51</v>
      </c>
      <c r="S2841">
        <v>0</v>
      </c>
      <c r="T2841">
        <v>1</v>
      </c>
    </row>
    <row r="2842" spans="1:20" ht="16.5" x14ac:dyDescent="0.3">
      <c r="A2842" t="s">
        <v>2896</v>
      </c>
      <c r="B2842" s="1">
        <v>45686</v>
      </c>
      <c r="C2842">
        <v>2025</v>
      </c>
      <c r="D2842" t="s">
        <v>21</v>
      </c>
      <c r="E2842" t="s">
        <v>22</v>
      </c>
      <c r="F2842" t="s">
        <v>57</v>
      </c>
      <c r="G2842" t="s">
        <v>35</v>
      </c>
      <c r="H2842" t="s">
        <v>36</v>
      </c>
      <c r="I2842" t="s">
        <v>26</v>
      </c>
      <c r="J2842" t="s">
        <v>27</v>
      </c>
      <c r="K2842" t="s">
        <v>32</v>
      </c>
      <c r="L2842" s="2">
        <v>1.2</v>
      </c>
      <c r="M2842" s="3">
        <v>260</v>
      </c>
      <c r="N2842">
        <v>3</v>
      </c>
      <c r="O2842">
        <v>2</v>
      </c>
      <c r="P2842">
        <v>1</v>
      </c>
      <c r="Q2842">
        <v>0</v>
      </c>
      <c r="R2842" s="4">
        <v>10.83</v>
      </c>
      <c r="S2842">
        <v>0</v>
      </c>
      <c r="T2842">
        <v>1</v>
      </c>
    </row>
    <row r="2843" spans="1:20" ht="16.5" x14ac:dyDescent="0.3">
      <c r="A2843" t="s">
        <v>2897</v>
      </c>
      <c r="B2843" s="1">
        <v>45686</v>
      </c>
      <c r="C2843">
        <v>2025</v>
      </c>
      <c r="D2843" t="s">
        <v>21</v>
      </c>
      <c r="E2843" t="s">
        <v>22</v>
      </c>
      <c r="F2843" t="s">
        <v>57</v>
      </c>
      <c r="G2843" t="s">
        <v>24</v>
      </c>
      <c r="H2843" t="s">
        <v>43</v>
      </c>
      <c r="I2843" t="s">
        <v>26</v>
      </c>
      <c r="J2843" t="s">
        <v>27</v>
      </c>
      <c r="K2843" t="s">
        <v>28</v>
      </c>
      <c r="L2843" s="2">
        <v>151</v>
      </c>
      <c r="M2843" s="3">
        <v>1156</v>
      </c>
      <c r="N2843">
        <v>5</v>
      </c>
      <c r="O2843">
        <v>5</v>
      </c>
      <c r="P2843">
        <v>1</v>
      </c>
      <c r="Q2843">
        <v>0</v>
      </c>
      <c r="R2843" s="4">
        <v>77.680000000000007</v>
      </c>
      <c r="S2843">
        <v>0</v>
      </c>
      <c r="T2843">
        <v>1</v>
      </c>
    </row>
    <row r="2844" spans="1:20" ht="16.5" x14ac:dyDescent="0.3">
      <c r="A2844" t="s">
        <v>2898</v>
      </c>
      <c r="B2844" s="1">
        <v>45686</v>
      </c>
      <c r="C2844">
        <v>2025</v>
      </c>
      <c r="D2844" t="s">
        <v>21</v>
      </c>
      <c r="E2844" t="s">
        <v>22</v>
      </c>
      <c r="F2844" t="s">
        <v>38</v>
      </c>
      <c r="G2844" t="s">
        <v>39</v>
      </c>
      <c r="H2844" t="s">
        <v>51</v>
      </c>
      <c r="I2844" t="s">
        <v>26</v>
      </c>
      <c r="J2844" t="s">
        <v>27</v>
      </c>
      <c r="K2844" t="s">
        <v>28</v>
      </c>
      <c r="L2844" s="2">
        <v>58.4</v>
      </c>
      <c r="M2844" s="3">
        <v>1112</v>
      </c>
      <c r="N2844">
        <v>5</v>
      </c>
      <c r="O2844">
        <v>4</v>
      </c>
      <c r="P2844">
        <v>1</v>
      </c>
      <c r="Q2844">
        <v>0</v>
      </c>
      <c r="R2844" s="4">
        <v>47.53</v>
      </c>
      <c r="S2844">
        <v>0</v>
      </c>
      <c r="T2844">
        <v>1</v>
      </c>
    </row>
    <row r="2845" spans="1:20" ht="16.5" x14ac:dyDescent="0.3">
      <c r="A2845" t="s">
        <v>2899</v>
      </c>
      <c r="B2845" s="1">
        <v>45686</v>
      </c>
      <c r="C2845">
        <v>2025</v>
      </c>
      <c r="D2845" t="s">
        <v>21</v>
      </c>
      <c r="E2845" t="s">
        <v>22</v>
      </c>
      <c r="F2845" t="s">
        <v>57</v>
      </c>
      <c r="G2845" t="s">
        <v>39</v>
      </c>
      <c r="H2845" t="s">
        <v>36</v>
      </c>
      <c r="I2845" t="s">
        <v>26</v>
      </c>
      <c r="J2845" t="s">
        <v>27</v>
      </c>
      <c r="K2845" t="s">
        <v>32</v>
      </c>
      <c r="L2845" s="2">
        <v>11.7</v>
      </c>
      <c r="M2845" s="3">
        <v>164</v>
      </c>
      <c r="N2845">
        <v>3</v>
      </c>
      <c r="O2845">
        <v>3</v>
      </c>
      <c r="P2845">
        <v>1</v>
      </c>
      <c r="Q2845">
        <v>0</v>
      </c>
      <c r="R2845" s="4">
        <v>16.41</v>
      </c>
      <c r="S2845">
        <v>0</v>
      </c>
      <c r="T2845">
        <v>1</v>
      </c>
    </row>
    <row r="2846" spans="1:20" ht="16.5" x14ac:dyDescent="0.3">
      <c r="A2846" t="s">
        <v>2900</v>
      </c>
      <c r="B2846" s="1">
        <v>45686</v>
      </c>
      <c r="C2846">
        <v>2025</v>
      </c>
      <c r="D2846" t="s">
        <v>21</v>
      </c>
      <c r="E2846" t="s">
        <v>22</v>
      </c>
      <c r="F2846" t="s">
        <v>23</v>
      </c>
      <c r="G2846" t="s">
        <v>35</v>
      </c>
      <c r="H2846" t="s">
        <v>25</v>
      </c>
      <c r="I2846" t="s">
        <v>31</v>
      </c>
      <c r="J2846" t="s">
        <v>27</v>
      </c>
      <c r="K2846" t="s">
        <v>32</v>
      </c>
      <c r="L2846" s="2">
        <v>6.5</v>
      </c>
      <c r="M2846" s="3">
        <v>742</v>
      </c>
      <c r="N2846">
        <v>6</v>
      </c>
      <c r="O2846">
        <v>6</v>
      </c>
      <c r="P2846">
        <v>1</v>
      </c>
      <c r="Q2846">
        <v>0</v>
      </c>
      <c r="R2846" s="4">
        <v>13.74</v>
      </c>
      <c r="S2846">
        <v>0</v>
      </c>
      <c r="T2846">
        <v>1</v>
      </c>
    </row>
    <row r="2847" spans="1:20" ht="16.5" x14ac:dyDescent="0.3">
      <c r="A2847" t="s">
        <v>2901</v>
      </c>
      <c r="B2847" s="1">
        <v>45686</v>
      </c>
      <c r="C2847">
        <v>2025</v>
      </c>
      <c r="D2847" t="s">
        <v>21</v>
      </c>
      <c r="E2847" t="s">
        <v>22</v>
      </c>
      <c r="F2847" t="s">
        <v>38</v>
      </c>
      <c r="G2847" t="s">
        <v>39</v>
      </c>
      <c r="H2847" t="s">
        <v>25</v>
      </c>
      <c r="I2847" t="s">
        <v>26</v>
      </c>
      <c r="J2847" t="s">
        <v>27</v>
      </c>
      <c r="K2847" t="s">
        <v>32</v>
      </c>
      <c r="L2847" s="2">
        <v>9.6</v>
      </c>
      <c r="M2847" s="3">
        <v>822</v>
      </c>
      <c r="N2847">
        <v>4</v>
      </c>
      <c r="O2847">
        <v>4</v>
      </c>
      <c r="P2847">
        <v>1</v>
      </c>
      <c r="Q2847">
        <v>0</v>
      </c>
      <c r="R2847" s="4">
        <v>26.94</v>
      </c>
      <c r="S2847">
        <v>0</v>
      </c>
      <c r="T2847">
        <v>1</v>
      </c>
    </row>
    <row r="2848" spans="1:20" ht="16.5" x14ac:dyDescent="0.3">
      <c r="A2848" t="s">
        <v>2902</v>
      </c>
      <c r="B2848" s="1">
        <v>45687</v>
      </c>
      <c r="C2848">
        <v>2025</v>
      </c>
      <c r="D2848" t="s">
        <v>21</v>
      </c>
      <c r="E2848" t="s">
        <v>22</v>
      </c>
      <c r="F2848" t="s">
        <v>30</v>
      </c>
      <c r="G2848" t="s">
        <v>39</v>
      </c>
      <c r="H2848" t="s">
        <v>48</v>
      </c>
      <c r="I2848" t="s">
        <v>40</v>
      </c>
      <c r="J2848" t="s">
        <v>27</v>
      </c>
      <c r="K2848" t="s">
        <v>32</v>
      </c>
      <c r="L2848" s="2">
        <v>4.7</v>
      </c>
      <c r="M2848" s="3">
        <v>539</v>
      </c>
      <c r="N2848">
        <v>2</v>
      </c>
      <c r="O2848">
        <v>2</v>
      </c>
      <c r="P2848">
        <v>1</v>
      </c>
      <c r="Q2848">
        <v>0</v>
      </c>
      <c r="R2848" s="4">
        <v>33.21</v>
      </c>
      <c r="S2848">
        <v>0</v>
      </c>
      <c r="T2848">
        <v>1</v>
      </c>
    </row>
    <row r="2849" spans="1:20" ht="16.5" x14ac:dyDescent="0.3">
      <c r="A2849" t="s">
        <v>2903</v>
      </c>
      <c r="B2849" s="1">
        <v>45687</v>
      </c>
      <c r="C2849">
        <v>2025</v>
      </c>
      <c r="D2849" t="s">
        <v>21</v>
      </c>
      <c r="E2849" t="s">
        <v>22</v>
      </c>
      <c r="F2849" t="s">
        <v>23</v>
      </c>
      <c r="G2849" t="s">
        <v>35</v>
      </c>
      <c r="H2849" t="s">
        <v>36</v>
      </c>
      <c r="I2849" t="s">
        <v>26</v>
      </c>
      <c r="J2849" t="s">
        <v>27</v>
      </c>
      <c r="K2849" t="s">
        <v>28</v>
      </c>
      <c r="L2849" s="2">
        <v>30.7</v>
      </c>
      <c r="M2849" s="3">
        <v>234</v>
      </c>
      <c r="N2849">
        <v>3</v>
      </c>
      <c r="O2849">
        <v>3</v>
      </c>
      <c r="P2849">
        <v>1</v>
      </c>
      <c r="Q2849">
        <v>0</v>
      </c>
      <c r="R2849" s="4">
        <v>22</v>
      </c>
      <c r="S2849">
        <v>0</v>
      </c>
      <c r="T2849">
        <v>1</v>
      </c>
    </row>
    <row r="2850" spans="1:20" ht="16.5" x14ac:dyDescent="0.3">
      <c r="A2850" t="s">
        <v>2904</v>
      </c>
      <c r="B2850" s="1">
        <v>45687</v>
      </c>
      <c r="C2850">
        <v>2025</v>
      </c>
      <c r="D2850" t="s">
        <v>21</v>
      </c>
      <c r="E2850" t="s">
        <v>22</v>
      </c>
      <c r="F2850" t="s">
        <v>38</v>
      </c>
      <c r="G2850" t="s">
        <v>35</v>
      </c>
      <c r="H2850" t="s">
        <v>48</v>
      </c>
      <c r="I2850" t="s">
        <v>31</v>
      </c>
      <c r="J2850" t="s">
        <v>27</v>
      </c>
      <c r="K2850" t="s">
        <v>28</v>
      </c>
      <c r="L2850" s="2">
        <v>22.2</v>
      </c>
      <c r="M2850" s="3">
        <v>410</v>
      </c>
      <c r="N2850">
        <v>6</v>
      </c>
      <c r="O2850">
        <v>6</v>
      </c>
      <c r="P2850">
        <v>1</v>
      </c>
      <c r="Q2850">
        <v>0</v>
      </c>
      <c r="R2850" s="4">
        <v>19.2</v>
      </c>
      <c r="S2850">
        <v>0</v>
      </c>
      <c r="T2850">
        <v>1</v>
      </c>
    </row>
    <row r="2851" spans="1:20" ht="16.5" x14ac:dyDescent="0.3">
      <c r="A2851" t="s">
        <v>2905</v>
      </c>
      <c r="B2851" s="1">
        <v>45687</v>
      </c>
      <c r="C2851">
        <v>2025</v>
      </c>
      <c r="D2851" t="s">
        <v>21</v>
      </c>
      <c r="E2851" t="s">
        <v>22</v>
      </c>
      <c r="F2851" t="s">
        <v>57</v>
      </c>
      <c r="G2851" t="s">
        <v>39</v>
      </c>
      <c r="H2851" t="s">
        <v>43</v>
      </c>
      <c r="I2851" t="s">
        <v>40</v>
      </c>
      <c r="J2851" t="s">
        <v>41</v>
      </c>
      <c r="K2851" t="s">
        <v>32</v>
      </c>
      <c r="L2851" s="2">
        <v>6.5</v>
      </c>
      <c r="M2851" s="3">
        <v>1083</v>
      </c>
      <c r="N2851">
        <v>3</v>
      </c>
      <c r="O2851">
        <v>3</v>
      </c>
      <c r="P2851">
        <v>1</v>
      </c>
      <c r="Q2851">
        <v>0</v>
      </c>
      <c r="R2851" s="4">
        <v>73.31</v>
      </c>
      <c r="S2851">
        <v>0</v>
      </c>
      <c r="T2851">
        <v>1</v>
      </c>
    </row>
    <row r="2852" spans="1:20" ht="16.5" x14ac:dyDescent="0.3">
      <c r="A2852" t="s">
        <v>2906</v>
      </c>
      <c r="B2852" s="1">
        <v>45687</v>
      </c>
      <c r="C2852">
        <v>2025</v>
      </c>
      <c r="D2852" t="s">
        <v>21</v>
      </c>
      <c r="E2852" t="s">
        <v>22</v>
      </c>
      <c r="F2852" t="s">
        <v>34</v>
      </c>
      <c r="G2852" t="s">
        <v>35</v>
      </c>
      <c r="H2852" t="s">
        <v>48</v>
      </c>
      <c r="I2852" t="s">
        <v>40</v>
      </c>
      <c r="J2852" t="s">
        <v>27</v>
      </c>
      <c r="K2852" t="s">
        <v>28</v>
      </c>
      <c r="L2852" s="2">
        <v>36.5</v>
      </c>
      <c r="M2852" s="3">
        <v>382</v>
      </c>
      <c r="N2852">
        <v>2</v>
      </c>
      <c r="O2852">
        <v>2</v>
      </c>
      <c r="P2852">
        <v>1</v>
      </c>
      <c r="Q2852">
        <v>0</v>
      </c>
      <c r="R2852" s="4">
        <v>50.17</v>
      </c>
      <c r="S2852">
        <v>0</v>
      </c>
      <c r="T2852">
        <v>1</v>
      </c>
    </row>
    <row r="2853" spans="1:20" ht="16.5" x14ac:dyDescent="0.3">
      <c r="A2853" t="s">
        <v>2907</v>
      </c>
      <c r="B2853" s="1">
        <v>45687</v>
      </c>
      <c r="C2853">
        <v>2025</v>
      </c>
      <c r="D2853" t="s">
        <v>21</v>
      </c>
      <c r="E2853" t="s">
        <v>22</v>
      </c>
      <c r="F2853" t="s">
        <v>30</v>
      </c>
      <c r="G2853" t="s">
        <v>35</v>
      </c>
      <c r="H2853" t="s">
        <v>36</v>
      </c>
      <c r="I2853" t="s">
        <v>31</v>
      </c>
      <c r="J2853" t="s">
        <v>27</v>
      </c>
      <c r="K2853" t="s">
        <v>32</v>
      </c>
      <c r="L2853" s="2">
        <v>1.6</v>
      </c>
      <c r="M2853" s="3">
        <v>280</v>
      </c>
      <c r="N2853">
        <v>5</v>
      </c>
      <c r="O2853">
        <v>4</v>
      </c>
      <c r="P2853">
        <v>1</v>
      </c>
      <c r="Q2853">
        <v>0</v>
      </c>
      <c r="R2853" s="4">
        <v>7.95</v>
      </c>
      <c r="S2853">
        <v>0</v>
      </c>
      <c r="T2853">
        <v>1</v>
      </c>
    </row>
    <row r="2854" spans="1:20" ht="16.5" x14ac:dyDescent="0.3">
      <c r="A2854" t="s">
        <v>2908</v>
      </c>
      <c r="B2854" s="1">
        <v>45687</v>
      </c>
      <c r="C2854">
        <v>2025</v>
      </c>
      <c r="D2854" t="s">
        <v>21</v>
      </c>
      <c r="E2854" t="s">
        <v>22</v>
      </c>
      <c r="F2854" t="s">
        <v>23</v>
      </c>
      <c r="G2854" t="s">
        <v>39</v>
      </c>
      <c r="H2854" t="s">
        <v>48</v>
      </c>
      <c r="I2854" t="s">
        <v>40</v>
      </c>
      <c r="J2854" t="s">
        <v>27</v>
      </c>
      <c r="K2854" t="s">
        <v>28</v>
      </c>
      <c r="L2854" s="2">
        <v>12.2</v>
      </c>
      <c r="M2854" s="3">
        <v>569</v>
      </c>
      <c r="N2854">
        <v>2</v>
      </c>
      <c r="O2854">
        <v>2</v>
      </c>
      <c r="P2854">
        <v>1</v>
      </c>
      <c r="Q2854">
        <v>0</v>
      </c>
      <c r="R2854" s="4">
        <v>39.68</v>
      </c>
      <c r="S2854">
        <v>0</v>
      </c>
      <c r="T2854">
        <v>1</v>
      </c>
    </row>
    <row r="2855" spans="1:20" ht="16.5" x14ac:dyDescent="0.3">
      <c r="A2855" t="s">
        <v>2909</v>
      </c>
      <c r="B2855" s="1">
        <v>45687</v>
      </c>
      <c r="C2855">
        <v>2025</v>
      </c>
      <c r="D2855" t="s">
        <v>21</v>
      </c>
      <c r="E2855" t="s">
        <v>22</v>
      </c>
      <c r="F2855" t="s">
        <v>38</v>
      </c>
      <c r="G2855" t="s">
        <v>39</v>
      </c>
      <c r="H2855" t="s">
        <v>51</v>
      </c>
      <c r="I2855" t="s">
        <v>26</v>
      </c>
      <c r="J2855" t="s">
        <v>27</v>
      </c>
      <c r="K2855" t="s">
        <v>32</v>
      </c>
      <c r="L2855" s="2">
        <v>6.4</v>
      </c>
      <c r="M2855" s="3">
        <v>1057</v>
      </c>
      <c r="N2855">
        <v>5</v>
      </c>
      <c r="O2855">
        <v>5</v>
      </c>
      <c r="P2855">
        <v>1</v>
      </c>
      <c r="Q2855">
        <v>0</v>
      </c>
      <c r="R2855" s="4">
        <v>23.02</v>
      </c>
      <c r="S2855">
        <v>0</v>
      </c>
      <c r="T2855">
        <v>1</v>
      </c>
    </row>
    <row r="2856" spans="1:20" ht="16.5" x14ac:dyDescent="0.3">
      <c r="A2856" t="s">
        <v>2910</v>
      </c>
      <c r="B2856" s="1">
        <v>45688</v>
      </c>
      <c r="C2856">
        <v>2025</v>
      </c>
      <c r="D2856" t="s">
        <v>21</v>
      </c>
      <c r="E2856" t="s">
        <v>22</v>
      </c>
      <c r="F2856" t="s">
        <v>38</v>
      </c>
      <c r="G2856" t="s">
        <v>35</v>
      </c>
      <c r="H2856" t="s">
        <v>51</v>
      </c>
      <c r="I2856" t="s">
        <v>40</v>
      </c>
      <c r="J2856" t="s">
        <v>41</v>
      </c>
      <c r="K2856" t="s">
        <v>28</v>
      </c>
      <c r="L2856" s="2">
        <v>65.5</v>
      </c>
      <c r="M2856" s="3">
        <v>1085</v>
      </c>
      <c r="N2856">
        <v>3</v>
      </c>
      <c r="O2856">
        <v>3</v>
      </c>
      <c r="P2856">
        <v>1</v>
      </c>
      <c r="Q2856">
        <v>0</v>
      </c>
      <c r="R2856" s="4">
        <v>183.93</v>
      </c>
      <c r="S2856">
        <v>0</v>
      </c>
      <c r="T2856">
        <v>1</v>
      </c>
    </row>
    <row r="2857" spans="1:20" ht="16.5" x14ac:dyDescent="0.3">
      <c r="A2857" t="s">
        <v>2911</v>
      </c>
      <c r="B2857" s="1">
        <v>45688</v>
      </c>
      <c r="C2857">
        <v>2025</v>
      </c>
      <c r="D2857" t="s">
        <v>21</v>
      </c>
      <c r="E2857" t="s">
        <v>22</v>
      </c>
      <c r="F2857" t="s">
        <v>23</v>
      </c>
      <c r="G2857" t="s">
        <v>39</v>
      </c>
      <c r="H2857" t="s">
        <v>36</v>
      </c>
      <c r="I2857" t="s">
        <v>31</v>
      </c>
      <c r="J2857" t="s">
        <v>27</v>
      </c>
      <c r="K2857" t="s">
        <v>28</v>
      </c>
      <c r="L2857" s="2">
        <v>120.4</v>
      </c>
      <c r="M2857" s="3">
        <v>205</v>
      </c>
      <c r="N2857">
        <v>5</v>
      </c>
      <c r="O2857">
        <v>4</v>
      </c>
      <c r="P2857">
        <v>1</v>
      </c>
      <c r="Q2857">
        <v>0</v>
      </c>
      <c r="R2857" s="4">
        <v>43.89</v>
      </c>
      <c r="S2857">
        <v>0</v>
      </c>
      <c r="T2857">
        <v>1</v>
      </c>
    </row>
    <row r="2858" spans="1:20" ht="16.5" x14ac:dyDescent="0.3">
      <c r="A2858" t="s">
        <v>2912</v>
      </c>
      <c r="B2858" s="1">
        <v>45688</v>
      </c>
      <c r="C2858">
        <v>2025</v>
      </c>
      <c r="D2858" t="s">
        <v>21</v>
      </c>
      <c r="E2858" t="s">
        <v>22</v>
      </c>
      <c r="F2858" t="s">
        <v>57</v>
      </c>
      <c r="G2858" t="s">
        <v>39</v>
      </c>
      <c r="H2858" t="s">
        <v>36</v>
      </c>
      <c r="I2858" t="s">
        <v>26</v>
      </c>
      <c r="J2858" t="s">
        <v>27</v>
      </c>
      <c r="K2858" t="s">
        <v>28</v>
      </c>
      <c r="L2858" s="2">
        <v>87.7</v>
      </c>
      <c r="M2858" s="3">
        <v>257</v>
      </c>
      <c r="N2858">
        <v>3</v>
      </c>
      <c r="O2858">
        <v>3</v>
      </c>
      <c r="P2858">
        <v>1</v>
      </c>
      <c r="Q2858">
        <v>0</v>
      </c>
      <c r="R2858" s="4">
        <v>49.12</v>
      </c>
      <c r="S2858">
        <v>0</v>
      </c>
      <c r="T2858">
        <v>1</v>
      </c>
    </row>
    <row r="2859" spans="1:20" ht="16.5" x14ac:dyDescent="0.3">
      <c r="A2859" t="s">
        <v>2913</v>
      </c>
      <c r="B2859" s="1">
        <v>45688</v>
      </c>
      <c r="C2859">
        <v>2025</v>
      </c>
      <c r="D2859" t="s">
        <v>21</v>
      </c>
      <c r="E2859" t="s">
        <v>22</v>
      </c>
      <c r="F2859" t="s">
        <v>30</v>
      </c>
      <c r="G2859" t="s">
        <v>39</v>
      </c>
      <c r="H2859" t="s">
        <v>36</v>
      </c>
      <c r="I2859" t="s">
        <v>26</v>
      </c>
      <c r="J2859" t="s">
        <v>27</v>
      </c>
      <c r="K2859" t="s">
        <v>32</v>
      </c>
      <c r="L2859" s="2">
        <v>12</v>
      </c>
      <c r="M2859" s="3">
        <v>293</v>
      </c>
      <c r="N2859">
        <v>3</v>
      </c>
      <c r="O2859">
        <v>5</v>
      </c>
      <c r="P2859">
        <v>0</v>
      </c>
      <c r="Q2859">
        <v>2</v>
      </c>
      <c r="R2859" s="4">
        <v>17.48</v>
      </c>
      <c r="S2859">
        <v>0</v>
      </c>
      <c r="T2859">
        <v>1</v>
      </c>
    </row>
    <row r="2860" spans="1:20" ht="16.5" x14ac:dyDescent="0.3">
      <c r="A2860" t="s">
        <v>2914</v>
      </c>
      <c r="B2860" s="1">
        <v>45688</v>
      </c>
      <c r="C2860">
        <v>2025</v>
      </c>
      <c r="D2860" t="s">
        <v>21</v>
      </c>
      <c r="E2860" t="s">
        <v>22</v>
      </c>
      <c r="F2860" t="s">
        <v>38</v>
      </c>
      <c r="G2860" t="s">
        <v>39</v>
      </c>
      <c r="H2860" t="s">
        <v>48</v>
      </c>
      <c r="I2860" t="s">
        <v>26</v>
      </c>
      <c r="J2860" t="s">
        <v>27</v>
      </c>
      <c r="K2860" t="s">
        <v>28</v>
      </c>
      <c r="L2860" s="2">
        <v>4</v>
      </c>
      <c r="M2860" s="3">
        <v>509</v>
      </c>
      <c r="N2860">
        <v>4</v>
      </c>
      <c r="O2860">
        <v>4</v>
      </c>
      <c r="P2860">
        <v>1</v>
      </c>
      <c r="Q2860">
        <v>0</v>
      </c>
      <c r="R2860" s="4">
        <v>15.62</v>
      </c>
      <c r="S2860">
        <v>0</v>
      </c>
      <c r="T2860">
        <v>1</v>
      </c>
    </row>
    <row r="2861" spans="1:20" ht="16.5" x14ac:dyDescent="0.3">
      <c r="A2861" t="s">
        <v>2915</v>
      </c>
      <c r="B2861" s="1">
        <v>45689</v>
      </c>
      <c r="C2861">
        <v>2025</v>
      </c>
      <c r="D2861" t="s">
        <v>21</v>
      </c>
      <c r="E2861" t="s">
        <v>241</v>
      </c>
      <c r="F2861" t="s">
        <v>23</v>
      </c>
      <c r="G2861" t="s">
        <v>35</v>
      </c>
      <c r="H2861" t="s">
        <v>25</v>
      </c>
      <c r="I2861" t="s">
        <v>26</v>
      </c>
      <c r="J2861" t="s">
        <v>27</v>
      </c>
      <c r="K2861" t="s">
        <v>32</v>
      </c>
      <c r="L2861" s="2">
        <v>2.4</v>
      </c>
      <c r="M2861" s="3">
        <v>836</v>
      </c>
      <c r="N2861">
        <v>4</v>
      </c>
      <c r="O2861">
        <v>4</v>
      </c>
      <c r="P2861">
        <v>1</v>
      </c>
      <c r="Q2861">
        <v>0</v>
      </c>
      <c r="R2861" s="4">
        <v>16.61</v>
      </c>
      <c r="S2861">
        <v>0</v>
      </c>
      <c r="T2861">
        <v>1</v>
      </c>
    </row>
    <row r="2862" spans="1:20" ht="16.5" x14ac:dyDescent="0.3">
      <c r="A2862" t="s">
        <v>2916</v>
      </c>
      <c r="B2862" s="1">
        <v>45689</v>
      </c>
      <c r="C2862">
        <v>2025</v>
      </c>
      <c r="D2862" t="s">
        <v>21</v>
      </c>
      <c r="E2862" t="s">
        <v>241</v>
      </c>
      <c r="F2862" t="s">
        <v>30</v>
      </c>
      <c r="G2862" t="s">
        <v>35</v>
      </c>
      <c r="H2862" t="s">
        <v>36</v>
      </c>
      <c r="I2862" t="s">
        <v>31</v>
      </c>
      <c r="J2862" t="s">
        <v>27</v>
      </c>
      <c r="K2862" t="s">
        <v>32</v>
      </c>
      <c r="L2862" s="2">
        <v>0.7</v>
      </c>
      <c r="M2862" s="3">
        <v>270</v>
      </c>
      <c r="N2862">
        <v>5</v>
      </c>
      <c r="O2862">
        <v>4</v>
      </c>
      <c r="P2862">
        <v>1</v>
      </c>
      <c r="Q2862">
        <v>0</v>
      </c>
      <c r="R2862" s="4">
        <v>7.57</v>
      </c>
      <c r="S2862">
        <v>0</v>
      </c>
      <c r="T2862">
        <v>1</v>
      </c>
    </row>
    <row r="2863" spans="1:20" ht="16.5" x14ac:dyDescent="0.3">
      <c r="A2863" t="s">
        <v>2917</v>
      </c>
      <c r="B2863" s="1">
        <v>45689</v>
      </c>
      <c r="C2863">
        <v>2025</v>
      </c>
      <c r="D2863" t="s">
        <v>21</v>
      </c>
      <c r="E2863" t="s">
        <v>241</v>
      </c>
      <c r="F2863" t="s">
        <v>57</v>
      </c>
      <c r="G2863" t="s">
        <v>35</v>
      </c>
      <c r="H2863" t="s">
        <v>48</v>
      </c>
      <c r="I2863" t="s">
        <v>26</v>
      </c>
      <c r="J2863" t="s">
        <v>27</v>
      </c>
      <c r="K2863" t="s">
        <v>32</v>
      </c>
      <c r="L2863" s="2">
        <v>6.5</v>
      </c>
      <c r="M2863" s="3">
        <v>459</v>
      </c>
      <c r="N2863">
        <v>4</v>
      </c>
      <c r="O2863">
        <v>3</v>
      </c>
      <c r="P2863">
        <v>1</v>
      </c>
      <c r="Q2863">
        <v>0</v>
      </c>
      <c r="R2863" s="4">
        <v>15.88</v>
      </c>
      <c r="S2863">
        <v>0</v>
      </c>
      <c r="T2863">
        <v>1</v>
      </c>
    </row>
    <row r="2864" spans="1:20" ht="16.5" x14ac:dyDescent="0.3">
      <c r="A2864" t="s">
        <v>2918</v>
      </c>
      <c r="B2864" s="1">
        <v>45689</v>
      </c>
      <c r="C2864">
        <v>2025</v>
      </c>
      <c r="D2864" t="s">
        <v>21</v>
      </c>
      <c r="E2864" t="s">
        <v>241</v>
      </c>
      <c r="F2864" t="s">
        <v>57</v>
      </c>
      <c r="G2864" t="s">
        <v>35</v>
      </c>
      <c r="H2864" t="s">
        <v>43</v>
      </c>
      <c r="I2864" t="s">
        <v>40</v>
      </c>
      <c r="J2864" t="s">
        <v>41</v>
      </c>
      <c r="K2864" t="s">
        <v>32</v>
      </c>
      <c r="L2864" s="2">
        <v>9.8000000000000007</v>
      </c>
      <c r="M2864" s="3">
        <v>1194</v>
      </c>
      <c r="N2864">
        <v>3</v>
      </c>
      <c r="O2864">
        <v>2</v>
      </c>
      <c r="P2864">
        <v>1</v>
      </c>
      <c r="Q2864">
        <v>0</v>
      </c>
      <c r="R2864" s="4">
        <v>88.05</v>
      </c>
      <c r="S2864">
        <v>0</v>
      </c>
      <c r="T2864">
        <v>1</v>
      </c>
    </row>
    <row r="2865" spans="1:20" ht="16.5" x14ac:dyDescent="0.3">
      <c r="A2865" t="s">
        <v>2919</v>
      </c>
      <c r="B2865" s="1">
        <v>45689</v>
      </c>
      <c r="C2865">
        <v>2025</v>
      </c>
      <c r="D2865" t="s">
        <v>21</v>
      </c>
      <c r="E2865" t="s">
        <v>241</v>
      </c>
      <c r="F2865" t="s">
        <v>57</v>
      </c>
      <c r="G2865" t="s">
        <v>35</v>
      </c>
      <c r="H2865" t="s">
        <v>48</v>
      </c>
      <c r="I2865" t="s">
        <v>26</v>
      </c>
      <c r="J2865" t="s">
        <v>27</v>
      </c>
      <c r="K2865" t="s">
        <v>32</v>
      </c>
      <c r="L2865" s="2">
        <v>1.4</v>
      </c>
      <c r="M2865" s="3">
        <v>453</v>
      </c>
      <c r="N2865">
        <v>4</v>
      </c>
      <c r="O2865">
        <v>4</v>
      </c>
      <c r="P2865">
        <v>1</v>
      </c>
      <c r="Q2865">
        <v>0</v>
      </c>
      <c r="R2865" s="4">
        <v>12.57</v>
      </c>
      <c r="S2865">
        <v>0</v>
      </c>
      <c r="T2865">
        <v>1</v>
      </c>
    </row>
    <row r="2866" spans="1:20" ht="16.5" x14ac:dyDescent="0.3">
      <c r="A2866" t="s">
        <v>2920</v>
      </c>
      <c r="B2866" s="1">
        <v>45689</v>
      </c>
      <c r="C2866">
        <v>2025</v>
      </c>
      <c r="D2866" t="s">
        <v>21</v>
      </c>
      <c r="E2866" t="s">
        <v>241</v>
      </c>
      <c r="F2866" t="s">
        <v>38</v>
      </c>
      <c r="G2866" t="s">
        <v>24</v>
      </c>
      <c r="H2866" t="s">
        <v>43</v>
      </c>
      <c r="I2866" t="s">
        <v>26</v>
      </c>
      <c r="J2866" t="s">
        <v>27</v>
      </c>
      <c r="K2866" t="s">
        <v>32</v>
      </c>
      <c r="L2866" s="2">
        <v>9.6999999999999993</v>
      </c>
      <c r="M2866" s="3">
        <v>1203</v>
      </c>
      <c r="N2866">
        <v>5</v>
      </c>
      <c r="O2866">
        <v>7</v>
      </c>
      <c r="P2866">
        <v>0</v>
      </c>
      <c r="Q2866">
        <v>2</v>
      </c>
      <c r="R2866" s="4">
        <v>28.92</v>
      </c>
      <c r="S2866">
        <v>0</v>
      </c>
      <c r="T2866">
        <v>1</v>
      </c>
    </row>
    <row r="2867" spans="1:20" ht="16.5" x14ac:dyDescent="0.3">
      <c r="A2867" t="s">
        <v>2921</v>
      </c>
      <c r="B2867" s="1">
        <v>45690</v>
      </c>
      <c r="C2867">
        <v>2025</v>
      </c>
      <c r="D2867" t="s">
        <v>21</v>
      </c>
      <c r="E2867" t="s">
        <v>241</v>
      </c>
      <c r="F2867" t="s">
        <v>23</v>
      </c>
      <c r="G2867" t="s">
        <v>35</v>
      </c>
      <c r="H2867" t="s">
        <v>48</v>
      </c>
      <c r="I2867" t="s">
        <v>31</v>
      </c>
      <c r="J2867" t="s">
        <v>27</v>
      </c>
      <c r="K2867" t="s">
        <v>28</v>
      </c>
      <c r="L2867" s="2">
        <v>126.3</v>
      </c>
      <c r="M2867" s="3">
        <v>600</v>
      </c>
      <c r="N2867">
        <v>6</v>
      </c>
      <c r="O2867">
        <v>6</v>
      </c>
      <c r="P2867">
        <v>1</v>
      </c>
      <c r="Q2867">
        <v>0</v>
      </c>
      <c r="R2867" s="4">
        <v>49.45</v>
      </c>
      <c r="S2867">
        <v>0</v>
      </c>
      <c r="T2867">
        <v>1</v>
      </c>
    </row>
    <row r="2868" spans="1:20" ht="16.5" x14ac:dyDescent="0.3">
      <c r="A2868" t="s">
        <v>2922</v>
      </c>
      <c r="B2868" s="1">
        <v>45690</v>
      </c>
      <c r="C2868">
        <v>2025</v>
      </c>
      <c r="D2868" t="s">
        <v>21</v>
      </c>
      <c r="E2868" t="s">
        <v>241</v>
      </c>
      <c r="F2868" t="s">
        <v>34</v>
      </c>
      <c r="G2868" t="s">
        <v>39</v>
      </c>
      <c r="H2868" t="s">
        <v>51</v>
      </c>
      <c r="I2868" t="s">
        <v>26</v>
      </c>
      <c r="J2868" t="s">
        <v>27</v>
      </c>
      <c r="K2868" t="s">
        <v>28</v>
      </c>
      <c r="L2868" s="2">
        <v>164</v>
      </c>
      <c r="M2868" s="3">
        <v>995</v>
      </c>
      <c r="N2868">
        <v>5</v>
      </c>
      <c r="O2868">
        <v>6</v>
      </c>
      <c r="P2868">
        <v>0</v>
      </c>
      <c r="Q2868">
        <v>1</v>
      </c>
      <c r="R2868" s="4">
        <v>72.63</v>
      </c>
      <c r="S2868">
        <v>0</v>
      </c>
      <c r="T2868">
        <v>1</v>
      </c>
    </row>
    <row r="2869" spans="1:20" ht="16.5" x14ac:dyDescent="0.3">
      <c r="A2869" t="s">
        <v>2923</v>
      </c>
      <c r="B2869" s="1">
        <v>45690</v>
      </c>
      <c r="C2869">
        <v>2025</v>
      </c>
      <c r="D2869" t="s">
        <v>21</v>
      </c>
      <c r="E2869" t="s">
        <v>241</v>
      </c>
      <c r="F2869" t="s">
        <v>57</v>
      </c>
      <c r="G2869" t="s">
        <v>39</v>
      </c>
      <c r="H2869" t="s">
        <v>51</v>
      </c>
      <c r="I2869" t="s">
        <v>26</v>
      </c>
      <c r="J2869" t="s">
        <v>27</v>
      </c>
      <c r="K2869" t="s">
        <v>32</v>
      </c>
      <c r="L2869" s="2">
        <v>5.3</v>
      </c>
      <c r="M2869" s="3">
        <v>1221</v>
      </c>
      <c r="N2869">
        <v>5</v>
      </c>
      <c r="O2869">
        <v>5</v>
      </c>
      <c r="P2869">
        <v>1</v>
      </c>
      <c r="Q2869">
        <v>0</v>
      </c>
      <c r="R2869" s="4">
        <v>25.66</v>
      </c>
      <c r="S2869">
        <v>0</v>
      </c>
      <c r="T2869">
        <v>1</v>
      </c>
    </row>
    <row r="2870" spans="1:20" ht="16.5" x14ac:dyDescent="0.3">
      <c r="A2870" t="s">
        <v>2924</v>
      </c>
      <c r="B2870" s="1">
        <v>45691</v>
      </c>
      <c r="C2870">
        <v>2025</v>
      </c>
      <c r="D2870" t="s">
        <v>21</v>
      </c>
      <c r="E2870" t="s">
        <v>241</v>
      </c>
      <c r="F2870" t="s">
        <v>34</v>
      </c>
      <c r="G2870" t="s">
        <v>35</v>
      </c>
      <c r="H2870" t="s">
        <v>36</v>
      </c>
      <c r="I2870" t="s">
        <v>26</v>
      </c>
      <c r="J2870" t="s">
        <v>27</v>
      </c>
      <c r="K2870" t="s">
        <v>32</v>
      </c>
      <c r="L2870" s="2">
        <v>5.7</v>
      </c>
      <c r="M2870" s="3">
        <v>242</v>
      </c>
      <c r="N2870">
        <v>3</v>
      </c>
      <c r="O2870">
        <v>5</v>
      </c>
      <c r="P2870">
        <v>0</v>
      </c>
      <c r="Q2870">
        <v>2</v>
      </c>
      <c r="R2870" s="4">
        <v>12.01</v>
      </c>
      <c r="S2870">
        <v>0</v>
      </c>
      <c r="T2870">
        <v>1</v>
      </c>
    </row>
    <row r="2871" spans="1:20" ht="16.5" x14ac:dyDescent="0.3">
      <c r="A2871" t="s">
        <v>2925</v>
      </c>
      <c r="B2871" s="1">
        <v>45691</v>
      </c>
      <c r="C2871">
        <v>2025</v>
      </c>
      <c r="D2871" t="s">
        <v>21</v>
      </c>
      <c r="E2871" t="s">
        <v>241</v>
      </c>
      <c r="F2871" t="s">
        <v>38</v>
      </c>
      <c r="G2871" t="s">
        <v>35</v>
      </c>
      <c r="H2871" t="s">
        <v>51</v>
      </c>
      <c r="I2871" t="s">
        <v>31</v>
      </c>
      <c r="J2871" t="s">
        <v>27</v>
      </c>
      <c r="K2871" t="s">
        <v>28</v>
      </c>
      <c r="L2871" s="2">
        <v>96</v>
      </c>
      <c r="M2871" s="3">
        <v>961</v>
      </c>
      <c r="N2871">
        <v>7</v>
      </c>
      <c r="O2871">
        <v>7</v>
      </c>
      <c r="P2871">
        <v>1</v>
      </c>
      <c r="Q2871">
        <v>0</v>
      </c>
      <c r="R2871" s="4">
        <v>51.82</v>
      </c>
      <c r="S2871">
        <v>0</v>
      </c>
      <c r="T2871">
        <v>1</v>
      </c>
    </row>
    <row r="2872" spans="1:20" ht="16.5" x14ac:dyDescent="0.3">
      <c r="A2872" t="s">
        <v>2926</v>
      </c>
      <c r="B2872" s="1">
        <v>45691</v>
      </c>
      <c r="C2872">
        <v>2025</v>
      </c>
      <c r="D2872" t="s">
        <v>21</v>
      </c>
      <c r="E2872" t="s">
        <v>241</v>
      </c>
      <c r="F2872" t="s">
        <v>38</v>
      </c>
      <c r="G2872" t="s">
        <v>39</v>
      </c>
      <c r="H2872" t="s">
        <v>48</v>
      </c>
      <c r="I2872" t="s">
        <v>40</v>
      </c>
      <c r="J2872" t="s">
        <v>27</v>
      </c>
      <c r="K2872" t="s">
        <v>32</v>
      </c>
      <c r="L2872" s="2">
        <v>5.5</v>
      </c>
      <c r="M2872" s="3">
        <v>294</v>
      </c>
      <c r="N2872">
        <v>2</v>
      </c>
      <c r="O2872">
        <v>1</v>
      </c>
      <c r="P2872">
        <v>1</v>
      </c>
      <c r="Q2872">
        <v>0</v>
      </c>
      <c r="R2872" s="4">
        <v>28.53</v>
      </c>
      <c r="S2872">
        <v>0</v>
      </c>
      <c r="T2872">
        <v>1</v>
      </c>
    </row>
    <row r="2873" spans="1:20" ht="16.5" x14ac:dyDescent="0.3">
      <c r="A2873" t="s">
        <v>2927</v>
      </c>
      <c r="B2873" s="1">
        <v>45691</v>
      </c>
      <c r="C2873">
        <v>2025</v>
      </c>
      <c r="D2873" t="s">
        <v>21</v>
      </c>
      <c r="E2873" t="s">
        <v>241</v>
      </c>
      <c r="F2873" t="s">
        <v>23</v>
      </c>
      <c r="G2873" t="s">
        <v>35</v>
      </c>
      <c r="H2873" t="s">
        <v>43</v>
      </c>
      <c r="I2873" t="s">
        <v>26</v>
      </c>
      <c r="J2873" t="s">
        <v>27</v>
      </c>
      <c r="K2873" t="s">
        <v>32</v>
      </c>
      <c r="L2873" s="2">
        <v>10.199999999999999</v>
      </c>
      <c r="M2873" s="3">
        <v>1183</v>
      </c>
      <c r="N2873">
        <v>5</v>
      </c>
      <c r="O2873">
        <v>5</v>
      </c>
      <c r="P2873">
        <v>1</v>
      </c>
      <c r="Q2873">
        <v>0</v>
      </c>
      <c r="R2873" s="4">
        <v>26.08</v>
      </c>
      <c r="S2873">
        <v>0</v>
      </c>
      <c r="T2873">
        <v>1</v>
      </c>
    </row>
    <row r="2874" spans="1:20" ht="16.5" x14ac:dyDescent="0.3">
      <c r="A2874" t="s">
        <v>2928</v>
      </c>
      <c r="B2874" s="1">
        <v>45691</v>
      </c>
      <c r="C2874">
        <v>2025</v>
      </c>
      <c r="D2874" t="s">
        <v>21</v>
      </c>
      <c r="E2874" t="s">
        <v>241</v>
      </c>
      <c r="F2874" t="s">
        <v>30</v>
      </c>
      <c r="G2874" t="s">
        <v>35</v>
      </c>
      <c r="H2874" t="s">
        <v>48</v>
      </c>
      <c r="I2874" t="s">
        <v>31</v>
      </c>
      <c r="J2874" t="s">
        <v>27</v>
      </c>
      <c r="K2874" t="s">
        <v>28</v>
      </c>
      <c r="L2874" s="2">
        <v>188.2</v>
      </c>
      <c r="M2874" s="3">
        <v>532</v>
      </c>
      <c r="N2874">
        <v>6</v>
      </c>
      <c r="O2874">
        <v>5</v>
      </c>
      <c r="P2874">
        <v>1</v>
      </c>
      <c r="Q2874">
        <v>0</v>
      </c>
      <c r="R2874" s="4">
        <v>70.930000000000007</v>
      </c>
      <c r="S2874">
        <v>0</v>
      </c>
      <c r="T2874">
        <v>1</v>
      </c>
    </row>
    <row r="2875" spans="1:20" ht="16.5" x14ac:dyDescent="0.3">
      <c r="A2875" t="s">
        <v>2929</v>
      </c>
      <c r="B2875" s="1">
        <v>45691</v>
      </c>
      <c r="C2875">
        <v>2025</v>
      </c>
      <c r="D2875" t="s">
        <v>21</v>
      </c>
      <c r="E2875" t="s">
        <v>241</v>
      </c>
      <c r="F2875" t="s">
        <v>57</v>
      </c>
      <c r="G2875" t="s">
        <v>35</v>
      </c>
      <c r="H2875" t="s">
        <v>48</v>
      </c>
      <c r="I2875" t="s">
        <v>40</v>
      </c>
      <c r="J2875" t="s">
        <v>27</v>
      </c>
      <c r="K2875" t="s">
        <v>32</v>
      </c>
      <c r="L2875" s="2">
        <v>8.9</v>
      </c>
      <c r="M2875" s="3">
        <v>368</v>
      </c>
      <c r="N2875">
        <v>2</v>
      </c>
      <c r="O2875">
        <v>2</v>
      </c>
      <c r="P2875">
        <v>1</v>
      </c>
      <c r="Q2875">
        <v>0</v>
      </c>
      <c r="R2875" s="4">
        <v>30.12</v>
      </c>
      <c r="S2875">
        <v>0</v>
      </c>
      <c r="T2875">
        <v>1</v>
      </c>
    </row>
    <row r="2876" spans="1:20" ht="16.5" x14ac:dyDescent="0.3">
      <c r="A2876" t="s">
        <v>2930</v>
      </c>
      <c r="B2876" s="1">
        <v>45691</v>
      </c>
      <c r="C2876">
        <v>2025</v>
      </c>
      <c r="D2876" t="s">
        <v>21</v>
      </c>
      <c r="E2876" t="s">
        <v>241</v>
      </c>
      <c r="F2876" t="s">
        <v>57</v>
      </c>
      <c r="G2876" t="s">
        <v>39</v>
      </c>
      <c r="H2876" t="s">
        <v>36</v>
      </c>
      <c r="I2876" t="s">
        <v>26</v>
      </c>
      <c r="J2876" t="s">
        <v>27</v>
      </c>
      <c r="K2876" t="s">
        <v>32</v>
      </c>
      <c r="L2876" s="2">
        <v>2.6</v>
      </c>
      <c r="M2876" s="3">
        <v>322</v>
      </c>
      <c r="N2876">
        <v>3</v>
      </c>
      <c r="O2876">
        <v>3</v>
      </c>
      <c r="P2876">
        <v>1</v>
      </c>
      <c r="Q2876">
        <v>0</v>
      </c>
      <c r="R2876" s="4">
        <v>12.38</v>
      </c>
      <c r="S2876">
        <v>0</v>
      </c>
      <c r="T2876">
        <v>1</v>
      </c>
    </row>
    <row r="2877" spans="1:20" ht="16.5" x14ac:dyDescent="0.3">
      <c r="A2877" t="s">
        <v>2931</v>
      </c>
      <c r="B2877" s="1">
        <v>45691</v>
      </c>
      <c r="C2877">
        <v>2025</v>
      </c>
      <c r="D2877" t="s">
        <v>21</v>
      </c>
      <c r="E2877" t="s">
        <v>241</v>
      </c>
      <c r="F2877" t="s">
        <v>23</v>
      </c>
      <c r="G2877" t="s">
        <v>39</v>
      </c>
      <c r="H2877" t="s">
        <v>25</v>
      </c>
      <c r="I2877" t="s">
        <v>40</v>
      </c>
      <c r="J2877" t="s">
        <v>41</v>
      </c>
      <c r="K2877" t="s">
        <v>32</v>
      </c>
      <c r="L2877" s="2">
        <v>5.7</v>
      </c>
      <c r="M2877" s="3">
        <v>992</v>
      </c>
      <c r="N2877">
        <v>2</v>
      </c>
      <c r="O2877">
        <v>2</v>
      </c>
      <c r="P2877">
        <v>1</v>
      </c>
      <c r="Q2877">
        <v>0</v>
      </c>
      <c r="R2877" s="4">
        <v>64.39</v>
      </c>
      <c r="S2877">
        <v>0</v>
      </c>
      <c r="T2877">
        <v>1</v>
      </c>
    </row>
    <row r="2878" spans="1:20" ht="16.5" x14ac:dyDescent="0.3">
      <c r="A2878" t="s">
        <v>2932</v>
      </c>
      <c r="B2878" s="1">
        <v>45691</v>
      </c>
      <c r="C2878">
        <v>2025</v>
      </c>
      <c r="D2878" t="s">
        <v>21</v>
      </c>
      <c r="E2878" t="s">
        <v>241</v>
      </c>
      <c r="F2878" t="s">
        <v>34</v>
      </c>
      <c r="G2878" t="s">
        <v>39</v>
      </c>
      <c r="H2878" t="s">
        <v>51</v>
      </c>
      <c r="I2878" t="s">
        <v>26</v>
      </c>
      <c r="J2878" t="s">
        <v>27</v>
      </c>
      <c r="K2878" t="s">
        <v>32</v>
      </c>
      <c r="L2878" s="2">
        <v>4.4000000000000004</v>
      </c>
      <c r="M2878" s="3">
        <v>1123</v>
      </c>
      <c r="N2878">
        <v>5</v>
      </c>
      <c r="O2878">
        <v>8</v>
      </c>
      <c r="P2878">
        <v>0</v>
      </c>
      <c r="Q2878">
        <v>3</v>
      </c>
      <c r="R2878" s="4">
        <v>21.06</v>
      </c>
      <c r="S2878">
        <v>0</v>
      </c>
      <c r="T2878">
        <v>1</v>
      </c>
    </row>
    <row r="2879" spans="1:20" ht="16.5" x14ac:dyDescent="0.3">
      <c r="A2879" t="s">
        <v>2933</v>
      </c>
      <c r="B2879" s="1">
        <v>45692</v>
      </c>
      <c r="C2879">
        <v>2025</v>
      </c>
      <c r="D2879" t="s">
        <v>21</v>
      </c>
      <c r="E2879" t="s">
        <v>241</v>
      </c>
      <c r="F2879" t="s">
        <v>34</v>
      </c>
      <c r="G2879" t="s">
        <v>39</v>
      </c>
      <c r="H2879" t="s">
        <v>48</v>
      </c>
      <c r="I2879" t="s">
        <v>26</v>
      </c>
      <c r="J2879" t="s">
        <v>27</v>
      </c>
      <c r="K2879" t="s">
        <v>28</v>
      </c>
      <c r="L2879" s="2">
        <v>82.8</v>
      </c>
      <c r="M2879" s="3">
        <v>545</v>
      </c>
      <c r="N2879">
        <v>4</v>
      </c>
      <c r="O2879">
        <v>4</v>
      </c>
      <c r="P2879">
        <v>1</v>
      </c>
      <c r="Q2879">
        <v>0</v>
      </c>
      <c r="R2879" s="4">
        <v>42.37</v>
      </c>
      <c r="S2879">
        <v>0</v>
      </c>
      <c r="T2879">
        <v>1</v>
      </c>
    </row>
    <row r="2880" spans="1:20" ht="16.5" x14ac:dyDescent="0.3">
      <c r="A2880" t="s">
        <v>2934</v>
      </c>
      <c r="B2880" s="1">
        <v>45692</v>
      </c>
      <c r="C2880">
        <v>2025</v>
      </c>
      <c r="D2880" t="s">
        <v>21</v>
      </c>
      <c r="E2880" t="s">
        <v>241</v>
      </c>
      <c r="F2880" t="s">
        <v>30</v>
      </c>
      <c r="G2880" t="s">
        <v>39</v>
      </c>
      <c r="H2880" t="s">
        <v>36</v>
      </c>
      <c r="I2880" t="s">
        <v>31</v>
      </c>
      <c r="J2880" t="s">
        <v>27</v>
      </c>
      <c r="K2880" t="s">
        <v>28</v>
      </c>
      <c r="L2880" s="2">
        <v>149.1</v>
      </c>
      <c r="M2880" s="3">
        <v>259</v>
      </c>
      <c r="N2880">
        <v>5</v>
      </c>
      <c r="O2880">
        <v>5</v>
      </c>
      <c r="P2880">
        <v>1</v>
      </c>
      <c r="Q2880">
        <v>0</v>
      </c>
      <c r="R2880" s="4">
        <v>59.23</v>
      </c>
      <c r="S2880">
        <v>0</v>
      </c>
      <c r="T2880">
        <v>1</v>
      </c>
    </row>
    <row r="2881" spans="1:20" ht="16.5" x14ac:dyDescent="0.3">
      <c r="A2881" t="s">
        <v>2935</v>
      </c>
      <c r="B2881" s="1">
        <v>45692</v>
      </c>
      <c r="C2881">
        <v>2025</v>
      </c>
      <c r="D2881" t="s">
        <v>21</v>
      </c>
      <c r="E2881" t="s">
        <v>241</v>
      </c>
      <c r="F2881" t="s">
        <v>34</v>
      </c>
      <c r="G2881" t="s">
        <v>39</v>
      </c>
      <c r="H2881" t="s">
        <v>36</v>
      </c>
      <c r="I2881" t="s">
        <v>26</v>
      </c>
      <c r="J2881" t="s">
        <v>27</v>
      </c>
      <c r="K2881" t="s">
        <v>28</v>
      </c>
      <c r="L2881" s="2">
        <v>12.7</v>
      </c>
      <c r="M2881" s="3">
        <v>289</v>
      </c>
      <c r="N2881">
        <v>3</v>
      </c>
      <c r="O2881">
        <v>2</v>
      </c>
      <c r="P2881">
        <v>1</v>
      </c>
      <c r="Q2881">
        <v>0</v>
      </c>
      <c r="R2881" s="4">
        <v>16.440000000000001</v>
      </c>
      <c r="S2881">
        <v>0</v>
      </c>
      <c r="T2881">
        <v>1</v>
      </c>
    </row>
    <row r="2882" spans="1:20" ht="16.5" x14ac:dyDescent="0.3">
      <c r="A2882" t="s">
        <v>2936</v>
      </c>
      <c r="B2882" s="1">
        <v>45692</v>
      </c>
      <c r="C2882">
        <v>2025</v>
      </c>
      <c r="D2882" t="s">
        <v>21</v>
      </c>
      <c r="E2882" t="s">
        <v>241</v>
      </c>
      <c r="F2882" t="s">
        <v>34</v>
      </c>
      <c r="G2882" t="s">
        <v>39</v>
      </c>
      <c r="H2882" t="s">
        <v>36</v>
      </c>
      <c r="I2882" t="s">
        <v>40</v>
      </c>
      <c r="J2882" t="s">
        <v>27</v>
      </c>
      <c r="K2882" t="s">
        <v>32</v>
      </c>
      <c r="L2882" s="2">
        <v>4.9000000000000004</v>
      </c>
      <c r="M2882" s="3">
        <v>249</v>
      </c>
      <c r="N2882">
        <v>1</v>
      </c>
      <c r="O2882">
        <v>1</v>
      </c>
      <c r="P2882">
        <v>1</v>
      </c>
      <c r="Q2882">
        <v>0</v>
      </c>
      <c r="R2882" s="4">
        <v>23.08</v>
      </c>
      <c r="S2882">
        <v>0</v>
      </c>
      <c r="T2882">
        <v>1</v>
      </c>
    </row>
    <row r="2883" spans="1:20" ht="16.5" x14ac:dyDescent="0.3">
      <c r="A2883" t="s">
        <v>2937</v>
      </c>
      <c r="B2883" s="1">
        <v>45692</v>
      </c>
      <c r="C2883">
        <v>2025</v>
      </c>
      <c r="D2883" t="s">
        <v>21</v>
      </c>
      <c r="E2883" t="s">
        <v>241</v>
      </c>
      <c r="F2883" t="s">
        <v>23</v>
      </c>
      <c r="G2883" t="s">
        <v>35</v>
      </c>
      <c r="H2883" t="s">
        <v>43</v>
      </c>
      <c r="I2883" t="s">
        <v>26</v>
      </c>
      <c r="J2883" t="s">
        <v>27</v>
      </c>
      <c r="K2883" t="s">
        <v>32</v>
      </c>
      <c r="L2883" s="2">
        <v>9.9</v>
      </c>
      <c r="M2883" s="3">
        <v>991</v>
      </c>
      <c r="N2883">
        <v>5</v>
      </c>
      <c r="O2883">
        <v>5</v>
      </c>
      <c r="P2883">
        <v>1</v>
      </c>
      <c r="Q2883">
        <v>0</v>
      </c>
      <c r="R2883" s="4">
        <v>21.62</v>
      </c>
      <c r="S2883">
        <v>0</v>
      </c>
      <c r="T2883">
        <v>1</v>
      </c>
    </row>
    <row r="2884" spans="1:20" ht="16.5" x14ac:dyDescent="0.3">
      <c r="A2884" t="s">
        <v>2938</v>
      </c>
      <c r="B2884" s="1">
        <v>45692</v>
      </c>
      <c r="C2884">
        <v>2025</v>
      </c>
      <c r="D2884" t="s">
        <v>21</v>
      </c>
      <c r="E2884" t="s">
        <v>241</v>
      </c>
      <c r="F2884" t="s">
        <v>34</v>
      </c>
      <c r="G2884" t="s">
        <v>24</v>
      </c>
      <c r="H2884" t="s">
        <v>36</v>
      </c>
      <c r="I2884" t="s">
        <v>26</v>
      </c>
      <c r="J2884" t="s">
        <v>27</v>
      </c>
      <c r="K2884" t="s">
        <v>32</v>
      </c>
      <c r="L2884" s="2">
        <v>3.2</v>
      </c>
      <c r="M2884" s="3">
        <v>222</v>
      </c>
      <c r="N2884">
        <v>3</v>
      </c>
      <c r="O2884">
        <v>2</v>
      </c>
      <c r="P2884">
        <v>1</v>
      </c>
      <c r="Q2884">
        <v>0</v>
      </c>
      <c r="R2884" s="4">
        <v>9.33</v>
      </c>
      <c r="S2884">
        <v>0</v>
      </c>
      <c r="T2884">
        <v>1</v>
      </c>
    </row>
    <row r="2885" spans="1:20" ht="16.5" x14ac:dyDescent="0.3">
      <c r="A2885" t="s">
        <v>2939</v>
      </c>
      <c r="B2885" s="1">
        <v>45692</v>
      </c>
      <c r="C2885">
        <v>2025</v>
      </c>
      <c r="D2885" t="s">
        <v>21</v>
      </c>
      <c r="E2885" t="s">
        <v>241</v>
      </c>
      <c r="F2885" t="s">
        <v>38</v>
      </c>
      <c r="G2885" t="s">
        <v>24</v>
      </c>
      <c r="H2885" t="s">
        <v>51</v>
      </c>
      <c r="I2885" t="s">
        <v>26</v>
      </c>
      <c r="J2885" t="s">
        <v>27</v>
      </c>
      <c r="K2885" t="s">
        <v>32</v>
      </c>
      <c r="L2885" s="2">
        <v>10.199999999999999</v>
      </c>
      <c r="M2885" s="3">
        <v>1059</v>
      </c>
      <c r="N2885">
        <v>5</v>
      </c>
      <c r="O2885">
        <v>5</v>
      </c>
      <c r="P2885">
        <v>1</v>
      </c>
      <c r="Q2885">
        <v>0</v>
      </c>
      <c r="R2885" s="4">
        <v>27.45</v>
      </c>
      <c r="S2885">
        <v>0</v>
      </c>
      <c r="T2885">
        <v>1</v>
      </c>
    </row>
    <row r="2886" spans="1:20" ht="16.5" x14ac:dyDescent="0.3">
      <c r="A2886" t="s">
        <v>2940</v>
      </c>
      <c r="B2886" s="1">
        <v>45693</v>
      </c>
      <c r="C2886">
        <v>2025</v>
      </c>
      <c r="D2886" t="s">
        <v>21</v>
      </c>
      <c r="E2886" t="s">
        <v>241</v>
      </c>
      <c r="F2886" t="s">
        <v>34</v>
      </c>
      <c r="G2886" t="s">
        <v>39</v>
      </c>
      <c r="H2886" t="s">
        <v>25</v>
      </c>
      <c r="I2886" t="s">
        <v>40</v>
      </c>
      <c r="J2886" t="s">
        <v>41</v>
      </c>
      <c r="K2886" t="s">
        <v>28</v>
      </c>
      <c r="L2886" s="2">
        <v>272.5</v>
      </c>
      <c r="M2886" s="3">
        <v>962</v>
      </c>
      <c r="N2886">
        <v>2</v>
      </c>
      <c r="O2886">
        <v>2</v>
      </c>
      <c r="P2886">
        <v>1</v>
      </c>
      <c r="Q2886">
        <v>0</v>
      </c>
      <c r="R2886" s="4">
        <v>316.77999999999997</v>
      </c>
      <c r="S2886">
        <v>0</v>
      </c>
      <c r="T2886">
        <v>1</v>
      </c>
    </row>
    <row r="2887" spans="1:20" ht="16.5" x14ac:dyDescent="0.3">
      <c r="A2887" t="s">
        <v>2941</v>
      </c>
      <c r="B2887" s="1">
        <v>45693</v>
      </c>
      <c r="C2887">
        <v>2025</v>
      </c>
      <c r="D2887" t="s">
        <v>21</v>
      </c>
      <c r="E2887" t="s">
        <v>241</v>
      </c>
      <c r="F2887" t="s">
        <v>38</v>
      </c>
      <c r="G2887" t="s">
        <v>39</v>
      </c>
      <c r="H2887" t="s">
        <v>51</v>
      </c>
      <c r="I2887" t="s">
        <v>40</v>
      </c>
      <c r="J2887" t="s">
        <v>41</v>
      </c>
      <c r="K2887" t="s">
        <v>28</v>
      </c>
      <c r="L2887" s="2">
        <v>34.1</v>
      </c>
      <c r="M2887" s="3">
        <v>983</v>
      </c>
      <c r="N2887">
        <v>3</v>
      </c>
      <c r="O2887">
        <v>6</v>
      </c>
      <c r="P2887">
        <v>0</v>
      </c>
      <c r="Q2887">
        <v>3</v>
      </c>
      <c r="R2887" s="4">
        <v>126.2</v>
      </c>
      <c r="S2887">
        <v>0</v>
      </c>
      <c r="T2887">
        <v>1</v>
      </c>
    </row>
    <row r="2888" spans="1:20" ht="16.5" x14ac:dyDescent="0.3">
      <c r="A2888" t="s">
        <v>2942</v>
      </c>
      <c r="B2888" s="1">
        <v>45693</v>
      </c>
      <c r="C2888">
        <v>2025</v>
      </c>
      <c r="D2888" t="s">
        <v>21</v>
      </c>
      <c r="E2888" t="s">
        <v>241</v>
      </c>
      <c r="F2888" t="s">
        <v>30</v>
      </c>
      <c r="G2888" t="s">
        <v>39</v>
      </c>
      <c r="H2888" t="s">
        <v>36</v>
      </c>
      <c r="I2888" t="s">
        <v>26</v>
      </c>
      <c r="J2888" t="s">
        <v>27</v>
      </c>
      <c r="K2888" t="s">
        <v>32</v>
      </c>
      <c r="L2888" s="2">
        <v>2.8</v>
      </c>
      <c r="M2888" s="3">
        <v>243</v>
      </c>
      <c r="N2888">
        <v>3</v>
      </c>
      <c r="O2888">
        <v>3</v>
      </c>
      <c r="P2888">
        <v>1</v>
      </c>
      <c r="Q2888">
        <v>0</v>
      </c>
      <c r="R2888" s="4">
        <v>12.56</v>
      </c>
      <c r="S2888">
        <v>0</v>
      </c>
      <c r="T2888">
        <v>1</v>
      </c>
    </row>
    <row r="2889" spans="1:20" ht="16.5" x14ac:dyDescent="0.3">
      <c r="A2889" t="s">
        <v>2943</v>
      </c>
      <c r="B2889" s="1">
        <v>45693</v>
      </c>
      <c r="C2889">
        <v>2025</v>
      </c>
      <c r="D2889" t="s">
        <v>21</v>
      </c>
      <c r="E2889" t="s">
        <v>241</v>
      </c>
      <c r="F2889" t="s">
        <v>57</v>
      </c>
      <c r="G2889" t="s">
        <v>39</v>
      </c>
      <c r="H2889" t="s">
        <v>36</v>
      </c>
      <c r="I2889" t="s">
        <v>40</v>
      </c>
      <c r="J2889" t="s">
        <v>27</v>
      </c>
      <c r="K2889" t="s">
        <v>28</v>
      </c>
      <c r="L2889" s="2">
        <v>162.5</v>
      </c>
      <c r="M2889" s="3">
        <v>246</v>
      </c>
      <c r="N2889">
        <v>1</v>
      </c>
      <c r="O2889">
        <v>1</v>
      </c>
      <c r="P2889">
        <v>1</v>
      </c>
      <c r="Q2889">
        <v>0</v>
      </c>
      <c r="R2889" s="4">
        <v>140.83000000000001</v>
      </c>
      <c r="S2889">
        <v>0</v>
      </c>
      <c r="T2889">
        <v>1</v>
      </c>
    </row>
    <row r="2890" spans="1:20" ht="16.5" x14ac:dyDescent="0.3">
      <c r="A2890" t="s">
        <v>2944</v>
      </c>
      <c r="B2890" s="1">
        <v>45693</v>
      </c>
      <c r="C2890">
        <v>2025</v>
      </c>
      <c r="D2890" t="s">
        <v>21</v>
      </c>
      <c r="E2890" t="s">
        <v>241</v>
      </c>
      <c r="F2890" t="s">
        <v>34</v>
      </c>
      <c r="G2890" t="s">
        <v>35</v>
      </c>
      <c r="H2890" t="s">
        <v>48</v>
      </c>
      <c r="I2890" t="s">
        <v>26</v>
      </c>
      <c r="J2890" t="s">
        <v>27</v>
      </c>
      <c r="K2890" t="s">
        <v>32</v>
      </c>
      <c r="L2890" s="2">
        <v>1.7</v>
      </c>
      <c r="M2890" s="3">
        <v>388</v>
      </c>
      <c r="N2890">
        <v>4</v>
      </c>
      <c r="O2890">
        <v>4</v>
      </c>
      <c r="P2890">
        <v>1</v>
      </c>
      <c r="Q2890">
        <v>0</v>
      </c>
      <c r="R2890" s="4">
        <v>9.91</v>
      </c>
      <c r="S2890">
        <v>0</v>
      </c>
      <c r="T2890">
        <v>1</v>
      </c>
    </row>
    <row r="2891" spans="1:20" ht="16.5" x14ac:dyDescent="0.3">
      <c r="A2891" t="s">
        <v>2945</v>
      </c>
      <c r="B2891" s="1">
        <v>45694</v>
      </c>
      <c r="C2891">
        <v>2025</v>
      </c>
      <c r="D2891" t="s">
        <v>21</v>
      </c>
      <c r="E2891" t="s">
        <v>241</v>
      </c>
      <c r="F2891" t="s">
        <v>38</v>
      </c>
      <c r="G2891" t="s">
        <v>35</v>
      </c>
      <c r="H2891" t="s">
        <v>48</v>
      </c>
      <c r="I2891" t="s">
        <v>26</v>
      </c>
      <c r="J2891" t="s">
        <v>27</v>
      </c>
      <c r="K2891" t="s">
        <v>32</v>
      </c>
      <c r="L2891" s="2">
        <v>7.8</v>
      </c>
      <c r="M2891" s="3">
        <v>500</v>
      </c>
      <c r="N2891">
        <v>4</v>
      </c>
      <c r="O2891">
        <v>4</v>
      </c>
      <c r="P2891">
        <v>1</v>
      </c>
      <c r="Q2891">
        <v>0</v>
      </c>
      <c r="R2891" s="4">
        <v>21.8</v>
      </c>
      <c r="S2891">
        <v>0</v>
      </c>
      <c r="T2891">
        <v>1</v>
      </c>
    </row>
    <row r="2892" spans="1:20" ht="16.5" x14ac:dyDescent="0.3">
      <c r="A2892" t="s">
        <v>2946</v>
      </c>
      <c r="B2892" s="1">
        <v>45694</v>
      </c>
      <c r="C2892">
        <v>2025</v>
      </c>
      <c r="D2892" t="s">
        <v>21</v>
      </c>
      <c r="E2892" t="s">
        <v>241</v>
      </c>
      <c r="F2892" t="s">
        <v>34</v>
      </c>
      <c r="G2892" t="s">
        <v>35</v>
      </c>
      <c r="H2892" t="s">
        <v>25</v>
      </c>
      <c r="I2892" t="s">
        <v>40</v>
      </c>
      <c r="J2892" t="s">
        <v>41</v>
      </c>
      <c r="K2892" t="s">
        <v>28</v>
      </c>
      <c r="L2892" s="2">
        <v>110.7</v>
      </c>
      <c r="M2892" s="3">
        <v>675</v>
      </c>
      <c r="N2892">
        <v>2</v>
      </c>
      <c r="O2892">
        <v>5</v>
      </c>
      <c r="P2892">
        <v>0</v>
      </c>
      <c r="Q2892">
        <v>3</v>
      </c>
      <c r="R2892" s="4">
        <v>164.94</v>
      </c>
      <c r="S2892">
        <v>0</v>
      </c>
      <c r="T2892">
        <v>1</v>
      </c>
    </row>
    <row r="2893" spans="1:20" ht="16.5" x14ac:dyDescent="0.3">
      <c r="A2893" t="s">
        <v>2947</v>
      </c>
      <c r="B2893" s="1">
        <v>45695</v>
      </c>
      <c r="C2893">
        <v>2025</v>
      </c>
      <c r="D2893" t="s">
        <v>21</v>
      </c>
      <c r="E2893" t="s">
        <v>241</v>
      </c>
      <c r="F2893" t="s">
        <v>34</v>
      </c>
      <c r="G2893" t="s">
        <v>39</v>
      </c>
      <c r="H2893" t="s">
        <v>25</v>
      </c>
      <c r="I2893" t="s">
        <v>31</v>
      </c>
      <c r="J2893" t="s">
        <v>27</v>
      </c>
      <c r="K2893" t="s">
        <v>32</v>
      </c>
      <c r="L2893" s="2">
        <v>8.6999999999999993</v>
      </c>
      <c r="M2893" s="3">
        <v>877</v>
      </c>
      <c r="N2893">
        <v>6</v>
      </c>
      <c r="O2893">
        <v>5</v>
      </c>
      <c r="P2893">
        <v>1</v>
      </c>
      <c r="Q2893">
        <v>0</v>
      </c>
      <c r="R2893" s="4">
        <v>13.88</v>
      </c>
      <c r="S2893">
        <v>0</v>
      </c>
      <c r="T2893">
        <v>1</v>
      </c>
    </row>
    <row r="2894" spans="1:20" ht="16.5" x14ac:dyDescent="0.3">
      <c r="A2894" t="s">
        <v>2948</v>
      </c>
      <c r="B2894" s="1">
        <v>45695</v>
      </c>
      <c r="C2894">
        <v>2025</v>
      </c>
      <c r="D2894" t="s">
        <v>21</v>
      </c>
      <c r="E2894" t="s">
        <v>241</v>
      </c>
      <c r="F2894" t="s">
        <v>30</v>
      </c>
      <c r="G2894" t="s">
        <v>24</v>
      </c>
      <c r="H2894" t="s">
        <v>36</v>
      </c>
      <c r="I2894" t="s">
        <v>26</v>
      </c>
      <c r="J2894" t="s">
        <v>27</v>
      </c>
      <c r="K2894" t="s">
        <v>28</v>
      </c>
      <c r="L2894" s="2">
        <v>54.4</v>
      </c>
      <c r="M2894" s="3">
        <v>225</v>
      </c>
      <c r="N2894">
        <v>3</v>
      </c>
      <c r="O2894">
        <v>3</v>
      </c>
      <c r="P2894">
        <v>1</v>
      </c>
      <c r="Q2894">
        <v>0</v>
      </c>
      <c r="R2894" s="4">
        <v>36.65</v>
      </c>
      <c r="S2894">
        <v>0</v>
      </c>
      <c r="T2894">
        <v>1</v>
      </c>
    </row>
    <row r="2895" spans="1:20" ht="16.5" x14ac:dyDescent="0.3">
      <c r="A2895" t="s">
        <v>2949</v>
      </c>
      <c r="B2895" s="1">
        <v>45695</v>
      </c>
      <c r="C2895">
        <v>2025</v>
      </c>
      <c r="D2895" t="s">
        <v>21</v>
      </c>
      <c r="E2895" t="s">
        <v>241</v>
      </c>
      <c r="F2895" t="s">
        <v>57</v>
      </c>
      <c r="G2895" t="s">
        <v>39</v>
      </c>
      <c r="H2895" t="s">
        <v>51</v>
      </c>
      <c r="I2895" t="s">
        <v>26</v>
      </c>
      <c r="J2895" t="s">
        <v>27</v>
      </c>
      <c r="K2895" t="s">
        <v>28</v>
      </c>
      <c r="L2895" s="2">
        <v>188.6</v>
      </c>
      <c r="M2895" s="3">
        <v>1121</v>
      </c>
      <c r="N2895">
        <v>5</v>
      </c>
      <c r="O2895">
        <v>5</v>
      </c>
      <c r="P2895">
        <v>1</v>
      </c>
      <c r="Q2895">
        <v>0</v>
      </c>
      <c r="R2895" s="4">
        <v>98.31</v>
      </c>
      <c r="S2895">
        <v>0</v>
      </c>
      <c r="T2895">
        <v>1</v>
      </c>
    </row>
    <row r="2896" spans="1:20" ht="16.5" x14ac:dyDescent="0.3">
      <c r="A2896" t="s">
        <v>2950</v>
      </c>
      <c r="B2896" s="1">
        <v>45695</v>
      </c>
      <c r="C2896">
        <v>2025</v>
      </c>
      <c r="D2896" t="s">
        <v>21</v>
      </c>
      <c r="E2896" t="s">
        <v>241</v>
      </c>
      <c r="F2896" t="s">
        <v>38</v>
      </c>
      <c r="G2896" t="s">
        <v>39</v>
      </c>
      <c r="H2896" t="s">
        <v>43</v>
      </c>
      <c r="I2896" t="s">
        <v>26</v>
      </c>
      <c r="J2896" t="s">
        <v>27</v>
      </c>
      <c r="K2896" t="s">
        <v>32</v>
      </c>
      <c r="L2896" s="2">
        <v>6.4</v>
      </c>
      <c r="M2896" s="3">
        <v>1176</v>
      </c>
      <c r="N2896">
        <v>5</v>
      </c>
      <c r="O2896">
        <v>5</v>
      </c>
      <c r="P2896">
        <v>1</v>
      </c>
      <c r="Q2896">
        <v>0</v>
      </c>
      <c r="R2896" s="4">
        <v>29.24</v>
      </c>
      <c r="S2896">
        <v>0</v>
      </c>
      <c r="T2896">
        <v>1</v>
      </c>
    </row>
    <row r="2897" spans="1:20" ht="16.5" x14ac:dyDescent="0.3">
      <c r="A2897" t="s">
        <v>2951</v>
      </c>
      <c r="B2897" s="1">
        <v>45695</v>
      </c>
      <c r="C2897">
        <v>2025</v>
      </c>
      <c r="D2897" t="s">
        <v>21</v>
      </c>
      <c r="E2897" t="s">
        <v>241</v>
      </c>
      <c r="F2897" t="s">
        <v>38</v>
      </c>
      <c r="G2897" t="s">
        <v>35</v>
      </c>
      <c r="H2897" t="s">
        <v>36</v>
      </c>
      <c r="I2897" t="s">
        <v>31</v>
      </c>
      <c r="J2897" t="s">
        <v>27</v>
      </c>
      <c r="K2897" t="s">
        <v>32</v>
      </c>
      <c r="L2897" s="2">
        <v>7.1</v>
      </c>
      <c r="M2897" s="3">
        <v>236</v>
      </c>
      <c r="N2897">
        <v>5</v>
      </c>
      <c r="O2897">
        <v>5</v>
      </c>
      <c r="P2897">
        <v>1</v>
      </c>
      <c r="Q2897">
        <v>0</v>
      </c>
      <c r="R2897" s="4">
        <v>11.63</v>
      </c>
      <c r="S2897">
        <v>0</v>
      </c>
      <c r="T2897">
        <v>1</v>
      </c>
    </row>
    <row r="2898" spans="1:20" ht="16.5" x14ac:dyDescent="0.3">
      <c r="A2898" t="s">
        <v>2952</v>
      </c>
      <c r="B2898" s="1">
        <v>45695</v>
      </c>
      <c r="C2898">
        <v>2025</v>
      </c>
      <c r="D2898" t="s">
        <v>21</v>
      </c>
      <c r="E2898" t="s">
        <v>241</v>
      </c>
      <c r="F2898" t="s">
        <v>38</v>
      </c>
      <c r="G2898" t="s">
        <v>39</v>
      </c>
      <c r="H2898" t="s">
        <v>25</v>
      </c>
      <c r="I2898" t="s">
        <v>40</v>
      </c>
      <c r="J2898" t="s">
        <v>41</v>
      </c>
      <c r="K2898" t="s">
        <v>28</v>
      </c>
      <c r="L2898" s="2">
        <v>88</v>
      </c>
      <c r="M2898" s="3">
        <v>841</v>
      </c>
      <c r="N2898">
        <v>2</v>
      </c>
      <c r="O2898">
        <v>1</v>
      </c>
      <c r="P2898">
        <v>1</v>
      </c>
      <c r="Q2898">
        <v>0</v>
      </c>
      <c r="R2898" s="4">
        <v>173.88</v>
      </c>
      <c r="S2898">
        <v>0</v>
      </c>
      <c r="T2898">
        <v>1</v>
      </c>
    </row>
    <row r="2899" spans="1:20" ht="16.5" x14ac:dyDescent="0.3">
      <c r="A2899" t="s">
        <v>2953</v>
      </c>
      <c r="B2899" s="1">
        <v>45695</v>
      </c>
      <c r="C2899">
        <v>2025</v>
      </c>
      <c r="D2899" t="s">
        <v>21</v>
      </c>
      <c r="E2899" t="s">
        <v>241</v>
      </c>
      <c r="F2899" t="s">
        <v>38</v>
      </c>
      <c r="G2899" t="s">
        <v>35</v>
      </c>
      <c r="H2899" t="s">
        <v>25</v>
      </c>
      <c r="I2899" t="s">
        <v>31</v>
      </c>
      <c r="J2899" t="s">
        <v>27</v>
      </c>
      <c r="K2899" t="s">
        <v>28</v>
      </c>
      <c r="L2899" s="2">
        <v>172.8</v>
      </c>
      <c r="M2899" s="3">
        <v>916</v>
      </c>
      <c r="N2899">
        <v>6</v>
      </c>
      <c r="O2899">
        <v>6</v>
      </c>
      <c r="P2899">
        <v>1</v>
      </c>
      <c r="Q2899">
        <v>0</v>
      </c>
      <c r="R2899" s="4">
        <v>71.84</v>
      </c>
      <c r="S2899">
        <v>0</v>
      </c>
      <c r="T2899">
        <v>1</v>
      </c>
    </row>
    <row r="2900" spans="1:20" ht="16.5" x14ac:dyDescent="0.3">
      <c r="A2900" t="s">
        <v>2954</v>
      </c>
      <c r="B2900" s="1">
        <v>45695</v>
      </c>
      <c r="C2900">
        <v>2025</v>
      </c>
      <c r="D2900" t="s">
        <v>21</v>
      </c>
      <c r="E2900" t="s">
        <v>241</v>
      </c>
      <c r="F2900" t="s">
        <v>34</v>
      </c>
      <c r="G2900" t="s">
        <v>39</v>
      </c>
      <c r="H2900" t="s">
        <v>25</v>
      </c>
      <c r="I2900" t="s">
        <v>31</v>
      </c>
      <c r="J2900" t="s">
        <v>27</v>
      </c>
      <c r="K2900" t="s">
        <v>32</v>
      </c>
      <c r="L2900" s="2">
        <v>13.5</v>
      </c>
      <c r="M2900" s="3">
        <v>1058</v>
      </c>
      <c r="N2900">
        <v>6</v>
      </c>
      <c r="O2900">
        <v>8</v>
      </c>
      <c r="P2900">
        <v>0</v>
      </c>
      <c r="Q2900">
        <v>2</v>
      </c>
      <c r="R2900" s="4">
        <v>15.54</v>
      </c>
      <c r="S2900">
        <v>0</v>
      </c>
      <c r="T2900">
        <v>1</v>
      </c>
    </row>
    <row r="2901" spans="1:20" ht="16.5" x14ac:dyDescent="0.3">
      <c r="A2901" t="s">
        <v>2955</v>
      </c>
      <c r="B2901" s="1">
        <v>45695</v>
      </c>
      <c r="C2901">
        <v>2025</v>
      </c>
      <c r="D2901" t="s">
        <v>21</v>
      </c>
      <c r="E2901" t="s">
        <v>241</v>
      </c>
      <c r="F2901" t="s">
        <v>34</v>
      </c>
      <c r="G2901" t="s">
        <v>24</v>
      </c>
      <c r="H2901" t="s">
        <v>25</v>
      </c>
      <c r="I2901" t="s">
        <v>40</v>
      </c>
      <c r="J2901" t="s">
        <v>41</v>
      </c>
      <c r="K2901" t="s">
        <v>32</v>
      </c>
      <c r="L2901" s="2">
        <v>2</v>
      </c>
      <c r="M2901" s="3">
        <v>901</v>
      </c>
      <c r="N2901">
        <v>2</v>
      </c>
      <c r="O2901">
        <v>2</v>
      </c>
      <c r="P2901">
        <v>1</v>
      </c>
      <c r="Q2901">
        <v>0</v>
      </c>
      <c r="R2901" s="4">
        <v>49.14</v>
      </c>
      <c r="S2901">
        <v>0</v>
      </c>
      <c r="T2901">
        <v>1</v>
      </c>
    </row>
    <row r="2902" spans="1:20" ht="16.5" x14ac:dyDescent="0.3">
      <c r="A2902" t="s">
        <v>2956</v>
      </c>
      <c r="B2902" s="1">
        <v>45696</v>
      </c>
      <c r="C2902">
        <v>2025</v>
      </c>
      <c r="D2902" t="s">
        <v>21</v>
      </c>
      <c r="E2902" t="s">
        <v>241</v>
      </c>
      <c r="F2902" t="s">
        <v>34</v>
      </c>
      <c r="G2902" t="s">
        <v>35</v>
      </c>
      <c r="H2902" t="s">
        <v>48</v>
      </c>
      <c r="I2902" t="s">
        <v>26</v>
      </c>
      <c r="J2902" t="s">
        <v>27</v>
      </c>
      <c r="K2902" t="s">
        <v>28</v>
      </c>
      <c r="L2902" s="2">
        <v>129.30000000000001</v>
      </c>
      <c r="M2902" s="3">
        <v>531</v>
      </c>
      <c r="N2902">
        <v>4</v>
      </c>
      <c r="O2902">
        <v>4</v>
      </c>
      <c r="P2902">
        <v>1</v>
      </c>
      <c r="Q2902">
        <v>0</v>
      </c>
      <c r="R2902" s="4">
        <v>61.72</v>
      </c>
      <c r="S2902">
        <v>0</v>
      </c>
      <c r="T2902">
        <v>1</v>
      </c>
    </row>
    <row r="2903" spans="1:20" ht="16.5" x14ac:dyDescent="0.3">
      <c r="A2903" t="s">
        <v>2957</v>
      </c>
      <c r="B2903" s="1">
        <v>45696</v>
      </c>
      <c r="C2903">
        <v>2025</v>
      </c>
      <c r="D2903" t="s">
        <v>21</v>
      </c>
      <c r="E2903" t="s">
        <v>241</v>
      </c>
      <c r="F2903" t="s">
        <v>34</v>
      </c>
      <c r="G2903" t="s">
        <v>24</v>
      </c>
      <c r="H2903" t="s">
        <v>36</v>
      </c>
      <c r="I2903" t="s">
        <v>26</v>
      </c>
      <c r="J2903" t="s">
        <v>27</v>
      </c>
      <c r="K2903" t="s">
        <v>32</v>
      </c>
      <c r="L2903" s="2">
        <v>9.8000000000000007</v>
      </c>
      <c r="M2903" s="3">
        <v>274</v>
      </c>
      <c r="N2903">
        <v>3</v>
      </c>
      <c r="O2903">
        <v>6</v>
      </c>
      <c r="P2903">
        <v>0</v>
      </c>
      <c r="Q2903">
        <v>3</v>
      </c>
      <c r="R2903" s="4">
        <v>13.83</v>
      </c>
      <c r="S2903">
        <v>0</v>
      </c>
      <c r="T2903">
        <v>1</v>
      </c>
    </row>
    <row r="2904" spans="1:20" ht="16.5" x14ac:dyDescent="0.3">
      <c r="A2904" t="s">
        <v>2958</v>
      </c>
      <c r="B2904" s="1">
        <v>45696</v>
      </c>
      <c r="C2904">
        <v>2025</v>
      </c>
      <c r="D2904" t="s">
        <v>21</v>
      </c>
      <c r="E2904" t="s">
        <v>241</v>
      </c>
      <c r="F2904" t="s">
        <v>23</v>
      </c>
      <c r="G2904" t="s">
        <v>24</v>
      </c>
      <c r="H2904" t="s">
        <v>43</v>
      </c>
      <c r="I2904" t="s">
        <v>31</v>
      </c>
      <c r="J2904" t="s">
        <v>27</v>
      </c>
      <c r="K2904" t="s">
        <v>28</v>
      </c>
      <c r="L2904" s="2">
        <v>37</v>
      </c>
      <c r="M2904" s="3">
        <v>800</v>
      </c>
      <c r="N2904">
        <v>7</v>
      </c>
      <c r="O2904">
        <v>7</v>
      </c>
      <c r="P2904">
        <v>1</v>
      </c>
      <c r="Q2904">
        <v>0</v>
      </c>
      <c r="R2904" s="4">
        <v>23.41</v>
      </c>
      <c r="S2904">
        <v>0</v>
      </c>
      <c r="T2904">
        <v>1</v>
      </c>
    </row>
    <row r="2905" spans="1:20" ht="16.5" x14ac:dyDescent="0.3">
      <c r="A2905" t="s">
        <v>2959</v>
      </c>
      <c r="B2905" s="1">
        <v>45696</v>
      </c>
      <c r="C2905">
        <v>2025</v>
      </c>
      <c r="D2905" t="s">
        <v>21</v>
      </c>
      <c r="E2905" t="s">
        <v>241</v>
      </c>
      <c r="F2905" t="s">
        <v>57</v>
      </c>
      <c r="G2905" t="s">
        <v>39</v>
      </c>
      <c r="H2905" t="s">
        <v>25</v>
      </c>
      <c r="I2905" t="s">
        <v>31</v>
      </c>
      <c r="J2905" t="s">
        <v>27</v>
      </c>
      <c r="K2905" t="s">
        <v>32</v>
      </c>
      <c r="L2905" s="2">
        <v>6.7</v>
      </c>
      <c r="M2905" s="3">
        <v>916</v>
      </c>
      <c r="N2905">
        <v>6</v>
      </c>
      <c r="O2905">
        <v>5</v>
      </c>
      <c r="P2905">
        <v>1</v>
      </c>
      <c r="Q2905">
        <v>0</v>
      </c>
      <c r="R2905" s="4">
        <v>14.47</v>
      </c>
      <c r="S2905">
        <v>0</v>
      </c>
      <c r="T2905">
        <v>1</v>
      </c>
    </row>
    <row r="2906" spans="1:20" ht="16.5" x14ac:dyDescent="0.3">
      <c r="A2906" t="s">
        <v>2960</v>
      </c>
      <c r="B2906" s="1">
        <v>45697</v>
      </c>
      <c r="C2906">
        <v>2025</v>
      </c>
      <c r="D2906" t="s">
        <v>21</v>
      </c>
      <c r="E2906" t="s">
        <v>241</v>
      </c>
      <c r="F2906" t="s">
        <v>57</v>
      </c>
      <c r="G2906" t="s">
        <v>24</v>
      </c>
      <c r="H2906" t="s">
        <v>36</v>
      </c>
      <c r="I2906" t="s">
        <v>26</v>
      </c>
      <c r="J2906" t="s">
        <v>27</v>
      </c>
      <c r="K2906" t="s">
        <v>32</v>
      </c>
      <c r="L2906" s="2">
        <v>3.6</v>
      </c>
      <c r="M2906" s="3">
        <v>204</v>
      </c>
      <c r="N2906">
        <v>3</v>
      </c>
      <c r="O2906">
        <v>6</v>
      </c>
      <c r="P2906">
        <v>0</v>
      </c>
      <c r="Q2906">
        <v>3</v>
      </c>
      <c r="R2906" s="4">
        <v>10.82</v>
      </c>
      <c r="S2906">
        <v>0</v>
      </c>
      <c r="T2906">
        <v>1</v>
      </c>
    </row>
    <row r="2907" spans="1:20" ht="16.5" x14ac:dyDescent="0.3">
      <c r="A2907" t="s">
        <v>2961</v>
      </c>
      <c r="B2907" s="1">
        <v>45697</v>
      </c>
      <c r="C2907">
        <v>2025</v>
      </c>
      <c r="D2907" t="s">
        <v>21</v>
      </c>
      <c r="E2907" t="s">
        <v>241</v>
      </c>
      <c r="F2907" t="s">
        <v>23</v>
      </c>
      <c r="G2907" t="s">
        <v>35</v>
      </c>
      <c r="H2907" t="s">
        <v>36</v>
      </c>
      <c r="I2907" t="s">
        <v>26</v>
      </c>
      <c r="J2907" t="s">
        <v>27</v>
      </c>
      <c r="K2907" t="s">
        <v>32</v>
      </c>
      <c r="L2907" s="2">
        <v>2.2000000000000002</v>
      </c>
      <c r="M2907" s="3">
        <v>268</v>
      </c>
      <c r="N2907">
        <v>3</v>
      </c>
      <c r="O2907">
        <v>3</v>
      </c>
      <c r="P2907">
        <v>1</v>
      </c>
      <c r="Q2907">
        <v>0</v>
      </c>
      <c r="R2907" s="4">
        <v>10.38</v>
      </c>
      <c r="S2907">
        <v>0</v>
      </c>
      <c r="T2907">
        <v>1</v>
      </c>
    </row>
    <row r="2908" spans="1:20" ht="16.5" x14ac:dyDescent="0.3">
      <c r="A2908" t="s">
        <v>2962</v>
      </c>
      <c r="B2908" s="1">
        <v>45698</v>
      </c>
      <c r="C2908">
        <v>2025</v>
      </c>
      <c r="D2908" t="s">
        <v>21</v>
      </c>
      <c r="E2908" t="s">
        <v>241</v>
      </c>
      <c r="F2908" t="s">
        <v>34</v>
      </c>
      <c r="G2908" t="s">
        <v>35</v>
      </c>
      <c r="H2908" t="s">
        <v>51</v>
      </c>
      <c r="I2908" t="s">
        <v>31</v>
      </c>
      <c r="J2908" t="s">
        <v>27</v>
      </c>
      <c r="K2908" t="s">
        <v>32</v>
      </c>
      <c r="L2908" s="2">
        <v>2.4</v>
      </c>
      <c r="M2908" s="3">
        <v>1246</v>
      </c>
      <c r="N2908">
        <v>7</v>
      </c>
      <c r="O2908">
        <v>9</v>
      </c>
      <c r="P2908">
        <v>0</v>
      </c>
      <c r="Q2908">
        <v>2</v>
      </c>
      <c r="R2908" s="4">
        <v>14.67</v>
      </c>
      <c r="S2908">
        <v>0</v>
      </c>
      <c r="T2908">
        <v>1</v>
      </c>
    </row>
    <row r="2909" spans="1:20" ht="16.5" x14ac:dyDescent="0.3">
      <c r="A2909" t="s">
        <v>2963</v>
      </c>
      <c r="B2909" s="1">
        <v>45698</v>
      </c>
      <c r="C2909">
        <v>2025</v>
      </c>
      <c r="D2909" t="s">
        <v>21</v>
      </c>
      <c r="E2909" t="s">
        <v>241</v>
      </c>
      <c r="F2909" t="s">
        <v>38</v>
      </c>
      <c r="G2909" t="s">
        <v>39</v>
      </c>
      <c r="H2909" t="s">
        <v>25</v>
      </c>
      <c r="I2909" t="s">
        <v>26</v>
      </c>
      <c r="J2909" t="s">
        <v>27</v>
      </c>
      <c r="K2909" t="s">
        <v>28</v>
      </c>
      <c r="L2909" s="2">
        <v>48.7</v>
      </c>
      <c r="M2909" s="3">
        <v>767</v>
      </c>
      <c r="N2909">
        <v>4</v>
      </c>
      <c r="O2909">
        <v>4</v>
      </c>
      <c r="P2909">
        <v>1</v>
      </c>
      <c r="Q2909">
        <v>0</v>
      </c>
      <c r="R2909" s="4">
        <v>43.42</v>
      </c>
      <c r="S2909">
        <v>0</v>
      </c>
      <c r="T2909">
        <v>1</v>
      </c>
    </row>
    <row r="2910" spans="1:20" ht="16.5" x14ac:dyDescent="0.3">
      <c r="A2910" t="s">
        <v>2964</v>
      </c>
      <c r="B2910" s="1">
        <v>45698</v>
      </c>
      <c r="C2910">
        <v>2025</v>
      </c>
      <c r="D2910" t="s">
        <v>21</v>
      </c>
      <c r="E2910" t="s">
        <v>241</v>
      </c>
      <c r="F2910" t="s">
        <v>23</v>
      </c>
      <c r="G2910" t="s">
        <v>35</v>
      </c>
      <c r="H2910" t="s">
        <v>36</v>
      </c>
      <c r="I2910" t="s">
        <v>26</v>
      </c>
      <c r="J2910" t="s">
        <v>27</v>
      </c>
      <c r="K2910" t="s">
        <v>28</v>
      </c>
      <c r="L2910" s="2">
        <v>72.7</v>
      </c>
      <c r="M2910" s="3">
        <v>274</v>
      </c>
      <c r="N2910">
        <v>3</v>
      </c>
      <c r="O2910">
        <v>3</v>
      </c>
      <c r="P2910">
        <v>1</v>
      </c>
      <c r="Q2910">
        <v>0</v>
      </c>
      <c r="R2910" s="4">
        <v>40.03</v>
      </c>
      <c r="S2910">
        <v>0</v>
      </c>
      <c r="T2910">
        <v>1</v>
      </c>
    </row>
    <row r="2911" spans="1:20" ht="16.5" x14ac:dyDescent="0.3">
      <c r="A2911" t="s">
        <v>2965</v>
      </c>
      <c r="B2911" s="1">
        <v>45698</v>
      </c>
      <c r="C2911">
        <v>2025</v>
      </c>
      <c r="D2911" t="s">
        <v>21</v>
      </c>
      <c r="E2911" t="s">
        <v>241</v>
      </c>
      <c r="F2911" t="s">
        <v>38</v>
      </c>
      <c r="G2911" t="s">
        <v>39</v>
      </c>
      <c r="H2911" t="s">
        <v>36</v>
      </c>
      <c r="I2911" t="s">
        <v>26</v>
      </c>
      <c r="J2911" t="s">
        <v>27</v>
      </c>
      <c r="K2911" t="s">
        <v>28</v>
      </c>
      <c r="L2911" s="2">
        <v>48.6</v>
      </c>
      <c r="M2911" s="3">
        <v>307</v>
      </c>
      <c r="N2911">
        <v>3</v>
      </c>
      <c r="O2911">
        <v>3</v>
      </c>
      <c r="P2911">
        <v>1</v>
      </c>
      <c r="Q2911">
        <v>0</v>
      </c>
      <c r="R2911" s="4">
        <v>39.43</v>
      </c>
      <c r="S2911">
        <v>0</v>
      </c>
      <c r="T2911">
        <v>1</v>
      </c>
    </row>
    <row r="2912" spans="1:20" ht="16.5" x14ac:dyDescent="0.3">
      <c r="A2912" t="s">
        <v>2966</v>
      </c>
      <c r="B2912" s="1">
        <v>45698</v>
      </c>
      <c r="C2912">
        <v>2025</v>
      </c>
      <c r="D2912" t="s">
        <v>21</v>
      </c>
      <c r="E2912" t="s">
        <v>241</v>
      </c>
      <c r="F2912" t="s">
        <v>23</v>
      </c>
      <c r="G2912" t="s">
        <v>39</v>
      </c>
      <c r="H2912" t="s">
        <v>36</v>
      </c>
      <c r="I2912" t="s">
        <v>26</v>
      </c>
      <c r="J2912" t="s">
        <v>27</v>
      </c>
      <c r="K2912" t="s">
        <v>28</v>
      </c>
      <c r="L2912" s="2">
        <v>69.5</v>
      </c>
      <c r="M2912" s="3">
        <v>223</v>
      </c>
      <c r="N2912">
        <v>3</v>
      </c>
      <c r="O2912">
        <v>3</v>
      </c>
      <c r="P2912">
        <v>1</v>
      </c>
      <c r="Q2912">
        <v>0</v>
      </c>
      <c r="R2912" s="4">
        <v>40.81</v>
      </c>
      <c r="S2912">
        <v>0</v>
      </c>
      <c r="T2912">
        <v>1</v>
      </c>
    </row>
    <row r="2913" spans="1:20" ht="16.5" x14ac:dyDescent="0.3">
      <c r="A2913" t="s">
        <v>2967</v>
      </c>
      <c r="B2913" s="1">
        <v>45699</v>
      </c>
      <c r="C2913">
        <v>2025</v>
      </c>
      <c r="D2913" t="s">
        <v>21</v>
      </c>
      <c r="E2913" t="s">
        <v>241</v>
      </c>
      <c r="F2913" t="s">
        <v>30</v>
      </c>
      <c r="G2913" t="s">
        <v>39</v>
      </c>
      <c r="H2913" t="s">
        <v>25</v>
      </c>
      <c r="I2913" t="s">
        <v>31</v>
      </c>
      <c r="J2913" t="s">
        <v>27</v>
      </c>
      <c r="K2913" t="s">
        <v>32</v>
      </c>
      <c r="L2913" s="2">
        <v>9.8000000000000007</v>
      </c>
      <c r="M2913" s="3">
        <v>980</v>
      </c>
      <c r="N2913">
        <v>6</v>
      </c>
      <c r="O2913">
        <v>5</v>
      </c>
      <c r="P2913">
        <v>1</v>
      </c>
      <c r="Q2913">
        <v>0</v>
      </c>
      <c r="R2913" s="4">
        <v>18.940000000000001</v>
      </c>
      <c r="S2913">
        <v>0</v>
      </c>
      <c r="T2913">
        <v>1</v>
      </c>
    </row>
    <row r="2914" spans="1:20" ht="16.5" x14ac:dyDescent="0.3">
      <c r="A2914" t="s">
        <v>2968</v>
      </c>
      <c r="B2914" s="1">
        <v>45699</v>
      </c>
      <c r="C2914">
        <v>2025</v>
      </c>
      <c r="D2914" t="s">
        <v>21</v>
      </c>
      <c r="E2914" t="s">
        <v>241</v>
      </c>
      <c r="F2914" t="s">
        <v>30</v>
      </c>
      <c r="G2914" t="s">
        <v>39</v>
      </c>
      <c r="H2914" t="s">
        <v>51</v>
      </c>
      <c r="I2914" t="s">
        <v>26</v>
      </c>
      <c r="J2914" t="s">
        <v>27</v>
      </c>
      <c r="K2914" t="s">
        <v>32</v>
      </c>
      <c r="L2914" s="2">
        <v>8.3000000000000007</v>
      </c>
      <c r="M2914" s="3">
        <v>1186</v>
      </c>
      <c r="N2914">
        <v>5</v>
      </c>
      <c r="O2914">
        <v>8</v>
      </c>
      <c r="P2914">
        <v>0</v>
      </c>
      <c r="Q2914">
        <v>3</v>
      </c>
      <c r="R2914" s="4">
        <v>27.27</v>
      </c>
      <c r="S2914">
        <v>0</v>
      </c>
      <c r="T2914">
        <v>1</v>
      </c>
    </row>
    <row r="2915" spans="1:20" ht="16.5" x14ac:dyDescent="0.3">
      <c r="A2915" t="s">
        <v>2969</v>
      </c>
      <c r="B2915" s="1">
        <v>45699</v>
      </c>
      <c r="C2915">
        <v>2025</v>
      </c>
      <c r="D2915" t="s">
        <v>21</v>
      </c>
      <c r="E2915" t="s">
        <v>241</v>
      </c>
      <c r="F2915" t="s">
        <v>30</v>
      </c>
      <c r="G2915" t="s">
        <v>39</v>
      </c>
      <c r="H2915" t="s">
        <v>51</v>
      </c>
      <c r="I2915" t="s">
        <v>26</v>
      </c>
      <c r="J2915" t="s">
        <v>27</v>
      </c>
      <c r="K2915" t="s">
        <v>32</v>
      </c>
      <c r="L2915" s="2">
        <v>12</v>
      </c>
      <c r="M2915" s="3">
        <v>986</v>
      </c>
      <c r="N2915">
        <v>5</v>
      </c>
      <c r="O2915">
        <v>5</v>
      </c>
      <c r="P2915">
        <v>1</v>
      </c>
      <c r="Q2915">
        <v>0</v>
      </c>
      <c r="R2915" s="4">
        <v>24.07</v>
      </c>
      <c r="S2915">
        <v>0</v>
      </c>
      <c r="T2915">
        <v>1</v>
      </c>
    </row>
    <row r="2916" spans="1:20" ht="16.5" x14ac:dyDescent="0.3">
      <c r="A2916" t="s">
        <v>2970</v>
      </c>
      <c r="B2916" s="1">
        <v>45699</v>
      </c>
      <c r="C2916">
        <v>2025</v>
      </c>
      <c r="D2916" t="s">
        <v>21</v>
      </c>
      <c r="E2916" t="s">
        <v>241</v>
      </c>
      <c r="F2916" t="s">
        <v>30</v>
      </c>
      <c r="G2916" t="s">
        <v>24</v>
      </c>
      <c r="H2916" t="s">
        <v>36</v>
      </c>
      <c r="I2916" t="s">
        <v>26</v>
      </c>
      <c r="J2916" t="s">
        <v>27</v>
      </c>
      <c r="K2916" t="s">
        <v>32</v>
      </c>
      <c r="L2916" s="2">
        <v>3.3</v>
      </c>
      <c r="M2916" s="3">
        <v>231</v>
      </c>
      <c r="N2916">
        <v>3</v>
      </c>
      <c r="O2916">
        <v>5</v>
      </c>
      <c r="P2916">
        <v>0</v>
      </c>
      <c r="Q2916">
        <v>2</v>
      </c>
      <c r="R2916" s="4">
        <v>11.98</v>
      </c>
      <c r="S2916">
        <v>0</v>
      </c>
      <c r="T2916">
        <v>1</v>
      </c>
    </row>
    <row r="2917" spans="1:20" ht="16.5" x14ac:dyDescent="0.3">
      <c r="A2917" t="s">
        <v>2971</v>
      </c>
      <c r="B2917" s="1">
        <v>45699</v>
      </c>
      <c r="C2917">
        <v>2025</v>
      </c>
      <c r="D2917" t="s">
        <v>21</v>
      </c>
      <c r="E2917" t="s">
        <v>241</v>
      </c>
      <c r="F2917" t="s">
        <v>23</v>
      </c>
      <c r="G2917" t="s">
        <v>35</v>
      </c>
      <c r="H2917" t="s">
        <v>36</v>
      </c>
      <c r="I2917" t="s">
        <v>26</v>
      </c>
      <c r="J2917" t="s">
        <v>27</v>
      </c>
      <c r="K2917" t="s">
        <v>28</v>
      </c>
      <c r="L2917" s="2">
        <v>162.69999999999999</v>
      </c>
      <c r="M2917" s="3">
        <v>195</v>
      </c>
      <c r="N2917">
        <v>3</v>
      </c>
      <c r="O2917">
        <v>6</v>
      </c>
      <c r="P2917">
        <v>0</v>
      </c>
      <c r="Q2917">
        <v>3</v>
      </c>
      <c r="R2917" s="4">
        <v>69.099999999999994</v>
      </c>
      <c r="S2917">
        <v>0</v>
      </c>
      <c r="T2917">
        <v>1</v>
      </c>
    </row>
    <row r="2918" spans="1:20" ht="16.5" x14ac:dyDescent="0.3">
      <c r="A2918" t="s">
        <v>2972</v>
      </c>
      <c r="B2918" s="1">
        <v>45699</v>
      </c>
      <c r="C2918">
        <v>2025</v>
      </c>
      <c r="D2918" t="s">
        <v>21</v>
      </c>
      <c r="E2918" t="s">
        <v>241</v>
      </c>
      <c r="F2918" t="s">
        <v>23</v>
      </c>
      <c r="G2918" t="s">
        <v>24</v>
      </c>
      <c r="H2918" t="s">
        <v>43</v>
      </c>
      <c r="I2918" t="s">
        <v>26</v>
      </c>
      <c r="J2918" t="s">
        <v>27</v>
      </c>
      <c r="K2918" t="s">
        <v>28</v>
      </c>
      <c r="L2918" s="2">
        <v>446.4</v>
      </c>
      <c r="M2918" s="3">
        <v>1204</v>
      </c>
      <c r="N2918">
        <v>5</v>
      </c>
      <c r="O2918">
        <v>5</v>
      </c>
      <c r="P2918">
        <v>1</v>
      </c>
      <c r="Q2918">
        <v>0</v>
      </c>
      <c r="R2918" s="4">
        <v>180.9</v>
      </c>
      <c r="S2918">
        <v>0</v>
      </c>
      <c r="T2918">
        <v>1</v>
      </c>
    </row>
    <row r="2919" spans="1:20" ht="16.5" x14ac:dyDescent="0.3">
      <c r="A2919" t="s">
        <v>2973</v>
      </c>
      <c r="B2919" s="1">
        <v>45699</v>
      </c>
      <c r="C2919">
        <v>2025</v>
      </c>
      <c r="D2919" t="s">
        <v>21</v>
      </c>
      <c r="E2919" t="s">
        <v>241</v>
      </c>
      <c r="F2919" t="s">
        <v>57</v>
      </c>
      <c r="G2919" t="s">
        <v>39</v>
      </c>
      <c r="H2919" t="s">
        <v>43</v>
      </c>
      <c r="I2919" t="s">
        <v>40</v>
      </c>
      <c r="J2919" t="s">
        <v>41</v>
      </c>
      <c r="K2919" t="s">
        <v>32</v>
      </c>
      <c r="L2919" s="2">
        <v>0.5</v>
      </c>
      <c r="M2919" s="3">
        <v>1152</v>
      </c>
      <c r="N2919">
        <v>3</v>
      </c>
      <c r="O2919">
        <v>3</v>
      </c>
      <c r="P2919">
        <v>1</v>
      </c>
      <c r="Q2919">
        <v>0</v>
      </c>
      <c r="R2919" s="4">
        <v>63.48</v>
      </c>
      <c r="S2919">
        <v>0</v>
      </c>
      <c r="T2919">
        <v>1</v>
      </c>
    </row>
    <row r="2920" spans="1:20" ht="16.5" x14ac:dyDescent="0.3">
      <c r="A2920" t="s">
        <v>2974</v>
      </c>
      <c r="B2920" s="1">
        <v>45699</v>
      </c>
      <c r="C2920">
        <v>2025</v>
      </c>
      <c r="D2920" t="s">
        <v>21</v>
      </c>
      <c r="E2920" t="s">
        <v>241</v>
      </c>
      <c r="F2920" t="s">
        <v>23</v>
      </c>
      <c r="G2920" t="s">
        <v>35</v>
      </c>
      <c r="H2920" t="s">
        <v>36</v>
      </c>
      <c r="I2920" t="s">
        <v>26</v>
      </c>
      <c r="J2920" t="s">
        <v>27</v>
      </c>
      <c r="K2920" t="s">
        <v>32</v>
      </c>
      <c r="L2920" s="2">
        <v>3.6</v>
      </c>
      <c r="M2920" s="3">
        <v>194</v>
      </c>
      <c r="N2920">
        <v>3</v>
      </c>
      <c r="O2920">
        <v>3</v>
      </c>
      <c r="P2920">
        <v>1</v>
      </c>
      <c r="Q2920">
        <v>0</v>
      </c>
      <c r="R2920" s="4">
        <v>11.09</v>
      </c>
      <c r="S2920">
        <v>1</v>
      </c>
      <c r="T2920">
        <v>1</v>
      </c>
    </row>
    <row r="2921" spans="1:20" ht="16.5" x14ac:dyDescent="0.3">
      <c r="A2921" t="s">
        <v>2975</v>
      </c>
      <c r="B2921" s="1">
        <v>45700</v>
      </c>
      <c r="C2921">
        <v>2025</v>
      </c>
      <c r="D2921" t="s">
        <v>21</v>
      </c>
      <c r="E2921" t="s">
        <v>241</v>
      </c>
      <c r="F2921" t="s">
        <v>38</v>
      </c>
      <c r="G2921" t="s">
        <v>39</v>
      </c>
      <c r="H2921" t="s">
        <v>43</v>
      </c>
      <c r="I2921" t="s">
        <v>31</v>
      </c>
      <c r="J2921" t="s">
        <v>27</v>
      </c>
      <c r="K2921" t="s">
        <v>28</v>
      </c>
      <c r="L2921" s="2">
        <v>146.1</v>
      </c>
      <c r="M2921" s="3">
        <v>1318</v>
      </c>
      <c r="N2921">
        <v>7</v>
      </c>
      <c r="O2921">
        <v>7</v>
      </c>
      <c r="P2921">
        <v>1</v>
      </c>
      <c r="Q2921">
        <v>0</v>
      </c>
      <c r="R2921" s="4">
        <v>70.959999999999994</v>
      </c>
      <c r="S2921">
        <v>0</v>
      </c>
      <c r="T2921">
        <v>1</v>
      </c>
    </row>
    <row r="2922" spans="1:20" ht="16.5" x14ac:dyDescent="0.3">
      <c r="A2922" t="s">
        <v>2976</v>
      </c>
      <c r="B2922" s="1">
        <v>45700</v>
      </c>
      <c r="C2922">
        <v>2025</v>
      </c>
      <c r="D2922" t="s">
        <v>21</v>
      </c>
      <c r="E2922" t="s">
        <v>241</v>
      </c>
      <c r="F2922" t="s">
        <v>30</v>
      </c>
      <c r="G2922" t="s">
        <v>35</v>
      </c>
      <c r="H2922" t="s">
        <v>43</v>
      </c>
      <c r="I2922" t="s">
        <v>40</v>
      </c>
      <c r="J2922" t="s">
        <v>41</v>
      </c>
      <c r="K2922" t="s">
        <v>32</v>
      </c>
      <c r="L2922" s="2">
        <v>7.5</v>
      </c>
      <c r="M2922" s="3">
        <v>852</v>
      </c>
      <c r="N2922">
        <v>3</v>
      </c>
      <c r="O2922">
        <v>3</v>
      </c>
      <c r="P2922">
        <v>1</v>
      </c>
      <c r="Q2922">
        <v>0</v>
      </c>
      <c r="R2922" s="4">
        <v>64.48</v>
      </c>
      <c r="S2922">
        <v>0</v>
      </c>
      <c r="T2922">
        <v>1</v>
      </c>
    </row>
    <row r="2923" spans="1:20" ht="16.5" x14ac:dyDescent="0.3">
      <c r="A2923" t="s">
        <v>2977</v>
      </c>
      <c r="B2923" s="1">
        <v>45700</v>
      </c>
      <c r="C2923">
        <v>2025</v>
      </c>
      <c r="D2923" t="s">
        <v>21</v>
      </c>
      <c r="E2923" t="s">
        <v>241</v>
      </c>
      <c r="F2923" t="s">
        <v>38</v>
      </c>
      <c r="G2923" t="s">
        <v>39</v>
      </c>
      <c r="H2923" t="s">
        <v>48</v>
      </c>
      <c r="I2923" t="s">
        <v>31</v>
      </c>
      <c r="J2923" t="s">
        <v>27</v>
      </c>
      <c r="K2923" t="s">
        <v>32</v>
      </c>
      <c r="L2923" s="2">
        <v>2.2000000000000002</v>
      </c>
      <c r="M2923" s="3">
        <v>512</v>
      </c>
      <c r="N2923">
        <v>6</v>
      </c>
      <c r="O2923">
        <v>5</v>
      </c>
      <c r="P2923">
        <v>1</v>
      </c>
      <c r="Q2923">
        <v>0</v>
      </c>
      <c r="R2923" s="4">
        <v>10.130000000000001</v>
      </c>
      <c r="S2923">
        <v>0</v>
      </c>
      <c r="T2923">
        <v>1</v>
      </c>
    </row>
    <row r="2924" spans="1:20" ht="16.5" x14ac:dyDescent="0.3">
      <c r="A2924" t="s">
        <v>2978</v>
      </c>
      <c r="B2924" s="1">
        <v>45700</v>
      </c>
      <c r="C2924">
        <v>2025</v>
      </c>
      <c r="D2924" t="s">
        <v>21</v>
      </c>
      <c r="E2924" t="s">
        <v>241</v>
      </c>
      <c r="F2924" t="s">
        <v>30</v>
      </c>
      <c r="G2924" t="s">
        <v>35</v>
      </c>
      <c r="H2924" t="s">
        <v>36</v>
      </c>
      <c r="I2924" t="s">
        <v>40</v>
      </c>
      <c r="J2924" t="s">
        <v>27</v>
      </c>
      <c r="K2924" t="s">
        <v>32</v>
      </c>
      <c r="L2924" s="2">
        <v>2.8</v>
      </c>
      <c r="M2924" s="3">
        <v>261</v>
      </c>
      <c r="N2924">
        <v>1</v>
      </c>
      <c r="O2924">
        <v>1</v>
      </c>
      <c r="P2924">
        <v>1</v>
      </c>
      <c r="Q2924">
        <v>0</v>
      </c>
      <c r="R2924" s="4">
        <v>20.98</v>
      </c>
      <c r="S2924">
        <v>0</v>
      </c>
      <c r="T2924">
        <v>1</v>
      </c>
    </row>
    <row r="2925" spans="1:20" ht="16.5" x14ac:dyDescent="0.3">
      <c r="A2925" t="s">
        <v>2979</v>
      </c>
      <c r="B2925" s="1">
        <v>45700</v>
      </c>
      <c r="C2925">
        <v>2025</v>
      </c>
      <c r="D2925" t="s">
        <v>21</v>
      </c>
      <c r="E2925" t="s">
        <v>241</v>
      </c>
      <c r="F2925" t="s">
        <v>57</v>
      </c>
      <c r="G2925" t="s">
        <v>39</v>
      </c>
      <c r="H2925" t="s">
        <v>51</v>
      </c>
      <c r="I2925" t="s">
        <v>31</v>
      </c>
      <c r="J2925" t="s">
        <v>27</v>
      </c>
      <c r="K2925" t="s">
        <v>32</v>
      </c>
      <c r="L2925" s="2">
        <v>3.5</v>
      </c>
      <c r="M2925" s="3">
        <v>1037</v>
      </c>
      <c r="N2925">
        <v>7</v>
      </c>
      <c r="O2925">
        <v>7</v>
      </c>
      <c r="P2925">
        <v>1</v>
      </c>
      <c r="Q2925">
        <v>0</v>
      </c>
      <c r="R2925" s="4">
        <v>14.12</v>
      </c>
      <c r="S2925">
        <v>0</v>
      </c>
      <c r="T2925">
        <v>1</v>
      </c>
    </row>
    <row r="2926" spans="1:20" ht="16.5" x14ac:dyDescent="0.3">
      <c r="A2926" t="s">
        <v>2980</v>
      </c>
      <c r="B2926" s="1">
        <v>45701</v>
      </c>
      <c r="C2926">
        <v>2025</v>
      </c>
      <c r="D2926" t="s">
        <v>21</v>
      </c>
      <c r="E2926" t="s">
        <v>241</v>
      </c>
      <c r="F2926" t="s">
        <v>23</v>
      </c>
      <c r="G2926" t="s">
        <v>35</v>
      </c>
      <c r="H2926" t="s">
        <v>25</v>
      </c>
      <c r="I2926" t="s">
        <v>26</v>
      </c>
      <c r="J2926" t="s">
        <v>27</v>
      </c>
      <c r="K2926" t="s">
        <v>28</v>
      </c>
      <c r="L2926" s="2">
        <v>159.1</v>
      </c>
      <c r="M2926" s="3">
        <v>870</v>
      </c>
      <c r="N2926">
        <v>4</v>
      </c>
      <c r="O2926">
        <v>4</v>
      </c>
      <c r="P2926">
        <v>1</v>
      </c>
      <c r="Q2926">
        <v>0</v>
      </c>
      <c r="R2926" s="4">
        <v>77.680000000000007</v>
      </c>
      <c r="S2926">
        <v>0</v>
      </c>
      <c r="T2926">
        <v>1</v>
      </c>
    </row>
    <row r="2927" spans="1:20" ht="16.5" x14ac:dyDescent="0.3">
      <c r="A2927" t="s">
        <v>2981</v>
      </c>
      <c r="B2927" s="1">
        <v>45701</v>
      </c>
      <c r="C2927">
        <v>2025</v>
      </c>
      <c r="D2927" t="s">
        <v>21</v>
      </c>
      <c r="E2927" t="s">
        <v>241</v>
      </c>
      <c r="F2927" t="s">
        <v>30</v>
      </c>
      <c r="G2927" t="s">
        <v>24</v>
      </c>
      <c r="H2927" t="s">
        <v>25</v>
      </c>
      <c r="I2927" t="s">
        <v>40</v>
      </c>
      <c r="J2927" t="s">
        <v>41</v>
      </c>
      <c r="K2927" t="s">
        <v>32</v>
      </c>
      <c r="L2927" s="2">
        <v>3.4</v>
      </c>
      <c r="M2927" s="3">
        <v>1045</v>
      </c>
      <c r="N2927">
        <v>2</v>
      </c>
      <c r="O2927">
        <v>2</v>
      </c>
      <c r="P2927">
        <v>1</v>
      </c>
      <c r="Q2927">
        <v>0</v>
      </c>
      <c r="R2927" s="4">
        <v>66.52</v>
      </c>
      <c r="S2927">
        <v>0</v>
      </c>
      <c r="T2927">
        <v>1</v>
      </c>
    </row>
    <row r="2928" spans="1:20" ht="16.5" x14ac:dyDescent="0.3">
      <c r="A2928" t="s">
        <v>2982</v>
      </c>
      <c r="B2928" s="1">
        <v>45701</v>
      </c>
      <c r="C2928">
        <v>2025</v>
      </c>
      <c r="D2928" t="s">
        <v>21</v>
      </c>
      <c r="E2928" t="s">
        <v>241</v>
      </c>
      <c r="F2928" t="s">
        <v>34</v>
      </c>
      <c r="G2928" t="s">
        <v>39</v>
      </c>
      <c r="H2928" t="s">
        <v>48</v>
      </c>
      <c r="I2928" t="s">
        <v>26</v>
      </c>
      <c r="J2928" t="s">
        <v>27</v>
      </c>
      <c r="K2928" t="s">
        <v>28</v>
      </c>
      <c r="L2928" s="2">
        <v>272.89999999999998</v>
      </c>
      <c r="M2928" s="3">
        <v>396</v>
      </c>
      <c r="N2928">
        <v>4</v>
      </c>
      <c r="O2928">
        <v>4</v>
      </c>
      <c r="P2928">
        <v>1</v>
      </c>
      <c r="Q2928">
        <v>0</v>
      </c>
      <c r="R2928" s="4">
        <v>95</v>
      </c>
      <c r="S2928">
        <v>0</v>
      </c>
      <c r="T2928">
        <v>1</v>
      </c>
    </row>
    <row r="2929" spans="1:20" ht="16.5" x14ac:dyDescent="0.3">
      <c r="A2929" t="s">
        <v>2983</v>
      </c>
      <c r="B2929" s="1">
        <v>45701</v>
      </c>
      <c r="C2929">
        <v>2025</v>
      </c>
      <c r="D2929" t="s">
        <v>21</v>
      </c>
      <c r="E2929" t="s">
        <v>241</v>
      </c>
      <c r="F2929" t="s">
        <v>57</v>
      </c>
      <c r="G2929" t="s">
        <v>39</v>
      </c>
      <c r="H2929" t="s">
        <v>48</v>
      </c>
      <c r="I2929" t="s">
        <v>31</v>
      </c>
      <c r="J2929" t="s">
        <v>27</v>
      </c>
      <c r="K2929" t="s">
        <v>32</v>
      </c>
      <c r="L2929" s="2">
        <v>5.8</v>
      </c>
      <c r="M2929" s="3">
        <v>424</v>
      </c>
      <c r="N2929">
        <v>6</v>
      </c>
      <c r="O2929">
        <v>6</v>
      </c>
      <c r="P2929">
        <v>1</v>
      </c>
      <c r="Q2929">
        <v>0</v>
      </c>
      <c r="R2929" s="4">
        <v>11.07</v>
      </c>
      <c r="S2929">
        <v>0</v>
      </c>
      <c r="T2929">
        <v>1</v>
      </c>
    </row>
    <row r="2930" spans="1:20" ht="16.5" x14ac:dyDescent="0.3">
      <c r="A2930" t="s">
        <v>2984</v>
      </c>
      <c r="B2930" s="1">
        <v>45701</v>
      </c>
      <c r="C2930">
        <v>2025</v>
      </c>
      <c r="D2930" t="s">
        <v>21</v>
      </c>
      <c r="E2930" t="s">
        <v>241</v>
      </c>
      <c r="F2930" t="s">
        <v>38</v>
      </c>
      <c r="G2930" t="s">
        <v>24</v>
      </c>
      <c r="H2930" t="s">
        <v>48</v>
      </c>
      <c r="I2930" t="s">
        <v>26</v>
      </c>
      <c r="J2930" t="s">
        <v>27</v>
      </c>
      <c r="K2930" t="s">
        <v>28</v>
      </c>
      <c r="L2930" s="2">
        <v>128</v>
      </c>
      <c r="M2930" s="3">
        <v>496</v>
      </c>
      <c r="N2930">
        <v>4</v>
      </c>
      <c r="O2930">
        <v>4</v>
      </c>
      <c r="P2930">
        <v>1</v>
      </c>
      <c r="Q2930">
        <v>0</v>
      </c>
      <c r="R2930" s="4">
        <v>79.13</v>
      </c>
      <c r="S2930">
        <v>0</v>
      </c>
      <c r="T2930">
        <v>1</v>
      </c>
    </row>
    <row r="2931" spans="1:20" ht="16.5" x14ac:dyDescent="0.3">
      <c r="A2931" t="s">
        <v>2985</v>
      </c>
      <c r="B2931" s="1">
        <v>45701</v>
      </c>
      <c r="C2931">
        <v>2025</v>
      </c>
      <c r="D2931" t="s">
        <v>21</v>
      </c>
      <c r="E2931" t="s">
        <v>241</v>
      </c>
      <c r="F2931" t="s">
        <v>23</v>
      </c>
      <c r="G2931" t="s">
        <v>24</v>
      </c>
      <c r="H2931" t="s">
        <v>25</v>
      </c>
      <c r="I2931" t="s">
        <v>26</v>
      </c>
      <c r="J2931" t="s">
        <v>27</v>
      </c>
      <c r="K2931" t="s">
        <v>28</v>
      </c>
      <c r="L2931" s="2">
        <v>178.3</v>
      </c>
      <c r="M2931" s="3">
        <v>732</v>
      </c>
      <c r="N2931">
        <v>4</v>
      </c>
      <c r="O2931">
        <v>4</v>
      </c>
      <c r="P2931">
        <v>1</v>
      </c>
      <c r="Q2931">
        <v>0</v>
      </c>
      <c r="R2931" s="4">
        <v>82.22</v>
      </c>
      <c r="S2931">
        <v>0</v>
      </c>
      <c r="T2931">
        <v>1</v>
      </c>
    </row>
    <row r="2932" spans="1:20" ht="16.5" x14ac:dyDescent="0.3">
      <c r="A2932" t="s">
        <v>2986</v>
      </c>
      <c r="B2932" s="1">
        <v>45701</v>
      </c>
      <c r="C2932">
        <v>2025</v>
      </c>
      <c r="D2932" t="s">
        <v>21</v>
      </c>
      <c r="E2932" t="s">
        <v>241</v>
      </c>
      <c r="F2932" t="s">
        <v>57</v>
      </c>
      <c r="G2932" t="s">
        <v>35</v>
      </c>
      <c r="H2932" t="s">
        <v>51</v>
      </c>
      <c r="I2932" t="s">
        <v>26</v>
      </c>
      <c r="J2932" t="s">
        <v>27</v>
      </c>
      <c r="K2932" t="s">
        <v>32</v>
      </c>
      <c r="L2932" s="2">
        <v>2.2000000000000002</v>
      </c>
      <c r="M2932" s="3">
        <v>814</v>
      </c>
      <c r="N2932">
        <v>5</v>
      </c>
      <c r="O2932">
        <v>5</v>
      </c>
      <c r="P2932">
        <v>1</v>
      </c>
      <c r="Q2932">
        <v>0</v>
      </c>
      <c r="R2932" s="4">
        <v>18.559999999999999</v>
      </c>
      <c r="S2932">
        <v>0</v>
      </c>
      <c r="T2932">
        <v>1</v>
      </c>
    </row>
    <row r="2933" spans="1:20" ht="16.5" x14ac:dyDescent="0.3">
      <c r="A2933" t="s">
        <v>2987</v>
      </c>
      <c r="B2933" s="1">
        <v>45701</v>
      </c>
      <c r="C2933">
        <v>2025</v>
      </c>
      <c r="D2933" t="s">
        <v>21</v>
      </c>
      <c r="E2933" t="s">
        <v>241</v>
      </c>
      <c r="F2933" t="s">
        <v>38</v>
      </c>
      <c r="G2933" t="s">
        <v>35</v>
      </c>
      <c r="H2933" t="s">
        <v>25</v>
      </c>
      <c r="I2933" t="s">
        <v>26</v>
      </c>
      <c r="J2933" t="s">
        <v>27</v>
      </c>
      <c r="K2933" t="s">
        <v>32</v>
      </c>
      <c r="L2933" s="2">
        <v>12.1</v>
      </c>
      <c r="M2933" s="3">
        <v>752</v>
      </c>
      <c r="N2933">
        <v>4</v>
      </c>
      <c r="O2933">
        <v>4</v>
      </c>
      <c r="P2933">
        <v>1</v>
      </c>
      <c r="Q2933">
        <v>0</v>
      </c>
      <c r="R2933" s="4">
        <v>25.71</v>
      </c>
      <c r="S2933">
        <v>0</v>
      </c>
      <c r="T2933">
        <v>1</v>
      </c>
    </row>
    <row r="2934" spans="1:20" ht="16.5" x14ac:dyDescent="0.3">
      <c r="A2934" t="s">
        <v>2988</v>
      </c>
      <c r="B2934" s="1">
        <v>45701</v>
      </c>
      <c r="C2934">
        <v>2025</v>
      </c>
      <c r="D2934" t="s">
        <v>21</v>
      </c>
      <c r="E2934" t="s">
        <v>241</v>
      </c>
      <c r="F2934" t="s">
        <v>34</v>
      </c>
      <c r="G2934" t="s">
        <v>35</v>
      </c>
      <c r="H2934" t="s">
        <v>36</v>
      </c>
      <c r="I2934" t="s">
        <v>31</v>
      </c>
      <c r="J2934" t="s">
        <v>27</v>
      </c>
      <c r="K2934" t="s">
        <v>32</v>
      </c>
      <c r="L2934" s="2">
        <v>5.4</v>
      </c>
      <c r="M2934" s="3">
        <v>341</v>
      </c>
      <c r="N2934">
        <v>5</v>
      </c>
      <c r="O2934">
        <v>4</v>
      </c>
      <c r="P2934">
        <v>1</v>
      </c>
      <c r="Q2934">
        <v>0</v>
      </c>
      <c r="R2934" s="4">
        <v>8.15</v>
      </c>
      <c r="S2934">
        <v>0</v>
      </c>
      <c r="T2934">
        <v>1</v>
      </c>
    </row>
    <row r="2935" spans="1:20" ht="16.5" x14ac:dyDescent="0.3">
      <c r="A2935" t="s">
        <v>2989</v>
      </c>
      <c r="B2935" s="1">
        <v>45701</v>
      </c>
      <c r="C2935">
        <v>2025</v>
      </c>
      <c r="D2935" t="s">
        <v>21</v>
      </c>
      <c r="E2935" t="s">
        <v>241</v>
      </c>
      <c r="F2935" t="s">
        <v>38</v>
      </c>
      <c r="G2935" t="s">
        <v>39</v>
      </c>
      <c r="H2935" t="s">
        <v>43</v>
      </c>
      <c r="I2935" t="s">
        <v>26</v>
      </c>
      <c r="J2935" t="s">
        <v>27</v>
      </c>
      <c r="K2935" t="s">
        <v>32</v>
      </c>
      <c r="L2935" s="2">
        <v>2.9</v>
      </c>
      <c r="M2935" s="3">
        <v>1208</v>
      </c>
      <c r="N2935">
        <v>5</v>
      </c>
      <c r="O2935">
        <v>5</v>
      </c>
      <c r="P2935">
        <v>1</v>
      </c>
      <c r="Q2935">
        <v>0</v>
      </c>
      <c r="R2935" s="4">
        <v>27.02</v>
      </c>
      <c r="S2935">
        <v>0</v>
      </c>
      <c r="T2935">
        <v>1</v>
      </c>
    </row>
    <row r="2936" spans="1:20" ht="16.5" x14ac:dyDescent="0.3">
      <c r="A2936" t="s">
        <v>2990</v>
      </c>
      <c r="B2936" s="1">
        <v>45702</v>
      </c>
      <c r="C2936">
        <v>2025</v>
      </c>
      <c r="D2936" t="s">
        <v>21</v>
      </c>
      <c r="E2936" t="s">
        <v>241</v>
      </c>
      <c r="F2936" t="s">
        <v>57</v>
      </c>
      <c r="G2936" t="s">
        <v>24</v>
      </c>
      <c r="H2936" t="s">
        <v>36</v>
      </c>
      <c r="I2936" t="s">
        <v>40</v>
      </c>
      <c r="J2936" t="s">
        <v>27</v>
      </c>
      <c r="K2936" t="s">
        <v>28</v>
      </c>
      <c r="L2936" s="2">
        <v>94.9</v>
      </c>
      <c r="M2936" s="3">
        <v>193</v>
      </c>
      <c r="N2936">
        <v>1</v>
      </c>
      <c r="O2936">
        <v>1</v>
      </c>
      <c r="P2936">
        <v>1</v>
      </c>
      <c r="Q2936">
        <v>0</v>
      </c>
      <c r="R2936" s="4">
        <v>96.74</v>
      </c>
      <c r="S2936">
        <v>0</v>
      </c>
      <c r="T2936">
        <v>1</v>
      </c>
    </row>
    <row r="2937" spans="1:20" ht="16.5" x14ac:dyDescent="0.3">
      <c r="A2937" t="s">
        <v>2991</v>
      </c>
      <c r="B2937" s="1">
        <v>45702</v>
      </c>
      <c r="C2937">
        <v>2025</v>
      </c>
      <c r="D2937" t="s">
        <v>21</v>
      </c>
      <c r="E2937" t="s">
        <v>241</v>
      </c>
      <c r="F2937" t="s">
        <v>34</v>
      </c>
      <c r="G2937" t="s">
        <v>39</v>
      </c>
      <c r="H2937" t="s">
        <v>25</v>
      </c>
      <c r="I2937" t="s">
        <v>26</v>
      </c>
      <c r="J2937" t="s">
        <v>27</v>
      </c>
      <c r="K2937" t="s">
        <v>32</v>
      </c>
      <c r="L2937" s="2">
        <v>5.2</v>
      </c>
      <c r="M2937" s="3">
        <v>917</v>
      </c>
      <c r="N2937">
        <v>4</v>
      </c>
      <c r="O2937">
        <v>4</v>
      </c>
      <c r="P2937">
        <v>1</v>
      </c>
      <c r="Q2937">
        <v>0</v>
      </c>
      <c r="R2937" s="4">
        <v>18.8</v>
      </c>
      <c r="S2937">
        <v>0</v>
      </c>
      <c r="T2937">
        <v>1</v>
      </c>
    </row>
    <row r="2938" spans="1:20" ht="16.5" x14ac:dyDescent="0.3">
      <c r="A2938" t="s">
        <v>2992</v>
      </c>
      <c r="B2938" s="1">
        <v>45702</v>
      </c>
      <c r="C2938">
        <v>2025</v>
      </c>
      <c r="D2938" t="s">
        <v>21</v>
      </c>
      <c r="E2938" t="s">
        <v>241</v>
      </c>
      <c r="F2938" t="s">
        <v>23</v>
      </c>
      <c r="G2938" t="s">
        <v>35</v>
      </c>
      <c r="H2938" t="s">
        <v>25</v>
      </c>
      <c r="I2938" t="s">
        <v>31</v>
      </c>
      <c r="J2938" t="s">
        <v>27</v>
      </c>
      <c r="K2938" t="s">
        <v>32</v>
      </c>
      <c r="L2938" s="2">
        <v>6.6</v>
      </c>
      <c r="M2938" s="3">
        <v>1095</v>
      </c>
      <c r="N2938">
        <v>6</v>
      </c>
      <c r="O2938">
        <v>6</v>
      </c>
      <c r="P2938">
        <v>1</v>
      </c>
      <c r="Q2938">
        <v>0</v>
      </c>
      <c r="R2938" s="4">
        <v>15.22</v>
      </c>
      <c r="S2938">
        <v>0</v>
      </c>
      <c r="T2938">
        <v>1</v>
      </c>
    </row>
    <row r="2939" spans="1:20" ht="16.5" x14ac:dyDescent="0.3">
      <c r="A2939" t="s">
        <v>2993</v>
      </c>
      <c r="B2939" s="1">
        <v>45702</v>
      </c>
      <c r="C2939">
        <v>2025</v>
      </c>
      <c r="D2939" t="s">
        <v>21</v>
      </c>
      <c r="E2939" t="s">
        <v>241</v>
      </c>
      <c r="F2939" t="s">
        <v>34</v>
      </c>
      <c r="G2939" t="s">
        <v>35</v>
      </c>
      <c r="H2939" t="s">
        <v>48</v>
      </c>
      <c r="I2939" t="s">
        <v>26</v>
      </c>
      <c r="J2939" t="s">
        <v>27</v>
      </c>
      <c r="K2939" t="s">
        <v>32</v>
      </c>
      <c r="L2939" s="2">
        <v>4.2</v>
      </c>
      <c r="M2939" s="3">
        <v>487</v>
      </c>
      <c r="N2939">
        <v>4</v>
      </c>
      <c r="O2939">
        <v>8</v>
      </c>
      <c r="P2939">
        <v>0</v>
      </c>
      <c r="Q2939">
        <v>4</v>
      </c>
      <c r="R2939" s="4">
        <v>11.74</v>
      </c>
      <c r="S2939">
        <v>0</v>
      </c>
      <c r="T2939">
        <v>1</v>
      </c>
    </row>
    <row r="2940" spans="1:20" ht="16.5" x14ac:dyDescent="0.3">
      <c r="A2940" t="s">
        <v>2994</v>
      </c>
      <c r="B2940" s="1">
        <v>45702</v>
      </c>
      <c r="C2940">
        <v>2025</v>
      </c>
      <c r="D2940" t="s">
        <v>21</v>
      </c>
      <c r="E2940" t="s">
        <v>241</v>
      </c>
      <c r="F2940" t="s">
        <v>38</v>
      </c>
      <c r="G2940" t="s">
        <v>24</v>
      </c>
      <c r="H2940" t="s">
        <v>25</v>
      </c>
      <c r="I2940" t="s">
        <v>26</v>
      </c>
      <c r="J2940" t="s">
        <v>27</v>
      </c>
      <c r="K2940" t="s">
        <v>28</v>
      </c>
      <c r="L2940" s="2">
        <v>429.8</v>
      </c>
      <c r="M2940" s="3">
        <v>951</v>
      </c>
      <c r="N2940">
        <v>4</v>
      </c>
      <c r="O2940">
        <v>4</v>
      </c>
      <c r="P2940">
        <v>1</v>
      </c>
      <c r="Q2940">
        <v>0</v>
      </c>
      <c r="R2940" s="4">
        <v>188.06</v>
      </c>
      <c r="S2940">
        <v>0</v>
      </c>
      <c r="T2940">
        <v>1</v>
      </c>
    </row>
    <row r="2941" spans="1:20" ht="16.5" x14ac:dyDescent="0.3">
      <c r="A2941" t="s">
        <v>2995</v>
      </c>
      <c r="B2941" s="1">
        <v>45702</v>
      </c>
      <c r="C2941">
        <v>2025</v>
      </c>
      <c r="D2941" t="s">
        <v>21</v>
      </c>
      <c r="E2941" t="s">
        <v>241</v>
      </c>
      <c r="F2941" t="s">
        <v>30</v>
      </c>
      <c r="G2941" t="s">
        <v>39</v>
      </c>
      <c r="H2941" t="s">
        <v>36</v>
      </c>
      <c r="I2941" t="s">
        <v>26</v>
      </c>
      <c r="J2941" t="s">
        <v>27</v>
      </c>
      <c r="K2941" t="s">
        <v>28</v>
      </c>
      <c r="L2941" s="2">
        <v>44.4</v>
      </c>
      <c r="M2941" s="3">
        <v>352</v>
      </c>
      <c r="N2941">
        <v>3</v>
      </c>
      <c r="O2941">
        <v>3</v>
      </c>
      <c r="P2941">
        <v>1</v>
      </c>
      <c r="Q2941">
        <v>0</v>
      </c>
      <c r="R2941" s="4">
        <v>35.67</v>
      </c>
      <c r="S2941">
        <v>0</v>
      </c>
      <c r="T2941">
        <v>1</v>
      </c>
    </row>
    <row r="2942" spans="1:20" ht="16.5" x14ac:dyDescent="0.3">
      <c r="A2942" t="s">
        <v>2996</v>
      </c>
      <c r="B2942" s="1">
        <v>45702</v>
      </c>
      <c r="C2942">
        <v>2025</v>
      </c>
      <c r="D2942" t="s">
        <v>21</v>
      </c>
      <c r="E2942" t="s">
        <v>241</v>
      </c>
      <c r="F2942" t="s">
        <v>57</v>
      </c>
      <c r="G2942" t="s">
        <v>39</v>
      </c>
      <c r="H2942" t="s">
        <v>36</v>
      </c>
      <c r="I2942" t="s">
        <v>26</v>
      </c>
      <c r="J2942" t="s">
        <v>27</v>
      </c>
      <c r="K2942" t="s">
        <v>32</v>
      </c>
      <c r="L2942" s="2">
        <v>10.1</v>
      </c>
      <c r="M2942" s="3">
        <v>285</v>
      </c>
      <c r="N2942">
        <v>3</v>
      </c>
      <c r="O2942">
        <v>3</v>
      </c>
      <c r="P2942">
        <v>1</v>
      </c>
      <c r="Q2942">
        <v>0</v>
      </c>
      <c r="R2942" s="4">
        <v>16.5</v>
      </c>
      <c r="S2942">
        <v>0</v>
      </c>
      <c r="T2942">
        <v>1</v>
      </c>
    </row>
    <row r="2943" spans="1:20" ht="16.5" x14ac:dyDescent="0.3">
      <c r="A2943" t="s">
        <v>2997</v>
      </c>
      <c r="B2943" s="1">
        <v>45703</v>
      </c>
      <c r="C2943">
        <v>2025</v>
      </c>
      <c r="D2943" t="s">
        <v>21</v>
      </c>
      <c r="E2943" t="s">
        <v>241</v>
      </c>
      <c r="F2943" t="s">
        <v>57</v>
      </c>
      <c r="G2943" t="s">
        <v>35</v>
      </c>
      <c r="H2943" t="s">
        <v>25</v>
      </c>
      <c r="I2943" t="s">
        <v>26</v>
      </c>
      <c r="J2943" t="s">
        <v>27</v>
      </c>
      <c r="K2943" t="s">
        <v>32</v>
      </c>
      <c r="L2943" s="2">
        <v>5.5</v>
      </c>
      <c r="M2943" s="3">
        <v>1038</v>
      </c>
      <c r="N2943">
        <v>4</v>
      </c>
      <c r="O2943">
        <v>4</v>
      </c>
      <c r="P2943">
        <v>1</v>
      </c>
      <c r="Q2943">
        <v>0</v>
      </c>
      <c r="R2943" s="4">
        <v>21.87</v>
      </c>
      <c r="S2943">
        <v>0</v>
      </c>
      <c r="T2943">
        <v>1</v>
      </c>
    </row>
    <row r="2944" spans="1:20" ht="16.5" x14ac:dyDescent="0.3">
      <c r="A2944" t="s">
        <v>2998</v>
      </c>
      <c r="B2944" s="1">
        <v>45703</v>
      </c>
      <c r="C2944">
        <v>2025</v>
      </c>
      <c r="D2944" t="s">
        <v>21</v>
      </c>
      <c r="E2944" t="s">
        <v>241</v>
      </c>
      <c r="F2944" t="s">
        <v>30</v>
      </c>
      <c r="G2944" t="s">
        <v>35</v>
      </c>
      <c r="H2944" t="s">
        <v>51</v>
      </c>
      <c r="I2944" t="s">
        <v>31</v>
      </c>
      <c r="J2944" t="s">
        <v>27</v>
      </c>
      <c r="K2944" t="s">
        <v>32</v>
      </c>
      <c r="L2944" s="2">
        <v>8.8000000000000007</v>
      </c>
      <c r="M2944" s="3">
        <v>1409</v>
      </c>
      <c r="N2944">
        <v>7</v>
      </c>
      <c r="O2944">
        <v>7</v>
      </c>
      <c r="P2944">
        <v>1</v>
      </c>
      <c r="Q2944">
        <v>0</v>
      </c>
      <c r="R2944" s="4">
        <v>19.100000000000001</v>
      </c>
      <c r="S2944">
        <v>0</v>
      </c>
      <c r="T2944">
        <v>1</v>
      </c>
    </row>
    <row r="2945" spans="1:20" ht="16.5" x14ac:dyDescent="0.3">
      <c r="A2945" t="s">
        <v>2999</v>
      </c>
      <c r="B2945" s="1">
        <v>45703</v>
      </c>
      <c r="C2945">
        <v>2025</v>
      </c>
      <c r="D2945" t="s">
        <v>21</v>
      </c>
      <c r="E2945" t="s">
        <v>241</v>
      </c>
      <c r="F2945" t="s">
        <v>34</v>
      </c>
      <c r="G2945" t="s">
        <v>24</v>
      </c>
      <c r="H2945" t="s">
        <v>48</v>
      </c>
      <c r="I2945" t="s">
        <v>26</v>
      </c>
      <c r="J2945" t="s">
        <v>27</v>
      </c>
      <c r="K2945" t="s">
        <v>32</v>
      </c>
      <c r="L2945" s="2">
        <v>4.3</v>
      </c>
      <c r="M2945" s="3">
        <v>490</v>
      </c>
      <c r="N2945">
        <v>4</v>
      </c>
      <c r="O2945">
        <v>4</v>
      </c>
      <c r="P2945">
        <v>1</v>
      </c>
      <c r="Q2945">
        <v>0</v>
      </c>
      <c r="R2945" s="4">
        <v>12.95</v>
      </c>
      <c r="S2945">
        <v>0</v>
      </c>
      <c r="T2945">
        <v>1</v>
      </c>
    </row>
    <row r="2946" spans="1:20" ht="16.5" x14ac:dyDescent="0.3">
      <c r="A2946" t="s">
        <v>3000</v>
      </c>
      <c r="B2946" s="1">
        <v>45704</v>
      </c>
      <c r="C2946">
        <v>2025</v>
      </c>
      <c r="D2946" t="s">
        <v>21</v>
      </c>
      <c r="E2946" t="s">
        <v>241</v>
      </c>
      <c r="F2946" t="s">
        <v>30</v>
      </c>
      <c r="G2946" t="s">
        <v>39</v>
      </c>
      <c r="H2946" t="s">
        <v>43</v>
      </c>
      <c r="I2946" t="s">
        <v>26</v>
      </c>
      <c r="J2946" t="s">
        <v>27</v>
      </c>
      <c r="K2946" t="s">
        <v>28</v>
      </c>
      <c r="L2946" s="2">
        <v>94.8</v>
      </c>
      <c r="M2946" s="3">
        <v>1111</v>
      </c>
      <c r="N2946">
        <v>5</v>
      </c>
      <c r="O2946">
        <v>5</v>
      </c>
      <c r="P2946">
        <v>1</v>
      </c>
      <c r="Q2946">
        <v>0</v>
      </c>
      <c r="R2946" s="4">
        <v>68.7</v>
      </c>
      <c r="S2946">
        <v>0</v>
      </c>
      <c r="T2946">
        <v>1</v>
      </c>
    </row>
    <row r="2947" spans="1:20" ht="16.5" x14ac:dyDescent="0.3">
      <c r="A2947" t="s">
        <v>3001</v>
      </c>
      <c r="B2947" s="1">
        <v>45704</v>
      </c>
      <c r="C2947">
        <v>2025</v>
      </c>
      <c r="D2947" t="s">
        <v>21</v>
      </c>
      <c r="E2947" t="s">
        <v>241</v>
      </c>
      <c r="F2947" t="s">
        <v>30</v>
      </c>
      <c r="G2947" t="s">
        <v>24</v>
      </c>
      <c r="H2947" t="s">
        <v>25</v>
      </c>
      <c r="I2947" t="s">
        <v>31</v>
      </c>
      <c r="J2947" t="s">
        <v>27</v>
      </c>
      <c r="K2947" t="s">
        <v>32</v>
      </c>
      <c r="L2947" s="2">
        <v>2.7</v>
      </c>
      <c r="M2947" s="3">
        <v>1081</v>
      </c>
      <c r="N2947">
        <v>6</v>
      </c>
      <c r="O2947">
        <v>6</v>
      </c>
      <c r="P2947">
        <v>1</v>
      </c>
      <c r="Q2947">
        <v>0</v>
      </c>
      <c r="R2947" s="4">
        <v>16.16</v>
      </c>
      <c r="S2947">
        <v>0</v>
      </c>
      <c r="T2947">
        <v>1</v>
      </c>
    </row>
    <row r="2948" spans="1:20" ht="16.5" x14ac:dyDescent="0.3">
      <c r="A2948" t="s">
        <v>3002</v>
      </c>
      <c r="B2948" s="1">
        <v>45705</v>
      </c>
      <c r="C2948">
        <v>2025</v>
      </c>
      <c r="D2948" t="s">
        <v>21</v>
      </c>
      <c r="E2948" t="s">
        <v>241</v>
      </c>
      <c r="F2948" t="s">
        <v>23</v>
      </c>
      <c r="G2948" t="s">
        <v>35</v>
      </c>
      <c r="H2948" t="s">
        <v>36</v>
      </c>
      <c r="I2948" t="s">
        <v>31</v>
      </c>
      <c r="J2948" t="s">
        <v>27</v>
      </c>
      <c r="K2948" t="s">
        <v>32</v>
      </c>
      <c r="L2948" s="2">
        <v>2.1</v>
      </c>
      <c r="M2948" s="3">
        <v>204</v>
      </c>
      <c r="N2948">
        <v>5</v>
      </c>
      <c r="O2948">
        <v>5</v>
      </c>
      <c r="P2948">
        <v>1</v>
      </c>
      <c r="Q2948">
        <v>0</v>
      </c>
      <c r="R2948" s="4">
        <v>7.16</v>
      </c>
      <c r="S2948">
        <v>0</v>
      </c>
      <c r="T2948">
        <v>1</v>
      </c>
    </row>
    <row r="2949" spans="1:20" ht="16.5" x14ac:dyDescent="0.3">
      <c r="A2949" t="s">
        <v>3003</v>
      </c>
      <c r="B2949" s="1">
        <v>45705</v>
      </c>
      <c r="C2949">
        <v>2025</v>
      </c>
      <c r="D2949" t="s">
        <v>21</v>
      </c>
      <c r="E2949" t="s">
        <v>241</v>
      </c>
      <c r="F2949" t="s">
        <v>38</v>
      </c>
      <c r="G2949" t="s">
        <v>35</v>
      </c>
      <c r="H2949" t="s">
        <v>25</v>
      </c>
      <c r="I2949" t="s">
        <v>31</v>
      </c>
      <c r="J2949" t="s">
        <v>27</v>
      </c>
      <c r="K2949" t="s">
        <v>28</v>
      </c>
      <c r="L2949" s="2">
        <v>133.80000000000001</v>
      </c>
      <c r="M2949" s="3">
        <v>721</v>
      </c>
      <c r="N2949">
        <v>6</v>
      </c>
      <c r="O2949">
        <v>5</v>
      </c>
      <c r="P2949">
        <v>1</v>
      </c>
      <c r="Q2949">
        <v>0</v>
      </c>
      <c r="R2949" s="4">
        <v>49.85</v>
      </c>
      <c r="S2949">
        <v>0</v>
      </c>
      <c r="T2949">
        <v>1</v>
      </c>
    </row>
    <row r="2950" spans="1:20" ht="16.5" x14ac:dyDescent="0.3">
      <c r="A2950" t="s">
        <v>3004</v>
      </c>
      <c r="B2950" s="1">
        <v>45705</v>
      </c>
      <c r="C2950">
        <v>2025</v>
      </c>
      <c r="D2950" t="s">
        <v>21</v>
      </c>
      <c r="E2950" t="s">
        <v>241</v>
      </c>
      <c r="F2950" t="s">
        <v>34</v>
      </c>
      <c r="G2950" t="s">
        <v>35</v>
      </c>
      <c r="H2950" t="s">
        <v>25</v>
      </c>
      <c r="I2950" t="s">
        <v>26</v>
      </c>
      <c r="J2950" t="s">
        <v>27</v>
      </c>
      <c r="K2950" t="s">
        <v>28</v>
      </c>
      <c r="L2950" s="2">
        <v>158.6</v>
      </c>
      <c r="M2950" s="3">
        <v>895</v>
      </c>
      <c r="N2950">
        <v>4</v>
      </c>
      <c r="O2950">
        <v>4</v>
      </c>
      <c r="P2950">
        <v>1</v>
      </c>
      <c r="Q2950">
        <v>0</v>
      </c>
      <c r="R2950" s="4">
        <v>69.58</v>
      </c>
      <c r="S2950">
        <v>0</v>
      </c>
      <c r="T2950">
        <v>1</v>
      </c>
    </row>
    <row r="2951" spans="1:20" ht="16.5" x14ac:dyDescent="0.3">
      <c r="A2951" t="s">
        <v>3005</v>
      </c>
      <c r="B2951" s="1">
        <v>45705</v>
      </c>
      <c r="C2951">
        <v>2025</v>
      </c>
      <c r="D2951" t="s">
        <v>21</v>
      </c>
      <c r="E2951" t="s">
        <v>241</v>
      </c>
      <c r="F2951" t="s">
        <v>34</v>
      </c>
      <c r="G2951" t="s">
        <v>35</v>
      </c>
      <c r="H2951" t="s">
        <v>25</v>
      </c>
      <c r="I2951" t="s">
        <v>26</v>
      </c>
      <c r="J2951" t="s">
        <v>27</v>
      </c>
      <c r="K2951" t="s">
        <v>28</v>
      </c>
      <c r="L2951" s="2">
        <v>97</v>
      </c>
      <c r="M2951" s="3">
        <v>789</v>
      </c>
      <c r="N2951">
        <v>4</v>
      </c>
      <c r="O2951">
        <v>4</v>
      </c>
      <c r="P2951">
        <v>1</v>
      </c>
      <c r="Q2951">
        <v>0</v>
      </c>
      <c r="R2951" s="4">
        <v>57.18</v>
      </c>
      <c r="S2951">
        <v>0</v>
      </c>
      <c r="T2951">
        <v>1</v>
      </c>
    </row>
    <row r="2952" spans="1:20" ht="16.5" x14ac:dyDescent="0.3">
      <c r="A2952" t="s">
        <v>3006</v>
      </c>
      <c r="B2952" s="1">
        <v>45705</v>
      </c>
      <c r="C2952">
        <v>2025</v>
      </c>
      <c r="D2952" t="s">
        <v>21</v>
      </c>
      <c r="E2952" t="s">
        <v>241</v>
      </c>
      <c r="F2952" t="s">
        <v>23</v>
      </c>
      <c r="G2952" t="s">
        <v>35</v>
      </c>
      <c r="H2952" t="s">
        <v>43</v>
      </c>
      <c r="I2952" t="s">
        <v>26</v>
      </c>
      <c r="J2952" t="s">
        <v>27</v>
      </c>
      <c r="K2952" t="s">
        <v>28</v>
      </c>
      <c r="L2952" s="2">
        <v>87.5</v>
      </c>
      <c r="M2952" s="3">
        <v>1084</v>
      </c>
      <c r="N2952">
        <v>5</v>
      </c>
      <c r="O2952">
        <v>5</v>
      </c>
      <c r="P2952">
        <v>1</v>
      </c>
      <c r="Q2952">
        <v>0</v>
      </c>
      <c r="R2952" s="4">
        <v>59.6</v>
      </c>
      <c r="S2952">
        <v>0</v>
      </c>
      <c r="T2952">
        <v>1</v>
      </c>
    </row>
    <row r="2953" spans="1:20" ht="16.5" x14ac:dyDescent="0.3">
      <c r="A2953" t="s">
        <v>3007</v>
      </c>
      <c r="B2953" s="1">
        <v>45705</v>
      </c>
      <c r="C2953">
        <v>2025</v>
      </c>
      <c r="D2953" t="s">
        <v>21</v>
      </c>
      <c r="E2953" t="s">
        <v>241</v>
      </c>
      <c r="F2953" t="s">
        <v>57</v>
      </c>
      <c r="G2953" t="s">
        <v>24</v>
      </c>
      <c r="H2953" t="s">
        <v>25</v>
      </c>
      <c r="I2953" t="s">
        <v>31</v>
      </c>
      <c r="J2953" t="s">
        <v>27</v>
      </c>
      <c r="K2953" t="s">
        <v>28</v>
      </c>
      <c r="L2953" s="2">
        <v>73</v>
      </c>
      <c r="M2953" s="3">
        <v>1014</v>
      </c>
      <c r="N2953">
        <v>6</v>
      </c>
      <c r="O2953">
        <v>6</v>
      </c>
      <c r="P2953">
        <v>1</v>
      </c>
      <c r="Q2953">
        <v>0</v>
      </c>
      <c r="R2953" s="4">
        <v>36.51</v>
      </c>
      <c r="S2953">
        <v>0</v>
      </c>
      <c r="T2953">
        <v>1</v>
      </c>
    </row>
    <row r="2954" spans="1:20" ht="16.5" x14ac:dyDescent="0.3">
      <c r="A2954" t="s">
        <v>3008</v>
      </c>
      <c r="B2954" s="1">
        <v>45705</v>
      </c>
      <c r="C2954">
        <v>2025</v>
      </c>
      <c r="D2954" t="s">
        <v>21</v>
      </c>
      <c r="E2954" t="s">
        <v>241</v>
      </c>
      <c r="F2954" t="s">
        <v>30</v>
      </c>
      <c r="G2954" t="s">
        <v>39</v>
      </c>
      <c r="H2954" t="s">
        <v>48</v>
      </c>
      <c r="I2954" t="s">
        <v>26</v>
      </c>
      <c r="J2954" t="s">
        <v>27</v>
      </c>
      <c r="K2954" t="s">
        <v>32</v>
      </c>
      <c r="L2954" s="2">
        <v>3.6</v>
      </c>
      <c r="M2954" s="3">
        <v>580</v>
      </c>
      <c r="N2954">
        <v>4</v>
      </c>
      <c r="O2954">
        <v>10</v>
      </c>
      <c r="P2954">
        <v>0</v>
      </c>
      <c r="Q2954">
        <v>6</v>
      </c>
      <c r="R2954" s="4">
        <v>15.47</v>
      </c>
      <c r="S2954">
        <v>0</v>
      </c>
      <c r="T2954">
        <v>1</v>
      </c>
    </row>
    <row r="2955" spans="1:20" ht="16.5" x14ac:dyDescent="0.3">
      <c r="A2955" t="s">
        <v>3009</v>
      </c>
      <c r="B2955" s="1">
        <v>45705</v>
      </c>
      <c r="C2955">
        <v>2025</v>
      </c>
      <c r="D2955" t="s">
        <v>21</v>
      </c>
      <c r="E2955" t="s">
        <v>241</v>
      </c>
      <c r="F2955" t="s">
        <v>30</v>
      </c>
      <c r="G2955" t="s">
        <v>39</v>
      </c>
      <c r="H2955" t="s">
        <v>48</v>
      </c>
      <c r="I2955" t="s">
        <v>31</v>
      </c>
      <c r="J2955" t="s">
        <v>27</v>
      </c>
      <c r="K2955" t="s">
        <v>32</v>
      </c>
      <c r="L2955" s="2">
        <v>8.4</v>
      </c>
      <c r="M2955" s="3">
        <v>516</v>
      </c>
      <c r="N2955">
        <v>6</v>
      </c>
      <c r="O2955">
        <v>5</v>
      </c>
      <c r="P2955">
        <v>1</v>
      </c>
      <c r="Q2955">
        <v>0</v>
      </c>
      <c r="R2955" s="4">
        <v>13.33</v>
      </c>
      <c r="S2955">
        <v>0</v>
      </c>
      <c r="T2955">
        <v>1</v>
      </c>
    </row>
    <row r="2956" spans="1:20" ht="16.5" x14ac:dyDescent="0.3">
      <c r="A2956" t="s">
        <v>3010</v>
      </c>
      <c r="B2956" s="1">
        <v>45705</v>
      </c>
      <c r="C2956">
        <v>2025</v>
      </c>
      <c r="D2956" t="s">
        <v>21</v>
      </c>
      <c r="E2956" t="s">
        <v>241</v>
      </c>
      <c r="F2956" t="s">
        <v>34</v>
      </c>
      <c r="G2956" t="s">
        <v>39</v>
      </c>
      <c r="H2956" t="s">
        <v>48</v>
      </c>
      <c r="I2956" t="s">
        <v>31</v>
      </c>
      <c r="J2956" t="s">
        <v>27</v>
      </c>
      <c r="K2956" t="s">
        <v>32</v>
      </c>
      <c r="L2956" s="2">
        <v>33.200000000000003</v>
      </c>
      <c r="M2956" s="3">
        <v>424</v>
      </c>
      <c r="N2956">
        <v>6</v>
      </c>
      <c r="O2956">
        <v>6</v>
      </c>
      <c r="P2956">
        <v>1</v>
      </c>
      <c r="Q2956">
        <v>0</v>
      </c>
      <c r="R2956" s="4">
        <v>18.47</v>
      </c>
      <c r="S2956">
        <v>0</v>
      </c>
      <c r="T2956">
        <v>1</v>
      </c>
    </row>
    <row r="2957" spans="1:20" ht="16.5" x14ac:dyDescent="0.3">
      <c r="A2957" t="s">
        <v>3011</v>
      </c>
      <c r="B2957" s="1">
        <v>45705</v>
      </c>
      <c r="C2957">
        <v>2025</v>
      </c>
      <c r="D2957" t="s">
        <v>21</v>
      </c>
      <c r="E2957" t="s">
        <v>241</v>
      </c>
      <c r="F2957" t="s">
        <v>57</v>
      </c>
      <c r="G2957" t="s">
        <v>35</v>
      </c>
      <c r="H2957" t="s">
        <v>36</v>
      </c>
      <c r="I2957" t="s">
        <v>40</v>
      </c>
      <c r="J2957" t="s">
        <v>27</v>
      </c>
      <c r="K2957" t="s">
        <v>32</v>
      </c>
      <c r="L2957" s="2">
        <v>21.5</v>
      </c>
      <c r="M2957" s="3">
        <v>294</v>
      </c>
      <c r="N2957">
        <v>1</v>
      </c>
      <c r="O2957">
        <v>1</v>
      </c>
      <c r="P2957">
        <v>1</v>
      </c>
      <c r="Q2957">
        <v>0</v>
      </c>
      <c r="R2957" s="4">
        <v>42.16</v>
      </c>
      <c r="S2957">
        <v>0</v>
      </c>
      <c r="T2957">
        <v>1</v>
      </c>
    </row>
    <row r="2958" spans="1:20" ht="16.5" x14ac:dyDescent="0.3">
      <c r="A2958" t="s">
        <v>3012</v>
      </c>
      <c r="B2958" s="1">
        <v>45706</v>
      </c>
      <c r="C2958">
        <v>2025</v>
      </c>
      <c r="D2958" t="s">
        <v>21</v>
      </c>
      <c r="E2958" t="s">
        <v>241</v>
      </c>
      <c r="F2958" t="s">
        <v>57</v>
      </c>
      <c r="G2958" t="s">
        <v>35</v>
      </c>
      <c r="H2958" t="s">
        <v>36</v>
      </c>
      <c r="I2958" t="s">
        <v>26</v>
      </c>
      <c r="J2958" t="s">
        <v>27</v>
      </c>
      <c r="K2958" t="s">
        <v>32</v>
      </c>
      <c r="L2958" s="2">
        <v>6.5</v>
      </c>
      <c r="M2958" s="3">
        <v>193</v>
      </c>
      <c r="N2958">
        <v>3</v>
      </c>
      <c r="O2958">
        <v>3</v>
      </c>
      <c r="P2958">
        <v>1</v>
      </c>
      <c r="Q2958">
        <v>0</v>
      </c>
      <c r="R2958" s="4">
        <v>11.92</v>
      </c>
      <c r="S2958">
        <v>0</v>
      </c>
      <c r="T2958">
        <v>1</v>
      </c>
    </row>
    <row r="2959" spans="1:20" ht="16.5" x14ac:dyDescent="0.3">
      <c r="A2959" t="s">
        <v>3013</v>
      </c>
      <c r="B2959" s="1">
        <v>45706</v>
      </c>
      <c r="C2959">
        <v>2025</v>
      </c>
      <c r="D2959" t="s">
        <v>21</v>
      </c>
      <c r="E2959" t="s">
        <v>241</v>
      </c>
      <c r="F2959" t="s">
        <v>57</v>
      </c>
      <c r="G2959" t="s">
        <v>35</v>
      </c>
      <c r="H2959" t="s">
        <v>43</v>
      </c>
      <c r="I2959" t="s">
        <v>26</v>
      </c>
      <c r="J2959" t="s">
        <v>27</v>
      </c>
      <c r="K2959" t="s">
        <v>28</v>
      </c>
      <c r="L2959" s="2">
        <v>129.69999999999999</v>
      </c>
      <c r="M2959" s="3">
        <v>1002</v>
      </c>
      <c r="N2959">
        <v>5</v>
      </c>
      <c r="O2959">
        <v>4</v>
      </c>
      <c r="P2959">
        <v>1</v>
      </c>
      <c r="Q2959">
        <v>0</v>
      </c>
      <c r="R2959" s="4">
        <v>77.86</v>
      </c>
      <c r="S2959">
        <v>0</v>
      </c>
      <c r="T2959">
        <v>1</v>
      </c>
    </row>
    <row r="2960" spans="1:20" ht="16.5" x14ac:dyDescent="0.3">
      <c r="A2960" t="s">
        <v>3014</v>
      </c>
      <c r="B2960" s="1">
        <v>45706</v>
      </c>
      <c r="C2960">
        <v>2025</v>
      </c>
      <c r="D2960" t="s">
        <v>21</v>
      </c>
      <c r="E2960" t="s">
        <v>241</v>
      </c>
      <c r="F2960" t="s">
        <v>23</v>
      </c>
      <c r="G2960" t="s">
        <v>35</v>
      </c>
      <c r="H2960" t="s">
        <v>25</v>
      </c>
      <c r="I2960" t="s">
        <v>40</v>
      </c>
      <c r="J2960" t="s">
        <v>41</v>
      </c>
      <c r="K2960" t="s">
        <v>28</v>
      </c>
      <c r="L2960" s="2">
        <v>65.900000000000006</v>
      </c>
      <c r="M2960" s="3">
        <v>891</v>
      </c>
      <c r="N2960">
        <v>2</v>
      </c>
      <c r="O2960">
        <v>2</v>
      </c>
      <c r="P2960">
        <v>1</v>
      </c>
      <c r="Q2960">
        <v>0</v>
      </c>
      <c r="R2960" s="4">
        <v>142.86000000000001</v>
      </c>
      <c r="S2960">
        <v>0</v>
      </c>
      <c r="T2960">
        <v>1</v>
      </c>
    </row>
    <row r="2961" spans="1:20" ht="16.5" x14ac:dyDescent="0.3">
      <c r="A2961" t="s">
        <v>3015</v>
      </c>
      <c r="B2961" s="1">
        <v>45706</v>
      </c>
      <c r="C2961">
        <v>2025</v>
      </c>
      <c r="D2961" t="s">
        <v>21</v>
      </c>
      <c r="E2961" t="s">
        <v>241</v>
      </c>
      <c r="F2961" t="s">
        <v>30</v>
      </c>
      <c r="G2961" t="s">
        <v>24</v>
      </c>
      <c r="H2961" t="s">
        <v>48</v>
      </c>
      <c r="I2961" t="s">
        <v>40</v>
      </c>
      <c r="J2961" t="s">
        <v>27</v>
      </c>
      <c r="K2961" t="s">
        <v>32</v>
      </c>
      <c r="L2961" s="2">
        <v>4.8</v>
      </c>
      <c r="M2961" s="3">
        <v>477</v>
      </c>
      <c r="N2961">
        <v>2</v>
      </c>
      <c r="O2961">
        <v>2</v>
      </c>
      <c r="P2961">
        <v>1</v>
      </c>
      <c r="Q2961">
        <v>0</v>
      </c>
      <c r="R2961" s="4">
        <v>30.35</v>
      </c>
      <c r="S2961">
        <v>0</v>
      </c>
      <c r="T2961">
        <v>1</v>
      </c>
    </row>
    <row r="2962" spans="1:20" ht="16.5" x14ac:dyDescent="0.3">
      <c r="A2962" t="s">
        <v>3016</v>
      </c>
      <c r="B2962" s="1">
        <v>45706</v>
      </c>
      <c r="C2962">
        <v>2025</v>
      </c>
      <c r="D2962" t="s">
        <v>21</v>
      </c>
      <c r="E2962" t="s">
        <v>241</v>
      </c>
      <c r="F2962" t="s">
        <v>30</v>
      </c>
      <c r="G2962" t="s">
        <v>35</v>
      </c>
      <c r="H2962" t="s">
        <v>36</v>
      </c>
      <c r="I2962" t="s">
        <v>26</v>
      </c>
      <c r="J2962" t="s">
        <v>27</v>
      </c>
      <c r="K2962" t="s">
        <v>28</v>
      </c>
      <c r="L2962" s="2">
        <v>218.7</v>
      </c>
      <c r="M2962" s="3">
        <v>278</v>
      </c>
      <c r="N2962">
        <v>3</v>
      </c>
      <c r="O2962">
        <v>2</v>
      </c>
      <c r="P2962">
        <v>1</v>
      </c>
      <c r="Q2962">
        <v>0</v>
      </c>
      <c r="R2962" s="4">
        <v>96.39</v>
      </c>
      <c r="S2962">
        <v>0</v>
      </c>
      <c r="T2962">
        <v>1</v>
      </c>
    </row>
    <row r="2963" spans="1:20" ht="16.5" x14ac:dyDescent="0.3">
      <c r="A2963" t="s">
        <v>3017</v>
      </c>
      <c r="B2963" s="1">
        <v>45706</v>
      </c>
      <c r="C2963">
        <v>2025</v>
      </c>
      <c r="D2963" t="s">
        <v>21</v>
      </c>
      <c r="E2963" t="s">
        <v>241</v>
      </c>
      <c r="F2963" t="s">
        <v>38</v>
      </c>
      <c r="G2963" t="s">
        <v>39</v>
      </c>
      <c r="H2963" t="s">
        <v>51</v>
      </c>
      <c r="I2963" t="s">
        <v>26</v>
      </c>
      <c r="J2963" t="s">
        <v>27</v>
      </c>
      <c r="K2963" t="s">
        <v>28</v>
      </c>
      <c r="L2963" s="2">
        <v>22.1</v>
      </c>
      <c r="M2963" s="3">
        <v>1248</v>
      </c>
      <c r="N2963">
        <v>5</v>
      </c>
      <c r="O2963">
        <v>5</v>
      </c>
      <c r="P2963">
        <v>1</v>
      </c>
      <c r="Q2963">
        <v>0</v>
      </c>
      <c r="R2963" s="4">
        <v>36.54</v>
      </c>
      <c r="S2963">
        <v>0</v>
      </c>
      <c r="T2963">
        <v>1</v>
      </c>
    </row>
    <row r="2964" spans="1:20" ht="16.5" x14ac:dyDescent="0.3">
      <c r="A2964" t="s">
        <v>3018</v>
      </c>
      <c r="B2964" s="1">
        <v>45706</v>
      </c>
      <c r="C2964">
        <v>2025</v>
      </c>
      <c r="D2964" t="s">
        <v>21</v>
      </c>
      <c r="E2964" t="s">
        <v>241</v>
      </c>
      <c r="F2964" t="s">
        <v>34</v>
      </c>
      <c r="G2964" t="s">
        <v>24</v>
      </c>
      <c r="H2964" t="s">
        <v>25</v>
      </c>
      <c r="I2964" t="s">
        <v>31</v>
      </c>
      <c r="J2964" t="s">
        <v>27</v>
      </c>
      <c r="K2964" t="s">
        <v>32</v>
      </c>
      <c r="L2964" s="2">
        <v>6.7</v>
      </c>
      <c r="M2964" s="3">
        <v>829</v>
      </c>
      <c r="N2964">
        <v>6</v>
      </c>
      <c r="O2964">
        <v>5</v>
      </c>
      <c r="P2964">
        <v>1</v>
      </c>
      <c r="Q2964">
        <v>0</v>
      </c>
      <c r="R2964" s="4">
        <v>12.21</v>
      </c>
      <c r="S2964">
        <v>0</v>
      </c>
      <c r="T2964">
        <v>1</v>
      </c>
    </row>
    <row r="2965" spans="1:20" ht="16.5" x14ac:dyDescent="0.3">
      <c r="A2965" t="s">
        <v>3019</v>
      </c>
      <c r="B2965" s="1">
        <v>45706</v>
      </c>
      <c r="C2965">
        <v>2025</v>
      </c>
      <c r="D2965" t="s">
        <v>21</v>
      </c>
      <c r="E2965" t="s">
        <v>241</v>
      </c>
      <c r="F2965" t="s">
        <v>34</v>
      </c>
      <c r="G2965" t="s">
        <v>39</v>
      </c>
      <c r="H2965" t="s">
        <v>25</v>
      </c>
      <c r="I2965" t="s">
        <v>31</v>
      </c>
      <c r="J2965" t="s">
        <v>27</v>
      </c>
      <c r="K2965" t="s">
        <v>32</v>
      </c>
      <c r="L2965" s="2">
        <v>2.8</v>
      </c>
      <c r="M2965" s="3">
        <v>950</v>
      </c>
      <c r="N2965">
        <v>6</v>
      </c>
      <c r="O2965">
        <v>6</v>
      </c>
      <c r="P2965">
        <v>1</v>
      </c>
      <c r="Q2965">
        <v>0</v>
      </c>
      <c r="R2965" s="4">
        <v>13.25</v>
      </c>
      <c r="S2965">
        <v>0</v>
      </c>
      <c r="T2965">
        <v>1</v>
      </c>
    </row>
    <row r="2966" spans="1:20" ht="16.5" x14ac:dyDescent="0.3">
      <c r="A2966" t="s">
        <v>3020</v>
      </c>
      <c r="B2966" s="1">
        <v>45707</v>
      </c>
      <c r="C2966">
        <v>2025</v>
      </c>
      <c r="D2966" t="s">
        <v>21</v>
      </c>
      <c r="E2966" t="s">
        <v>241</v>
      </c>
      <c r="F2966" t="s">
        <v>34</v>
      </c>
      <c r="G2966" t="s">
        <v>39</v>
      </c>
      <c r="H2966" t="s">
        <v>48</v>
      </c>
      <c r="I2966" t="s">
        <v>26</v>
      </c>
      <c r="J2966" t="s">
        <v>27</v>
      </c>
      <c r="K2966" t="s">
        <v>28</v>
      </c>
      <c r="L2966" s="2">
        <v>268.2</v>
      </c>
      <c r="M2966" s="3">
        <v>369</v>
      </c>
      <c r="N2966">
        <v>4</v>
      </c>
      <c r="O2966">
        <v>3</v>
      </c>
      <c r="P2966">
        <v>1</v>
      </c>
      <c r="Q2966">
        <v>0</v>
      </c>
      <c r="R2966" s="4">
        <v>95.22</v>
      </c>
      <c r="S2966">
        <v>0</v>
      </c>
      <c r="T2966">
        <v>1</v>
      </c>
    </row>
    <row r="2967" spans="1:20" ht="16.5" x14ac:dyDescent="0.3">
      <c r="A2967" t="s">
        <v>3021</v>
      </c>
      <c r="B2967" s="1">
        <v>45707</v>
      </c>
      <c r="C2967">
        <v>2025</v>
      </c>
      <c r="D2967" t="s">
        <v>21</v>
      </c>
      <c r="E2967" t="s">
        <v>241</v>
      </c>
      <c r="F2967" t="s">
        <v>57</v>
      </c>
      <c r="G2967" t="s">
        <v>35</v>
      </c>
      <c r="H2967" t="s">
        <v>36</v>
      </c>
      <c r="I2967" t="s">
        <v>31</v>
      </c>
      <c r="J2967" t="s">
        <v>27</v>
      </c>
      <c r="K2967" t="s">
        <v>32</v>
      </c>
      <c r="L2967" s="2">
        <v>9.9</v>
      </c>
      <c r="M2967" s="3">
        <v>225</v>
      </c>
      <c r="N2967">
        <v>5</v>
      </c>
      <c r="O2967">
        <v>5</v>
      </c>
      <c r="P2967">
        <v>1</v>
      </c>
      <c r="Q2967">
        <v>0</v>
      </c>
      <c r="R2967" s="4">
        <v>11.74</v>
      </c>
      <c r="S2967">
        <v>0</v>
      </c>
      <c r="T2967">
        <v>1</v>
      </c>
    </row>
    <row r="2968" spans="1:20" ht="16.5" x14ac:dyDescent="0.3">
      <c r="A2968" t="s">
        <v>3022</v>
      </c>
      <c r="B2968" s="1">
        <v>45707</v>
      </c>
      <c r="C2968">
        <v>2025</v>
      </c>
      <c r="D2968" t="s">
        <v>21</v>
      </c>
      <c r="E2968" t="s">
        <v>241</v>
      </c>
      <c r="F2968" t="s">
        <v>57</v>
      </c>
      <c r="G2968" t="s">
        <v>35</v>
      </c>
      <c r="H2968" t="s">
        <v>25</v>
      </c>
      <c r="I2968" t="s">
        <v>26</v>
      </c>
      <c r="J2968" t="s">
        <v>27</v>
      </c>
      <c r="K2968" t="s">
        <v>32</v>
      </c>
      <c r="L2968" s="2">
        <v>2.8</v>
      </c>
      <c r="M2968" s="3">
        <v>1218</v>
      </c>
      <c r="N2968">
        <v>4</v>
      </c>
      <c r="O2968">
        <v>4</v>
      </c>
      <c r="P2968">
        <v>1</v>
      </c>
      <c r="Q2968">
        <v>0</v>
      </c>
      <c r="R2968" s="4">
        <v>24.69</v>
      </c>
      <c r="S2968">
        <v>0</v>
      </c>
      <c r="T2968">
        <v>1</v>
      </c>
    </row>
    <row r="2969" spans="1:20" ht="16.5" x14ac:dyDescent="0.3">
      <c r="A2969" t="s">
        <v>3023</v>
      </c>
      <c r="B2969" s="1">
        <v>45707</v>
      </c>
      <c r="C2969">
        <v>2025</v>
      </c>
      <c r="D2969" t="s">
        <v>21</v>
      </c>
      <c r="E2969" t="s">
        <v>241</v>
      </c>
      <c r="F2969" t="s">
        <v>23</v>
      </c>
      <c r="G2969" t="s">
        <v>39</v>
      </c>
      <c r="H2969" t="s">
        <v>25</v>
      </c>
      <c r="I2969" t="s">
        <v>31</v>
      </c>
      <c r="J2969" t="s">
        <v>27</v>
      </c>
      <c r="K2969" t="s">
        <v>32</v>
      </c>
      <c r="L2969" s="2">
        <v>7</v>
      </c>
      <c r="M2969" s="3">
        <v>645</v>
      </c>
      <c r="N2969">
        <v>6</v>
      </c>
      <c r="O2969">
        <v>6</v>
      </c>
      <c r="P2969">
        <v>1</v>
      </c>
      <c r="Q2969">
        <v>0</v>
      </c>
      <c r="R2969" s="4">
        <v>12.78</v>
      </c>
      <c r="S2969">
        <v>0</v>
      </c>
      <c r="T2969">
        <v>1</v>
      </c>
    </row>
    <row r="2970" spans="1:20" ht="16.5" x14ac:dyDescent="0.3">
      <c r="A2970" t="s">
        <v>3024</v>
      </c>
      <c r="B2970" s="1">
        <v>45707</v>
      </c>
      <c r="C2970">
        <v>2025</v>
      </c>
      <c r="D2970" t="s">
        <v>21</v>
      </c>
      <c r="E2970" t="s">
        <v>241</v>
      </c>
      <c r="F2970" t="s">
        <v>30</v>
      </c>
      <c r="G2970" t="s">
        <v>39</v>
      </c>
      <c r="H2970" t="s">
        <v>25</v>
      </c>
      <c r="I2970" t="s">
        <v>26</v>
      </c>
      <c r="J2970" t="s">
        <v>27</v>
      </c>
      <c r="K2970" t="s">
        <v>32</v>
      </c>
      <c r="L2970" s="2">
        <v>4.7</v>
      </c>
      <c r="M2970" s="3">
        <v>976</v>
      </c>
      <c r="N2970">
        <v>4</v>
      </c>
      <c r="O2970">
        <v>4</v>
      </c>
      <c r="P2970">
        <v>1</v>
      </c>
      <c r="Q2970">
        <v>0</v>
      </c>
      <c r="R2970" s="4">
        <v>21.1</v>
      </c>
      <c r="S2970">
        <v>0</v>
      </c>
      <c r="T2970">
        <v>1</v>
      </c>
    </row>
    <row r="2971" spans="1:20" ht="16.5" x14ac:dyDescent="0.3">
      <c r="A2971" t="s">
        <v>3025</v>
      </c>
      <c r="B2971" s="1">
        <v>45708</v>
      </c>
      <c r="C2971">
        <v>2025</v>
      </c>
      <c r="D2971" t="s">
        <v>21</v>
      </c>
      <c r="E2971" t="s">
        <v>241</v>
      </c>
      <c r="F2971" t="s">
        <v>57</v>
      </c>
      <c r="G2971" t="s">
        <v>24</v>
      </c>
      <c r="H2971" t="s">
        <v>25</v>
      </c>
      <c r="I2971" t="s">
        <v>31</v>
      </c>
      <c r="J2971" t="s">
        <v>27</v>
      </c>
      <c r="K2971" t="s">
        <v>32</v>
      </c>
      <c r="L2971" s="2">
        <v>17</v>
      </c>
      <c r="M2971" s="3">
        <v>741</v>
      </c>
      <c r="N2971">
        <v>6</v>
      </c>
      <c r="O2971">
        <v>6</v>
      </c>
      <c r="P2971">
        <v>1</v>
      </c>
      <c r="Q2971">
        <v>0</v>
      </c>
      <c r="R2971" s="4">
        <v>17.79</v>
      </c>
      <c r="S2971">
        <v>0</v>
      </c>
      <c r="T2971">
        <v>1</v>
      </c>
    </row>
    <row r="2972" spans="1:20" ht="16.5" x14ac:dyDescent="0.3">
      <c r="A2972" t="s">
        <v>3026</v>
      </c>
      <c r="B2972" s="1">
        <v>45708</v>
      </c>
      <c r="C2972">
        <v>2025</v>
      </c>
      <c r="D2972" t="s">
        <v>21</v>
      </c>
      <c r="E2972" t="s">
        <v>241</v>
      </c>
      <c r="F2972" t="s">
        <v>57</v>
      </c>
      <c r="G2972" t="s">
        <v>24</v>
      </c>
      <c r="H2972" t="s">
        <v>36</v>
      </c>
      <c r="I2972" t="s">
        <v>31</v>
      </c>
      <c r="J2972" t="s">
        <v>27</v>
      </c>
      <c r="K2972" t="s">
        <v>28</v>
      </c>
      <c r="L2972" s="2">
        <v>46.1</v>
      </c>
      <c r="M2972" s="3">
        <v>238</v>
      </c>
      <c r="N2972">
        <v>5</v>
      </c>
      <c r="O2972">
        <v>5</v>
      </c>
      <c r="P2972">
        <v>1</v>
      </c>
      <c r="Q2972">
        <v>0</v>
      </c>
      <c r="R2972" s="4">
        <v>22.27</v>
      </c>
      <c r="S2972">
        <v>0</v>
      </c>
      <c r="T2972">
        <v>1</v>
      </c>
    </row>
    <row r="2973" spans="1:20" ht="16.5" x14ac:dyDescent="0.3">
      <c r="A2973" t="s">
        <v>3027</v>
      </c>
      <c r="B2973" s="1">
        <v>45708</v>
      </c>
      <c r="C2973">
        <v>2025</v>
      </c>
      <c r="D2973" t="s">
        <v>21</v>
      </c>
      <c r="E2973" t="s">
        <v>241</v>
      </c>
      <c r="F2973" t="s">
        <v>38</v>
      </c>
      <c r="G2973" t="s">
        <v>35</v>
      </c>
      <c r="H2973" t="s">
        <v>36</v>
      </c>
      <c r="I2973" t="s">
        <v>40</v>
      </c>
      <c r="J2973" t="s">
        <v>27</v>
      </c>
      <c r="K2973" t="s">
        <v>32</v>
      </c>
      <c r="L2973" s="2">
        <v>3.1</v>
      </c>
      <c r="M2973" s="3">
        <v>312</v>
      </c>
      <c r="N2973">
        <v>1</v>
      </c>
      <c r="O2973">
        <v>1</v>
      </c>
      <c r="P2973">
        <v>1</v>
      </c>
      <c r="Q2973">
        <v>0</v>
      </c>
      <c r="R2973" s="4">
        <v>27.79</v>
      </c>
      <c r="S2973">
        <v>0</v>
      </c>
      <c r="T2973">
        <v>1</v>
      </c>
    </row>
    <row r="2974" spans="1:20" ht="16.5" x14ac:dyDescent="0.3">
      <c r="A2974" t="s">
        <v>3028</v>
      </c>
      <c r="B2974" s="1">
        <v>45708</v>
      </c>
      <c r="C2974">
        <v>2025</v>
      </c>
      <c r="D2974" t="s">
        <v>21</v>
      </c>
      <c r="E2974" t="s">
        <v>241</v>
      </c>
      <c r="F2974" t="s">
        <v>38</v>
      </c>
      <c r="G2974" t="s">
        <v>39</v>
      </c>
      <c r="H2974" t="s">
        <v>36</v>
      </c>
      <c r="I2974" t="s">
        <v>26</v>
      </c>
      <c r="J2974" t="s">
        <v>27</v>
      </c>
      <c r="K2974" t="s">
        <v>28</v>
      </c>
      <c r="L2974" s="2">
        <v>159.6</v>
      </c>
      <c r="M2974" s="3">
        <v>181</v>
      </c>
      <c r="N2974">
        <v>3</v>
      </c>
      <c r="O2974">
        <v>3</v>
      </c>
      <c r="P2974">
        <v>1</v>
      </c>
      <c r="Q2974">
        <v>0</v>
      </c>
      <c r="R2974" s="4">
        <v>88.64</v>
      </c>
      <c r="S2974">
        <v>0</v>
      </c>
      <c r="T2974">
        <v>1</v>
      </c>
    </row>
    <row r="2975" spans="1:20" ht="16.5" x14ac:dyDescent="0.3">
      <c r="A2975" t="s">
        <v>3029</v>
      </c>
      <c r="B2975" s="1">
        <v>45708</v>
      </c>
      <c r="C2975">
        <v>2025</v>
      </c>
      <c r="D2975" t="s">
        <v>21</v>
      </c>
      <c r="E2975" t="s">
        <v>241</v>
      </c>
      <c r="F2975" t="s">
        <v>30</v>
      </c>
      <c r="G2975" t="s">
        <v>39</v>
      </c>
      <c r="H2975" t="s">
        <v>36</v>
      </c>
      <c r="I2975" t="s">
        <v>31</v>
      </c>
      <c r="J2975" t="s">
        <v>27</v>
      </c>
      <c r="K2975" t="s">
        <v>28</v>
      </c>
      <c r="L2975" s="2">
        <v>100.2</v>
      </c>
      <c r="M2975" s="3">
        <v>187</v>
      </c>
      <c r="N2975">
        <v>5</v>
      </c>
      <c r="O2975">
        <v>5</v>
      </c>
      <c r="P2975">
        <v>1</v>
      </c>
      <c r="Q2975">
        <v>0</v>
      </c>
      <c r="R2975" s="4">
        <v>37.06</v>
      </c>
      <c r="S2975">
        <v>0</v>
      </c>
      <c r="T2975">
        <v>1</v>
      </c>
    </row>
    <row r="2976" spans="1:20" ht="16.5" x14ac:dyDescent="0.3">
      <c r="A2976" t="s">
        <v>3030</v>
      </c>
      <c r="B2976" s="1">
        <v>45708</v>
      </c>
      <c r="C2976">
        <v>2025</v>
      </c>
      <c r="D2976" t="s">
        <v>21</v>
      </c>
      <c r="E2976" t="s">
        <v>241</v>
      </c>
      <c r="F2976" t="s">
        <v>38</v>
      </c>
      <c r="G2976" t="s">
        <v>39</v>
      </c>
      <c r="H2976" t="s">
        <v>36</v>
      </c>
      <c r="I2976" t="s">
        <v>26</v>
      </c>
      <c r="J2976" t="s">
        <v>27</v>
      </c>
      <c r="K2976" t="s">
        <v>32</v>
      </c>
      <c r="L2976" s="2">
        <v>4.9000000000000004</v>
      </c>
      <c r="M2976" s="3">
        <v>228</v>
      </c>
      <c r="N2976">
        <v>3</v>
      </c>
      <c r="O2976">
        <v>3</v>
      </c>
      <c r="P2976">
        <v>1</v>
      </c>
      <c r="Q2976">
        <v>0</v>
      </c>
      <c r="R2976" s="4">
        <v>14.1</v>
      </c>
      <c r="S2976">
        <v>0</v>
      </c>
      <c r="T2976">
        <v>1</v>
      </c>
    </row>
    <row r="2977" spans="1:20" ht="16.5" x14ac:dyDescent="0.3">
      <c r="A2977" t="s">
        <v>3031</v>
      </c>
      <c r="B2977" s="1">
        <v>45708</v>
      </c>
      <c r="C2977">
        <v>2025</v>
      </c>
      <c r="D2977" t="s">
        <v>21</v>
      </c>
      <c r="E2977" t="s">
        <v>241</v>
      </c>
      <c r="F2977" t="s">
        <v>38</v>
      </c>
      <c r="G2977" t="s">
        <v>35</v>
      </c>
      <c r="H2977" t="s">
        <v>25</v>
      </c>
      <c r="I2977" t="s">
        <v>31</v>
      </c>
      <c r="J2977" t="s">
        <v>27</v>
      </c>
      <c r="K2977" t="s">
        <v>28</v>
      </c>
      <c r="L2977" s="2">
        <v>159.6</v>
      </c>
      <c r="M2977" s="3">
        <v>901</v>
      </c>
      <c r="N2977">
        <v>6</v>
      </c>
      <c r="O2977">
        <v>6</v>
      </c>
      <c r="P2977">
        <v>1</v>
      </c>
      <c r="Q2977">
        <v>0</v>
      </c>
      <c r="R2977" s="4">
        <v>71.47</v>
      </c>
      <c r="S2977">
        <v>0</v>
      </c>
      <c r="T2977">
        <v>1</v>
      </c>
    </row>
    <row r="2978" spans="1:20" ht="16.5" x14ac:dyDescent="0.3">
      <c r="A2978" t="s">
        <v>3032</v>
      </c>
      <c r="B2978" s="1">
        <v>45708</v>
      </c>
      <c r="C2978">
        <v>2025</v>
      </c>
      <c r="D2978" t="s">
        <v>21</v>
      </c>
      <c r="E2978" t="s">
        <v>241</v>
      </c>
      <c r="F2978" t="s">
        <v>30</v>
      </c>
      <c r="G2978" t="s">
        <v>39</v>
      </c>
      <c r="H2978" t="s">
        <v>36</v>
      </c>
      <c r="I2978" t="s">
        <v>31</v>
      </c>
      <c r="J2978" t="s">
        <v>27</v>
      </c>
      <c r="K2978" t="s">
        <v>32</v>
      </c>
      <c r="L2978" s="2">
        <v>4.7</v>
      </c>
      <c r="M2978" s="3">
        <v>250</v>
      </c>
      <c r="N2978">
        <v>5</v>
      </c>
      <c r="O2978">
        <v>4</v>
      </c>
      <c r="P2978">
        <v>1</v>
      </c>
      <c r="Q2978">
        <v>0</v>
      </c>
      <c r="R2978" s="4">
        <v>9.4</v>
      </c>
      <c r="S2978">
        <v>0</v>
      </c>
      <c r="T2978">
        <v>1</v>
      </c>
    </row>
    <row r="2979" spans="1:20" ht="16.5" x14ac:dyDescent="0.3">
      <c r="A2979" t="s">
        <v>3033</v>
      </c>
      <c r="B2979" s="1">
        <v>45708</v>
      </c>
      <c r="C2979">
        <v>2025</v>
      </c>
      <c r="D2979" t="s">
        <v>21</v>
      </c>
      <c r="E2979" t="s">
        <v>241</v>
      </c>
      <c r="F2979" t="s">
        <v>57</v>
      </c>
      <c r="G2979" t="s">
        <v>35</v>
      </c>
      <c r="H2979" t="s">
        <v>48</v>
      </c>
      <c r="I2979" t="s">
        <v>40</v>
      </c>
      <c r="J2979" t="s">
        <v>27</v>
      </c>
      <c r="K2979" t="s">
        <v>32</v>
      </c>
      <c r="L2979" s="2">
        <v>8.3000000000000007</v>
      </c>
      <c r="M2979" s="3">
        <v>564</v>
      </c>
      <c r="N2979">
        <v>2</v>
      </c>
      <c r="O2979">
        <v>2</v>
      </c>
      <c r="P2979">
        <v>1</v>
      </c>
      <c r="Q2979">
        <v>0</v>
      </c>
      <c r="R2979" s="4">
        <v>33.07</v>
      </c>
      <c r="S2979">
        <v>0</v>
      </c>
      <c r="T2979">
        <v>1</v>
      </c>
    </row>
    <row r="2980" spans="1:20" ht="16.5" x14ac:dyDescent="0.3">
      <c r="A2980" t="s">
        <v>3034</v>
      </c>
      <c r="B2980" s="1">
        <v>45708</v>
      </c>
      <c r="C2980">
        <v>2025</v>
      </c>
      <c r="D2980" t="s">
        <v>21</v>
      </c>
      <c r="E2980" t="s">
        <v>241</v>
      </c>
      <c r="F2980" t="s">
        <v>38</v>
      </c>
      <c r="G2980" t="s">
        <v>35</v>
      </c>
      <c r="H2980" t="s">
        <v>43</v>
      </c>
      <c r="I2980" t="s">
        <v>26</v>
      </c>
      <c r="J2980" t="s">
        <v>27</v>
      </c>
      <c r="K2980" t="s">
        <v>32</v>
      </c>
      <c r="L2980" s="2">
        <v>9</v>
      </c>
      <c r="M2980" s="3">
        <v>1313</v>
      </c>
      <c r="N2980">
        <v>5</v>
      </c>
      <c r="O2980">
        <v>4</v>
      </c>
      <c r="P2980">
        <v>1</v>
      </c>
      <c r="Q2980">
        <v>0</v>
      </c>
      <c r="R2980" s="4">
        <v>28.31</v>
      </c>
      <c r="S2980">
        <v>0</v>
      </c>
      <c r="T2980">
        <v>1</v>
      </c>
    </row>
    <row r="2981" spans="1:20" ht="16.5" x14ac:dyDescent="0.3">
      <c r="A2981" t="s">
        <v>3035</v>
      </c>
      <c r="B2981" s="1">
        <v>45708</v>
      </c>
      <c r="C2981">
        <v>2025</v>
      </c>
      <c r="D2981" t="s">
        <v>21</v>
      </c>
      <c r="E2981" t="s">
        <v>241</v>
      </c>
      <c r="F2981" t="s">
        <v>23</v>
      </c>
      <c r="G2981" t="s">
        <v>39</v>
      </c>
      <c r="H2981" t="s">
        <v>36</v>
      </c>
      <c r="I2981" t="s">
        <v>31</v>
      </c>
      <c r="J2981" t="s">
        <v>27</v>
      </c>
      <c r="K2981" t="s">
        <v>32</v>
      </c>
      <c r="L2981" s="2">
        <v>6.3</v>
      </c>
      <c r="M2981" s="3">
        <v>226</v>
      </c>
      <c r="N2981">
        <v>5</v>
      </c>
      <c r="O2981">
        <v>5</v>
      </c>
      <c r="P2981">
        <v>1</v>
      </c>
      <c r="Q2981">
        <v>0</v>
      </c>
      <c r="R2981" s="4">
        <v>8.92</v>
      </c>
      <c r="S2981">
        <v>0</v>
      </c>
      <c r="T2981">
        <v>1</v>
      </c>
    </row>
    <row r="2982" spans="1:20" ht="16.5" x14ac:dyDescent="0.3">
      <c r="A2982" t="s">
        <v>3036</v>
      </c>
      <c r="B2982" s="1">
        <v>45708</v>
      </c>
      <c r="C2982">
        <v>2025</v>
      </c>
      <c r="D2982" t="s">
        <v>21</v>
      </c>
      <c r="E2982" t="s">
        <v>241</v>
      </c>
      <c r="F2982" t="s">
        <v>57</v>
      </c>
      <c r="G2982" t="s">
        <v>39</v>
      </c>
      <c r="H2982" t="s">
        <v>25</v>
      </c>
      <c r="I2982" t="s">
        <v>26</v>
      </c>
      <c r="J2982" t="s">
        <v>27</v>
      </c>
      <c r="K2982" t="s">
        <v>28</v>
      </c>
      <c r="L2982" s="2">
        <v>33.200000000000003</v>
      </c>
      <c r="M2982" s="3">
        <v>904</v>
      </c>
      <c r="N2982">
        <v>4</v>
      </c>
      <c r="O2982">
        <v>3</v>
      </c>
      <c r="P2982">
        <v>1</v>
      </c>
      <c r="Q2982">
        <v>0</v>
      </c>
      <c r="R2982" s="4">
        <v>37</v>
      </c>
      <c r="S2982">
        <v>0</v>
      </c>
      <c r="T2982">
        <v>1</v>
      </c>
    </row>
    <row r="2983" spans="1:20" ht="16.5" x14ac:dyDescent="0.3">
      <c r="A2983" t="s">
        <v>3037</v>
      </c>
      <c r="B2983" s="1">
        <v>45708</v>
      </c>
      <c r="C2983">
        <v>2025</v>
      </c>
      <c r="D2983" t="s">
        <v>21</v>
      </c>
      <c r="E2983" t="s">
        <v>241</v>
      </c>
      <c r="F2983" t="s">
        <v>38</v>
      </c>
      <c r="G2983" t="s">
        <v>35</v>
      </c>
      <c r="H2983" t="s">
        <v>36</v>
      </c>
      <c r="I2983" t="s">
        <v>31</v>
      </c>
      <c r="J2983" t="s">
        <v>27</v>
      </c>
      <c r="K2983" t="s">
        <v>28</v>
      </c>
      <c r="L2983" s="2">
        <v>69.599999999999994</v>
      </c>
      <c r="M2983" s="3">
        <v>227</v>
      </c>
      <c r="N2983">
        <v>5</v>
      </c>
      <c r="O2983">
        <v>5</v>
      </c>
      <c r="P2983">
        <v>1</v>
      </c>
      <c r="Q2983">
        <v>0</v>
      </c>
      <c r="R2983" s="4">
        <v>34</v>
      </c>
      <c r="S2983">
        <v>0</v>
      </c>
      <c r="T2983">
        <v>1</v>
      </c>
    </row>
    <row r="2984" spans="1:20" ht="16.5" x14ac:dyDescent="0.3">
      <c r="A2984" t="s">
        <v>3038</v>
      </c>
      <c r="B2984" s="1">
        <v>45709</v>
      </c>
      <c r="C2984">
        <v>2025</v>
      </c>
      <c r="D2984" t="s">
        <v>21</v>
      </c>
      <c r="E2984" t="s">
        <v>241</v>
      </c>
      <c r="F2984" t="s">
        <v>23</v>
      </c>
      <c r="G2984" t="s">
        <v>24</v>
      </c>
      <c r="H2984" t="s">
        <v>25</v>
      </c>
      <c r="I2984" t="s">
        <v>40</v>
      </c>
      <c r="J2984" t="s">
        <v>41</v>
      </c>
      <c r="K2984" t="s">
        <v>32</v>
      </c>
      <c r="L2984" s="2">
        <v>5.7</v>
      </c>
      <c r="M2984" s="3">
        <v>879</v>
      </c>
      <c r="N2984">
        <v>2</v>
      </c>
      <c r="O2984">
        <v>2</v>
      </c>
      <c r="P2984">
        <v>1</v>
      </c>
      <c r="Q2984">
        <v>0</v>
      </c>
      <c r="R2984" s="4">
        <v>57.12</v>
      </c>
      <c r="S2984">
        <v>0</v>
      </c>
      <c r="T2984">
        <v>1</v>
      </c>
    </row>
    <row r="2985" spans="1:20" ht="16.5" x14ac:dyDescent="0.3">
      <c r="A2985" t="s">
        <v>3039</v>
      </c>
      <c r="B2985" s="1">
        <v>45709</v>
      </c>
      <c r="C2985">
        <v>2025</v>
      </c>
      <c r="D2985" t="s">
        <v>21</v>
      </c>
      <c r="E2985" t="s">
        <v>241</v>
      </c>
      <c r="F2985" t="s">
        <v>30</v>
      </c>
      <c r="G2985" t="s">
        <v>35</v>
      </c>
      <c r="H2985" t="s">
        <v>51</v>
      </c>
      <c r="I2985" t="s">
        <v>26</v>
      </c>
      <c r="J2985" t="s">
        <v>27</v>
      </c>
      <c r="K2985" t="s">
        <v>32</v>
      </c>
      <c r="L2985" s="2">
        <v>10.7</v>
      </c>
      <c r="M2985" s="3">
        <v>1026</v>
      </c>
      <c r="N2985">
        <v>5</v>
      </c>
      <c r="O2985">
        <v>5</v>
      </c>
      <c r="P2985">
        <v>1</v>
      </c>
      <c r="Q2985">
        <v>0</v>
      </c>
      <c r="R2985" s="4">
        <v>24.89</v>
      </c>
      <c r="S2985">
        <v>0</v>
      </c>
      <c r="T2985">
        <v>1</v>
      </c>
    </row>
    <row r="2986" spans="1:20" ht="16.5" x14ac:dyDescent="0.3">
      <c r="A2986" t="s">
        <v>3040</v>
      </c>
      <c r="B2986" s="1">
        <v>45709</v>
      </c>
      <c r="C2986">
        <v>2025</v>
      </c>
      <c r="D2986" t="s">
        <v>21</v>
      </c>
      <c r="E2986" t="s">
        <v>241</v>
      </c>
      <c r="F2986" t="s">
        <v>57</v>
      </c>
      <c r="G2986" t="s">
        <v>39</v>
      </c>
      <c r="H2986" t="s">
        <v>48</v>
      </c>
      <c r="I2986" t="s">
        <v>26</v>
      </c>
      <c r="J2986" t="s">
        <v>27</v>
      </c>
      <c r="K2986" t="s">
        <v>32</v>
      </c>
      <c r="L2986" s="2">
        <v>17.600000000000001</v>
      </c>
      <c r="M2986" s="3">
        <v>497</v>
      </c>
      <c r="N2986">
        <v>4</v>
      </c>
      <c r="O2986">
        <v>4</v>
      </c>
      <c r="P2986">
        <v>1</v>
      </c>
      <c r="Q2986">
        <v>0</v>
      </c>
      <c r="R2986" s="4">
        <v>21.97</v>
      </c>
      <c r="S2986">
        <v>1</v>
      </c>
      <c r="T2986">
        <v>1</v>
      </c>
    </row>
    <row r="2987" spans="1:20" ht="16.5" x14ac:dyDescent="0.3">
      <c r="A2987" t="s">
        <v>3041</v>
      </c>
      <c r="B2987" s="1">
        <v>45709</v>
      </c>
      <c r="C2987">
        <v>2025</v>
      </c>
      <c r="D2987" t="s">
        <v>21</v>
      </c>
      <c r="E2987" t="s">
        <v>241</v>
      </c>
      <c r="F2987" t="s">
        <v>34</v>
      </c>
      <c r="G2987" t="s">
        <v>35</v>
      </c>
      <c r="H2987" t="s">
        <v>36</v>
      </c>
      <c r="I2987" t="s">
        <v>26</v>
      </c>
      <c r="J2987" t="s">
        <v>27</v>
      </c>
      <c r="K2987" t="s">
        <v>32</v>
      </c>
      <c r="L2987" s="2">
        <v>6.2</v>
      </c>
      <c r="M2987" s="3">
        <v>219</v>
      </c>
      <c r="N2987">
        <v>3</v>
      </c>
      <c r="O2987">
        <v>2</v>
      </c>
      <c r="P2987">
        <v>1</v>
      </c>
      <c r="Q2987">
        <v>0</v>
      </c>
      <c r="R2987" s="4">
        <v>11.58</v>
      </c>
      <c r="S2987">
        <v>0</v>
      </c>
      <c r="T2987">
        <v>1</v>
      </c>
    </row>
    <row r="2988" spans="1:20" ht="16.5" x14ac:dyDescent="0.3">
      <c r="A2988" t="s">
        <v>3042</v>
      </c>
      <c r="B2988" s="1">
        <v>45709</v>
      </c>
      <c r="C2988">
        <v>2025</v>
      </c>
      <c r="D2988" t="s">
        <v>21</v>
      </c>
      <c r="E2988" t="s">
        <v>241</v>
      </c>
      <c r="F2988" t="s">
        <v>30</v>
      </c>
      <c r="G2988" t="s">
        <v>24</v>
      </c>
      <c r="H2988" t="s">
        <v>36</v>
      </c>
      <c r="I2988" t="s">
        <v>26</v>
      </c>
      <c r="J2988" t="s">
        <v>27</v>
      </c>
      <c r="K2988" t="s">
        <v>32</v>
      </c>
      <c r="L2988" s="2">
        <v>6.9</v>
      </c>
      <c r="M2988" s="3">
        <v>244</v>
      </c>
      <c r="N2988">
        <v>3</v>
      </c>
      <c r="O2988">
        <v>2</v>
      </c>
      <c r="P2988">
        <v>1</v>
      </c>
      <c r="Q2988">
        <v>0</v>
      </c>
      <c r="R2988" s="4">
        <v>14.63</v>
      </c>
      <c r="S2988">
        <v>0</v>
      </c>
      <c r="T2988">
        <v>1</v>
      </c>
    </row>
    <row r="2989" spans="1:20" ht="16.5" x14ac:dyDescent="0.3">
      <c r="A2989" t="s">
        <v>3043</v>
      </c>
      <c r="B2989" s="1">
        <v>45709</v>
      </c>
      <c r="C2989">
        <v>2025</v>
      </c>
      <c r="D2989" t="s">
        <v>21</v>
      </c>
      <c r="E2989" t="s">
        <v>241</v>
      </c>
      <c r="F2989" t="s">
        <v>57</v>
      </c>
      <c r="G2989" t="s">
        <v>35</v>
      </c>
      <c r="H2989" t="s">
        <v>48</v>
      </c>
      <c r="I2989" t="s">
        <v>26</v>
      </c>
      <c r="J2989" t="s">
        <v>27</v>
      </c>
      <c r="K2989" t="s">
        <v>32</v>
      </c>
      <c r="L2989" s="2">
        <v>5</v>
      </c>
      <c r="M2989" s="3">
        <v>479</v>
      </c>
      <c r="N2989">
        <v>4</v>
      </c>
      <c r="O2989">
        <v>4</v>
      </c>
      <c r="P2989">
        <v>1</v>
      </c>
      <c r="Q2989">
        <v>0</v>
      </c>
      <c r="R2989" s="4">
        <v>15.8</v>
      </c>
      <c r="S2989">
        <v>0</v>
      </c>
      <c r="T2989">
        <v>1</v>
      </c>
    </row>
    <row r="2990" spans="1:20" ht="16.5" x14ac:dyDescent="0.3">
      <c r="A2990" t="s">
        <v>3044</v>
      </c>
      <c r="B2990" s="1">
        <v>45709</v>
      </c>
      <c r="C2990">
        <v>2025</v>
      </c>
      <c r="D2990" t="s">
        <v>21</v>
      </c>
      <c r="E2990" t="s">
        <v>241</v>
      </c>
      <c r="F2990" t="s">
        <v>57</v>
      </c>
      <c r="G2990" t="s">
        <v>35</v>
      </c>
      <c r="H2990" t="s">
        <v>25</v>
      </c>
      <c r="I2990" t="s">
        <v>31</v>
      </c>
      <c r="J2990" t="s">
        <v>27</v>
      </c>
      <c r="K2990" t="s">
        <v>32</v>
      </c>
      <c r="L2990" s="2">
        <v>1.7</v>
      </c>
      <c r="M2990" s="3">
        <v>739</v>
      </c>
      <c r="N2990">
        <v>6</v>
      </c>
      <c r="O2990">
        <v>6</v>
      </c>
      <c r="P2990">
        <v>1</v>
      </c>
      <c r="Q2990">
        <v>0</v>
      </c>
      <c r="R2990" s="4">
        <v>11.8</v>
      </c>
      <c r="S2990">
        <v>0</v>
      </c>
      <c r="T2990">
        <v>1</v>
      </c>
    </row>
    <row r="2991" spans="1:20" ht="16.5" x14ac:dyDescent="0.3">
      <c r="A2991" t="s">
        <v>3045</v>
      </c>
      <c r="B2991" s="1">
        <v>45710</v>
      </c>
      <c r="C2991">
        <v>2025</v>
      </c>
      <c r="D2991" t="s">
        <v>21</v>
      </c>
      <c r="E2991" t="s">
        <v>241</v>
      </c>
      <c r="F2991" t="s">
        <v>34</v>
      </c>
      <c r="G2991" t="s">
        <v>35</v>
      </c>
      <c r="H2991" t="s">
        <v>25</v>
      </c>
      <c r="I2991" t="s">
        <v>26</v>
      </c>
      <c r="J2991" t="s">
        <v>27</v>
      </c>
      <c r="K2991" t="s">
        <v>28</v>
      </c>
      <c r="L2991" s="2">
        <v>174.2</v>
      </c>
      <c r="M2991" s="3">
        <v>779</v>
      </c>
      <c r="N2991">
        <v>4</v>
      </c>
      <c r="O2991">
        <v>4</v>
      </c>
      <c r="P2991">
        <v>1</v>
      </c>
      <c r="Q2991">
        <v>0</v>
      </c>
      <c r="R2991" s="4">
        <v>74.69</v>
      </c>
      <c r="S2991">
        <v>0</v>
      </c>
      <c r="T2991">
        <v>1</v>
      </c>
    </row>
    <row r="2992" spans="1:20" ht="16.5" x14ac:dyDescent="0.3">
      <c r="A2992" t="s">
        <v>3046</v>
      </c>
      <c r="B2992" s="1">
        <v>45710</v>
      </c>
      <c r="C2992">
        <v>2025</v>
      </c>
      <c r="D2992" t="s">
        <v>21</v>
      </c>
      <c r="E2992" t="s">
        <v>241</v>
      </c>
      <c r="F2992" t="s">
        <v>34</v>
      </c>
      <c r="G2992" t="s">
        <v>35</v>
      </c>
      <c r="H2992" t="s">
        <v>25</v>
      </c>
      <c r="I2992" t="s">
        <v>26</v>
      </c>
      <c r="J2992" t="s">
        <v>27</v>
      </c>
      <c r="K2992" t="s">
        <v>28</v>
      </c>
      <c r="L2992" s="2">
        <v>103.7</v>
      </c>
      <c r="M2992" s="3">
        <v>757</v>
      </c>
      <c r="N2992">
        <v>4</v>
      </c>
      <c r="O2992">
        <v>3</v>
      </c>
      <c r="P2992">
        <v>1</v>
      </c>
      <c r="Q2992">
        <v>0</v>
      </c>
      <c r="R2992" s="4">
        <v>53.46</v>
      </c>
      <c r="S2992">
        <v>0</v>
      </c>
      <c r="T2992">
        <v>1</v>
      </c>
    </row>
    <row r="2993" spans="1:20" ht="16.5" x14ac:dyDescent="0.3">
      <c r="A2993" t="s">
        <v>3047</v>
      </c>
      <c r="B2993" s="1">
        <v>45710</v>
      </c>
      <c r="C2993">
        <v>2025</v>
      </c>
      <c r="D2993" t="s">
        <v>21</v>
      </c>
      <c r="E2993" t="s">
        <v>241</v>
      </c>
      <c r="F2993" t="s">
        <v>38</v>
      </c>
      <c r="G2993" t="s">
        <v>35</v>
      </c>
      <c r="H2993" t="s">
        <v>36</v>
      </c>
      <c r="I2993" t="s">
        <v>26</v>
      </c>
      <c r="J2993" t="s">
        <v>27</v>
      </c>
      <c r="K2993" t="s">
        <v>32</v>
      </c>
      <c r="L2993" s="2">
        <v>1.7</v>
      </c>
      <c r="M2993" s="3">
        <v>197</v>
      </c>
      <c r="N2993">
        <v>3</v>
      </c>
      <c r="O2993">
        <v>6</v>
      </c>
      <c r="P2993">
        <v>0</v>
      </c>
      <c r="Q2993">
        <v>3</v>
      </c>
      <c r="R2993" s="4">
        <v>11.15</v>
      </c>
      <c r="S2993">
        <v>0</v>
      </c>
      <c r="T2993">
        <v>1</v>
      </c>
    </row>
    <row r="2994" spans="1:20" ht="16.5" x14ac:dyDescent="0.3">
      <c r="A2994" t="s">
        <v>3048</v>
      </c>
      <c r="B2994" s="1">
        <v>45710</v>
      </c>
      <c r="C2994">
        <v>2025</v>
      </c>
      <c r="D2994" t="s">
        <v>21</v>
      </c>
      <c r="E2994" t="s">
        <v>241</v>
      </c>
      <c r="F2994" t="s">
        <v>57</v>
      </c>
      <c r="G2994" t="s">
        <v>24</v>
      </c>
      <c r="H2994" t="s">
        <v>51</v>
      </c>
      <c r="I2994" t="s">
        <v>31</v>
      </c>
      <c r="J2994" t="s">
        <v>27</v>
      </c>
      <c r="K2994" t="s">
        <v>28</v>
      </c>
      <c r="L2994" s="2">
        <v>205.5</v>
      </c>
      <c r="M2994" s="3">
        <v>1043</v>
      </c>
      <c r="N2994">
        <v>7</v>
      </c>
      <c r="O2994">
        <v>7</v>
      </c>
      <c r="P2994">
        <v>1</v>
      </c>
      <c r="Q2994">
        <v>0</v>
      </c>
      <c r="R2994" s="4">
        <v>74.89</v>
      </c>
      <c r="S2994">
        <v>0</v>
      </c>
      <c r="T2994">
        <v>1</v>
      </c>
    </row>
    <row r="2995" spans="1:20" ht="16.5" x14ac:dyDescent="0.3">
      <c r="A2995" t="s">
        <v>3049</v>
      </c>
      <c r="B2995" s="1">
        <v>45710</v>
      </c>
      <c r="C2995">
        <v>2025</v>
      </c>
      <c r="D2995" t="s">
        <v>21</v>
      </c>
      <c r="E2995" t="s">
        <v>241</v>
      </c>
      <c r="F2995" t="s">
        <v>38</v>
      </c>
      <c r="G2995" t="s">
        <v>39</v>
      </c>
      <c r="H2995" t="s">
        <v>48</v>
      </c>
      <c r="I2995" t="s">
        <v>31</v>
      </c>
      <c r="J2995" t="s">
        <v>27</v>
      </c>
      <c r="K2995" t="s">
        <v>32</v>
      </c>
      <c r="L2995" s="2">
        <v>17.3</v>
      </c>
      <c r="M2995" s="3">
        <v>645</v>
      </c>
      <c r="N2995">
        <v>6</v>
      </c>
      <c r="O2995">
        <v>6</v>
      </c>
      <c r="P2995">
        <v>1</v>
      </c>
      <c r="Q2995">
        <v>0</v>
      </c>
      <c r="R2995" s="4">
        <v>19.559999999999999</v>
      </c>
      <c r="S2995">
        <v>0</v>
      </c>
      <c r="T2995">
        <v>1</v>
      </c>
    </row>
    <row r="2996" spans="1:20" ht="16.5" x14ac:dyDescent="0.3">
      <c r="A2996" t="s">
        <v>3050</v>
      </c>
      <c r="B2996" s="1">
        <v>45710</v>
      </c>
      <c r="C2996">
        <v>2025</v>
      </c>
      <c r="D2996" t="s">
        <v>21</v>
      </c>
      <c r="E2996" t="s">
        <v>241</v>
      </c>
      <c r="F2996" t="s">
        <v>57</v>
      </c>
      <c r="G2996" t="s">
        <v>24</v>
      </c>
      <c r="H2996" t="s">
        <v>36</v>
      </c>
      <c r="I2996" t="s">
        <v>26</v>
      </c>
      <c r="J2996" t="s">
        <v>27</v>
      </c>
      <c r="K2996" t="s">
        <v>32</v>
      </c>
      <c r="L2996" s="2">
        <v>6.2</v>
      </c>
      <c r="M2996" s="3">
        <v>259</v>
      </c>
      <c r="N2996">
        <v>3</v>
      </c>
      <c r="O2996">
        <v>3</v>
      </c>
      <c r="P2996">
        <v>1</v>
      </c>
      <c r="Q2996">
        <v>0</v>
      </c>
      <c r="R2996" s="4">
        <v>12.42</v>
      </c>
      <c r="S2996">
        <v>0</v>
      </c>
      <c r="T2996">
        <v>1</v>
      </c>
    </row>
    <row r="2997" spans="1:20" ht="16.5" x14ac:dyDescent="0.3">
      <c r="A2997" t="s">
        <v>3051</v>
      </c>
      <c r="B2997" s="1">
        <v>45711</v>
      </c>
      <c r="C2997">
        <v>2025</v>
      </c>
      <c r="D2997" t="s">
        <v>21</v>
      </c>
      <c r="E2997" t="s">
        <v>241</v>
      </c>
      <c r="F2997" t="s">
        <v>34</v>
      </c>
      <c r="G2997" t="s">
        <v>39</v>
      </c>
      <c r="H2997" t="s">
        <v>43</v>
      </c>
      <c r="I2997" t="s">
        <v>40</v>
      </c>
      <c r="J2997" t="s">
        <v>41</v>
      </c>
      <c r="K2997" t="s">
        <v>28</v>
      </c>
      <c r="L2997" s="2">
        <v>53.9</v>
      </c>
      <c r="M2997" s="3">
        <v>1288</v>
      </c>
      <c r="N2997">
        <v>3</v>
      </c>
      <c r="O2997">
        <v>4</v>
      </c>
      <c r="P2997">
        <v>0</v>
      </c>
      <c r="Q2997">
        <v>1</v>
      </c>
      <c r="R2997" s="4">
        <v>134.33000000000001</v>
      </c>
      <c r="S2997">
        <v>0</v>
      </c>
      <c r="T2997">
        <v>1</v>
      </c>
    </row>
    <row r="2998" spans="1:20" ht="16.5" x14ac:dyDescent="0.3">
      <c r="A2998" t="s">
        <v>3052</v>
      </c>
      <c r="B2998" s="1">
        <v>45711</v>
      </c>
      <c r="C2998">
        <v>2025</v>
      </c>
      <c r="D2998" t="s">
        <v>21</v>
      </c>
      <c r="E2998" t="s">
        <v>241</v>
      </c>
      <c r="F2998" t="s">
        <v>30</v>
      </c>
      <c r="G2998" t="s">
        <v>35</v>
      </c>
      <c r="H2998" t="s">
        <v>25</v>
      </c>
      <c r="I2998" t="s">
        <v>31</v>
      </c>
      <c r="J2998" t="s">
        <v>27</v>
      </c>
      <c r="K2998" t="s">
        <v>32</v>
      </c>
      <c r="L2998" s="2">
        <v>11.6</v>
      </c>
      <c r="M2998" s="3">
        <v>751</v>
      </c>
      <c r="N2998">
        <v>6</v>
      </c>
      <c r="O2998">
        <v>6</v>
      </c>
      <c r="P2998">
        <v>1</v>
      </c>
      <c r="Q2998">
        <v>0</v>
      </c>
      <c r="R2998" s="4">
        <v>17.059999999999999</v>
      </c>
      <c r="S2998">
        <v>0</v>
      </c>
      <c r="T2998">
        <v>1</v>
      </c>
    </row>
    <row r="2999" spans="1:20" ht="16.5" x14ac:dyDescent="0.3">
      <c r="A2999" t="s">
        <v>3053</v>
      </c>
      <c r="B2999" s="1">
        <v>45711</v>
      </c>
      <c r="C2999">
        <v>2025</v>
      </c>
      <c r="D2999" t="s">
        <v>21</v>
      </c>
      <c r="E2999" t="s">
        <v>241</v>
      </c>
      <c r="F2999" t="s">
        <v>34</v>
      </c>
      <c r="G2999" t="s">
        <v>24</v>
      </c>
      <c r="H2999" t="s">
        <v>25</v>
      </c>
      <c r="I2999" t="s">
        <v>40</v>
      </c>
      <c r="J2999" t="s">
        <v>41</v>
      </c>
      <c r="K2999" t="s">
        <v>32</v>
      </c>
      <c r="L2999" s="2">
        <v>4.2</v>
      </c>
      <c r="M2999" s="3">
        <v>961</v>
      </c>
      <c r="N2999">
        <v>2</v>
      </c>
      <c r="O2999">
        <v>1</v>
      </c>
      <c r="P2999">
        <v>1</v>
      </c>
      <c r="Q2999">
        <v>0</v>
      </c>
      <c r="R2999" s="4">
        <v>55.55</v>
      </c>
      <c r="S2999">
        <v>0</v>
      </c>
      <c r="T2999">
        <v>1</v>
      </c>
    </row>
    <row r="3000" spans="1:20" ht="16.5" x14ac:dyDescent="0.3">
      <c r="A3000" t="s">
        <v>3054</v>
      </c>
      <c r="B3000" s="1">
        <v>45712</v>
      </c>
      <c r="C3000">
        <v>2025</v>
      </c>
      <c r="D3000" t="s">
        <v>21</v>
      </c>
      <c r="E3000" t="s">
        <v>241</v>
      </c>
      <c r="F3000" t="s">
        <v>30</v>
      </c>
      <c r="G3000" t="s">
        <v>35</v>
      </c>
      <c r="H3000" t="s">
        <v>36</v>
      </c>
      <c r="I3000" t="s">
        <v>26</v>
      </c>
      <c r="J3000" t="s">
        <v>27</v>
      </c>
      <c r="K3000" t="s">
        <v>32</v>
      </c>
      <c r="L3000" s="2">
        <v>2.1</v>
      </c>
      <c r="M3000" s="3">
        <v>257</v>
      </c>
      <c r="N3000">
        <v>3</v>
      </c>
      <c r="O3000">
        <v>2</v>
      </c>
      <c r="P3000">
        <v>1</v>
      </c>
      <c r="Q3000">
        <v>0</v>
      </c>
      <c r="R3000" s="4">
        <v>10.36</v>
      </c>
      <c r="S3000">
        <v>0</v>
      </c>
      <c r="T3000">
        <v>1</v>
      </c>
    </row>
    <row r="3001" spans="1:20" ht="16.5" x14ac:dyDescent="0.3">
      <c r="A3001" t="s">
        <v>3055</v>
      </c>
      <c r="B3001" s="1">
        <v>45712</v>
      </c>
      <c r="C3001">
        <v>2025</v>
      </c>
      <c r="D3001" t="s">
        <v>21</v>
      </c>
      <c r="E3001" t="s">
        <v>241</v>
      </c>
      <c r="F3001" t="s">
        <v>57</v>
      </c>
      <c r="G3001" t="s">
        <v>39</v>
      </c>
      <c r="H3001" t="s">
        <v>43</v>
      </c>
      <c r="I3001" t="s">
        <v>26</v>
      </c>
      <c r="J3001" t="s">
        <v>27</v>
      </c>
      <c r="K3001" t="s">
        <v>32</v>
      </c>
      <c r="L3001" s="2">
        <v>4.3</v>
      </c>
      <c r="M3001" s="3">
        <v>1224</v>
      </c>
      <c r="N3001">
        <v>5</v>
      </c>
      <c r="O3001">
        <v>5</v>
      </c>
      <c r="P3001">
        <v>1</v>
      </c>
      <c r="Q3001">
        <v>0</v>
      </c>
      <c r="R3001" s="4">
        <v>23.9</v>
      </c>
      <c r="S3001">
        <v>0</v>
      </c>
      <c r="T3001">
        <v>1</v>
      </c>
    </row>
    <row r="3002" spans="1:20" ht="16.5" x14ac:dyDescent="0.3">
      <c r="A3002" t="s">
        <v>3056</v>
      </c>
      <c r="B3002" s="1">
        <v>45712</v>
      </c>
      <c r="C3002">
        <v>2025</v>
      </c>
      <c r="D3002" t="s">
        <v>21</v>
      </c>
      <c r="E3002" t="s">
        <v>241</v>
      </c>
      <c r="F3002" t="s">
        <v>34</v>
      </c>
      <c r="G3002" t="s">
        <v>35</v>
      </c>
      <c r="H3002" t="s">
        <v>51</v>
      </c>
      <c r="I3002" t="s">
        <v>31</v>
      </c>
      <c r="J3002" t="s">
        <v>27</v>
      </c>
      <c r="K3002" t="s">
        <v>32</v>
      </c>
      <c r="L3002" s="2">
        <v>5.6</v>
      </c>
      <c r="M3002" s="3">
        <v>769</v>
      </c>
      <c r="N3002">
        <v>7</v>
      </c>
      <c r="O3002">
        <v>6</v>
      </c>
      <c r="P3002">
        <v>1</v>
      </c>
      <c r="Q3002">
        <v>0</v>
      </c>
      <c r="R3002" s="4">
        <v>10.68</v>
      </c>
      <c r="S3002">
        <v>0</v>
      </c>
      <c r="T3002">
        <v>1</v>
      </c>
    </row>
    <row r="3003" spans="1:20" ht="16.5" x14ac:dyDescent="0.3">
      <c r="A3003" t="s">
        <v>3057</v>
      </c>
      <c r="B3003" s="1">
        <v>45712</v>
      </c>
      <c r="C3003">
        <v>2025</v>
      </c>
      <c r="D3003" t="s">
        <v>21</v>
      </c>
      <c r="E3003" t="s">
        <v>241</v>
      </c>
      <c r="F3003" t="s">
        <v>30</v>
      </c>
      <c r="G3003" t="s">
        <v>39</v>
      </c>
      <c r="H3003" t="s">
        <v>36</v>
      </c>
      <c r="I3003" t="s">
        <v>26</v>
      </c>
      <c r="J3003" t="s">
        <v>27</v>
      </c>
      <c r="K3003" t="s">
        <v>32</v>
      </c>
      <c r="L3003" s="2">
        <v>10.199999999999999</v>
      </c>
      <c r="M3003" s="3">
        <v>327</v>
      </c>
      <c r="N3003">
        <v>3</v>
      </c>
      <c r="O3003">
        <v>3</v>
      </c>
      <c r="P3003">
        <v>1</v>
      </c>
      <c r="Q3003">
        <v>0</v>
      </c>
      <c r="R3003" s="4">
        <v>18.690000000000001</v>
      </c>
      <c r="S3003">
        <v>0</v>
      </c>
      <c r="T3003">
        <v>1</v>
      </c>
    </row>
    <row r="3004" spans="1:20" ht="16.5" x14ac:dyDescent="0.3">
      <c r="A3004" t="s">
        <v>3058</v>
      </c>
      <c r="B3004" s="1">
        <v>45712</v>
      </c>
      <c r="C3004">
        <v>2025</v>
      </c>
      <c r="D3004" t="s">
        <v>21</v>
      </c>
      <c r="E3004" t="s">
        <v>241</v>
      </c>
      <c r="F3004" t="s">
        <v>57</v>
      </c>
      <c r="G3004" t="s">
        <v>24</v>
      </c>
      <c r="H3004" t="s">
        <v>25</v>
      </c>
      <c r="I3004" t="s">
        <v>40</v>
      </c>
      <c r="J3004" t="s">
        <v>41</v>
      </c>
      <c r="K3004" t="s">
        <v>32</v>
      </c>
      <c r="L3004" s="2">
        <v>9.1999999999999993</v>
      </c>
      <c r="M3004" s="3">
        <v>944</v>
      </c>
      <c r="N3004">
        <v>2</v>
      </c>
      <c r="O3004">
        <v>1</v>
      </c>
      <c r="P3004">
        <v>1</v>
      </c>
      <c r="Q3004">
        <v>0</v>
      </c>
      <c r="R3004" s="4">
        <v>75.33</v>
      </c>
      <c r="S3004">
        <v>0</v>
      </c>
      <c r="T3004">
        <v>1</v>
      </c>
    </row>
    <row r="3005" spans="1:20" ht="16.5" x14ac:dyDescent="0.3">
      <c r="A3005" t="s">
        <v>3059</v>
      </c>
      <c r="B3005" s="1">
        <v>45712</v>
      </c>
      <c r="C3005">
        <v>2025</v>
      </c>
      <c r="D3005" t="s">
        <v>21</v>
      </c>
      <c r="E3005" t="s">
        <v>241</v>
      </c>
      <c r="F3005" t="s">
        <v>23</v>
      </c>
      <c r="G3005" t="s">
        <v>35</v>
      </c>
      <c r="H3005" t="s">
        <v>36</v>
      </c>
      <c r="I3005" t="s">
        <v>26</v>
      </c>
      <c r="J3005" t="s">
        <v>27</v>
      </c>
      <c r="K3005" t="s">
        <v>32</v>
      </c>
      <c r="L3005" s="2">
        <v>2.4</v>
      </c>
      <c r="M3005" s="3">
        <v>230</v>
      </c>
      <c r="N3005">
        <v>3</v>
      </c>
      <c r="O3005">
        <v>3</v>
      </c>
      <c r="P3005">
        <v>1</v>
      </c>
      <c r="Q3005">
        <v>0</v>
      </c>
      <c r="R3005" s="4">
        <v>9.98</v>
      </c>
      <c r="S3005">
        <v>0</v>
      </c>
      <c r="T3005">
        <v>1</v>
      </c>
    </row>
    <row r="3006" spans="1:20" ht="16.5" x14ac:dyDescent="0.3">
      <c r="A3006" t="s">
        <v>3060</v>
      </c>
      <c r="B3006" s="1">
        <v>45712</v>
      </c>
      <c r="C3006">
        <v>2025</v>
      </c>
      <c r="D3006" t="s">
        <v>21</v>
      </c>
      <c r="E3006" t="s">
        <v>241</v>
      </c>
      <c r="F3006" t="s">
        <v>57</v>
      </c>
      <c r="G3006" t="s">
        <v>39</v>
      </c>
      <c r="H3006" t="s">
        <v>43</v>
      </c>
      <c r="I3006" t="s">
        <v>26</v>
      </c>
      <c r="J3006" t="s">
        <v>27</v>
      </c>
      <c r="K3006" t="s">
        <v>28</v>
      </c>
      <c r="L3006" s="2">
        <v>150.1</v>
      </c>
      <c r="M3006" s="3">
        <v>1069</v>
      </c>
      <c r="N3006">
        <v>5</v>
      </c>
      <c r="O3006">
        <v>5</v>
      </c>
      <c r="P3006">
        <v>1</v>
      </c>
      <c r="Q3006">
        <v>0</v>
      </c>
      <c r="R3006" s="4">
        <v>85.47</v>
      </c>
      <c r="S3006">
        <v>0</v>
      </c>
      <c r="T3006">
        <v>1</v>
      </c>
    </row>
    <row r="3007" spans="1:20" ht="16.5" x14ac:dyDescent="0.3">
      <c r="A3007" t="s">
        <v>3061</v>
      </c>
      <c r="B3007" s="1">
        <v>45712</v>
      </c>
      <c r="C3007">
        <v>2025</v>
      </c>
      <c r="D3007" t="s">
        <v>21</v>
      </c>
      <c r="E3007" t="s">
        <v>241</v>
      </c>
      <c r="F3007" t="s">
        <v>57</v>
      </c>
      <c r="G3007" t="s">
        <v>39</v>
      </c>
      <c r="H3007" t="s">
        <v>43</v>
      </c>
      <c r="I3007" t="s">
        <v>26</v>
      </c>
      <c r="J3007" t="s">
        <v>27</v>
      </c>
      <c r="K3007" t="s">
        <v>28</v>
      </c>
      <c r="L3007" s="2">
        <v>205.5</v>
      </c>
      <c r="M3007" s="3">
        <v>1114</v>
      </c>
      <c r="N3007">
        <v>5</v>
      </c>
      <c r="O3007">
        <v>4</v>
      </c>
      <c r="P3007">
        <v>1</v>
      </c>
      <c r="Q3007">
        <v>0</v>
      </c>
      <c r="R3007" s="4">
        <v>105.61</v>
      </c>
      <c r="S3007">
        <v>0</v>
      </c>
      <c r="T3007">
        <v>1</v>
      </c>
    </row>
    <row r="3008" spans="1:20" ht="16.5" x14ac:dyDescent="0.3">
      <c r="A3008" t="s">
        <v>3062</v>
      </c>
      <c r="B3008" s="1">
        <v>45713</v>
      </c>
      <c r="C3008">
        <v>2025</v>
      </c>
      <c r="D3008" t="s">
        <v>21</v>
      </c>
      <c r="E3008" t="s">
        <v>241</v>
      </c>
      <c r="F3008" t="s">
        <v>38</v>
      </c>
      <c r="G3008" t="s">
        <v>39</v>
      </c>
      <c r="H3008" t="s">
        <v>48</v>
      </c>
      <c r="I3008" t="s">
        <v>31</v>
      </c>
      <c r="J3008" t="s">
        <v>27</v>
      </c>
      <c r="K3008" t="s">
        <v>32</v>
      </c>
      <c r="L3008" s="2">
        <v>3.8</v>
      </c>
      <c r="M3008" s="3">
        <v>547</v>
      </c>
      <c r="N3008">
        <v>6</v>
      </c>
      <c r="O3008">
        <v>5</v>
      </c>
      <c r="P3008">
        <v>1</v>
      </c>
      <c r="Q3008">
        <v>0</v>
      </c>
      <c r="R3008" s="4">
        <v>12.68</v>
      </c>
      <c r="S3008">
        <v>0</v>
      </c>
      <c r="T3008">
        <v>1</v>
      </c>
    </row>
    <row r="3009" spans="1:20" ht="16.5" x14ac:dyDescent="0.3">
      <c r="A3009" t="s">
        <v>3063</v>
      </c>
      <c r="B3009" s="1">
        <v>45713</v>
      </c>
      <c r="C3009">
        <v>2025</v>
      </c>
      <c r="D3009" t="s">
        <v>21</v>
      </c>
      <c r="E3009" t="s">
        <v>241</v>
      </c>
      <c r="F3009" t="s">
        <v>38</v>
      </c>
      <c r="G3009" t="s">
        <v>39</v>
      </c>
      <c r="H3009" t="s">
        <v>25</v>
      </c>
      <c r="I3009" t="s">
        <v>26</v>
      </c>
      <c r="J3009" t="s">
        <v>27</v>
      </c>
      <c r="K3009" t="s">
        <v>28</v>
      </c>
      <c r="L3009" s="2">
        <v>63.4</v>
      </c>
      <c r="M3009" s="3">
        <v>880</v>
      </c>
      <c r="N3009">
        <v>4</v>
      </c>
      <c r="O3009">
        <v>4</v>
      </c>
      <c r="P3009">
        <v>1</v>
      </c>
      <c r="Q3009">
        <v>0</v>
      </c>
      <c r="R3009" s="4">
        <v>55.47</v>
      </c>
      <c r="S3009">
        <v>0</v>
      </c>
      <c r="T3009">
        <v>1</v>
      </c>
    </row>
    <row r="3010" spans="1:20" ht="16.5" x14ac:dyDescent="0.3">
      <c r="A3010" t="s">
        <v>3064</v>
      </c>
      <c r="B3010" s="1">
        <v>45713</v>
      </c>
      <c r="C3010">
        <v>2025</v>
      </c>
      <c r="D3010" t="s">
        <v>21</v>
      </c>
      <c r="E3010" t="s">
        <v>241</v>
      </c>
      <c r="F3010" t="s">
        <v>34</v>
      </c>
      <c r="G3010" t="s">
        <v>39</v>
      </c>
      <c r="H3010" t="s">
        <v>51</v>
      </c>
      <c r="I3010" t="s">
        <v>26</v>
      </c>
      <c r="J3010" t="s">
        <v>27</v>
      </c>
      <c r="K3010" t="s">
        <v>28</v>
      </c>
      <c r="L3010" s="2">
        <v>165.3</v>
      </c>
      <c r="M3010" s="3">
        <v>998</v>
      </c>
      <c r="N3010">
        <v>5</v>
      </c>
      <c r="O3010">
        <v>4</v>
      </c>
      <c r="P3010">
        <v>1</v>
      </c>
      <c r="Q3010">
        <v>0</v>
      </c>
      <c r="R3010" s="4">
        <v>74.17</v>
      </c>
      <c r="S3010">
        <v>0</v>
      </c>
      <c r="T3010">
        <v>1</v>
      </c>
    </row>
    <row r="3011" spans="1:20" ht="16.5" x14ac:dyDescent="0.3">
      <c r="A3011" t="s">
        <v>3065</v>
      </c>
      <c r="B3011" s="1">
        <v>45713</v>
      </c>
      <c r="C3011">
        <v>2025</v>
      </c>
      <c r="D3011" t="s">
        <v>21</v>
      </c>
      <c r="E3011" t="s">
        <v>241</v>
      </c>
      <c r="F3011" t="s">
        <v>34</v>
      </c>
      <c r="G3011" t="s">
        <v>35</v>
      </c>
      <c r="H3011" t="s">
        <v>36</v>
      </c>
      <c r="I3011" t="s">
        <v>31</v>
      </c>
      <c r="J3011" t="s">
        <v>27</v>
      </c>
      <c r="K3011" t="s">
        <v>32</v>
      </c>
      <c r="L3011" s="2">
        <v>6.2</v>
      </c>
      <c r="M3011" s="3">
        <v>201</v>
      </c>
      <c r="N3011">
        <v>5</v>
      </c>
      <c r="O3011">
        <v>6</v>
      </c>
      <c r="P3011">
        <v>0</v>
      </c>
      <c r="Q3011">
        <v>1</v>
      </c>
      <c r="R3011" s="4">
        <v>7.24</v>
      </c>
      <c r="S3011">
        <v>0</v>
      </c>
      <c r="T3011">
        <v>1</v>
      </c>
    </row>
    <row r="3012" spans="1:20" ht="16.5" x14ac:dyDescent="0.3">
      <c r="A3012" t="s">
        <v>3066</v>
      </c>
      <c r="B3012" s="1">
        <v>45713</v>
      </c>
      <c r="C3012">
        <v>2025</v>
      </c>
      <c r="D3012" t="s">
        <v>21</v>
      </c>
      <c r="E3012" t="s">
        <v>241</v>
      </c>
      <c r="F3012" t="s">
        <v>30</v>
      </c>
      <c r="G3012" t="s">
        <v>24</v>
      </c>
      <c r="H3012" t="s">
        <v>48</v>
      </c>
      <c r="I3012" t="s">
        <v>26</v>
      </c>
      <c r="J3012" t="s">
        <v>27</v>
      </c>
      <c r="K3012" t="s">
        <v>32</v>
      </c>
      <c r="L3012" s="2">
        <v>6.7</v>
      </c>
      <c r="M3012" s="3">
        <v>463</v>
      </c>
      <c r="N3012">
        <v>4</v>
      </c>
      <c r="O3012">
        <v>3</v>
      </c>
      <c r="P3012">
        <v>1</v>
      </c>
      <c r="Q3012">
        <v>0</v>
      </c>
      <c r="R3012" s="4">
        <v>16.600000000000001</v>
      </c>
      <c r="S3012">
        <v>1</v>
      </c>
      <c r="T3012">
        <v>1</v>
      </c>
    </row>
    <row r="3013" spans="1:20" ht="16.5" x14ac:dyDescent="0.3">
      <c r="A3013" t="s">
        <v>3067</v>
      </c>
      <c r="B3013" s="1">
        <v>45714</v>
      </c>
      <c r="C3013">
        <v>2025</v>
      </c>
      <c r="D3013" t="s">
        <v>21</v>
      </c>
      <c r="E3013" t="s">
        <v>241</v>
      </c>
      <c r="F3013" t="s">
        <v>57</v>
      </c>
      <c r="G3013" t="s">
        <v>39</v>
      </c>
      <c r="H3013" t="s">
        <v>48</v>
      </c>
      <c r="I3013" t="s">
        <v>26</v>
      </c>
      <c r="J3013" t="s">
        <v>27</v>
      </c>
      <c r="K3013" t="s">
        <v>32</v>
      </c>
      <c r="L3013" s="2">
        <v>1.5</v>
      </c>
      <c r="M3013" s="3">
        <v>509</v>
      </c>
      <c r="N3013">
        <v>4</v>
      </c>
      <c r="O3013">
        <v>3</v>
      </c>
      <c r="P3013">
        <v>1</v>
      </c>
      <c r="Q3013">
        <v>0</v>
      </c>
      <c r="R3013" s="4">
        <v>15.66</v>
      </c>
      <c r="S3013">
        <v>0</v>
      </c>
      <c r="T3013">
        <v>1</v>
      </c>
    </row>
    <row r="3014" spans="1:20" ht="16.5" x14ac:dyDescent="0.3">
      <c r="A3014" t="s">
        <v>3068</v>
      </c>
      <c r="B3014" s="1">
        <v>45714</v>
      </c>
      <c r="C3014">
        <v>2025</v>
      </c>
      <c r="D3014" t="s">
        <v>21</v>
      </c>
      <c r="E3014" t="s">
        <v>241</v>
      </c>
      <c r="F3014" t="s">
        <v>38</v>
      </c>
      <c r="G3014" t="s">
        <v>24</v>
      </c>
      <c r="H3014" t="s">
        <v>25</v>
      </c>
      <c r="I3014" t="s">
        <v>40</v>
      </c>
      <c r="J3014" t="s">
        <v>41</v>
      </c>
      <c r="K3014" t="s">
        <v>28</v>
      </c>
      <c r="L3014" s="2">
        <v>211.8</v>
      </c>
      <c r="M3014" s="3">
        <v>926</v>
      </c>
      <c r="N3014">
        <v>2</v>
      </c>
      <c r="O3014">
        <v>2</v>
      </c>
      <c r="P3014">
        <v>1</v>
      </c>
      <c r="Q3014">
        <v>0</v>
      </c>
      <c r="R3014" s="4">
        <v>322.83999999999997</v>
      </c>
      <c r="S3014">
        <v>0</v>
      </c>
      <c r="T3014">
        <v>1</v>
      </c>
    </row>
    <row r="3015" spans="1:20" ht="16.5" x14ac:dyDescent="0.3">
      <c r="A3015" t="s">
        <v>3069</v>
      </c>
      <c r="B3015" s="1">
        <v>45714</v>
      </c>
      <c r="C3015">
        <v>2025</v>
      </c>
      <c r="D3015" t="s">
        <v>21</v>
      </c>
      <c r="E3015" t="s">
        <v>241</v>
      </c>
      <c r="F3015" t="s">
        <v>57</v>
      </c>
      <c r="G3015" t="s">
        <v>35</v>
      </c>
      <c r="H3015" t="s">
        <v>25</v>
      </c>
      <c r="I3015" t="s">
        <v>26</v>
      </c>
      <c r="J3015" t="s">
        <v>27</v>
      </c>
      <c r="K3015" t="s">
        <v>28</v>
      </c>
      <c r="L3015" s="2">
        <v>117.8</v>
      </c>
      <c r="M3015" s="3">
        <v>791</v>
      </c>
      <c r="N3015">
        <v>4</v>
      </c>
      <c r="O3015">
        <v>4</v>
      </c>
      <c r="P3015">
        <v>1</v>
      </c>
      <c r="Q3015">
        <v>0</v>
      </c>
      <c r="R3015" s="4">
        <v>58.69</v>
      </c>
      <c r="S3015">
        <v>0</v>
      </c>
      <c r="T3015">
        <v>1</v>
      </c>
    </row>
    <row r="3016" spans="1:20" ht="16.5" x14ac:dyDescent="0.3">
      <c r="A3016" t="s">
        <v>3070</v>
      </c>
      <c r="B3016" s="1">
        <v>45714</v>
      </c>
      <c r="C3016">
        <v>2025</v>
      </c>
      <c r="D3016" t="s">
        <v>21</v>
      </c>
      <c r="E3016" t="s">
        <v>241</v>
      </c>
      <c r="F3016" t="s">
        <v>30</v>
      </c>
      <c r="G3016" t="s">
        <v>39</v>
      </c>
      <c r="H3016" t="s">
        <v>48</v>
      </c>
      <c r="I3016" t="s">
        <v>31</v>
      </c>
      <c r="J3016" t="s">
        <v>27</v>
      </c>
      <c r="K3016" t="s">
        <v>28</v>
      </c>
      <c r="L3016" s="2">
        <v>511.4</v>
      </c>
      <c r="M3016" s="3">
        <v>474</v>
      </c>
      <c r="N3016">
        <v>6</v>
      </c>
      <c r="O3016">
        <v>6</v>
      </c>
      <c r="P3016">
        <v>1</v>
      </c>
      <c r="Q3016">
        <v>0</v>
      </c>
      <c r="R3016" s="4">
        <v>143.51</v>
      </c>
      <c r="S3016">
        <v>0</v>
      </c>
      <c r="T3016">
        <v>1</v>
      </c>
    </row>
    <row r="3017" spans="1:20" ht="16.5" x14ac:dyDescent="0.3">
      <c r="A3017" t="s">
        <v>3071</v>
      </c>
      <c r="B3017" s="1">
        <v>45715</v>
      </c>
      <c r="C3017">
        <v>2025</v>
      </c>
      <c r="D3017" t="s">
        <v>21</v>
      </c>
      <c r="E3017" t="s">
        <v>241</v>
      </c>
      <c r="F3017" t="s">
        <v>34</v>
      </c>
      <c r="G3017" t="s">
        <v>39</v>
      </c>
      <c r="H3017" t="s">
        <v>25</v>
      </c>
      <c r="I3017" t="s">
        <v>31</v>
      </c>
      <c r="J3017" t="s">
        <v>27</v>
      </c>
      <c r="K3017" t="s">
        <v>32</v>
      </c>
      <c r="L3017" s="2">
        <v>3</v>
      </c>
      <c r="M3017" s="3">
        <v>821</v>
      </c>
      <c r="N3017">
        <v>6</v>
      </c>
      <c r="O3017">
        <v>6</v>
      </c>
      <c r="P3017">
        <v>1</v>
      </c>
      <c r="Q3017">
        <v>0</v>
      </c>
      <c r="R3017" s="4">
        <v>11.62</v>
      </c>
      <c r="S3017">
        <v>0</v>
      </c>
      <c r="T3017">
        <v>1</v>
      </c>
    </row>
    <row r="3018" spans="1:20" ht="16.5" x14ac:dyDescent="0.3">
      <c r="A3018" t="s">
        <v>3072</v>
      </c>
      <c r="B3018" s="1">
        <v>45715</v>
      </c>
      <c r="C3018">
        <v>2025</v>
      </c>
      <c r="D3018" t="s">
        <v>21</v>
      </c>
      <c r="E3018" t="s">
        <v>241</v>
      </c>
      <c r="F3018" t="s">
        <v>34</v>
      </c>
      <c r="G3018" t="s">
        <v>35</v>
      </c>
      <c r="H3018" t="s">
        <v>48</v>
      </c>
      <c r="I3018" t="s">
        <v>26</v>
      </c>
      <c r="J3018" t="s">
        <v>27</v>
      </c>
      <c r="K3018" t="s">
        <v>28</v>
      </c>
      <c r="L3018" s="2">
        <v>38.799999999999997</v>
      </c>
      <c r="M3018" s="3">
        <v>505</v>
      </c>
      <c r="N3018">
        <v>4</v>
      </c>
      <c r="O3018">
        <v>4</v>
      </c>
      <c r="P3018">
        <v>1</v>
      </c>
      <c r="Q3018">
        <v>0</v>
      </c>
      <c r="R3018" s="4">
        <v>26.41</v>
      </c>
      <c r="S3018">
        <v>0</v>
      </c>
      <c r="T3018">
        <v>1</v>
      </c>
    </row>
    <row r="3019" spans="1:20" ht="16.5" x14ac:dyDescent="0.3">
      <c r="A3019" t="s">
        <v>3073</v>
      </c>
      <c r="B3019" s="1">
        <v>45715</v>
      </c>
      <c r="C3019">
        <v>2025</v>
      </c>
      <c r="D3019" t="s">
        <v>21</v>
      </c>
      <c r="E3019" t="s">
        <v>241</v>
      </c>
      <c r="F3019" t="s">
        <v>57</v>
      </c>
      <c r="G3019" t="s">
        <v>35</v>
      </c>
      <c r="H3019" t="s">
        <v>48</v>
      </c>
      <c r="I3019" t="s">
        <v>31</v>
      </c>
      <c r="J3019" t="s">
        <v>27</v>
      </c>
      <c r="K3019" t="s">
        <v>28</v>
      </c>
      <c r="L3019" s="2">
        <v>25.1</v>
      </c>
      <c r="M3019" s="3">
        <v>435</v>
      </c>
      <c r="N3019">
        <v>6</v>
      </c>
      <c r="O3019">
        <v>6</v>
      </c>
      <c r="P3019">
        <v>1</v>
      </c>
      <c r="Q3019">
        <v>0</v>
      </c>
      <c r="R3019" s="4">
        <v>17.96</v>
      </c>
      <c r="S3019">
        <v>0</v>
      </c>
      <c r="T3019">
        <v>1</v>
      </c>
    </row>
    <row r="3020" spans="1:20" ht="16.5" x14ac:dyDescent="0.3">
      <c r="A3020" t="s">
        <v>3074</v>
      </c>
      <c r="B3020" s="1">
        <v>45715</v>
      </c>
      <c r="C3020">
        <v>2025</v>
      </c>
      <c r="D3020" t="s">
        <v>21</v>
      </c>
      <c r="E3020" t="s">
        <v>241</v>
      </c>
      <c r="F3020" t="s">
        <v>34</v>
      </c>
      <c r="G3020" t="s">
        <v>24</v>
      </c>
      <c r="H3020" t="s">
        <v>36</v>
      </c>
      <c r="I3020" t="s">
        <v>40</v>
      </c>
      <c r="J3020" t="s">
        <v>27</v>
      </c>
      <c r="K3020" t="s">
        <v>32</v>
      </c>
      <c r="L3020" s="2">
        <v>5.3</v>
      </c>
      <c r="M3020" s="3">
        <v>222</v>
      </c>
      <c r="N3020">
        <v>1</v>
      </c>
      <c r="O3020">
        <v>1</v>
      </c>
      <c r="P3020">
        <v>1</v>
      </c>
      <c r="Q3020">
        <v>0</v>
      </c>
      <c r="R3020" s="4">
        <v>20.13</v>
      </c>
      <c r="S3020">
        <v>0</v>
      </c>
      <c r="T3020">
        <v>1</v>
      </c>
    </row>
    <row r="3021" spans="1:20" ht="16.5" x14ac:dyDescent="0.3">
      <c r="A3021" t="s">
        <v>3075</v>
      </c>
      <c r="B3021" s="1">
        <v>45716</v>
      </c>
      <c r="C3021">
        <v>2025</v>
      </c>
      <c r="D3021" t="s">
        <v>21</v>
      </c>
      <c r="E3021" t="s">
        <v>241</v>
      </c>
      <c r="F3021" t="s">
        <v>57</v>
      </c>
      <c r="G3021" t="s">
        <v>39</v>
      </c>
      <c r="H3021" t="s">
        <v>36</v>
      </c>
      <c r="I3021" t="s">
        <v>26</v>
      </c>
      <c r="J3021" t="s">
        <v>27</v>
      </c>
      <c r="K3021" t="s">
        <v>28</v>
      </c>
      <c r="L3021" s="2">
        <v>49.1</v>
      </c>
      <c r="M3021" s="3">
        <v>232</v>
      </c>
      <c r="N3021">
        <v>3</v>
      </c>
      <c r="O3021">
        <v>3</v>
      </c>
      <c r="P3021">
        <v>1</v>
      </c>
      <c r="Q3021">
        <v>0</v>
      </c>
      <c r="R3021" s="4">
        <v>34.75</v>
      </c>
      <c r="S3021">
        <v>0</v>
      </c>
      <c r="T3021">
        <v>1</v>
      </c>
    </row>
    <row r="3022" spans="1:20" ht="16.5" x14ac:dyDescent="0.3">
      <c r="A3022" t="s">
        <v>3076</v>
      </c>
      <c r="B3022" s="1">
        <v>45716</v>
      </c>
      <c r="C3022">
        <v>2025</v>
      </c>
      <c r="D3022" t="s">
        <v>21</v>
      </c>
      <c r="E3022" t="s">
        <v>241</v>
      </c>
      <c r="F3022" t="s">
        <v>23</v>
      </c>
      <c r="G3022" t="s">
        <v>24</v>
      </c>
      <c r="H3022" t="s">
        <v>36</v>
      </c>
      <c r="I3022" t="s">
        <v>26</v>
      </c>
      <c r="J3022" t="s">
        <v>27</v>
      </c>
      <c r="K3022" t="s">
        <v>32</v>
      </c>
      <c r="L3022" s="2">
        <v>1.6</v>
      </c>
      <c r="M3022" s="3">
        <v>227</v>
      </c>
      <c r="N3022">
        <v>3</v>
      </c>
      <c r="O3022">
        <v>3</v>
      </c>
      <c r="P3022">
        <v>1</v>
      </c>
      <c r="Q3022">
        <v>0</v>
      </c>
      <c r="R3022" s="4">
        <v>9.32</v>
      </c>
      <c r="S3022">
        <v>0</v>
      </c>
      <c r="T3022">
        <v>1</v>
      </c>
    </row>
    <row r="3023" spans="1:20" ht="16.5" x14ac:dyDescent="0.3">
      <c r="A3023" t="s">
        <v>3077</v>
      </c>
      <c r="B3023" s="1">
        <v>45716</v>
      </c>
      <c r="C3023">
        <v>2025</v>
      </c>
      <c r="D3023" t="s">
        <v>21</v>
      </c>
      <c r="E3023" t="s">
        <v>241</v>
      </c>
      <c r="F3023" t="s">
        <v>38</v>
      </c>
      <c r="G3023" t="s">
        <v>39</v>
      </c>
      <c r="H3023" t="s">
        <v>48</v>
      </c>
      <c r="I3023" t="s">
        <v>26</v>
      </c>
      <c r="J3023" t="s">
        <v>27</v>
      </c>
      <c r="K3023" t="s">
        <v>28</v>
      </c>
      <c r="L3023" s="2">
        <v>373.4</v>
      </c>
      <c r="M3023" s="3">
        <v>520</v>
      </c>
      <c r="N3023">
        <v>4</v>
      </c>
      <c r="O3023">
        <v>4</v>
      </c>
      <c r="P3023">
        <v>1</v>
      </c>
      <c r="Q3023">
        <v>0</v>
      </c>
      <c r="R3023" s="4">
        <v>168.77</v>
      </c>
      <c r="S3023">
        <v>0</v>
      </c>
      <c r="T3023">
        <v>1</v>
      </c>
    </row>
    <row r="3024" spans="1:20" ht="16.5" x14ac:dyDescent="0.3">
      <c r="A3024" t="s">
        <v>3078</v>
      </c>
      <c r="B3024" s="1">
        <v>45716</v>
      </c>
      <c r="C3024">
        <v>2025</v>
      </c>
      <c r="D3024" t="s">
        <v>21</v>
      </c>
      <c r="E3024" t="s">
        <v>241</v>
      </c>
      <c r="F3024" t="s">
        <v>57</v>
      </c>
      <c r="G3024" t="s">
        <v>39</v>
      </c>
      <c r="H3024" t="s">
        <v>25</v>
      </c>
      <c r="I3024" t="s">
        <v>26</v>
      </c>
      <c r="J3024" t="s">
        <v>27</v>
      </c>
      <c r="K3024" t="s">
        <v>32</v>
      </c>
      <c r="L3024" s="2">
        <v>1.7</v>
      </c>
      <c r="M3024" s="3">
        <v>665</v>
      </c>
      <c r="N3024">
        <v>4</v>
      </c>
      <c r="O3024">
        <v>3</v>
      </c>
      <c r="P3024">
        <v>1</v>
      </c>
      <c r="Q3024">
        <v>0</v>
      </c>
      <c r="R3024" s="4">
        <v>16.059999999999999</v>
      </c>
      <c r="S3024">
        <v>0</v>
      </c>
      <c r="T3024">
        <v>1</v>
      </c>
    </row>
    <row r="3025" spans="1:20" ht="16.5" x14ac:dyDescent="0.3">
      <c r="A3025" t="s">
        <v>3079</v>
      </c>
      <c r="B3025" s="1">
        <v>45716</v>
      </c>
      <c r="C3025">
        <v>2025</v>
      </c>
      <c r="D3025" t="s">
        <v>21</v>
      </c>
      <c r="E3025" t="s">
        <v>241</v>
      </c>
      <c r="F3025" t="s">
        <v>30</v>
      </c>
      <c r="G3025" t="s">
        <v>35</v>
      </c>
      <c r="H3025" t="s">
        <v>48</v>
      </c>
      <c r="I3025" t="s">
        <v>31</v>
      </c>
      <c r="J3025" t="s">
        <v>27</v>
      </c>
      <c r="K3025" t="s">
        <v>32</v>
      </c>
      <c r="L3025" s="2">
        <v>13.2</v>
      </c>
      <c r="M3025" s="3">
        <v>529</v>
      </c>
      <c r="N3025">
        <v>6</v>
      </c>
      <c r="O3025">
        <v>6</v>
      </c>
      <c r="P3025">
        <v>1</v>
      </c>
      <c r="Q3025">
        <v>0</v>
      </c>
      <c r="R3025" s="4">
        <v>16.010000000000002</v>
      </c>
      <c r="S3025">
        <v>0</v>
      </c>
      <c r="T3025">
        <v>1</v>
      </c>
    </row>
    <row r="3026" spans="1:20" ht="16.5" x14ac:dyDescent="0.3">
      <c r="A3026" t="s">
        <v>3080</v>
      </c>
      <c r="B3026" s="1">
        <v>45716</v>
      </c>
      <c r="C3026">
        <v>2025</v>
      </c>
      <c r="D3026" t="s">
        <v>21</v>
      </c>
      <c r="E3026" t="s">
        <v>241</v>
      </c>
      <c r="F3026" t="s">
        <v>34</v>
      </c>
      <c r="G3026" t="s">
        <v>35</v>
      </c>
      <c r="H3026" t="s">
        <v>25</v>
      </c>
      <c r="I3026" t="s">
        <v>26</v>
      </c>
      <c r="J3026" t="s">
        <v>27</v>
      </c>
      <c r="K3026" t="s">
        <v>28</v>
      </c>
      <c r="L3026" s="2">
        <v>140.5</v>
      </c>
      <c r="M3026" s="3">
        <v>813</v>
      </c>
      <c r="N3026">
        <v>4</v>
      </c>
      <c r="O3026">
        <v>5</v>
      </c>
      <c r="P3026">
        <v>0</v>
      </c>
      <c r="Q3026">
        <v>1</v>
      </c>
      <c r="R3026" s="4">
        <v>63.71</v>
      </c>
      <c r="S3026">
        <v>0</v>
      </c>
      <c r="T3026">
        <v>1</v>
      </c>
    </row>
    <row r="3027" spans="1:20" ht="16.5" x14ac:dyDescent="0.3">
      <c r="A3027" t="s">
        <v>3081</v>
      </c>
      <c r="B3027" s="1">
        <v>45717</v>
      </c>
      <c r="C3027">
        <v>2025</v>
      </c>
      <c r="D3027" t="s">
        <v>21</v>
      </c>
      <c r="E3027" t="s">
        <v>437</v>
      </c>
      <c r="F3027" t="s">
        <v>30</v>
      </c>
      <c r="G3027" t="s">
        <v>39</v>
      </c>
      <c r="H3027" t="s">
        <v>25</v>
      </c>
      <c r="I3027" t="s">
        <v>31</v>
      </c>
      <c r="J3027" t="s">
        <v>27</v>
      </c>
      <c r="K3027" t="s">
        <v>28</v>
      </c>
      <c r="L3027" s="2">
        <v>49.7</v>
      </c>
      <c r="M3027" s="3">
        <v>700</v>
      </c>
      <c r="N3027">
        <v>6</v>
      </c>
      <c r="O3027">
        <v>9</v>
      </c>
      <c r="P3027">
        <v>0</v>
      </c>
      <c r="Q3027">
        <v>3</v>
      </c>
      <c r="R3027" s="4">
        <v>29.41</v>
      </c>
      <c r="S3027">
        <v>0</v>
      </c>
      <c r="T3027">
        <v>1</v>
      </c>
    </row>
    <row r="3028" spans="1:20" ht="16.5" x14ac:dyDescent="0.3">
      <c r="A3028" t="s">
        <v>3082</v>
      </c>
      <c r="B3028" s="1">
        <v>45717</v>
      </c>
      <c r="C3028">
        <v>2025</v>
      </c>
      <c r="D3028" t="s">
        <v>21</v>
      </c>
      <c r="E3028" t="s">
        <v>437</v>
      </c>
      <c r="F3028" t="s">
        <v>34</v>
      </c>
      <c r="G3028" t="s">
        <v>35</v>
      </c>
      <c r="H3028" t="s">
        <v>25</v>
      </c>
      <c r="I3028" t="s">
        <v>26</v>
      </c>
      <c r="J3028" t="s">
        <v>27</v>
      </c>
      <c r="K3028" t="s">
        <v>32</v>
      </c>
      <c r="L3028" s="2">
        <v>7.8</v>
      </c>
      <c r="M3028" s="3">
        <v>730</v>
      </c>
      <c r="N3028">
        <v>4</v>
      </c>
      <c r="O3028">
        <v>4</v>
      </c>
      <c r="P3028">
        <v>1</v>
      </c>
      <c r="Q3028">
        <v>0</v>
      </c>
      <c r="R3028" s="4">
        <v>17.18</v>
      </c>
      <c r="S3028">
        <v>0</v>
      </c>
      <c r="T3028">
        <v>1</v>
      </c>
    </row>
    <row r="3029" spans="1:20" ht="16.5" x14ac:dyDescent="0.3">
      <c r="A3029" t="s">
        <v>3083</v>
      </c>
      <c r="B3029" s="1">
        <v>45717</v>
      </c>
      <c r="C3029">
        <v>2025</v>
      </c>
      <c r="D3029" t="s">
        <v>21</v>
      </c>
      <c r="E3029" t="s">
        <v>437</v>
      </c>
      <c r="F3029" t="s">
        <v>23</v>
      </c>
      <c r="G3029" t="s">
        <v>35</v>
      </c>
      <c r="H3029" t="s">
        <v>25</v>
      </c>
      <c r="I3029" t="s">
        <v>26</v>
      </c>
      <c r="J3029" t="s">
        <v>27</v>
      </c>
      <c r="K3029" t="s">
        <v>28</v>
      </c>
      <c r="L3029" s="2">
        <v>158.5</v>
      </c>
      <c r="M3029" s="3">
        <v>774</v>
      </c>
      <c r="N3029">
        <v>4</v>
      </c>
      <c r="O3029">
        <v>4</v>
      </c>
      <c r="P3029">
        <v>1</v>
      </c>
      <c r="Q3029">
        <v>0</v>
      </c>
      <c r="R3029" s="4">
        <v>75.569999999999993</v>
      </c>
      <c r="S3029">
        <v>0</v>
      </c>
      <c r="T3029">
        <v>1</v>
      </c>
    </row>
    <row r="3030" spans="1:20" ht="16.5" x14ac:dyDescent="0.3">
      <c r="A3030" t="s">
        <v>3084</v>
      </c>
      <c r="B3030" s="1">
        <v>45718</v>
      </c>
      <c r="C3030">
        <v>2025</v>
      </c>
      <c r="D3030" t="s">
        <v>21</v>
      </c>
      <c r="E3030" t="s">
        <v>437</v>
      </c>
      <c r="F3030" t="s">
        <v>38</v>
      </c>
      <c r="G3030" t="s">
        <v>39</v>
      </c>
      <c r="H3030" t="s">
        <v>25</v>
      </c>
      <c r="I3030" t="s">
        <v>26</v>
      </c>
      <c r="J3030" t="s">
        <v>27</v>
      </c>
      <c r="K3030" t="s">
        <v>32</v>
      </c>
      <c r="L3030" s="2">
        <v>3.9</v>
      </c>
      <c r="M3030" s="3">
        <v>1131</v>
      </c>
      <c r="N3030">
        <v>4</v>
      </c>
      <c r="O3030">
        <v>6</v>
      </c>
      <c r="P3030">
        <v>0</v>
      </c>
      <c r="Q3030">
        <v>2</v>
      </c>
      <c r="R3030" s="4">
        <v>24.89</v>
      </c>
      <c r="S3030">
        <v>0</v>
      </c>
      <c r="T3030">
        <v>1</v>
      </c>
    </row>
    <row r="3031" spans="1:20" ht="16.5" x14ac:dyDescent="0.3">
      <c r="A3031" t="s">
        <v>3085</v>
      </c>
      <c r="B3031" s="1">
        <v>45718</v>
      </c>
      <c r="C3031">
        <v>2025</v>
      </c>
      <c r="D3031" t="s">
        <v>21</v>
      </c>
      <c r="E3031" t="s">
        <v>437</v>
      </c>
      <c r="F3031" t="s">
        <v>38</v>
      </c>
      <c r="G3031" t="s">
        <v>39</v>
      </c>
      <c r="H3031" t="s">
        <v>43</v>
      </c>
      <c r="I3031" t="s">
        <v>26</v>
      </c>
      <c r="J3031" t="s">
        <v>27</v>
      </c>
      <c r="K3031" t="s">
        <v>32</v>
      </c>
      <c r="L3031" s="2">
        <v>3.2</v>
      </c>
      <c r="M3031" s="3">
        <v>984</v>
      </c>
      <c r="N3031">
        <v>5</v>
      </c>
      <c r="O3031">
        <v>4</v>
      </c>
      <c r="P3031">
        <v>1</v>
      </c>
      <c r="Q3031">
        <v>0</v>
      </c>
      <c r="R3031" s="4">
        <v>22.32</v>
      </c>
      <c r="S3031">
        <v>0</v>
      </c>
      <c r="T3031">
        <v>1</v>
      </c>
    </row>
    <row r="3032" spans="1:20" ht="16.5" x14ac:dyDescent="0.3">
      <c r="A3032" t="s">
        <v>3086</v>
      </c>
      <c r="B3032" s="1">
        <v>45718</v>
      </c>
      <c r="C3032">
        <v>2025</v>
      </c>
      <c r="D3032" t="s">
        <v>21</v>
      </c>
      <c r="E3032" t="s">
        <v>437</v>
      </c>
      <c r="F3032" t="s">
        <v>57</v>
      </c>
      <c r="G3032" t="s">
        <v>24</v>
      </c>
      <c r="H3032" t="s">
        <v>43</v>
      </c>
      <c r="I3032" t="s">
        <v>31</v>
      </c>
      <c r="J3032" t="s">
        <v>27</v>
      </c>
      <c r="K3032" t="s">
        <v>28</v>
      </c>
      <c r="L3032" s="2">
        <v>83.3</v>
      </c>
      <c r="M3032" s="3">
        <v>1223</v>
      </c>
      <c r="N3032">
        <v>7</v>
      </c>
      <c r="O3032">
        <v>7</v>
      </c>
      <c r="P3032">
        <v>1</v>
      </c>
      <c r="Q3032">
        <v>0</v>
      </c>
      <c r="R3032" s="4">
        <v>44.56</v>
      </c>
      <c r="S3032">
        <v>0</v>
      </c>
      <c r="T3032">
        <v>1</v>
      </c>
    </row>
    <row r="3033" spans="1:20" ht="16.5" x14ac:dyDescent="0.3">
      <c r="A3033" t="s">
        <v>3087</v>
      </c>
      <c r="B3033" s="1">
        <v>45718</v>
      </c>
      <c r="C3033">
        <v>2025</v>
      </c>
      <c r="D3033" t="s">
        <v>21</v>
      </c>
      <c r="E3033" t="s">
        <v>437</v>
      </c>
      <c r="F3033" t="s">
        <v>30</v>
      </c>
      <c r="G3033" t="s">
        <v>39</v>
      </c>
      <c r="H3033" t="s">
        <v>25</v>
      </c>
      <c r="I3033" t="s">
        <v>31</v>
      </c>
      <c r="J3033" t="s">
        <v>27</v>
      </c>
      <c r="K3033" t="s">
        <v>28</v>
      </c>
      <c r="L3033" s="2">
        <v>168.2</v>
      </c>
      <c r="M3033" s="3">
        <v>1165</v>
      </c>
      <c r="N3033">
        <v>6</v>
      </c>
      <c r="O3033">
        <v>5</v>
      </c>
      <c r="P3033">
        <v>1</v>
      </c>
      <c r="Q3033">
        <v>0</v>
      </c>
      <c r="R3033" s="4">
        <v>70.349999999999994</v>
      </c>
      <c r="S3033">
        <v>0</v>
      </c>
      <c r="T3033">
        <v>1</v>
      </c>
    </row>
    <row r="3034" spans="1:20" ht="16.5" x14ac:dyDescent="0.3">
      <c r="A3034" t="s">
        <v>3088</v>
      </c>
      <c r="B3034" s="1">
        <v>45719</v>
      </c>
      <c r="C3034">
        <v>2025</v>
      </c>
      <c r="D3034" t="s">
        <v>21</v>
      </c>
      <c r="E3034" t="s">
        <v>437</v>
      </c>
      <c r="F3034" t="s">
        <v>57</v>
      </c>
      <c r="G3034" t="s">
        <v>39</v>
      </c>
      <c r="H3034" t="s">
        <v>48</v>
      </c>
      <c r="I3034" t="s">
        <v>31</v>
      </c>
      <c r="J3034" t="s">
        <v>27</v>
      </c>
      <c r="K3034" t="s">
        <v>28</v>
      </c>
      <c r="L3034" s="2">
        <v>84.1</v>
      </c>
      <c r="M3034" s="3">
        <v>499</v>
      </c>
      <c r="N3034">
        <v>6</v>
      </c>
      <c r="O3034">
        <v>6</v>
      </c>
      <c r="P3034">
        <v>1</v>
      </c>
      <c r="Q3034">
        <v>0</v>
      </c>
      <c r="R3034" s="4">
        <v>34.47</v>
      </c>
      <c r="S3034">
        <v>0</v>
      </c>
      <c r="T3034">
        <v>1</v>
      </c>
    </row>
    <row r="3035" spans="1:20" ht="16.5" x14ac:dyDescent="0.3">
      <c r="A3035" t="s">
        <v>3089</v>
      </c>
      <c r="B3035" s="1">
        <v>45719</v>
      </c>
      <c r="C3035">
        <v>2025</v>
      </c>
      <c r="D3035" t="s">
        <v>21</v>
      </c>
      <c r="E3035" t="s">
        <v>437</v>
      </c>
      <c r="F3035" t="s">
        <v>34</v>
      </c>
      <c r="G3035" t="s">
        <v>39</v>
      </c>
      <c r="H3035" t="s">
        <v>48</v>
      </c>
      <c r="I3035" t="s">
        <v>40</v>
      </c>
      <c r="J3035" t="s">
        <v>27</v>
      </c>
      <c r="K3035" t="s">
        <v>28</v>
      </c>
      <c r="L3035" s="2">
        <v>93.2</v>
      </c>
      <c r="M3035" s="3">
        <v>512</v>
      </c>
      <c r="N3035">
        <v>2</v>
      </c>
      <c r="O3035">
        <v>7</v>
      </c>
      <c r="P3035">
        <v>0</v>
      </c>
      <c r="Q3035">
        <v>5</v>
      </c>
      <c r="R3035" s="4">
        <v>91.69</v>
      </c>
      <c r="S3035">
        <v>0</v>
      </c>
      <c r="T3035">
        <v>1</v>
      </c>
    </row>
    <row r="3036" spans="1:20" ht="16.5" x14ac:dyDescent="0.3">
      <c r="A3036" t="s">
        <v>3090</v>
      </c>
      <c r="B3036" s="1">
        <v>45719</v>
      </c>
      <c r="C3036">
        <v>2025</v>
      </c>
      <c r="D3036" t="s">
        <v>21</v>
      </c>
      <c r="E3036" t="s">
        <v>437</v>
      </c>
      <c r="F3036" t="s">
        <v>57</v>
      </c>
      <c r="G3036" t="s">
        <v>39</v>
      </c>
      <c r="H3036" t="s">
        <v>25</v>
      </c>
      <c r="I3036" t="s">
        <v>26</v>
      </c>
      <c r="J3036" t="s">
        <v>27</v>
      </c>
      <c r="K3036" t="s">
        <v>32</v>
      </c>
      <c r="L3036" s="2">
        <v>13.8</v>
      </c>
      <c r="M3036" s="3">
        <v>740</v>
      </c>
      <c r="N3036">
        <v>4</v>
      </c>
      <c r="O3036">
        <v>4</v>
      </c>
      <c r="P3036">
        <v>1</v>
      </c>
      <c r="Q3036">
        <v>0</v>
      </c>
      <c r="R3036" s="4">
        <v>23.77</v>
      </c>
      <c r="S3036">
        <v>0</v>
      </c>
      <c r="T3036">
        <v>1</v>
      </c>
    </row>
    <row r="3037" spans="1:20" ht="16.5" x14ac:dyDescent="0.3">
      <c r="A3037" t="s">
        <v>3091</v>
      </c>
      <c r="B3037" s="1">
        <v>45719</v>
      </c>
      <c r="C3037">
        <v>2025</v>
      </c>
      <c r="D3037" t="s">
        <v>21</v>
      </c>
      <c r="E3037" t="s">
        <v>437</v>
      </c>
      <c r="F3037" t="s">
        <v>57</v>
      </c>
      <c r="G3037" t="s">
        <v>35</v>
      </c>
      <c r="H3037" t="s">
        <v>36</v>
      </c>
      <c r="I3037" t="s">
        <v>40</v>
      </c>
      <c r="J3037" t="s">
        <v>27</v>
      </c>
      <c r="K3037" t="s">
        <v>28</v>
      </c>
      <c r="L3037" s="2">
        <v>214.9</v>
      </c>
      <c r="M3037" s="3">
        <v>211</v>
      </c>
      <c r="N3037">
        <v>1</v>
      </c>
      <c r="O3037">
        <v>1</v>
      </c>
      <c r="P3037">
        <v>1</v>
      </c>
      <c r="Q3037">
        <v>0</v>
      </c>
      <c r="R3037" s="4">
        <v>166.39</v>
      </c>
      <c r="S3037">
        <v>0</v>
      </c>
      <c r="T3037">
        <v>1</v>
      </c>
    </row>
    <row r="3038" spans="1:20" ht="16.5" x14ac:dyDescent="0.3">
      <c r="A3038" t="s">
        <v>3092</v>
      </c>
      <c r="B3038" s="1">
        <v>45719</v>
      </c>
      <c r="C3038">
        <v>2025</v>
      </c>
      <c r="D3038" t="s">
        <v>21</v>
      </c>
      <c r="E3038" t="s">
        <v>437</v>
      </c>
      <c r="F3038" t="s">
        <v>30</v>
      </c>
      <c r="G3038" t="s">
        <v>35</v>
      </c>
      <c r="H3038" t="s">
        <v>48</v>
      </c>
      <c r="I3038" t="s">
        <v>40</v>
      </c>
      <c r="J3038" t="s">
        <v>27</v>
      </c>
      <c r="K3038" t="s">
        <v>28</v>
      </c>
      <c r="L3038" s="2">
        <v>145.4</v>
      </c>
      <c r="M3038" s="3">
        <v>480</v>
      </c>
      <c r="N3038">
        <v>2</v>
      </c>
      <c r="O3038">
        <v>2</v>
      </c>
      <c r="P3038">
        <v>1</v>
      </c>
      <c r="Q3038">
        <v>0</v>
      </c>
      <c r="R3038" s="4">
        <v>141.03</v>
      </c>
      <c r="S3038">
        <v>0</v>
      </c>
      <c r="T3038">
        <v>1</v>
      </c>
    </row>
    <row r="3039" spans="1:20" ht="16.5" x14ac:dyDescent="0.3">
      <c r="A3039" t="s">
        <v>3093</v>
      </c>
      <c r="B3039" s="1">
        <v>45720</v>
      </c>
      <c r="C3039">
        <v>2025</v>
      </c>
      <c r="D3039" t="s">
        <v>21</v>
      </c>
      <c r="E3039" t="s">
        <v>437</v>
      </c>
      <c r="F3039" t="s">
        <v>34</v>
      </c>
      <c r="G3039" t="s">
        <v>24</v>
      </c>
      <c r="H3039" t="s">
        <v>25</v>
      </c>
      <c r="I3039" t="s">
        <v>40</v>
      </c>
      <c r="J3039" t="s">
        <v>41</v>
      </c>
      <c r="K3039" t="s">
        <v>28</v>
      </c>
      <c r="L3039" s="2">
        <v>130.4</v>
      </c>
      <c r="M3039" s="3">
        <v>1030</v>
      </c>
      <c r="N3039">
        <v>2</v>
      </c>
      <c r="O3039">
        <v>2</v>
      </c>
      <c r="P3039">
        <v>1</v>
      </c>
      <c r="Q3039">
        <v>0</v>
      </c>
      <c r="R3039" s="4">
        <v>204.62</v>
      </c>
      <c r="S3039">
        <v>1</v>
      </c>
      <c r="T3039">
        <v>1</v>
      </c>
    </row>
    <row r="3040" spans="1:20" ht="16.5" x14ac:dyDescent="0.3">
      <c r="A3040" t="s">
        <v>3094</v>
      </c>
      <c r="B3040" s="1">
        <v>45720</v>
      </c>
      <c r="C3040">
        <v>2025</v>
      </c>
      <c r="D3040" t="s">
        <v>21</v>
      </c>
      <c r="E3040" t="s">
        <v>437</v>
      </c>
      <c r="F3040" t="s">
        <v>30</v>
      </c>
      <c r="G3040" t="s">
        <v>39</v>
      </c>
      <c r="H3040" t="s">
        <v>36</v>
      </c>
      <c r="I3040" t="s">
        <v>31</v>
      </c>
      <c r="J3040" t="s">
        <v>27</v>
      </c>
      <c r="K3040" t="s">
        <v>28</v>
      </c>
      <c r="L3040" s="2">
        <v>322.7</v>
      </c>
      <c r="M3040" s="3">
        <v>259</v>
      </c>
      <c r="N3040">
        <v>5</v>
      </c>
      <c r="O3040">
        <v>5</v>
      </c>
      <c r="P3040">
        <v>1</v>
      </c>
      <c r="Q3040">
        <v>0</v>
      </c>
      <c r="R3040" s="4">
        <v>96.91</v>
      </c>
      <c r="S3040">
        <v>0</v>
      </c>
      <c r="T3040">
        <v>1</v>
      </c>
    </row>
    <row r="3041" spans="1:20" ht="16.5" x14ac:dyDescent="0.3">
      <c r="A3041" t="s">
        <v>3095</v>
      </c>
      <c r="B3041" s="1">
        <v>45720</v>
      </c>
      <c r="C3041">
        <v>2025</v>
      </c>
      <c r="D3041" t="s">
        <v>21</v>
      </c>
      <c r="E3041" t="s">
        <v>437</v>
      </c>
      <c r="F3041" t="s">
        <v>57</v>
      </c>
      <c r="G3041" t="s">
        <v>39</v>
      </c>
      <c r="H3041" t="s">
        <v>48</v>
      </c>
      <c r="I3041" t="s">
        <v>26</v>
      </c>
      <c r="J3041" t="s">
        <v>27</v>
      </c>
      <c r="K3041" t="s">
        <v>32</v>
      </c>
      <c r="L3041" s="2">
        <v>1.6</v>
      </c>
      <c r="M3041" s="3">
        <v>386</v>
      </c>
      <c r="N3041">
        <v>4</v>
      </c>
      <c r="O3041">
        <v>4</v>
      </c>
      <c r="P3041">
        <v>1</v>
      </c>
      <c r="Q3041">
        <v>0</v>
      </c>
      <c r="R3041" s="4">
        <v>11.9</v>
      </c>
      <c r="S3041">
        <v>0</v>
      </c>
      <c r="T3041">
        <v>1</v>
      </c>
    </row>
    <row r="3042" spans="1:20" ht="16.5" x14ac:dyDescent="0.3">
      <c r="A3042" t="s">
        <v>3096</v>
      </c>
      <c r="B3042" s="1">
        <v>45720</v>
      </c>
      <c r="C3042">
        <v>2025</v>
      </c>
      <c r="D3042" t="s">
        <v>21</v>
      </c>
      <c r="E3042" t="s">
        <v>437</v>
      </c>
      <c r="F3042" t="s">
        <v>57</v>
      </c>
      <c r="G3042" t="s">
        <v>24</v>
      </c>
      <c r="H3042" t="s">
        <v>43</v>
      </c>
      <c r="I3042" t="s">
        <v>40</v>
      </c>
      <c r="J3042" t="s">
        <v>41</v>
      </c>
      <c r="K3042" t="s">
        <v>32</v>
      </c>
      <c r="L3042" s="2">
        <v>3.2</v>
      </c>
      <c r="M3042" s="3">
        <v>923</v>
      </c>
      <c r="N3042">
        <v>3</v>
      </c>
      <c r="O3042">
        <v>3</v>
      </c>
      <c r="P3042">
        <v>1</v>
      </c>
      <c r="Q3042">
        <v>0</v>
      </c>
      <c r="R3042" s="4">
        <v>55.61</v>
      </c>
      <c r="S3042">
        <v>0</v>
      </c>
      <c r="T3042">
        <v>1</v>
      </c>
    </row>
    <row r="3043" spans="1:20" ht="16.5" x14ac:dyDescent="0.3">
      <c r="A3043" t="s">
        <v>3097</v>
      </c>
      <c r="B3043" s="1">
        <v>45720</v>
      </c>
      <c r="C3043">
        <v>2025</v>
      </c>
      <c r="D3043" t="s">
        <v>21</v>
      </c>
      <c r="E3043" t="s">
        <v>437</v>
      </c>
      <c r="F3043" t="s">
        <v>38</v>
      </c>
      <c r="G3043" t="s">
        <v>35</v>
      </c>
      <c r="H3043" t="s">
        <v>43</v>
      </c>
      <c r="I3043" t="s">
        <v>40</v>
      </c>
      <c r="J3043" t="s">
        <v>41</v>
      </c>
      <c r="K3043" t="s">
        <v>32</v>
      </c>
      <c r="L3043" s="2">
        <v>4.3</v>
      </c>
      <c r="M3043" s="3">
        <v>1085</v>
      </c>
      <c r="N3043">
        <v>3</v>
      </c>
      <c r="O3043">
        <v>3</v>
      </c>
      <c r="P3043">
        <v>1</v>
      </c>
      <c r="Q3043">
        <v>0</v>
      </c>
      <c r="R3043" s="4">
        <v>66</v>
      </c>
      <c r="S3043">
        <v>0</v>
      </c>
      <c r="T3043">
        <v>1</v>
      </c>
    </row>
    <row r="3044" spans="1:20" ht="16.5" x14ac:dyDescent="0.3">
      <c r="A3044" t="s">
        <v>3098</v>
      </c>
      <c r="B3044" s="1">
        <v>45720</v>
      </c>
      <c r="C3044">
        <v>2025</v>
      </c>
      <c r="D3044" t="s">
        <v>21</v>
      </c>
      <c r="E3044" t="s">
        <v>437</v>
      </c>
      <c r="F3044" t="s">
        <v>30</v>
      </c>
      <c r="G3044" t="s">
        <v>39</v>
      </c>
      <c r="H3044" t="s">
        <v>36</v>
      </c>
      <c r="I3044" t="s">
        <v>26</v>
      </c>
      <c r="J3044" t="s">
        <v>27</v>
      </c>
      <c r="K3044" t="s">
        <v>32</v>
      </c>
      <c r="L3044" s="2">
        <v>2.8</v>
      </c>
      <c r="M3044" s="3">
        <v>256</v>
      </c>
      <c r="N3044">
        <v>3</v>
      </c>
      <c r="O3044">
        <v>6</v>
      </c>
      <c r="P3044">
        <v>0</v>
      </c>
      <c r="Q3044">
        <v>3</v>
      </c>
      <c r="R3044" s="4">
        <v>12.73</v>
      </c>
      <c r="S3044">
        <v>0</v>
      </c>
      <c r="T3044">
        <v>1</v>
      </c>
    </row>
    <row r="3045" spans="1:20" ht="16.5" x14ac:dyDescent="0.3">
      <c r="A3045" t="s">
        <v>3099</v>
      </c>
      <c r="B3045" s="1">
        <v>45720</v>
      </c>
      <c r="C3045">
        <v>2025</v>
      </c>
      <c r="D3045" t="s">
        <v>21</v>
      </c>
      <c r="E3045" t="s">
        <v>437</v>
      </c>
      <c r="F3045" t="s">
        <v>57</v>
      </c>
      <c r="G3045" t="s">
        <v>35</v>
      </c>
      <c r="H3045" t="s">
        <v>48</v>
      </c>
      <c r="I3045" t="s">
        <v>26</v>
      </c>
      <c r="J3045" t="s">
        <v>27</v>
      </c>
      <c r="K3045" t="s">
        <v>28</v>
      </c>
      <c r="L3045" s="2">
        <v>49.9</v>
      </c>
      <c r="M3045" s="3">
        <v>581</v>
      </c>
      <c r="N3045">
        <v>4</v>
      </c>
      <c r="O3045">
        <v>3</v>
      </c>
      <c r="P3045">
        <v>1</v>
      </c>
      <c r="Q3045">
        <v>0</v>
      </c>
      <c r="R3045" s="4">
        <v>37.17</v>
      </c>
      <c r="S3045">
        <v>0</v>
      </c>
      <c r="T3045">
        <v>1</v>
      </c>
    </row>
    <row r="3046" spans="1:20" ht="16.5" x14ac:dyDescent="0.3">
      <c r="A3046" t="s">
        <v>3100</v>
      </c>
      <c r="B3046" s="1">
        <v>45720</v>
      </c>
      <c r="C3046">
        <v>2025</v>
      </c>
      <c r="D3046" t="s">
        <v>21</v>
      </c>
      <c r="E3046" t="s">
        <v>437</v>
      </c>
      <c r="F3046" t="s">
        <v>57</v>
      </c>
      <c r="G3046" t="s">
        <v>39</v>
      </c>
      <c r="H3046" t="s">
        <v>36</v>
      </c>
      <c r="I3046" t="s">
        <v>31</v>
      </c>
      <c r="J3046" t="s">
        <v>27</v>
      </c>
      <c r="K3046" t="s">
        <v>32</v>
      </c>
      <c r="L3046" s="2">
        <v>14.4</v>
      </c>
      <c r="M3046" s="3">
        <v>284</v>
      </c>
      <c r="N3046">
        <v>5</v>
      </c>
      <c r="O3046">
        <v>5</v>
      </c>
      <c r="P3046">
        <v>1</v>
      </c>
      <c r="Q3046">
        <v>0</v>
      </c>
      <c r="R3046" s="4">
        <v>12.36</v>
      </c>
      <c r="S3046">
        <v>0</v>
      </c>
      <c r="T3046">
        <v>1</v>
      </c>
    </row>
    <row r="3047" spans="1:20" ht="16.5" x14ac:dyDescent="0.3">
      <c r="A3047" t="s">
        <v>3101</v>
      </c>
      <c r="B3047" s="1">
        <v>45721</v>
      </c>
      <c r="C3047">
        <v>2025</v>
      </c>
      <c r="D3047" t="s">
        <v>21</v>
      </c>
      <c r="E3047" t="s">
        <v>437</v>
      </c>
      <c r="F3047" t="s">
        <v>38</v>
      </c>
      <c r="G3047" t="s">
        <v>35</v>
      </c>
      <c r="H3047" t="s">
        <v>43</v>
      </c>
      <c r="I3047" t="s">
        <v>26</v>
      </c>
      <c r="J3047" t="s">
        <v>27</v>
      </c>
      <c r="K3047" t="s">
        <v>32</v>
      </c>
      <c r="L3047" s="2">
        <v>1.6</v>
      </c>
      <c r="M3047" s="3">
        <v>1292</v>
      </c>
      <c r="N3047">
        <v>5</v>
      </c>
      <c r="O3047">
        <v>5</v>
      </c>
      <c r="P3047">
        <v>1</v>
      </c>
      <c r="Q3047">
        <v>0</v>
      </c>
      <c r="R3047" s="4">
        <v>25.02</v>
      </c>
      <c r="S3047">
        <v>0</v>
      </c>
      <c r="T3047">
        <v>1</v>
      </c>
    </row>
    <row r="3048" spans="1:20" ht="16.5" x14ac:dyDescent="0.3">
      <c r="A3048" t="s">
        <v>3102</v>
      </c>
      <c r="B3048" s="1">
        <v>45721</v>
      </c>
      <c r="C3048">
        <v>2025</v>
      </c>
      <c r="D3048" t="s">
        <v>21</v>
      </c>
      <c r="E3048" t="s">
        <v>437</v>
      </c>
      <c r="F3048" t="s">
        <v>34</v>
      </c>
      <c r="G3048" t="s">
        <v>39</v>
      </c>
      <c r="H3048" t="s">
        <v>51</v>
      </c>
      <c r="I3048" t="s">
        <v>40</v>
      </c>
      <c r="J3048" t="s">
        <v>41</v>
      </c>
      <c r="K3048" t="s">
        <v>28</v>
      </c>
      <c r="L3048" s="2">
        <v>57</v>
      </c>
      <c r="M3048" s="3">
        <v>1307</v>
      </c>
      <c r="N3048">
        <v>3</v>
      </c>
      <c r="O3048">
        <v>2</v>
      </c>
      <c r="P3048">
        <v>1</v>
      </c>
      <c r="Q3048">
        <v>0</v>
      </c>
      <c r="R3048" s="4">
        <v>131.51</v>
      </c>
      <c r="S3048">
        <v>0</v>
      </c>
      <c r="T3048">
        <v>1</v>
      </c>
    </row>
    <row r="3049" spans="1:20" ht="16.5" x14ac:dyDescent="0.3">
      <c r="A3049" t="s">
        <v>3103</v>
      </c>
      <c r="B3049" s="1">
        <v>45721</v>
      </c>
      <c r="C3049">
        <v>2025</v>
      </c>
      <c r="D3049" t="s">
        <v>21</v>
      </c>
      <c r="E3049" t="s">
        <v>437</v>
      </c>
      <c r="F3049" t="s">
        <v>30</v>
      </c>
      <c r="G3049" t="s">
        <v>39</v>
      </c>
      <c r="H3049" t="s">
        <v>51</v>
      </c>
      <c r="I3049" t="s">
        <v>40</v>
      </c>
      <c r="J3049" t="s">
        <v>41</v>
      </c>
      <c r="K3049" t="s">
        <v>32</v>
      </c>
      <c r="L3049" s="2">
        <v>39.1</v>
      </c>
      <c r="M3049" s="3">
        <v>1056</v>
      </c>
      <c r="N3049">
        <v>3</v>
      </c>
      <c r="O3049">
        <v>6</v>
      </c>
      <c r="P3049">
        <v>0</v>
      </c>
      <c r="Q3049">
        <v>3</v>
      </c>
      <c r="R3049" s="4">
        <v>131.13</v>
      </c>
      <c r="S3049">
        <v>0</v>
      </c>
      <c r="T3049">
        <v>1</v>
      </c>
    </row>
    <row r="3050" spans="1:20" ht="16.5" x14ac:dyDescent="0.3">
      <c r="A3050" t="s">
        <v>3104</v>
      </c>
      <c r="B3050" s="1">
        <v>45721</v>
      </c>
      <c r="C3050">
        <v>2025</v>
      </c>
      <c r="D3050" t="s">
        <v>21</v>
      </c>
      <c r="E3050" t="s">
        <v>437</v>
      </c>
      <c r="F3050" t="s">
        <v>30</v>
      </c>
      <c r="G3050" t="s">
        <v>39</v>
      </c>
      <c r="H3050" t="s">
        <v>36</v>
      </c>
      <c r="I3050" t="s">
        <v>40</v>
      </c>
      <c r="J3050" t="s">
        <v>27</v>
      </c>
      <c r="K3050" t="s">
        <v>32</v>
      </c>
      <c r="L3050" s="2">
        <v>2.4</v>
      </c>
      <c r="M3050" s="3">
        <v>238</v>
      </c>
      <c r="N3050">
        <v>1</v>
      </c>
      <c r="O3050">
        <v>1</v>
      </c>
      <c r="P3050">
        <v>1</v>
      </c>
      <c r="Q3050">
        <v>0</v>
      </c>
      <c r="R3050" s="4">
        <v>20.07</v>
      </c>
      <c r="S3050">
        <v>0</v>
      </c>
      <c r="T3050">
        <v>1</v>
      </c>
    </row>
    <row r="3051" spans="1:20" ht="16.5" x14ac:dyDescent="0.3">
      <c r="A3051" t="s">
        <v>3105</v>
      </c>
      <c r="B3051" s="1">
        <v>45721</v>
      </c>
      <c r="C3051">
        <v>2025</v>
      </c>
      <c r="D3051" t="s">
        <v>21</v>
      </c>
      <c r="E3051" t="s">
        <v>437</v>
      </c>
      <c r="F3051" t="s">
        <v>23</v>
      </c>
      <c r="G3051" t="s">
        <v>35</v>
      </c>
      <c r="H3051" t="s">
        <v>25</v>
      </c>
      <c r="I3051" t="s">
        <v>31</v>
      </c>
      <c r="J3051" t="s">
        <v>27</v>
      </c>
      <c r="K3051" t="s">
        <v>32</v>
      </c>
      <c r="L3051" s="2">
        <v>2.4</v>
      </c>
      <c r="M3051" s="3">
        <v>1059</v>
      </c>
      <c r="N3051">
        <v>6</v>
      </c>
      <c r="O3051">
        <v>6</v>
      </c>
      <c r="P3051">
        <v>1</v>
      </c>
      <c r="Q3051">
        <v>0</v>
      </c>
      <c r="R3051" s="4">
        <v>13.68</v>
      </c>
      <c r="S3051">
        <v>0</v>
      </c>
      <c r="T3051">
        <v>1</v>
      </c>
    </row>
    <row r="3052" spans="1:20" ht="16.5" x14ac:dyDescent="0.3">
      <c r="A3052" t="s">
        <v>3106</v>
      </c>
      <c r="B3052" s="1">
        <v>45721</v>
      </c>
      <c r="C3052">
        <v>2025</v>
      </c>
      <c r="D3052" t="s">
        <v>21</v>
      </c>
      <c r="E3052" t="s">
        <v>437</v>
      </c>
      <c r="F3052" t="s">
        <v>34</v>
      </c>
      <c r="G3052" t="s">
        <v>35</v>
      </c>
      <c r="H3052" t="s">
        <v>48</v>
      </c>
      <c r="I3052" t="s">
        <v>31</v>
      </c>
      <c r="J3052" t="s">
        <v>27</v>
      </c>
      <c r="K3052" t="s">
        <v>32</v>
      </c>
      <c r="L3052" s="2">
        <v>5</v>
      </c>
      <c r="M3052" s="3">
        <v>576</v>
      </c>
      <c r="N3052">
        <v>6</v>
      </c>
      <c r="O3052">
        <v>6</v>
      </c>
      <c r="P3052">
        <v>1</v>
      </c>
      <c r="Q3052">
        <v>0</v>
      </c>
      <c r="R3052" s="4">
        <v>10.24</v>
      </c>
      <c r="S3052">
        <v>0</v>
      </c>
      <c r="T3052">
        <v>1</v>
      </c>
    </row>
    <row r="3053" spans="1:20" ht="16.5" x14ac:dyDescent="0.3">
      <c r="A3053" t="s">
        <v>3107</v>
      </c>
      <c r="B3053" s="1">
        <v>45721</v>
      </c>
      <c r="C3053">
        <v>2025</v>
      </c>
      <c r="D3053" t="s">
        <v>21</v>
      </c>
      <c r="E3053" t="s">
        <v>437</v>
      </c>
      <c r="F3053" t="s">
        <v>30</v>
      </c>
      <c r="G3053" t="s">
        <v>24</v>
      </c>
      <c r="H3053" t="s">
        <v>51</v>
      </c>
      <c r="I3053" t="s">
        <v>31</v>
      </c>
      <c r="J3053" t="s">
        <v>27</v>
      </c>
      <c r="K3053" t="s">
        <v>28</v>
      </c>
      <c r="L3053" s="2">
        <v>73.5</v>
      </c>
      <c r="M3053" s="3">
        <v>1302</v>
      </c>
      <c r="N3053">
        <v>7</v>
      </c>
      <c r="O3053">
        <v>7</v>
      </c>
      <c r="P3053">
        <v>1</v>
      </c>
      <c r="Q3053">
        <v>0</v>
      </c>
      <c r="R3053" s="4">
        <v>45.58</v>
      </c>
      <c r="S3053">
        <v>0</v>
      </c>
      <c r="T3053">
        <v>1</v>
      </c>
    </row>
    <row r="3054" spans="1:20" ht="16.5" x14ac:dyDescent="0.3">
      <c r="A3054" t="s">
        <v>3108</v>
      </c>
      <c r="B3054" s="1">
        <v>45721</v>
      </c>
      <c r="C3054">
        <v>2025</v>
      </c>
      <c r="D3054" t="s">
        <v>21</v>
      </c>
      <c r="E3054" t="s">
        <v>437</v>
      </c>
      <c r="F3054" t="s">
        <v>34</v>
      </c>
      <c r="G3054" t="s">
        <v>35</v>
      </c>
      <c r="H3054" t="s">
        <v>25</v>
      </c>
      <c r="I3054" t="s">
        <v>26</v>
      </c>
      <c r="J3054" t="s">
        <v>27</v>
      </c>
      <c r="K3054" t="s">
        <v>32</v>
      </c>
      <c r="L3054" s="2">
        <v>3.5</v>
      </c>
      <c r="M3054" s="3">
        <v>1150</v>
      </c>
      <c r="N3054">
        <v>4</v>
      </c>
      <c r="O3054">
        <v>4</v>
      </c>
      <c r="P3054">
        <v>1</v>
      </c>
      <c r="Q3054">
        <v>0</v>
      </c>
      <c r="R3054" s="4">
        <v>18.61</v>
      </c>
      <c r="S3054">
        <v>0</v>
      </c>
      <c r="T3054">
        <v>1</v>
      </c>
    </row>
    <row r="3055" spans="1:20" ht="16.5" x14ac:dyDescent="0.3">
      <c r="A3055" t="s">
        <v>3109</v>
      </c>
      <c r="B3055" s="1">
        <v>45721</v>
      </c>
      <c r="C3055">
        <v>2025</v>
      </c>
      <c r="D3055" t="s">
        <v>21</v>
      </c>
      <c r="E3055" t="s">
        <v>437</v>
      </c>
      <c r="F3055" t="s">
        <v>30</v>
      </c>
      <c r="G3055" t="s">
        <v>35</v>
      </c>
      <c r="H3055" t="s">
        <v>25</v>
      </c>
      <c r="I3055" t="s">
        <v>40</v>
      </c>
      <c r="J3055" t="s">
        <v>41</v>
      </c>
      <c r="K3055" t="s">
        <v>32</v>
      </c>
      <c r="L3055" s="2">
        <v>6.2</v>
      </c>
      <c r="M3055" s="3">
        <v>710</v>
      </c>
      <c r="N3055">
        <v>2</v>
      </c>
      <c r="O3055">
        <v>4</v>
      </c>
      <c r="P3055">
        <v>0</v>
      </c>
      <c r="Q3055">
        <v>2</v>
      </c>
      <c r="R3055" s="4">
        <v>68.150000000000006</v>
      </c>
      <c r="S3055">
        <v>0</v>
      </c>
      <c r="T3055">
        <v>1</v>
      </c>
    </row>
    <row r="3056" spans="1:20" ht="16.5" x14ac:dyDescent="0.3">
      <c r="A3056" t="s">
        <v>3110</v>
      </c>
      <c r="B3056" s="1">
        <v>45721</v>
      </c>
      <c r="C3056">
        <v>2025</v>
      </c>
      <c r="D3056" t="s">
        <v>21</v>
      </c>
      <c r="E3056" t="s">
        <v>437</v>
      </c>
      <c r="F3056" t="s">
        <v>34</v>
      </c>
      <c r="G3056" t="s">
        <v>24</v>
      </c>
      <c r="H3056" t="s">
        <v>36</v>
      </c>
      <c r="I3056" t="s">
        <v>31</v>
      </c>
      <c r="J3056" t="s">
        <v>27</v>
      </c>
      <c r="K3056" t="s">
        <v>28</v>
      </c>
      <c r="L3056" s="2">
        <v>82</v>
      </c>
      <c r="M3056" s="3">
        <v>192</v>
      </c>
      <c r="N3056">
        <v>5</v>
      </c>
      <c r="O3056">
        <v>4</v>
      </c>
      <c r="P3056">
        <v>1</v>
      </c>
      <c r="Q3056">
        <v>0</v>
      </c>
      <c r="R3056" s="4">
        <v>29.94</v>
      </c>
      <c r="S3056">
        <v>0</v>
      </c>
      <c r="T3056">
        <v>1</v>
      </c>
    </row>
    <row r="3057" spans="1:20" ht="16.5" x14ac:dyDescent="0.3">
      <c r="A3057" t="s">
        <v>3111</v>
      </c>
      <c r="B3057" s="1">
        <v>45721</v>
      </c>
      <c r="C3057">
        <v>2025</v>
      </c>
      <c r="D3057" t="s">
        <v>21</v>
      </c>
      <c r="E3057" t="s">
        <v>437</v>
      </c>
      <c r="F3057" t="s">
        <v>38</v>
      </c>
      <c r="G3057" t="s">
        <v>39</v>
      </c>
      <c r="H3057" t="s">
        <v>43</v>
      </c>
      <c r="I3057" t="s">
        <v>26</v>
      </c>
      <c r="J3057" t="s">
        <v>27</v>
      </c>
      <c r="K3057" t="s">
        <v>32</v>
      </c>
      <c r="L3057" s="2">
        <v>6.4</v>
      </c>
      <c r="M3057" s="3">
        <v>1199</v>
      </c>
      <c r="N3057">
        <v>5</v>
      </c>
      <c r="O3057">
        <v>5</v>
      </c>
      <c r="P3057">
        <v>1</v>
      </c>
      <c r="Q3057">
        <v>0</v>
      </c>
      <c r="R3057" s="4">
        <v>28</v>
      </c>
      <c r="S3057">
        <v>0</v>
      </c>
      <c r="T3057">
        <v>1</v>
      </c>
    </row>
    <row r="3058" spans="1:20" ht="16.5" x14ac:dyDescent="0.3">
      <c r="A3058" t="s">
        <v>3112</v>
      </c>
      <c r="B3058" s="1">
        <v>45721</v>
      </c>
      <c r="C3058">
        <v>2025</v>
      </c>
      <c r="D3058" t="s">
        <v>21</v>
      </c>
      <c r="E3058" t="s">
        <v>437</v>
      </c>
      <c r="F3058" t="s">
        <v>34</v>
      </c>
      <c r="G3058" t="s">
        <v>39</v>
      </c>
      <c r="H3058" t="s">
        <v>36</v>
      </c>
      <c r="I3058" t="s">
        <v>26</v>
      </c>
      <c r="J3058" t="s">
        <v>27</v>
      </c>
      <c r="K3058" t="s">
        <v>28</v>
      </c>
      <c r="L3058" s="2">
        <v>70.2</v>
      </c>
      <c r="M3058" s="3">
        <v>314</v>
      </c>
      <c r="N3058">
        <v>3</v>
      </c>
      <c r="O3058">
        <v>2</v>
      </c>
      <c r="P3058">
        <v>1</v>
      </c>
      <c r="Q3058">
        <v>0</v>
      </c>
      <c r="R3058" s="4">
        <v>37.340000000000003</v>
      </c>
      <c r="S3058">
        <v>0</v>
      </c>
      <c r="T3058">
        <v>1</v>
      </c>
    </row>
    <row r="3059" spans="1:20" ht="16.5" x14ac:dyDescent="0.3">
      <c r="A3059" t="s">
        <v>3113</v>
      </c>
      <c r="B3059" s="1">
        <v>45721</v>
      </c>
      <c r="C3059">
        <v>2025</v>
      </c>
      <c r="D3059" t="s">
        <v>21</v>
      </c>
      <c r="E3059" t="s">
        <v>437</v>
      </c>
      <c r="F3059" t="s">
        <v>34</v>
      </c>
      <c r="G3059" t="s">
        <v>39</v>
      </c>
      <c r="H3059" t="s">
        <v>48</v>
      </c>
      <c r="I3059" t="s">
        <v>31</v>
      </c>
      <c r="J3059" t="s">
        <v>27</v>
      </c>
      <c r="K3059" t="s">
        <v>28</v>
      </c>
      <c r="L3059" s="2">
        <v>80</v>
      </c>
      <c r="M3059" s="3">
        <v>435</v>
      </c>
      <c r="N3059">
        <v>6</v>
      </c>
      <c r="O3059">
        <v>5</v>
      </c>
      <c r="P3059">
        <v>1</v>
      </c>
      <c r="Q3059">
        <v>0</v>
      </c>
      <c r="R3059" s="4">
        <v>30.55</v>
      </c>
      <c r="S3059">
        <v>0</v>
      </c>
      <c r="T3059">
        <v>1</v>
      </c>
    </row>
    <row r="3060" spans="1:20" ht="16.5" x14ac:dyDescent="0.3">
      <c r="A3060" t="s">
        <v>3114</v>
      </c>
      <c r="B3060" s="1">
        <v>45721</v>
      </c>
      <c r="C3060">
        <v>2025</v>
      </c>
      <c r="D3060" t="s">
        <v>21</v>
      </c>
      <c r="E3060" t="s">
        <v>437</v>
      </c>
      <c r="F3060" t="s">
        <v>38</v>
      </c>
      <c r="G3060" t="s">
        <v>39</v>
      </c>
      <c r="H3060" t="s">
        <v>43</v>
      </c>
      <c r="I3060" t="s">
        <v>26</v>
      </c>
      <c r="J3060" t="s">
        <v>27</v>
      </c>
      <c r="K3060" t="s">
        <v>28</v>
      </c>
      <c r="L3060" s="2">
        <v>50.3</v>
      </c>
      <c r="M3060" s="3">
        <v>1291</v>
      </c>
      <c r="N3060">
        <v>5</v>
      </c>
      <c r="O3060">
        <v>4</v>
      </c>
      <c r="P3060">
        <v>1</v>
      </c>
      <c r="Q3060">
        <v>0</v>
      </c>
      <c r="R3060" s="4">
        <v>46.86</v>
      </c>
      <c r="S3060">
        <v>0</v>
      </c>
      <c r="T3060">
        <v>1</v>
      </c>
    </row>
    <row r="3061" spans="1:20" ht="16.5" x14ac:dyDescent="0.3">
      <c r="A3061" t="s">
        <v>3115</v>
      </c>
      <c r="B3061" s="1">
        <v>45722</v>
      </c>
      <c r="C3061">
        <v>2025</v>
      </c>
      <c r="D3061" t="s">
        <v>21</v>
      </c>
      <c r="E3061" t="s">
        <v>437</v>
      </c>
      <c r="F3061" t="s">
        <v>38</v>
      </c>
      <c r="G3061" t="s">
        <v>35</v>
      </c>
      <c r="H3061" t="s">
        <v>36</v>
      </c>
      <c r="I3061" t="s">
        <v>26</v>
      </c>
      <c r="J3061" t="s">
        <v>27</v>
      </c>
      <c r="K3061" t="s">
        <v>32</v>
      </c>
      <c r="L3061" s="2">
        <v>2.9</v>
      </c>
      <c r="M3061" s="3">
        <v>277</v>
      </c>
      <c r="N3061">
        <v>3</v>
      </c>
      <c r="O3061">
        <v>3</v>
      </c>
      <c r="P3061">
        <v>1</v>
      </c>
      <c r="Q3061">
        <v>0</v>
      </c>
      <c r="R3061" s="4">
        <v>12.43</v>
      </c>
      <c r="S3061">
        <v>0</v>
      </c>
      <c r="T3061">
        <v>1</v>
      </c>
    </row>
    <row r="3062" spans="1:20" ht="16.5" x14ac:dyDescent="0.3">
      <c r="A3062" t="s">
        <v>3116</v>
      </c>
      <c r="B3062" s="1">
        <v>45722</v>
      </c>
      <c r="C3062">
        <v>2025</v>
      </c>
      <c r="D3062" t="s">
        <v>21</v>
      </c>
      <c r="E3062" t="s">
        <v>437</v>
      </c>
      <c r="F3062" t="s">
        <v>57</v>
      </c>
      <c r="G3062" t="s">
        <v>39</v>
      </c>
      <c r="H3062" t="s">
        <v>25</v>
      </c>
      <c r="I3062" t="s">
        <v>26</v>
      </c>
      <c r="J3062" t="s">
        <v>27</v>
      </c>
      <c r="K3062" t="s">
        <v>32</v>
      </c>
      <c r="L3062" s="2">
        <v>9.8000000000000007</v>
      </c>
      <c r="M3062" s="3">
        <v>960</v>
      </c>
      <c r="N3062">
        <v>4</v>
      </c>
      <c r="O3062">
        <v>3</v>
      </c>
      <c r="P3062">
        <v>1</v>
      </c>
      <c r="Q3062">
        <v>0</v>
      </c>
      <c r="R3062" s="4">
        <v>24.99</v>
      </c>
      <c r="S3062">
        <v>0</v>
      </c>
      <c r="T3062">
        <v>1</v>
      </c>
    </row>
    <row r="3063" spans="1:20" ht="16.5" x14ac:dyDescent="0.3">
      <c r="A3063" t="s">
        <v>3117</v>
      </c>
      <c r="B3063" s="1">
        <v>45722</v>
      </c>
      <c r="C3063">
        <v>2025</v>
      </c>
      <c r="D3063" t="s">
        <v>21</v>
      </c>
      <c r="E3063" t="s">
        <v>437</v>
      </c>
      <c r="F3063" t="s">
        <v>30</v>
      </c>
      <c r="G3063" t="s">
        <v>39</v>
      </c>
      <c r="H3063" t="s">
        <v>36</v>
      </c>
      <c r="I3063" t="s">
        <v>31</v>
      </c>
      <c r="J3063" t="s">
        <v>27</v>
      </c>
      <c r="K3063" t="s">
        <v>32</v>
      </c>
      <c r="L3063" s="2">
        <v>11.4</v>
      </c>
      <c r="M3063" s="3">
        <v>282</v>
      </c>
      <c r="N3063">
        <v>5</v>
      </c>
      <c r="O3063">
        <v>5</v>
      </c>
      <c r="P3063">
        <v>1</v>
      </c>
      <c r="Q3063">
        <v>0</v>
      </c>
      <c r="R3063" s="4">
        <v>12.16</v>
      </c>
      <c r="S3063">
        <v>0</v>
      </c>
      <c r="T3063">
        <v>1</v>
      </c>
    </row>
    <row r="3064" spans="1:20" ht="16.5" x14ac:dyDescent="0.3">
      <c r="A3064" t="s">
        <v>3118</v>
      </c>
      <c r="B3064" s="1">
        <v>45722</v>
      </c>
      <c r="C3064">
        <v>2025</v>
      </c>
      <c r="D3064" t="s">
        <v>21</v>
      </c>
      <c r="E3064" t="s">
        <v>437</v>
      </c>
      <c r="F3064" t="s">
        <v>23</v>
      </c>
      <c r="G3064" t="s">
        <v>39</v>
      </c>
      <c r="H3064" t="s">
        <v>36</v>
      </c>
      <c r="I3064" t="s">
        <v>26</v>
      </c>
      <c r="J3064" t="s">
        <v>27</v>
      </c>
      <c r="K3064" t="s">
        <v>32</v>
      </c>
      <c r="L3064" s="2">
        <v>17.2</v>
      </c>
      <c r="M3064" s="3">
        <v>225</v>
      </c>
      <c r="N3064">
        <v>3</v>
      </c>
      <c r="O3064">
        <v>3</v>
      </c>
      <c r="P3064">
        <v>1</v>
      </c>
      <c r="Q3064">
        <v>0</v>
      </c>
      <c r="R3064" s="4">
        <v>19.05</v>
      </c>
      <c r="S3064">
        <v>0</v>
      </c>
      <c r="T3064">
        <v>1</v>
      </c>
    </row>
    <row r="3065" spans="1:20" ht="16.5" x14ac:dyDescent="0.3">
      <c r="A3065" t="s">
        <v>3119</v>
      </c>
      <c r="B3065" s="1">
        <v>45722</v>
      </c>
      <c r="C3065">
        <v>2025</v>
      </c>
      <c r="D3065" t="s">
        <v>21</v>
      </c>
      <c r="E3065" t="s">
        <v>437</v>
      </c>
      <c r="F3065" t="s">
        <v>34</v>
      </c>
      <c r="G3065" t="s">
        <v>39</v>
      </c>
      <c r="H3065" t="s">
        <v>43</v>
      </c>
      <c r="I3065" t="s">
        <v>26</v>
      </c>
      <c r="J3065" t="s">
        <v>27</v>
      </c>
      <c r="K3065" t="s">
        <v>28</v>
      </c>
      <c r="L3065" s="2">
        <v>144.4</v>
      </c>
      <c r="M3065" s="3">
        <v>1014</v>
      </c>
      <c r="N3065">
        <v>5</v>
      </c>
      <c r="O3065">
        <v>4</v>
      </c>
      <c r="P3065">
        <v>1</v>
      </c>
      <c r="Q3065">
        <v>0</v>
      </c>
      <c r="R3065" s="4">
        <v>67.97</v>
      </c>
      <c r="S3065">
        <v>0</v>
      </c>
      <c r="T3065">
        <v>1</v>
      </c>
    </row>
    <row r="3066" spans="1:20" ht="16.5" x14ac:dyDescent="0.3">
      <c r="A3066" t="s">
        <v>3120</v>
      </c>
      <c r="B3066" s="1">
        <v>45722</v>
      </c>
      <c r="C3066">
        <v>2025</v>
      </c>
      <c r="D3066" t="s">
        <v>21</v>
      </c>
      <c r="E3066" t="s">
        <v>437</v>
      </c>
      <c r="F3066" t="s">
        <v>57</v>
      </c>
      <c r="G3066" t="s">
        <v>39</v>
      </c>
      <c r="H3066" t="s">
        <v>36</v>
      </c>
      <c r="I3066" t="s">
        <v>40</v>
      </c>
      <c r="J3066" t="s">
        <v>27</v>
      </c>
      <c r="K3066" t="s">
        <v>32</v>
      </c>
      <c r="L3066" s="2">
        <v>9.4</v>
      </c>
      <c r="M3066" s="3">
        <v>232</v>
      </c>
      <c r="N3066">
        <v>1</v>
      </c>
      <c r="O3066">
        <v>1</v>
      </c>
      <c r="P3066">
        <v>1</v>
      </c>
      <c r="Q3066">
        <v>0</v>
      </c>
      <c r="R3066" s="4">
        <v>28.98</v>
      </c>
      <c r="S3066">
        <v>0</v>
      </c>
      <c r="T3066">
        <v>1</v>
      </c>
    </row>
    <row r="3067" spans="1:20" ht="16.5" x14ac:dyDescent="0.3">
      <c r="A3067" t="s">
        <v>3121</v>
      </c>
      <c r="B3067" s="1">
        <v>45722</v>
      </c>
      <c r="C3067">
        <v>2025</v>
      </c>
      <c r="D3067" t="s">
        <v>21</v>
      </c>
      <c r="E3067" t="s">
        <v>437</v>
      </c>
      <c r="F3067" t="s">
        <v>38</v>
      </c>
      <c r="G3067" t="s">
        <v>35</v>
      </c>
      <c r="H3067" t="s">
        <v>48</v>
      </c>
      <c r="I3067" t="s">
        <v>26</v>
      </c>
      <c r="J3067" t="s">
        <v>27</v>
      </c>
      <c r="K3067" t="s">
        <v>28</v>
      </c>
      <c r="L3067" s="2">
        <v>61.5</v>
      </c>
      <c r="M3067" s="3">
        <v>439</v>
      </c>
      <c r="N3067">
        <v>4</v>
      </c>
      <c r="O3067">
        <v>4</v>
      </c>
      <c r="P3067">
        <v>1</v>
      </c>
      <c r="Q3067">
        <v>0</v>
      </c>
      <c r="R3067" s="4">
        <v>45.96</v>
      </c>
      <c r="S3067">
        <v>0</v>
      </c>
      <c r="T3067">
        <v>1</v>
      </c>
    </row>
    <row r="3068" spans="1:20" ht="16.5" x14ac:dyDescent="0.3">
      <c r="A3068" t="s">
        <v>3122</v>
      </c>
      <c r="B3068" s="1">
        <v>45722</v>
      </c>
      <c r="C3068">
        <v>2025</v>
      </c>
      <c r="D3068" t="s">
        <v>21</v>
      </c>
      <c r="E3068" t="s">
        <v>437</v>
      </c>
      <c r="F3068" t="s">
        <v>34</v>
      </c>
      <c r="G3068" t="s">
        <v>35</v>
      </c>
      <c r="H3068" t="s">
        <v>48</v>
      </c>
      <c r="I3068" t="s">
        <v>26</v>
      </c>
      <c r="J3068" t="s">
        <v>27</v>
      </c>
      <c r="K3068" t="s">
        <v>32</v>
      </c>
      <c r="L3068" s="2">
        <v>9.1999999999999993</v>
      </c>
      <c r="M3068" s="3">
        <v>501</v>
      </c>
      <c r="N3068">
        <v>4</v>
      </c>
      <c r="O3068">
        <v>4</v>
      </c>
      <c r="P3068">
        <v>1</v>
      </c>
      <c r="Q3068">
        <v>0</v>
      </c>
      <c r="R3068" s="4">
        <v>15.84</v>
      </c>
      <c r="S3068">
        <v>0</v>
      </c>
      <c r="T3068">
        <v>1</v>
      </c>
    </row>
    <row r="3069" spans="1:20" ht="16.5" x14ac:dyDescent="0.3">
      <c r="A3069" t="s">
        <v>3123</v>
      </c>
      <c r="B3069" s="1">
        <v>45722</v>
      </c>
      <c r="C3069">
        <v>2025</v>
      </c>
      <c r="D3069" t="s">
        <v>21</v>
      </c>
      <c r="E3069" t="s">
        <v>437</v>
      </c>
      <c r="F3069" t="s">
        <v>57</v>
      </c>
      <c r="G3069" t="s">
        <v>24</v>
      </c>
      <c r="H3069" t="s">
        <v>43</v>
      </c>
      <c r="I3069" t="s">
        <v>26</v>
      </c>
      <c r="J3069" t="s">
        <v>27</v>
      </c>
      <c r="K3069" t="s">
        <v>32</v>
      </c>
      <c r="L3069" s="2">
        <v>2.9</v>
      </c>
      <c r="M3069" s="3">
        <v>1309</v>
      </c>
      <c r="N3069">
        <v>5</v>
      </c>
      <c r="O3069">
        <v>5</v>
      </c>
      <c r="P3069">
        <v>1</v>
      </c>
      <c r="Q3069">
        <v>0</v>
      </c>
      <c r="R3069" s="4">
        <v>25.03</v>
      </c>
      <c r="S3069">
        <v>0</v>
      </c>
      <c r="T3069">
        <v>1</v>
      </c>
    </row>
    <row r="3070" spans="1:20" ht="16.5" x14ac:dyDescent="0.3">
      <c r="A3070" t="s">
        <v>3124</v>
      </c>
      <c r="B3070" s="1">
        <v>45722</v>
      </c>
      <c r="C3070">
        <v>2025</v>
      </c>
      <c r="D3070" t="s">
        <v>21</v>
      </c>
      <c r="E3070" t="s">
        <v>437</v>
      </c>
      <c r="F3070" t="s">
        <v>34</v>
      </c>
      <c r="G3070" t="s">
        <v>35</v>
      </c>
      <c r="H3070" t="s">
        <v>43</v>
      </c>
      <c r="I3070" t="s">
        <v>40</v>
      </c>
      <c r="J3070" t="s">
        <v>41</v>
      </c>
      <c r="K3070" t="s">
        <v>28</v>
      </c>
      <c r="L3070" s="2">
        <v>231.7</v>
      </c>
      <c r="M3070" s="3">
        <v>1156</v>
      </c>
      <c r="N3070">
        <v>3</v>
      </c>
      <c r="O3070">
        <v>3</v>
      </c>
      <c r="P3070">
        <v>1</v>
      </c>
      <c r="Q3070">
        <v>0</v>
      </c>
      <c r="R3070" s="4">
        <v>290.63</v>
      </c>
      <c r="S3070">
        <v>0</v>
      </c>
      <c r="T3070">
        <v>1</v>
      </c>
    </row>
    <row r="3071" spans="1:20" ht="16.5" x14ac:dyDescent="0.3">
      <c r="A3071" t="s">
        <v>3125</v>
      </c>
      <c r="B3071" s="1">
        <v>45722</v>
      </c>
      <c r="C3071">
        <v>2025</v>
      </c>
      <c r="D3071" t="s">
        <v>21</v>
      </c>
      <c r="E3071" t="s">
        <v>437</v>
      </c>
      <c r="F3071" t="s">
        <v>38</v>
      </c>
      <c r="G3071" t="s">
        <v>39</v>
      </c>
      <c r="H3071" t="s">
        <v>36</v>
      </c>
      <c r="I3071" t="s">
        <v>40</v>
      </c>
      <c r="J3071" t="s">
        <v>27</v>
      </c>
      <c r="K3071" t="s">
        <v>32</v>
      </c>
      <c r="L3071" s="2">
        <v>9.3000000000000007</v>
      </c>
      <c r="M3071" s="3">
        <v>199</v>
      </c>
      <c r="N3071">
        <v>1</v>
      </c>
      <c r="O3071">
        <v>1</v>
      </c>
      <c r="P3071">
        <v>1</v>
      </c>
      <c r="Q3071">
        <v>0</v>
      </c>
      <c r="R3071" s="4">
        <v>27.02</v>
      </c>
      <c r="S3071">
        <v>0</v>
      </c>
      <c r="T3071">
        <v>1</v>
      </c>
    </row>
    <row r="3072" spans="1:20" ht="16.5" x14ac:dyDescent="0.3">
      <c r="A3072" t="s">
        <v>3126</v>
      </c>
      <c r="B3072" s="1">
        <v>45722</v>
      </c>
      <c r="C3072">
        <v>2025</v>
      </c>
      <c r="D3072" t="s">
        <v>21</v>
      </c>
      <c r="E3072" t="s">
        <v>437</v>
      </c>
      <c r="F3072" t="s">
        <v>34</v>
      </c>
      <c r="G3072" t="s">
        <v>35</v>
      </c>
      <c r="H3072" t="s">
        <v>43</v>
      </c>
      <c r="I3072" t="s">
        <v>26</v>
      </c>
      <c r="J3072" t="s">
        <v>27</v>
      </c>
      <c r="K3072" t="s">
        <v>28</v>
      </c>
      <c r="L3072" s="2">
        <v>266.3</v>
      </c>
      <c r="M3072" s="3">
        <v>1165</v>
      </c>
      <c r="N3072">
        <v>5</v>
      </c>
      <c r="O3072">
        <v>5</v>
      </c>
      <c r="P3072">
        <v>1</v>
      </c>
      <c r="Q3072">
        <v>0</v>
      </c>
      <c r="R3072" s="4">
        <v>113.98</v>
      </c>
      <c r="S3072">
        <v>0</v>
      </c>
      <c r="T3072">
        <v>1</v>
      </c>
    </row>
    <row r="3073" spans="1:20" ht="16.5" x14ac:dyDescent="0.3">
      <c r="A3073" t="s">
        <v>3127</v>
      </c>
      <c r="B3073" s="1">
        <v>45722</v>
      </c>
      <c r="C3073">
        <v>2025</v>
      </c>
      <c r="D3073" t="s">
        <v>21</v>
      </c>
      <c r="E3073" t="s">
        <v>437</v>
      </c>
      <c r="F3073" t="s">
        <v>23</v>
      </c>
      <c r="G3073" t="s">
        <v>35</v>
      </c>
      <c r="H3073" t="s">
        <v>36</v>
      </c>
      <c r="I3073" t="s">
        <v>26</v>
      </c>
      <c r="J3073" t="s">
        <v>27</v>
      </c>
      <c r="K3073" t="s">
        <v>28</v>
      </c>
      <c r="L3073" s="2">
        <v>162.30000000000001</v>
      </c>
      <c r="M3073" s="3">
        <v>190</v>
      </c>
      <c r="N3073">
        <v>3</v>
      </c>
      <c r="O3073">
        <v>3</v>
      </c>
      <c r="P3073">
        <v>1</v>
      </c>
      <c r="Q3073">
        <v>0</v>
      </c>
      <c r="R3073" s="4">
        <v>79.73</v>
      </c>
      <c r="S3073">
        <v>0</v>
      </c>
      <c r="T3073">
        <v>1</v>
      </c>
    </row>
    <row r="3074" spans="1:20" ht="16.5" x14ac:dyDescent="0.3">
      <c r="A3074" t="s">
        <v>3128</v>
      </c>
      <c r="B3074" s="1">
        <v>45722</v>
      </c>
      <c r="C3074">
        <v>2025</v>
      </c>
      <c r="D3074" t="s">
        <v>21</v>
      </c>
      <c r="E3074" t="s">
        <v>437</v>
      </c>
      <c r="F3074" t="s">
        <v>57</v>
      </c>
      <c r="G3074" t="s">
        <v>39</v>
      </c>
      <c r="H3074" t="s">
        <v>36</v>
      </c>
      <c r="I3074" t="s">
        <v>26</v>
      </c>
      <c r="J3074" t="s">
        <v>27</v>
      </c>
      <c r="K3074" t="s">
        <v>32</v>
      </c>
      <c r="L3074" s="2">
        <v>6.4</v>
      </c>
      <c r="M3074" s="3">
        <v>320</v>
      </c>
      <c r="N3074">
        <v>3</v>
      </c>
      <c r="O3074">
        <v>3</v>
      </c>
      <c r="P3074">
        <v>1</v>
      </c>
      <c r="Q3074">
        <v>0</v>
      </c>
      <c r="R3074" s="4">
        <v>15.16</v>
      </c>
      <c r="S3074">
        <v>0</v>
      </c>
      <c r="T3074">
        <v>1</v>
      </c>
    </row>
    <row r="3075" spans="1:20" ht="16.5" x14ac:dyDescent="0.3">
      <c r="A3075" t="s">
        <v>3129</v>
      </c>
      <c r="B3075" s="1">
        <v>45722</v>
      </c>
      <c r="C3075">
        <v>2025</v>
      </c>
      <c r="D3075" t="s">
        <v>21</v>
      </c>
      <c r="E3075" t="s">
        <v>437</v>
      </c>
      <c r="F3075" t="s">
        <v>34</v>
      </c>
      <c r="G3075" t="s">
        <v>39</v>
      </c>
      <c r="H3075" t="s">
        <v>48</v>
      </c>
      <c r="I3075" t="s">
        <v>31</v>
      </c>
      <c r="J3075" t="s">
        <v>27</v>
      </c>
      <c r="K3075" t="s">
        <v>32</v>
      </c>
      <c r="L3075" s="2">
        <v>5.7</v>
      </c>
      <c r="M3075" s="3">
        <v>457</v>
      </c>
      <c r="N3075">
        <v>6</v>
      </c>
      <c r="O3075">
        <v>6</v>
      </c>
      <c r="P3075">
        <v>1</v>
      </c>
      <c r="Q3075">
        <v>0</v>
      </c>
      <c r="R3075" s="4">
        <v>10</v>
      </c>
      <c r="S3075">
        <v>0</v>
      </c>
      <c r="T3075">
        <v>1</v>
      </c>
    </row>
    <row r="3076" spans="1:20" ht="16.5" x14ac:dyDescent="0.3">
      <c r="A3076" t="s">
        <v>3130</v>
      </c>
      <c r="B3076" s="1">
        <v>45723</v>
      </c>
      <c r="C3076">
        <v>2025</v>
      </c>
      <c r="D3076" t="s">
        <v>21</v>
      </c>
      <c r="E3076" t="s">
        <v>437</v>
      </c>
      <c r="F3076" t="s">
        <v>57</v>
      </c>
      <c r="G3076" t="s">
        <v>39</v>
      </c>
      <c r="H3076" t="s">
        <v>25</v>
      </c>
      <c r="I3076" t="s">
        <v>40</v>
      </c>
      <c r="J3076" t="s">
        <v>41</v>
      </c>
      <c r="K3076" t="s">
        <v>28</v>
      </c>
      <c r="L3076" s="2">
        <v>79.400000000000006</v>
      </c>
      <c r="M3076" s="3">
        <v>827</v>
      </c>
      <c r="N3076">
        <v>2</v>
      </c>
      <c r="O3076">
        <v>2</v>
      </c>
      <c r="P3076">
        <v>1</v>
      </c>
      <c r="Q3076">
        <v>0</v>
      </c>
      <c r="R3076" s="4">
        <v>159.66</v>
      </c>
      <c r="S3076">
        <v>0</v>
      </c>
      <c r="T3076">
        <v>1</v>
      </c>
    </row>
    <row r="3077" spans="1:20" ht="16.5" x14ac:dyDescent="0.3">
      <c r="A3077" t="s">
        <v>3131</v>
      </c>
      <c r="B3077" s="1">
        <v>45723</v>
      </c>
      <c r="C3077">
        <v>2025</v>
      </c>
      <c r="D3077" t="s">
        <v>21</v>
      </c>
      <c r="E3077" t="s">
        <v>437</v>
      </c>
      <c r="F3077" t="s">
        <v>34</v>
      </c>
      <c r="G3077" t="s">
        <v>39</v>
      </c>
      <c r="H3077" t="s">
        <v>36</v>
      </c>
      <c r="I3077" t="s">
        <v>26</v>
      </c>
      <c r="J3077" t="s">
        <v>27</v>
      </c>
      <c r="K3077" t="s">
        <v>32</v>
      </c>
      <c r="L3077" s="2">
        <v>17.5</v>
      </c>
      <c r="M3077" s="3">
        <v>243</v>
      </c>
      <c r="N3077">
        <v>3</v>
      </c>
      <c r="O3077">
        <v>3</v>
      </c>
      <c r="P3077">
        <v>1</v>
      </c>
      <c r="Q3077">
        <v>0</v>
      </c>
      <c r="R3077" s="4">
        <v>18.32</v>
      </c>
      <c r="S3077">
        <v>0</v>
      </c>
      <c r="T3077">
        <v>1</v>
      </c>
    </row>
    <row r="3078" spans="1:20" ht="16.5" x14ac:dyDescent="0.3">
      <c r="A3078" t="s">
        <v>3132</v>
      </c>
      <c r="B3078" s="1">
        <v>45723</v>
      </c>
      <c r="C3078">
        <v>2025</v>
      </c>
      <c r="D3078" t="s">
        <v>21</v>
      </c>
      <c r="E3078" t="s">
        <v>437</v>
      </c>
      <c r="F3078" t="s">
        <v>57</v>
      </c>
      <c r="G3078" t="s">
        <v>39</v>
      </c>
      <c r="H3078" t="s">
        <v>36</v>
      </c>
      <c r="I3078" t="s">
        <v>26</v>
      </c>
      <c r="J3078" t="s">
        <v>27</v>
      </c>
      <c r="K3078" t="s">
        <v>32</v>
      </c>
      <c r="L3078" s="2">
        <v>4.5999999999999996</v>
      </c>
      <c r="M3078" s="3">
        <v>236</v>
      </c>
      <c r="N3078">
        <v>3</v>
      </c>
      <c r="O3078">
        <v>2</v>
      </c>
      <c r="P3078">
        <v>1</v>
      </c>
      <c r="Q3078">
        <v>0</v>
      </c>
      <c r="R3078" s="4">
        <v>12.9</v>
      </c>
      <c r="S3078">
        <v>0</v>
      </c>
      <c r="T3078">
        <v>1</v>
      </c>
    </row>
    <row r="3079" spans="1:20" ht="16.5" x14ac:dyDescent="0.3">
      <c r="A3079" t="s">
        <v>3133</v>
      </c>
      <c r="B3079" s="1">
        <v>45723</v>
      </c>
      <c r="C3079">
        <v>2025</v>
      </c>
      <c r="D3079" t="s">
        <v>21</v>
      </c>
      <c r="E3079" t="s">
        <v>437</v>
      </c>
      <c r="F3079" t="s">
        <v>23</v>
      </c>
      <c r="G3079" t="s">
        <v>35</v>
      </c>
      <c r="H3079" t="s">
        <v>25</v>
      </c>
      <c r="I3079" t="s">
        <v>26</v>
      </c>
      <c r="J3079" t="s">
        <v>27</v>
      </c>
      <c r="K3079" t="s">
        <v>28</v>
      </c>
      <c r="L3079" s="2">
        <v>191.4</v>
      </c>
      <c r="M3079" s="3">
        <v>746</v>
      </c>
      <c r="N3079">
        <v>4</v>
      </c>
      <c r="O3079">
        <v>8</v>
      </c>
      <c r="P3079">
        <v>0</v>
      </c>
      <c r="Q3079">
        <v>4</v>
      </c>
      <c r="R3079" s="4">
        <v>90.81</v>
      </c>
      <c r="S3079">
        <v>0</v>
      </c>
      <c r="T3079">
        <v>1</v>
      </c>
    </row>
    <row r="3080" spans="1:20" ht="16.5" x14ac:dyDescent="0.3">
      <c r="A3080" t="s">
        <v>3134</v>
      </c>
      <c r="B3080" s="1">
        <v>45723</v>
      </c>
      <c r="C3080">
        <v>2025</v>
      </c>
      <c r="D3080" t="s">
        <v>21</v>
      </c>
      <c r="E3080" t="s">
        <v>437</v>
      </c>
      <c r="F3080" t="s">
        <v>30</v>
      </c>
      <c r="G3080" t="s">
        <v>24</v>
      </c>
      <c r="H3080" t="s">
        <v>51</v>
      </c>
      <c r="I3080" t="s">
        <v>26</v>
      </c>
      <c r="J3080" t="s">
        <v>27</v>
      </c>
      <c r="K3080" t="s">
        <v>28</v>
      </c>
      <c r="L3080" s="2">
        <v>22</v>
      </c>
      <c r="M3080" s="3">
        <v>1039</v>
      </c>
      <c r="N3080">
        <v>5</v>
      </c>
      <c r="O3080">
        <v>5</v>
      </c>
      <c r="P3080">
        <v>1</v>
      </c>
      <c r="Q3080">
        <v>0</v>
      </c>
      <c r="R3080" s="4">
        <v>31.58</v>
      </c>
      <c r="S3080">
        <v>0</v>
      </c>
      <c r="T3080">
        <v>1</v>
      </c>
    </row>
    <row r="3081" spans="1:20" ht="16.5" x14ac:dyDescent="0.3">
      <c r="A3081" t="s">
        <v>3135</v>
      </c>
      <c r="B3081" s="1">
        <v>45724</v>
      </c>
      <c r="C3081">
        <v>2025</v>
      </c>
      <c r="D3081" t="s">
        <v>21</v>
      </c>
      <c r="E3081" t="s">
        <v>437</v>
      </c>
      <c r="F3081" t="s">
        <v>57</v>
      </c>
      <c r="G3081" t="s">
        <v>24</v>
      </c>
      <c r="H3081" t="s">
        <v>36</v>
      </c>
      <c r="I3081" t="s">
        <v>40</v>
      </c>
      <c r="J3081" t="s">
        <v>27</v>
      </c>
      <c r="K3081" t="s">
        <v>32</v>
      </c>
      <c r="L3081" s="2">
        <v>4.2</v>
      </c>
      <c r="M3081" s="3">
        <v>240</v>
      </c>
      <c r="N3081">
        <v>1</v>
      </c>
      <c r="O3081">
        <v>1</v>
      </c>
      <c r="P3081">
        <v>1</v>
      </c>
      <c r="Q3081">
        <v>0</v>
      </c>
      <c r="R3081" s="4">
        <v>24.94</v>
      </c>
      <c r="S3081">
        <v>0</v>
      </c>
      <c r="T3081">
        <v>1</v>
      </c>
    </row>
    <row r="3082" spans="1:20" ht="16.5" x14ac:dyDescent="0.3">
      <c r="A3082" t="s">
        <v>3136</v>
      </c>
      <c r="B3082" s="1">
        <v>45724</v>
      </c>
      <c r="C3082">
        <v>2025</v>
      </c>
      <c r="D3082" t="s">
        <v>21</v>
      </c>
      <c r="E3082" t="s">
        <v>437</v>
      </c>
      <c r="F3082" t="s">
        <v>30</v>
      </c>
      <c r="G3082" t="s">
        <v>39</v>
      </c>
      <c r="H3082" t="s">
        <v>25</v>
      </c>
      <c r="I3082" t="s">
        <v>40</v>
      </c>
      <c r="J3082" t="s">
        <v>41</v>
      </c>
      <c r="K3082" t="s">
        <v>28</v>
      </c>
      <c r="L3082" s="2">
        <v>142.6</v>
      </c>
      <c r="M3082" s="3">
        <v>881</v>
      </c>
      <c r="N3082">
        <v>2</v>
      </c>
      <c r="O3082">
        <v>2</v>
      </c>
      <c r="P3082">
        <v>1</v>
      </c>
      <c r="Q3082">
        <v>0</v>
      </c>
      <c r="R3082" s="4">
        <v>246.83</v>
      </c>
      <c r="S3082">
        <v>0</v>
      </c>
      <c r="T3082">
        <v>1</v>
      </c>
    </row>
    <row r="3083" spans="1:20" ht="16.5" x14ac:dyDescent="0.3">
      <c r="A3083" t="s">
        <v>3137</v>
      </c>
      <c r="B3083" s="1">
        <v>45724</v>
      </c>
      <c r="C3083">
        <v>2025</v>
      </c>
      <c r="D3083" t="s">
        <v>21</v>
      </c>
      <c r="E3083" t="s">
        <v>437</v>
      </c>
      <c r="F3083" t="s">
        <v>57</v>
      </c>
      <c r="G3083" t="s">
        <v>39</v>
      </c>
      <c r="H3083" t="s">
        <v>25</v>
      </c>
      <c r="I3083" t="s">
        <v>26</v>
      </c>
      <c r="J3083" t="s">
        <v>27</v>
      </c>
      <c r="K3083" t="s">
        <v>28</v>
      </c>
      <c r="L3083" s="2">
        <v>98.8</v>
      </c>
      <c r="M3083" s="3">
        <v>1020</v>
      </c>
      <c r="N3083">
        <v>4</v>
      </c>
      <c r="O3083">
        <v>4</v>
      </c>
      <c r="P3083">
        <v>1</v>
      </c>
      <c r="Q3083">
        <v>0</v>
      </c>
      <c r="R3083" s="4">
        <v>70.430000000000007</v>
      </c>
      <c r="S3083">
        <v>0</v>
      </c>
      <c r="T3083">
        <v>1</v>
      </c>
    </row>
    <row r="3084" spans="1:20" ht="16.5" x14ac:dyDescent="0.3">
      <c r="A3084" t="s">
        <v>3138</v>
      </c>
      <c r="B3084" s="1">
        <v>45724</v>
      </c>
      <c r="C3084">
        <v>2025</v>
      </c>
      <c r="D3084" t="s">
        <v>21</v>
      </c>
      <c r="E3084" t="s">
        <v>437</v>
      </c>
      <c r="F3084" t="s">
        <v>57</v>
      </c>
      <c r="G3084" t="s">
        <v>39</v>
      </c>
      <c r="H3084" t="s">
        <v>51</v>
      </c>
      <c r="I3084" t="s">
        <v>26</v>
      </c>
      <c r="J3084" t="s">
        <v>27</v>
      </c>
      <c r="K3084" t="s">
        <v>32</v>
      </c>
      <c r="L3084" s="2">
        <v>11</v>
      </c>
      <c r="M3084" s="3">
        <v>1012</v>
      </c>
      <c r="N3084">
        <v>5</v>
      </c>
      <c r="O3084">
        <v>5</v>
      </c>
      <c r="P3084">
        <v>1</v>
      </c>
      <c r="Q3084">
        <v>0</v>
      </c>
      <c r="R3084" s="4">
        <v>26.35</v>
      </c>
      <c r="S3084">
        <v>0</v>
      </c>
      <c r="T3084">
        <v>1</v>
      </c>
    </row>
    <row r="3085" spans="1:20" ht="16.5" x14ac:dyDescent="0.3">
      <c r="A3085" t="s">
        <v>3139</v>
      </c>
      <c r="B3085" s="1">
        <v>45724</v>
      </c>
      <c r="C3085">
        <v>2025</v>
      </c>
      <c r="D3085" t="s">
        <v>21</v>
      </c>
      <c r="E3085" t="s">
        <v>437</v>
      </c>
      <c r="F3085" t="s">
        <v>30</v>
      </c>
      <c r="G3085" t="s">
        <v>35</v>
      </c>
      <c r="H3085" t="s">
        <v>36</v>
      </c>
      <c r="I3085" t="s">
        <v>26</v>
      </c>
      <c r="J3085" t="s">
        <v>27</v>
      </c>
      <c r="K3085" t="s">
        <v>32</v>
      </c>
      <c r="L3085" s="2">
        <v>5.2</v>
      </c>
      <c r="M3085" s="3">
        <v>314</v>
      </c>
      <c r="N3085">
        <v>3</v>
      </c>
      <c r="O3085">
        <v>3</v>
      </c>
      <c r="P3085">
        <v>1</v>
      </c>
      <c r="Q3085">
        <v>0</v>
      </c>
      <c r="R3085" s="4">
        <v>13.98</v>
      </c>
      <c r="S3085">
        <v>0</v>
      </c>
      <c r="T3085">
        <v>1</v>
      </c>
    </row>
    <row r="3086" spans="1:20" ht="16.5" x14ac:dyDescent="0.3">
      <c r="A3086" t="s">
        <v>3140</v>
      </c>
      <c r="B3086" s="1">
        <v>45724</v>
      </c>
      <c r="C3086">
        <v>2025</v>
      </c>
      <c r="D3086" t="s">
        <v>21</v>
      </c>
      <c r="E3086" t="s">
        <v>437</v>
      </c>
      <c r="F3086" t="s">
        <v>57</v>
      </c>
      <c r="G3086" t="s">
        <v>39</v>
      </c>
      <c r="H3086" t="s">
        <v>36</v>
      </c>
      <c r="I3086" t="s">
        <v>40</v>
      </c>
      <c r="J3086" t="s">
        <v>27</v>
      </c>
      <c r="K3086" t="s">
        <v>32</v>
      </c>
      <c r="L3086" s="2">
        <v>14.3</v>
      </c>
      <c r="M3086" s="3">
        <v>303</v>
      </c>
      <c r="N3086">
        <v>1</v>
      </c>
      <c r="O3086">
        <v>1</v>
      </c>
      <c r="P3086">
        <v>1</v>
      </c>
      <c r="Q3086">
        <v>0</v>
      </c>
      <c r="R3086" s="4">
        <v>34.840000000000003</v>
      </c>
      <c r="S3086">
        <v>0</v>
      </c>
      <c r="T3086">
        <v>1</v>
      </c>
    </row>
    <row r="3087" spans="1:20" ht="16.5" x14ac:dyDescent="0.3">
      <c r="A3087" t="s">
        <v>3141</v>
      </c>
      <c r="B3087" s="1">
        <v>45724</v>
      </c>
      <c r="C3087">
        <v>2025</v>
      </c>
      <c r="D3087" t="s">
        <v>21</v>
      </c>
      <c r="E3087" t="s">
        <v>437</v>
      </c>
      <c r="F3087" t="s">
        <v>57</v>
      </c>
      <c r="G3087" t="s">
        <v>24</v>
      </c>
      <c r="H3087" t="s">
        <v>36</v>
      </c>
      <c r="I3087" t="s">
        <v>40</v>
      </c>
      <c r="J3087" t="s">
        <v>27</v>
      </c>
      <c r="K3087" t="s">
        <v>32</v>
      </c>
      <c r="L3087" s="2">
        <v>6.6</v>
      </c>
      <c r="M3087" s="3">
        <v>303</v>
      </c>
      <c r="N3087">
        <v>1</v>
      </c>
      <c r="O3087">
        <v>1</v>
      </c>
      <c r="P3087">
        <v>1</v>
      </c>
      <c r="Q3087">
        <v>0</v>
      </c>
      <c r="R3087" s="4">
        <v>29.38</v>
      </c>
      <c r="S3087">
        <v>0</v>
      </c>
      <c r="T3087">
        <v>1</v>
      </c>
    </row>
    <row r="3088" spans="1:20" ht="16.5" x14ac:dyDescent="0.3">
      <c r="A3088" t="s">
        <v>3142</v>
      </c>
      <c r="B3088" s="1">
        <v>45724</v>
      </c>
      <c r="C3088">
        <v>2025</v>
      </c>
      <c r="D3088" t="s">
        <v>21</v>
      </c>
      <c r="E3088" t="s">
        <v>437</v>
      </c>
      <c r="F3088" t="s">
        <v>38</v>
      </c>
      <c r="G3088" t="s">
        <v>39</v>
      </c>
      <c r="H3088" t="s">
        <v>51</v>
      </c>
      <c r="I3088" t="s">
        <v>26</v>
      </c>
      <c r="J3088" t="s">
        <v>27</v>
      </c>
      <c r="K3088" t="s">
        <v>32</v>
      </c>
      <c r="L3088" s="2">
        <v>8.1999999999999993</v>
      </c>
      <c r="M3088" s="3">
        <v>1112</v>
      </c>
      <c r="N3088">
        <v>5</v>
      </c>
      <c r="O3088">
        <v>6</v>
      </c>
      <c r="P3088">
        <v>0</v>
      </c>
      <c r="Q3088">
        <v>1</v>
      </c>
      <c r="R3088" s="4">
        <v>31.63</v>
      </c>
      <c r="S3088">
        <v>0</v>
      </c>
      <c r="T3088">
        <v>1</v>
      </c>
    </row>
    <row r="3089" spans="1:20" ht="16.5" x14ac:dyDescent="0.3">
      <c r="A3089" t="s">
        <v>3143</v>
      </c>
      <c r="B3089" s="1">
        <v>45724</v>
      </c>
      <c r="C3089">
        <v>2025</v>
      </c>
      <c r="D3089" t="s">
        <v>21</v>
      </c>
      <c r="E3089" t="s">
        <v>437</v>
      </c>
      <c r="F3089" t="s">
        <v>57</v>
      </c>
      <c r="G3089" t="s">
        <v>24</v>
      </c>
      <c r="H3089" t="s">
        <v>48</v>
      </c>
      <c r="I3089" t="s">
        <v>26</v>
      </c>
      <c r="J3089" t="s">
        <v>27</v>
      </c>
      <c r="K3089" t="s">
        <v>32</v>
      </c>
      <c r="L3089" s="2">
        <v>8.6</v>
      </c>
      <c r="M3089" s="3">
        <v>426</v>
      </c>
      <c r="N3089">
        <v>4</v>
      </c>
      <c r="O3089">
        <v>4</v>
      </c>
      <c r="P3089">
        <v>1</v>
      </c>
      <c r="Q3089">
        <v>0</v>
      </c>
      <c r="R3089" s="4">
        <v>15.85</v>
      </c>
      <c r="S3089">
        <v>0</v>
      </c>
      <c r="T3089">
        <v>1</v>
      </c>
    </row>
    <row r="3090" spans="1:20" ht="16.5" x14ac:dyDescent="0.3">
      <c r="A3090" t="s">
        <v>3144</v>
      </c>
      <c r="B3090" s="1">
        <v>45724</v>
      </c>
      <c r="C3090">
        <v>2025</v>
      </c>
      <c r="D3090" t="s">
        <v>21</v>
      </c>
      <c r="E3090" t="s">
        <v>437</v>
      </c>
      <c r="F3090" t="s">
        <v>38</v>
      </c>
      <c r="G3090" t="s">
        <v>39</v>
      </c>
      <c r="H3090" t="s">
        <v>43</v>
      </c>
      <c r="I3090" t="s">
        <v>40</v>
      </c>
      <c r="J3090" t="s">
        <v>41</v>
      </c>
      <c r="K3090" t="s">
        <v>28</v>
      </c>
      <c r="L3090" s="2">
        <v>21.9</v>
      </c>
      <c r="M3090" s="3">
        <v>1193</v>
      </c>
      <c r="N3090">
        <v>3</v>
      </c>
      <c r="O3090">
        <v>3</v>
      </c>
      <c r="P3090">
        <v>1</v>
      </c>
      <c r="Q3090">
        <v>0</v>
      </c>
      <c r="R3090" s="4">
        <v>106.14</v>
      </c>
      <c r="S3090">
        <v>0</v>
      </c>
      <c r="T3090">
        <v>1</v>
      </c>
    </row>
    <row r="3091" spans="1:20" ht="16.5" x14ac:dyDescent="0.3">
      <c r="A3091" t="s">
        <v>3145</v>
      </c>
      <c r="B3091" s="1">
        <v>45725</v>
      </c>
      <c r="C3091">
        <v>2025</v>
      </c>
      <c r="D3091" t="s">
        <v>21</v>
      </c>
      <c r="E3091" t="s">
        <v>437</v>
      </c>
      <c r="F3091" t="s">
        <v>38</v>
      </c>
      <c r="G3091" t="s">
        <v>35</v>
      </c>
      <c r="H3091" t="s">
        <v>36</v>
      </c>
      <c r="I3091" t="s">
        <v>40</v>
      </c>
      <c r="J3091" t="s">
        <v>27</v>
      </c>
      <c r="K3091" t="s">
        <v>28</v>
      </c>
      <c r="L3091" s="2">
        <v>438</v>
      </c>
      <c r="M3091" s="3">
        <v>254</v>
      </c>
      <c r="N3091">
        <v>1</v>
      </c>
      <c r="O3091">
        <v>1</v>
      </c>
      <c r="P3091">
        <v>1</v>
      </c>
      <c r="Q3091">
        <v>0</v>
      </c>
      <c r="R3091" s="4">
        <v>361.21</v>
      </c>
      <c r="S3091">
        <v>0</v>
      </c>
      <c r="T3091">
        <v>1</v>
      </c>
    </row>
    <row r="3092" spans="1:20" ht="16.5" x14ac:dyDescent="0.3">
      <c r="A3092" t="s">
        <v>3146</v>
      </c>
      <c r="B3092" s="1">
        <v>45725</v>
      </c>
      <c r="C3092">
        <v>2025</v>
      </c>
      <c r="D3092" t="s">
        <v>21</v>
      </c>
      <c r="E3092" t="s">
        <v>437</v>
      </c>
      <c r="F3092" t="s">
        <v>38</v>
      </c>
      <c r="G3092" t="s">
        <v>39</v>
      </c>
      <c r="H3092" t="s">
        <v>36</v>
      </c>
      <c r="I3092" t="s">
        <v>40</v>
      </c>
      <c r="J3092" t="s">
        <v>27</v>
      </c>
      <c r="K3092" t="s">
        <v>32</v>
      </c>
      <c r="L3092" s="2">
        <v>7.8</v>
      </c>
      <c r="M3092" s="3">
        <v>258</v>
      </c>
      <c r="N3092">
        <v>1</v>
      </c>
      <c r="O3092">
        <v>1</v>
      </c>
      <c r="P3092">
        <v>1</v>
      </c>
      <c r="Q3092">
        <v>0</v>
      </c>
      <c r="R3092" s="4">
        <v>29.1</v>
      </c>
      <c r="S3092">
        <v>0</v>
      </c>
      <c r="T3092">
        <v>1</v>
      </c>
    </row>
    <row r="3093" spans="1:20" ht="16.5" x14ac:dyDescent="0.3">
      <c r="A3093" t="s">
        <v>3147</v>
      </c>
      <c r="B3093" s="1">
        <v>45725</v>
      </c>
      <c r="C3093">
        <v>2025</v>
      </c>
      <c r="D3093" t="s">
        <v>21</v>
      </c>
      <c r="E3093" t="s">
        <v>437</v>
      </c>
      <c r="F3093" t="s">
        <v>34</v>
      </c>
      <c r="G3093" t="s">
        <v>39</v>
      </c>
      <c r="H3093" t="s">
        <v>36</v>
      </c>
      <c r="I3093" t="s">
        <v>31</v>
      </c>
      <c r="J3093" t="s">
        <v>27</v>
      </c>
      <c r="K3093" t="s">
        <v>32</v>
      </c>
      <c r="L3093" s="2">
        <v>2.9</v>
      </c>
      <c r="M3093" s="3">
        <v>288</v>
      </c>
      <c r="N3093">
        <v>5</v>
      </c>
      <c r="O3093">
        <v>4</v>
      </c>
      <c r="P3093">
        <v>1</v>
      </c>
      <c r="Q3093">
        <v>0</v>
      </c>
      <c r="R3093" s="4">
        <v>7.23</v>
      </c>
      <c r="S3093">
        <v>0</v>
      </c>
      <c r="T3093">
        <v>1</v>
      </c>
    </row>
    <row r="3094" spans="1:20" ht="16.5" x14ac:dyDescent="0.3">
      <c r="A3094" t="s">
        <v>3148</v>
      </c>
      <c r="B3094" s="1">
        <v>45726</v>
      </c>
      <c r="C3094">
        <v>2025</v>
      </c>
      <c r="D3094" t="s">
        <v>21</v>
      </c>
      <c r="E3094" t="s">
        <v>437</v>
      </c>
      <c r="F3094" t="s">
        <v>34</v>
      </c>
      <c r="G3094" t="s">
        <v>24</v>
      </c>
      <c r="H3094" t="s">
        <v>51</v>
      </c>
      <c r="I3094" t="s">
        <v>40</v>
      </c>
      <c r="J3094" t="s">
        <v>41</v>
      </c>
      <c r="K3094" t="s">
        <v>32</v>
      </c>
      <c r="L3094" s="2">
        <v>1.1000000000000001</v>
      </c>
      <c r="M3094" s="3">
        <v>801</v>
      </c>
      <c r="N3094">
        <v>3</v>
      </c>
      <c r="O3094">
        <v>2</v>
      </c>
      <c r="P3094">
        <v>1</v>
      </c>
      <c r="Q3094">
        <v>0</v>
      </c>
      <c r="R3094" s="4">
        <v>45.92</v>
      </c>
      <c r="S3094">
        <v>0</v>
      </c>
      <c r="T3094">
        <v>1</v>
      </c>
    </row>
    <row r="3095" spans="1:20" ht="16.5" x14ac:dyDescent="0.3">
      <c r="A3095" t="s">
        <v>3149</v>
      </c>
      <c r="B3095" s="1">
        <v>45726</v>
      </c>
      <c r="C3095">
        <v>2025</v>
      </c>
      <c r="D3095" t="s">
        <v>21</v>
      </c>
      <c r="E3095" t="s">
        <v>437</v>
      </c>
      <c r="F3095" t="s">
        <v>34</v>
      </c>
      <c r="G3095" t="s">
        <v>24</v>
      </c>
      <c r="H3095" t="s">
        <v>25</v>
      </c>
      <c r="I3095" t="s">
        <v>40</v>
      </c>
      <c r="J3095" t="s">
        <v>41</v>
      </c>
      <c r="K3095" t="s">
        <v>32</v>
      </c>
      <c r="L3095" s="2">
        <v>4.5</v>
      </c>
      <c r="M3095" s="3">
        <v>1049</v>
      </c>
      <c r="N3095">
        <v>2</v>
      </c>
      <c r="O3095">
        <v>2</v>
      </c>
      <c r="P3095">
        <v>1</v>
      </c>
      <c r="Q3095">
        <v>0</v>
      </c>
      <c r="R3095" s="4">
        <v>56.74</v>
      </c>
      <c r="S3095">
        <v>0</v>
      </c>
      <c r="T3095">
        <v>1</v>
      </c>
    </row>
    <row r="3096" spans="1:20" ht="16.5" x14ac:dyDescent="0.3">
      <c r="A3096" t="s">
        <v>3150</v>
      </c>
      <c r="B3096" s="1">
        <v>45726</v>
      </c>
      <c r="C3096">
        <v>2025</v>
      </c>
      <c r="D3096" t="s">
        <v>21</v>
      </c>
      <c r="E3096" t="s">
        <v>437</v>
      </c>
      <c r="F3096" t="s">
        <v>57</v>
      </c>
      <c r="G3096" t="s">
        <v>39</v>
      </c>
      <c r="H3096" t="s">
        <v>51</v>
      </c>
      <c r="I3096" t="s">
        <v>26</v>
      </c>
      <c r="J3096" t="s">
        <v>27</v>
      </c>
      <c r="K3096" t="s">
        <v>32</v>
      </c>
      <c r="L3096" s="2">
        <v>2.6</v>
      </c>
      <c r="M3096" s="3">
        <v>757</v>
      </c>
      <c r="N3096">
        <v>5</v>
      </c>
      <c r="O3096">
        <v>7</v>
      </c>
      <c r="P3096">
        <v>0</v>
      </c>
      <c r="Q3096">
        <v>2</v>
      </c>
      <c r="R3096" s="4">
        <v>17.28</v>
      </c>
      <c r="S3096">
        <v>0</v>
      </c>
      <c r="T3096">
        <v>1</v>
      </c>
    </row>
    <row r="3097" spans="1:20" ht="16.5" x14ac:dyDescent="0.3">
      <c r="A3097" t="s">
        <v>3151</v>
      </c>
      <c r="B3097" s="1">
        <v>45726</v>
      </c>
      <c r="C3097">
        <v>2025</v>
      </c>
      <c r="D3097" t="s">
        <v>21</v>
      </c>
      <c r="E3097" t="s">
        <v>437</v>
      </c>
      <c r="F3097" t="s">
        <v>23</v>
      </c>
      <c r="G3097" t="s">
        <v>39</v>
      </c>
      <c r="H3097" t="s">
        <v>51</v>
      </c>
      <c r="I3097" t="s">
        <v>40</v>
      </c>
      <c r="J3097" t="s">
        <v>41</v>
      </c>
      <c r="K3097" t="s">
        <v>32</v>
      </c>
      <c r="L3097" s="2">
        <v>14.7</v>
      </c>
      <c r="M3097" s="3">
        <v>984</v>
      </c>
      <c r="N3097">
        <v>3</v>
      </c>
      <c r="O3097">
        <v>3</v>
      </c>
      <c r="P3097">
        <v>1</v>
      </c>
      <c r="Q3097">
        <v>0</v>
      </c>
      <c r="R3097" s="4">
        <v>65.83</v>
      </c>
      <c r="S3097">
        <v>0</v>
      </c>
      <c r="T3097">
        <v>1</v>
      </c>
    </row>
    <row r="3098" spans="1:20" ht="16.5" x14ac:dyDescent="0.3">
      <c r="A3098" t="s">
        <v>3152</v>
      </c>
      <c r="B3098" s="1">
        <v>45726</v>
      </c>
      <c r="C3098">
        <v>2025</v>
      </c>
      <c r="D3098" t="s">
        <v>21</v>
      </c>
      <c r="E3098" t="s">
        <v>437</v>
      </c>
      <c r="F3098" t="s">
        <v>34</v>
      </c>
      <c r="G3098" t="s">
        <v>24</v>
      </c>
      <c r="H3098" t="s">
        <v>25</v>
      </c>
      <c r="I3098" t="s">
        <v>31</v>
      </c>
      <c r="J3098" t="s">
        <v>27</v>
      </c>
      <c r="K3098" t="s">
        <v>32</v>
      </c>
      <c r="L3098" s="2">
        <v>17.5</v>
      </c>
      <c r="M3098" s="3">
        <v>880</v>
      </c>
      <c r="N3098">
        <v>6</v>
      </c>
      <c r="O3098">
        <v>6</v>
      </c>
      <c r="P3098">
        <v>1</v>
      </c>
      <c r="Q3098">
        <v>0</v>
      </c>
      <c r="R3098" s="4">
        <v>17.239999999999998</v>
      </c>
      <c r="S3098">
        <v>0</v>
      </c>
      <c r="T3098">
        <v>1</v>
      </c>
    </row>
    <row r="3099" spans="1:20" ht="16.5" x14ac:dyDescent="0.3">
      <c r="A3099" t="s">
        <v>3153</v>
      </c>
      <c r="B3099" s="1">
        <v>45726</v>
      </c>
      <c r="C3099">
        <v>2025</v>
      </c>
      <c r="D3099" t="s">
        <v>21</v>
      </c>
      <c r="E3099" t="s">
        <v>437</v>
      </c>
      <c r="F3099" t="s">
        <v>38</v>
      </c>
      <c r="G3099" t="s">
        <v>39</v>
      </c>
      <c r="H3099" t="s">
        <v>36</v>
      </c>
      <c r="I3099" t="s">
        <v>31</v>
      </c>
      <c r="J3099" t="s">
        <v>27</v>
      </c>
      <c r="K3099" t="s">
        <v>32</v>
      </c>
      <c r="L3099" s="2">
        <v>6.2</v>
      </c>
      <c r="M3099" s="3">
        <v>256</v>
      </c>
      <c r="N3099">
        <v>5</v>
      </c>
      <c r="O3099">
        <v>7</v>
      </c>
      <c r="P3099">
        <v>0</v>
      </c>
      <c r="Q3099">
        <v>2</v>
      </c>
      <c r="R3099" s="4">
        <v>10.64</v>
      </c>
      <c r="S3099">
        <v>0</v>
      </c>
      <c r="T3099">
        <v>1</v>
      </c>
    </row>
    <row r="3100" spans="1:20" ht="16.5" x14ac:dyDescent="0.3">
      <c r="A3100" t="s">
        <v>3154</v>
      </c>
      <c r="B3100" s="1">
        <v>45726</v>
      </c>
      <c r="C3100">
        <v>2025</v>
      </c>
      <c r="D3100" t="s">
        <v>21</v>
      </c>
      <c r="E3100" t="s">
        <v>437</v>
      </c>
      <c r="F3100" t="s">
        <v>23</v>
      </c>
      <c r="G3100" t="s">
        <v>35</v>
      </c>
      <c r="H3100" t="s">
        <v>25</v>
      </c>
      <c r="I3100" t="s">
        <v>31</v>
      </c>
      <c r="J3100" t="s">
        <v>27</v>
      </c>
      <c r="K3100" t="s">
        <v>32</v>
      </c>
      <c r="L3100" s="2">
        <v>5.4</v>
      </c>
      <c r="M3100" s="3">
        <v>962</v>
      </c>
      <c r="N3100">
        <v>6</v>
      </c>
      <c r="O3100">
        <v>6</v>
      </c>
      <c r="P3100">
        <v>1</v>
      </c>
      <c r="Q3100">
        <v>0</v>
      </c>
      <c r="R3100" s="4">
        <v>14.26</v>
      </c>
      <c r="S3100">
        <v>0</v>
      </c>
      <c r="T3100">
        <v>1</v>
      </c>
    </row>
    <row r="3101" spans="1:20" ht="16.5" x14ac:dyDescent="0.3">
      <c r="A3101" t="s">
        <v>3155</v>
      </c>
      <c r="B3101" s="1">
        <v>45726</v>
      </c>
      <c r="C3101">
        <v>2025</v>
      </c>
      <c r="D3101" t="s">
        <v>21</v>
      </c>
      <c r="E3101" t="s">
        <v>437</v>
      </c>
      <c r="F3101" t="s">
        <v>38</v>
      </c>
      <c r="G3101" t="s">
        <v>35</v>
      </c>
      <c r="H3101" t="s">
        <v>48</v>
      </c>
      <c r="I3101" t="s">
        <v>31</v>
      </c>
      <c r="J3101" t="s">
        <v>27</v>
      </c>
      <c r="K3101" t="s">
        <v>32</v>
      </c>
      <c r="L3101" s="2">
        <v>1.5</v>
      </c>
      <c r="M3101" s="3">
        <v>488</v>
      </c>
      <c r="N3101">
        <v>6</v>
      </c>
      <c r="O3101">
        <v>5</v>
      </c>
      <c r="P3101">
        <v>1</v>
      </c>
      <c r="Q3101">
        <v>0</v>
      </c>
      <c r="R3101" s="4">
        <v>10.210000000000001</v>
      </c>
      <c r="S3101">
        <v>0</v>
      </c>
      <c r="T3101">
        <v>1</v>
      </c>
    </row>
    <row r="3102" spans="1:20" ht="16.5" x14ac:dyDescent="0.3">
      <c r="A3102" t="s">
        <v>3156</v>
      </c>
      <c r="B3102" s="1">
        <v>45726</v>
      </c>
      <c r="C3102">
        <v>2025</v>
      </c>
      <c r="D3102" t="s">
        <v>21</v>
      </c>
      <c r="E3102" t="s">
        <v>437</v>
      </c>
      <c r="F3102" t="s">
        <v>34</v>
      </c>
      <c r="G3102" t="s">
        <v>35</v>
      </c>
      <c r="H3102" t="s">
        <v>25</v>
      </c>
      <c r="I3102" t="s">
        <v>31</v>
      </c>
      <c r="J3102" t="s">
        <v>27</v>
      </c>
      <c r="K3102" t="s">
        <v>32</v>
      </c>
      <c r="L3102" s="2">
        <v>5.6</v>
      </c>
      <c r="M3102" s="3">
        <v>992</v>
      </c>
      <c r="N3102">
        <v>6</v>
      </c>
      <c r="O3102">
        <v>6</v>
      </c>
      <c r="P3102">
        <v>1</v>
      </c>
      <c r="Q3102">
        <v>0</v>
      </c>
      <c r="R3102" s="4">
        <v>13.84</v>
      </c>
      <c r="S3102">
        <v>0</v>
      </c>
      <c r="T3102">
        <v>1</v>
      </c>
    </row>
    <row r="3103" spans="1:20" ht="16.5" x14ac:dyDescent="0.3">
      <c r="A3103" t="s">
        <v>3157</v>
      </c>
      <c r="B3103" s="1">
        <v>45727</v>
      </c>
      <c r="C3103">
        <v>2025</v>
      </c>
      <c r="D3103" t="s">
        <v>21</v>
      </c>
      <c r="E3103" t="s">
        <v>437</v>
      </c>
      <c r="F3103" t="s">
        <v>38</v>
      </c>
      <c r="G3103" t="s">
        <v>35</v>
      </c>
      <c r="H3103" t="s">
        <v>36</v>
      </c>
      <c r="I3103" t="s">
        <v>31</v>
      </c>
      <c r="J3103" t="s">
        <v>27</v>
      </c>
      <c r="K3103" t="s">
        <v>32</v>
      </c>
      <c r="L3103" s="2">
        <v>7.8</v>
      </c>
      <c r="M3103" s="3">
        <v>173</v>
      </c>
      <c r="N3103">
        <v>5</v>
      </c>
      <c r="O3103">
        <v>4</v>
      </c>
      <c r="P3103">
        <v>1</v>
      </c>
      <c r="Q3103">
        <v>0</v>
      </c>
      <c r="R3103" s="4">
        <v>10.35</v>
      </c>
      <c r="S3103">
        <v>0</v>
      </c>
      <c r="T3103">
        <v>1</v>
      </c>
    </row>
    <row r="3104" spans="1:20" ht="16.5" x14ac:dyDescent="0.3">
      <c r="A3104" t="s">
        <v>3158</v>
      </c>
      <c r="B3104" s="1">
        <v>45727</v>
      </c>
      <c r="C3104">
        <v>2025</v>
      </c>
      <c r="D3104" t="s">
        <v>21</v>
      </c>
      <c r="E3104" t="s">
        <v>437</v>
      </c>
      <c r="F3104" t="s">
        <v>23</v>
      </c>
      <c r="G3104" t="s">
        <v>35</v>
      </c>
      <c r="H3104" t="s">
        <v>25</v>
      </c>
      <c r="I3104" t="s">
        <v>31</v>
      </c>
      <c r="J3104" t="s">
        <v>27</v>
      </c>
      <c r="K3104" t="s">
        <v>32</v>
      </c>
      <c r="L3104" s="2">
        <v>5.7</v>
      </c>
      <c r="M3104" s="3">
        <v>862</v>
      </c>
      <c r="N3104">
        <v>6</v>
      </c>
      <c r="O3104">
        <v>6</v>
      </c>
      <c r="P3104">
        <v>1</v>
      </c>
      <c r="Q3104">
        <v>0</v>
      </c>
      <c r="R3104" s="4">
        <v>13.45</v>
      </c>
      <c r="S3104">
        <v>0</v>
      </c>
      <c r="T3104">
        <v>1</v>
      </c>
    </row>
    <row r="3105" spans="1:20" ht="16.5" x14ac:dyDescent="0.3">
      <c r="A3105" t="s">
        <v>3159</v>
      </c>
      <c r="B3105" s="1">
        <v>45727</v>
      </c>
      <c r="C3105">
        <v>2025</v>
      </c>
      <c r="D3105" t="s">
        <v>21</v>
      </c>
      <c r="E3105" t="s">
        <v>437</v>
      </c>
      <c r="F3105" t="s">
        <v>57</v>
      </c>
      <c r="G3105" t="s">
        <v>24</v>
      </c>
      <c r="H3105" t="s">
        <v>43</v>
      </c>
      <c r="I3105" t="s">
        <v>40</v>
      </c>
      <c r="J3105" t="s">
        <v>41</v>
      </c>
      <c r="K3105" t="s">
        <v>32</v>
      </c>
      <c r="L3105" s="2">
        <v>4.3</v>
      </c>
      <c r="M3105" s="3">
        <v>1196</v>
      </c>
      <c r="N3105">
        <v>3</v>
      </c>
      <c r="O3105">
        <v>2</v>
      </c>
      <c r="P3105">
        <v>1</v>
      </c>
      <c r="Q3105">
        <v>0</v>
      </c>
      <c r="R3105" s="4">
        <v>71.13</v>
      </c>
      <c r="S3105">
        <v>0</v>
      </c>
      <c r="T3105">
        <v>1</v>
      </c>
    </row>
    <row r="3106" spans="1:20" ht="16.5" x14ac:dyDescent="0.3">
      <c r="A3106" t="s">
        <v>3160</v>
      </c>
      <c r="B3106" s="1">
        <v>45727</v>
      </c>
      <c r="C3106">
        <v>2025</v>
      </c>
      <c r="D3106" t="s">
        <v>21</v>
      </c>
      <c r="E3106" t="s">
        <v>437</v>
      </c>
      <c r="F3106" t="s">
        <v>38</v>
      </c>
      <c r="G3106" t="s">
        <v>35</v>
      </c>
      <c r="H3106" t="s">
        <v>48</v>
      </c>
      <c r="I3106" t="s">
        <v>26</v>
      </c>
      <c r="J3106" t="s">
        <v>27</v>
      </c>
      <c r="K3106" t="s">
        <v>28</v>
      </c>
      <c r="L3106" s="2">
        <v>302.3</v>
      </c>
      <c r="M3106" s="3">
        <v>474</v>
      </c>
      <c r="N3106">
        <v>4</v>
      </c>
      <c r="O3106">
        <v>4</v>
      </c>
      <c r="P3106">
        <v>1</v>
      </c>
      <c r="Q3106">
        <v>0</v>
      </c>
      <c r="R3106" s="4">
        <v>137.94999999999999</v>
      </c>
      <c r="S3106">
        <v>0</v>
      </c>
      <c r="T3106">
        <v>1</v>
      </c>
    </row>
    <row r="3107" spans="1:20" ht="16.5" x14ac:dyDescent="0.3">
      <c r="A3107" t="s">
        <v>3161</v>
      </c>
      <c r="B3107" s="1">
        <v>45727</v>
      </c>
      <c r="C3107">
        <v>2025</v>
      </c>
      <c r="D3107" t="s">
        <v>21</v>
      </c>
      <c r="E3107" t="s">
        <v>437</v>
      </c>
      <c r="F3107" t="s">
        <v>57</v>
      </c>
      <c r="G3107" t="s">
        <v>24</v>
      </c>
      <c r="H3107" t="s">
        <v>36</v>
      </c>
      <c r="I3107" t="s">
        <v>26</v>
      </c>
      <c r="J3107" t="s">
        <v>27</v>
      </c>
      <c r="K3107" t="s">
        <v>32</v>
      </c>
      <c r="L3107" s="2">
        <v>14.4</v>
      </c>
      <c r="M3107" s="3">
        <v>255</v>
      </c>
      <c r="N3107">
        <v>3</v>
      </c>
      <c r="O3107">
        <v>3</v>
      </c>
      <c r="P3107">
        <v>1</v>
      </c>
      <c r="Q3107">
        <v>0</v>
      </c>
      <c r="R3107" s="4">
        <v>16.670000000000002</v>
      </c>
      <c r="S3107">
        <v>0</v>
      </c>
      <c r="T3107">
        <v>1</v>
      </c>
    </row>
    <row r="3108" spans="1:20" ht="16.5" x14ac:dyDescent="0.3">
      <c r="A3108" t="s">
        <v>3162</v>
      </c>
      <c r="B3108" s="1">
        <v>45727</v>
      </c>
      <c r="C3108">
        <v>2025</v>
      </c>
      <c r="D3108" t="s">
        <v>21</v>
      </c>
      <c r="E3108" t="s">
        <v>437</v>
      </c>
      <c r="F3108" t="s">
        <v>57</v>
      </c>
      <c r="G3108" t="s">
        <v>35</v>
      </c>
      <c r="H3108" t="s">
        <v>36</v>
      </c>
      <c r="I3108" t="s">
        <v>26</v>
      </c>
      <c r="J3108" t="s">
        <v>27</v>
      </c>
      <c r="K3108" t="s">
        <v>28</v>
      </c>
      <c r="L3108" s="2">
        <v>216.9</v>
      </c>
      <c r="M3108" s="3">
        <v>298</v>
      </c>
      <c r="N3108">
        <v>3</v>
      </c>
      <c r="O3108">
        <v>3</v>
      </c>
      <c r="P3108">
        <v>1</v>
      </c>
      <c r="Q3108">
        <v>0</v>
      </c>
      <c r="R3108" s="4">
        <v>96.08</v>
      </c>
      <c r="S3108">
        <v>0</v>
      </c>
      <c r="T3108">
        <v>1</v>
      </c>
    </row>
    <row r="3109" spans="1:20" ht="16.5" x14ac:dyDescent="0.3">
      <c r="A3109" t="s">
        <v>3163</v>
      </c>
      <c r="B3109" s="1">
        <v>45727</v>
      </c>
      <c r="C3109">
        <v>2025</v>
      </c>
      <c r="D3109" t="s">
        <v>21</v>
      </c>
      <c r="E3109" t="s">
        <v>437</v>
      </c>
      <c r="F3109" t="s">
        <v>23</v>
      </c>
      <c r="G3109" t="s">
        <v>39</v>
      </c>
      <c r="H3109" t="s">
        <v>25</v>
      </c>
      <c r="I3109" t="s">
        <v>26</v>
      </c>
      <c r="J3109" t="s">
        <v>27</v>
      </c>
      <c r="K3109" t="s">
        <v>32</v>
      </c>
      <c r="L3109" s="2">
        <v>7.2</v>
      </c>
      <c r="M3109" s="3">
        <v>681</v>
      </c>
      <c r="N3109">
        <v>4</v>
      </c>
      <c r="O3109">
        <v>4</v>
      </c>
      <c r="P3109">
        <v>1</v>
      </c>
      <c r="Q3109">
        <v>0</v>
      </c>
      <c r="R3109" s="4">
        <v>18.61</v>
      </c>
      <c r="S3109">
        <v>0</v>
      </c>
      <c r="T3109">
        <v>1</v>
      </c>
    </row>
    <row r="3110" spans="1:20" ht="16.5" x14ac:dyDescent="0.3">
      <c r="A3110" t="s">
        <v>3164</v>
      </c>
      <c r="B3110" s="1">
        <v>45727</v>
      </c>
      <c r="C3110">
        <v>2025</v>
      </c>
      <c r="D3110" t="s">
        <v>21</v>
      </c>
      <c r="E3110" t="s">
        <v>437</v>
      </c>
      <c r="F3110" t="s">
        <v>34</v>
      </c>
      <c r="G3110" t="s">
        <v>35</v>
      </c>
      <c r="H3110" t="s">
        <v>48</v>
      </c>
      <c r="I3110" t="s">
        <v>26</v>
      </c>
      <c r="J3110" t="s">
        <v>27</v>
      </c>
      <c r="K3110" t="s">
        <v>32</v>
      </c>
      <c r="L3110" s="2">
        <v>6.9</v>
      </c>
      <c r="M3110" s="3">
        <v>443</v>
      </c>
      <c r="N3110">
        <v>4</v>
      </c>
      <c r="O3110">
        <v>5</v>
      </c>
      <c r="P3110">
        <v>0</v>
      </c>
      <c r="Q3110">
        <v>1</v>
      </c>
      <c r="R3110" s="4">
        <v>12.71</v>
      </c>
      <c r="S3110">
        <v>0</v>
      </c>
      <c r="T3110">
        <v>1</v>
      </c>
    </row>
    <row r="3111" spans="1:20" ht="16.5" x14ac:dyDescent="0.3">
      <c r="A3111" t="s">
        <v>3165</v>
      </c>
      <c r="B3111" s="1">
        <v>45727</v>
      </c>
      <c r="C3111">
        <v>2025</v>
      </c>
      <c r="D3111" t="s">
        <v>21</v>
      </c>
      <c r="E3111" t="s">
        <v>437</v>
      </c>
      <c r="F3111" t="s">
        <v>38</v>
      </c>
      <c r="G3111" t="s">
        <v>24</v>
      </c>
      <c r="H3111" t="s">
        <v>48</v>
      </c>
      <c r="I3111" t="s">
        <v>26</v>
      </c>
      <c r="J3111" t="s">
        <v>27</v>
      </c>
      <c r="K3111" t="s">
        <v>28</v>
      </c>
      <c r="L3111" s="2">
        <v>29.1</v>
      </c>
      <c r="M3111" s="3">
        <v>493</v>
      </c>
      <c r="N3111">
        <v>4</v>
      </c>
      <c r="O3111">
        <v>4</v>
      </c>
      <c r="P3111">
        <v>1</v>
      </c>
      <c r="Q3111">
        <v>0</v>
      </c>
      <c r="R3111" s="4">
        <v>30.92</v>
      </c>
      <c r="S3111">
        <v>0</v>
      </c>
      <c r="T3111">
        <v>1</v>
      </c>
    </row>
    <row r="3112" spans="1:20" ht="16.5" x14ac:dyDescent="0.3">
      <c r="A3112" t="s">
        <v>3166</v>
      </c>
      <c r="B3112" s="1">
        <v>45727</v>
      </c>
      <c r="C3112">
        <v>2025</v>
      </c>
      <c r="D3112" t="s">
        <v>21</v>
      </c>
      <c r="E3112" t="s">
        <v>437</v>
      </c>
      <c r="F3112" t="s">
        <v>38</v>
      </c>
      <c r="G3112" t="s">
        <v>24</v>
      </c>
      <c r="H3112" t="s">
        <v>36</v>
      </c>
      <c r="I3112" t="s">
        <v>26</v>
      </c>
      <c r="J3112" t="s">
        <v>27</v>
      </c>
      <c r="K3112" t="s">
        <v>32</v>
      </c>
      <c r="L3112" s="2">
        <v>7.7</v>
      </c>
      <c r="M3112" s="3">
        <v>239</v>
      </c>
      <c r="N3112">
        <v>3</v>
      </c>
      <c r="O3112">
        <v>3</v>
      </c>
      <c r="P3112">
        <v>1</v>
      </c>
      <c r="Q3112">
        <v>0</v>
      </c>
      <c r="R3112" s="4">
        <v>15.86</v>
      </c>
      <c r="S3112">
        <v>0</v>
      </c>
      <c r="T3112">
        <v>1</v>
      </c>
    </row>
    <row r="3113" spans="1:20" ht="16.5" x14ac:dyDescent="0.3">
      <c r="A3113" t="s">
        <v>3167</v>
      </c>
      <c r="B3113" s="1">
        <v>45727</v>
      </c>
      <c r="C3113">
        <v>2025</v>
      </c>
      <c r="D3113" t="s">
        <v>21</v>
      </c>
      <c r="E3113" t="s">
        <v>437</v>
      </c>
      <c r="F3113" t="s">
        <v>38</v>
      </c>
      <c r="G3113" t="s">
        <v>39</v>
      </c>
      <c r="H3113" t="s">
        <v>25</v>
      </c>
      <c r="I3113" t="s">
        <v>26</v>
      </c>
      <c r="J3113" t="s">
        <v>27</v>
      </c>
      <c r="K3113" t="s">
        <v>32</v>
      </c>
      <c r="L3113" s="2">
        <v>3.7</v>
      </c>
      <c r="M3113" s="3">
        <v>850</v>
      </c>
      <c r="N3113">
        <v>4</v>
      </c>
      <c r="O3113">
        <v>4</v>
      </c>
      <c r="P3113">
        <v>1</v>
      </c>
      <c r="Q3113">
        <v>0</v>
      </c>
      <c r="R3113" s="4">
        <v>24.8</v>
      </c>
      <c r="S3113">
        <v>0</v>
      </c>
      <c r="T3113">
        <v>1</v>
      </c>
    </row>
    <row r="3114" spans="1:20" ht="16.5" x14ac:dyDescent="0.3">
      <c r="A3114" t="s">
        <v>3168</v>
      </c>
      <c r="B3114" s="1">
        <v>45727</v>
      </c>
      <c r="C3114">
        <v>2025</v>
      </c>
      <c r="D3114" t="s">
        <v>21</v>
      </c>
      <c r="E3114" t="s">
        <v>437</v>
      </c>
      <c r="F3114" t="s">
        <v>57</v>
      </c>
      <c r="G3114" t="s">
        <v>24</v>
      </c>
      <c r="H3114" t="s">
        <v>48</v>
      </c>
      <c r="I3114" t="s">
        <v>26</v>
      </c>
      <c r="J3114" t="s">
        <v>27</v>
      </c>
      <c r="K3114" t="s">
        <v>28</v>
      </c>
      <c r="L3114" s="2">
        <v>67.3</v>
      </c>
      <c r="M3114" s="3">
        <v>344</v>
      </c>
      <c r="N3114">
        <v>4</v>
      </c>
      <c r="O3114">
        <v>4</v>
      </c>
      <c r="P3114">
        <v>1</v>
      </c>
      <c r="Q3114">
        <v>0</v>
      </c>
      <c r="R3114" s="4">
        <v>40.07</v>
      </c>
      <c r="S3114">
        <v>0</v>
      </c>
      <c r="T3114">
        <v>1</v>
      </c>
    </row>
    <row r="3115" spans="1:20" ht="16.5" x14ac:dyDescent="0.3">
      <c r="A3115" t="s">
        <v>3169</v>
      </c>
      <c r="B3115" s="1">
        <v>45728</v>
      </c>
      <c r="C3115">
        <v>2025</v>
      </c>
      <c r="D3115" t="s">
        <v>21</v>
      </c>
      <c r="E3115" t="s">
        <v>437</v>
      </c>
      <c r="F3115" t="s">
        <v>23</v>
      </c>
      <c r="G3115" t="s">
        <v>39</v>
      </c>
      <c r="H3115" t="s">
        <v>51</v>
      </c>
      <c r="I3115" t="s">
        <v>26</v>
      </c>
      <c r="J3115" t="s">
        <v>27</v>
      </c>
      <c r="K3115" t="s">
        <v>32</v>
      </c>
      <c r="L3115" s="2">
        <v>8.1</v>
      </c>
      <c r="M3115" s="3">
        <v>1246</v>
      </c>
      <c r="N3115">
        <v>5</v>
      </c>
      <c r="O3115">
        <v>5</v>
      </c>
      <c r="P3115">
        <v>1</v>
      </c>
      <c r="Q3115">
        <v>0</v>
      </c>
      <c r="R3115" s="4">
        <v>23.86</v>
      </c>
      <c r="S3115">
        <v>0</v>
      </c>
      <c r="T3115">
        <v>1</v>
      </c>
    </row>
    <row r="3116" spans="1:20" ht="16.5" x14ac:dyDescent="0.3">
      <c r="A3116" t="s">
        <v>3170</v>
      </c>
      <c r="B3116" s="1">
        <v>45728</v>
      </c>
      <c r="C3116">
        <v>2025</v>
      </c>
      <c r="D3116" t="s">
        <v>21</v>
      </c>
      <c r="E3116" t="s">
        <v>437</v>
      </c>
      <c r="F3116" t="s">
        <v>38</v>
      </c>
      <c r="G3116" t="s">
        <v>39</v>
      </c>
      <c r="H3116" t="s">
        <v>25</v>
      </c>
      <c r="I3116" t="s">
        <v>26</v>
      </c>
      <c r="J3116" t="s">
        <v>27</v>
      </c>
      <c r="K3116" t="s">
        <v>32</v>
      </c>
      <c r="L3116" s="2">
        <v>6.6</v>
      </c>
      <c r="M3116" s="3">
        <v>809</v>
      </c>
      <c r="N3116">
        <v>4</v>
      </c>
      <c r="O3116">
        <v>4</v>
      </c>
      <c r="P3116">
        <v>1</v>
      </c>
      <c r="Q3116">
        <v>0</v>
      </c>
      <c r="R3116" s="4">
        <v>21.81</v>
      </c>
      <c r="S3116">
        <v>0</v>
      </c>
      <c r="T3116">
        <v>1</v>
      </c>
    </row>
    <row r="3117" spans="1:20" ht="16.5" x14ac:dyDescent="0.3">
      <c r="A3117" t="s">
        <v>3171</v>
      </c>
      <c r="B3117" s="1">
        <v>45728</v>
      </c>
      <c r="C3117">
        <v>2025</v>
      </c>
      <c r="D3117" t="s">
        <v>21</v>
      </c>
      <c r="E3117" t="s">
        <v>437</v>
      </c>
      <c r="F3117" t="s">
        <v>30</v>
      </c>
      <c r="G3117" t="s">
        <v>35</v>
      </c>
      <c r="H3117" t="s">
        <v>48</v>
      </c>
      <c r="I3117" t="s">
        <v>26</v>
      </c>
      <c r="J3117" t="s">
        <v>27</v>
      </c>
      <c r="K3117" t="s">
        <v>32</v>
      </c>
      <c r="L3117" s="2">
        <v>11.1</v>
      </c>
      <c r="M3117" s="3">
        <v>540</v>
      </c>
      <c r="N3117">
        <v>4</v>
      </c>
      <c r="O3117">
        <v>4</v>
      </c>
      <c r="P3117">
        <v>1</v>
      </c>
      <c r="Q3117">
        <v>0</v>
      </c>
      <c r="R3117" s="4">
        <v>20.69</v>
      </c>
      <c r="S3117">
        <v>0</v>
      </c>
      <c r="T3117">
        <v>1</v>
      </c>
    </row>
    <row r="3118" spans="1:20" ht="16.5" x14ac:dyDescent="0.3">
      <c r="A3118" t="s">
        <v>3172</v>
      </c>
      <c r="B3118" s="1">
        <v>45728</v>
      </c>
      <c r="C3118">
        <v>2025</v>
      </c>
      <c r="D3118" t="s">
        <v>21</v>
      </c>
      <c r="E3118" t="s">
        <v>437</v>
      </c>
      <c r="F3118" t="s">
        <v>30</v>
      </c>
      <c r="G3118" t="s">
        <v>35</v>
      </c>
      <c r="H3118" t="s">
        <v>36</v>
      </c>
      <c r="I3118" t="s">
        <v>26</v>
      </c>
      <c r="J3118" t="s">
        <v>27</v>
      </c>
      <c r="K3118" t="s">
        <v>32</v>
      </c>
      <c r="L3118" s="2">
        <v>13</v>
      </c>
      <c r="M3118" s="3">
        <v>229</v>
      </c>
      <c r="N3118">
        <v>3</v>
      </c>
      <c r="O3118">
        <v>3</v>
      </c>
      <c r="P3118">
        <v>1</v>
      </c>
      <c r="Q3118">
        <v>0</v>
      </c>
      <c r="R3118" s="4">
        <v>17.38</v>
      </c>
      <c r="S3118">
        <v>0</v>
      </c>
      <c r="T3118">
        <v>1</v>
      </c>
    </row>
    <row r="3119" spans="1:20" ht="16.5" x14ac:dyDescent="0.3">
      <c r="A3119" t="s">
        <v>3173</v>
      </c>
      <c r="B3119" s="1">
        <v>45728</v>
      </c>
      <c r="C3119">
        <v>2025</v>
      </c>
      <c r="D3119" t="s">
        <v>21</v>
      </c>
      <c r="E3119" t="s">
        <v>437</v>
      </c>
      <c r="F3119" t="s">
        <v>23</v>
      </c>
      <c r="G3119" t="s">
        <v>39</v>
      </c>
      <c r="H3119" t="s">
        <v>43</v>
      </c>
      <c r="I3119" t="s">
        <v>31</v>
      </c>
      <c r="J3119" t="s">
        <v>27</v>
      </c>
      <c r="K3119" t="s">
        <v>32</v>
      </c>
      <c r="L3119" s="2">
        <v>6.7</v>
      </c>
      <c r="M3119" s="3">
        <v>713</v>
      </c>
      <c r="N3119">
        <v>7</v>
      </c>
      <c r="O3119">
        <v>7</v>
      </c>
      <c r="P3119">
        <v>1</v>
      </c>
      <c r="Q3119">
        <v>0</v>
      </c>
      <c r="R3119" s="4">
        <v>13.76</v>
      </c>
      <c r="S3119">
        <v>0</v>
      </c>
      <c r="T3119">
        <v>1</v>
      </c>
    </row>
    <row r="3120" spans="1:20" ht="16.5" x14ac:dyDescent="0.3">
      <c r="A3120" t="s">
        <v>3174</v>
      </c>
      <c r="B3120" s="1">
        <v>45728</v>
      </c>
      <c r="C3120">
        <v>2025</v>
      </c>
      <c r="D3120" t="s">
        <v>21</v>
      </c>
      <c r="E3120" t="s">
        <v>437</v>
      </c>
      <c r="F3120" t="s">
        <v>38</v>
      </c>
      <c r="G3120" t="s">
        <v>39</v>
      </c>
      <c r="H3120" t="s">
        <v>36</v>
      </c>
      <c r="I3120" t="s">
        <v>26</v>
      </c>
      <c r="J3120" t="s">
        <v>27</v>
      </c>
      <c r="K3120" t="s">
        <v>28</v>
      </c>
      <c r="L3120" s="2">
        <v>101.1</v>
      </c>
      <c r="M3120" s="3">
        <v>324</v>
      </c>
      <c r="N3120">
        <v>3</v>
      </c>
      <c r="O3120">
        <v>3</v>
      </c>
      <c r="P3120">
        <v>1</v>
      </c>
      <c r="Q3120">
        <v>0</v>
      </c>
      <c r="R3120" s="4">
        <v>63.49</v>
      </c>
      <c r="S3120">
        <v>0</v>
      </c>
      <c r="T3120">
        <v>1</v>
      </c>
    </row>
    <row r="3121" spans="1:20" ht="16.5" x14ac:dyDescent="0.3">
      <c r="A3121" t="s">
        <v>3175</v>
      </c>
      <c r="B3121" s="1">
        <v>45728</v>
      </c>
      <c r="C3121">
        <v>2025</v>
      </c>
      <c r="D3121" t="s">
        <v>21</v>
      </c>
      <c r="E3121" t="s">
        <v>437</v>
      </c>
      <c r="F3121" t="s">
        <v>34</v>
      </c>
      <c r="G3121" t="s">
        <v>39</v>
      </c>
      <c r="H3121" t="s">
        <v>36</v>
      </c>
      <c r="I3121" t="s">
        <v>31</v>
      </c>
      <c r="J3121" t="s">
        <v>27</v>
      </c>
      <c r="K3121" t="s">
        <v>32</v>
      </c>
      <c r="L3121" s="2">
        <v>9</v>
      </c>
      <c r="M3121" s="3">
        <v>228</v>
      </c>
      <c r="N3121">
        <v>5</v>
      </c>
      <c r="O3121">
        <v>5</v>
      </c>
      <c r="P3121">
        <v>1</v>
      </c>
      <c r="Q3121">
        <v>0</v>
      </c>
      <c r="R3121" s="4">
        <v>10.16</v>
      </c>
      <c r="S3121">
        <v>0</v>
      </c>
      <c r="T3121">
        <v>1</v>
      </c>
    </row>
    <row r="3122" spans="1:20" ht="16.5" x14ac:dyDescent="0.3">
      <c r="A3122" t="s">
        <v>3176</v>
      </c>
      <c r="B3122" s="1">
        <v>45728</v>
      </c>
      <c r="C3122">
        <v>2025</v>
      </c>
      <c r="D3122" t="s">
        <v>21</v>
      </c>
      <c r="E3122" t="s">
        <v>437</v>
      </c>
      <c r="F3122" t="s">
        <v>30</v>
      </c>
      <c r="G3122" t="s">
        <v>39</v>
      </c>
      <c r="H3122" t="s">
        <v>51</v>
      </c>
      <c r="I3122" t="s">
        <v>26</v>
      </c>
      <c r="J3122" t="s">
        <v>27</v>
      </c>
      <c r="K3122" t="s">
        <v>32</v>
      </c>
      <c r="L3122" s="2">
        <v>4.5999999999999996</v>
      </c>
      <c r="M3122" s="3">
        <v>676</v>
      </c>
      <c r="N3122">
        <v>5</v>
      </c>
      <c r="O3122">
        <v>5</v>
      </c>
      <c r="P3122">
        <v>1</v>
      </c>
      <c r="Q3122">
        <v>0</v>
      </c>
      <c r="R3122" s="4">
        <v>19.48</v>
      </c>
      <c r="S3122">
        <v>0</v>
      </c>
      <c r="T3122">
        <v>1</v>
      </c>
    </row>
    <row r="3123" spans="1:20" ht="16.5" x14ac:dyDescent="0.3">
      <c r="A3123" t="s">
        <v>3177</v>
      </c>
      <c r="B3123" s="1">
        <v>45728</v>
      </c>
      <c r="C3123">
        <v>2025</v>
      </c>
      <c r="D3123" t="s">
        <v>21</v>
      </c>
      <c r="E3123" t="s">
        <v>437</v>
      </c>
      <c r="F3123" t="s">
        <v>38</v>
      </c>
      <c r="G3123" t="s">
        <v>35</v>
      </c>
      <c r="H3123" t="s">
        <v>43</v>
      </c>
      <c r="I3123" t="s">
        <v>31</v>
      </c>
      <c r="J3123" t="s">
        <v>27</v>
      </c>
      <c r="K3123" t="s">
        <v>28</v>
      </c>
      <c r="L3123" s="2">
        <v>149.9</v>
      </c>
      <c r="M3123" s="3">
        <v>1298</v>
      </c>
      <c r="N3123">
        <v>7</v>
      </c>
      <c r="O3123">
        <v>7</v>
      </c>
      <c r="P3123">
        <v>1</v>
      </c>
      <c r="Q3123">
        <v>0</v>
      </c>
      <c r="R3123" s="4">
        <v>75.8</v>
      </c>
      <c r="S3123">
        <v>0</v>
      </c>
      <c r="T3123">
        <v>1</v>
      </c>
    </row>
    <row r="3124" spans="1:20" ht="16.5" x14ac:dyDescent="0.3">
      <c r="A3124" t="s">
        <v>3178</v>
      </c>
      <c r="B3124" s="1">
        <v>45728</v>
      </c>
      <c r="C3124">
        <v>2025</v>
      </c>
      <c r="D3124" t="s">
        <v>21</v>
      </c>
      <c r="E3124" t="s">
        <v>437</v>
      </c>
      <c r="F3124" t="s">
        <v>57</v>
      </c>
      <c r="G3124" t="s">
        <v>24</v>
      </c>
      <c r="H3124" t="s">
        <v>43</v>
      </c>
      <c r="I3124" t="s">
        <v>31</v>
      </c>
      <c r="J3124" t="s">
        <v>27</v>
      </c>
      <c r="K3124" t="s">
        <v>32</v>
      </c>
      <c r="L3124" s="2">
        <v>6.3</v>
      </c>
      <c r="M3124" s="3">
        <v>958</v>
      </c>
      <c r="N3124">
        <v>7</v>
      </c>
      <c r="O3124">
        <v>11</v>
      </c>
      <c r="P3124">
        <v>0</v>
      </c>
      <c r="Q3124">
        <v>4</v>
      </c>
      <c r="R3124" s="4">
        <v>16.7</v>
      </c>
      <c r="S3124">
        <v>0</v>
      </c>
      <c r="T3124">
        <v>1</v>
      </c>
    </row>
    <row r="3125" spans="1:20" ht="16.5" x14ac:dyDescent="0.3">
      <c r="A3125" t="s">
        <v>3179</v>
      </c>
      <c r="B3125" s="1">
        <v>45729</v>
      </c>
      <c r="C3125">
        <v>2025</v>
      </c>
      <c r="D3125" t="s">
        <v>21</v>
      </c>
      <c r="E3125" t="s">
        <v>437</v>
      </c>
      <c r="F3125" t="s">
        <v>38</v>
      </c>
      <c r="G3125" t="s">
        <v>39</v>
      </c>
      <c r="H3125" t="s">
        <v>51</v>
      </c>
      <c r="I3125" t="s">
        <v>31</v>
      </c>
      <c r="J3125" t="s">
        <v>27</v>
      </c>
      <c r="K3125" t="s">
        <v>32</v>
      </c>
      <c r="L3125" s="2">
        <v>9.1</v>
      </c>
      <c r="M3125" s="3">
        <v>917</v>
      </c>
      <c r="N3125">
        <v>7</v>
      </c>
      <c r="O3125">
        <v>6</v>
      </c>
      <c r="P3125">
        <v>1</v>
      </c>
      <c r="Q3125">
        <v>0</v>
      </c>
      <c r="R3125" s="4">
        <v>18.98</v>
      </c>
      <c r="S3125">
        <v>0</v>
      </c>
      <c r="T3125">
        <v>1</v>
      </c>
    </row>
    <row r="3126" spans="1:20" ht="16.5" x14ac:dyDescent="0.3">
      <c r="A3126" t="s">
        <v>3180</v>
      </c>
      <c r="B3126" s="1">
        <v>45729</v>
      </c>
      <c r="C3126">
        <v>2025</v>
      </c>
      <c r="D3126" t="s">
        <v>21</v>
      </c>
      <c r="E3126" t="s">
        <v>437</v>
      </c>
      <c r="F3126" t="s">
        <v>38</v>
      </c>
      <c r="G3126" t="s">
        <v>39</v>
      </c>
      <c r="H3126" t="s">
        <v>48</v>
      </c>
      <c r="I3126" t="s">
        <v>40</v>
      </c>
      <c r="J3126" t="s">
        <v>27</v>
      </c>
      <c r="K3126" t="s">
        <v>28</v>
      </c>
      <c r="L3126" s="2">
        <v>116</v>
      </c>
      <c r="M3126" s="3">
        <v>589</v>
      </c>
      <c r="N3126">
        <v>2</v>
      </c>
      <c r="O3126">
        <v>1</v>
      </c>
      <c r="P3126">
        <v>1</v>
      </c>
      <c r="Q3126">
        <v>0</v>
      </c>
      <c r="R3126" s="4">
        <v>126.13</v>
      </c>
      <c r="S3126">
        <v>0</v>
      </c>
      <c r="T3126">
        <v>1</v>
      </c>
    </row>
    <row r="3127" spans="1:20" ht="16.5" x14ac:dyDescent="0.3">
      <c r="A3127" t="s">
        <v>3181</v>
      </c>
      <c r="B3127" s="1">
        <v>45729</v>
      </c>
      <c r="C3127">
        <v>2025</v>
      </c>
      <c r="D3127" t="s">
        <v>21</v>
      </c>
      <c r="E3127" t="s">
        <v>437</v>
      </c>
      <c r="F3127" t="s">
        <v>57</v>
      </c>
      <c r="G3127" t="s">
        <v>39</v>
      </c>
      <c r="H3127" t="s">
        <v>25</v>
      </c>
      <c r="I3127" t="s">
        <v>26</v>
      </c>
      <c r="J3127" t="s">
        <v>27</v>
      </c>
      <c r="K3127" t="s">
        <v>28</v>
      </c>
      <c r="L3127" s="2">
        <v>96</v>
      </c>
      <c r="M3127" s="3">
        <v>882</v>
      </c>
      <c r="N3127">
        <v>4</v>
      </c>
      <c r="O3127">
        <v>3</v>
      </c>
      <c r="P3127">
        <v>1</v>
      </c>
      <c r="Q3127">
        <v>0</v>
      </c>
      <c r="R3127" s="4">
        <v>62.4</v>
      </c>
      <c r="S3127">
        <v>0</v>
      </c>
      <c r="T3127">
        <v>1</v>
      </c>
    </row>
    <row r="3128" spans="1:20" ht="16.5" x14ac:dyDescent="0.3">
      <c r="A3128" t="s">
        <v>3182</v>
      </c>
      <c r="B3128" s="1">
        <v>45729</v>
      </c>
      <c r="C3128">
        <v>2025</v>
      </c>
      <c r="D3128" t="s">
        <v>21</v>
      </c>
      <c r="E3128" t="s">
        <v>437</v>
      </c>
      <c r="F3128" t="s">
        <v>38</v>
      </c>
      <c r="G3128" t="s">
        <v>39</v>
      </c>
      <c r="H3128" t="s">
        <v>25</v>
      </c>
      <c r="I3128" t="s">
        <v>40</v>
      </c>
      <c r="J3128" t="s">
        <v>41</v>
      </c>
      <c r="K3128" t="s">
        <v>28</v>
      </c>
      <c r="L3128" s="2">
        <v>238.3</v>
      </c>
      <c r="M3128" s="3">
        <v>890</v>
      </c>
      <c r="N3128">
        <v>2</v>
      </c>
      <c r="O3128">
        <v>2</v>
      </c>
      <c r="P3128">
        <v>1</v>
      </c>
      <c r="Q3128">
        <v>0</v>
      </c>
      <c r="R3128" s="4">
        <v>403.29</v>
      </c>
      <c r="S3128">
        <v>0</v>
      </c>
      <c r="T3128">
        <v>1</v>
      </c>
    </row>
    <row r="3129" spans="1:20" ht="16.5" x14ac:dyDescent="0.3">
      <c r="A3129" t="s">
        <v>3183</v>
      </c>
      <c r="B3129" s="1">
        <v>45729</v>
      </c>
      <c r="C3129">
        <v>2025</v>
      </c>
      <c r="D3129" t="s">
        <v>21</v>
      </c>
      <c r="E3129" t="s">
        <v>437</v>
      </c>
      <c r="F3129" t="s">
        <v>30</v>
      </c>
      <c r="G3129" t="s">
        <v>24</v>
      </c>
      <c r="H3129" t="s">
        <v>25</v>
      </c>
      <c r="I3129" t="s">
        <v>31</v>
      </c>
      <c r="J3129" t="s">
        <v>27</v>
      </c>
      <c r="K3129" t="s">
        <v>32</v>
      </c>
      <c r="L3129" s="2">
        <v>8.1</v>
      </c>
      <c r="M3129" s="3">
        <v>986</v>
      </c>
      <c r="N3129">
        <v>6</v>
      </c>
      <c r="O3129">
        <v>6</v>
      </c>
      <c r="P3129">
        <v>1</v>
      </c>
      <c r="Q3129">
        <v>0</v>
      </c>
      <c r="R3129" s="4">
        <v>15.98</v>
      </c>
      <c r="S3129">
        <v>0</v>
      </c>
      <c r="T3129">
        <v>1</v>
      </c>
    </row>
    <row r="3130" spans="1:20" ht="16.5" x14ac:dyDescent="0.3">
      <c r="A3130" t="s">
        <v>3184</v>
      </c>
      <c r="B3130" s="1">
        <v>45729</v>
      </c>
      <c r="C3130">
        <v>2025</v>
      </c>
      <c r="D3130" t="s">
        <v>21</v>
      </c>
      <c r="E3130" t="s">
        <v>437</v>
      </c>
      <c r="F3130" t="s">
        <v>38</v>
      </c>
      <c r="G3130" t="s">
        <v>39</v>
      </c>
      <c r="H3130" t="s">
        <v>43</v>
      </c>
      <c r="I3130" t="s">
        <v>40</v>
      </c>
      <c r="J3130" t="s">
        <v>41</v>
      </c>
      <c r="K3130" t="s">
        <v>32</v>
      </c>
      <c r="L3130" s="2">
        <v>2.4</v>
      </c>
      <c r="M3130" s="3">
        <v>1087</v>
      </c>
      <c r="N3130">
        <v>3</v>
      </c>
      <c r="O3130">
        <v>3</v>
      </c>
      <c r="P3130">
        <v>1</v>
      </c>
      <c r="Q3130">
        <v>0</v>
      </c>
      <c r="R3130" s="4">
        <v>68.08</v>
      </c>
      <c r="S3130">
        <v>0</v>
      </c>
      <c r="T3130">
        <v>1</v>
      </c>
    </row>
    <row r="3131" spans="1:20" ht="16.5" x14ac:dyDescent="0.3">
      <c r="A3131" t="s">
        <v>3185</v>
      </c>
      <c r="B3131" s="1">
        <v>45729</v>
      </c>
      <c r="C3131">
        <v>2025</v>
      </c>
      <c r="D3131" t="s">
        <v>21</v>
      </c>
      <c r="E3131" t="s">
        <v>437</v>
      </c>
      <c r="F3131" t="s">
        <v>23</v>
      </c>
      <c r="G3131" t="s">
        <v>39</v>
      </c>
      <c r="H3131" t="s">
        <v>51</v>
      </c>
      <c r="I3131" t="s">
        <v>31</v>
      </c>
      <c r="J3131" t="s">
        <v>27</v>
      </c>
      <c r="K3131" t="s">
        <v>32</v>
      </c>
      <c r="L3131" s="2">
        <v>0.6</v>
      </c>
      <c r="M3131" s="3">
        <v>688</v>
      </c>
      <c r="N3131">
        <v>7</v>
      </c>
      <c r="O3131">
        <v>7</v>
      </c>
      <c r="P3131">
        <v>1</v>
      </c>
      <c r="Q3131">
        <v>0</v>
      </c>
      <c r="R3131" s="4">
        <v>10.32</v>
      </c>
      <c r="S3131">
        <v>0</v>
      </c>
      <c r="T3131">
        <v>1</v>
      </c>
    </row>
    <row r="3132" spans="1:20" ht="16.5" x14ac:dyDescent="0.3">
      <c r="A3132" t="s">
        <v>3186</v>
      </c>
      <c r="B3132" s="1">
        <v>45729</v>
      </c>
      <c r="C3132">
        <v>2025</v>
      </c>
      <c r="D3132" t="s">
        <v>21</v>
      </c>
      <c r="E3132" t="s">
        <v>437</v>
      </c>
      <c r="F3132" t="s">
        <v>57</v>
      </c>
      <c r="G3132" t="s">
        <v>39</v>
      </c>
      <c r="H3132" t="s">
        <v>48</v>
      </c>
      <c r="I3132" t="s">
        <v>31</v>
      </c>
      <c r="J3132" t="s">
        <v>27</v>
      </c>
      <c r="K3132" t="s">
        <v>28</v>
      </c>
      <c r="L3132" s="2">
        <v>104.6</v>
      </c>
      <c r="M3132" s="3">
        <v>539</v>
      </c>
      <c r="N3132">
        <v>6</v>
      </c>
      <c r="O3132">
        <v>6</v>
      </c>
      <c r="P3132">
        <v>1</v>
      </c>
      <c r="Q3132">
        <v>0</v>
      </c>
      <c r="R3132" s="4">
        <v>42.01</v>
      </c>
      <c r="S3132">
        <v>0</v>
      </c>
      <c r="T3132">
        <v>1</v>
      </c>
    </row>
    <row r="3133" spans="1:20" ht="16.5" x14ac:dyDescent="0.3">
      <c r="A3133" t="s">
        <v>3187</v>
      </c>
      <c r="B3133" s="1">
        <v>45730</v>
      </c>
      <c r="C3133">
        <v>2025</v>
      </c>
      <c r="D3133" t="s">
        <v>21</v>
      </c>
      <c r="E3133" t="s">
        <v>437</v>
      </c>
      <c r="F3133" t="s">
        <v>23</v>
      </c>
      <c r="G3133" t="s">
        <v>39</v>
      </c>
      <c r="H3133" t="s">
        <v>25</v>
      </c>
      <c r="I3133" t="s">
        <v>31</v>
      </c>
      <c r="J3133" t="s">
        <v>27</v>
      </c>
      <c r="K3133" t="s">
        <v>32</v>
      </c>
      <c r="L3133" s="2">
        <v>3.6</v>
      </c>
      <c r="M3133" s="3">
        <v>755</v>
      </c>
      <c r="N3133">
        <v>6</v>
      </c>
      <c r="O3133">
        <v>6</v>
      </c>
      <c r="P3133">
        <v>1</v>
      </c>
      <c r="Q3133">
        <v>0</v>
      </c>
      <c r="R3133" s="4">
        <v>13</v>
      </c>
      <c r="S3133">
        <v>0</v>
      </c>
      <c r="T3133">
        <v>1</v>
      </c>
    </row>
    <row r="3134" spans="1:20" ht="16.5" x14ac:dyDescent="0.3">
      <c r="A3134" t="s">
        <v>3188</v>
      </c>
      <c r="B3134" s="1">
        <v>45730</v>
      </c>
      <c r="C3134">
        <v>2025</v>
      </c>
      <c r="D3134" t="s">
        <v>21</v>
      </c>
      <c r="E3134" t="s">
        <v>437</v>
      </c>
      <c r="F3134" t="s">
        <v>23</v>
      </c>
      <c r="G3134" t="s">
        <v>39</v>
      </c>
      <c r="H3134" t="s">
        <v>36</v>
      </c>
      <c r="I3134" t="s">
        <v>40</v>
      </c>
      <c r="J3134" t="s">
        <v>27</v>
      </c>
      <c r="K3134" t="s">
        <v>28</v>
      </c>
      <c r="L3134" s="2">
        <v>125.7</v>
      </c>
      <c r="M3134" s="3">
        <v>254</v>
      </c>
      <c r="N3134">
        <v>1</v>
      </c>
      <c r="O3134">
        <v>1</v>
      </c>
      <c r="P3134">
        <v>1</v>
      </c>
      <c r="Q3134">
        <v>0</v>
      </c>
      <c r="R3134" s="4">
        <v>117.38</v>
      </c>
      <c r="S3134">
        <v>0</v>
      </c>
      <c r="T3134">
        <v>1</v>
      </c>
    </row>
    <row r="3135" spans="1:20" ht="16.5" x14ac:dyDescent="0.3">
      <c r="A3135" t="s">
        <v>3189</v>
      </c>
      <c r="B3135" s="1">
        <v>45730</v>
      </c>
      <c r="C3135">
        <v>2025</v>
      </c>
      <c r="D3135" t="s">
        <v>21</v>
      </c>
      <c r="E3135" t="s">
        <v>437</v>
      </c>
      <c r="F3135" t="s">
        <v>57</v>
      </c>
      <c r="G3135" t="s">
        <v>35</v>
      </c>
      <c r="H3135" t="s">
        <v>25</v>
      </c>
      <c r="I3135" t="s">
        <v>40</v>
      </c>
      <c r="J3135" t="s">
        <v>41</v>
      </c>
      <c r="K3135" t="s">
        <v>32</v>
      </c>
      <c r="L3135" s="2">
        <v>1.6</v>
      </c>
      <c r="M3135" s="3">
        <v>1060</v>
      </c>
      <c r="N3135">
        <v>2</v>
      </c>
      <c r="O3135">
        <v>2</v>
      </c>
      <c r="P3135">
        <v>1</v>
      </c>
      <c r="Q3135">
        <v>0</v>
      </c>
      <c r="R3135" s="4">
        <v>61.56</v>
      </c>
      <c r="S3135">
        <v>0</v>
      </c>
      <c r="T3135">
        <v>1</v>
      </c>
    </row>
    <row r="3136" spans="1:20" ht="16.5" x14ac:dyDescent="0.3">
      <c r="A3136" t="s">
        <v>3190</v>
      </c>
      <c r="B3136" s="1">
        <v>45730</v>
      </c>
      <c r="C3136">
        <v>2025</v>
      </c>
      <c r="D3136" t="s">
        <v>21</v>
      </c>
      <c r="E3136" t="s">
        <v>437</v>
      </c>
      <c r="F3136" t="s">
        <v>57</v>
      </c>
      <c r="G3136" t="s">
        <v>39</v>
      </c>
      <c r="H3136" t="s">
        <v>36</v>
      </c>
      <c r="I3136" t="s">
        <v>31</v>
      </c>
      <c r="J3136" t="s">
        <v>27</v>
      </c>
      <c r="K3136" t="s">
        <v>28</v>
      </c>
      <c r="L3136" s="2">
        <v>25</v>
      </c>
      <c r="M3136" s="3">
        <v>331</v>
      </c>
      <c r="N3136">
        <v>5</v>
      </c>
      <c r="O3136">
        <v>5</v>
      </c>
      <c r="P3136">
        <v>1</v>
      </c>
      <c r="Q3136">
        <v>0</v>
      </c>
      <c r="R3136" s="4">
        <v>17.690000000000001</v>
      </c>
      <c r="S3136">
        <v>0</v>
      </c>
      <c r="T3136">
        <v>1</v>
      </c>
    </row>
    <row r="3137" spans="1:20" ht="16.5" x14ac:dyDescent="0.3">
      <c r="A3137" t="s">
        <v>3191</v>
      </c>
      <c r="B3137" s="1">
        <v>45731</v>
      </c>
      <c r="C3137">
        <v>2025</v>
      </c>
      <c r="D3137" t="s">
        <v>21</v>
      </c>
      <c r="E3137" t="s">
        <v>437</v>
      </c>
      <c r="F3137" t="s">
        <v>38</v>
      </c>
      <c r="G3137" t="s">
        <v>35</v>
      </c>
      <c r="H3137" t="s">
        <v>48</v>
      </c>
      <c r="I3137" t="s">
        <v>26</v>
      </c>
      <c r="J3137" t="s">
        <v>27</v>
      </c>
      <c r="K3137" t="s">
        <v>32</v>
      </c>
      <c r="L3137" s="2">
        <v>2.2999999999999998</v>
      </c>
      <c r="M3137" s="3">
        <v>413</v>
      </c>
      <c r="N3137">
        <v>4</v>
      </c>
      <c r="O3137">
        <v>5</v>
      </c>
      <c r="P3137">
        <v>0</v>
      </c>
      <c r="Q3137">
        <v>1</v>
      </c>
      <c r="R3137" s="4">
        <v>13.77</v>
      </c>
      <c r="S3137">
        <v>0</v>
      </c>
      <c r="T3137">
        <v>1</v>
      </c>
    </row>
    <row r="3138" spans="1:20" ht="16.5" x14ac:dyDescent="0.3">
      <c r="A3138" t="s">
        <v>3192</v>
      </c>
      <c r="B3138" s="1">
        <v>45731</v>
      </c>
      <c r="C3138">
        <v>2025</v>
      </c>
      <c r="D3138" t="s">
        <v>21</v>
      </c>
      <c r="E3138" t="s">
        <v>437</v>
      </c>
      <c r="F3138" t="s">
        <v>57</v>
      </c>
      <c r="G3138" t="s">
        <v>35</v>
      </c>
      <c r="H3138" t="s">
        <v>51</v>
      </c>
      <c r="I3138" t="s">
        <v>26</v>
      </c>
      <c r="J3138" t="s">
        <v>27</v>
      </c>
      <c r="K3138" t="s">
        <v>32</v>
      </c>
      <c r="L3138" s="2">
        <v>27.4</v>
      </c>
      <c r="M3138" s="3">
        <v>896</v>
      </c>
      <c r="N3138">
        <v>5</v>
      </c>
      <c r="O3138">
        <v>5</v>
      </c>
      <c r="P3138">
        <v>1</v>
      </c>
      <c r="Q3138">
        <v>0</v>
      </c>
      <c r="R3138" s="4">
        <v>32.44</v>
      </c>
      <c r="S3138">
        <v>0</v>
      </c>
      <c r="T3138">
        <v>1</v>
      </c>
    </row>
    <row r="3139" spans="1:20" ht="16.5" x14ac:dyDescent="0.3">
      <c r="A3139" t="s">
        <v>3193</v>
      </c>
      <c r="B3139" s="1">
        <v>45731</v>
      </c>
      <c r="C3139">
        <v>2025</v>
      </c>
      <c r="D3139" t="s">
        <v>21</v>
      </c>
      <c r="E3139" t="s">
        <v>437</v>
      </c>
      <c r="F3139" t="s">
        <v>30</v>
      </c>
      <c r="G3139" t="s">
        <v>35</v>
      </c>
      <c r="H3139" t="s">
        <v>48</v>
      </c>
      <c r="I3139" t="s">
        <v>31</v>
      </c>
      <c r="J3139" t="s">
        <v>27</v>
      </c>
      <c r="K3139" t="s">
        <v>32</v>
      </c>
      <c r="L3139" s="2">
        <v>4.5999999999999996</v>
      </c>
      <c r="M3139" s="3">
        <v>548</v>
      </c>
      <c r="N3139">
        <v>6</v>
      </c>
      <c r="O3139">
        <v>5</v>
      </c>
      <c r="P3139">
        <v>1</v>
      </c>
      <c r="Q3139">
        <v>0</v>
      </c>
      <c r="R3139" s="4">
        <v>11.06</v>
      </c>
      <c r="S3139">
        <v>0</v>
      </c>
      <c r="T3139">
        <v>1</v>
      </c>
    </row>
    <row r="3140" spans="1:20" ht="16.5" x14ac:dyDescent="0.3">
      <c r="A3140" t="s">
        <v>3194</v>
      </c>
      <c r="B3140" s="1">
        <v>45732</v>
      </c>
      <c r="C3140">
        <v>2025</v>
      </c>
      <c r="D3140" t="s">
        <v>21</v>
      </c>
      <c r="E3140" t="s">
        <v>437</v>
      </c>
      <c r="F3140" t="s">
        <v>23</v>
      </c>
      <c r="G3140" t="s">
        <v>35</v>
      </c>
      <c r="H3140" t="s">
        <v>36</v>
      </c>
      <c r="I3140" t="s">
        <v>31</v>
      </c>
      <c r="J3140" t="s">
        <v>27</v>
      </c>
      <c r="K3140" t="s">
        <v>32</v>
      </c>
      <c r="L3140" s="2">
        <v>1.1000000000000001</v>
      </c>
      <c r="M3140" s="3">
        <v>153</v>
      </c>
      <c r="N3140">
        <v>5</v>
      </c>
      <c r="O3140">
        <v>5</v>
      </c>
      <c r="P3140">
        <v>1</v>
      </c>
      <c r="Q3140">
        <v>0</v>
      </c>
      <c r="R3140" s="4">
        <v>6.57</v>
      </c>
      <c r="S3140">
        <v>0</v>
      </c>
      <c r="T3140">
        <v>1</v>
      </c>
    </row>
    <row r="3141" spans="1:20" ht="16.5" x14ac:dyDescent="0.3">
      <c r="A3141" t="s">
        <v>3195</v>
      </c>
      <c r="B3141" s="1">
        <v>45732</v>
      </c>
      <c r="C3141">
        <v>2025</v>
      </c>
      <c r="D3141" t="s">
        <v>21</v>
      </c>
      <c r="E3141" t="s">
        <v>437</v>
      </c>
      <c r="F3141" t="s">
        <v>30</v>
      </c>
      <c r="G3141" t="s">
        <v>35</v>
      </c>
      <c r="H3141" t="s">
        <v>36</v>
      </c>
      <c r="I3141" t="s">
        <v>26</v>
      </c>
      <c r="J3141" t="s">
        <v>27</v>
      </c>
      <c r="K3141" t="s">
        <v>32</v>
      </c>
      <c r="L3141" s="2">
        <v>3</v>
      </c>
      <c r="M3141" s="3">
        <v>311</v>
      </c>
      <c r="N3141">
        <v>3</v>
      </c>
      <c r="O3141">
        <v>2</v>
      </c>
      <c r="P3141">
        <v>1</v>
      </c>
      <c r="Q3141">
        <v>0</v>
      </c>
      <c r="R3141" s="4">
        <v>12.06</v>
      </c>
      <c r="S3141">
        <v>0</v>
      </c>
      <c r="T3141">
        <v>1</v>
      </c>
    </row>
    <row r="3142" spans="1:20" ht="16.5" x14ac:dyDescent="0.3">
      <c r="A3142" t="s">
        <v>3196</v>
      </c>
      <c r="B3142" s="1">
        <v>45733</v>
      </c>
      <c r="C3142">
        <v>2025</v>
      </c>
      <c r="D3142" t="s">
        <v>21</v>
      </c>
      <c r="E3142" t="s">
        <v>437</v>
      </c>
      <c r="F3142" t="s">
        <v>34</v>
      </c>
      <c r="G3142" t="s">
        <v>24</v>
      </c>
      <c r="H3142" t="s">
        <v>25</v>
      </c>
      <c r="I3142" t="s">
        <v>40</v>
      </c>
      <c r="J3142" t="s">
        <v>41</v>
      </c>
      <c r="K3142" t="s">
        <v>32</v>
      </c>
      <c r="L3142" s="2">
        <v>6.7</v>
      </c>
      <c r="M3142" s="3">
        <v>1022</v>
      </c>
      <c r="N3142">
        <v>2</v>
      </c>
      <c r="O3142">
        <v>2</v>
      </c>
      <c r="P3142">
        <v>1</v>
      </c>
      <c r="Q3142">
        <v>0</v>
      </c>
      <c r="R3142" s="4">
        <v>63.08</v>
      </c>
      <c r="S3142">
        <v>0</v>
      </c>
      <c r="T3142">
        <v>1</v>
      </c>
    </row>
    <row r="3143" spans="1:20" ht="16.5" x14ac:dyDescent="0.3">
      <c r="A3143" t="s">
        <v>3197</v>
      </c>
      <c r="B3143" s="1">
        <v>45733</v>
      </c>
      <c r="C3143">
        <v>2025</v>
      </c>
      <c r="D3143" t="s">
        <v>21</v>
      </c>
      <c r="E3143" t="s">
        <v>437</v>
      </c>
      <c r="F3143" t="s">
        <v>34</v>
      </c>
      <c r="G3143" t="s">
        <v>35</v>
      </c>
      <c r="H3143" t="s">
        <v>25</v>
      </c>
      <c r="I3143" t="s">
        <v>26</v>
      </c>
      <c r="J3143" t="s">
        <v>27</v>
      </c>
      <c r="K3143" t="s">
        <v>28</v>
      </c>
      <c r="L3143" s="2">
        <v>264.2</v>
      </c>
      <c r="M3143" s="3">
        <v>1028</v>
      </c>
      <c r="N3143">
        <v>4</v>
      </c>
      <c r="O3143">
        <v>4</v>
      </c>
      <c r="P3143">
        <v>1</v>
      </c>
      <c r="Q3143">
        <v>0</v>
      </c>
      <c r="R3143" s="4">
        <v>108.73</v>
      </c>
      <c r="S3143">
        <v>0</v>
      </c>
      <c r="T3143">
        <v>1</v>
      </c>
    </row>
    <row r="3144" spans="1:20" ht="16.5" x14ac:dyDescent="0.3">
      <c r="A3144" t="s">
        <v>3198</v>
      </c>
      <c r="B3144" s="1">
        <v>45733</v>
      </c>
      <c r="C3144">
        <v>2025</v>
      </c>
      <c r="D3144" t="s">
        <v>21</v>
      </c>
      <c r="E3144" t="s">
        <v>437</v>
      </c>
      <c r="F3144" t="s">
        <v>38</v>
      </c>
      <c r="G3144" t="s">
        <v>24</v>
      </c>
      <c r="H3144" t="s">
        <v>48</v>
      </c>
      <c r="I3144" t="s">
        <v>26</v>
      </c>
      <c r="J3144" t="s">
        <v>27</v>
      </c>
      <c r="K3144" t="s">
        <v>32</v>
      </c>
      <c r="L3144" s="2">
        <v>6.2</v>
      </c>
      <c r="M3144" s="3">
        <v>525</v>
      </c>
      <c r="N3144">
        <v>4</v>
      </c>
      <c r="O3144">
        <v>3</v>
      </c>
      <c r="P3144">
        <v>1</v>
      </c>
      <c r="Q3144">
        <v>0</v>
      </c>
      <c r="R3144" s="4">
        <v>17.05</v>
      </c>
      <c r="S3144">
        <v>0</v>
      </c>
      <c r="T3144">
        <v>1</v>
      </c>
    </row>
    <row r="3145" spans="1:20" ht="16.5" x14ac:dyDescent="0.3">
      <c r="A3145" t="s">
        <v>3199</v>
      </c>
      <c r="B3145" s="1">
        <v>45733</v>
      </c>
      <c r="C3145">
        <v>2025</v>
      </c>
      <c r="D3145" t="s">
        <v>21</v>
      </c>
      <c r="E3145" t="s">
        <v>437</v>
      </c>
      <c r="F3145" t="s">
        <v>23</v>
      </c>
      <c r="G3145" t="s">
        <v>39</v>
      </c>
      <c r="H3145" t="s">
        <v>25</v>
      </c>
      <c r="I3145" t="s">
        <v>26</v>
      </c>
      <c r="J3145" t="s">
        <v>27</v>
      </c>
      <c r="K3145" t="s">
        <v>32</v>
      </c>
      <c r="L3145" s="2">
        <v>1.2</v>
      </c>
      <c r="M3145" s="3">
        <v>933</v>
      </c>
      <c r="N3145">
        <v>4</v>
      </c>
      <c r="O3145">
        <v>4</v>
      </c>
      <c r="P3145">
        <v>1</v>
      </c>
      <c r="Q3145">
        <v>0</v>
      </c>
      <c r="R3145" s="4">
        <v>17.920000000000002</v>
      </c>
      <c r="S3145">
        <v>0</v>
      </c>
      <c r="T3145">
        <v>1</v>
      </c>
    </row>
    <row r="3146" spans="1:20" ht="16.5" x14ac:dyDescent="0.3">
      <c r="A3146" t="s">
        <v>3200</v>
      </c>
      <c r="B3146" s="1">
        <v>45733</v>
      </c>
      <c r="C3146">
        <v>2025</v>
      </c>
      <c r="D3146" t="s">
        <v>21</v>
      </c>
      <c r="E3146" t="s">
        <v>437</v>
      </c>
      <c r="F3146" t="s">
        <v>57</v>
      </c>
      <c r="G3146" t="s">
        <v>39</v>
      </c>
      <c r="H3146" t="s">
        <v>48</v>
      </c>
      <c r="I3146" t="s">
        <v>26</v>
      </c>
      <c r="J3146" t="s">
        <v>27</v>
      </c>
      <c r="K3146" t="s">
        <v>28</v>
      </c>
      <c r="L3146" s="2">
        <v>76.3</v>
      </c>
      <c r="M3146" s="3">
        <v>622</v>
      </c>
      <c r="N3146">
        <v>4</v>
      </c>
      <c r="O3146">
        <v>4</v>
      </c>
      <c r="P3146">
        <v>1</v>
      </c>
      <c r="Q3146">
        <v>0</v>
      </c>
      <c r="R3146" s="4">
        <v>48.97</v>
      </c>
      <c r="S3146">
        <v>0</v>
      </c>
      <c r="T3146">
        <v>1</v>
      </c>
    </row>
    <row r="3147" spans="1:20" ht="16.5" x14ac:dyDescent="0.3">
      <c r="A3147" t="s">
        <v>3201</v>
      </c>
      <c r="B3147" s="1">
        <v>45733</v>
      </c>
      <c r="C3147">
        <v>2025</v>
      </c>
      <c r="D3147" t="s">
        <v>21</v>
      </c>
      <c r="E3147" t="s">
        <v>437</v>
      </c>
      <c r="F3147" t="s">
        <v>30</v>
      </c>
      <c r="G3147" t="s">
        <v>24</v>
      </c>
      <c r="H3147" t="s">
        <v>48</v>
      </c>
      <c r="I3147" t="s">
        <v>40</v>
      </c>
      <c r="J3147" t="s">
        <v>27</v>
      </c>
      <c r="K3147" t="s">
        <v>28</v>
      </c>
      <c r="L3147" s="2">
        <v>85</v>
      </c>
      <c r="M3147" s="3">
        <v>317</v>
      </c>
      <c r="N3147">
        <v>2</v>
      </c>
      <c r="O3147">
        <v>2</v>
      </c>
      <c r="P3147">
        <v>1</v>
      </c>
      <c r="Q3147">
        <v>0</v>
      </c>
      <c r="R3147" s="4">
        <v>87.23</v>
      </c>
      <c r="S3147">
        <v>0</v>
      </c>
      <c r="T3147">
        <v>1</v>
      </c>
    </row>
    <row r="3148" spans="1:20" ht="16.5" x14ac:dyDescent="0.3">
      <c r="A3148" t="s">
        <v>3202</v>
      </c>
      <c r="B3148" s="1">
        <v>45734</v>
      </c>
      <c r="C3148">
        <v>2025</v>
      </c>
      <c r="D3148" t="s">
        <v>21</v>
      </c>
      <c r="E3148" t="s">
        <v>437</v>
      </c>
      <c r="F3148" t="s">
        <v>57</v>
      </c>
      <c r="G3148" t="s">
        <v>24</v>
      </c>
      <c r="H3148" t="s">
        <v>48</v>
      </c>
      <c r="I3148" t="s">
        <v>40</v>
      </c>
      <c r="J3148" t="s">
        <v>27</v>
      </c>
      <c r="K3148" t="s">
        <v>32</v>
      </c>
      <c r="L3148" s="2">
        <v>21.1</v>
      </c>
      <c r="M3148" s="3">
        <v>465</v>
      </c>
      <c r="N3148">
        <v>2</v>
      </c>
      <c r="O3148">
        <v>1</v>
      </c>
      <c r="P3148">
        <v>1</v>
      </c>
      <c r="Q3148">
        <v>0</v>
      </c>
      <c r="R3148" s="4">
        <v>43.34</v>
      </c>
      <c r="S3148">
        <v>0</v>
      </c>
      <c r="T3148">
        <v>1</v>
      </c>
    </row>
    <row r="3149" spans="1:20" ht="16.5" x14ac:dyDescent="0.3">
      <c r="A3149" t="s">
        <v>3203</v>
      </c>
      <c r="B3149" s="1">
        <v>45734</v>
      </c>
      <c r="C3149">
        <v>2025</v>
      </c>
      <c r="D3149" t="s">
        <v>21</v>
      </c>
      <c r="E3149" t="s">
        <v>437</v>
      </c>
      <c r="F3149" t="s">
        <v>38</v>
      </c>
      <c r="G3149" t="s">
        <v>39</v>
      </c>
      <c r="H3149" t="s">
        <v>36</v>
      </c>
      <c r="I3149" t="s">
        <v>26</v>
      </c>
      <c r="J3149" t="s">
        <v>27</v>
      </c>
      <c r="K3149" t="s">
        <v>28</v>
      </c>
      <c r="L3149" s="2">
        <v>165.7</v>
      </c>
      <c r="M3149" s="3">
        <v>210</v>
      </c>
      <c r="N3149">
        <v>3</v>
      </c>
      <c r="O3149">
        <v>3</v>
      </c>
      <c r="P3149">
        <v>1</v>
      </c>
      <c r="Q3149">
        <v>0</v>
      </c>
      <c r="R3149" s="4">
        <v>87.87</v>
      </c>
      <c r="S3149">
        <v>0</v>
      </c>
      <c r="T3149">
        <v>1</v>
      </c>
    </row>
    <row r="3150" spans="1:20" ht="16.5" x14ac:dyDescent="0.3">
      <c r="A3150" t="s">
        <v>3204</v>
      </c>
      <c r="B3150" s="1">
        <v>45734</v>
      </c>
      <c r="C3150">
        <v>2025</v>
      </c>
      <c r="D3150" t="s">
        <v>21</v>
      </c>
      <c r="E3150" t="s">
        <v>437</v>
      </c>
      <c r="F3150" t="s">
        <v>57</v>
      </c>
      <c r="G3150" t="s">
        <v>39</v>
      </c>
      <c r="H3150" t="s">
        <v>36</v>
      </c>
      <c r="I3150" t="s">
        <v>26</v>
      </c>
      <c r="J3150" t="s">
        <v>27</v>
      </c>
      <c r="K3150" t="s">
        <v>32</v>
      </c>
      <c r="L3150" s="2">
        <v>1.9</v>
      </c>
      <c r="M3150" s="3">
        <v>223</v>
      </c>
      <c r="N3150">
        <v>3</v>
      </c>
      <c r="O3150">
        <v>3</v>
      </c>
      <c r="P3150">
        <v>1</v>
      </c>
      <c r="Q3150">
        <v>0</v>
      </c>
      <c r="R3150" s="4">
        <v>11.28</v>
      </c>
      <c r="S3150">
        <v>0</v>
      </c>
      <c r="T3150">
        <v>1</v>
      </c>
    </row>
    <row r="3151" spans="1:20" ht="16.5" x14ac:dyDescent="0.3">
      <c r="A3151" t="s">
        <v>3205</v>
      </c>
      <c r="B3151" s="1">
        <v>45734</v>
      </c>
      <c r="C3151">
        <v>2025</v>
      </c>
      <c r="D3151" t="s">
        <v>21</v>
      </c>
      <c r="E3151" t="s">
        <v>437</v>
      </c>
      <c r="F3151" t="s">
        <v>57</v>
      </c>
      <c r="G3151" t="s">
        <v>39</v>
      </c>
      <c r="H3151" t="s">
        <v>36</v>
      </c>
      <c r="I3151" t="s">
        <v>40</v>
      </c>
      <c r="J3151" t="s">
        <v>27</v>
      </c>
      <c r="K3151" t="s">
        <v>32</v>
      </c>
      <c r="L3151" s="2">
        <v>2.2999999999999998</v>
      </c>
      <c r="M3151" s="3">
        <v>255</v>
      </c>
      <c r="N3151">
        <v>1</v>
      </c>
      <c r="O3151">
        <v>1</v>
      </c>
      <c r="P3151">
        <v>1</v>
      </c>
      <c r="Q3151">
        <v>0</v>
      </c>
      <c r="R3151" s="4">
        <v>20.39</v>
      </c>
      <c r="S3151">
        <v>0</v>
      </c>
      <c r="T3151">
        <v>1</v>
      </c>
    </row>
    <row r="3152" spans="1:20" ht="16.5" x14ac:dyDescent="0.3">
      <c r="A3152" t="s">
        <v>3206</v>
      </c>
      <c r="B3152" s="1">
        <v>45734</v>
      </c>
      <c r="C3152">
        <v>2025</v>
      </c>
      <c r="D3152" t="s">
        <v>21</v>
      </c>
      <c r="E3152" t="s">
        <v>437</v>
      </c>
      <c r="F3152" t="s">
        <v>34</v>
      </c>
      <c r="G3152" t="s">
        <v>24</v>
      </c>
      <c r="H3152" t="s">
        <v>25</v>
      </c>
      <c r="I3152" t="s">
        <v>26</v>
      </c>
      <c r="J3152" t="s">
        <v>27</v>
      </c>
      <c r="K3152" t="s">
        <v>28</v>
      </c>
      <c r="L3152" s="2">
        <v>370.9</v>
      </c>
      <c r="M3152" s="3">
        <v>1115</v>
      </c>
      <c r="N3152">
        <v>4</v>
      </c>
      <c r="O3152">
        <v>4</v>
      </c>
      <c r="P3152">
        <v>1</v>
      </c>
      <c r="Q3152">
        <v>0</v>
      </c>
      <c r="R3152" s="4">
        <v>142.12</v>
      </c>
      <c r="S3152">
        <v>0</v>
      </c>
      <c r="T3152">
        <v>1</v>
      </c>
    </row>
    <row r="3153" spans="1:20" ht="16.5" x14ac:dyDescent="0.3">
      <c r="A3153" t="s">
        <v>3207</v>
      </c>
      <c r="B3153" s="1">
        <v>45734</v>
      </c>
      <c r="C3153">
        <v>2025</v>
      </c>
      <c r="D3153" t="s">
        <v>21</v>
      </c>
      <c r="E3153" t="s">
        <v>437</v>
      </c>
      <c r="F3153" t="s">
        <v>38</v>
      </c>
      <c r="G3153" t="s">
        <v>35</v>
      </c>
      <c r="H3153" t="s">
        <v>36</v>
      </c>
      <c r="I3153" t="s">
        <v>26</v>
      </c>
      <c r="J3153" t="s">
        <v>27</v>
      </c>
      <c r="K3153" t="s">
        <v>32</v>
      </c>
      <c r="L3153" s="2">
        <v>1.8</v>
      </c>
      <c r="M3153" s="3">
        <v>253</v>
      </c>
      <c r="N3153">
        <v>3</v>
      </c>
      <c r="O3153">
        <v>2</v>
      </c>
      <c r="P3153">
        <v>1</v>
      </c>
      <c r="Q3153">
        <v>0</v>
      </c>
      <c r="R3153" s="4">
        <v>12.34</v>
      </c>
      <c r="S3153">
        <v>0</v>
      </c>
      <c r="T3153">
        <v>1</v>
      </c>
    </row>
    <row r="3154" spans="1:20" ht="16.5" x14ac:dyDescent="0.3">
      <c r="A3154" t="s">
        <v>3208</v>
      </c>
      <c r="B3154" s="1">
        <v>45734</v>
      </c>
      <c r="C3154">
        <v>2025</v>
      </c>
      <c r="D3154" t="s">
        <v>21</v>
      </c>
      <c r="E3154" t="s">
        <v>437</v>
      </c>
      <c r="F3154" t="s">
        <v>57</v>
      </c>
      <c r="G3154" t="s">
        <v>39</v>
      </c>
      <c r="H3154" t="s">
        <v>48</v>
      </c>
      <c r="I3154" t="s">
        <v>40</v>
      </c>
      <c r="J3154" t="s">
        <v>27</v>
      </c>
      <c r="K3154" t="s">
        <v>32</v>
      </c>
      <c r="L3154" s="2">
        <v>3.1</v>
      </c>
      <c r="M3154" s="3">
        <v>516</v>
      </c>
      <c r="N3154">
        <v>2</v>
      </c>
      <c r="O3154">
        <v>1</v>
      </c>
      <c r="P3154">
        <v>1</v>
      </c>
      <c r="Q3154">
        <v>0</v>
      </c>
      <c r="R3154" s="4">
        <v>28.59</v>
      </c>
      <c r="S3154">
        <v>0</v>
      </c>
      <c r="T3154">
        <v>1</v>
      </c>
    </row>
    <row r="3155" spans="1:20" ht="16.5" x14ac:dyDescent="0.3">
      <c r="A3155" t="s">
        <v>3209</v>
      </c>
      <c r="B3155" s="1">
        <v>45735</v>
      </c>
      <c r="C3155">
        <v>2025</v>
      </c>
      <c r="D3155" t="s">
        <v>21</v>
      </c>
      <c r="E3155" t="s">
        <v>437</v>
      </c>
      <c r="F3155" t="s">
        <v>38</v>
      </c>
      <c r="G3155" t="s">
        <v>39</v>
      </c>
      <c r="H3155" t="s">
        <v>48</v>
      </c>
      <c r="I3155" t="s">
        <v>40</v>
      </c>
      <c r="J3155" t="s">
        <v>27</v>
      </c>
      <c r="K3155" t="s">
        <v>32</v>
      </c>
      <c r="L3155" s="2">
        <v>2.1</v>
      </c>
      <c r="M3155" s="3">
        <v>483</v>
      </c>
      <c r="N3155">
        <v>2</v>
      </c>
      <c r="O3155">
        <v>2</v>
      </c>
      <c r="P3155">
        <v>1</v>
      </c>
      <c r="Q3155">
        <v>0</v>
      </c>
      <c r="R3155" s="4">
        <v>29.23</v>
      </c>
      <c r="S3155">
        <v>0</v>
      </c>
      <c r="T3155">
        <v>1</v>
      </c>
    </row>
    <row r="3156" spans="1:20" ht="16.5" x14ac:dyDescent="0.3">
      <c r="A3156" t="s">
        <v>3210</v>
      </c>
      <c r="B3156" s="1">
        <v>45735</v>
      </c>
      <c r="C3156">
        <v>2025</v>
      </c>
      <c r="D3156" t="s">
        <v>21</v>
      </c>
      <c r="E3156" t="s">
        <v>437</v>
      </c>
      <c r="F3156" t="s">
        <v>57</v>
      </c>
      <c r="G3156" t="s">
        <v>35</v>
      </c>
      <c r="H3156" t="s">
        <v>36</v>
      </c>
      <c r="I3156" t="s">
        <v>31</v>
      </c>
      <c r="J3156" t="s">
        <v>27</v>
      </c>
      <c r="K3156" t="s">
        <v>28</v>
      </c>
      <c r="L3156" s="2">
        <v>242.9</v>
      </c>
      <c r="M3156" s="3">
        <v>264</v>
      </c>
      <c r="N3156">
        <v>5</v>
      </c>
      <c r="O3156">
        <v>5</v>
      </c>
      <c r="P3156">
        <v>1</v>
      </c>
      <c r="Q3156">
        <v>0</v>
      </c>
      <c r="R3156" s="4">
        <v>76.73</v>
      </c>
      <c r="S3156">
        <v>0</v>
      </c>
      <c r="T3156">
        <v>1</v>
      </c>
    </row>
    <row r="3157" spans="1:20" ht="16.5" x14ac:dyDescent="0.3">
      <c r="A3157" t="s">
        <v>3211</v>
      </c>
      <c r="B3157" s="1">
        <v>45735</v>
      </c>
      <c r="C3157">
        <v>2025</v>
      </c>
      <c r="D3157" t="s">
        <v>21</v>
      </c>
      <c r="E3157" t="s">
        <v>437</v>
      </c>
      <c r="F3157" t="s">
        <v>38</v>
      </c>
      <c r="G3157" t="s">
        <v>35</v>
      </c>
      <c r="H3157" t="s">
        <v>25</v>
      </c>
      <c r="I3157" t="s">
        <v>40</v>
      </c>
      <c r="J3157" t="s">
        <v>41</v>
      </c>
      <c r="K3157" t="s">
        <v>32</v>
      </c>
      <c r="L3157" s="2">
        <v>7.7</v>
      </c>
      <c r="M3157" s="3">
        <v>907</v>
      </c>
      <c r="N3157">
        <v>2</v>
      </c>
      <c r="O3157">
        <v>4</v>
      </c>
      <c r="P3157">
        <v>0</v>
      </c>
      <c r="Q3157">
        <v>2</v>
      </c>
      <c r="R3157" s="4">
        <v>79.89</v>
      </c>
      <c r="S3157">
        <v>0</v>
      </c>
      <c r="T3157">
        <v>1</v>
      </c>
    </row>
    <row r="3158" spans="1:20" ht="16.5" x14ac:dyDescent="0.3">
      <c r="A3158" t="s">
        <v>3212</v>
      </c>
      <c r="B3158" s="1">
        <v>45735</v>
      </c>
      <c r="C3158">
        <v>2025</v>
      </c>
      <c r="D3158" t="s">
        <v>21</v>
      </c>
      <c r="E3158" t="s">
        <v>437</v>
      </c>
      <c r="F3158" t="s">
        <v>57</v>
      </c>
      <c r="G3158" t="s">
        <v>39</v>
      </c>
      <c r="H3158" t="s">
        <v>25</v>
      </c>
      <c r="I3158" t="s">
        <v>26</v>
      </c>
      <c r="J3158" t="s">
        <v>27</v>
      </c>
      <c r="K3158" t="s">
        <v>32</v>
      </c>
      <c r="L3158" s="2">
        <v>13.1</v>
      </c>
      <c r="M3158" s="3">
        <v>774</v>
      </c>
      <c r="N3158">
        <v>4</v>
      </c>
      <c r="O3158">
        <v>4</v>
      </c>
      <c r="P3158">
        <v>1</v>
      </c>
      <c r="Q3158">
        <v>0</v>
      </c>
      <c r="R3158" s="4">
        <v>21.93</v>
      </c>
      <c r="S3158">
        <v>0</v>
      </c>
      <c r="T3158">
        <v>1</v>
      </c>
    </row>
    <row r="3159" spans="1:20" ht="16.5" x14ac:dyDescent="0.3">
      <c r="A3159" t="s">
        <v>3213</v>
      </c>
      <c r="B3159" s="1">
        <v>45736</v>
      </c>
      <c r="C3159">
        <v>2025</v>
      </c>
      <c r="D3159" t="s">
        <v>21</v>
      </c>
      <c r="E3159" t="s">
        <v>437</v>
      </c>
      <c r="F3159" t="s">
        <v>23</v>
      </c>
      <c r="G3159" t="s">
        <v>24</v>
      </c>
      <c r="H3159" t="s">
        <v>51</v>
      </c>
      <c r="I3159" t="s">
        <v>31</v>
      </c>
      <c r="J3159" t="s">
        <v>27</v>
      </c>
      <c r="K3159" t="s">
        <v>32</v>
      </c>
      <c r="L3159" s="2">
        <v>16.7</v>
      </c>
      <c r="M3159" s="3">
        <v>1040</v>
      </c>
      <c r="N3159">
        <v>7</v>
      </c>
      <c r="O3159">
        <v>8</v>
      </c>
      <c r="P3159">
        <v>0</v>
      </c>
      <c r="Q3159">
        <v>1</v>
      </c>
      <c r="R3159" s="4">
        <v>19.649999999999999</v>
      </c>
      <c r="S3159">
        <v>0</v>
      </c>
      <c r="T3159">
        <v>1</v>
      </c>
    </row>
    <row r="3160" spans="1:20" ht="16.5" x14ac:dyDescent="0.3">
      <c r="A3160" t="s">
        <v>3214</v>
      </c>
      <c r="B3160" s="1">
        <v>45736</v>
      </c>
      <c r="C3160">
        <v>2025</v>
      </c>
      <c r="D3160" t="s">
        <v>21</v>
      </c>
      <c r="E3160" t="s">
        <v>437</v>
      </c>
      <c r="F3160" t="s">
        <v>57</v>
      </c>
      <c r="G3160" t="s">
        <v>35</v>
      </c>
      <c r="H3160" t="s">
        <v>48</v>
      </c>
      <c r="I3160" t="s">
        <v>26</v>
      </c>
      <c r="J3160" t="s">
        <v>27</v>
      </c>
      <c r="K3160" t="s">
        <v>32</v>
      </c>
      <c r="L3160" s="2">
        <v>4.5</v>
      </c>
      <c r="M3160" s="3">
        <v>363</v>
      </c>
      <c r="N3160">
        <v>4</v>
      </c>
      <c r="O3160">
        <v>4</v>
      </c>
      <c r="P3160">
        <v>1</v>
      </c>
      <c r="Q3160">
        <v>0</v>
      </c>
      <c r="R3160" s="4">
        <v>13.87</v>
      </c>
      <c r="S3160">
        <v>0</v>
      </c>
      <c r="T3160">
        <v>1</v>
      </c>
    </row>
    <row r="3161" spans="1:20" ht="16.5" x14ac:dyDescent="0.3">
      <c r="A3161" t="s">
        <v>3215</v>
      </c>
      <c r="B3161" s="1">
        <v>45736</v>
      </c>
      <c r="C3161">
        <v>2025</v>
      </c>
      <c r="D3161" t="s">
        <v>21</v>
      </c>
      <c r="E3161" t="s">
        <v>437</v>
      </c>
      <c r="F3161" t="s">
        <v>23</v>
      </c>
      <c r="G3161" t="s">
        <v>39</v>
      </c>
      <c r="H3161" t="s">
        <v>48</v>
      </c>
      <c r="I3161" t="s">
        <v>40</v>
      </c>
      <c r="J3161" t="s">
        <v>27</v>
      </c>
      <c r="K3161" t="s">
        <v>28</v>
      </c>
      <c r="L3161" s="2">
        <v>210.4</v>
      </c>
      <c r="M3161" s="3">
        <v>573</v>
      </c>
      <c r="N3161">
        <v>2</v>
      </c>
      <c r="O3161">
        <v>2</v>
      </c>
      <c r="P3161">
        <v>1</v>
      </c>
      <c r="Q3161">
        <v>0</v>
      </c>
      <c r="R3161" s="4">
        <v>200.41</v>
      </c>
      <c r="S3161">
        <v>0</v>
      </c>
      <c r="T3161">
        <v>1</v>
      </c>
    </row>
    <row r="3162" spans="1:20" ht="16.5" x14ac:dyDescent="0.3">
      <c r="A3162" t="s">
        <v>3216</v>
      </c>
      <c r="B3162" s="1">
        <v>45736</v>
      </c>
      <c r="C3162">
        <v>2025</v>
      </c>
      <c r="D3162" t="s">
        <v>21</v>
      </c>
      <c r="E3162" t="s">
        <v>437</v>
      </c>
      <c r="F3162" t="s">
        <v>23</v>
      </c>
      <c r="G3162" t="s">
        <v>39</v>
      </c>
      <c r="H3162" t="s">
        <v>43</v>
      </c>
      <c r="I3162" t="s">
        <v>31</v>
      </c>
      <c r="J3162" t="s">
        <v>27</v>
      </c>
      <c r="K3162" t="s">
        <v>32</v>
      </c>
      <c r="L3162" s="2">
        <v>6.4</v>
      </c>
      <c r="M3162" s="3">
        <v>1176</v>
      </c>
      <c r="N3162">
        <v>7</v>
      </c>
      <c r="O3162">
        <v>9</v>
      </c>
      <c r="P3162">
        <v>0</v>
      </c>
      <c r="Q3162">
        <v>2</v>
      </c>
      <c r="R3162" s="4">
        <v>17.399999999999999</v>
      </c>
      <c r="S3162">
        <v>0</v>
      </c>
      <c r="T3162">
        <v>1</v>
      </c>
    </row>
    <row r="3163" spans="1:20" ht="16.5" x14ac:dyDescent="0.3">
      <c r="A3163" t="s">
        <v>3217</v>
      </c>
      <c r="B3163" s="1">
        <v>45736</v>
      </c>
      <c r="C3163">
        <v>2025</v>
      </c>
      <c r="D3163" t="s">
        <v>21</v>
      </c>
      <c r="E3163" t="s">
        <v>437</v>
      </c>
      <c r="F3163" t="s">
        <v>30</v>
      </c>
      <c r="G3163" t="s">
        <v>39</v>
      </c>
      <c r="H3163" t="s">
        <v>51</v>
      </c>
      <c r="I3163" t="s">
        <v>26</v>
      </c>
      <c r="J3163" t="s">
        <v>27</v>
      </c>
      <c r="K3163" t="s">
        <v>28</v>
      </c>
      <c r="L3163" s="2">
        <v>206.6</v>
      </c>
      <c r="M3163" s="3">
        <v>1126</v>
      </c>
      <c r="N3163">
        <v>5</v>
      </c>
      <c r="O3163">
        <v>5</v>
      </c>
      <c r="P3163">
        <v>1</v>
      </c>
      <c r="Q3163">
        <v>0</v>
      </c>
      <c r="R3163" s="4">
        <v>104.74</v>
      </c>
      <c r="S3163">
        <v>0</v>
      </c>
      <c r="T3163">
        <v>1</v>
      </c>
    </row>
    <row r="3164" spans="1:20" ht="16.5" x14ac:dyDescent="0.3">
      <c r="A3164" t="s">
        <v>3218</v>
      </c>
      <c r="B3164" s="1">
        <v>45736</v>
      </c>
      <c r="C3164">
        <v>2025</v>
      </c>
      <c r="D3164" t="s">
        <v>21</v>
      </c>
      <c r="E3164" t="s">
        <v>437</v>
      </c>
      <c r="F3164" t="s">
        <v>34</v>
      </c>
      <c r="G3164" t="s">
        <v>39</v>
      </c>
      <c r="H3164" t="s">
        <v>36</v>
      </c>
      <c r="I3164" t="s">
        <v>26</v>
      </c>
      <c r="J3164" t="s">
        <v>27</v>
      </c>
      <c r="K3164" t="s">
        <v>28</v>
      </c>
      <c r="L3164" s="2">
        <v>114.2</v>
      </c>
      <c r="M3164" s="3">
        <v>303</v>
      </c>
      <c r="N3164">
        <v>3</v>
      </c>
      <c r="O3164">
        <v>5</v>
      </c>
      <c r="P3164">
        <v>0</v>
      </c>
      <c r="Q3164">
        <v>2</v>
      </c>
      <c r="R3164" s="4">
        <v>52.62</v>
      </c>
      <c r="S3164">
        <v>0</v>
      </c>
      <c r="T3164">
        <v>1</v>
      </c>
    </row>
    <row r="3165" spans="1:20" ht="16.5" x14ac:dyDescent="0.3">
      <c r="A3165" t="s">
        <v>3219</v>
      </c>
      <c r="B3165" s="1">
        <v>45737</v>
      </c>
      <c r="C3165">
        <v>2025</v>
      </c>
      <c r="D3165" t="s">
        <v>21</v>
      </c>
      <c r="E3165" t="s">
        <v>437</v>
      </c>
      <c r="F3165" t="s">
        <v>57</v>
      </c>
      <c r="G3165" t="s">
        <v>39</v>
      </c>
      <c r="H3165" t="s">
        <v>48</v>
      </c>
      <c r="I3165" t="s">
        <v>26</v>
      </c>
      <c r="J3165" t="s">
        <v>27</v>
      </c>
      <c r="K3165" t="s">
        <v>28</v>
      </c>
      <c r="L3165" s="2">
        <v>101</v>
      </c>
      <c r="M3165" s="3">
        <v>507</v>
      </c>
      <c r="N3165">
        <v>4</v>
      </c>
      <c r="O3165">
        <v>4</v>
      </c>
      <c r="P3165">
        <v>1</v>
      </c>
      <c r="Q3165">
        <v>0</v>
      </c>
      <c r="R3165" s="4">
        <v>49.8</v>
      </c>
      <c r="S3165">
        <v>0</v>
      </c>
      <c r="T3165">
        <v>1</v>
      </c>
    </row>
    <row r="3166" spans="1:20" ht="16.5" x14ac:dyDescent="0.3">
      <c r="A3166" t="s">
        <v>3220</v>
      </c>
      <c r="B3166" s="1">
        <v>45737</v>
      </c>
      <c r="C3166">
        <v>2025</v>
      </c>
      <c r="D3166" t="s">
        <v>21</v>
      </c>
      <c r="E3166" t="s">
        <v>437</v>
      </c>
      <c r="F3166" t="s">
        <v>23</v>
      </c>
      <c r="G3166" t="s">
        <v>35</v>
      </c>
      <c r="H3166" t="s">
        <v>36</v>
      </c>
      <c r="I3166" t="s">
        <v>26</v>
      </c>
      <c r="J3166" t="s">
        <v>27</v>
      </c>
      <c r="K3166" t="s">
        <v>32</v>
      </c>
      <c r="L3166" s="2">
        <v>3</v>
      </c>
      <c r="M3166" s="3">
        <v>268</v>
      </c>
      <c r="N3166">
        <v>3</v>
      </c>
      <c r="O3166">
        <v>3</v>
      </c>
      <c r="P3166">
        <v>1</v>
      </c>
      <c r="Q3166">
        <v>0</v>
      </c>
      <c r="R3166" s="4">
        <v>12.63</v>
      </c>
      <c r="S3166">
        <v>0</v>
      </c>
      <c r="T3166">
        <v>1</v>
      </c>
    </row>
    <row r="3167" spans="1:20" ht="16.5" x14ac:dyDescent="0.3">
      <c r="A3167" t="s">
        <v>3221</v>
      </c>
      <c r="B3167" s="1">
        <v>45737</v>
      </c>
      <c r="C3167">
        <v>2025</v>
      </c>
      <c r="D3167" t="s">
        <v>21</v>
      </c>
      <c r="E3167" t="s">
        <v>437</v>
      </c>
      <c r="F3167" t="s">
        <v>34</v>
      </c>
      <c r="G3167" t="s">
        <v>39</v>
      </c>
      <c r="H3167" t="s">
        <v>48</v>
      </c>
      <c r="I3167" t="s">
        <v>40</v>
      </c>
      <c r="J3167" t="s">
        <v>27</v>
      </c>
      <c r="K3167" t="s">
        <v>32</v>
      </c>
      <c r="L3167" s="2">
        <v>8.6999999999999993</v>
      </c>
      <c r="M3167" s="3">
        <v>495</v>
      </c>
      <c r="N3167">
        <v>2</v>
      </c>
      <c r="O3167">
        <v>1</v>
      </c>
      <c r="P3167">
        <v>1</v>
      </c>
      <c r="Q3167">
        <v>0</v>
      </c>
      <c r="R3167" s="4">
        <v>26.93</v>
      </c>
      <c r="S3167">
        <v>0</v>
      </c>
      <c r="T3167">
        <v>1</v>
      </c>
    </row>
    <row r="3168" spans="1:20" ht="16.5" x14ac:dyDescent="0.3">
      <c r="A3168" t="s">
        <v>3222</v>
      </c>
      <c r="B3168" s="1">
        <v>45737</v>
      </c>
      <c r="C3168">
        <v>2025</v>
      </c>
      <c r="D3168" t="s">
        <v>21</v>
      </c>
      <c r="E3168" t="s">
        <v>437</v>
      </c>
      <c r="F3168" t="s">
        <v>38</v>
      </c>
      <c r="G3168" t="s">
        <v>35</v>
      </c>
      <c r="H3168" t="s">
        <v>43</v>
      </c>
      <c r="I3168" t="s">
        <v>26</v>
      </c>
      <c r="J3168" t="s">
        <v>27</v>
      </c>
      <c r="K3168" t="s">
        <v>32</v>
      </c>
      <c r="L3168" s="2">
        <v>2.2000000000000002</v>
      </c>
      <c r="M3168" s="3">
        <v>1302</v>
      </c>
      <c r="N3168">
        <v>5</v>
      </c>
      <c r="O3168">
        <v>5</v>
      </c>
      <c r="P3168">
        <v>1</v>
      </c>
      <c r="Q3168">
        <v>0</v>
      </c>
      <c r="R3168" s="4">
        <v>23.47</v>
      </c>
      <c r="S3168">
        <v>0</v>
      </c>
      <c r="T3168">
        <v>1</v>
      </c>
    </row>
    <row r="3169" spans="1:20" ht="16.5" x14ac:dyDescent="0.3">
      <c r="A3169" t="s">
        <v>3223</v>
      </c>
      <c r="B3169" s="1">
        <v>45737</v>
      </c>
      <c r="C3169">
        <v>2025</v>
      </c>
      <c r="D3169" t="s">
        <v>21</v>
      </c>
      <c r="E3169" t="s">
        <v>437</v>
      </c>
      <c r="F3169" t="s">
        <v>23</v>
      </c>
      <c r="G3169" t="s">
        <v>24</v>
      </c>
      <c r="H3169" t="s">
        <v>48</v>
      </c>
      <c r="I3169" t="s">
        <v>31</v>
      </c>
      <c r="J3169" t="s">
        <v>27</v>
      </c>
      <c r="K3169" t="s">
        <v>28</v>
      </c>
      <c r="L3169" s="2">
        <v>126.5</v>
      </c>
      <c r="M3169" s="3">
        <v>570</v>
      </c>
      <c r="N3169">
        <v>6</v>
      </c>
      <c r="O3169">
        <v>6</v>
      </c>
      <c r="P3169">
        <v>1</v>
      </c>
      <c r="Q3169">
        <v>0</v>
      </c>
      <c r="R3169" s="4">
        <v>48.28</v>
      </c>
      <c r="S3169">
        <v>0</v>
      </c>
      <c r="T3169">
        <v>1</v>
      </c>
    </row>
    <row r="3170" spans="1:20" ht="16.5" x14ac:dyDescent="0.3">
      <c r="A3170" t="s">
        <v>3224</v>
      </c>
      <c r="B3170" s="1">
        <v>45737</v>
      </c>
      <c r="C3170">
        <v>2025</v>
      </c>
      <c r="D3170" t="s">
        <v>21</v>
      </c>
      <c r="E3170" t="s">
        <v>437</v>
      </c>
      <c r="F3170" t="s">
        <v>34</v>
      </c>
      <c r="G3170" t="s">
        <v>39</v>
      </c>
      <c r="H3170" t="s">
        <v>36</v>
      </c>
      <c r="I3170" t="s">
        <v>31</v>
      </c>
      <c r="J3170" t="s">
        <v>27</v>
      </c>
      <c r="K3170" t="s">
        <v>32</v>
      </c>
      <c r="L3170" s="2">
        <v>7.1</v>
      </c>
      <c r="M3170" s="3">
        <v>240</v>
      </c>
      <c r="N3170">
        <v>5</v>
      </c>
      <c r="O3170">
        <v>5</v>
      </c>
      <c r="P3170">
        <v>1</v>
      </c>
      <c r="Q3170">
        <v>0</v>
      </c>
      <c r="R3170" s="4">
        <v>8.06</v>
      </c>
      <c r="S3170">
        <v>0</v>
      </c>
      <c r="T3170">
        <v>1</v>
      </c>
    </row>
    <row r="3171" spans="1:20" ht="16.5" x14ac:dyDescent="0.3">
      <c r="A3171" t="s">
        <v>3225</v>
      </c>
      <c r="B3171" s="1">
        <v>45738</v>
      </c>
      <c r="C3171">
        <v>2025</v>
      </c>
      <c r="D3171" t="s">
        <v>21</v>
      </c>
      <c r="E3171" t="s">
        <v>437</v>
      </c>
      <c r="F3171" t="s">
        <v>57</v>
      </c>
      <c r="G3171" t="s">
        <v>39</v>
      </c>
      <c r="H3171" t="s">
        <v>48</v>
      </c>
      <c r="I3171" t="s">
        <v>40</v>
      </c>
      <c r="J3171" t="s">
        <v>27</v>
      </c>
      <c r="K3171" t="s">
        <v>32</v>
      </c>
      <c r="L3171" s="2">
        <v>3.8</v>
      </c>
      <c r="M3171" s="3">
        <v>394</v>
      </c>
      <c r="N3171">
        <v>2</v>
      </c>
      <c r="O3171">
        <v>2</v>
      </c>
      <c r="P3171">
        <v>1</v>
      </c>
      <c r="Q3171">
        <v>0</v>
      </c>
      <c r="R3171" s="4">
        <v>24.49</v>
      </c>
      <c r="S3171">
        <v>0</v>
      </c>
      <c r="T3171">
        <v>1</v>
      </c>
    </row>
    <row r="3172" spans="1:20" ht="16.5" x14ac:dyDescent="0.3">
      <c r="A3172" t="s">
        <v>3226</v>
      </c>
      <c r="B3172" s="1">
        <v>45738</v>
      </c>
      <c r="C3172">
        <v>2025</v>
      </c>
      <c r="D3172" t="s">
        <v>21</v>
      </c>
      <c r="E3172" t="s">
        <v>437</v>
      </c>
      <c r="F3172" t="s">
        <v>57</v>
      </c>
      <c r="G3172" t="s">
        <v>35</v>
      </c>
      <c r="H3172" t="s">
        <v>48</v>
      </c>
      <c r="I3172" t="s">
        <v>40</v>
      </c>
      <c r="J3172" t="s">
        <v>27</v>
      </c>
      <c r="K3172" t="s">
        <v>28</v>
      </c>
      <c r="L3172" s="2">
        <v>71</v>
      </c>
      <c r="M3172" s="3">
        <v>478</v>
      </c>
      <c r="N3172">
        <v>2</v>
      </c>
      <c r="O3172">
        <v>2</v>
      </c>
      <c r="P3172">
        <v>1</v>
      </c>
      <c r="Q3172">
        <v>0</v>
      </c>
      <c r="R3172" s="4">
        <v>96.76</v>
      </c>
      <c r="S3172">
        <v>0</v>
      </c>
      <c r="T3172">
        <v>1</v>
      </c>
    </row>
    <row r="3173" spans="1:20" ht="16.5" x14ac:dyDescent="0.3">
      <c r="A3173" t="s">
        <v>3227</v>
      </c>
      <c r="B3173" s="1">
        <v>45738</v>
      </c>
      <c r="C3173">
        <v>2025</v>
      </c>
      <c r="D3173" t="s">
        <v>21</v>
      </c>
      <c r="E3173" t="s">
        <v>437</v>
      </c>
      <c r="F3173" t="s">
        <v>23</v>
      </c>
      <c r="G3173" t="s">
        <v>35</v>
      </c>
      <c r="H3173" t="s">
        <v>25</v>
      </c>
      <c r="I3173" t="s">
        <v>26</v>
      </c>
      <c r="J3173" t="s">
        <v>27</v>
      </c>
      <c r="K3173" t="s">
        <v>28</v>
      </c>
      <c r="L3173" s="2">
        <v>54.3</v>
      </c>
      <c r="M3173" s="3">
        <v>874</v>
      </c>
      <c r="N3173">
        <v>4</v>
      </c>
      <c r="O3173">
        <v>4</v>
      </c>
      <c r="P3173">
        <v>1</v>
      </c>
      <c r="Q3173">
        <v>0</v>
      </c>
      <c r="R3173" s="4">
        <v>38.950000000000003</v>
      </c>
      <c r="S3173">
        <v>0</v>
      </c>
      <c r="T3173">
        <v>1</v>
      </c>
    </row>
    <row r="3174" spans="1:20" ht="16.5" x14ac:dyDescent="0.3">
      <c r="A3174" t="s">
        <v>3228</v>
      </c>
      <c r="B3174" s="1">
        <v>45738</v>
      </c>
      <c r="C3174">
        <v>2025</v>
      </c>
      <c r="D3174" t="s">
        <v>21</v>
      </c>
      <c r="E3174" t="s">
        <v>437</v>
      </c>
      <c r="F3174" t="s">
        <v>23</v>
      </c>
      <c r="G3174" t="s">
        <v>35</v>
      </c>
      <c r="H3174" t="s">
        <v>36</v>
      </c>
      <c r="I3174" t="s">
        <v>26</v>
      </c>
      <c r="J3174" t="s">
        <v>27</v>
      </c>
      <c r="K3174" t="s">
        <v>28</v>
      </c>
      <c r="L3174" s="2">
        <v>350.5</v>
      </c>
      <c r="M3174" s="3">
        <v>260</v>
      </c>
      <c r="N3174">
        <v>3</v>
      </c>
      <c r="O3174">
        <v>2</v>
      </c>
      <c r="P3174">
        <v>1</v>
      </c>
      <c r="Q3174">
        <v>0</v>
      </c>
      <c r="R3174" s="4">
        <v>126.37</v>
      </c>
      <c r="S3174">
        <v>0</v>
      </c>
      <c r="T3174">
        <v>1</v>
      </c>
    </row>
    <row r="3175" spans="1:20" ht="16.5" x14ac:dyDescent="0.3">
      <c r="A3175" t="s">
        <v>3229</v>
      </c>
      <c r="B3175" s="1">
        <v>45739</v>
      </c>
      <c r="C3175">
        <v>2025</v>
      </c>
      <c r="D3175" t="s">
        <v>21</v>
      </c>
      <c r="E3175" t="s">
        <v>437</v>
      </c>
      <c r="F3175" t="s">
        <v>34</v>
      </c>
      <c r="G3175" t="s">
        <v>35</v>
      </c>
      <c r="H3175" t="s">
        <v>48</v>
      </c>
      <c r="I3175" t="s">
        <v>40</v>
      </c>
      <c r="J3175" t="s">
        <v>27</v>
      </c>
      <c r="K3175" t="s">
        <v>28</v>
      </c>
      <c r="L3175" s="2">
        <v>18.899999999999999</v>
      </c>
      <c r="M3175" s="3">
        <v>453</v>
      </c>
      <c r="N3175">
        <v>2</v>
      </c>
      <c r="O3175">
        <v>2</v>
      </c>
      <c r="P3175">
        <v>1</v>
      </c>
      <c r="Q3175">
        <v>0</v>
      </c>
      <c r="R3175" s="4">
        <v>37.31</v>
      </c>
      <c r="S3175">
        <v>0</v>
      </c>
      <c r="T3175">
        <v>1</v>
      </c>
    </row>
    <row r="3176" spans="1:20" ht="16.5" x14ac:dyDescent="0.3">
      <c r="A3176" t="s">
        <v>3230</v>
      </c>
      <c r="B3176" s="1">
        <v>45740</v>
      </c>
      <c r="C3176">
        <v>2025</v>
      </c>
      <c r="D3176" t="s">
        <v>21</v>
      </c>
      <c r="E3176" t="s">
        <v>437</v>
      </c>
      <c r="F3176" t="s">
        <v>57</v>
      </c>
      <c r="G3176" t="s">
        <v>39</v>
      </c>
      <c r="H3176" t="s">
        <v>36</v>
      </c>
      <c r="I3176" t="s">
        <v>26</v>
      </c>
      <c r="J3176" t="s">
        <v>27</v>
      </c>
      <c r="K3176" t="s">
        <v>32</v>
      </c>
      <c r="L3176" s="2">
        <v>17.7</v>
      </c>
      <c r="M3176" s="3">
        <v>257</v>
      </c>
      <c r="N3176">
        <v>3</v>
      </c>
      <c r="O3176">
        <v>3</v>
      </c>
      <c r="P3176">
        <v>1</v>
      </c>
      <c r="Q3176">
        <v>0</v>
      </c>
      <c r="R3176" s="4">
        <v>21.06</v>
      </c>
      <c r="S3176">
        <v>0</v>
      </c>
      <c r="T3176">
        <v>1</v>
      </c>
    </row>
    <row r="3177" spans="1:20" ht="16.5" x14ac:dyDescent="0.3">
      <c r="A3177" t="s">
        <v>3231</v>
      </c>
      <c r="B3177" s="1">
        <v>45740</v>
      </c>
      <c r="C3177">
        <v>2025</v>
      </c>
      <c r="D3177" t="s">
        <v>21</v>
      </c>
      <c r="E3177" t="s">
        <v>437</v>
      </c>
      <c r="F3177" t="s">
        <v>38</v>
      </c>
      <c r="G3177" t="s">
        <v>39</v>
      </c>
      <c r="H3177" t="s">
        <v>36</v>
      </c>
      <c r="I3177" t="s">
        <v>40</v>
      </c>
      <c r="J3177" t="s">
        <v>27</v>
      </c>
      <c r="K3177" t="s">
        <v>28</v>
      </c>
      <c r="L3177" s="2">
        <v>25.2</v>
      </c>
      <c r="M3177" s="3">
        <v>253</v>
      </c>
      <c r="N3177">
        <v>1</v>
      </c>
      <c r="O3177">
        <v>1</v>
      </c>
      <c r="P3177">
        <v>1</v>
      </c>
      <c r="Q3177">
        <v>0</v>
      </c>
      <c r="R3177" s="4">
        <v>46.87</v>
      </c>
      <c r="S3177">
        <v>0</v>
      </c>
      <c r="T3177">
        <v>1</v>
      </c>
    </row>
    <row r="3178" spans="1:20" ht="16.5" x14ac:dyDescent="0.3">
      <c r="A3178" t="s">
        <v>3232</v>
      </c>
      <c r="B3178" s="1">
        <v>45740</v>
      </c>
      <c r="C3178">
        <v>2025</v>
      </c>
      <c r="D3178" t="s">
        <v>21</v>
      </c>
      <c r="E3178" t="s">
        <v>437</v>
      </c>
      <c r="F3178" t="s">
        <v>38</v>
      </c>
      <c r="G3178" t="s">
        <v>35</v>
      </c>
      <c r="H3178" t="s">
        <v>43</v>
      </c>
      <c r="I3178" t="s">
        <v>40</v>
      </c>
      <c r="J3178" t="s">
        <v>41</v>
      </c>
      <c r="K3178" t="s">
        <v>28</v>
      </c>
      <c r="L3178" s="2">
        <v>104.4</v>
      </c>
      <c r="M3178" s="3">
        <v>1125</v>
      </c>
      <c r="N3178">
        <v>3</v>
      </c>
      <c r="O3178">
        <v>3</v>
      </c>
      <c r="P3178">
        <v>1</v>
      </c>
      <c r="Q3178">
        <v>0</v>
      </c>
      <c r="R3178" s="4">
        <v>223.46</v>
      </c>
      <c r="S3178">
        <v>0</v>
      </c>
      <c r="T3178">
        <v>1</v>
      </c>
    </row>
    <row r="3179" spans="1:20" ht="16.5" x14ac:dyDescent="0.3">
      <c r="A3179" t="s">
        <v>3233</v>
      </c>
      <c r="B3179" s="1">
        <v>45740</v>
      </c>
      <c r="C3179">
        <v>2025</v>
      </c>
      <c r="D3179" t="s">
        <v>21</v>
      </c>
      <c r="E3179" t="s">
        <v>437</v>
      </c>
      <c r="F3179" t="s">
        <v>57</v>
      </c>
      <c r="G3179" t="s">
        <v>39</v>
      </c>
      <c r="H3179" t="s">
        <v>43</v>
      </c>
      <c r="I3179" t="s">
        <v>40</v>
      </c>
      <c r="J3179" t="s">
        <v>41</v>
      </c>
      <c r="K3179" t="s">
        <v>32</v>
      </c>
      <c r="L3179" s="2">
        <v>5.7</v>
      </c>
      <c r="M3179" s="3">
        <v>1311</v>
      </c>
      <c r="N3179">
        <v>3</v>
      </c>
      <c r="O3179">
        <v>3</v>
      </c>
      <c r="P3179">
        <v>1</v>
      </c>
      <c r="Q3179">
        <v>0</v>
      </c>
      <c r="R3179" s="4">
        <v>71.56</v>
      </c>
      <c r="S3179">
        <v>0</v>
      </c>
      <c r="T3179">
        <v>1</v>
      </c>
    </row>
    <row r="3180" spans="1:20" ht="16.5" x14ac:dyDescent="0.3">
      <c r="A3180" t="s">
        <v>3234</v>
      </c>
      <c r="B3180" s="1">
        <v>45740</v>
      </c>
      <c r="C3180">
        <v>2025</v>
      </c>
      <c r="D3180" t="s">
        <v>21</v>
      </c>
      <c r="E3180" t="s">
        <v>437</v>
      </c>
      <c r="F3180" t="s">
        <v>57</v>
      </c>
      <c r="G3180" t="s">
        <v>35</v>
      </c>
      <c r="H3180" t="s">
        <v>25</v>
      </c>
      <c r="I3180" t="s">
        <v>26</v>
      </c>
      <c r="J3180" t="s">
        <v>27</v>
      </c>
      <c r="K3180" t="s">
        <v>28</v>
      </c>
      <c r="L3180" s="2">
        <v>85.4</v>
      </c>
      <c r="M3180" s="3">
        <v>988</v>
      </c>
      <c r="N3180">
        <v>4</v>
      </c>
      <c r="O3180">
        <v>4</v>
      </c>
      <c r="P3180">
        <v>1</v>
      </c>
      <c r="Q3180">
        <v>0</v>
      </c>
      <c r="R3180" s="4">
        <v>57.77</v>
      </c>
      <c r="S3180">
        <v>0</v>
      </c>
      <c r="T3180">
        <v>1</v>
      </c>
    </row>
    <row r="3181" spans="1:20" ht="16.5" x14ac:dyDescent="0.3">
      <c r="A3181" t="s">
        <v>3235</v>
      </c>
      <c r="B3181" s="1">
        <v>45740</v>
      </c>
      <c r="C3181">
        <v>2025</v>
      </c>
      <c r="D3181" t="s">
        <v>21</v>
      </c>
      <c r="E3181" t="s">
        <v>437</v>
      </c>
      <c r="F3181" t="s">
        <v>34</v>
      </c>
      <c r="G3181" t="s">
        <v>39</v>
      </c>
      <c r="H3181" t="s">
        <v>48</v>
      </c>
      <c r="I3181" t="s">
        <v>26</v>
      </c>
      <c r="J3181" t="s">
        <v>27</v>
      </c>
      <c r="K3181" t="s">
        <v>32</v>
      </c>
      <c r="L3181" s="2">
        <v>8.1</v>
      </c>
      <c r="M3181" s="3">
        <v>533</v>
      </c>
      <c r="N3181">
        <v>4</v>
      </c>
      <c r="O3181">
        <v>4</v>
      </c>
      <c r="P3181">
        <v>1</v>
      </c>
      <c r="Q3181">
        <v>0</v>
      </c>
      <c r="R3181" s="4">
        <v>16.22</v>
      </c>
      <c r="S3181">
        <v>0</v>
      </c>
      <c r="T3181">
        <v>1</v>
      </c>
    </row>
    <row r="3182" spans="1:20" ht="16.5" x14ac:dyDescent="0.3">
      <c r="A3182" t="s">
        <v>3236</v>
      </c>
      <c r="B3182" s="1">
        <v>45740</v>
      </c>
      <c r="C3182">
        <v>2025</v>
      </c>
      <c r="D3182" t="s">
        <v>21</v>
      </c>
      <c r="E3182" t="s">
        <v>437</v>
      </c>
      <c r="F3182" t="s">
        <v>30</v>
      </c>
      <c r="G3182" t="s">
        <v>39</v>
      </c>
      <c r="H3182" t="s">
        <v>43</v>
      </c>
      <c r="I3182" t="s">
        <v>26</v>
      </c>
      <c r="J3182" t="s">
        <v>27</v>
      </c>
      <c r="K3182" t="s">
        <v>32</v>
      </c>
      <c r="L3182" s="2">
        <v>4.5999999999999996</v>
      </c>
      <c r="M3182" s="3">
        <v>1128</v>
      </c>
      <c r="N3182">
        <v>5</v>
      </c>
      <c r="O3182">
        <v>7</v>
      </c>
      <c r="P3182">
        <v>0</v>
      </c>
      <c r="Q3182">
        <v>2</v>
      </c>
      <c r="R3182" s="4">
        <v>22.69</v>
      </c>
      <c r="S3182">
        <v>0</v>
      </c>
      <c r="T3182">
        <v>1</v>
      </c>
    </row>
    <row r="3183" spans="1:20" ht="16.5" x14ac:dyDescent="0.3">
      <c r="A3183" t="s">
        <v>3237</v>
      </c>
      <c r="B3183" s="1">
        <v>45740</v>
      </c>
      <c r="C3183">
        <v>2025</v>
      </c>
      <c r="D3183" t="s">
        <v>21</v>
      </c>
      <c r="E3183" t="s">
        <v>437</v>
      </c>
      <c r="F3183" t="s">
        <v>38</v>
      </c>
      <c r="G3183" t="s">
        <v>39</v>
      </c>
      <c r="H3183" t="s">
        <v>51</v>
      </c>
      <c r="I3183" t="s">
        <v>31</v>
      </c>
      <c r="J3183" t="s">
        <v>27</v>
      </c>
      <c r="K3183" t="s">
        <v>28</v>
      </c>
      <c r="L3183" s="2">
        <v>151.4</v>
      </c>
      <c r="M3183" s="3">
        <v>1168</v>
      </c>
      <c r="N3183">
        <v>7</v>
      </c>
      <c r="O3183">
        <v>7</v>
      </c>
      <c r="P3183">
        <v>1</v>
      </c>
      <c r="Q3183">
        <v>0</v>
      </c>
      <c r="R3183" s="4">
        <v>70.98</v>
      </c>
      <c r="S3183">
        <v>0</v>
      </c>
      <c r="T3183">
        <v>1</v>
      </c>
    </row>
    <row r="3184" spans="1:20" ht="16.5" x14ac:dyDescent="0.3">
      <c r="A3184" t="s">
        <v>3238</v>
      </c>
      <c r="B3184" s="1">
        <v>45740</v>
      </c>
      <c r="C3184">
        <v>2025</v>
      </c>
      <c r="D3184" t="s">
        <v>21</v>
      </c>
      <c r="E3184" t="s">
        <v>437</v>
      </c>
      <c r="F3184" t="s">
        <v>57</v>
      </c>
      <c r="G3184" t="s">
        <v>39</v>
      </c>
      <c r="H3184" t="s">
        <v>51</v>
      </c>
      <c r="I3184" t="s">
        <v>31</v>
      </c>
      <c r="J3184" t="s">
        <v>27</v>
      </c>
      <c r="K3184" t="s">
        <v>32</v>
      </c>
      <c r="L3184" s="2">
        <v>5.0999999999999996</v>
      </c>
      <c r="M3184" s="3">
        <v>1065</v>
      </c>
      <c r="N3184">
        <v>7</v>
      </c>
      <c r="O3184">
        <v>6</v>
      </c>
      <c r="P3184">
        <v>1</v>
      </c>
      <c r="Q3184">
        <v>0</v>
      </c>
      <c r="R3184" s="4">
        <v>16.010000000000002</v>
      </c>
      <c r="S3184">
        <v>0</v>
      </c>
      <c r="T3184">
        <v>1</v>
      </c>
    </row>
    <row r="3185" spans="1:20" ht="16.5" x14ac:dyDescent="0.3">
      <c r="A3185" t="s">
        <v>3239</v>
      </c>
      <c r="B3185" s="1">
        <v>45740</v>
      </c>
      <c r="C3185">
        <v>2025</v>
      </c>
      <c r="D3185" t="s">
        <v>21</v>
      </c>
      <c r="E3185" t="s">
        <v>437</v>
      </c>
      <c r="F3185" t="s">
        <v>23</v>
      </c>
      <c r="G3185" t="s">
        <v>24</v>
      </c>
      <c r="H3185" t="s">
        <v>48</v>
      </c>
      <c r="I3185" t="s">
        <v>26</v>
      </c>
      <c r="J3185" t="s">
        <v>27</v>
      </c>
      <c r="K3185" t="s">
        <v>32</v>
      </c>
      <c r="L3185" s="2">
        <v>2</v>
      </c>
      <c r="M3185" s="3">
        <v>358</v>
      </c>
      <c r="N3185">
        <v>4</v>
      </c>
      <c r="O3185">
        <v>4</v>
      </c>
      <c r="P3185">
        <v>1</v>
      </c>
      <c r="Q3185">
        <v>0</v>
      </c>
      <c r="R3185" s="4">
        <v>11</v>
      </c>
      <c r="S3185">
        <v>0</v>
      </c>
      <c r="T3185">
        <v>1</v>
      </c>
    </row>
    <row r="3186" spans="1:20" ht="16.5" x14ac:dyDescent="0.3">
      <c r="A3186" t="s">
        <v>3240</v>
      </c>
      <c r="B3186" s="1">
        <v>45740</v>
      </c>
      <c r="C3186">
        <v>2025</v>
      </c>
      <c r="D3186" t="s">
        <v>21</v>
      </c>
      <c r="E3186" t="s">
        <v>437</v>
      </c>
      <c r="F3186" t="s">
        <v>34</v>
      </c>
      <c r="G3186" t="s">
        <v>35</v>
      </c>
      <c r="H3186" t="s">
        <v>51</v>
      </c>
      <c r="I3186" t="s">
        <v>31</v>
      </c>
      <c r="J3186" t="s">
        <v>27</v>
      </c>
      <c r="K3186" t="s">
        <v>32</v>
      </c>
      <c r="L3186" s="2">
        <v>6</v>
      </c>
      <c r="M3186" s="3">
        <v>818</v>
      </c>
      <c r="N3186">
        <v>7</v>
      </c>
      <c r="O3186">
        <v>8</v>
      </c>
      <c r="P3186">
        <v>0</v>
      </c>
      <c r="Q3186">
        <v>1</v>
      </c>
      <c r="R3186" s="4">
        <v>11.92</v>
      </c>
      <c r="S3186">
        <v>0</v>
      </c>
      <c r="T3186">
        <v>1</v>
      </c>
    </row>
    <row r="3187" spans="1:20" ht="16.5" x14ac:dyDescent="0.3">
      <c r="A3187" t="s">
        <v>3241</v>
      </c>
      <c r="B3187" s="1">
        <v>45741</v>
      </c>
      <c r="C3187">
        <v>2025</v>
      </c>
      <c r="D3187" t="s">
        <v>21</v>
      </c>
      <c r="E3187" t="s">
        <v>437</v>
      </c>
      <c r="F3187" t="s">
        <v>34</v>
      </c>
      <c r="G3187" t="s">
        <v>39</v>
      </c>
      <c r="H3187" t="s">
        <v>25</v>
      </c>
      <c r="I3187" t="s">
        <v>40</v>
      </c>
      <c r="J3187" t="s">
        <v>41</v>
      </c>
      <c r="K3187" t="s">
        <v>28</v>
      </c>
      <c r="L3187" s="2">
        <v>101.5</v>
      </c>
      <c r="M3187" s="3">
        <v>713</v>
      </c>
      <c r="N3187">
        <v>2</v>
      </c>
      <c r="O3187">
        <v>2</v>
      </c>
      <c r="P3187">
        <v>1</v>
      </c>
      <c r="Q3187">
        <v>0</v>
      </c>
      <c r="R3187" s="4">
        <v>169.32</v>
      </c>
      <c r="S3187">
        <v>0</v>
      </c>
      <c r="T3187">
        <v>1</v>
      </c>
    </row>
    <row r="3188" spans="1:20" ht="16.5" x14ac:dyDescent="0.3">
      <c r="A3188" t="s">
        <v>3242</v>
      </c>
      <c r="B3188" s="1">
        <v>45741</v>
      </c>
      <c r="C3188">
        <v>2025</v>
      </c>
      <c r="D3188" t="s">
        <v>21</v>
      </c>
      <c r="E3188" t="s">
        <v>437</v>
      </c>
      <c r="F3188" t="s">
        <v>34</v>
      </c>
      <c r="G3188" t="s">
        <v>24</v>
      </c>
      <c r="H3188" t="s">
        <v>36</v>
      </c>
      <c r="I3188" t="s">
        <v>26</v>
      </c>
      <c r="J3188" t="s">
        <v>27</v>
      </c>
      <c r="K3188" t="s">
        <v>32</v>
      </c>
      <c r="L3188" s="2">
        <v>20</v>
      </c>
      <c r="M3188" s="3">
        <v>262</v>
      </c>
      <c r="N3188">
        <v>3</v>
      </c>
      <c r="O3188">
        <v>3</v>
      </c>
      <c r="P3188">
        <v>1</v>
      </c>
      <c r="Q3188">
        <v>0</v>
      </c>
      <c r="R3188" s="4">
        <v>17.5</v>
      </c>
      <c r="S3188">
        <v>0</v>
      </c>
      <c r="T3188">
        <v>1</v>
      </c>
    </row>
    <row r="3189" spans="1:20" ht="16.5" x14ac:dyDescent="0.3">
      <c r="A3189" t="s">
        <v>3243</v>
      </c>
      <c r="B3189" s="1">
        <v>45741</v>
      </c>
      <c r="C3189">
        <v>2025</v>
      </c>
      <c r="D3189" t="s">
        <v>21</v>
      </c>
      <c r="E3189" t="s">
        <v>437</v>
      </c>
      <c r="F3189" t="s">
        <v>23</v>
      </c>
      <c r="G3189" t="s">
        <v>39</v>
      </c>
      <c r="H3189" t="s">
        <v>36</v>
      </c>
      <c r="I3189" t="s">
        <v>26</v>
      </c>
      <c r="J3189" t="s">
        <v>27</v>
      </c>
      <c r="K3189" t="s">
        <v>32</v>
      </c>
      <c r="L3189" s="2">
        <v>5.8</v>
      </c>
      <c r="M3189" s="3">
        <v>270</v>
      </c>
      <c r="N3189">
        <v>3</v>
      </c>
      <c r="O3189">
        <v>3</v>
      </c>
      <c r="P3189">
        <v>1</v>
      </c>
      <c r="Q3189">
        <v>0</v>
      </c>
      <c r="R3189" s="4">
        <v>12.47</v>
      </c>
      <c r="S3189">
        <v>0</v>
      </c>
      <c r="T3189">
        <v>1</v>
      </c>
    </row>
    <row r="3190" spans="1:20" ht="16.5" x14ac:dyDescent="0.3">
      <c r="A3190" t="s">
        <v>3244</v>
      </c>
      <c r="B3190" s="1">
        <v>45741</v>
      </c>
      <c r="C3190">
        <v>2025</v>
      </c>
      <c r="D3190" t="s">
        <v>21</v>
      </c>
      <c r="E3190" t="s">
        <v>437</v>
      </c>
      <c r="F3190" t="s">
        <v>38</v>
      </c>
      <c r="G3190" t="s">
        <v>35</v>
      </c>
      <c r="H3190" t="s">
        <v>48</v>
      </c>
      <c r="I3190" t="s">
        <v>31</v>
      </c>
      <c r="J3190" t="s">
        <v>27</v>
      </c>
      <c r="K3190" t="s">
        <v>28</v>
      </c>
      <c r="L3190" s="2">
        <v>136.30000000000001</v>
      </c>
      <c r="M3190" s="3">
        <v>468</v>
      </c>
      <c r="N3190">
        <v>6</v>
      </c>
      <c r="O3190">
        <v>6</v>
      </c>
      <c r="P3190">
        <v>1</v>
      </c>
      <c r="Q3190">
        <v>0</v>
      </c>
      <c r="R3190" s="4">
        <v>59.9</v>
      </c>
      <c r="S3190">
        <v>0</v>
      </c>
      <c r="T3190">
        <v>1</v>
      </c>
    </row>
    <row r="3191" spans="1:20" ht="16.5" x14ac:dyDescent="0.3">
      <c r="A3191" t="s">
        <v>3245</v>
      </c>
      <c r="B3191" s="1">
        <v>45742</v>
      </c>
      <c r="C3191">
        <v>2025</v>
      </c>
      <c r="D3191" t="s">
        <v>21</v>
      </c>
      <c r="E3191" t="s">
        <v>437</v>
      </c>
      <c r="F3191" t="s">
        <v>38</v>
      </c>
      <c r="G3191" t="s">
        <v>39</v>
      </c>
      <c r="H3191" t="s">
        <v>48</v>
      </c>
      <c r="I3191" t="s">
        <v>26</v>
      </c>
      <c r="J3191" t="s">
        <v>27</v>
      </c>
      <c r="K3191" t="s">
        <v>32</v>
      </c>
      <c r="L3191" s="2">
        <v>34.9</v>
      </c>
      <c r="M3191" s="3">
        <v>416</v>
      </c>
      <c r="N3191">
        <v>4</v>
      </c>
      <c r="O3191">
        <v>4</v>
      </c>
      <c r="P3191">
        <v>1</v>
      </c>
      <c r="Q3191">
        <v>0</v>
      </c>
      <c r="R3191" s="4">
        <v>33</v>
      </c>
      <c r="S3191">
        <v>0</v>
      </c>
      <c r="T3191">
        <v>1</v>
      </c>
    </row>
    <row r="3192" spans="1:20" ht="16.5" x14ac:dyDescent="0.3">
      <c r="A3192" t="s">
        <v>3246</v>
      </c>
      <c r="B3192" s="1">
        <v>45742</v>
      </c>
      <c r="C3192">
        <v>2025</v>
      </c>
      <c r="D3192" t="s">
        <v>21</v>
      </c>
      <c r="E3192" t="s">
        <v>437</v>
      </c>
      <c r="F3192" t="s">
        <v>57</v>
      </c>
      <c r="G3192" t="s">
        <v>35</v>
      </c>
      <c r="H3192" t="s">
        <v>25</v>
      </c>
      <c r="I3192" t="s">
        <v>40</v>
      </c>
      <c r="J3192" t="s">
        <v>41</v>
      </c>
      <c r="K3192" t="s">
        <v>28</v>
      </c>
      <c r="L3192" s="2">
        <v>99.3</v>
      </c>
      <c r="M3192" s="3">
        <v>987</v>
      </c>
      <c r="N3192">
        <v>2</v>
      </c>
      <c r="O3192">
        <v>2</v>
      </c>
      <c r="P3192">
        <v>1</v>
      </c>
      <c r="Q3192">
        <v>0</v>
      </c>
      <c r="R3192" s="4">
        <v>200.08</v>
      </c>
      <c r="S3192">
        <v>0</v>
      </c>
      <c r="T3192">
        <v>1</v>
      </c>
    </row>
    <row r="3193" spans="1:20" ht="16.5" x14ac:dyDescent="0.3">
      <c r="A3193" t="s">
        <v>3247</v>
      </c>
      <c r="B3193" s="1">
        <v>45742</v>
      </c>
      <c r="C3193">
        <v>2025</v>
      </c>
      <c r="D3193" t="s">
        <v>21</v>
      </c>
      <c r="E3193" t="s">
        <v>437</v>
      </c>
      <c r="F3193" t="s">
        <v>34</v>
      </c>
      <c r="G3193" t="s">
        <v>39</v>
      </c>
      <c r="H3193" t="s">
        <v>36</v>
      </c>
      <c r="I3193" t="s">
        <v>26</v>
      </c>
      <c r="J3193" t="s">
        <v>27</v>
      </c>
      <c r="K3193" t="s">
        <v>28</v>
      </c>
      <c r="L3193" s="2">
        <v>52.9</v>
      </c>
      <c r="M3193" s="3">
        <v>290</v>
      </c>
      <c r="N3193">
        <v>3</v>
      </c>
      <c r="O3193">
        <v>3</v>
      </c>
      <c r="P3193">
        <v>1</v>
      </c>
      <c r="Q3193">
        <v>0</v>
      </c>
      <c r="R3193" s="4">
        <v>33.89</v>
      </c>
      <c r="S3193">
        <v>0</v>
      </c>
      <c r="T3193">
        <v>1</v>
      </c>
    </row>
    <row r="3194" spans="1:20" ht="16.5" x14ac:dyDescent="0.3">
      <c r="A3194" t="s">
        <v>3248</v>
      </c>
      <c r="B3194" s="1">
        <v>45742</v>
      </c>
      <c r="C3194">
        <v>2025</v>
      </c>
      <c r="D3194" t="s">
        <v>21</v>
      </c>
      <c r="E3194" t="s">
        <v>437</v>
      </c>
      <c r="F3194" t="s">
        <v>23</v>
      </c>
      <c r="G3194" t="s">
        <v>35</v>
      </c>
      <c r="H3194" t="s">
        <v>25</v>
      </c>
      <c r="I3194" t="s">
        <v>40</v>
      </c>
      <c r="J3194" t="s">
        <v>41</v>
      </c>
      <c r="K3194" t="s">
        <v>32</v>
      </c>
      <c r="L3194" s="2">
        <v>3.9</v>
      </c>
      <c r="M3194" s="3">
        <v>1080</v>
      </c>
      <c r="N3194">
        <v>2</v>
      </c>
      <c r="O3194">
        <v>1</v>
      </c>
      <c r="P3194">
        <v>1</v>
      </c>
      <c r="Q3194">
        <v>0</v>
      </c>
      <c r="R3194" s="4">
        <v>62.36</v>
      </c>
      <c r="S3194">
        <v>0</v>
      </c>
      <c r="T3194">
        <v>1</v>
      </c>
    </row>
    <row r="3195" spans="1:20" ht="16.5" x14ac:dyDescent="0.3">
      <c r="A3195" t="s">
        <v>3249</v>
      </c>
      <c r="B3195" s="1">
        <v>45742</v>
      </c>
      <c r="C3195">
        <v>2025</v>
      </c>
      <c r="D3195" t="s">
        <v>21</v>
      </c>
      <c r="E3195" t="s">
        <v>437</v>
      </c>
      <c r="F3195" t="s">
        <v>34</v>
      </c>
      <c r="G3195" t="s">
        <v>35</v>
      </c>
      <c r="H3195" t="s">
        <v>36</v>
      </c>
      <c r="I3195" t="s">
        <v>26</v>
      </c>
      <c r="J3195" t="s">
        <v>27</v>
      </c>
      <c r="K3195" t="s">
        <v>32</v>
      </c>
      <c r="L3195" s="2">
        <v>4.0999999999999996</v>
      </c>
      <c r="M3195" s="3">
        <v>285</v>
      </c>
      <c r="N3195">
        <v>3</v>
      </c>
      <c r="O3195">
        <v>3</v>
      </c>
      <c r="P3195">
        <v>1</v>
      </c>
      <c r="Q3195">
        <v>0</v>
      </c>
      <c r="R3195" s="4">
        <v>11.43</v>
      </c>
      <c r="S3195">
        <v>0</v>
      </c>
      <c r="T3195">
        <v>1</v>
      </c>
    </row>
    <row r="3196" spans="1:20" ht="16.5" x14ac:dyDescent="0.3">
      <c r="A3196" t="s">
        <v>3250</v>
      </c>
      <c r="B3196" s="1">
        <v>45743</v>
      </c>
      <c r="C3196">
        <v>2025</v>
      </c>
      <c r="D3196" t="s">
        <v>21</v>
      </c>
      <c r="E3196" t="s">
        <v>437</v>
      </c>
      <c r="F3196" t="s">
        <v>38</v>
      </c>
      <c r="G3196" t="s">
        <v>35</v>
      </c>
      <c r="H3196" t="s">
        <v>48</v>
      </c>
      <c r="I3196" t="s">
        <v>26</v>
      </c>
      <c r="J3196" t="s">
        <v>27</v>
      </c>
      <c r="K3196" t="s">
        <v>32</v>
      </c>
      <c r="L3196" s="2">
        <v>6.8</v>
      </c>
      <c r="M3196" s="3">
        <v>514</v>
      </c>
      <c r="N3196">
        <v>4</v>
      </c>
      <c r="O3196">
        <v>4</v>
      </c>
      <c r="P3196">
        <v>1</v>
      </c>
      <c r="Q3196">
        <v>0</v>
      </c>
      <c r="R3196" s="4">
        <v>19.41</v>
      </c>
      <c r="S3196">
        <v>0</v>
      </c>
      <c r="T3196">
        <v>1</v>
      </c>
    </row>
    <row r="3197" spans="1:20" ht="16.5" x14ac:dyDescent="0.3">
      <c r="A3197" t="s">
        <v>3251</v>
      </c>
      <c r="B3197" s="1">
        <v>45743</v>
      </c>
      <c r="C3197">
        <v>2025</v>
      </c>
      <c r="D3197" t="s">
        <v>21</v>
      </c>
      <c r="E3197" t="s">
        <v>437</v>
      </c>
      <c r="F3197" t="s">
        <v>57</v>
      </c>
      <c r="G3197" t="s">
        <v>24</v>
      </c>
      <c r="H3197" t="s">
        <v>36</v>
      </c>
      <c r="I3197" t="s">
        <v>26</v>
      </c>
      <c r="J3197" t="s">
        <v>27</v>
      </c>
      <c r="K3197" t="s">
        <v>28</v>
      </c>
      <c r="L3197" s="2">
        <v>127.1</v>
      </c>
      <c r="M3197" s="3">
        <v>208</v>
      </c>
      <c r="N3197">
        <v>3</v>
      </c>
      <c r="O3197">
        <v>3</v>
      </c>
      <c r="P3197">
        <v>1</v>
      </c>
      <c r="Q3197">
        <v>0</v>
      </c>
      <c r="R3197" s="4">
        <v>63.75</v>
      </c>
      <c r="S3197">
        <v>0</v>
      </c>
      <c r="T3197">
        <v>1</v>
      </c>
    </row>
    <row r="3198" spans="1:20" ht="16.5" x14ac:dyDescent="0.3">
      <c r="A3198" t="s">
        <v>3252</v>
      </c>
      <c r="B3198" s="1">
        <v>45743</v>
      </c>
      <c r="C3198">
        <v>2025</v>
      </c>
      <c r="D3198" t="s">
        <v>21</v>
      </c>
      <c r="E3198" t="s">
        <v>437</v>
      </c>
      <c r="F3198" t="s">
        <v>23</v>
      </c>
      <c r="G3198" t="s">
        <v>24</v>
      </c>
      <c r="H3198" t="s">
        <v>48</v>
      </c>
      <c r="I3198" t="s">
        <v>40</v>
      </c>
      <c r="J3198" t="s">
        <v>27</v>
      </c>
      <c r="K3198" t="s">
        <v>32</v>
      </c>
      <c r="L3198" s="2">
        <v>7.1</v>
      </c>
      <c r="M3198" s="3">
        <v>535</v>
      </c>
      <c r="N3198">
        <v>2</v>
      </c>
      <c r="O3198">
        <v>1</v>
      </c>
      <c r="P3198">
        <v>1</v>
      </c>
      <c r="Q3198">
        <v>0</v>
      </c>
      <c r="R3198" s="4">
        <v>33.630000000000003</v>
      </c>
      <c r="S3198">
        <v>0</v>
      </c>
      <c r="T3198">
        <v>1</v>
      </c>
    </row>
    <row r="3199" spans="1:20" ht="16.5" x14ac:dyDescent="0.3">
      <c r="A3199" t="s">
        <v>3253</v>
      </c>
      <c r="B3199" s="1">
        <v>45743</v>
      </c>
      <c r="C3199">
        <v>2025</v>
      </c>
      <c r="D3199" t="s">
        <v>21</v>
      </c>
      <c r="E3199" t="s">
        <v>437</v>
      </c>
      <c r="F3199" t="s">
        <v>38</v>
      </c>
      <c r="G3199" t="s">
        <v>35</v>
      </c>
      <c r="H3199" t="s">
        <v>36</v>
      </c>
      <c r="I3199" t="s">
        <v>31</v>
      </c>
      <c r="J3199" t="s">
        <v>27</v>
      </c>
      <c r="K3199" t="s">
        <v>28</v>
      </c>
      <c r="L3199" s="2">
        <v>88.4</v>
      </c>
      <c r="M3199" s="3">
        <v>215</v>
      </c>
      <c r="N3199">
        <v>5</v>
      </c>
      <c r="O3199">
        <v>5</v>
      </c>
      <c r="P3199">
        <v>1</v>
      </c>
      <c r="Q3199">
        <v>0</v>
      </c>
      <c r="R3199" s="4">
        <v>35.270000000000003</v>
      </c>
      <c r="S3199">
        <v>0</v>
      </c>
      <c r="T3199">
        <v>1</v>
      </c>
    </row>
    <row r="3200" spans="1:20" ht="16.5" x14ac:dyDescent="0.3">
      <c r="A3200" t="s">
        <v>3254</v>
      </c>
      <c r="B3200" s="1">
        <v>45743</v>
      </c>
      <c r="C3200">
        <v>2025</v>
      </c>
      <c r="D3200" t="s">
        <v>21</v>
      </c>
      <c r="E3200" t="s">
        <v>437</v>
      </c>
      <c r="F3200" t="s">
        <v>38</v>
      </c>
      <c r="G3200" t="s">
        <v>39</v>
      </c>
      <c r="H3200" t="s">
        <v>51</v>
      </c>
      <c r="I3200" t="s">
        <v>31</v>
      </c>
      <c r="J3200" t="s">
        <v>27</v>
      </c>
      <c r="K3200" t="s">
        <v>28</v>
      </c>
      <c r="L3200" s="2">
        <v>142.9</v>
      </c>
      <c r="M3200" s="3">
        <v>1086</v>
      </c>
      <c r="N3200">
        <v>7</v>
      </c>
      <c r="O3200">
        <v>7</v>
      </c>
      <c r="P3200">
        <v>1</v>
      </c>
      <c r="Q3200">
        <v>0</v>
      </c>
      <c r="R3200" s="4">
        <v>62.32</v>
      </c>
      <c r="S3200">
        <v>0</v>
      </c>
      <c r="T3200">
        <v>1</v>
      </c>
    </row>
    <row r="3201" spans="1:20" ht="16.5" x14ac:dyDescent="0.3">
      <c r="A3201" t="s">
        <v>3255</v>
      </c>
      <c r="B3201" s="1">
        <v>45743</v>
      </c>
      <c r="C3201">
        <v>2025</v>
      </c>
      <c r="D3201" t="s">
        <v>21</v>
      </c>
      <c r="E3201" t="s">
        <v>437</v>
      </c>
      <c r="F3201" t="s">
        <v>30</v>
      </c>
      <c r="G3201" t="s">
        <v>39</v>
      </c>
      <c r="H3201" t="s">
        <v>36</v>
      </c>
      <c r="I3201" t="s">
        <v>26</v>
      </c>
      <c r="J3201" t="s">
        <v>27</v>
      </c>
      <c r="K3201" t="s">
        <v>32</v>
      </c>
      <c r="L3201" s="2">
        <v>4.7</v>
      </c>
      <c r="M3201" s="3">
        <v>265</v>
      </c>
      <c r="N3201">
        <v>3</v>
      </c>
      <c r="O3201">
        <v>3</v>
      </c>
      <c r="P3201">
        <v>1</v>
      </c>
      <c r="Q3201">
        <v>0</v>
      </c>
      <c r="R3201" s="4">
        <v>14.16</v>
      </c>
      <c r="S3201">
        <v>0</v>
      </c>
      <c r="T3201">
        <v>1</v>
      </c>
    </row>
    <row r="3202" spans="1:20" ht="16.5" x14ac:dyDescent="0.3">
      <c r="A3202" t="s">
        <v>3256</v>
      </c>
      <c r="B3202" s="1">
        <v>45743</v>
      </c>
      <c r="C3202">
        <v>2025</v>
      </c>
      <c r="D3202" t="s">
        <v>21</v>
      </c>
      <c r="E3202" t="s">
        <v>437</v>
      </c>
      <c r="F3202" t="s">
        <v>34</v>
      </c>
      <c r="G3202" t="s">
        <v>39</v>
      </c>
      <c r="H3202" t="s">
        <v>36</v>
      </c>
      <c r="I3202" t="s">
        <v>26</v>
      </c>
      <c r="J3202" t="s">
        <v>27</v>
      </c>
      <c r="K3202" t="s">
        <v>28</v>
      </c>
      <c r="L3202" s="2">
        <v>138.1</v>
      </c>
      <c r="M3202" s="3">
        <v>283</v>
      </c>
      <c r="N3202">
        <v>3</v>
      </c>
      <c r="O3202">
        <v>2</v>
      </c>
      <c r="P3202">
        <v>1</v>
      </c>
      <c r="Q3202">
        <v>0</v>
      </c>
      <c r="R3202" s="4">
        <v>63.36</v>
      </c>
      <c r="S3202">
        <v>0</v>
      </c>
      <c r="T3202">
        <v>1</v>
      </c>
    </row>
    <row r="3203" spans="1:20" ht="16.5" x14ac:dyDescent="0.3">
      <c r="A3203" t="s">
        <v>3257</v>
      </c>
      <c r="B3203" s="1">
        <v>45744</v>
      </c>
      <c r="C3203">
        <v>2025</v>
      </c>
      <c r="D3203" t="s">
        <v>21</v>
      </c>
      <c r="E3203" t="s">
        <v>437</v>
      </c>
      <c r="F3203" t="s">
        <v>34</v>
      </c>
      <c r="G3203" t="s">
        <v>24</v>
      </c>
      <c r="H3203" t="s">
        <v>48</v>
      </c>
      <c r="I3203" t="s">
        <v>26</v>
      </c>
      <c r="J3203" t="s">
        <v>27</v>
      </c>
      <c r="K3203" t="s">
        <v>32</v>
      </c>
      <c r="L3203" s="2">
        <v>3.2</v>
      </c>
      <c r="M3203" s="3">
        <v>578</v>
      </c>
      <c r="N3203">
        <v>4</v>
      </c>
      <c r="O3203">
        <v>4</v>
      </c>
      <c r="P3203">
        <v>1</v>
      </c>
      <c r="Q3203">
        <v>0</v>
      </c>
      <c r="R3203" s="4">
        <v>13.67</v>
      </c>
      <c r="S3203">
        <v>0</v>
      </c>
      <c r="T3203">
        <v>1</v>
      </c>
    </row>
    <row r="3204" spans="1:20" ht="16.5" x14ac:dyDescent="0.3">
      <c r="A3204" t="s">
        <v>3258</v>
      </c>
      <c r="B3204" s="1">
        <v>45744</v>
      </c>
      <c r="C3204">
        <v>2025</v>
      </c>
      <c r="D3204" t="s">
        <v>21</v>
      </c>
      <c r="E3204" t="s">
        <v>437</v>
      </c>
      <c r="F3204" t="s">
        <v>38</v>
      </c>
      <c r="G3204" t="s">
        <v>39</v>
      </c>
      <c r="H3204" t="s">
        <v>25</v>
      </c>
      <c r="I3204" t="s">
        <v>40</v>
      </c>
      <c r="J3204" t="s">
        <v>41</v>
      </c>
      <c r="K3204" t="s">
        <v>32</v>
      </c>
      <c r="L3204" s="2">
        <v>8.3000000000000007</v>
      </c>
      <c r="M3204" s="3">
        <v>1024</v>
      </c>
      <c r="N3204">
        <v>2</v>
      </c>
      <c r="O3204">
        <v>2</v>
      </c>
      <c r="P3204">
        <v>1</v>
      </c>
      <c r="Q3204">
        <v>0</v>
      </c>
      <c r="R3204" s="4">
        <v>74.86</v>
      </c>
      <c r="S3204">
        <v>0</v>
      </c>
      <c r="T3204">
        <v>1</v>
      </c>
    </row>
    <row r="3205" spans="1:20" ht="16.5" x14ac:dyDescent="0.3">
      <c r="A3205" t="s">
        <v>3259</v>
      </c>
      <c r="B3205" s="1">
        <v>45744</v>
      </c>
      <c r="C3205">
        <v>2025</v>
      </c>
      <c r="D3205" t="s">
        <v>21</v>
      </c>
      <c r="E3205" t="s">
        <v>437</v>
      </c>
      <c r="F3205" t="s">
        <v>34</v>
      </c>
      <c r="G3205" t="s">
        <v>24</v>
      </c>
      <c r="H3205" t="s">
        <v>48</v>
      </c>
      <c r="I3205" t="s">
        <v>26</v>
      </c>
      <c r="J3205" t="s">
        <v>27</v>
      </c>
      <c r="K3205" t="s">
        <v>32</v>
      </c>
      <c r="L3205" s="2">
        <v>3.7</v>
      </c>
      <c r="M3205" s="3">
        <v>541</v>
      </c>
      <c r="N3205">
        <v>4</v>
      </c>
      <c r="O3205">
        <v>4</v>
      </c>
      <c r="P3205">
        <v>1</v>
      </c>
      <c r="Q3205">
        <v>0</v>
      </c>
      <c r="R3205" s="4">
        <v>14.3</v>
      </c>
      <c r="S3205">
        <v>0</v>
      </c>
      <c r="T3205">
        <v>1</v>
      </c>
    </row>
    <row r="3206" spans="1:20" ht="16.5" x14ac:dyDescent="0.3">
      <c r="A3206" t="s">
        <v>3260</v>
      </c>
      <c r="B3206" s="1">
        <v>45744</v>
      </c>
      <c r="C3206">
        <v>2025</v>
      </c>
      <c r="D3206" t="s">
        <v>21</v>
      </c>
      <c r="E3206" t="s">
        <v>437</v>
      </c>
      <c r="F3206" t="s">
        <v>34</v>
      </c>
      <c r="G3206" t="s">
        <v>39</v>
      </c>
      <c r="H3206" t="s">
        <v>36</v>
      </c>
      <c r="I3206" t="s">
        <v>26</v>
      </c>
      <c r="J3206" t="s">
        <v>27</v>
      </c>
      <c r="K3206" t="s">
        <v>28</v>
      </c>
      <c r="L3206" s="2">
        <v>95</v>
      </c>
      <c r="M3206" s="3">
        <v>202</v>
      </c>
      <c r="N3206">
        <v>3</v>
      </c>
      <c r="O3206">
        <v>3</v>
      </c>
      <c r="P3206">
        <v>1</v>
      </c>
      <c r="Q3206">
        <v>0</v>
      </c>
      <c r="R3206" s="4">
        <v>41.76</v>
      </c>
      <c r="S3206">
        <v>0</v>
      </c>
      <c r="T3206">
        <v>1</v>
      </c>
    </row>
    <row r="3207" spans="1:20" ht="16.5" x14ac:dyDescent="0.3">
      <c r="A3207" t="s">
        <v>3261</v>
      </c>
      <c r="B3207" s="1">
        <v>45744</v>
      </c>
      <c r="C3207">
        <v>2025</v>
      </c>
      <c r="D3207" t="s">
        <v>21</v>
      </c>
      <c r="E3207" t="s">
        <v>437</v>
      </c>
      <c r="F3207" t="s">
        <v>38</v>
      </c>
      <c r="G3207" t="s">
        <v>39</v>
      </c>
      <c r="H3207" t="s">
        <v>25</v>
      </c>
      <c r="I3207" t="s">
        <v>26</v>
      </c>
      <c r="J3207" t="s">
        <v>27</v>
      </c>
      <c r="K3207" t="s">
        <v>28</v>
      </c>
      <c r="L3207" s="2">
        <v>91.8</v>
      </c>
      <c r="M3207" s="3">
        <v>760</v>
      </c>
      <c r="N3207">
        <v>4</v>
      </c>
      <c r="O3207">
        <v>3</v>
      </c>
      <c r="P3207">
        <v>1</v>
      </c>
      <c r="Q3207">
        <v>0</v>
      </c>
      <c r="R3207" s="4">
        <v>56.99</v>
      </c>
      <c r="S3207">
        <v>0</v>
      </c>
      <c r="T3207">
        <v>1</v>
      </c>
    </row>
    <row r="3208" spans="1:20" ht="16.5" x14ac:dyDescent="0.3">
      <c r="A3208" t="s">
        <v>3262</v>
      </c>
      <c r="B3208" s="1">
        <v>45744</v>
      </c>
      <c r="C3208">
        <v>2025</v>
      </c>
      <c r="D3208" t="s">
        <v>21</v>
      </c>
      <c r="E3208" t="s">
        <v>437</v>
      </c>
      <c r="F3208" t="s">
        <v>30</v>
      </c>
      <c r="G3208" t="s">
        <v>39</v>
      </c>
      <c r="H3208" t="s">
        <v>36</v>
      </c>
      <c r="I3208" t="s">
        <v>26</v>
      </c>
      <c r="J3208" t="s">
        <v>27</v>
      </c>
      <c r="K3208" t="s">
        <v>32</v>
      </c>
      <c r="L3208" s="2">
        <v>3.9</v>
      </c>
      <c r="M3208" s="3">
        <v>316</v>
      </c>
      <c r="N3208">
        <v>3</v>
      </c>
      <c r="O3208">
        <v>3</v>
      </c>
      <c r="P3208">
        <v>1</v>
      </c>
      <c r="Q3208">
        <v>0</v>
      </c>
      <c r="R3208" s="4">
        <v>14.24</v>
      </c>
      <c r="S3208">
        <v>0</v>
      </c>
      <c r="T3208">
        <v>1</v>
      </c>
    </row>
    <row r="3209" spans="1:20" ht="16.5" x14ac:dyDescent="0.3">
      <c r="A3209" t="s">
        <v>3263</v>
      </c>
      <c r="B3209" s="1">
        <v>45744</v>
      </c>
      <c r="C3209">
        <v>2025</v>
      </c>
      <c r="D3209" t="s">
        <v>21</v>
      </c>
      <c r="E3209" t="s">
        <v>437</v>
      </c>
      <c r="F3209" t="s">
        <v>30</v>
      </c>
      <c r="G3209" t="s">
        <v>39</v>
      </c>
      <c r="H3209" t="s">
        <v>36</v>
      </c>
      <c r="I3209" t="s">
        <v>26</v>
      </c>
      <c r="J3209" t="s">
        <v>27</v>
      </c>
      <c r="K3209" t="s">
        <v>32</v>
      </c>
      <c r="L3209" s="2">
        <v>3.2</v>
      </c>
      <c r="M3209" s="3">
        <v>314</v>
      </c>
      <c r="N3209">
        <v>3</v>
      </c>
      <c r="O3209">
        <v>3</v>
      </c>
      <c r="P3209">
        <v>1</v>
      </c>
      <c r="Q3209">
        <v>0</v>
      </c>
      <c r="R3209" s="4">
        <v>15.16</v>
      </c>
      <c r="S3209">
        <v>0</v>
      </c>
      <c r="T3209">
        <v>1</v>
      </c>
    </row>
    <row r="3210" spans="1:20" ht="16.5" x14ac:dyDescent="0.3">
      <c r="A3210" t="s">
        <v>3264</v>
      </c>
      <c r="B3210" s="1">
        <v>45745</v>
      </c>
      <c r="C3210">
        <v>2025</v>
      </c>
      <c r="D3210" t="s">
        <v>21</v>
      </c>
      <c r="E3210" t="s">
        <v>437</v>
      </c>
      <c r="F3210" t="s">
        <v>30</v>
      </c>
      <c r="G3210" t="s">
        <v>39</v>
      </c>
      <c r="H3210" t="s">
        <v>51</v>
      </c>
      <c r="I3210" t="s">
        <v>26</v>
      </c>
      <c r="J3210" t="s">
        <v>27</v>
      </c>
      <c r="K3210" t="s">
        <v>28</v>
      </c>
      <c r="L3210" s="2">
        <v>102.4</v>
      </c>
      <c r="M3210" s="3">
        <v>1162</v>
      </c>
      <c r="N3210">
        <v>5</v>
      </c>
      <c r="O3210">
        <v>5</v>
      </c>
      <c r="P3210">
        <v>1</v>
      </c>
      <c r="Q3210">
        <v>0</v>
      </c>
      <c r="R3210" s="4">
        <v>69.209999999999994</v>
      </c>
      <c r="S3210">
        <v>0</v>
      </c>
      <c r="T3210">
        <v>1</v>
      </c>
    </row>
    <row r="3211" spans="1:20" ht="16.5" x14ac:dyDescent="0.3">
      <c r="A3211" t="s">
        <v>3265</v>
      </c>
      <c r="B3211" s="1">
        <v>45745</v>
      </c>
      <c r="C3211">
        <v>2025</v>
      </c>
      <c r="D3211" t="s">
        <v>21</v>
      </c>
      <c r="E3211" t="s">
        <v>437</v>
      </c>
      <c r="F3211" t="s">
        <v>57</v>
      </c>
      <c r="G3211" t="s">
        <v>35</v>
      </c>
      <c r="H3211" t="s">
        <v>48</v>
      </c>
      <c r="I3211" t="s">
        <v>26</v>
      </c>
      <c r="J3211" t="s">
        <v>27</v>
      </c>
      <c r="K3211" t="s">
        <v>32</v>
      </c>
      <c r="L3211" s="2">
        <v>4.5999999999999996</v>
      </c>
      <c r="M3211" s="3">
        <v>507</v>
      </c>
      <c r="N3211">
        <v>4</v>
      </c>
      <c r="O3211">
        <v>4</v>
      </c>
      <c r="P3211">
        <v>1</v>
      </c>
      <c r="Q3211">
        <v>0</v>
      </c>
      <c r="R3211" s="4">
        <v>15.35</v>
      </c>
      <c r="S3211">
        <v>0</v>
      </c>
      <c r="T3211">
        <v>1</v>
      </c>
    </row>
    <row r="3212" spans="1:20" ht="16.5" x14ac:dyDescent="0.3">
      <c r="A3212" t="s">
        <v>3266</v>
      </c>
      <c r="B3212" s="1">
        <v>45745</v>
      </c>
      <c r="C3212">
        <v>2025</v>
      </c>
      <c r="D3212" t="s">
        <v>21</v>
      </c>
      <c r="E3212" t="s">
        <v>437</v>
      </c>
      <c r="F3212" t="s">
        <v>38</v>
      </c>
      <c r="G3212" t="s">
        <v>39</v>
      </c>
      <c r="H3212" t="s">
        <v>48</v>
      </c>
      <c r="I3212" t="s">
        <v>26</v>
      </c>
      <c r="J3212" t="s">
        <v>27</v>
      </c>
      <c r="K3212" t="s">
        <v>28</v>
      </c>
      <c r="L3212" s="2">
        <v>98.2</v>
      </c>
      <c r="M3212" s="3">
        <v>381</v>
      </c>
      <c r="N3212">
        <v>4</v>
      </c>
      <c r="O3212">
        <v>4</v>
      </c>
      <c r="P3212">
        <v>1</v>
      </c>
      <c r="Q3212">
        <v>0</v>
      </c>
      <c r="R3212" s="4">
        <v>66.16</v>
      </c>
      <c r="S3212">
        <v>0</v>
      </c>
      <c r="T3212">
        <v>1</v>
      </c>
    </row>
    <row r="3213" spans="1:20" ht="16.5" x14ac:dyDescent="0.3">
      <c r="A3213" t="s">
        <v>3267</v>
      </c>
      <c r="B3213" s="1">
        <v>45745</v>
      </c>
      <c r="C3213">
        <v>2025</v>
      </c>
      <c r="D3213" t="s">
        <v>21</v>
      </c>
      <c r="E3213" t="s">
        <v>437</v>
      </c>
      <c r="F3213" t="s">
        <v>23</v>
      </c>
      <c r="G3213" t="s">
        <v>35</v>
      </c>
      <c r="H3213" t="s">
        <v>51</v>
      </c>
      <c r="I3213" t="s">
        <v>31</v>
      </c>
      <c r="J3213" t="s">
        <v>27</v>
      </c>
      <c r="K3213" t="s">
        <v>32</v>
      </c>
      <c r="L3213" s="2">
        <v>11.1</v>
      </c>
      <c r="M3213" s="3">
        <v>978</v>
      </c>
      <c r="N3213">
        <v>7</v>
      </c>
      <c r="O3213">
        <v>7</v>
      </c>
      <c r="P3213">
        <v>1</v>
      </c>
      <c r="Q3213">
        <v>0</v>
      </c>
      <c r="R3213" s="4">
        <v>17.34</v>
      </c>
      <c r="S3213">
        <v>0</v>
      </c>
      <c r="T3213">
        <v>1</v>
      </c>
    </row>
    <row r="3214" spans="1:20" ht="16.5" x14ac:dyDescent="0.3">
      <c r="A3214" t="s">
        <v>3268</v>
      </c>
      <c r="B3214" s="1">
        <v>45745</v>
      </c>
      <c r="C3214">
        <v>2025</v>
      </c>
      <c r="D3214" t="s">
        <v>21</v>
      </c>
      <c r="E3214" t="s">
        <v>437</v>
      </c>
      <c r="F3214" t="s">
        <v>57</v>
      </c>
      <c r="G3214" t="s">
        <v>39</v>
      </c>
      <c r="H3214" t="s">
        <v>43</v>
      </c>
      <c r="I3214" t="s">
        <v>40</v>
      </c>
      <c r="J3214" t="s">
        <v>41</v>
      </c>
      <c r="K3214" t="s">
        <v>28</v>
      </c>
      <c r="L3214" s="2">
        <v>70.7</v>
      </c>
      <c r="M3214" s="3">
        <v>1075</v>
      </c>
      <c r="N3214">
        <v>3</v>
      </c>
      <c r="O3214">
        <v>3</v>
      </c>
      <c r="P3214">
        <v>1</v>
      </c>
      <c r="Q3214">
        <v>0</v>
      </c>
      <c r="R3214" s="4">
        <v>162.13999999999999</v>
      </c>
      <c r="S3214">
        <v>0</v>
      </c>
      <c r="T3214">
        <v>1</v>
      </c>
    </row>
    <row r="3215" spans="1:20" ht="16.5" x14ac:dyDescent="0.3">
      <c r="A3215" t="s">
        <v>3269</v>
      </c>
      <c r="B3215" s="1">
        <v>45745</v>
      </c>
      <c r="C3215">
        <v>2025</v>
      </c>
      <c r="D3215" t="s">
        <v>21</v>
      </c>
      <c r="E3215" t="s">
        <v>437</v>
      </c>
      <c r="F3215" t="s">
        <v>30</v>
      </c>
      <c r="G3215" t="s">
        <v>39</v>
      </c>
      <c r="H3215" t="s">
        <v>48</v>
      </c>
      <c r="I3215" t="s">
        <v>26</v>
      </c>
      <c r="J3215" t="s">
        <v>27</v>
      </c>
      <c r="K3215" t="s">
        <v>28</v>
      </c>
      <c r="L3215" s="2">
        <v>175</v>
      </c>
      <c r="M3215" s="3">
        <v>503</v>
      </c>
      <c r="N3215">
        <v>4</v>
      </c>
      <c r="O3215">
        <v>4</v>
      </c>
      <c r="P3215">
        <v>1</v>
      </c>
      <c r="Q3215">
        <v>0</v>
      </c>
      <c r="R3215" s="4">
        <v>87.38</v>
      </c>
      <c r="S3215">
        <v>0</v>
      </c>
      <c r="T3215">
        <v>1</v>
      </c>
    </row>
    <row r="3216" spans="1:20" ht="16.5" x14ac:dyDescent="0.3">
      <c r="A3216" t="s">
        <v>3270</v>
      </c>
      <c r="B3216" s="1">
        <v>45745</v>
      </c>
      <c r="C3216">
        <v>2025</v>
      </c>
      <c r="D3216" t="s">
        <v>21</v>
      </c>
      <c r="E3216" t="s">
        <v>437</v>
      </c>
      <c r="F3216" t="s">
        <v>30</v>
      </c>
      <c r="G3216" t="s">
        <v>35</v>
      </c>
      <c r="H3216" t="s">
        <v>36</v>
      </c>
      <c r="I3216" t="s">
        <v>31</v>
      </c>
      <c r="J3216" t="s">
        <v>27</v>
      </c>
      <c r="K3216" t="s">
        <v>28</v>
      </c>
      <c r="L3216" s="2">
        <v>54.5</v>
      </c>
      <c r="M3216" s="3">
        <v>311</v>
      </c>
      <c r="N3216">
        <v>5</v>
      </c>
      <c r="O3216">
        <v>4</v>
      </c>
      <c r="P3216">
        <v>1</v>
      </c>
      <c r="Q3216">
        <v>0</v>
      </c>
      <c r="R3216" s="4">
        <v>28.53</v>
      </c>
      <c r="S3216">
        <v>0</v>
      </c>
      <c r="T3216">
        <v>1</v>
      </c>
    </row>
    <row r="3217" spans="1:20" ht="16.5" x14ac:dyDescent="0.3">
      <c r="A3217" t="s">
        <v>3271</v>
      </c>
      <c r="B3217" s="1">
        <v>45745</v>
      </c>
      <c r="C3217">
        <v>2025</v>
      </c>
      <c r="D3217" t="s">
        <v>21</v>
      </c>
      <c r="E3217" t="s">
        <v>437</v>
      </c>
      <c r="F3217" t="s">
        <v>30</v>
      </c>
      <c r="G3217" t="s">
        <v>24</v>
      </c>
      <c r="H3217" t="s">
        <v>51</v>
      </c>
      <c r="I3217" t="s">
        <v>26</v>
      </c>
      <c r="J3217" t="s">
        <v>27</v>
      </c>
      <c r="K3217" t="s">
        <v>32</v>
      </c>
      <c r="L3217" s="2">
        <v>1.4</v>
      </c>
      <c r="M3217" s="3">
        <v>1196</v>
      </c>
      <c r="N3217">
        <v>5</v>
      </c>
      <c r="O3217">
        <v>5</v>
      </c>
      <c r="P3217">
        <v>1</v>
      </c>
      <c r="Q3217">
        <v>0</v>
      </c>
      <c r="R3217" s="4">
        <v>22.73</v>
      </c>
      <c r="S3217">
        <v>0</v>
      </c>
      <c r="T3217">
        <v>1</v>
      </c>
    </row>
    <row r="3218" spans="1:20" ht="16.5" x14ac:dyDescent="0.3">
      <c r="A3218" t="s">
        <v>3272</v>
      </c>
      <c r="B3218" s="1">
        <v>45745</v>
      </c>
      <c r="C3218">
        <v>2025</v>
      </c>
      <c r="D3218" t="s">
        <v>21</v>
      </c>
      <c r="E3218" t="s">
        <v>437</v>
      </c>
      <c r="F3218" t="s">
        <v>23</v>
      </c>
      <c r="G3218" t="s">
        <v>39</v>
      </c>
      <c r="H3218" t="s">
        <v>48</v>
      </c>
      <c r="I3218" t="s">
        <v>31</v>
      </c>
      <c r="J3218" t="s">
        <v>27</v>
      </c>
      <c r="K3218" t="s">
        <v>32</v>
      </c>
      <c r="L3218" s="2">
        <v>5.3</v>
      </c>
      <c r="M3218" s="3">
        <v>387</v>
      </c>
      <c r="N3218">
        <v>6</v>
      </c>
      <c r="O3218">
        <v>5</v>
      </c>
      <c r="P3218">
        <v>1</v>
      </c>
      <c r="Q3218">
        <v>0</v>
      </c>
      <c r="R3218" s="4">
        <v>10.82</v>
      </c>
      <c r="S3218">
        <v>1</v>
      </c>
      <c r="T3218">
        <v>1</v>
      </c>
    </row>
    <row r="3219" spans="1:20" ht="16.5" x14ac:dyDescent="0.3">
      <c r="A3219" t="s">
        <v>3273</v>
      </c>
      <c r="B3219" s="1">
        <v>45746</v>
      </c>
      <c r="C3219">
        <v>2025</v>
      </c>
      <c r="D3219" t="s">
        <v>21</v>
      </c>
      <c r="E3219" t="s">
        <v>437</v>
      </c>
      <c r="F3219" t="s">
        <v>57</v>
      </c>
      <c r="G3219" t="s">
        <v>39</v>
      </c>
      <c r="H3219" t="s">
        <v>36</v>
      </c>
      <c r="I3219" t="s">
        <v>31</v>
      </c>
      <c r="J3219" t="s">
        <v>27</v>
      </c>
      <c r="K3219" t="s">
        <v>32</v>
      </c>
      <c r="L3219" s="2">
        <v>5.5</v>
      </c>
      <c r="M3219" s="3">
        <v>270</v>
      </c>
      <c r="N3219">
        <v>5</v>
      </c>
      <c r="O3219">
        <v>4</v>
      </c>
      <c r="P3219">
        <v>1</v>
      </c>
      <c r="Q3219">
        <v>0</v>
      </c>
      <c r="R3219" s="4">
        <v>9.8699999999999992</v>
      </c>
      <c r="S3219">
        <v>0</v>
      </c>
      <c r="T3219">
        <v>1</v>
      </c>
    </row>
    <row r="3220" spans="1:20" ht="16.5" x14ac:dyDescent="0.3">
      <c r="A3220" t="s">
        <v>3274</v>
      </c>
      <c r="B3220" s="1">
        <v>45746</v>
      </c>
      <c r="C3220">
        <v>2025</v>
      </c>
      <c r="D3220" t="s">
        <v>21</v>
      </c>
      <c r="E3220" t="s">
        <v>437</v>
      </c>
      <c r="F3220" t="s">
        <v>23</v>
      </c>
      <c r="G3220" t="s">
        <v>39</v>
      </c>
      <c r="H3220" t="s">
        <v>36</v>
      </c>
      <c r="I3220" t="s">
        <v>31</v>
      </c>
      <c r="J3220" t="s">
        <v>27</v>
      </c>
      <c r="K3220" t="s">
        <v>28</v>
      </c>
      <c r="L3220" s="2">
        <v>24.7</v>
      </c>
      <c r="M3220" s="3">
        <v>278</v>
      </c>
      <c r="N3220">
        <v>5</v>
      </c>
      <c r="O3220">
        <v>4</v>
      </c>
      <c r="P3220">
        <v>1</v>
      </c>
      <c r="Q3220">
        <v>0</v>
      </c>
      <c r="R3220" s="4">
        <v>16.48</v>
      </c>
      <c r="S3220">
        <v>0</v>
      </c>
      <c r="T3220">
        <v>1</v>
      </c>
    </row>
    <row r="3221" spans="1:20" ht="16.5" x14ac:dyDescent="0.3">
      <c r="A3221" t="s">
        <v>3275</v>
      </c>
      <c r="B3221" s="1">
        <v>45746</v>
      </c>
      <c r="C3221">
        <v>2025</v>
      </c>
      <c r="D3221" t="s">
        <v>21</v>
      </c>
      <c r="E3221" t="s">
        <v>437</v>
      </c>
      <c r="F3221" t="s">
        <v>57</v>
      </c>
      <c r="G3221" t="s">
        <v>39</v>
      </c>
      <c r="H3221" t="s">
        <v>36</v>
      </c>
      <c r="I3221" t="s">
        <v>26</v>
      </c>
      <c r="J3221" t="s">
        <v>27</v>
      </c>
      <c r="K3221" t="s">
        <v>32</v>
      </c>
      <c r="L3221" s="2">
        <v>3.6</v>
      </c>
      <c r="M3221" s="3">
        <v>185</v>
      </c>
      <c r="N3221">
        <v>3</v>
      </c>
      <c r="O3221">
        <v>3</v>
      </c>
      <c r="P3221">
        <v>1</v>
      </c>
      <c r="Q3221">
        <v>0</v>
      </c>
      <c r="R3221" s="4">
        <v>10.52</v>
      </c>
      <c r="S3221">
        <v>0</v>
      </c>
      <c r="T3221">
        <v>1</v>
      </c>
    </row>
    <row r="3222" spans="1:20" ht="16.5" x14ac:dyDescent="0.3">
      <c r="A3222" t="s">
        <v>3276</v>
      </c>
      <c r="B3222" s="1">
        <v>45746</v>
      </c>
      <c r="C3222">
        <v>2025</v>
      </c>
      <c r="D3222" t="s">
        <v>21</v>
      </c>
      <c r="E3222" t="s">
        <v>437</v>
      </c>
      <c r="F3222" t="s">
        <v>57</v>
      </c>
      <c r="G3222" t="s">
        <v>35</v>
      </c>
      <c r="H3222" t="s">
        <v>36</v>
      </c>
      <c r="I3222" t="s">
        <v>31</v>
      </c>
      <c r="J3222" t="s">
        <v>27</v>
      </c>
      <c r="K3222" t="s">
        <v>28</v>
      </c>
      <c r="L3222" s="2">
        <v>32.799999999999997</v>
      </c>
      <c r="M3222" s="3">
        <v>191</v>
      </c>
      <c r="N3222">
        <v>5</v>
      </c>
      <c r="O3222">
        <v>5</v>
      </c>
      <c r="P3222">
        <v>1</v>
      </c>
      <c r="Q3222">
        <v>0</v>
      </c>
      <c r="R3222" s="4">
        <v>18.13</v>
      </c>
      <c r="S3222">
        <v>0</v>
      </c>
      <c r="T3222">
        <v>1</v>
      </c>
    </row>
    <row r="3223" spans="1:20" ht="16.5" x14ac:dyDescent="0.3">
      <c r="A3223" t="s">
        <v>3277</v>
      </c>
      <c r="B3223" s="1">
        <v>45746</v>
      </c>
      <c r="C3223">
        <v>2025</v>
      </c>
      <c r="D3223" t="s">
        <v>21</v>
      </c>
      <c r="E3223" t="s">
        <v>437</v>
      </c>
      <c r="F3223" t="s">
        <v>38</v>
      </c>
      <c r="G3223" t="s">
        <v>35</v>
      </c>
      <c r="H3223" t="s">
        <v>48</v>
      </c>
      <c r="I3223" t="s">
        <v>31</v>
      </c>
      <c r="J3223" t="s">
        <v>27</v>
      </c>
      <c r="K3223" t="s">
        <v>32</v>
      </c>
      <c r="L3223" s="2">
        <v>7.9</v>
      </c>
      <c r="M3223" s="3">
        <v>546</v>
      </c>
      <c r="N3223">
        <v>6</v>
      </c>
      <c r="O3223">
        <v>6</v>
      </c>
      <c r="P3223">
        <v>1</v>
      </c>
      <c r="Q3223">
        <v>0</v>
      </c>
      <c r="R3223" s="4">
        <v>12.46</v>
      </c>
      <c r="S3223">
        <v>0</v>
      </c>
      <c r="T3223">
        <v>1</v>
      </c>
    </row>
    <row r="3224" spans="1:20" ht="16.5" x14ac:dyDescent="0.3">
      <c r="A3224" t="s">
        <v>3278</v>
      </c>
      <c r="B3224" s="1">
        <v>45747</v>
      </c>
      <c r="C3224">
        <v>2025</v>
      </c>
      <c r="D3224" t="s">
        <v>21</v>
      </c>
      <c r="E3224" t="s">
        <v>437</v>
      </c>
      <c r="F3224" t="s">
        <v>38</v>
      </c>
      <c r="G3224" t="s">
        <v>39</v>
      </c>
      <c r="H3224" t="s">
        <v>36</v>
      </c>
      <c r="I3224" t="s">
        <v>31</v>
      </c>
      <c r="J3224" t="s">
        <v>27</v>
      </c>
      <c r="K3224" t="s">
        <v>28</v>
      </c>
      <c r="L3224" s="2">
        <v>229.4</v>
      </c>
      <c r="M3224" s="3">
        <v>222</v>
      </c>
      <c r="N3224">
        <v>5</v>
      </c>
      <c r="O3224">
        <v>5</v>
      </c>
      <c r="P3224">
        <v>1</v>
      </c>
      <c r="Q3224">
        <v>0</v>
      </c>
      <c r="R3224" s="4">
        <v>77.150000000000006</v>
      </c>
      <c r="S3224">
        <v>0</v>
      </c>
      <c r="T3224">
        <v>1</v>
      </c>
    </row>
    <row r="3225" spans="1:20" ht="16.5" x14ac:dyDescent="0.3">
      <c r="A3225" t="s">
        <v>3279</v>
      </c>
      <c r="B3225" s="1">
        <v>45747</v>
      </c>
      <c r="C3225">
        <v>2025</v>
      </c>
      <c r="D3225" t="s">
        <v>21</v>
      </c>
      <c r="E3225" t="s">
        <v>437</v>
      </c>
      <c r="F3225" t="s">
        <v>30</v>
      </c>
      <c r="G3225" t="s">
        <v>24</v>
      </c>
      <c r="H3225" t="s">
        <v>36</v>
      </c>
      <c r="I3225" t="s">
        <v>26</v>
      </c>
      <c r="J3225" t="s">
        <v>27</v>
      </c>
      <c r="K3225" t="s">
        <v>32</v>
      </c>
      <c r="L3225" s="2">
        <v>2.2000000000000002</v>
      </c>
      <c r="M3225" s="3">
        <v>239</v>
      </c>
      <c r="N3225">
        <v>3</v>
      </c>
      <c r="O3225">
        <v>3</v>
      </c>
      <c r="P3225">
        <v>1</v>
      </c>
      <c r="Q3225">
        <v>0</v>
      </c>
      <c r="R3225" s="4">
        <v>11.91</v>
      </c>
      <c r="S3225">
        <v>0</v>
      </c>
      <c r="T3225">
        <v>1</v>
      </c>
    </row>
    <row r="3226" spans="1:20" ht="16.5" x14ac:dyDescent="0.3">
      <c r="A3226" t="s">
        <v>3280</v>
      </c>
      <c r="B3226" s="1">
        <v>45747</v>
      </c>
      <c r="C3226">
        <v>2025</v>
      </c>
      <c r="D3226" t="s">
        <v>21</v>
      </c>
      <c r="E3226" t="s">
        <v>437</v>
      </c>
      <c r="F3226" t="s">
        <v>23</v>
      </c>
      <c r="G3226" t="s">
        <v>39</v>
      </c>
      <c r="H3226" t="s">
        <v>36</v>
      </c>
      <c r="I3226" t="s">
        <v>26</v>
      </c>
      <c r="J3226" t="s">
        <v>27</v>
      </c>
      <c r="K3226" t="s">
        <v>32</v>
      </c>
      <c r="L3226" s="2">
        <v>1.6</v>
      </c>
      <c r="M3226" s="3">
        <v>214</v>
      </c>
      <c r="N3226">
        <v>3</v>
      </c>
      <c r="O3226">
        <v>3</v>
      </c>
      <c r="P3226">
        <v>1</v>
      </c>
      <c r="Q3226">
        <v>0</v>
      </c>
      <c r="R3226" s="4">
        <v>9.0299999999999994</v>
      </c>
      <c r="S3226">
        <v>0</v>
      </c>
      <c r="T3226">
        <v>1</v>
      </c>
    </row>
    <row r="3227" spans="1:20" ht="16.5" x14ac:dyDescent="0.3">
      <c r="A3227" t="s">
        <v>3281</v>
      </c>
      <c r="B3227" s="1">
        <v>45747</v>
      </c>
      <c r="C3227">
        <v>2025</v>
      </c>
      <c r="D3227" t="s">
        <v>21</v>
      </c>
      <c r="E3227" t="s">
        <v>437</v>
      </c>
      <c r="F3227" t="s">
        <v>38</v>
      </c>
      <c r="G3227" t="s">
        <v>35</v>
      </c>
      <c r="H3227" t="s">
        <v>48</v>
      </c>
      <c r="I3227" t="s">
        <v>31</v>
      </c>
      <c r="J3227" t="s">
        <v>27</v>
      </c>
      <c r="K3227" t="s">
        <v>32</v>
      </c>
      <c r="L3227" s="2">
        <v>0.6</v>
      </c>
      <c r="M3227" s="3">
        <v>590</v>
      </c>
      <c r="N3227">
        <v>6</v>
      </c>
      <c r="O3227">
        <v>6</v>
      </c>
      <c r="P3227">
        <v>1</v>
      </c>
      <c r="Q3227">
        <v>0</v>
      </c>
      <c r="R3227" s="4">
        <v>11.26</v>
      </c>
      <c r="S3227">
        <v>0</v>
      </c>
      <c r="T3227">
        <v>1</v>
      </c>
    </row>
    <row r="3228" spans="1:20" ht="16.5" x14ac:dyDescent="0.3">
      <c r="A3228" t="s">
        <v>3282</v>
      </c>
      <c r="B3228" s="1">
        <v>45747</v>
      </c>
      <c r="C3228">
        <v>2025</v>
      </c>
      <c r="D3228" t="s">
        <v>21</v>
      </c>
      <c r="E3228" t="s">
        <v>437</v>
      </c>
      <c r="F3228" t="s">
        <v>30</v>
      </c>
      <c r="G3228" t="s">
        <v>35</v>
      </c>
      <c r="H3228" t="s">
        <v>48</v>
      </c>
      <c r="I3228" t="s">
        <v>31</v>
      </c>
      <c r="J3228" t="s">
        <v>27</v>
      </c>
      <c r="K3228" t="s">
        <v>28</v>
      </c>
      <c r="L3228" s="2">
        <v>238.1</v>
      </c>
      <c r="M3228" s="3">
        <v>385</v>
      </c>
      <c r="N3228">
        <v>6</v>
      </c>
      <c r="O3228">
        <v>7</v>
      </c>
      <c r="P3228">
        <v>0</v>
      </c>
      <c r="Q3228">
        <v>1</v>
      </c>
      <c r="R3228" s="4">
        <v>80.25</v>
      </c>
      <c r="S3228">
        <v>0</v>
      </c>
      <c r="T3228">
        <v>1</v>
      </c>
    </row>
    <row r="3229" spans="1:20" ht="16.5" x14ac:dyDescent="0.3">
      <c r="A3229" t="s">
        <v>3283</v>
      </c>
      <c r="B3229" s="1">
        <v>45747</v>
      </c>
      <c r="C3229">
        <v>2025</v>
      </c>
      <c r="D3229" t="s">
        <v>21</v>
      </c>
      <c r="E3229" t="s">
        <v>437</v>
      </c>
      <c r="F3229" t="s">
        <v>30</v>
      </c>
      <c r="G3229" t="s">
        <v>24</v>
      </c>
      <c r="H3229" t="s">
        <v>25</v>
      </c>
      <c r="I3229" t="s">
        <v>31</v>
      </c>
      <c r="J3229" t="s">
        <v>27</v>
      </c>
      <c r="K3229" t="s">
        <v>28</v>
      </c>
      <c r="L3229" s="2">
        <v>129.9</v>
      </c>
      <c r="M3229" s="3">
        <v>1089</v>
      </c>
      <c r="N3229">
        <v>6</v>
      </c>
      <c r="O3229">
        <v>7</v>
      </c>
      <c r="P3229">
        <v>0</v>
      </c>
      <c r="Q3229">
        <v>1</v>
      </c>
      <c r="R3229" s="4">
        <v>61.05</v>
      </c>
      <c r="S3229">
        <v>0</v>
      </c>
      <c r="T3229">
        <v>1</v>
      </c>
    </row>
    <row r="3230" spans="1:20" ht="16.5" x14ac:dyDescent="0.3">
      <c r="A3230" t="s">
        <v>3284</v>
      </c>
      <c r="B3230" s="1">
        <v>45747</v>
      </c>
      <c r="C3230">
        <v>2025</v>
      </c>
      <c r="D3230" t="s">
        <v>21</v>
      </c>
      <c r="E3230" t="s">
        <v>437</v>
      </c>
      <c r="F3230" t="s">
        <v>57</v>
      </c>
      <c r="G3230" t="s">
        <v>35</v>
      </c>
      <c r="H3230" t="s">
        <v>48</v>
      </c>
      <c r="I3230" t="s">
        <v>26</v>
      </c>
      <c r="J3230" t="s">
        <v>27</v>
      </c>
      <c r="K3230" t="s">
        <v>32</v>
      </c>
      <c r="L3230" s="2">
        <v>2.9</v>
      </c>
      <c r="M3230" s="3">
        <v>588</v>
      </c>
      <c r="N3230">
        <v>4</v>
      </c>
      <c r="O3230">
        <v>4</v>
      </c>
      <c r="P3230">
        <v>1</v>
      </c>
      <c r="Q3230">
        <v>0</v>
      </c>
      <c r="R3230" s="4">
        <v>15.04</v>
      </c>
      <c r="S3230">
        <v>0</v>
      </c>
      <c r="T3230">
        <v>1</v>
      </c>
    </row>
    <row r="3231" spans="1:20" ht="16.5" x14ac:dyDescent="0.3">
      <c r="A3231" t="s">
        <v>3285</v>
      </c>
      <c r="B3231" s="1">
        <v>45747</v>
      </c>
      <c r="C3231">
        <v>2025</v>
      </c>
      <c r="D3231" t="s">
        <v>21</v>
      </c>
      <c r="E3231" t="s">
        <v>437</v>
      </c>
      <c r="F3231" t="s">
        <v>23</v>
      </c>
      <c r="G3231" t="s">
        <v>39</v>
      </c>
      <c r="H3231" t="s">
        <v>25</v>
      </c>
      <c r="I3231" t="s">
        <v>40</v>
      </c>
      <c r="J3231" t="s">
        <v>41</v>
      </c>
      <c r="K3231" t="s">
        <v>32</v>
      </c>
      <c r="L3231" s="2">
        <v>3.8</v>
      </c>
      <c r="M3231" s="3">
        <v>881</v>
      </c>
      <c r="N3231">
        <v>2</v>
      </c>
      <c r="O3231">
        <v>2</v>
      </c>
      <c r="P3231">
        <v>1</v>
      </c>
      <c r="Q3231">
        <v>0</v>
      </c>
      <c r="R3231" s="4">
        <v>55.98</v>
      </c>
      <c r="S3231">
        <v>0</v>
      </c>
      <c r="T3231">
        <v>1</v>
      </c>
    </row>
    <row r="3232" spans="1:20" ht="16.5" x14ac:dyDescent="0.3">
      <c r="A3232" t="s">
        <v>3286</v>
      </c>
      <c r="B3232" s="1">
        <v>45747</v>
      </c>
      <c r="C3232">
        <v>2025</v>
      </c>
      <c r="D3232" t="s">
        <v>21</v>
      </c>
      <c r="E3232" t="s">
        <v>437</v>
      </c>
      <c r="F3232" t="s">
        <v>38</v>
      </c>
      <c r="G3232" t="s">
        <v>39</v>
      </c>
      <c r="H3232" t="s">
        <v>36</v>
      </c>
      <c r="I3232" t="s">
        <v>31</v>
      </c>
      <c r="J3232" t="s">
        <v>27</v>
      </c>
      <c r="K3232" t="s">
        <v>32</v>
      </c>
      <c r="L3232" s="2">
        <v>8.6999999999999993</v>
      </c>
      <c r="M3232" s="3">
        <v>264</v>
      </c>
      <c r="N3232">
        <v>5</v>
      </c>
      <c r="O3232">
        <v>5</v>
      </c>
      <c r="P3232">
        <v>1</v>
      </c>
      <c r="Q3232">
        <v>0</v>
      </c>
      <c r="R3232" s="4">
        <v>12.7</v>
      </c>
      <c r="S3232">
        <v>0</v>
      </c>
      <c r="T3232">
        <v>1</v>
      </c>
    </row>
    <row r="3233" spans="1:20" ht="16.5" x14ac:dyDescent="0.3">
      <c r="A3233" t="s">
        <v>3287</v>
      </c>
      <c r="B3233" s="1">
        <v>45747</v>
      </c>
      <c r="C3233">
        <v>2025</v>
      </c>
      <c r="D3233" t="s">
        <v>21</v>
      </c>
      <c r="E3233" t="s">
        <v>437</v>
      </c>
      <c r="F3233" t="s">
        <v>38</v>
      </c>
      <c r="G3233" t="s">
        <v>39</v>
      </c>
      <c r="H3233" t="s">
        <v>25</v>
      </c>
      <c r="I3233" t="s">
        <v>40</v>
      </c>
      <c r="J3233" t="s">
        <v>41</v>
      </c>
      <c r="K3233" t="s">
        <v>28</v>
      </c>
      <c r="L3233" s="2">
        <v>82.4</v>
      </c>
      <c r="M3233" s="3">
        <v>1164</v>
      </c>
      <c r="N3233">
        <v>2</v>
      </c>
      <c r="O3233">
        <v>2</v>
      </c>
      <c r="P3233">
        <v>1</v>
      </c>
      <c r="Q3233">
        <v>0</v>
      </c>
      <c r="R3233" s="4">
        <v>189.57</v>
      </c>
      <c r="S3233">
        <v>0</v>
      </c>
      <c r="T3233">
        <v>1</v>
      </c>
    </row>
    <row r="3234" spans="1:20" ht="16.5" x14ac:dyDescent="0.3">
      <c r="A3234" t="s">
        <v>3288</v>
      </c>
      <c r="B3234" s="1">
        <v>45747</v>
      </c>
      <c r="C3234">
        <v>2025</v>
      </c>
      <c r="D3234" t="s">
        <v>21</v>
      </c>
      <c r="E3234" t="s">
        <v>437</v>
      </c>
      <c r="F3234" t="s">
        <v>34</v>
      </c>
      <c r="G3234" t="s">
        <v>35</v>
      </c>
      <c r="H3234" t="s">
        <v>48</v>
      </c>
      <c r="I3234" t="s">
        <v>26</v>
      </c>
      <c r="J3234" t="s">
        <v>27</v>
      </c>
      <c r="K3234" t="s">
        <v>32</v>
      </c>
      <c r="L3234" s="2">
        <v>13.5</v>
      </c>
      <c r="M3234" s="3">
        <v>417</v>
      </c>
      <c r="N3234">
        <v>4</v>
      </c>
      <c r="O3234">
        <v>4</v>
      </c>
      <c r="P3234">
        <v>1</v>
      </c>
      <c r="Q3234">
        <v>0</v>
      </c>
      <c r="R3234" s="4">
        <v>14.96</v>
      </c>
      <c r="S3234">
        <v>0</v>
      </c>
      <c r="T3234">
        <v>1</v>
      </c>
    </row>
    <row r="3235" spans="1:20" ht="16.5" x14ac:dyDescent="0.3">
      <c r="A3235" t="s">
        <v>3289</v>
      </c>
      <c r="B3235" s="1">
        <v>45747</v>
      </c>
      <c r="C3235">
        <v>2025</v>
      </c>
      <c r="D3235" t="s">
        <v>21</v>
      </c>
      <c r="E3235" t="s">
        <v>437</v>
      </c>
      <c r="F3235" t="s">
        <v>30</v>
      </c>
      <c r="G3235" t="s">
        <v>24</v>
      </c>
      <c r="H3235" t="s">
        <v>36</v>
      </c>
      <c r="I3235" t="s">
        <v>26</v>
      </c>
      <c r="J3235" t="s">
        <v>27</v>
      </c>
      <c r="K3235" t="s">
        <v>28</v>
      </c>
      <c r="L3235" s="2">
        <v>134.1</v>
      </c>
      <c r="M3235" s="3">
        <v>186</v>
      </c>
      <c r="N3235">
        <v>3</v>
      </c>
      <c r="O3235">
        <v>2</v>
      </c>
      <c r="P3235">
        <v>1</v>
      </c>
      <c r="Q3235">
        <v>0</v>
      </c>
      <c r="R3235" s="4">
        <v>65.349999999999994</v>
      </c>
      <c r="S3235">
        <v>0</v>
      </c>
      <c r="T3235">
        <v>1</v>
      </c>
    </row>
    <row r="3236" spans="1:20" ht="16.5" x14ac:dyDescent="0.3">
      <c r="A3236" t="s">
        <v>3290</v>
      </c>
      <c r="B3236" s="1">
        <v>45747</v>
      </c>
      <c r="C3236">
        <v>2025</v>
      </c>
      <c r="D3236" t="s">
        <v>21</v>
      </c>
      <c r="E3236" t="s">
        <v>437</v>
      </c>
      <c r="F3236" t="s">
        <v>23</v>
      </c>
      <c r="G3236" t="s">
        <v>39</v>
      </c>
      <c r="H3236" t="s">
        <v>51</v>
      </c>
      <c r="I3236" t="s">
        <v>31</v>
      </c>
      <c r="J3236" t="s">
        <v>27</v>
      </c>
      <c r="K3236" t="s">
        <v>28</v>
      </c>
      <c r="L3236" s="2">
        <v>17.3</v>
      </c>
      <c r="M3236" s="3">
        <v>986</v>
      </c>
      <c r="N3236">
        <v>7</v>
      </c>
      <c r="O3236">
        <v>7</v>
      </c>
      <c r="P3236">
        <v>1</v>
      </c>
      <c r="Q3236">
        <v>0</v>
      </c>
      <c r="R3236" s="4">
        <v>21.02</v>
      </c>
      <c r="S3236">
        <v>0</v>
      </c>
      <c r="T3236">
        <v>1</v>
      </c>
    </row>
    <row r="3237" spans="1:20" ht="16.5" x14ac:dyDescent="0.3">
      <c r="A3237" t="s">
        <v>3291</v>
      </c>
      <c r="B3237" s="1">
        <v>45748</v>
      </c>
      <c r="C3237">
        <v>2025</v>
      </c>
      <c r="D3237" t="s">
        <v>649</v>
      </c>
      <c r="E3237" t="s">
        <v>650</v>
      </c>
      <c r="F3237" t="s">
        <v>57</v>
      </c>
      <c r="G3237" t="s">
        <v>24</v>
      </c>
      <c r="H3237" t="s">
        <v>48</v>
      </c>
      <c r="I3237" t="s">
        <v>26</v>
      </c>
      <c r="J3237" t="s">
        <v>27</v>
      </c>
      <c r="K3237" t="s">
        <v>32</v>
      </c>
      <c r="L3237" s="2">
        <v>1.2</v>
      </c>
      <c r="M3237" s="3">
        <v>447</v>
      </c>
      <c r="N3237">
        <v>4</v>
      </c>
      <c r="O3237">
        <v>3</v>
      </c>
      <c r="P3237">
        <v>1</v>
      </c>
      <c r="Q3237">
        <v>0</v>
      </c>
      <c r="R3237" s="4">
        <v>12.7</v>
      </c>
      <c r="S3237">
        <v>0</v>
      </c>
      <c r="T3237">
        <v>1</v>
      </c>
    </row>
    <row r="3238" spans="1:20" ht="16.5" x14ac:dyDescent="0.3">
      <c r="A3238" t="s">
        <v>3292</v>
      </c>
      <c r="B3238" s="1">
        <v>45748</v>
      </c>
      <c r="C3238">
        <v>2025</v>
      </c>
      <c r="D3238" t="s">
        <v>649</v>
      </c>
      <c r="E3238" t="s">
        <v>650</v>
      </c>
      <c r="F3238" t="s">
        <v>23</v>
      </c>
      <c r="G3238" t="s">
        <v>35</v>
      </c>
      <c r="H3238" t="s">
        <v>48</v>
      </c>
      <c r="I3238" t="s">
        <v>26</v>
      </c>
      <c r="J3238" t="s">
        <v>27</v>
      </c>
      <c r="K3238" t="s">
        <v>32</v>
      </c>
      <c r="L3238" s="2">
        <v>5</v>
      </c>
      <c r="M3238" s="3">
        <v>440</v>
      </c>
      <c r="N3238">
        <v>4</v>
      </c>
      <c r="O3238">
        <v>6</v>
      </c>
      <c r="P3238">
        <v>0</v>
      </c>
      <c r="Q3238">
        <v>2</v>
      </c>
      <c r="R3238" s="4">
        <v>13.81</v>
      </c>
      <c r="S3238">
        <v>0</v>
      </c>
      <c r="T3238">
        <v>1</v>
      </c>
    </row>
    <row r="3239" spans="1:20" ht="16.5" x14ac:dyDescent="0.3">
      <c r="A3239" t="s">
        <v>3293</v>
      </c>
      <c r="B3239" s="1">
        <v>45748</v>
      </c>
      <c r="C3239">
        <v>2025</v>
      </c>
      <c r="D3239" t="s">
        <v>649</v>
      </c>
      <c r="E3239" t="s">
        <v>650</v>
      </c>
      <c r="F3239" t="s">
        <v>34</v>
      </c>
      <c r="G3239" t="s">
        <v>24</v>
      </c>
      <c r="H3239" t="s">
        <v>48</v>
      </c>
      <c r="I3239" t="s">
        <v>40</v>
      </c>
      <c r="J3239" t="s">
        <v>27</v>
      </c>
      <c r="K3239" t="s">
        <v>28</v>
      </c>
      <c r="L3239" s="2">
        <v>76.900000000000006</v>
      </c>
      <c r="M3239" s="3">
        <v>606</v>
      </c>
      <c r="N3239">
        <v>2</v>
      </c>
      <c r="O3239">
        <v>2</v>
      </c>
      <c r="P3239">
        <v>1</v>
      </c>
      <c r="Q3239">
        <v>0</v>
      </c>
      <c r="R3239" s="4">
        <v>96.85</v>
      </c>
      <c r="S3239">
        <v>0</v>
      </c>
      <c r="T3239">
        <v>1</v>
      </c>
    </row>
    <row r="3240" spans="1:20" ht="16.5" x14ac:dyDescent="0.3">
      <c r="A3240" t="s">
        <v>3294</v>
      </c>
      <c r="B3240" s="1">
        <v>45748</v>
      </c>
      <c r="C3240">
        <v>2025</v>
      </c>
      <c r="D3240" t="s">
        <v>649</v>
      </c>
      <c r="E3240" t="s">
        <v>650</v>
      </c>
      <c r="F3240" t="s">
        <v>23</v>
      </c>
      <c r="G3240" t="s">
        <v>35</v>
      </c>
      <c r="H3240" t="s">
        <v>25</v>
      </c>
      <c r="I3240" t="s">
        <v>26</v>
      </c>
      <c r="J3240" t="s">
        <v>27</v>
      </c>
      <c r="K3240" t="s">
        <v>32</v>
      </c>
      <c r="L3240" s="2">
        <v>1.8</v>
      </c>
      <c r="M3240" s="3">
        <v>926</v>
      </c>
      <c r="N3240">
        <v>4</v>
      </c>
      <c r="O3240">
        <v>3</v>
      </c>
      <c r="P3240">
        <v>1</v>
      </c>
      <c r="Q3240">
        <v>0</v>
      </c>
      <c r="R3240" s="4">
        <v>17.940000000000001</v>
      </c>
      <c r="S3240">
        <v>0</v>
      </c>
      <c r="T3240">
        <v>1</v>
      </c>
    </row>
    <row r="3241" spans="1:20" ht="16.5" x14ac:dyDescent="0.3">
      <c r="A3241" t="s">
        <v>3295</v>
      </c>
      <c r="B3241" s="1">
        <v>45748</v>
      </c>
      <c r="C3241">
        <v>2025</v>
      </c>
      <c r="D3241" t="s">
        <v>649</v>
      </c>
      <c r="E3241" t="s">
        <v>650</v>
      </c>
      <c r="F3241" t="s">
        <v>34</v>
      </c>
      <c r="G3241" t="s">
        <v>39</v>
      </c>
      <c r="H3241" t="s">
        <v>25</v>
      </c>
      <c r="I3241" t="s">
        <v>31</v>
      </c>
      <c r="J3241" t="s">
        <v>27</v>
      </c>
      <c r="K3241" t="s">
        <v>32</v>
      </c>
      <c r="L3241" s="2">
        <v>4.2</v>
      </c>
      <c r="M3241" s="3">
        <v>857</v>
      </c>
      <c r="N3241">
        <v>6</v>
      </c>
      <c r="O3241">
        <v>5</v>
      </c>
      <c r="P3241">
        <v>1</v>
      </c>
      <c r="Q3241">
        <v>0</v>
      </c>
      <c r="R3241" s="4">
        <v>13.31</v>
      </c>
      <c r="S3241">
        <v>0</v>
      </c>
      <c r="T3241">
        <v>1</v>
      </c>
    </row>
    <row r="3242" spans="1:20" ht="16.5" x14ac:dyDescent="0.3">
      <c r="A3242" t="s">
        <v>3296</v>
      </c>
      <c r="B3242" s="1">
        <v>45748</v>
      </c>
      <c r="C3242">
        <v>2025</v>
      </c>
      <c r="D3242" t="s">
        <v>649</v>
      </c>
      <c r="E3242" t="s">
        <v>650</v>
      </c>
      <c r="F3242" t="s">
        <v>38</v>
      </c>
      <c r="G3242" t="s">
        <v>24</v>
      </c>
      <c r="H3242" t="s">
        <v>25</v>
      </c>
      <c r="I3242" t="s">
        <v>26</v>
      </c>
      <c r="J3242" t="s">
        <v>27</v>
      </c>
      <c r="K3242" t="s">
        <v>32</v>
      </c>
      <c r="L3242" s="2">
        <v>2.9</v>
      </c>
      <c r="M3242" s="3">
        <v>880</v>
      </c>
      <c r="N3242">
        <v>4</v>
      </c>
      <c r="O3242">
        <v>4</v>
      </c>
      <c r="P3242">
        <v>1</v>
      </c>
      <c r="Q3242">
        <v>0</v>
      </c>
      <c r="R3242" s="4">
        <v>20.94</v>
      </c>
      <c r="S3242">
        <v>0</v>
      </c>
      <c r="T3242">
        <v>1</v>
      </c>
    </row>
    <row r="3243" spans="1:20" ht="16.5" x14ac:dyDescent="0.3">
      <c r="A3243" t="s">
        <v>3297</v>
      </c>
      <c r="B3243" s="1">
        <v>45748</v>
      </c>
      <c r="C3243">
        <v>2025</v>
      </c>
      <c r="D3243" t="s">
        <v>649</v>
      </c>
      <c r="E3243" t="s">
        <v>650</v>
      </c>
      <c r="F3243" t="s">
        <v>34</v>
      </c>
      <c r="G3243" t="s">
        <v>35</v>
      </c>
      <c r="H3243" t="s">
        <v>43</v>
      </c>
      <c r="I3243" t="s">
        <v>40</v>
      </c>
      <c r="J3243" t="s">
        <v>41</v>
      </c>
      <c r="K3243" t="s">
        <v>32</v>
      </c>
      <c r="L3243" s="2">
        <v>6.1</v>
      </c>
      <c r="M3243" s="3">
        <v>1518</v>
      </c>
      <c r="N3243">
        <v>3</v>
      </c>
      <c r="O3243">
        <v>2</v>
      </c>
      <c r="P3243">
        <v>1</v>
      </c>
      <c r="Q3243">
        <v>0</v>
      </c>
      <c r="R3243" s="4">
        <v>76.52</v>
      </c>
      <c r="S3243">
        <v>0</v>
      </c>
      <c r="T3243">
        <v>1</v>
      </c>
    </row>
    <row r="3244" spans="1:20" ht="16.5" x14ac:dyDescent="0.3">
      <c r="A3244" t="s">
        <v>3298</v>
      </c>
      <c r="B3244" s="1">
        <v>45748</v>
      </c>
      <c r="C3244">
        <v>2025</v>
      </c>
      <c r="D3244" t="s">
        <v>649</v>
      </c>
      <c r="E3244" t="s">
        <v>650</v>
      </c>
      <c r="F3244" t="s">
        <v>23</v>
      </c>
      <c r="G3244" t="s">
        <v>24</v>
      </c>
      <c r="H3244" t="s">
        <v>25</v>
      </c>
      <c r="I3244" t="s">
        <v>26</v>
      </c>
      <c r="J3244" t="s">
        <v>27</v>
      </c>
      <c r="K3244" t="s">
        <v>28</v>
      </c>
      <c r="L3244" s="2">
        <v>170</v>
      </c>
      <c r="M3244" s="3">
        <v>788</v>
      </c>
      <c r="N3244">
        <v>4</v>
      </c>
      <c r="O3244">
        <v>4</v>
      </c>
      <c r="P3244">
        <v>1</v>
      </c>
      <c r="Q3244">
        <v>0</v>
      </c>
      <c r="R3244" s="4">
        <v>88.02</v>
      </c>
      <c r="S3244">
        <v>0</v>
      </c>
      <c r="T3244">
        <v>1</v>
      </c>
    </row>
    <row r="3245" spans="1:20" ht="16.5" x14ac:dyDescent="0.3">
      <c r="A3245" t="s">
        <v>3299</v>
      </c>
      <c r="B3245" s="1">
        <v>45748</v>
      </c>
      <c r="C3245">
        <v>2025</v>
      </c>
      <c r="D3245" t="s">
        <v>649</v>
      </c>
      <c r="E3245" t="s">
        <v>650</v>
      </c>
      <c r="F3245" t="s">
        <v>30</v>
      </c>
      <c r="G3245" t="s">
        <v>24</v>
      </c>
      <c r="H3245" t="s">
        <v>48</v>
      </c>
      <c r="I3245" t="s">
        <v>26</v>
      </c>
      <c r="J3245" t="s">
        <v>27</v>
      </c>
      <c r="K3245" t="s">
        <v>32</v>
      </c>
      <c r="L3245" s="2">
        <v>8.6999999999999993</v>
      </c>
      <c r="M3245" s="3">
        <v>498</v>
      </c>
      <c r="N3245">
        <v>4</v>
      </c>
      <c r="O3245">
        <v>3</v>
      </c>
      <c r="P3245">
        <v>1</v>
      </c>
      <c r="Q3245">
        <v>0</v>
      </c>
      <c r="R3245" s="4">
        <v>19.13</v>
      </c>
      <c r="S3245">
        <v>0</v>
      </c>
      <c r="T3245">
        <v>1</v>
      </c>
    </row>
    <row r="3246" spans="1:20" ht="16.5" x14ac:dyDescent="0.3">
      <c r="A3246" t="s">
        <v>3300</v>
      </c>
      <c r="B3246" s="1">
        <v>45748</v>
      </c>
      <c r="C3246">
        <v>2025</v>
      </c>
      <c r="D3246" t="s">
        <v>649</v>
      </c>
      <c r="E3246" t="s">
        <v>650</v>
      </c>
      <c r="F3246" t="s">
        <v>38</v>
      </c>
      <c r="G3246" t="s">
        <v>24</v>
      </c>
      <c r="H3246" t="s">
        <v>36</v>
      </c>
      <c r="I3246" t="s">
        <v>26</v>
      </c>
      <c r="J3246" t="s">
        <v>27</v>
      </c>
      <c r="K3246" t="s">
        <v>32</v>
      </c>
      <c r="L3246" s="2">
        <v>4.5999999999999996</v>
      </c>
      <c r="M3246" s="3">
        <v>240</v>
      </c>
      <c r="N3246">
        <v>3</v>
      </c>
      <c r="O3246">
        <v>3</v>
      </c>
      <c r="P3246">
        <v>1</v>
      </c>
      <c r="Q3246">
        <v>0</v>
      </c>
      <c r="R3246" s="4">
        <v>13.72</v>
      </c>
      <c r="S3246">
        <v>0</v>
      </c>
      <c r="T3246">
        <v>1</v>
      </c>
    </row>
    <row r="3247" spans="1:20" ht="16.5" x14ac:dyDescent="0.3">
      <c r="A3247" t="s">
        <v>3301</v>
      </c>
      <c r="B3247" s="1">
        <v>45748</v>
      </c>
      <c r="C3247">
        <v>2025</v>
      </c>
      <c r="D3247" t="s">
        <v>649</v>
      </c>
      <c r="E3247" t="s">
        <v>650</v>
      </c>
      <c r="F3247" t="s">
        <v>23</v>
      </c>
      <c r="G3247" t="s">
        <v>35</v>
      </c>
      <c r="H3247" t="s">
        <v>48</v>
      </c>
      <c r="I3247" t="s">
        <v>31</v>
      </c>
      <c r="J3247" t="s">
        <v>27</v>
      </c>
      <c r="K3247" t="s">
        <v>32</v>
      </c>
      <c r="L3247" s="2">
        <v>11</v>
      </c>
      <c r="M3247" s="3">
        <v>488</v>
      </c>
      <c r="N3247">
        <v>6</v>
      </c>
      <c r="O3247">
        <v>6</v>
      </c>
      <c r="P3247">
        <v>1</v>
      </c>
      <c r="Q3247">
        <v>0</v>
      </c>
      <c r="R3247" s="4">
        <v>13.1</v>
      </c>
      <c r="S3247">
        <v>0</v>
      </c>
      <c r="T3247">
        <v>1</v>
      </c>
    </row>
    <row r="3248" spans="1:20" ht="16.5" x14ac:dyDescent="0.3">
      <c r="A3248" t="s">
        <v>3302</v>
      </c>
      <c r="B3248" s="1">
        <v>45748</v>
      </c>
      <c r="C3248">
        <v>2025</v>
      </c>
      <c r="D3248" t="s">
        <v>649</v>
      </c>
      <c r="E3248" t="s">
        <v>650</v>
      </c>
      <c r="F3248" t="s">
        <v>57</v>
      </c>
      <c r="G3248" t="s">
        <v>35</v>
      </c>
      <c r="H3248" t="s">
        <v>48</v>
      </c>
      <c r="I3248" t="s">
        <v>26</v>
      </c>
      <c r="J3248" t="s">
        <v>27</v>
      </c>
      <c r="K3248" t="s">
        <v>28</v>
      </c>
      <c r="L3248" s="2">
        <v>109.3</v>
      </c>
      <c r="M3248" s="3">
        <v>586</v>
      </c>
      <c r="N3248">
        <v>4</v>
      </c>
      <c r="O3248">
        <v>3</v>
      </c>
      <c r="P3248">
        <v>1</v>
      </c>
      <c r="Q3248">
        <v>0</v>
      </c>
      <c r="R3248" s="4">
        <v>66.19</v>
      </c>
      <c r="S3248">
        <v>0</v>
      </c>
      <c r="T3248">
        <v>1</v>
      </c>
    </row>
    <row r="3249" spans="1:20" ht="16.5" x14ac:dyDescent="0.3">
      <c r="A3249" t="s">
        <v>3303</v>
      </c>
      <c r="B3249" s="1">
        <v>45749</v>
      </c>
      <c r="C3249">
        <v>2025</v>
      </c>
      <c r="D3249" t="s">
        <v>649</v>
      </c>
      <c r="E3249" t="s">
        <v>650</v>
      </c>
      <c r="F3249" t="s">
        <v>23</v>
      </c>
      <c r="G3249" t="s">
        <v>35</v>
      </c>
      <c r="H3249" t="s">
        <v>36</v>
      </c>
      <c r="I3249" t="s">
        <v>31</v>
      </c>
      <c r="J3249" t="s">
        <v>27</v>
      </c>
      <c r="K3249" t="s">
        <v>28</v>
      </c>
      <c r="L3249" s="2">
        <v>93.8</v>
      </c>
      <c r="M3249" s="3">
        <v>224</v>
      </c>
      <c r="N3249">
        <v>5</v>
      </c>
      <c r="O3249">
        <v>5</v>
      </c>
      <c r="P3249">
        <v>1</v>
      </c>
      <c r="Q3249">
        <v>0</v>
      </c>
      <c r="R3249" s="4">
        <v>34.53</v>
      </c>
      <c r="S3249">
        <v>0</v>
      </c>
      <c r="T3249">
        <v>1</v>
      </c>
    </row>
    <row r="3250" spans="1:20" ht="16.5" x14ac:dyDescent="0.3">
      <c r="A3250" t="s">
        <v>3304</v>
      </c>
      <c r="B3250" s="1">
        <v>45749</v>
      </c>
      <c r="C3250">
        <v>2025</v>
      </c>
      <c r="D3250" t="s">
        <v>649</v>
      </c>
      <c r="E3250" t="s">
        <v>650</v>
      </c>
      <c r="F3250" t="s">
        <v>30</v>
      </c>
      <c r="G3250" t="s">
        <v>35</v>
      </c>
      <c r="H3250" t="s">
        <v>36</v>
      </c>
      <c r="I3250" t="s">
        <v>40</v>
      </c>
      <c r="J3250" t="s">
        <v>27</v>
      </c>
      <c r="K3250" t="s">
        <v>32</v>
      </c>
      <c r="L3250" s="2">
        <v>6.6</v>
      </c>
      <c r="M3250" s="3">
        <v>255</v>
      </c>
      <c r="N3250">
        <v>1</v>
      </c>
      <c r="O3250">
        <v>1</v>
      </c>
      <c r="P3250">
        <v>1</v>
      </c>
      <c r="Q3250">
        <v>0</v>
      </c>
      <c r="R3250" s="4">
        <v>25.33</v>
      </c>
      <c r="S3250">
        <v>0</v>
      </c>
      <c r="T3250">
        <v>1</v>
      </c>
    </row>
    <row r="3251" spans="1:20" ht="16.5" x14ac:dyDescent="0.3">
      <c r="A3251" t="s">
        <v>3305</v>
      </c>
      <c r="B3251" s="1">
        <v>45749</v>
      </c>
      <c r="C3251">
        <v>2025</v>
      </c>
      <c r="D3251" t="s">
        <v>649</v>
      </c>
      <c r="E3251" t="s">
        <v>650</v>
      </c>
      <c r="F3251" t="s">
        <v>57</v>
      </c>
      <c r="G3251" t="s">
        <v>39</v>
      </c>
      <c r="H3251" t="s">
        <v>25</v>
      </c>
      <c r="I3251" t="s">
        <v>26</v>
      </c>
      <c r="J3251" t="s">
        <v>27</v>
      </c>
      <c r="K3251" t="s">
        <v>32</v>
      </c>
      <c r="L3251" s="2">
        <v>1.3</v>
      </c>
      <c r="M3251" s="3">
        <v>1176</v>
      </c>
      <c r="N3251">
        <v>4</v>
      </c>
      <c r="O3251">
        <v>4</v>
      </c>
      <c r="P3251">
        <v>1</v>
      </c>
      <c r="Q3251">
        <v>0</v>
      </c>
      <c r="R3251" s="4">
        <v>19.149999999999999</v>
      </c>
      <c r="S3251">
        <v>0</v>
      </c>
      <c r="T3251">
        <v>1</v>
      </c>
    </row>
    <row r="3252" spans="1:20" ht="16.5" x14ac:dyDescent="0.3">
      <c r="A3252" t="s">
        <v>3306</v>
      </c>
      <c r="B3252" s="1">
        <v>45749</v>
      </c>
      <c r="C3252">
        <v>2025</v>
      </c>
      <c r="D3252" t="s">
        <v>649</v>
      </c>
      <c r="E3252" t="s">
        <v>650</v>
      </c>
      <c r="F3252" t="s">
        <v>34</v>
      </c>
      <c r="G3252" t="s">
        <v>35</v>
      </c>
      <c r="H3252" t="s">
        <v>51</v>
      </c>
      <c r="I3252" t="s">
        <v>26</v>
      </c>
      <c r="J3252" t="s">
        <v>27</v>
      </c>
      <c r="K3252" t="s">
        <v>28</v>
      </c>
      <c r="L3252" s="2">
        <v>63.7</v>
      </c>
      <c r="M3252" s="3">
        <v>1042</v>
      </c>
      <c r="N3252">
        <v>5</v>
      </c>
      <c r="O3252">
        <v>5</v>
      </c>
      <c r="P3252">
        <v>1</v>
      </c>
      <c r="Q3252">
        <v>0</v>
      </c>
      <c r="R3252" s="4">
        <v>39.78</v>
      </c>
      <c r="S3252">
        <v>0</v>
      </c>
      <c r="T3252">
        <v>1</v>
      </c>
    </row>
    <row r="3253" spans="1:20" ht="16.5" x14ac:dyDescent="0.3">
      <c r="A3253" t="s">
        <v>3307</v>
      </c>
      <c r="B3253" s="1">
        <v>45749</v>
      </c>
      <c r="C3253">
        <v>2025</v>
      </c>
      <c r="D3253" t="s">
        <v>649</v>
      </c>
      <c r="E3253" t="s">
        <v>650</v>
      </c>
      <c r="F3253" t="s">
        <v>38</v>
      </c>
      <c r="G3253" t="s">
        <v>39</v>
      </c>
      <c r="H3253" t="s">
        <v>25</v>
      </c>
      <c r="I3253" t="s">
        <v>26</v>
      </c>
      <c r="J3253" t="s">
        <v>27</v>
      </c>
      <c r="K3253" t="s">
        <v>32</v>
      </c>
      <c r="L3253" s="2">
        <v>1.8</v>
      </c>
      <c r="M3253" s="3">
        <v>887</v>
      </c>
      <c r="N3253">
        <v>4</v>
      </c>
      <c r="O3253">
        <v>4</v>
      </c>
      <c r="P3253">
        <v>1</v>
      </c>
      <c r="Q3253">
        <v>0</v>
      </c>
      <c r="R3253" s="4">
        <v>20.67</v>
      </c>
      <c r="S3253">
        <v>0</v>
      </c>
      <c r="T3253">
        <v>1</v>
      </c>
    </row>
    <row r="3254" spans="1:20" ht="16.5" x14ac:dyDescent="0.3">
      <c r="A3254" t="s">
        <v>3308</v>
      </c>
      <c r="B3254" s="1">
        <v>45749</v>
      </c>
      <c r="C3254">
        <v>2025</v>
      </c>
      <c r="D3254" t="s">
        <v>649</v>
      </c>
      <c r="E3254" t="s">
        <v>650</v>
      </c>
      <c r="F3254" t="s">
        <v>34</v>
      </c>
      <c r="G3254" t="s">
        <v>39</v>
      </c>
      <c r="H3254" t="s">
        <v>48</v>
      </c>
      <c r="I3254" t="s">
        <v>26</v>
      </c>
      <c r="J3254" t="s">
        <v>27</v>
      </c>
      <c r="K3254" t="s">
        <v>28</v>
      </c>
      <c r="L3254" s="2">
        <v>13.1</v>
      </c>
      <c r="M3254" s="3">
        <v>430</v>
      </c>
      <c r="N3254">
        <v>4</v>
      </c>
      <c r="O3254">
        <v>4</v>
      </c>
      <c r="P3254">
        <v>1</v>
      </c>
      <c r="Q3254">
        <v>0</v>
      </c>
      <c r="R3254" s="4">
        <v>16.16</v>
      </c>
      <c r="S3254">
        <v>0</v>
      </c>
      <c r="T3254">
        <v>1</v>
      </c>
    </row>
    <row r="3255" spans="1:20" ht="16.5" x14ac:dyDescent="0.3">
      <c r="A3255" t="s">
        <v>3309</v>
      </c>
      <c r="B3255" s="1">
        <v>45749</v>
      </c>
      <c r="C3255">
        <v>2025</v>
      </c>
      <c r="D3255" t="s">
        <v>649</v>
      </c>
      <c r="E3255" t="s">
        <v>650</v>
      </c>
      <c r="F3255" t="s">
        <v>57</v>
      </c>
      <c r="G3255" t="s">
        <v>39</v>
      </c>
      <c r="H3255" t="s">
        <v>36</v>
      </c>
      <c r="I3255" t="s">
        <v>26</v>
      </c>
      <c r="J3255" t="s">
        <v>27</v>
      </c>
      <c r="K3255" t="s">
        <v>32</v>
      </c>
      <c r="L3255" s="2">
        <v>18.5</v>
      </c>
      <c r="M3255" s="3">
        <v>199</v>
      </c>
      <c r="N3255">
        <v>3</v>
      </c>
      <c r="O3255">
        <v>2</v>
      </c>
      <c r="P3255">
        <v>1</v>
      </c>
      <c r="Q3255">
        <v>0</v>
      </c>
      <c r="R3255" s="4">
        <v>17.07</v>
      </c>
      <c r="S3255">
        <v>0</v>
      </c>
      <c r="T3255">
        <v>1</v>
      </c>
    </row>
    <row r="3256" spans="1:20" ht="16.5" x14ac:dyDescent="0.3">
      <c r="A3256" t="s">
        <v>3310</v>
      </c>
      <c r="B3256" s="1">
        <v>45749</v>
      </c>
      <c r="C3256">
        <v>2025</v>
      </c>
      <c r="D3256" t="s">
        <v>649</v>
      </c>
      <c r="E3256" t="s">
        <v>650</v>
      </c>
      <c r="F3256" t="s">
        <v>57</v>
      </c>
      <c r="G3256" t="s">
        <v>35</v>
      </c>
      <c r="H3256" t="s">
        <v>48</v>
      </c>
      <c r="I3256" t="s">
        <v>26</v>
      </c>
      <c r="J3256" t="s">
        <v>27</v>
      </c>
      <c r="K3256" t="s">
        <v>32</v>
      </c>
      <c r="L3256" s="2">
        <v>3.2</v>
      </c>
      <c r="M3256" s="3">
        <v>512</v>
      </c>
      <c r="N3256">
        <v>4</v>
      </c>
      <c r="O3256">
        <v>4</v>
      </c>
      <c r="P3256">
        <v>1</v>
      </c>
      <c r="Q3256">
        <v>0</v>
      </c>
      <c r="R3256" s="4">
        <v>13.74</v>
      </c>
      <c r="S3256">
        <v>0</v>
      </c>
      <c r="T3256">
        <v>1</v>
      </c>
    </row>
    <row r="3257" spans="1:20" ht="16.5" x14ac:dyDescent="0.3">
      <c r="A3257" t="s">
        <v>3311</v>
      </c>
      <c r="B3257" s="1">
        <v>45749</v>
      </c>
      <c r="C3257">
        <v>2025</v>
      </c>
      <c r="D3257" t="s">
        <v>649</v>
      </c>
      <c r="E3257" t="s">
        <v>650</v>
      </c>
      <c r="F3257" t="s">
        <v>23</v>
      </c>
      <c r="G3257" t="s">
        <v>35</v>
      </c>
      <c r="H3257" t="s">
        <v>51</v>
      </c>
      <c r="I3257" t="s">
        <v>31</v>
      </c>
      <c r="J3257" t="s">
        <v>27</v>
      </c>
      <c r="K3257" t="s">
        <v>28</v>
      </c>
      <c r="L3257" s="2">
        <v>134.9</v>
      </c>
      <c r="M3257" s="3">
        <v>1092</v>
      </c>
      <c r="N3257">
        <v>7</v>
      </c>
      <c r="O3257">
        <v>7</v>
      </c>
      <c r="P3257">
        <v>1</v>
      </c>
      <c r="Q3257">
        <v>0</v>
      </c>
      <c r="R3257" s="4">
        <v>55.47</v>
      </c>
      <c r="S3257">
        <v>0</v>
      </c>
      <c r="T3257">
        <v>1</v>
      </c>
    </row>
    <row r="3258" spans="1:20" ht="16.5" x14ac:dyDescent="0.3">
      <c r="A3258" t="s">
        <v>3312</v>
      </c>
      <c r="B3258" s="1">
        <v>45749</v>
      </c>
      <c r="C3258">
        <v>2025</v>
      </c>
      <c r="D3258" t="s">
        <v>649</v>
      </c>
      <c r="E3258" t="s">
        <v>650</v>
      </c>
      <c r="F3258" t="s">
        <v>57</v>
      </c>
      <c r="G3258" t="s">
        <v>35</v>
      </c>
      <c r="H3258" t="s">
        <v>51</v>
      </c>
      <c r="I3258" t="s">
        <v>40</v>
      </c>
      <c r="J3258" t="s">
        <v>41</v>
      </c>
      <c r="K3258" t="s">
        <v>32</v>
      </c>
      <c r="L3258" s="2">
        <v>7.4</v>
      </c>
      <c r="M3258" s="3">
        <v>914</v>
      </c>
      <c r="N3258">
        <v>3</v>
      </c>
      <c r="O3258">
        <v>3</v>
      </c>
      <c r="P3258">
        <v>1</v>
      </c>
      <c r="Q3258">
        <v>0</v>
      </c>
      <c r="R3258" s="4">
        <v>67.150000000000006</v>
      </c>
      <c r="S3258">
        <v>0</v>
      </c>
      <c r="T3258">
        <v>1</v>
      </c>
    </row>
    <row r="3259" spans="1:20" ht="16.5" x14ac:dyDescent="0.3">
      <c r="A3259" t="s">
        <v>3313</v>
      </c>
      <c r="B3259" s="1">
        <v>45750</v>
      </c>
      <c r="C3259">
        <v>2025</v>
      </c>
      <c r="D3259" t="s">
        <v>649</v>
      </c>
      <c r="E3259" t="s">
        <v>650</v>
      </c>
      <c r="F3259" t="s">
        <v>38</v>
      </c>
      <c r="G3259" t="s">
        <v>35</v>
      </c>
      <c r="H3259" t="s">
        <v>48</v>
      </c>
      <c r="I3259" t="s">
        <v>26</v>
      </c>
      <c r="J3259" t="s">
        <v>27</v>
      </c>
      <c r="K3259" t="s">
        <v>32</v>
      </c>
      <c r="L3259" s="2">
        <v>16</v>
      </c>
      <c r="M3259" s="3">
        <v>461</v>
      </c>
      <c r="N3259">
        <v>4</v>
      </c>
      <c r="O3259">
        <v>3</v>
      </c>
      <c r="P3259">
        <v>1</v>
      </c>
      <c r="Q3259">
        <v>0</v>
      </c>
      <c r="R3259" s="4">
        <v>23.73</v>
      </c>
      <c r="S3259">
        <v>0</v>
      </c>
      <c r="T3259">
        <v>1</v>
      </c>
    </row>
    <row r="3260" spans="1:20" ht="16.5" x14ac:dyDescent="0.3">
      <c r="A3260" t="s">
        <v>3314</v>
      </c>
      <c r="B3260" s="1">
        <v>45750</v>
      </c>
      <c r="C3260">
        <v>2025</v>
      </c>
      <c r="D3260" t="s">
        <v>649</v>
      </c>
      <c r="E3260" t="s">
        <v>650</v>
      </c>
      <c r="F3260" t="s">
        <v>38</v>
      </c>
      <c r="G3260" t="s">
        <v>39</v>
      </c>
      <c r="H3260" t="s">
        <v>48</v>
      </c>
      <c r="I3260" t="s">
        <v>40</v>
      </c>
      <c r="J3260" t="s">
        <v>27</v>
      </c>
      <c r="K3260" t="s">
        <v>28</v>
      </c>
      <c r="L3260" s="2">
        <v>156.1</v>
      </c>
      <c r="M3260" s="3">
        <v>424</v>
      </c>
      <c r="N3260">
        <v>2</v>
      </c>
      <c r="O3260">
        <v>1</v>
      </c>
      <c r="P3260">
        <v>1</v>
      </c>
      <c r="Q3260">
        <v>0</v>
      </c>
      <c r="R3260" s="4">
        <v>188.37</v>
      </c>
      <c r="S3260">
        <v>0</v>
      </c>
      <c r="T3260">
        <v>1</v>
      </c>
    </row>
    <row r="3261" spans="1:20" ht="16.5" x14ac:dyDescent="0.3">
      <c r="A3261" t="s">
        <v>3315</v>
      </c>
      <c r="B3261" s="1">
        <v>45750</v>
      </c>
      <c r="C3261">
        <v>2025</v>
      </c>
      <c r="D3261" t="s">
        <v>649</v>
      </c>
      <c r="E3261" t="s">
        <v>650</v>
      </c>
      <c r="F3261" t="s">
        <v>30</v>
      </c>
      <c r="G3261" t="s">
        <v>39</v>
      </c>
      <c r="H3261" t="s">
        <v>25</v>
      </c>
      <c r="I3261" t="s">
        <v>26</v>
      </c>
      <c r="J3261" t="s">
        <v>27</v>
      </c>
      <c r="K3261" t="s">
        <v>32</v>
      </c>
      <c r="L3261" s="2">
        <v>4.5</v>
      </c>
      <c r="M3261" s="3">
        <v>946</v>
      </c>
      <c r="N3261">
        <v>4</v>
      </c>
      <c r="O3261">
        <v>4</v>
      </c>
      <c r="P3261">
        <v>1</v>
      </c>
      <c r="Q3261">
        <v>0</v>
      </c>
      <c r="R3261" s="4">
        <v>20.87</v>
      </c>
      <c r="S3261">
        <v>0</v>
      </c>
      <c r="T3261">
        <v>1</v>
      </c>
    </row>
    <row r="3262" spans="1:20" ht="16.5" x14ac:dyDescent="0.3">
      <c r="A3262" t="s">
        <v>3316</v>
      </c>
      <c r="B3262" s="1">
        <v>45750</v>
      </c>
      <c r="C3262">
        <v>2025</v>
      </c>
      <c r="D3262" t="s">
        <v>649</v>
      </c>
      <c r="E3262" t="s">
        <v>650</v>
      </c>
      <c r="F3262" t="s">
        <v>30</v>
      </c>
      <c r="G3262" t="s">
        <v>39</v>
      </c>
      <c r="H3262" t="s">
        <v>48</v>
      </c>
      <c r="I3262" t="s">
        <v>40</v>
      </c>
      <c r="J3262" t="s">
        <v>27</v>
      </c>
      <c r="K3262" t="s">
        <v>28</v>
      </c>
      <c r="L3262" s="2">
        <v>77.5</v>
      </c>
      <c r="M3262" s="3">
        <v>431</v>
      </c>
      <c r="N3262">
        <v>2</v>
      </c>
      <c r="O3262">
        <v>2</v>
      </c>
      <c r="P3262">
        <v>1</v>
      </c>
      <c r="Q3262">
        <v>0</v>
      </c>
      <c r="R3262" s="4">
        <v>98.61</v>
      </c>
      <c r="S3262">
        <v>0</v>
      </c>
      <c r="T3262">
        <v>1</v>
      </c>
    </row>
    <row r="3263" spans="1:20" ht="16.5" x14ac:dyDescent="0.3">
      <c r="A3263" t="s">
        <v>3317</v>
      </c>
      <c r="B3263" s="1">
        <v>45750</v>
      </c>
      <c r="C3263">
        <v>2025</v>
      </c>
      <c r="D3263" t="s">
        <v>649</v>
      </c>
      <c r="E3263" t="s">
        <v>650</v>
      </c>
      <c r="F3263" t="s">
        <v>57</v>
      </c>
      <c r="G3263" t="s">
        <v>35</v>
      </c>
      <c r="H3263" t="s">
        <v>36</v>
      </c>
      <c r="I3263" t="s">
        <v>26</v>
      </c>
      <c r="J3263" t="s">
        <v>27</v>
      </c>
      <c r="K3263" t="s">
        <v>32</v>
      </c>
      <c r="L3263" s="2">
        <v>5.2</v>
      </c>
      <c r="M3263" s="3">
        <v>242</v>
      </c>
      <c r="N3263">
        <v>3</v>
      </c>
      <c r="O3263">
        <v>2</v>
      </c>
      <c r="P3263">
        <v>1</v>
      </c>
      <c r="Q3263">
        <v>0</v>
      </c>
      <c r="R3263" s="4">
        <v>10.69</v>
      </c>
      <c r="S3263">
        <v>0</v>
      </c>
      <c r="T3263">
        <v>1</v>
      </c>
    </row>
    <row r="3264" spans="1:20" ht="16.5" x14ac:dyDescent="0.3">
      <c r="A3264" t="s">
        <v>3318</v>
      </c>
      <c r="B3264" s="1">
        <v>45750</v>
      </c>
      <c r="C3264">
        <v>2025</v>
      </c>
      <c r="D3264" t="s">
        <v>649</v>
      </c>
      <c r="E3264" t="s">
        <v>650</v>
      </c>
      <c r="F3264" t="s">
        <v>57</v>
      </c>
      <c r="G3264" t="s">
        <v>24</v>
      </c>
      <c r="H3264" t="s">
        <v>43</v>
      </c>
      <c r="I3264" t="s">
        <v>26</v>
      </c>
      <c r="J3264" t="s">
        <v>27</v>
      </c>
      <c r="K3264" t="s">
        <v>32</v>
      </c>
      <c r="L3264" s="2">
        <v>2.8</v>
      </c>
      <c r="M3264" s="3">
        <v>1186</v>
      </c>
      <c r="N3264">
        <v>5</v>
      </c>
      <c r="O3264">
        <v>4</v>
      </c>
      <c r="P3264">
        <v>1</v>
      </c>
      <c r="Q3264">
        <v>0</v>
      </c>
      <c r="R3264" s="4">
        <v>20.71</v>
      </c>
      <c r="S3264">
        <v>0</v>
      </c>
      <c r="T3264">
        <v>1</v>
      </c>
    </row>
    <row r="3265" spans="1:20" ht="16.5" x14ac:dyDescent="0.3">
      <c r="A3265" t="s">
        <v>3319</v>
      </c>
      <c r="B3265" s="1">
        <v>45751</v>
      </c>
      <c r="C3265">
        <v>2025</v>
      </c>
      <c r="D3265" t="s">
        <v>649</v>
      </c>
      <c r="E3265" t="s">
        <v>650</v>
      </c>
      <c r="F3265" t="s">
        <v>34</v>
      </c>
      <c r="G3265" t="s">
        <v>39</v>
      </c>
      <c r="H3265" t="s">
        <v>36</v>
      </c>
      <c r="I3265" t="s">
        <v>26</v>
      </c>
      <c r="J3265" t="s">
        <v>27</v>
      </c>
      <c r="K3265" t="s">
        <v>32</v>
      </c>
      <c r="L3265" s="2">
        <v>1.3</v>
      </c>
      <c r="M3265" s="3">
        <v>249</v>
      </c>
      <c r="N3265">
        <v>3</v>
      </c>
      <c r="O3265">
        <v>2</v>
      </c>
      <c r="P3265">
        <v>1</v>
      </c>
      <c r="Q3265">
        <v>0</v>
      </c>
      <c r="R3265" s="4">
        <v>9.25</v>
      </c>
      <c r="S3265">
        <v>0</v>
      </c>
      <c r="T3265">
        <v>1</v>
      </c>
    </row>
    <row r="3266" spans="1:20" ht="16.5" x14ac:dyDescent="0.3">
      <c r="A3266" t="s">
        <v>3320</v>
      </c>
      <c r="B3266" s="1">
        <v>45751</v>
      </c>
      <c r="C3266">
        <v>2025</v>
      </c>
      <c r="D3266" t="s">
        <v>649</v>
      </c>
      <c r="E3266" t="s">
        <v>650</v>
      </c>
      <c r="F3266" t="s">
        <v>30</v>
      </c>
      <c r="G3266" t="s">
        <v>39</v>
      </c>
      <c r="H3266" t="s">
        <v>48</v>
      </c>
      <c r="I3266" t="s">
        <v>31</v>
      </c>
      <c r="J3266" t="s">
        <v>27</v>
      </c>
      <c r="K3266" t="s">
        <v>32</v>
      </c>
      <c r="L3266" s="2">
        <v>1.7</v>
      </c>
      <c r="M3266" s="3">
        <v>369</v>
      </c>
      <c r="N3266">
        <v>6</v>
      </c>
      <c r="O3266">
        <v>6</v>
      </c>
      <c r="P3266">
        <v>1</v>
      </c>
      <c r="Q3266">
        <v>0</v>
      </c>
      <c r="R3266" s="4">
        <v>9.31</v>
      </c>
      <c r="S3266">
        <v>0</v>
      </c>
      <c r="T3266">
        <v>1</v>
      </c>
    </row>
    <row r="3267" spans="1:20" ht="16.5" x14ac:dyDescent="0.3">
      <c r="A3267" t="s">
        <v>3321</v>
      </c>
      <c r="B3267" s="1">
        <v>45751</v>
      </c>
      <c r="C3267">
        <v>2025</v>
      </c>
      <c r="D3267" t="s">
        <v>649</v>
      </c>
      <c r="E3267" t="s">
        <v>650</v>
      </c>
      <c r="F3267" t="s">
        <v>57</v>
      </c>
      <c r="G3267" t="s">
        <v>24</v>
      </c>
      <c r="H3267" t="s">
        <v>48</v>
      </c>
      <c r="I3267" t="s">
        <v>40</v>
      </c>
      <c r="J3267" t="s">
        <v>27</v>
      </c>
      <c r="K3267" t="s">
        <v>32</v>
      </c>
      <c r="L3267" s="2">
        <v>12</v>
      </c>
      <c r="M3267" s="3">
        <v>556</v>
      </c>
      <c r="N3267">
        <v>2</v>
      </c>
      <c r="O3267">
        <v>2</v>
      </c>
      <c r="P3267">
        <v>1</v>
      </c>
      <c r="Q3267">
        <v>0</v>
      </c>
      <c r="R3267" s="4">
        <v>38.43</v>
      </c>
      <c r="S3267">
        <v>0</v>
      </c>
      <c r="T3267">
        <v>1</v>
      </c>
    </row>
    <row r="3268" spans="1:20" ht="16.5" x14ac:dyDescent="0.3">
      <c r="A3268" t="s">
        <v>3322</v>
      </c>
      <c r="B3268" s="1">
        <v>45751</v>
      </c>
      <c r="C3268">
        <v>2025</v>
      </c>
      <c r="D3268" t="s">
        <v>649</v>
      </c>
      <c r="E3268" t="s">
        <v>650</v>
      </c>
      <c r="F3268" t="s">
        <v>34</v>
      </c>
      <c r="G3268" t="s">
        <v>39</v>
      </c>
      <c r="H3268" t="s">
        <v>36</v>
      </c>
      <c r="I3268" t="s">
        <v>40</v>
      </c>
      <c r="J3268" t="s">
        <v>27</v>
      </c>
      <c r="K3268" t="s">
        <v>32</v>
      </c>
      <c r="L3268" s="2">
        <v>7.3</v>
      </c>
      <c r="M3268" s="3">
        <v>196</v>
      </c>
      <c r="N3268">
        <v>1</v>
      </c>
      <c r="O3268">
        <v>1</v>
      </c>
      <c r="P3268">
        <v>1</v>
      </c>
      <c r="Q3268">
        <v>0</v>
      </c>
      <c r="R3268" s="4">
        <v>21.13</v>
      </c>
      <c r="S3268">
        <v>0</v>
      </c>
      <c r="T3268">
        <v>1</v>
      </c>
    </row>
    <row r="3269" spans="1:20" ht="16.5" x14ac:dyDescent="0.3">
      <c r="A3269" t="s">
        <v>3323</v>
      </c>
      <c r="B3269" s="1">
        <v>45751</v>
      </c>
      <c r="C3269">
        <v>2025</v>
      </c>
      <c r="D3269" t="s">
        <v>649</v>
      </c>
      <c r="E3269" t="s">
        <v>650</v>
      </c>
      <c r="F3269" t="s">
        <v>34</v>
      </c>
      <c r="G3269" t="s">
        <v>39</v>
      </c>
      <c r="H3269" t="s">
        <v>25</v>
      </c>
      <c r="I3269" t="s">
        <v>40</v>
      </c>
      <c r="J3269" t="s">
        <v>41</v>
      </c>
      <c r="K3269" t="s">
        <v>32</v>
      </c>
      <c r="L3269" s="2">
        <v>11.8</v>
      </c>
      <c r="M3269" s="3">
        <v>841</v>
      </c>
      <c r="N3269">
        <v>2</v>
      </c>
      <c r="O3269">
        <v>3</v>
      </c>
      <c r="P3269">
        <v>0</v>
      </c>
      <c r="Q3269">
        <v>1</v>
      </c>
      <c r="R3269" s="4">
        <v>58.69</v>
      </c>
      <c r="S3269">
        <v>0</v>
      </c>
      <c r="T3269">
        <v>1</v>
      </c>
    </row>
    <row r="3270" spans="1:20" ht="16.5" x14ac:dyDescent="0.3">
      <c r="A3270" t="s">
        <v>3324</v>
      </c>
      <c r="B3270" s="1">
        <v>45751</v>
      </c>
      <c r="C3270">
        <v>2025</v>
      </c>
      <c r="D3270" t="s">
        <v>649</v>
      </c>
      <c r="E3270" t="s">
        <v>650</v>
      </c>
      <c r="F3270" t="s">
        <v>57</v>
      </c>
      <c r="G3270" t="s">
        <v>24</v>
      </c>
      <c r="H3270" t="s">
        <v>43</v>
      </c>
      <c r="I3270" t="s">
        <v>26</v>
      </c>
      <c r="J3270" t="s">
        <v>27</v>
      </c>
      <c r="K3270" t="s">
        <v>32</v>
      </c>
      <c r="L3270" s="2">
        <v>28</v>
      </c>
      <c r="M3270" s="3">
        <v>1316</v>
      </c>
      <c r="N3270">
        <v>5</v>
      </c>
      <c r="O3270">
        <v>5</v>
      </c>
      <c r="P3270">
        <v>1</v>
      </c>
      <c r="Q3270">
        <v>0</v>
      </c>
      <c r="R3270" s="4">
        <v>38.99</v>
      </c>
      <c r="S3270">
        <v>0</v>
      </c>
      <c r="T3270">
        <v>1</v>
      </c>
    </row>
    <row r="3271" spans="1:20" ht="16.5" x14ac:dyDescent="0.3">
      <c r="A3271" t="s">
        <v>3325</v>
      </c>
      <c r="B3271" s="1">
        <v>45751</v>
      </c>
      <c r="C3271">
        <v>2025</v>
      </c>
      <c r="D3271" t="s">
        <v>649</v>
      </c>
      <c r="E3271" t="s">
        <v>650</v>
      </c>
      <c r="F3271" t="s">
        <v>57</v>
      </c>
      <c r="G3271" t="s">
        <v>35</v>
      </c>
      <c r="H3271" t="s">
        <v>48</v>
      </c>
      <c r="I3271" t="s">
        <v>31</v>
      </c>
      <c r="J3271" t="s">
        <v>27</v>
      </c>
      <c r="K3271" t="s">
        <v>32</v>
      </c>
      <c r="L3271" s="2">
        <v>2.6</v>
      </c>
      <c r="M3271" s="3">
        <v>453</v>
      </c>
      <c r="N3271">
        <v>6</v>
      </c>
      <c r="O3271">
        <v>5</v>
      </c>
      <c r="P3271">
        <v>1</v>
      </c>
      <c r="Q3271">
        <v>0</v>
      </c>
      <c r="R3271" s="4">
        <v>9.02</v>
      </c>
      <c r="S3271">
        <v>0</v>
      </c>
      <c r="T3271">
        <v>1</v>
      </c>
    </row>
    <row r="3272" spans="1:20" ht="16.5" x14ac:dyDescent="0.3">
      <c r="A3272" t="s">
        <v>3326</v>
      </c>
      <c r="B3272" s="1">
        <v>45751</v>
      </c>
      <c r="C3272">
        <v>2025</v>
      </c>
      <c r="D3272" t="s">
        <v>649</v>
      </c>
      <c r="E3272" t="s">
        <v>650</v>
      </c>
      <c r="F3272" t="s">
        <v>57</v>
      </c>
      <c r="G3272" t="s">
        <v>24</v>
      </c>
      <c r="H3272" t="s">
        <v>43</v>
      </c>
      <c r="I3272" t="s">
        <v>26</v>
      </c>
      <c r="J3272" t="s">
        <v>27</v>
      </c>
      <c r="K3272" t="s">
        <v>32</v>
      </c>
      <c r="L3272" s="2">
        <v>6.3</v>
      </c>
      <c r="M3272" s="3">
        <v>959</v>
      </c>
      <c r="N3272">
        <v>5</v>
      </c>
      <c r="O3272">
        <v>7</v>
      </c>
      <c r="P3272">
        <v>0</v>
      </c>
      <c r="Q3272">
        <v>2</v>
      </c>
      <c r="R3272" s="4">
        <v>21.62</v>
      </c>
      <c r="S3272">
        <v>0</v>
      </c>
      <c r="T3272">
        <v>1</v>
      </c>
    </row>
    <row r="3273" spans="1:20" ht="16.5" x14ac:dyDescent="0.3">
      <c r="A3273" t="s">
        <v>3327</v>
      </c>
      <c r="B3273" s="1">
        <v>45751</v>
      </c>
      <c r="C3273">
        <v>2025</v>
      </c>
      <c r="D3273" t="s">
        <v>649</v>
      </c>
      <c r="E3273" t="s">
        <v>650</v>
      </c>
      <c r="F3273" t="s">
        <v>23</v>
      </c>
      <c r="G3273" t="s">
        <v>35</v>
      </c>
      <c r="H3273" t="s">
        <v>25</v>
      </c>
      <c r="I3273" t="s">
        <v>31</v>
      </c>
      <c r="J3273" t="s">
        <v>27</v>
      </c>
      <c r="K3273" t="s">
        <v>32</v>
      </c>
      <c r="L3273" s="2">
        <v>21.6</v>
      </c>
      <c r="M3273" s="3">
        <v>772</v>
      </c>
      <c r="N3273">
        <v>6</v>
      </c>
      <c r="O3273">
        <v>6</v>
      </c>
      <c r="P3273">
        <v>1</v>
      </c>
      <c r="Q3273">
        <v>0</v>
      </c>
      <c r="R3273" s="4">
        <v>19.600000000000001</v>
      </c>
      <c r="S3273">
        <v>0</v>
      </c>
      <c r="T3273">
        <v>1</v>
      </c>
    </row>
    <row r="3274" spans="1:20" ht="16.5" x14ac:dyDescent="0.3">
      <c r="A3274" t="s">
        <v>3328</v>
      </c>
      <c r="B3274" s="1">
        <v>45751</v>
      </c>
      <c r="C3274">
        <v>2025</v>
      </c>
      <c r="D3274" t="s">
        <v>649</v>
      </c>
      <c r="E3274" t="s">
        <v>650</v>
      </c>
      <c r="F3274" t="s">
        <v>38</v>
      </c>
      <c r="G3274" t="s">
        <v>39</v>
      </c>
      <c r="H3274" t="s">
        <v>43</v>
      </c>
      <c r="I3274" t="s">
        <v>40</v>
      </c>
      <c r="J3274" t="s">
        <v>41</v>
      </c>
      <c r="K3274" t="s">
        <v>28</v>
      </c>
      <c r="L3274" s="2">
        <v>52.6</v>
      </c>
      <c r="M3274" s="3">
        <v>1149</v>
      </c>
      <c r="N3274">
        <v>3</v>
      </c>
      <c r="O3274">
        <v>3</v>
      </c>
      <c r="P3274">
        <v>1</v>
      </c>
      <c r="Q3274">
        <v>0</v>
      </c>
      <c r="R3274" s="4">
        <v>143.96</v>
      </c>
      <c r="S3274">
        <v>0</v>
      </c>
      <c r="T3274">
        <v>1</v>
      </c>
    </row>
    <row r="3275" spans="1:20" ht="16.5" x14ac:dyDescent="0.3">
      <c r="A3275" t="s">
        <v>3329</v>
      </c>
      <c r="B3275" s="1">
        <v>45752</v>
      </c>
      <c r="C3275">
        <v>2025</v>
      </c>
      <c r="D3275" t="s">
        <v>649</v>
      </c>
      <c r="E3275" t="s">
        <v>650</v>
      </c>
      <c r="F3275" t="s">
        <v>57</v>
      </c>
      <c r="G3275" t="s">
        <v>39</v>
      </c>
      <c r="H3275" t="s">
        <v>43</v>
      </c>
      <c r="I3275" t="s">
        <v>31</v>
      </c>
      <c r="J3275" t="s">
        <v>27</v>
      </c>
      <c r="K3275" t="s">
        <v>32</v>
      </c>
      <c r="L3275" s="2">
        <v>5.0999999999999996</v>
      </c>
      <c r="M3275" s="3">
        <v>1048</v>
      </c>
      <c r="N3275">
        <v>7</v>
      </c>
      <c r="O3275">
        <v>6</v>
      </c>
      <c r="P3275">
        <v>1</v>
      </c>
      <c r="Q3275">
        <v>0</v>
      </c>
      <c r="R3275" s="4">
        <v>18.29</v>
      </c>
      <c r="S3275">
        <v>0</v>
      </c>
      <c r="T3275">
        <v>1</v>
      </c>
    </row>
    <row r="3276" spans="1:20" ht="16.5" x14ac:dyDescent="0.3">
      <c r="A3276" t="s">
        <v>3330</v>
      </c>
      <c r="B3276" s="1">
        <v>45752</v>
      </c>
      <c r="C3276">
        <v>2025</v>
      </c>
      <c r="D3276" t="s">
        <v>649</v>
      </c>
      <c r="E3276" t="s">
        <v>650</v>
      </c>
      <c r="F3276" t="s">
        <v>23</v>
      </c>
      <c r="G3276" t="s">
        <v>35</v>
      </c>
      <c r="H3276" t="s">
        <v>48</v>
      </c>
      <c r="I3276" t="s">
        <v>26</v>
      </c>
      <c r="J3276" t="s">
        <v>27</v>
      </c>
      <c r="K3276" t="s">
        <v>32</v>
      </c>
      <c r="L3276" s="2">
        <v>2</v>
      </c>
      <c r="M3276" s="3">
        <v>352</v>
      </c>
      <c r="N3276">
        <v>4</v>
      </c>
      <c r="O3276">
        <v>6</v>
      </c>
      <c r="P3276">
        <v>0</v>
      </c>
      <c r="Q3276">
        <v>2</v>
      </c>
      <c r="R3276" s="4">
        <v>12.2</v>
      </c>
      <c r="S3276">
        <v>0</v>
      </c>
      <c r="T3276">
        <v>1</v>
      </c>
    </row>
    <row r="3277" spans="1:20" ht="16.5" x14ac:dyDescent="0.3">
      <c r="A3277" t="s">
        <v>3331</v>
      </c>
      <c r="B3277" s="1">
        <v>45752</v>
      </c>
      <c r="C3277">
        <v>2025</v>
      </c>
      <c r="D3277" t="s">
        <v>649</v>
      </c>
      <c r="E3277" t="s">
        <v>650</v>
      </c>
      <c r="F3277" t="s">
        <v>38</v>
      </c>
      <c r="G3277" t="s">
        <v>39</v>
      </c>
      <c r="H3277" t="s">
        <v>48</v>
      </c>
      <c r="I3277" t="s">
        <v>26</v>
      </c>
      <c r="J3277" t="s">
        <v>27</v>
      </c>
      <c r="K3277" t="s">
        <v>32</v>
      </c>
      <c r="L3277" s="2">
        <v>5</v>
      </c>
      <c r="M3277" s="3">
        <v>419</v>
      </c>
      <c r="N3277">
        <v>4</v>
      </c>
      <c r="O3277">
        <v>4</v>
      </c>
      <c r="P3277">
        <v>1</v>
      </c>
      <c r="Q3277">
        <v>0</v>
      </c>
      <c r="R3277" s="4">
        <v>17.309999999999999</v>
      </c>
      <c r="S3277">
        <v>0</v>
      </c>
      <c r="T3277">
        <v>1</v>
      </c>
    </row>
    <row r="3278" spans="1:20" ht="16.5" x14ac:dyDescent="0.3">
      <c r="A3278" t="s">
        <v>3332</v>
      </c>
      <c r="B3278" s="1">
        <v>45752</v>
      </c>
      <c r="C3278">
        <v>2025</v>
      </c>
      <c r="D3278" t="s">
        <v>649</v>
      </c>
      <c r="E3278" t="s">
        <v>650</v>
      </c>
      <c r="F3278" t="s">
        <v>57</v>
      </c>
      <c r="G3278" t="s">
        <v>39</v>
      </c>
      <c r="H3278" t="s">
        <v>25</v>
      </c>
      <c r="I3278" t="s">
        <v>26</v>
      </c>
      <c r="J3278" t="s">
        <v>27</v>
      </c>
      <c r="K3278" t="s">
        <v>32</v>
      </c>
      <c r="L3278" s="2">
        <v>3.6</v>
      </c>
      <c r="M3278" s="3">
        <v>902</v>
      </c>
      <c r="N3278">
        <v>4</v>
      </c>
      <c r="O3278">
        <v>4</v>
      </c>
      <c r="P3278">
        <v>1</v>
      </c>
      <c r="Q3278">
        <v>0</v>
      </c>
      <c r="R3278" s="4">
        <v>19.079999999999998</v>
      </c>
      <c r="S3278">
        <v>0</v>
      </c>
      <c r="T3278">
        <v>1</v>
      </c>
    </row>
    <row r="3279" spans="1:20" ht="16.5" x14ac:dyDescent="0.3">
      <c r="A3279" t="s">
        <v>3333</v>
      </c>
      <c r="B3279" s="1">
        <v>45753</v>
      </c>
      <c r="C3279">
        <v>2025</v>
      </c>
      <c r="D3279" t="s">
        <v>649</v>
      </c>
      <c r="E3279" t="s">
        <v>650</v>
      </c>
      <c r="F3279" t="s">
        <v>57</v>
      </c>
      <c r="G3279" t="s">
        <v>24</v>
      </c>
      <c r="H3279" t="s">
        <v>36</v>
      </c>
      <c r="I3279" t="s">
        <v>31</v>
      </c>
      <c r="J3279" t="s">
        <v>27</v>
      </c>
      <c r="K3279" t="s">
        <v>32</v>
      </c>
      <c r="L3279" s="2">
        <v>5.3</v>
      </c>
      <c r="M3279" s="3">
        <v>300</v>
      </c>
      <c r="N3279">
        <v>5</v>
      </c>
      <c r="O3279">
        <v>5</v>
      </c>
      <c r="P3279">
        <v>1</v>
      </c>
      <c r="Q3279">
        <v>0</v>
      </c>
      <c r="R3279" s="4">
        <v>10.37</v>
      </c>
      <c r="S3279">
        <v>0</v>
      </c>
      <c r="T3279">
        <v>1</v>
      </c>
    </row>
    <row r="3280" spans="1:20" ht="16.5" x14ac:dyDescent="0.3">
      <c r="A3280" t="s">
        <v>3334</v>
      </c>
      <c r="B3280" s="1">
        <v>45753</v>
      </c>
      <c r="C3280">
        <v>2025</v>
      </c>
      <c r="D3280" t="s">
        <v>649</v>
      </c>
      <c r="E3280" t="s">
        <v>650</v>
      </c>
      <c r="F3280" t="s">
        <v>30</v>
      </c>
      <c r="G3280" t="s">
        <v>39</v>
      </c>
      <c r="H3280" t="s">
        <v>51</v>
      </c>
      <c r="I3280" t="s">
        <v>40</v>
      </c>
      <c r="J3280" t="s">
        <v>41</v>
      </c>
      <c r="K3280" t="s">
        <v>32</v>
      </c>
      <c r="L3280" s="2">
        <v>6.4</v>
      </c>
      <c r="M3280" s="3">
        <v>1045</v>
      </c>
      <c r="N3280">
        <v>3</v>
      </c>
      <c r="O3280">
        <v>3</v>
      </c>
      <c r="P3280">
        <v>1</v>
      </c>
      <c r="Q3280">
        <v>0</v>
      </c>
      <c r="R3280" s="4">
        <v>68.8</v>
      </c>
      <c r="S3280">
        <v>0</v>
      </c>
      <c r="T3280">
        <v>1</v>
      </c>
    </row>
    <row r="3281" spans="1:20" ht="16.5" x14ac:dyDescent="0.3">
      <c r="A3281" t="s">
        <v>3335</v>
      </c>
      <c r="B3281" s="1">
        <v>45754</v>
      </c>
      <c r="C3281">
        <v>2025</v>
      </c>
      <c r="D3281" t="s">
        <v>649</v>
      </c>
      <c r="E3281" t="s">
        <v>650</v>
      </c>
      <c r="F3281" t="s">
        <v>34</v>
      </c>
      <c r="G3281" t="s">
        <v>39</v>
      </c>
      <c r="H3281" t="s">
        <v>48</v>
      </c>
      <c r="I3281" t="s">
        <v>26</v>
      </c>
      <c r="J3281" t="s">
        <v>27</v>
      </c>
      <c r="K3281" t="s">
        <v>28</v>
      </c>
      <c r="L3281" s="2">
        <v>79.400000000000006</v>
      </c>
      <c r="M3281" s="3">
        <v>429</v>
      </c>
      <c r="N3281">
        <v>4</v>
      </c>
      <c r="O3281">
        <v>4</v>
      </c>
      <c r="P3281">
        <v>1</v>
      </c>
      <c r="Q3281">
        <v>0</v>
      </c>
      <c r="R3281" s="4">
        <v>38.659999999999997</v>
      </c>
      <c r="S3281">
        <v>0</v>
      </c>
      <c r="T3281">
        <v>1</v>
      </c>
    </row>
    <row r="3282" spans="1:20" ht="16.5" x14ac:dyDescent="0.3">
      <c r="A3282" t="s">
        <v>3336</v>
      </c>
      <c r="B3282" s="1">
        <v>45754</v>
      </c>
      <c r="C3282">
        <v>2025</v>
      </c>
      <c r="D3282" t="s">
        <v>649</v>
      </c>
      <c r="E3282" t="s">
        <v>650</v>
      </c>
      <c r="F3282" t="s">
        <v>38</v>
      </c>
      <c r="G3282" t="s">
        <v>39</v>
      </c>
      <c r="H3282" t="s">
        <v>43</v>
      </c>
      <c r="I3282" t="s">
        <v>26</v>
      </c>
      <c r="J3282" t="s">
        <v>27</v>
      </c>
      <c r="K3282" t="s">
        <v>28</v>
      </c>
      <c r="L3282" s="2">
        <v>98.8</v>
      </c>
      <c r="M3282" s="3">
        <v>1097</v>
      </c>
      <c r="N3282">
        <v>5</v>
      </c>
      <c r="O3282">
        <v>5</v>
      </c>
      <c r="P3282">
        <v>1</v>
      </c>
      <c r="Q3282">
        <v>0</v>
      </c>
      <c r="R3282" s="4">
        <v>65.7</v>
      </c>
      <c r="S3282">
        <v>0</v>
      </c>
      <c r="T3282">
        <v>1</v>
      </c>
    </row>
    <row r="3283" spans="1:20" ht="16.5" x14ac:dyDescent="0.3">
      <c r="A3283" t="s">
        <v>3337</v>
      </c>
      <c r="B3283" s="1">
        <v>45754</v>
      </c>
      <c r="C3283">
        <v>2025</v>
      </c>
      <c r="D3283" t="s">
        <v>649</v>
      </c>
      <c r="E3283" t="s">
        <v>650</v>
      </c>
      <c r="F3283" t="s">
        <v>38</v>
      </c>
      <c r="G3283" t="s">
        <v>39</v>
      </c>
      <c r="H3283" t="s">
        <v>43</v>
      </c>
      <c r="I3283" t="s">
        <v>26</v>
      </c>
      <c r="J3283" t="s">
        <v>27</v>
      </c>
      <c r="K3283" t="s">
        <v>32</v>
      </c>
      <c r="L3283" s="2">
        <v>14.4</v>
      </c>
      <c r="M3283" s="3">
        <v>1366</v>
      </c>
      <c r="N3283">
        <v>5</v>
      </c>
      <c r="O3283">
        <v>5</v>
      </c>
      <c r="P3283">
        <v>1</v>
      </c>
      <c r="Q3283">
        <v>0</v>
      </c>
      <c r="R3283" s="4">
        <v>33.549999999999997</v>
      </c>
      <c r="S3283">
        <v>0</v>
      </c>
      <c r="T3283">
        <v>1</v>
      </c>
    </row>
    <row r="3284" spans="1:20" ht="16.5" x14ac:dyDescent="0.3">
      <c r="A3284" t="s">
        <v>3338</v>
      </c>
      <c r="B3284" s="1">
        <v>45754</v>
      </c>
      <c r="C3284">
        <v>2025</v>
      </c>
      <c r="D3284" t="s">
        <v>649</v>
      </c>
      <c r="E3284" t="s">
        <v>650</v>
      </c>
      <c r="F3284" t="s">
        <v>57</v>
      </c>
      <c r="G3284" t="s">
        <v>35</v>
      </c>
      <c r="H3284" t="s">
        <v>36</v>
      </c>
      <c r="I3284" t="s">
        <v>40</v>
      </c>
      <c r="J3284" t="s">
        <v>27</v>
      </c>
      <c r="K3284" t="s">
        <v>32</v>
      </c>
      <c r="L3284" s="2">
        <v>9.6</v>
      </c>
      <c r="M3284" s="3">
        <v>298</v>
      </c>
      <c r="N3284">
        <v>1</v>
      </c>
      <c r="O3284">
        <v>4</v>
      </c>
      <c r="P3284">
        <v>0</v>
      </c>
      <c r="Q3284">
        <v>3</v>
      </c>
      <c r="R3284" s="4">
        <v>31.32</v>
      </c>
      <c r="S3284">
        <v>0</v>
      </c>
      <c r="T3284">
        <v>1</v>
      </c>
    </row>
    <row r="3285" spans="1:20" ht="16.5" x14ac:dyDescent="0.3">
      <c r="A3285" t="s">
        <v>3339</v>
      </c>
      <c r="B3285" s="1">
        <v>45754</v>
      </c>
      <c r="C3285">
        <v>2025</v>
      </c>
      <c r="D3285" t="s">
        <v>649</v>
      </c>
      <c r="E3285" t="s">
        <v>650</v>
      </c>
      <c r="F3285" t="s">
        <v>30</v>
      </c>
      <c r="G3285" t="s">
        <v>24</v>
      </c>
      <c r="H3285" t="s">
        <v>25</v>
      </c>
      <c r="I3285" t="s">
        <v>40</v>
      </c>
      <c r="J3285" t="s">
        <v>41</v>
      </c>
      <c r="K3285" t="s">
        <v>28</v>
      </c>
      <c r="L3285" s="2">
        <v>121.8</v>
      </c>
      <c r="M3285" s="3">
        <v>947</v>
      </c>
      <c r="N3285">
        <v>2</v>
      </c>
      <c r="O3285">
        <v>2</v>
      </c>
      <c r="P3285">
        <v>1</v>
      </c>
      <c r="Q3285">
        <v>0</v>
      </c>
      <c r="R3285" s="4">
        <v>225.51</v>
      </c>
      <c r="S3285">
        <v>0</v>
      </c>
      <c r="T3285">
        <v>1</v>
      </c>
    </row>
    <row r="3286" spans="1:20" ht="16.5" x14ac:dyDescent="0.3">
      <c r="A3286" t="s">
        <v>3340</v>
      </c>
      <c r="B3286" s="1">
        <v>45754</v>
      </c>
      <c r="C3286">
        <v>2025</v>
      </c>
      <c r="D3286" t="s">
        <v>649</v>
      </c>
      <c r="E3286" t="s">
        <v>650</v>
      </c>
      <c r="F3286" t="s">
        <v>34</v>
      </c>
      <c r="G3286" t="s">
        <v>35</v>
      </c>
      <c r="H3286" t="s">
        <v>25</v>
      </c>
      <c r="I3286" t="s">
        <v>40</v>
      </c>
      <c r="J3286" t="s">
        <v>41</v>
      </c>
      <c r="K3286" t="s">
        <v>32</v>
      </c>
      <c r="L3286" s="2">
        <v>1.8</v>
      </c>
      <c r="M3286" s="3">
        <v>585</v>
      </c>
      <c r="N3286">
        <v>2</v>
      </c>
      <c r="O3286">
        <v>2</v>
      </c>
      <c r="P3286">
        <v>1</v>
      </c>
      <c r="Q3286">
        <v>0</v>
      </c>
      <c r="R3286" s="4">
        <v>40.14</v>
      </c>
      <c r="S3286">
        <v>0</v>
      </c>
      <c r="T3286">
        <v>1</v>
      </c>
    </row>
    <row r="3287" spans="1:20" ht="16.5" x14ac:dyDescent="0.3">
      <c r="A3287" t="s">
        <v>3341</v>
      </c>
      <c r="B3287" s="1">
        <v>45754</v>
      </c>
      <c r="C3287">
        <v>2025</v>
      </c>
      <c r="D3287" t="s">
        <v>649</v>
      </c>
      <c r="E3287" t="s">
        <v>650</v>
      </c>
      <c r="F3287" t="s">
        <v>23</v>
      </c>
      <c r="G3287" t="s">
        <v>39</v>
      </c>
      <c r="H3287" t="s">
        <v>25</v>
      </c>
      <c r="I3287" t="s">
        <v>26</v>
      </c>
      <c r="J3287" t="s">
        <v>27</v>
      </c>
      <c r="K3287" t="s">
        <v>28</v>
      </c>
      <c r="L3287" s="2">
        <v>45.2</v>
      </c>
      <c r="M3287" s="3">
        <v>748</v>
      </c>
      <c r="N3287">
        <v>4</v>
      </c>
      <c r="O3287">
        <v>4</v>
      </c>
      <c r="P3287">
        <v>1</v>
      </c>
      <c r="Q3287">
        <v>0</v>
      </c>
      <c r="R3287" s="4">
        <v>38.4</v>
      </c>
      <c r="S3287">
        <v>0</v>
      </c>
      <c r="T3287">
        <v>1</v>
      </c>
    </row>
    <row r="3288" spans="1:20" ht="16.5" x14ac:dyDescent="0.3">
      <c r="A3288" t="s">
        <v>3342</v>
      </c>
      <c r="B3288" s="1">
        <v>45754</v>
      </c>
      <c r="C3288">
        <v>2025</v>
      </c>
      <c r="D3288" t="s">
        <v>649</v>
      </c>
      <c r="E3288" t="s">
        <v>650</v>
      </c>
      <c r="F3288" t="s">
        <v>30</v>
      </c>
      <c r="G3288" t="s">
        <v>35</v>
      </c>
      <c r="H3288" t="s">
        <v>48</v>
      </c>
      <c r="I3288" t="s">
        <v>31</v>
      </c>
      <c r="J3288" t="s">
        <v>27</v>
      </c>
      <c r="K3288" t="s">
        <v>32</v>
      </c>
      <c r="L3288" s="2">
        <v>4.8</v>
      </c>
      <c r="M3288" s="3">
        <v>462</v>
      </c>
      <c r="N3288">
        <v>6</v>
      </c>
      <c r="O3288">
        <v>5</v>
      </c>
      <c r="P3288">
        <v>1</v>
      </c>
      <c r="Q3288">
        <v>0</v>
      </c>
      <c r="R3288" s="4">
        <v>12.3</v>
      </c>
      <c r="S3288">
        <v>0</v>
      </c>
      <c r="T3288">
        <v>1</v>
      </c>
    </row>
    <row r="3289" spans="1:20" ht="16.5" x14ac:dyDescent="0.3">
      <c r="A3289" t="s">
        <v>3343</v>
      </c>
      <c r="B3289" s="1">
        <v>45754</v>
      </c>
      <c r="C3289">
        <v>2025</v>
      </c>
      <c r="D3289" t="s">
        <v>649</v>
      </c>
      <c r="E3289" t="s">
        <v>650</v>
      </c>
      <c r="F3289" t="s">
        <v>38</v>
      </c>
      <c r="G3289" t="s">
        <v>35</v>
      </c>
      <c r="H3289" t="s">
        <v>36</v>
      </c>
      <c r="I3289" t="s">
        <v>26</v>
      </c>
      <c r="J3289" t="s">
        <v>27</v>
      </c>
      <c r="K3289" t="s">
        <v>28</v>
      </c>
      <c r="L3289" s="2">
        <v>52.9</v>
      </c>
      <c r="M3289" s="3">
        <v>280</v>
      </c>
      <c r="N3289">
        <v>3</v>
      </c>
      <c r="O3289">
        <v>3</v>
      </c>
      <c r="P3289">
        <v>1</v>
      </c>
      <c r="Q3289">
        <v>0</v>
      </c>
      <c r="R3289" s="4">
        <v>39.69</v>
      </c>
      <c r="S3289">
        <v>0</v>
      </c>
      <c r="T3289">
        <v>1</v>
      </c>
    </row>
    <row r="3290" spans="1:20" ht="16.5" x14ac:dyDescent="0.3">
      <c r="A3290" t="s">
        <v>3344</v>
      </c>
      <c r="B3290" s="1">
        <v>45754</v>
      </c>
      <c r="C3290">
        <v>2025</v>
      </c>
      <c r="D3290" t="s">
        <v>649</v>
      </c>
      <c r="E3290" t="s">
        <v>650</v>
      </c>
      <c r="F3290" t="s">
        <v>30</v>
      </c>
      <c r="G3290" t="s">
        <v>24</v>
      </c>
      <c r="H3290" t="s">
        <v>36</v>
      </c>
      <c r="I3290" t="s">
        <v>26</v>
      </c>
      <c r="J3290" t="s">
        <v>27</v>
      </c>
      <c r="K3290" t="s">
        <v>28</v>
      </c>
      <c r="L3290" s="2">
        <v>88.3</v>
      </c>
      <c r="M3290" s="3">
        <v>259</v>
      </c>
      <c r="N3290">
        <v>3</v>
      </c>
      <c r="O3290">
        <v>2</v>
      </c>
      <c r="P3290">
        <v>1</v>
      </c>
      <c r="Q3290">
        <v>0</v>
      </c>
      <c r="R3290" s="4">
        <v>54.36</v>
      </c>
      <c r="S3290">
        <v>0</v>
      </c>
      <c r="T3290">
        <v>1</v>
      </c>
    </row>
    <row r="3291" spans="1:20" ht="16.5" x14ac:dyDescent="0.3">
      <c r="A3291" t="s">
        <v>3345</v>
      </c>
      <c r="B3291" s="1">
        <v>45754</v>
      </c>
      <c r="C3291">
        <v>2025</v>
      </c>
      <c r="D3291" t="s">
        <v>649</v>
      </c>
      <c r="E3291" t="s">
        <v>650</v>
      </c>
      <c r="F3291" t="s">
        <v>57</v>
      </c>
      <c r="G3291" t="s">
        <v>24</v>
      </c>
      <c r="H3291" t="s">
        <v>36</v>
      </c>
      <c r="I3291" t="s">
        <v>26</v>
      </c>
      <c r="J3291" t="s">
        <v>27</v>
      </c>
      <c r="K3291" t="s">
        <v>28</v>
      </c>
      <c r="L3291" s="2">
        <v>46.4</v>
      </c>
      <c r="M3291" s="3">
        <v>292</v>
      </c>
      <c r="N3291">
        <v>3</v>
      </c>
      <c r="O3291">
        <v>3</v>
      </c>
      <c r="P3291">
        <v>1</v>
      </c>
      <c r="Q3291">
        <v>0</v>
      </c>
      <c r="R3291" s="4">
        <v>34.659999999999997</v>
      </c>
      <c r="S3291">
        <v>0</v>
      </c>
      <c r="T3291">
        <v>1</v>
      </c>
    </row>
    <row r="3292" spans="1:20" ht="16.5" x14ac:dyDescent="0.3">
      <c r="A3292" t="s">
        <v>3346</v>
      </c>
      <c r="B3292" s="1">
        <v>45754</v>
      </c>
      <c r="C3292">
        <v>2025</v>
      </c>
      <c r="D3292" t="s">
        <v>649</v>
      </c>
      <c r="E3292" t="s">
        <v>650</v>
      </c>
      <c r="F3292" t="s">
        <v>34</v>
      </c>
      <c r="G3292" t="s">
        <v>35</v>
      </c>
      <c r="H3292" t="s">
        <v>36</v>
      </c>
      <c r="I3292" t="s">
        <v>31</v>
      </c>
      <c r="J3292" t="s">
        <v>27</v>
      </c>
      <c r="K3292" t="s">
        <v>32</v>
      </c>
      <c r="L3292" s="2">
        <v>2.2000000000000002</v>
      </c>
      <c r="M3292" s="3">
        <v>248</v>
      </c>
      <c r="N3292">
        <v>5</v>
      </c>
      <c r="O3292">
        <v>5</v>
      </c>
      <c r="P3292">
        <v>1</v>
      </c>
      <c r="Q3292">
        <v>0</v>
      </c>
      <c r="R3292" s="4">
        <v>6.37</v>
      </c>
      <c r="S3292">
        <v>0</v>
      </c>
      <c r="T3292">
        <v>1</v>
      </c>
    </row>
    <row r="3293" spans="1:20" ht="16.5" x14ac:dyDescent="0.3">
      <c r="A3293" t="s">
        <v>3347</v>
      </c>
      <c r="B3293" s="1">
        <v>45754</v>
      </c>
      <c r="C3293">
        <v>2025</v>
      </c>
      <c r="D3293" t="s">
        <v>649</v>
      </c>
      <c r="E3293" t="s">
        <v>650</v>
      </c>
      <c r="F3293" t="s">
        <v>23</v>
      </c>
      <c r="G3293" t="s">
        <v>35</v>
      </c>
      <c r="H3293" t="s">
        <v>43</v>
      </c>
      <c r="I3293" t="s">
        <v>40</v>
      </c>
      <c r="J3293" t="s">
        <v>41</v>
      </c>
      <c r="K3293" t="s">
        <v>28</v>
      </c>
      <c r="L3293" s="2">
        <v>15.9</v>
      </c>
      <c r="M3293" s="3">
        <v>968</v>
      </c>
      <c r="N3293">
        <v>3</v>
      </c>
      <c r="O3293">
        <v>2</v>
      </c>
      <c r="P3293">
        <v>1</v>
      </c>
      <c r="Q3293">
        <v>0</v>
      </c>
      <c r="R3293" s="4">
        <v>78.33</v>
      </c>
      <c r="S3293">
        <v>0</v>
      </c>
      <c r="T3293">
        <v>1</v>
      </c>
    </row>
    <row r="3294" spans="1:20" ht="16.5" x14ac:dyDescent="0.3">
      <c r="A3294" t="s">
        <v>3348</v>
      </c>
      <c r="B3294" s="1">
        <v>45754</v>
      </c>
      <c r="C3294">
        <v>2025</v>
      </c>
      <c r="D3294" t="s">
        <v>649</v>
      </c>
      <c r="E3294" t="s">
        <v>650</v>
      </c>
      <c r="F3294" t="s">
        <v>38</v>
      </c>
      <c r="G3294" t="s">
        <v>39</v>
      </c>
      <c r="H3294" t="s">
        <v>43</v>
      </c>
      <c r="I3294" t="s">
        <v>26</v>
      </c>
      <c r="J3294" t="s">
        <v>27</v>
      </c>
      <c r="K3294" t="s">
        <v>32</v>
      </c>
      <c r="L3294" s="2">
        <v>9</v>
      </c>
      <c r="M3294" s="3">
        <v>1262</v>
      </c>
      <c r="N3294">
        <v>5</v>
      </c>
      <c r="O3294">
        <v>5</v>
      </c>
      <c r="P3294">
        <v>1</v>
      </c>
      <c r="Q3294">
        <v>0</v>
      </c>
      <c r="R3294" s="4">
        <v>32.799999999999997</v>
      </c>
      <c r="S3294">
        <v>0</v>
      </c>
      <c r="T3294">
        <v>1</v>
      </c>
    </row>
    <row r="3295" spans="1:20" ht="16.5" x14ac:dyDescent="0.3">
      <c r="A3295" t="s">
        <v>3349</v>
      </c>
      <c r="B3295" s="1">
        <v>45754</v>
      </c>
      <c r="C3295">
        <v>2025</v>
      </c>
      <c r="D3295" t="s">
        <v>649</v>
      </c>
      <c r="E3295" t="s">
        <v>650</v>
      </c>
      <c r="F3295" t="s">
        <v>34</v>
      </c>
      <c r="G3295" t="s">
        <v>39</v>
      </c>
      <c r="H3295" t="s">
        <v>36</v>
      </c>
      <c r="I3295" t="s">
        <v>31</v>
      </c>
      <c r="J3295" t="s">
        <v>27</v>
      </c>
      <c r="K3295" t="s">
        <v>32</v>
      </c>
      <c r="L3295" s="2">
        <v>1.7</v>
      </c>
      <c r="M3295" s="3">
        <v>245</v>
      </c>
      <c r="N3295">
        <v>5</v>
      </c>
      <c r="O3295">
        <v>4</v>
      </c>
      <c r="P3295">
        <v>1</v>
      </c>
      <c r="Q3295">
        <v>0</v>
      </c>
      <c r="R3295" s="4">
        <v>5.97</v>
      </c>
      <c r="S3295">
        <v>0</v>
      </c>
      <c r="T3295">
        <v>1</v>
      </c>
    </row>
    <row r="3296" spans="1:20" ht="16.5" x14ac:dyDescent="0.3">
      <c r="A3296" t="s">
        <v>3350</v>
      </c>
      <c r="B3296" s="1">
        <v>45754</v>
      </c>
      <c r="C3296">
        <v>2025</v>
      </c>
      <c r="D3296" t="s">
        <v>649</v>
      </c>
      <c r="E3296" t="s">
        <v>650</v>
      </c>
      <c r="F3296" t="s">
        <v>23</v>
      </c>
      <c r="G3296" t="s">
        <v>24</v>
      </c>
      <c r="H3296" t="s">
        <v>48</v>
      </c>
      <c r="I3296" t="s">
        <v>31</v>
      </c>
      <c r="J3296" t="s">
        <v>27</v>
      </c>
      <c r="K3296" t="s">
        <v>32</v>
      </c>
      <c r="L3296" s="2">
        <v>5.5</v>
      </c>
      <c r="M3296" s="3">
        <v>447</v>
      </c>
      <c r="N3296">
        <v>6</v>
      </c>
      <c r="O3296">
        <v>5</v>
      </c>
      <c r="P3296">
        <v>1</v>
      </c>
      <c r="Q3296">
        <v>0</v>
      </c>
      <c r="R3296" s="4">
        <v>10.75</v>
      </c>
      <c r="S3296">
        <v>0</v>
      </c>
      <c r="T3296">
        <v>1</v>
      </c>
    </row>
    <row r="3297" spans="1:20" ht="16.5" x14ac:dyDescent="0.3">
      <c r="A3297" t="s">
        <v>3351</v>
      </c>
      <c r="B3297" s="1">
        <v>45755</v>
      </c>
      <c r="C3297">
        <v>2025</v>
      </c>
      <c r="D3297" t="s">
        <v>649</v>
      </c>
      <c r="E3297" t="s">
        <v>650</v>
      </c>
      <c r="F3297" t="s">
        <v>34</v>
      </c>
      <c r="G3297" t="s">
        <v>35</v>
      </c>
      <c r="H3297" t="s">
        <v>51</v>
      </c>
      <c r="I3297" t="s">
        <v>40</v>
      </c>
      <c r="J3297" t="s">
        <v>41</v>
      </c>
      <c r="K3297" t="s">
        <v>32</v>
      </c>
      <c r="L3297" s="2">
        <v>2.2000000000000002</v>
      </c>
      <c r="M3297" s="3">
        <v>987</v>
      </c>
      <c r="N3297">
        <v>3</v>
      </c>
      <c r="O3297">
        <v>3</v>
      </c>
      <c r="P3297">
        <v>1</v>
      </c>
      <c r="Q3297">
        <v>0</v>
      </c>
      <c r="R3297" s="4">
        <v>55.08</v>
      </c>
      <c r="S3297">
        <v>0</v>
      </c>
      <c r="T3297">
        <v>1</v>
      </c>
    </row>
    <row r="3298" spans="1:20" ht="16.5" x14ac:dyDescent="0.3">
      <c r="A3298" t="s">
        <v>3352</v>
      </c>
      <c r="B3298" s="1">
        <v>45755</v>
      </c>
      <c r="C3298">
        <v>2025</v>
      </c>
      <c r="D3298" t="s">
        <v>649</v>
      </c>
      <c r="E3298" t="s">
        <v>650</v>
      </c>
      <c r="F3298" t="s">
        <v>23</v>
      </c>
      <c r="G3298" t="s">
        <v>35</v>
      </c>
      <c r="H3298" t="s">
        <v>48</v>
      </c>
      <c r="I3298" t="s">
        <v>26</v>
      </c>
      <c r="J3298" t="s">
        <v>27</v>
      </c>
      <c r="K3298" t="s">
        <v>32</v>
      </c>
      <c r="L3298" s="2">
        <v>4.8</v>
      </c>
      <c r="M3298" s="3">
        <v>419</v>
      </c>
      <c r="N3298">
        <v>4</v>
      </c>
      <c r="O3298">
        <v>3</v>
      </c>
      <c r="P3298">
        <v>1</v>
      </c>
      <c r="Q3298">
        <v>0</v>
      </c>
      <c r="R3298" s="4">
        <v>12.66</v>
      </c>
      <c r="S3298">
        <v>0</v>
      </c>
      <c r="T3298">
        <v>1</v>
      </c>
    </row>
    <row r="3299" spans="1:20" ht="16.5" x14ac:dyDescent="0.3">
      <c r="A3299" t="s">
        <v>3353</v>
      </c>
      <c r="B3299" s="1">
        <v>45756</v>
      </c>
      <c r="C3299">
        <v>2025</v>
      </c>
      <c r="D3299" t="s">
        <v>649</v>
      </c>
      <c r="E3299" t="s">
        <v>650</v>
      </c>
      <c r="F3299" t="s">
        <v>30</v>
      </c>
      <c r="G3299" t="s">
        <v>39</v>
      </c>
      <c r="H3299" t="s">
        <v>25</v>
      </c>
      <c r="I3299" t="s">
        <v>31</v>
      </c>
      <c r="J3299" t="s">
        <v>27</v>
      </c>
      <c r="K3299" t="s">
        <v>32</v>
      </c>
      <c r="L3299" s="2">
        <v>1.8</v>
      </c>
      <c r="M3299" s="3">
        <v>719</v>
      </c>
      <c r="N3299">
        <v>6</v>
      </c>
      <c r="O3299">
        <v>6</v>
      </c>
      <c r="P3299">
        <v>1</v>
      </c>
      <c r="Q3299">
        <v>0</v>
      </c>
      <c r="R3299" s="4">
        <v>11.56</v>
      </c>
      <c r="S3299">
        <v>0</v>
      </c>
      <c r="T3299">
        <v>1</v>
      </c>
    </row>
    <row r="3300" spans="1:20" ht="16.5" x14ac:dyDescent="0.3">
      <c r="A3300" t="s">
        <v>3354</v>
      </c>
      <c r="B3300" s="1">
        <v>45756</v>
      </c>
      <c r="C3300">
        <v>2025</v>
      </c>
      <c r="D3300" t="s">
        <v>649</v>
      </c>
      <c r="E3300" t="s">
        <v>650</v>
      </c>
      <c r="F3300" t="s">
        <v>34</v>
      </c>
      <c r="G3300" t="s">
        <v>35</v>
      </c>
      <c r="H3300" t="s">
        <v>36</v>
      </c>
      <c r="I3300" t="s">
        <v>40</v>
      </c>
      <c r="J3300" t="s">
        <v>27</v>
      </c>
      <c r="K3300" t="s">
        <v>28</v>
      </c>
      <c r="L3300" s="2">
        <v>142.19999999999999</v>
      </c>
      <c r="M3300" s="3">
        <v>251</v>
      </c>
      <c r="N3300">
        <v>1</v>
      </c>
      <c r="O3300">
        <v>1</v>
      </c>
      <c r="P3300">
        <v>1</v>
      </c>
      <c r="Q3300">
        <v>0</v>
      </c>
      <c r="R3300" s="4">
        <v>110.32</v>
      </c>
      <c r="S3300">
        <v>0</v>
      </c>
      <c r="T3300">
        <v>1</v>
      </c>
    </row>
    <row r="3301" spans="1:20" ht="16.5" x14ac:dyDescent="0.3">
      <c r="A3301" t="s">
        <v>3355</v>
      </c>
      <c r="B3301" s="1">
        <v>45756</v>
      </c>
      <c r="C3301">
        <v>2025</v>
      </c>
      <c r="D3301" t="s">
        <v>649</v>
      </c>
      <c r="E3301" t="s">
        <v>650</v>
      </c>
      <c r="F3301" t="s">
        <v>34</v>
      </c>
      <c r="G3301" t="s">
        <v>39</v>
      </c>
      <c r="H3301" t="s">
        <v>51</v>
      </c>
      <c r="I3301" t="s">
        <v>26</v>
      </c>
      <c r="J3301" t="s">
        <v>27</v>
      </c>
      <c r="K3301" t="s">
        <v>32</v>
      </c>
      <c r="L3301" s="2">
        <v>6.1</v>
      </c>
      <c r="M3301" s="3">
        <v>1044</v>
      </c>
      <c r="N3301">
        <v>5</v>
      </c>
      <c r="O3301">
        <v>5</v>
      </c>
      <c r="P3301">
        <v>1</v>
      </c>
      <c r="Q3301">
        <v>0</v>
      </c>
      <c r="R3301" s="4">
        <v>20.61</v>
      </c>
      <c r="S3301">
        <v>0</v>
      </c>
      <c r="T3301">
        <v>1</v>
      </c>
    </row>
    <row r="3302" spans="1:20" ht="16.5" x14ac:dyDescent="0.3">
      <c r="A3302" t="s">
        <v>3356</v>
      </c>
      <c r="B3302" s="1">
        <v>45756</v>
      </c>
      <c r="C3302">
        <v>2025</v>
      </c>
      <c r="D3302" t="s">
        <v>649</v>
      </c>
      <c r="E3302" t="s">
        <v>650</v>
      </c>
      <c r="F3302" t="s">
        <v>30</v>
      </c>
      <c r="G3302" t="s">
        <v>39</v>
      </c>
      <c r="H3302" t="s">
        <v>43</v>
      </c>
      <c r="I3302" t="s">
        <v>26</v>
      </c>
      <c r="J3302" t="s">
        <v>27</v>
      </c>
      <c r="K3302" t="s">
        <v>32</v>
      </c>
      <c r="L3302" s="2">
        <v>7.1</v>
      </c>
      <c r="M3302" s="3">
        <v>1003</v>
      </c>
      <c r="N3302">
        <v>5</v>
      </c>
      <c r="O3302">
        <v>5</v>
      </c>
      <c r="P3302">
        <v>1</v>
      </c>
      <c r="Q3302">
        <v>0</v>
      </c>
      <c r="R3302" s="4">
        <v>21.78</v>
      </c>
      <c r="S3302">
        <v>0</v>
      </c>
      <c r="T3302">
        <v>1</v>
      </c>
    </row>
    <row r="3303" spans="1:20" ht="16.5" x14ac:dyDescent="0.3">
      <c r="A3303" t="s">
        <v>3357</v>
      </c>
      <c r="B3303" s="1">
        <v>45756</v>
      </c>
      <c r="C3303">
        <v>2025</v>
      </c>
      <c r="D3303" t="s">
        <v>649</v>
      </c>
      <c r="E3303" t="s">
        <v>650</v>
      </c>
      <c r="F3303" t="s">
        <v>30</v>
      </c>
      <c r="G3303" t="s">
        <v>39</v>
      </c>
      <c r="H3303" t="s">
        <v>25</v>
      </c>
      <c r="I3303" t="s">
        <v>40</v>
      </c>
      <c r="J3303" t="s">
        <v>41</v>
      </c>
      <c r="K3303" t="s">
        <v>28</v>
      </c>
      <c r="L3303" s="2">
        <v>39.700000000000003</v>
      </c>
      <c r="M3303" s="3">
        <v>677</v>
      </c>
      <c r="N3303">
        <v>2</v>
      </c>
      <c r="O3303">
        <v>1</v>
      </c>
      <c r="P3303">
        <v>1</v>
      </c>
      <c r="Q3303">
        <v>0</v>
      </c>
      <c r="R3303" s="4">
        <v>103.25</v>
      </c>
      <c r="S3303">
        <v>0</v>
      </c>
      <c r="T3303">
        <v>1</v>
      </c>
    </row>
    <row r="3304" spans="1:20" ht="16.5" x14ac:dyDescent="0.3">
      <c r="A3304" t="s">
        <v>3358</v>
      </c>
      <c r="B3304" s="1">
        <v>45756</v>
      </c>
      <c r="C3304">
        <v>2025</v>
      </c>
      <c r="D3304" t="s">
        <v>649</v>
      </c>
      <c r="E3304" t="s">
        <v>650</v>
      </c>
      <c r="F3304" t="s">
        <v>34</v>
      </c>
      <c r="G3304" t="s">
        <v>24</v>
      </c>
      <c r="H3304" t="s">
        <v>51</v>
      </c>
      <c r="I3304" t="s">
        <v>26</v>
      </c>
      <c r="J3304" t="s">
        <v>27</v>
      </c>
      <c r="K3304" t="s">
        <v>28</v>
      </c>
      <c r="L3304" s="2">
        <v>131.4</v>
      </c>
      <c r="M3304" s="3">
        <v>993</v>
      </c>
      <c r="N3304">
        <v>5</v>
      </c>
      <c r="O3304">
        <v>5</v>
      </c>
      <c r="P3304">
        <v>1</v>
      </c>
      <c r="Q3304">
        <v>0</v>
      </c>
      <c r="R3304" s="4">
        <v>57.88</v>
      </c>
      <c r="S3304">
        <v>0</v>
      </c>
      <c r="T3304">
        <v>1</v>
      </c>
    </row>
    <row r="3305" spans="1:20" ht="16.5" x14ac:dyDescent="0.3">
      <c r="A3305" t="s">
        <v>3359</v>
      </c>
      <c r="B3305" s="1">
        <v>45756</v>
      </c>
      <c r="C3305">
        <v>2025</v>
      </c>
      <c r="D3305" t="s">
        <v>649</v>
      </c>
      <c r="E3305" t="s">
        <v>650</v>
      </c>
      <c r="F3305" t="s">
        <v>34</v>
      </c>
      <c r="G3305" t="s">
        <v>39</v>
      </c>
      <c r="H3305" t="s">
        <v>48</v>
      </c>
      <c r="I3305" t="s">
        <v>31</v>
      </c>
      <c r="J3305" t="s">
        <v>27</v>
      </c>
      <c r="K3305" t="s">
        <v>32</v>
      </c>
      <c r="L3305" s="2">
        <v>13.1</v>
      </c>
      <c r="M3305" s="3">
        <v>599</v>
      </c>
      <c r="N3305">
        <v>6</v>
      </c>
      <c r="O3305">
        <v>6</v>
      </c>
      <c r="P3305">
        <v>1</v>
      </c>
      <c r="Q3305">
        <v>0</v>
      </c>
      <c r="R3305" s="4">
        <v>13.4</v>
      </c>
      <c r="S3305">
        <v>0</v>
      </c>
      <c r="T3305">
        <v>1</v>
      </c>
    </row>
    <row r="3306" spans="1:20" ht="16.5" x14ac:dyDescent="0.3">
      <c r="A3306" t="s">
        <v>3360</v>
      </c>
      <c r="B3306" s="1">
        <v>45756</v>
      </c>
      <c r="C3306">
        <v>2025</v>
      </c>
      <c r="D3306" t="s">
        <v>649</v>
      </c>
      <c r="E3306" t="s">
        <v>650</v>
      </c>
      <c r="F3306" t="s">
        <v>23</v>
      </c>
      <c r="G3306" t="s">
        <v>39</v>
      </c>
      <c r="H3306" t="s">
        <v>48</v>
      </c>
      <c r="I3306" t="s">
        <v>40</v>
      </c>
      <c r="J3306" t="s">
        <v>27</v>
      </c>
      <c r="K3306" t="s">
        <v>28</v>
      </c>
      <c r="L3306" s="2">
        <v>109.6</v>
      </c>
      <c r="M3306" s="3">
        <v>596</v>
      </c>
      <c r="N3306">
        <v>2</v>
      </c>
      <c r="O3306">
        <v>1</v>
      </c>
      <c r="P3306">
        <v>1</v>
      </c>
      <c r="Q3306">
        <v>0</v>
      </c>
      <c r="R3306" s="4">
        <v>108.11</v>
      </c>
      <c r="S3306">
        <v>0</v>
      </c>
      <c r="T3306">
        <v>1</v>
      </c>
    </row>
    <row r="3307" spans="1:20" ht="16.5" x14ac:dyDescent="0.3">
      <c r="A3307" t="s">
        <v>3361</v>
      </c>
      <c r="B3307" s="1">
        <v>45757</v>
      </c>
      <c r="C3307">
        <v>2025</v>
      </c>
      <c r="D3307" t="s">
        <v>649</v>
      </c>
      <c r="E3307" t="s">
        <v>650</v>
      </c>
      <c r="F3307" t="s">
        <v>23</v>
      </c>
      <c r="G3307" t="s">
        <v>39</v>
      </c>
      <c r="H3307" t="s">
        <v>48</v>
      </c>
      <c r="I3307" t="s">
        <v>31</v>
      </c>
      <c r="J3307" t="s">
        <v>27</v>
      </c>
      <c r="K3307" t="s">
        <v>28</v>
      </c>
      <c r="L3307" s="2">
        <v>39.299999999999997</v>
      </c>
      <c r="M3307" s="3">
        <v>367</v>
      </c>
      <c r="N3307">
        <v>6</v>
      </c>
      <c r="O3307">
        <v>5</v>
      </c>
      <c r="P3307">
        <v>1</v>
      </c>
      <c r="Q3307">
        <v>0</v>
      </c>
      <c r="R3307" s="4">
        <v>21.86</v>
      </c>
      <c r="S3307">
        <v>0</v>
      </c>
      <c r="T3307">
        <v>1</v>
      </c>
    </row>
    <row r="3308" spans="1:20" ht="16.5" x14ac:dyDescent="0.3">
      <c r="A3308" t="s">
        <v>3362</v>
      </c>
      <c r="B3308" s="1">
        <v>45757</v>
      </c>
      <c r="C3308">
        <v>2025</v>
      </c>
      <c r="D3308" t="s">
        <v>649</v>
      </c>
      <c r="E3308" t="s">
        <v>650</v>
      </c>
      <c r="F3308" t="s">
        <v>30</v>
      </c>
      <c r="G3308" t="s">
        <v>39</v>
      </c>
      <c r="H3308" t="s">
        <v>43</v>
      </c>
      <c r="I3308" t="s">
        <v>31</v>
      </c>
      <c r="J3308" t="s">
        <v>27</v>
      </c>
      <c r="K3308" t="s">
        <v>32</v>
      </c>
      <c r="L3308" s="2">
        <v>5.0999999999999996</v>
      </c>
      <c r="M3308" s="3">
        <v>1141</v>
      </c>
      <c r="N3308">
        <v>7</v>
      </c>
      <c r="O3308">
        <v>7</v>
      </c>
      <c r="P3308">
        <v>1</v>
      </c>
      <c r="Q3308">
        <v>0</v>
      </c>
      <c r="R3308" s="4">
        <v>19.39</v>
      </c>
      <c r="S3308">
        <v>0</v>
      </c>
      <c r="T3308">
        <v>1</v>
      </c>
    </row>
    <row r="3309" spans="1:20" ht="16.5" x14ac:dyDescent="0.3">
      <c r="A3309" t="s">
        <v>3363</v>
      </c>
      <c r="B3309" s="1">
        <v>45757</v>
      </c>
      <c r="C3309">
        <v>2025</v>
      </c>
      <c r="D3309" t="s">
        <v>649</v>
      </c>
      <c r="E3309" t="s">
        <v>650</v>
      </c>
      <c r="F3309" t="s">
        <v>30</v>
      </c>
      <c r="G3309" t="s">
        <v>24</v>
      </c>
      <c r="H3309" t="s">
        <v>25</v>
      </c>
      <c r="I3309" t="s">
        <v>26</v>
      </c>
      <c r="J3309" t="s">
        <v>27</v>
      </c>
      <c r="K3309" t="s">
        <v>28</v>
      </c>
      <c r="L3309" s="2">
        <v>418.5</v>
      </c>
      <c r="M3309" s="3">
        <v>692</v>
      </c>
      <c r="N3309">
        <v>4</v>
      </c>
      <c r="O3309">
        <v>3</v>
      </c>
      <c r="P3309">
        <v>1</v>
      </c>
      <c r="Q3309">
        <v>0</v>
      </c>
      <c r="R3309" s="4">
        <v>175.91</v>
      </c>
      <c r="S3309">
        <v>0</v>
      </c>
      <c r="T3309">
        <v>1</v>
      </c>
    </row>
    <row r="3310" spans="1:20" ht="16.5" x14ac:dyDescent="0.3">
      <c r="A3310" t="s">
        <v>3364</v>
      </c>
      <c r="B3310" s="1">
        <v>45757</v>
      </c>
      <c r="C3310">
        <v>2025</v>
      </c>
      <c r="D3310" t="s">
        <v>649</v>
      </c>
      <c r="E3310" t="s">
        <v>650</v>
      </c>
      <c r="F3310" t="s">
        <v>38</v>
      </c>
      <c r="G3310" t="s">
        <v>24</v>
      </c>
      <c r="H3310" t="s">
        <v>36</v>
      </c>
      <c r="I3310" t="s">
        <v>40</v>
      </c>
      <c r="J3310" t="s">
        <v>27</v>
      </c>
      <c r="K3310" t="s">
        <v>32</v>
      </c>
      <c r="L3310" s="2">
        <v>7.1</v>
      </c>
      <c r="M3310" s="3">
        <v>317</v>
      </c>
      <c r="N3310">
        <v>1</v>
      </c>
      <c r="O3310">
        <v>1</v>
      </c>
      <c r="P3310">
        <v>1</v>
      </c>
      <c r="Q3310">
        <v>0</v>
      </c>
      <c r="R3310" s="4">
        <v>27.46</v>
      </c>
      <c r="S3310">
        <v>0</v>
      </c>
      <c r="T3310">
        <v>1</v>
      </c>
    </row>
    <row r="3311" spans="1:20" ht="16.5" x14ac:dyDescent="0.3">
      <c r="A3311" t="s">
        <v>3365</v>
      </c>
      <c r="B3311" s="1">
        <v>45758</v>
      </c>
      <c r="C3311">
        <v>2025</v>
      </c>
      <c r="D3311" t="s">
        <v>649</v>
      </c>
      <c r="E3311" t="s">
        <v>650</v>
      </c>
      <c r="F3311" t="s">
        <v>38</v>
      </c>
      <c r="G3311" t="s">
        <v>35</v>
      </c>
      <c r="H3311" t="s">
        <v>25</v>
      </c>
      <c r="I3311" t="s">
        <v>40</v>
      </c>
      <c r="J3311" t="s">
        <v>41</v>
      </c>
      <c r="K3311" t="s">
        <v>28</v>
      </c>
      <c r="L3311" s="2">
        <v>59</v>
      </c>
      <c r="M3311" s="3">
        <v>931</v>
      </c>
      <c r="N3311">
        <v>2</v>
      </c>
      <c r="O3311">
        <v>2</v>
      </c>
      <c r="P3311">
        <v>1</v>
      </c>
      <c r="Q3311">
        <v>0</v>
      </c>
      <c r="R3311" s="4">
        <v>164.79</v>
      </c>
      <c r="S3311">
        <v>0</v>
      </c>
      <c r="T3311">
        <v>1</v>
      </c>
    </row>
    <row r="3312" spans="1:20" ht="16.5" x14ac:dyDescent="0.3">
      <c r="A3312" t="s">
        <v>3366</v>
      </c>
      <c r="B3312" s="1">
        <v>45758</v>
      </c>
      <c r="C3312">
        <v>2025</v>
      </c>
      <c r="D3312" t="s">
        <v>649</v>
      </c>
      <c r="E3312" t="s">
        <v>650</v>
      </c>
      <c r="F3312" t="s">
        <v>57</v>
      </c>
      <c r="G3312" t="s">
        <v>39</v>
      </c>
      <c r="H3312" t="s">
        <v>43</v>
      </c>
      <c r="I3312" t="s">
        <v>26</v>
      </c>
      <c r="J3312" t="s">
        <v>27</v>
      </c>
      <c r="K3312" t="s">
        <v>32</v>
      </c>
      <c r="L3312" s="2">
        <v>3</v>
      </c>
      <c r="M3312" s="3">
        <v>1130</v>
      </c>
      <c r="N3312">
        <v>5</v>
      </c>
      <c r="O3312">
        <v>5</v>
      </c>
      <c r="P3312">
        <v>1</v>
      </c>
      <c r="Q3312">
        <v>0</v>
      </c>
      <c r="R3312" s="4">
        <v>23.17</v>
      </c>
      <c r="S3312">
        <v>0</v>
      </c>
      <c r="T3312">
        <v>1</v>
      </c>
    </row>
    <row r="3313" spans="1:20" ht="16.5" x14ac:dyDescent="0.3">
      <c r="A3313" t="s">
        <v>3367</v>
      </c>
      <c r="B3313" s="1">
        <v>45758</v>
      </c>
      <c r="C3313">
        <v>2025</v>
      </c>
      <c r="D3313" t="s">
        <v>649</v>
      </c>
      <c r="E3313" t="s">
        <v>650</v>
      </c>
      <c r="F3313" t="s">
        <v>34</v>
      </c>
      <c r="G3313" t="s">
        <v>24</v>
      </c>
      <c r="H3313" t="s">
        <v>25</v>
      </c>
      <c r="I3313" t="s">
        <v>40</v>
      </c>
      <c r="J3313" t="s">
        <v>41</v>
      </c>
      <c r="K3313" t="s">
        <v>32</v>
      </c>
      <c r="L3313" s="2">
        <v>2.1</v>
      </c>
      <c r="M3313" s="3">
        <v>855</v>
      </c>
      <c r="N3313">
        <v>2</v>
      </c>
      <c r="O3313">
        <v>2</v>
      </c>
      <c r="P3313">
        <v>1</v>
      </c>
      <c r="Q3313">
        <v>0</v>
      </c>
      <c r="R3313" s="4">
        <v>48.5</v>
      </c>
      <c r="S3313">
        <v>0</v>
      </c>
      <c r="T3313">
        <v>1</v>
      </c>
    </row>
    <row r="3314" spans="1:20" ht="16.5" x14ac:dyDescent="0.3">
      <c r="A3314" t="s">
        <v>3368</v>
      </c>
      <c r="B3314" s="1">
        <v>45758</v>
      </c>
      <c r="C3314">
        <v>2025</v>
      </c>
      <c r="D3314" t="s">
        <v>649</v>
      </c>
      <c r="E3314" t="s">
        <v>650</v>
      </c>
      <c r="F3314" t="s">
        <v>23</v>
      </c>
      <c r="G3314" t="s">
        <v>39</v>
      </c>
      <c r="H3314" t="s">
        <v>36</v>
      </c>
      <c r="I3314" t="s">
        <v>26</v>
      </c>
      <c r="J3314" t="s">
        <v>27</v>
      </c>
      <c r="K3314" t="s">
        <v>32</v>
      </c>
      <c r="L3314" s="2">
        <v>4.5999999999999996</v>
      </c>
      <c r="M3314" s="3">
        <v>225</v>
      </c>
      <c r="N3314">
        <v>3</v>
      </c>
      <c r="O3314">
        <v>3</v>
      </c>
      <c r="P3314">
        <v>1</v>
      </c>
      <c r="Q3314">
        <v>0</v>
      </c>
      <c r="R3314" s="4">
        <v>12.87</v>
      </c>
      <c r="S3314">
        <v>0</v>
      </c>
      <c r="T3314">
        <v>1</v>
      </c>
    </row>
    <row r="3315" spans="1:20" ht="16.5" x14ac:dyDescent="0.3">
      <c r="A3315" t="s">
        <v>3369</v>
      </c>
      <c r="B3315" s="1">
        <v>45758</v>
      </c>
      <c r="C3315">
        <v>2025</v>
      </c>
      <c r="D3315" t="s">
        <v>649</v>
      </c>
      <c r="E3315" t="s">
        <v>650</v>
      </c>
      <c r="F3315" t="s">
        <v>34</v>
      </c>
      <c r="G3315" t="s">
        <v>35</v>
      </c>
      <c r="H3315" t="s">
        <v>51</v>
      </c>
      <c r="I3315" t="s">
        <v>31</v>
      </c>
      <c r="J3315" t="s">
        <v>27</v>
      </c>
      <c r="K3315" t="s">
        <v>32</v>
      </c>
      <c r="L3315" s="2">
        <v>12.4</v>
      </c>
      <c r="M3315" s="3">
        <v>1165</v>
      </c>
      <c r="N3315">
        <v>7</v>
      </c>
      <c r="O3315">
        <v>7</v>
      </c>
      <c r="P3315">
        <v>1</v>
      </c>
      <c r="Q3315">
        <v>0</v>
      </c>
      <c r="R3315" s="4">
        <v>15.84</v>
      </c>
      <c r="S3315">
        <v>0</v>
      </c>
      <c r="T3315">
        <v>1</v>
      </c>
    </row>
    <row r="3316" spans="1:20" ht="16.5" x14ac:dyDescent="0.3">
      <c r="A3316" t="s">
        <v>3370</v>
      </c>
      <c r="B3316" s="1">
        <v>45758</v>
      </c>
      <c r="C3316">
        <v>2025</v>
      </c>
      <c r="D3316" t="s">
        <v>649</v>
      </c>
      <c r="E3316" t="s">
        <v>650</v>
      </c>
      <c r="F3316" t="s">
        <v>57</v>
      </c>
      <c r="G3316" t="s">
        <v>35</v>
      </c>
      <c r="H3316" t="s">
        <v>25</v>
      </c>
      <c r="I3316" t="s">
        <v>26</v>
      </c>
      <c r="J3316" t="s">
        <v>27</v>
      </c>
      <c r="K3316" t="s">
        <v>32</v>
      </c>
      <c r="L3316" s="2">
        <v>3.7</v>
      </c>
      <c r="M3316" s="3">
        <v>1031</v>
      </c>
      <c r="N3316">
        <v>4</v>
      </c>
      <c r="O3316">
        <v>6</v>
      </c>
      <c r="P3316">
        <v>0</v>
      </c>
      <c r="Q3316">
        <v>2</v>
      </c>
      <c r="R3316" s="4">
        <v>23.18</v>
      </c>
      <c r="S3316">
        <v>0</v>
      </c>
      <c r="T3316">
        <v>1</v>
      </c>
    </row>
    <row r="3317" spans="1:20" ht="16.5" x14ac:dyDescent="0.3">
      <c r="A3317" t="s">
        <v>3371</v>
      </c>
      <c r="B3317" s="1">
        <v>45758</v>
      </c>
      <c r="C3317">
        <v>2025</v>
      </c>
      <c r="D3317" t="s">
        <v>649</v>
      </c>
      <c r="E3317" t="s">
        <v>650</v>
      </c>
      <c r="F3317" t="s">
        <v>38</v>
      </c>
      <c r="G3317" t="s">
        <v>24</v>
      </c>
      <c r="H3317" t="s">
        <v>51</v>
      </c>
      <c r="I3317" t="s">
        <v>26</v>
      </c>
      <c r="J3317" t="s">
        <v>27</v>
      </c>
      <c r="K3317" t="s">
        <v>28</v>
      </c>
      <c r="L3317" s="2">
        <v>27</v>
      </c>
      <c r="M3317" s="3">
        <v>836</v>
      </c>
      <c r="N3317">
        <v>5</v>
      </c>
      <c r="O3317">
        <v>5</v>
      </c>
      <c r="P3317">
        <v>1</v>
      </c>
      <c r="Q3317">
        <v>0</v>
      </c>
      <c r="R3317" s="4">
        <v>38.35</v>
      </c>
      <c r="S3317">
        <v>0</v>
      </c>
      <c r="T3317">
        <v>1</v>
      </c>
    </row>
    <row r="3318" spans="1:20" ht="16.5" x14ac:dyDescent="0.3">
      <c r="A3318" t="s">
        <v>3372</v>
      </c>
      <c r="B3318" s="1">
        <v>45758</v>
      </c>
      <c r="C3318">
        <v>2025</v>
      </c>
      <c r="D3318" t="s">
        <v>649</v>
      </c>
      <c r="E3318" t="s">
        <v>650</v>
      </c>
      <c r="F3318" t="s">
        <v>34</v>
      </c>
      <c r="G3318" t="s">
        <v>39</v>
      </c>
      <c r="H3318" t="s">
        <v>25</v>
      </c>
      <c r="I3318" t="s">
        <v>26</v>
      </c>
      <c r="J3318" t="s">
        <v>27</v>
      </c>
      <c r="K3318" t="s">
        <v>28</v>
      </c>
      <c r="L3318" s="2">
        <v>130.19999999999999</v>
      </c>
      <c r="M3318" s="3">
        <v>910</v>
      </c>
      <c r="N3318">
        <v>4</v>
      </c>
      <c r="O3318">
        <v>4</v>
      </c>
      <c r="P3318">
        <v>1</v>
      </c>
      <c r="Q3318">
        <v>0</v>
      </c>
      <c r="R3318" s="4">
        <v>62.68</v>
      </c>
      <c r="S3318">
        <v>0</v>
      </c>
      <c r="T3318">
        <v>1</v>
      </c>
    </row>
    <row r="3319" spans="1:20" ht="16.5" x14ac:dyDescent="0.3">
      <c r="A3319" t="s">
        <v>3373</v>
      </c>
      <c r="B3319" s="1">
        <v>45758</v>
      </c>
      <c r="C3319">
        <v>2025</v>
      </c>
      <c r="D3319" t="s">
        <v>649</v>
      </c>
      <c r="E3319" t="s">
        <v>650</v>
      </c>
      <c r="F3319" t="s">
        <v>23</v>
      </c>
      <c r="G3319" t="s">
        <v>35</v>
      </c>
      <c r="H3319" t="s">
        <v>36</v>
      </c>
      <c r="I3319" t="s">
        <v>26</v>
      </c>
      <c r="J3319" t="s">
        <v>27</v>
      </c>
      <c r="K3319" t="s">
        <v>28</v>
      </c>
      <c r="L3319" s="2">
        <v>146.9</v>
      </c>
      <c r="M3319" s="3">
        <v>259</v>
      </c>
      <c r="N3319">
        <v>3</v>
      </c>
      <c r="O3319">
        <v>3</v>
      </c>
      <c r="P3319">
        <v>1</v>
      </c>
      <c r="Q3319">
        <v>0</v>
      </c>
      <c r="R3319" s="4">
        <v>65.47</v>
      </c>
      <c r="S3319">
        <v>0</v>
      </c>
      <c r="T3319">
        <v>1</v>
      </c>
    </row>
    <row r="3320" spans="1:20" ht="16.5" x14ac:dyDescent="0.3">
      <c r="A3320" t="s">
        <v>3374</v>
      </c>
      <c r="B3320" s="1">
        <v>45758</v>
      </c>
      <c r="C3320">
        <v>2025</v>
      </c>
      <c r="D3320" t="s">
        <v>649</v>
      </c>
      <c r="E3320" t="s">
        <v>650</v>
      </c>
      <c r="F3320" t="s">
        <v>30</v>
      </c>
      <c r="G3320" t="s">
        <v>39</v>
      </c>
      <c r="H3320" t="s">
        <v>43</v>
      </c>
      <c r="I3320" t="s">
        <v>40</v>
      </c>
      <c r="J3320" t="s">
        <v>41</v>
      </c>
      <c r="K3320" t="s">
        <v>32</v>
      </c>
      <c r="L3320" s="2">
        <v>12.5</v>
      </c>
      <c r="M3320" s="3">
        <v>906</v>
      </c>
      <c r="N3320">
        <v>3</v>
      </c>
      <c r="O3320">
        <v>3</v>
      </c>
      <c r="P3320">
        <v>1</v>
      </c>
      <c r="Q3320">
        <v>0</v>
      </c>
      <c r="R3320" s="4">
        <v>71.89</v>
      </c>
      <c r="S3320">
        <v>0</v>
      </c>
      <c r="T3320">
        <v>1</v>
      </c>
    </row>
    <row r="3321" spans="1:20" ht="16.5" x14ac:dyDescent="0.3">
      <c r="A3321" t="s">
        <v>3375</v>
      </c>
      <c r="B3321" s="1">
        <v>45758</v>
      </c>
      <c r="C3321">
        <v>2025</v>
      </c>
      <c r="D3321" t="s">
        <v>649</v>
      </c>
      <c r="E3321" t="s">
        <v>650</v>
      </c>
      <c r="F3321" t="s">
        <v>23</v>
      </c>
      <c r="G3321" t="s">
        <v>24</v>
      </c>
      <c r="H3321" t="s">
        <v>36</v>
      </c>
      <c r="I3321" t="s">
        <v>26</v>
      </c>
      <c r="J3321" t="s">
        <v>27</v>
      </c>
      <c r="K3321" t="s">
        <v>28</v>
      </c>
      <c r="L3321" s="2">
        <v>136.9</v>
      </c>
      <c r="M3321" s="3">
        <v>235</v>
      </c>
      <c r="N3321">
        <v>3</v>
      </c>
      <c r="O3321">
        <v>3</v>
      </c>
      <c r="P3321">
        <v>1</v>
      </c>
      <c r="Q3321">
        <v>0</v>
      </c>
      <c r="R3321" s="4">
        <v>62.58</v>
      </c>
      <c r="S3321">
        <v>0</v>
      </c>
      <c r="T3321">
        <v>1</v>
      </c>
    </row>
    <row r="3322" spans="1:20" ht="16.5" x14ac:dyDescent="0.3">
      <c r="A3322" t="s">
        <v>3376</v>
      </c>
      <c r="B3322" s="1">
        <v>45758</v>
      </c>
      <c r="C3322">
        <v>2025</v>
      </c>
      <c r="D3322" t="s">
        <v>649</v>
      </c>
      <c r="E3322" t="s">
        <v>650</v>
      </c>
      <c r="F3322" t="s">
        <v>38</v>
      </c>
      <c r="G3322" t="s">
        <v>39</v>
      </c>
      <c r="H3322" t="s">
        <v>48</v>
      </c>
      <c r="I3322" t="s">
        <v>26</v>
      </c>
      <c r="J3322" t="s">
        <v>27</v>
      </c>
      <c r="K3322" t="s">
        <v>28</v>
      </c>
      <c r="L3322" s="2">
        <v>182.7</v>
      </c>
      <c r="M3322" s="3">
        <v>362</v>
      </c>
      <c r="N3322">
        <v>4</v>
      </c>
      <c r="O3322">
        <v>4</v>
      </c>
      <c r="P3322">
        <v>1</v>
      </c>
      <c r="Q3322">
        <v>0</v>
      </c>
      <c r="R3322" s="4">
        <v>94.81</v>
      </c>
      <c r="S3322">
        <v>0</v>
      </c>
      <c r="T3322">
        <v>1</v>
      </c>
    </row>
    <row r="3323" spans="1:20" ht="16.5" x14ac:dyDescent="0.3">
      <c r="A3323" t="s">
        <v>3377</v>
      </c>
      <c r="B3323" s="1">
        <v>45758</v>
      </c>
      <c r="C3323">
        <v>2025</v>
      </c>
      <c r="D3323" t="s">
        <v>649</v>
      </c>
      <c r="E3323" t="s">
        <v>650</v>
      </c>
      <c r="F3323" t="s">
        <v>57</v>
      </c>
      <c r="G3323" t="s">
        <v>24</v>
      </c>
      <c r="H3323" t="s">
        <v>25</v>
      </c>
      <c r="I3323" t="s">
        <v>26</v>
      </c>
      <c r="J3323" t="s">
        <v>27</v>
      </c>
      <c r="K3323" t="s">
        <v>32</v>
      </c>
      <c r="L3323" s="2">
        <v>9</v>
      </c>
      <c r="M3323" s="3">
        <v>902</v>
      </c>
      <c r="N3323">
        <v>4</v>
      </c>
      <c r="O3323">
        <v>5</v>
      </c>
      <c r="P3323">
        <v>0</v>
      </c>
      <c r="Q3323">
        <v>1</v>
      </c>
      <c r="R3323" s="4">
        <v>19.8</v>
      </c>
      <c r="S3323">
        <v>0</v>
      </c>
      <c r="T3323">
        <v>1</v>
      </c>
    </row>
    <row r="3324" spans="1:20" ht="16.5" x14ac:dyDescent="0.3">
      <c r="A3324" t="s">
        <v>3378</v>
      </c>
      <c r="B3324" s="1">
        <v>45758</v>
      </c>
      <c r="C3324">
        <v>2025</v>
      </c>
      <c r="D3324" t="s">
        <v>649</v>
      </c>
      <c r="E3324" t="s">
        <v>650</v>
      </c>
      <c r="F3324" t="s">
        <v>30</v>
      </c>
      <c r="G3324" t="s">
        <v>24</v>
      </c>
      <c r="H3324" t="s">
        <v>43</v>
      </c>
      <c r="I3324" t="s">
        <v>26</v>
      </c>
      <c r="J3324" t="s">
        <v>27</v>
      </c>
      <c r="K3324" t="s">
        <v>28</v>
      </c>
      <c r="L3324" s="2">
        <v>124.8</v>
      </c>
      <c r="M3324" s="3">
        <v>1105</v>
      </c>
      <c r="N3324">
        <v>5</v>
      </c>
      <c r="O3324">
        <v>5</v>
      </c>
      <c r="P3324">
        <v>1</v>
      </c>
      <c r="Q3324">
        <v>0</v>
      </c>
      <c r="R3324" s="4">
        <v>78.14</v>
      </c>
      <c r="S3324">
        <v>0</v>
      </c>
      <c r="T3324">
        <v>1</v>
      </c>
    </row>
    <row r="3325" spans="1:20" ht="16.5" x14ac:dyDescent="0.3">
      <c r="A3325" t="s">
        <v>3379</v>
      </c>
      <c r="B3325" s="1">
        <v>45759</v>
      </c>
      <c r="C3325">
        <v>2025</v>
      </c>
      <c r="D3325" t="s">
        <v>649</v>
      </c>
      <c r="E3325" t="s">
        <v>650</v>
      </c>
      <c r="F3325" t="s">
        <v>23</v>
      </c>
      <c r="G3325" t="s">
        <v>35</v>
      </c>
      <c r="H3325" t="s">
        <v>48</v>
      </c>
      <c r="I3325" t="s">
        <v>40</v>
      </c>
      <c r="J3325" t="s">
        <v>27</v>
      </c>
      <c r="K3325" t="s">
        <v>32</v>
      </c>
      <c r="L3325" s="2">
        <v>16.399999999999999</v>
      </c>
      <c r="M3325" s="3">
        <v>536</v>
      </c>
      <c r="N3325">
        <v>2</v>
      </c>
      <c r="O3325">
        <v>5</v>
      </c>
      <c r="P3325">
        <v>0</v>
      </c>
      <c r="Q3325">
        <v>3</v>
      </c>
      <c r="R3325" s="4">
        <v>41.42</v>
      </c>
      <c r="S3325">
        <v>0</v>
      </c>
      <c r="T3325">
        <v>1</v>
      </c>
    </row>
    <row r="3326" spans="1:20" ht="16.5" x14ac:dyDescent="0.3">
      <c r="A3326" t="s">
        <v>3380</v>
      </c>
      <c r="B3326" s="1">
        <v>45759</v>
      </c>
      <c r="C3326">
        <v>2025</v>
      </c>
      <c r="D3326" t="s">
        <v>649</v>
      </c>
      <c r="E3326" t="s">
        <v>650</v>
      </c>
      <c r="F3326" t="s">
        <v>57</v>
      </c>
      <c r="G3326" t="s">
        <v>24</v>
      </c>
      <c r="H3326" t="s">
        <v>25</v>
      </c>
      <c r="I3326" t="s">
        <v>26</v>
      </c>
      <c r="J3326" t="s">
        <v>27</v>
      </c>
      <c r="K3326" t="s">
        <v>28</v>
      </c>
      <c r="L3326" s="2">
        <v>152.19999999999999</v>
      </c>
      <c r="M3326" s="3">
        <v>901</v>
      </c>
      <c r="N3326">
        <v>4</v>
      </c>
      <c r="O3326">
        <v>4</v>
      </c>
      <c r="P3326">
        <v>1</v>
      </c>
      <c r="Q3326">
        <v>0</v>
      </c>
      <c r="R3326" s="4">
        <v>85.88</v>
      </c>
      <c r="S3326">
        <v>0</v>
      </c>
      <c r="T3326">
        <v>1</v>
      </c>
    </row>
    <row r="3327" spans="1:20" ht="16.5" x14ac:dyDescent="0.3">
      <c r="A3327" t="s">
        <v>3381</v>
      </c>
      <c r="B3327" s="1">
        <v>45759</v>
      </c>
      <c r="C3327">
        <v>2025</v>
      </c>
      <c r="D3327" t="s">
        <v>649</v>
      </c>
      <c r="E3327" t="s">
        <v>650</v>
      </c>
      <c r="F3327" t="s">
        <v>34</v>
      </c>
      <c r="G3327" t="s">
        <v>35</v>
      </c>
      <c r="H3327" t="s">
        <v>51</v>
      </c>
      <c r="I3327" t="s">
        <v>40</v>
      </c>
      <c r="J3327" t="s">
        <v>41</v>
      </c>
      <c r="K3327" t="s">
        <v>28</v>
      </c>
      <c r="L3327" s="2">
        <v>44.2</v>
      </c>
      <c r="M3327" s="3">
        <v>1033</v>
      </c>
      <c r="N3327">
        <v>3</v>
      </c>
      <c r="O3327">
        <v>3</v>
      </c>
      <c r="P3327">
        <v>1</v>
      </c>
      <c r="Q3327">
        <v>0</v>
      </c>
      <c r="R3327" s="4">
        <v>99.64</v>
      </c>
      <c r="S3327">
        <v>0</v>
      </c>
      <c r="T3327">
        <v>1</v>
      </c>
    </row>
    <row r="3328" spans="1:20" ht="16.5" x14ac:dyDescent="0.3">
      <c r="A3328" t="s">
        <v>3382</v>
      </c>
      <c r="B3328" s="1">
        <v>45759</v>
      </c>
      <c r="C3328">
        <v>2025</v>
      </c>
      <c r="D3328" t="s">
        <v>649</v>
      </c>
      <c r="E3328" t="s">
        <v>650</v>
      </c>
      <c r="F3328" t="s">
        <v>57</v>
      </c>
      <c r="G3328" t="s">
        <v>39</v>
      </c>
      <c r="H3328" t="s">
        <v>25</v>
      </c>
      <c r="I3328" t="s">
        <v>31</v>
      </c>
      <c r="J3328" t="s">
        <v>27</v>
      </c>
      <c r="K3328" t="s">
        <v>28</v>
      </c>
      <c r="L3328" s="2">
        <v>169.3</v>
      </c>
      <c r="M3328" s="3">
        <v>1110</v>
      </c>
      <c r="N3328">
        <v>6</v>
      </c>
      <c r="O3328">
        <v>5</v>
      </c>
      <c r="P3328">
        <v>1</v>
      </c>
      <c r="Q3328">
        <v>0</v>
      </c>
      <c r="R3328" s="4">
        <v>63.71</v>
      </c>
      <c r="S3328">
        <v>0</v>
      </c>
      <c r="T3328">
        <v>1</v>
      </c>
    </row>
    <row r="3329" spans="1:20" ht="16.5" x14ac:dyDescent="0.3">
      <c r="A3329" t="s">
        <v>3383</v>
      </c>
      <c r="B3329" s="1">
        <v>45759</v>
      </c>
      <c r="C3329">
        <v>2025</v>
      </c>
      <c r="D3329" t="s">
        <v>649</v>
      </c>
      <c r="E3329" t="s">
        <v>650</v>
      </c>
      <c r="F3329" t="s">
        <v>23</v>
      </c>
      <c r="G3329" t="s">
        <v>24</v>
      </c>
      <c r="H3329" t="s">
        <v>36</v>
      </c>
      <c r="I3329" t="s">
        <v>40</v>
      </c>
      <c r="J3329" t="s">
        <v>27</v>
      </c>
      <c r="K3329" t="s">
        <v>32</v>
      </c>
      <c r="L3329" s="2">
        <v>4.7</v>
      </c>
      <c r="M3329" s="3">
        <v>333</v>
      </c>
      <c r="N3329">
        <v>1</v>
      </c>
      <c r="O3329">
        <v>1</v>
      </c>
      <c r="P3329">
        <v>1</v>
      </c>
      <c r="Q3329">
        <v>0</v>
      </c>
      <c r="R3329" s="4">
        <v>24.77</v>
      </c>
      <c r="S3329">
        <v>0</v>
      </c>
      <c r="T3329">
        <v>1</v>
      </c>
    </row>
    <row r="3330" spans="1:20" ht="16.5" x14ac:dyDescent="0.3">
      <c r="A3330" t="s">
        <v>3384</v>
      </c>
      <c r="B3330" s="1">
        <v>45759</v>
      </c>
      <c r="C3330">
        <v>2025</v>
      </c>
      <c r="D3330" t="s">
        <v>649</v>
      </c>
      <c r="E3330" t="s">
        <v>650</v>
      </c>
      <c r="F3330" t="s">
        <v>38</v>
      </c>
      <c r="G3330" t="s">
        <v>39</v>
      </c>
      <c r="H3330" t="s">
        <v>48</v>
      </c>
      <c r="I3330" t="s">
        <v>26</v>
      </c>
      <c r="J3330" t="s">
        <v>27</v>
      </c>
      <c r="K3330" t="s">
        <v>32</v>
      </c>
      <c r="L3330" s="2">
        <v>8.3000000000000007</v>
      </c>
      <c r="M3330" s="3">
        <v>423</v>
      </c>
      <c r="N3330">
        <v>4</v>
      </c>
      <c r="O3330">
        <v>4</v>
      </c>
      <c r="P3330">
        <v>1</v>
      </c>
      <c r="Q3330">
        <v>0</v>
      </c>
      <c r="R3330" s="4">
        <v>18.899999999999999</v>
      </c>
      <c r="S3330">
        <v>0</v>
      </c>
      <c r="T3330">
        <v>1</v>
      </c>
    </row>
    <row r="3331" spans="1:20" ht="16.5" x14ac:dyDescent="0.3">
      <c r="A3331" t="s">
        <v>3385</v>
      </c>
      <c r="B3331" s="1">
        <v>45760</v>
      </c>
      <c r="C3331">
        <v>2025</v>
      </c>
      <c r="D3331" t="s">
        <v>649</v>
      </c>
      <c r="E3331" t="s">
        <v>650</v>
      </c>
      <c r="F3331" t="s">
        <v>30</v>
      </c>
      <c r="G3331" t="s">
        <v>24</v>
      </c>
      <c r="H3331" t="s">
        <v>36</v>
      </c>
      <c r="I3331" t="s">
        <v>26</v>
      </c>
      <c r="J3331" t="s">
        <v>27</v>
      </c>
      <c r="K3331" t="s">
        <v>28</v>
      </c>
      <c r="L3331" s="2">
        <v>115.1</v>
      </c>
      <c r="M3331" s="3">
        <v>269</v>
      </c>
      <c r="N3331">
        <v>3</v>
      </c>
      <c r="O3331">
        <v>3</v>
      </c>
      <c r="P3331">
        <v>1</v>
      </c>
      <c r="Q3331">
        <v>0</v>
      </c>
      <c r="R3331" s="4">
        <v>59.22</v>
      </c>
      <c r="S3331">
        <v>0</v>
      </c>
      <c r="T3331">
        <v>1</v>
      </c>
    </row>
    <row r="3332" spans="1:20" ht="16.5" x14ac:dyDescent="0.3">
      <c r="A3332" t="s">
        <v>3386</v>
      </c>
      <c r="B3332" s="1">
        <v>45760</v>
      </c>
      <c r="C3332">
        <v>2025</v>
      </c>
      <c r="D3332" t="s">
        <v>649</v>
      </c>
      <c r="E3332" t="s">
        <v>650</v>
      </c>
      <c r="F3332" t="s">
        <v>34</v>
      </c>
      <c r="G3332" t="s">
        <v>39</v>
      </c>
      <c r="H3332" t="s">
        <v>25</v>
      </c>
      <c r="I3332" t="s">
        <v>40</v>
      </c>
      <c r="J3332" t="s">
        <v>41</v>
      </c>
      <c r="K3332" t="s">
        <v>28</v>
      </c>
      <c r="L3332" s="2">
        <v>132.19999999999999</v>
      </c>
      <c r="M3332" s="3">
        <v>927</v>
      </c>
      <c r="N3332">
        <v>2</v>
      </c>
      <c r="O3332">
        <v>2</v>
      </c>
      <c r="P3332">
        <v>1</v>
      </c>
      <c r="Q3332">
        <v>0</v>
      </c>
      <c r="R3332" s="4">
        <v>186.98</v>
      </c>
      <c r="S3332">
        <v>0</v>
      </c>
      <c r="T3332">
        <v>1</v>
      </c>
    </row>
    <row r="3333" spans="1:20" ht="16.5" x14ac:dyDescent="0.3">
      <c r="A3333" t="s">
        <v>3387</v>
      </c>
      <c r="B3333" s="1">
        <v>45760</v>
      </c>
      <c r="C3333">
        <v>2025</v>
      </c>
      <c r="D3333" t="s">
        <v>649</v>
      </c>
      <c r="E3333" t="s">
        <v>650</v>
      </c>
      <c r="F3333" t="s">
        <v>38</v>
      </c>
      <c r="G3333" t="s">
        <v>39</v>
      </c>
      <c r="H3333" t="s">
        <v>43</v>
      </c>
      <c r="I3333" t="s">
        <v>31</v>
      </c>
      <c r="J3333" t="s">
        <v>27</v>
      </c>
      <c r="K3333" t="s">
        <v>28</v>
      </c>
      <c r="L3333" s="2">
        <v>108.9</v>
      </c>
      <c r="M3333" s="3">
        <v>995</v>
      </c>
      <c r="N3333">
        <v>7</v>
      </c>
      <c r="O3333">
        <v>7</v>
      </c>
      <c r="P3333">
        <v>1</v>
      </c>
      <c r="Q3333">
        <v>0</v>
      </c>
      <c r="R3333" s="4">
        <v>50.88</v>
      </c>
      <c r="S3333">
        <v>0</v>
      </c>
      <c r="T3333">
        <v>1</v>
      </c>
    </row>
    <row r="3334" spans="1:20" ht="16.5" x14ac:dyDescent="0.3">
      <c r="A3334" t="s">
        <v>3388</v>
      </c>
      <c r="B3334" s="1">
        <v>45760</v>
      </c>
      <c r="C3334">
        <v>2025</v>
      </c>
      <c r="D3334" t="s">
        <v>649</v>
      </c>
      <c r="E3334" t="s">
        <v>650</v>
      </c>
      <c r="F3334" t="s">
        <v>34</v>
      </c>
      <c r="G3334" t="s">
        <v>39</v>
      </c>
      <c r="H3334" t="s">
        <v>36</v>
      </c>
      <c r="I3334" t="s">
        <v>31</v>
      </c>
      <c r="J3334" t="s">
        <v>27</v>
      </c>
      <c r="K3334" t="s">
        <v>28</v>
      </c>
      <c r="L3334" s="2">
        <v>158.69999999999999</v>
      </c>
      <c r="M3334" s="3">
        <v>265</v>
      </c>
      <c r="N3334">
        <v>5</v>
      </c>
      <c r="O3334">
        <v>5</v>
      </c>
      <c r="P3334">
        <v>1</v>
      </c>
      <c r="Q3334">
        <v>0</v>
      </c>
      <c r="R3334" s="4">
        <v>48.27</v>
      </c>
      <c r="S3334">
        <v>0</v>
      </c>
      <c r="T3334">
        <v>1</v>
      </c>
    </row>
    <row r="3335" spans="1:20" ht="16.5" x14ac:dyDescent="0.3">
      <c r="A3335" t="s">
        <v>3389</v>
      </c>
      <c r="B3335" s="1">
        <v>45761</v>
      </c>
      <c r="C3335">
        <v>2025</v>
      </c>
      <c r="D3335" t="s">
        <v>649</v>
      </c>
      <c r="E3335" t="s">
        <v>650</v>
      </c>
      <c r="F3335" t="s">
        <v>38</v>
      </c>
      <c r="G3335" t="s">
        <v>35</v>
      </c>
      <c r="H3335" t="s">
        <v>36</v>
      </c>
      <c r="I3335" t="s">
        <v>26</v>
      </c>
      <c r="J3335" t="s">
        <v>27</v>
      </c>
      <c r="K3335" t="s">
        <v>32</v>
      </c>
      <c r="L3335" s="2">
        <v>4.7</v>
      </c>
      <c r="M3335" s="3">
        <v>263</v>
      </c>
      <c r="N3335">
        <v>3</v>
      </c>
      <c r="O3335">
        <v>3</v>
      </c>
      <c r="P3335">
        <v>1</v>
      </c>
      <c r="Q3335">
        <v>0</v>
      </c>
      <c r="R3335" s="4">
        <v>14.59</v>
      </c>
      <c r="S3335">
        <v>0</v>
      </c>
      <c r="T3335">
        <v>1</v>
      </c>
    </row>
    <row r="3336" spans="1:20" ht="16.5" x14ac:dyDescent="0.3">
      <c r="A3336" t="s">
        <v>3390</v>
      </c>
      <c r="B3336" s="1">
        <v>45761</v>
      </c>
      <c r="C3336">
        <v>2025</v>
      </c>
      <c r="D3336" t="s">
        <v>649</v>
      </c>
      <c r="E3336" t="s">
        <v>650</v>
      </c>
      <c r="F3336" t="s">
        <v>34</v>
      </c>
      <c r="G3336" t="s">
        <v>35</v>
      </c>
      <c r="H3336" t="s">
        <v>48</v>
      </c>
      <c r="I3336" t="s">
        <v>31</v>
      </c>
      <c r="J3336" t="s">
        <v>27</v>
      </c>
      <c r="K3336" t="s">
        <v>32</v>
      </c>
      <c r="L3336" s="2">
        <v>11.1</v>
      </c>
      <c r="M3336" s="3">
        <v>524</v>
      </c>
      <c r="N3336">
        <v>6</v>
      </c>
      <c r="O3336">
        <v>6</v>
      </c>
      <c r="P3336">
        <v>1</v>
      </c>
      <c r="Q3336">
        <v>0</v>
      </c>
      <c r="R3336" s="4">
        <v>11.88</v>
      </c>
      <c r="S3336">
        <v>0</v>
      </c>
      <c r="T3336">
        <v>1</v>
      </c>
    </row>
    <row r="3337" spans="1:20" ht="16.5" x14ac:dyDescent="0.3">
      <c r="A3337" t="s">
        <v>3391</v>
      </c>
      <c r="B3337" s="1">
        <v>45761</v>
      </c>
      <c r="C3337">
        <v>2025</v>
      </c>
      <c r="D3337" t="s">
        <v>649</v>
      </c>
      <c r="E3337" t="s">
        <v>650</v>
      </c>
      <c r="F3337" t="s">
        <v>34</v>
      </c>
      <c r="G3337" t="s">
        <v>39</v>
      </c>
      <c r="H3337" t="s">
        <v>25</v>
      </c>
      <c r="I3337" t="s">
        <v>26</v>
      </c>
      <c r="J3337" t="s">
        <v>27</v>
      </c>
      <c r="K3337" t="s">
        <v>32</v>
      </c>
      <c r="L3337" s="2">
        <v>5.3</v>
      </c>
      <c r="M3337" s="3">
        <v>900</v>
      </c>
      <c r="N3337">
        <v>4</v>
      </c>
      <c r="O3337">
        <v>3</v>
      </c>
      <c r="P3337">
        <v>1</v>
      </c>
      <c r="Q3337">
        <v>0</v>
      </c>
      <c r="R3337" s="4">
        <v>17.579999999999998</v>
      </c>
      <c r="S3337">
        <v>0</v>
      </c>
      <c r="T3337">
        <v>1</v>
      </c>
    </row>
    <row r="3338" spans="1:20" ht="16.5" x14ac:dyDescent="0.3">
      <c r="A3338" t="s">
        <v>3392</v>
      </c>
      <c r="B3338" s="1">
        <v>45761</v>
      </c>
      <c r="C3338">
        <v>2025</v>
      </c>
      <c r="D3338" t="s">
        <v>649</v>
      </c>
      <c r="E3338" t="s">
        <v>650</v>
      </c>
      <c r="F3338" t="s">
        <v>30</v>
      </c>
      <c r="G3338" t="s">
        <v>39</v>
      </c>
      <c r="H3338" t="s">
        <v>25</v>
      </c>
      <c r="I3338" t="s">
        <v>40</v>
      </c>
      <c r="J3338" t="s">
        <v>41</v>
      </c>
      <c r="K3338" t="s">
        <v>32</v>
      </c>
      <c r="L3338" s="2">
        <v>6.5</v>
      </c>
      <c r="M3338" s="3">
        <v>950</v>
      </c>
      <c r="N3338">
        <v>2</v>
      </c>
      <c r="O3338">
        <v>1</v>
      </c>
      <c r="P3338">
        <v>1</v>
      </c>
      <c r="Q3338">
        <v>0</v>
      </c>
      <c r="R3338" s="4">
        <v>66.400000000000006</v>
      </c>
      <c r="S3338">
        <v>0</v>
      </c>
      <c r="T3338">
        <v>1</v>
      </c>
    </row>
    <row r="3339" spans="1:20" ht="16.5" x14ac:dyDescent="0.3">
      <c r="A3339" t="s">
        <v>3393</v>
      </c>
      <c r="B3339" s="1">
        <v>45761</v>
      </c>
      <c r="C3339">
        <v>2025</v>
      </c>
      <c r="D3339" t="s">
        <v>649</v>
      </c>
      <c r="E3339" t="s">
        <v>650</v>
      </c>
      <c r="F3339" t="s">
        <v>23</v>
      </c>
      <c r="G3339" t="s">
        <v>39</v>
      </c>
      <c r="H3339" t="s">
        <v>25</v>
      </c>
      <c r="I3339" t="s">
        <v>40</v>
      </c>
      <c r="J3339" t="s">
        <v>41</v>
      </c>
      <c r="K3339" t="s">
        <v>32</v>
      </c>
      <c r="L3339" s="2">
        <v>6.2</v>
      </c>
      <c r="M3339" s="3">
        <v>862</v>
      </c>
      <c r="N3339">
        <v>2</v>
      </c>
      <c r="O3339">
        <v>2</v>
      </c>
      <c r="P3339">
        <v>1</v>
      </c>
      <c r="Q3339">
        <v>0</v>
      </c>
      <c r="R3339" s="4">
        <v>53.56</v>
      </c>
      <c r="S3339">
        <v>0</v>
      </c>
      <c r="T3339">
        <v>1</v>
      </c>
    </row>
    <row r="3340" spans="1:20" ht="16.5" x14ac:dyDescent="0.3">
      <c r="A3340" t="s">
        <v>3394</v>
      </c>
      <c r="B3340" s="1">
        <v>45761</v>
      </c>
      <c r="C3340">
        <v>2025</v>
      </c>
      <c r="D3340" t="s">
        <v>649</v>
      </c>
      <c r="E3340" t="s">
        <v>650</v>
      </c>
      <c r="F3340" t="s">
        <v>38</v>
      </c>
      <c r="G3340" t="s">
        <v>35</v>
      </c>
      <c r="H3340" t="s">
        <v>36</v>
      </c>
      <c r="I3340" t="s">
        <v>26</v>
      </c>
      <c r="J3340" t="s">
        <v>27</v>
      </c>
      <c r="K3340" t="s">
        <v>28</v>
      </c>
      <c r="L3340" s="2">
        <v>62.2</v>
      </c>
      <c r="M3340" s="3">
        <v>230</v>
      </c>
      <c r="N3340">
        <v>3</v>
      </c>
      <c r="O3340">
        <v>3</v>
      </c>
      <c r="P3340">
        <v>1</v>
      </c>
      <c r="Q3340">
        <v>0</v>
      </c>
      <c r="R3340" s="4">
        <v>40.119999999999997</v>
      </c>
      <c r="S3340">
        <v>0</v>
      </c>
      <c r="T3340">
        <v>1</v>
      </c>
    </row>
    <row r="3341" spans="1:20" ht="16.5" x14ac:dyDescent="0.3">
      <c r="A3341" t="s">
        <v>3395</v>
      </c>
      <c r="B3341" s="1">
        <v>45761</v>
      </c>
      <c r="C3341">
        <v>2025</v>
      </c>
      <c r="D3341" t="s">
        <v>649</v>
      </c>
      <c r="E3341" t="s">
        <v>650</v>
      </c>
      <c r="F3341" t="s">
        <v>23</v>
      </c>
      <c r="G3341" t="s">
        <v>35</v>
      </c>
      <c r="H3341" t="s">
        <v>25</v>
      </c>
      <c r="I3341" t="s">
        <v>31</v>
      </c>
      <c r="J3341" t="s">
        <v>27</v>
      </c>
      <c r="K3341" t="s">
        <v>28</v>
      </c>
      <c r="L3341" s="2">
        <v>30</v>
      </c>
      <c r="M3341" s="3">
        <v>1132</v>
      </c>
      <c r="N3341">
        <v>6</v>
      </c>
      <c r="O3341">
        <v>6</v>
      </c>
      <c r="P3341">
        <v>1</v>
      </c>
      <c r="Q3341">
        <v>0</v>
      </c>
      <c r="R3341" s="4">
        <v>26.11</v>
      </c>
      <c r="S3341">
        <v>0</v>
      </c>
      <c r="T3341">
        <v>1</v>
      </c>
    </row>
    <row r="3342" spans="1:20" ht="16.5" x14ac:dyDescent="0.3">
      <c r="A3342" t="s">
        <v>3396</v>
      </c>
      <c r="B3342" s="1">
        <v>45761</v>
      </c>
      <c r="C3342">
        <v>2025</v>
      </c>
      <c r="D3342" t="s">
        <v>649</v>
      </c>
      <c r="E3342" t="s">
        <v>650</v>
      </c>
      <c r="F3342" t="s">
        <v>30</v>
      </c>
      <c r="G3342" t="s">
        <v>39</v>
      </c>
      <c r="H3342" t="s">
        <v>25</v>
      </c>
      <c r="I3342" t="s">
        <v>40</v>
      </c>
      <c r="J3342" t="s">
        <v>41</v>
      </c>
      <c r="K3342" t="s">
        <v>32</v>
      </c>
      <c r="L3342" s="2">
        <v>13.2</v>
      </c>
      <c r="M3342" s="3">
        <v>974</v>
      </c>
      <c r="N3342">
        <v>2</v>
      </c>
      <c r="O3342">
        <v>2</v>
      </c>
      <c r="P3342">
        <v>1</v>
      </c>
      <c r="Q3342">
        <v>0</v>
      </c>
      <c r="R3342" s="4">
        <v>74.87</v>
      </c>
      <c r="S3342">
        <v>0</v>
      </c>
      <c r="T3342">
        <v>1</v>
      </c>
    </row>
    <row r="3343" spans="1:20" ht="16.5" x14ac:dyDescent="0.3">
      <c r="A3343" t="s">
        <v>3397</v>
      </c>
      <c r="B3343" s="1">
        <v>45761</v>
      </c>
      <c r="C3343">
        <v>2025</v>
      </c>
      <c r="D3343" t="s">
        <v>649</v>
      </c>
      <c r="E3343" t="s">
        <v>650</v>
      </c>
      <c r="F3343" t="s">
        <v>23</v>
      </c>
      <c r="G3343" t="s">
        <v>35</v>
      </c>
      <c r="H3343" t="s">
        <v>43</v>
      </c>
      <c r="I3343" t="s">
        <v>31</v>
      </c>
      <c r="J3343" t="s">
        <v>27</v>
      </c>
      <c r="K3343" t="s">
        <v>32</v>
      </c>
      <c r="L3343" s="2">
        <v>7.4</v>
      </c>
      <c r="M3343" s="3">
        <v>1011</v>
      </c>
      <c r="N3343">
        <v>7</v>
      </c>
      <c r="O3343">
        <v>7</v>
      </c>
      <c r="P3343">
        <v>1</v>
      </c>
      <c r="Q3343">
        <v>0</v>
      </c>
      <c r="R3343" s="4">
        <v>16.100000000000001</v>
      </c>
      <c r="S3343">
        <v>0</v>
      </c>
      <c r="T3343">
        <v>1</v>
      </c>
    </row>
    <row r="3344" spans="1:20" ht="16.5" x14ac:dyDescent="0.3">
      <c r="A3344" t="s">
        <v>3398</v>
      </c>
      <c r="B3344" s="1">
        <v>45762</v>
      </c>
      <c r="C3344">
        <v>2025</v>
      </c>
      <c r="D3344" t="s">
        <v>649</v>
      </c>
      <c r="E3344" t="s">
        <v>650</v>
      </c>
      <c r="F3344" t="s">
        <v>30</v>
      </c>
      <c r="G3344" t="s">
        <v>35</v>
      </c>
      <c r="H3344" t="s">
        <v>43</v>
      </c>
      <c r="I3344" t="s">
        <v>40</v>
      </c>
      <c r="J3344" t="s">
        <v>41</v>
      </c>
      <c r="K3344" t="s">
        <v>28</v>
      </c>
      <c r="L3344" s="2">
        <v>91.2</v>
      </c>
      <c r="M3344" s="3">
        <v>1099</v>
      </c>
      <c r="N3344">
        <v>3</v>
      </c>
      <c r="O3344">
        <v>3</v>
      </c>
      <c r="P3344">
        <v>1</v>
      </c>
      <c r="Q3344">
        <v>0</v>
      </c>
      <c r="R3344" s="4">
        <v>183.09</v>
      </c>
      <c r="S3344">
        <v>0</v>
      </c>
      <c r="T3344">
        <v>1</v>
      </c>
    </row>
    <row r="3345" spans="1:20" ht="16.5" x14ac:dyDescent="0.3">
      <c r="A3345" t="s">
        <v>3399</v>
      </c>
      <c r="B3345" s="1">
        <v>45762</v>
      </c>
      <c r="C3345">
        <v>2025</v>
      </c>
      <c r="D3345" t="s">
        <v>649</v>
      </c>
      <c r="E3345" t="s">
        <v>650</v>
      </c>
      <c r="F3345" t="s">
        <v>34</v>
      </c>
      <c r="G3345" t="s">
        <v>39</v>
      </c>
      <c r="H3345" t="s">
        <v>25</v>
      </c>
      <c r="I3345" t="s">
        <v>26</v>
      </c>
      <c r="J3345" t="s">
        <v>27</v>
      </c>
      <c r="K3345" t="s">
        <v>32</v>
      </c>
      <c r="L3345" s="2">
        <v>6.6</v>
      </c>
      <c r="M3345" s="3">
        <v>928</v>
      </c>
      <c r="N3345">
        <v>4</v>
      </c>
      <c r="O3345">
        <v>7</v>
      </c>
      <c r="P3345">
        <v>0</v>
      </c>
      <c r="Q3345">
        <v>3</v>
      </c>
      <c r="R3345" s="4">
        <v>18.600000000000001</v>
      </c>
      <c r="S3345">
        <v>0</v>
      </c>
      <c r="T3345">
        <v>1</v>
      </c>
    </row>
    <row r="3346" spans="1:20" ht="16.5" x14ac:dyDescent="0.3">
      <c r="A3346" t="s">
        <v>3400</v>
      </c>
      <c r="B3346" s="1">
        <v>45762</v>
      </c>
      <c r="C3346">
        <v>2025</v>
      </c>
      <c r="D3346" t="s">
        <v>649</v>
      </c>
      <c r="E3346" t="s">
        <v>650</v>
      </c>
      <c r="F3346" t="s">
        <v>57</v>
      </c>
      <c r="G3346" t="s">
        <v>39</v>
      </c>
      <c r="H3346" t="s">
        <v>48</v>
      </c>
      <c r="I3346" t="s">
        <v>40</v>
      </c>
      <c r="J3346" t="s">
        <v>27</v>
      </c>
      <c r="K3346" t="s">
        <v>32</v>
      </c>
      <c r="L3346" s="2">
        <v>11.2</v>
      </c>
      <c r="M3346" s="3">
        <v>577</v>
      </c>
      <c r="N3346">
        <v>2</v>
      </c>
      <c r="O3346">
        <v>1</v>
      </c>
      <c r="P3346">
        <v>1</v>
      </c>
      <c r="Q3346">
        <v>0</v>
      </c>
      <c r="R3346" s="4">
        <v>40.71</v>
      </c>
      <c r="S3346">
        <v>0</v>
      </c>
      <c r="T3346">
        <v>1</v>
      </c>
    </row>
    <row r="3347" spans="1:20" ht="16.5" x14ac:dyDescent="0.3">
      <c r="A3347" t="s">
        <v>3401</v>
      </c>
      <c r="B3347" s="1">
        <v>45762</v>
      </c>
      <c r="C3347">
        <v>2025</v>
      </c>
      <c r="D3347" t="s">
        <v>649</v>
      </c>
      <c r="E3347" t="s">
        <v>650</v>
      </c>
      <c r="F3347" t="s">
        <v>30</v>
      </c>
      <c r="G3347" t="s">
        <v>39</v>
      </c>
      <c r="H3347" t="s">
        <v>43</v>
      </c>
      <c r="I3347" t="s">
        <v>26</v>
      </c>
      <c r="J3347" t="s">
        <v>27</v>
      </c>
      <c r="K3347" t="s">
        <v>28</v>
      </c>
      <c r="L3347" s="2">
        <v>167</v>
      </c>
      <c r="M3347" s="3">
        <v>1026</v>
      </c>
      <c r="N3347">
        <v>5</v>
      </c>
      <c r="O3347">
        <v>5</v>
      </c>
      <c r="P3347">
        <v>1</v>
      </c>
      <c r="Q3347">
        <v>0</v>
      </c>
      <c r="R3347" s="4">
        <v>91.28</v>
      </c>
      <c r="S3347">
        <v>0</v>
      </c>
      <c r="T3347">
        <v>1</v>
      </c>
    </row>
    <row r="3348" spans="1:20" ht="16.5" x14ac:dyDescent="0.3">
      <c r="A3348" t="s">
        <v>3402</v>
      </c>
      <c r="B3348" s="1">
        <v>45762</v>
      </c>
      <c r="C3348">
        <v>2025</v>
      </c>
      <c r="D3348" t="s">
        <v>649</v>
      </c>
      <c r="E3348" t="s">
        <v>650</v>
      </c>
      <c r="F3348" t="s">
        <v>38</v>
      </c>
      <c r="G3348" t="s">
        <v>35</v>
      </c>
      <c r="H3348" t="s">
        <v>36</v>
      </c>
      <c r="I3348" t="s">
        <v>31</v>
      </c>
      <c r="J3348" t="s">
        <v>27</v>
      </c>
      <c r="K3348" t="s">
        <v>32</v>
      </c>
      <c r="L3348" s="2">
        <v>6.2</v>
      </c>
      <c r="M3348" s="3">
        <v>221</v>
      </c>
      <c r="N3348">
        <v>5</v>
      </c>
      <c r="O3348">
        <v>5</v>
      </c>
      <c r="P3348">
        <v>1</v>
      </c>
      <c r="Q3348">
        <v>0</v>
      </c>
      <c r="R3348" s="4">
        <v>10.62</v>
      </c>
      <c r="S3348">
        <v>0</v>
      </c>
      <c r="T3348">
        <v>1</v>
      </c>
    </row>
    <row r="3349" spans="1:20" ht="16.5" x14ac:dyDescent="0.3">
      <c r="A3349" t="s">
        <v>3403</v>
      </c>
      <c r="B3349" s="1">
        <v>45762</v>
      </c>
      <c r="C3349">
        <v>2025</v>
      </c>
      <c r="D3349" t="s">
        <v>649</v>
      </c>
      <c r="E3349" t="s">
        <v>650</v>
      </c>
      <c r="F3349" t="s">
        <v>30</v>
      </c>
      <c r="G3349" t="s">
        <v>39</v>
      </c>
      <c r="H3349" t="s">
        <v>25</v>
      </c>
      <c r="I3349" t="s">
        <v>31</v>
      </c>
      <c r="J3349" t="s">
        <v>27</v>
      </c>
      <c r="K3349" t="s">
        <v>32</v>
      </c>
      <c r="L3349" s="2">
        <v>5.9</v>
      </c>
      <c r="M3349" s="3">
        <v>823</v>
      </c>
      <c r="N3349">
        <v>6</v>
      </c>
      <c r="O3349">
        <v>6</v>
      </c>
      <c r="P3349">
        <v>1</v>
      </c>
      <c r="Q3349">
        <v>0</v>
      </c>
      <c r="R3349" s="4">
        <v>15.45</v>
      </c>
      <c r="S3349">
        <v>0</v>
      </c>
      <c r="T3349">
        <v>1</v>
      </c>
    </row>
    <row r="3350" spans="1:20" ht="16.5" x14ac:dyDescent="0.3">
      <c r="A3350" t="s">
        <v>3404</v>
      </c>
      <c r="B3350" s="1">
        <v>45762</v>
      </c>
      <c r="C3350">
        <v>2025</v>
      </c>
      <c r="D3350" t="s">
        <v>649</v>
      </c>
      <c r="E3350" t="s">
        <v>650</v>
      </c>
      <c r="F3350" t="s">
        <v>30</v>
      </c>
      <c r="G3350" t="s">
        <v>24</v>
      </c>
      <c r="H3350" t="s">
        <v>25</v>
      </c>
      <c r="I3350" t="s">
        <v>26</v>
      </c>
      <c r="J3350" t="s">
        <v>27</v>
      </c>
      <c r="K3350" t="s">
        <v>28</v>
      </c>
      <c r="L3350" s="2">
        <v>9</v>
      </c>
      <c r="M3350" s="3">
        <v>763</v>
      </c>
      <c r="N3350">
        <v>4</v>
      </c>
      <c r="O3350">
        <v>4</v>
      </c>
      <c r="P3350">
        <v>1</v>
      </c>
      <c r="Q3350">
        <v>0</v>
      </c>
      <c r="R3350" s="4">
        <v>19.95</v>
      </c>
      <c r="S3350">
        <v>0</v>
      </c>
      <c r="T3350">
        <v>1</v>
      </c>
    </row>
    <row r="3351" spans="1:20" ht="16.5" x14ac:dyDescent="0.3">
      <c r="A3351" t="s">
        <v>3405</v>
      </c>
      <c r="B3351" s="1">
        <v>45762</v>
      </c>
      <c r="C3351">
        <v>2025</v>
      </c>
      <c r="D3351" t="s">
        <v>649</v>
      </c>
      <c r="E3351" t="s">
        <v>650</v>
      </c>
      <c r="F3351" t="s">
        <v>34</v>
      </c>
      <c r="G3351" t="s">
        <v>39</v>
      </c>
      <c r="H3351" t="s">
        <v>43</v>
      </c>
      <c r="I3351" t="s">
        <v>26</v>
      </c>
      <c r="J3351" t="s">
        <v>27</v>
      </c>
      <c r="K3351" t="s">
        <v>32</v>
      </c>
      <c r="L3351" s="2">
        <v>17.899999999999999</v>
      </c>
      <c r="M3351" s="3">
        <v>1132</v>
      </c>
      <c r="N3351">
        <v>5</v>
      </c>
      <c r="O3351">
        <v>5</v>
      </c>
      <c r="P3351">
        <v>1</v>
      </c>
      <c r="Q3351">
        <v>0</v>
      </c>
      <c r="R3351" s="4">
        <v>23.96</v>
      </c>
      <c r="S3351">
        <v>0</v>
      </c>
      <c r="T3351">
        <v>1</v>
      </c>
    </row>
    <row r="3352" spans="1:20" ht="16.5" x14ac:dyDescent="0.3">
      <c r="A3352" t="s">
        <v>3406</v>
      </c>
      <c r="B3352" s="1">
        <v>45763</v>
      </c>
      <c r="C3352">
        <v>2025</v>
      </c>
      <c r="D3352" t="s">
        <v>649</v>
      </c>
      <c r="E3352" t="s">
        <v>650</v>
      </c>
      <c r="F3352" t="s">
        <v>30</v>
      </c>
      <c r="G3352" t="s">
        <v>35</v>
      </c>
      <c r="H3352" t="s">
        <v>51</v>
      </c>
      <c r="I3352" t="s">
        <v>31</v>
      </c>
      <c r="J3352" t="s">
        <v>27</v>
      </c>
      <c r="K3352" t="s">
        <v>32</v>
      </c>
      <c r="L3352" s="2">
        <v>13.4</v>
      </c>
      <c r="M3352" s="3">
        <v>992</v>
      </c>
      <c r="N3352">
        <v>7</v>
      </c>
      <c r="O3352">
        <v>6</v>
      </c>
      <c r="P3352">
        <v>1</v>
      </c>
      <c r="Q3352">
        <v>0</v>
      </c>
      <c r="R3352" s="4">
        <v>18.62</v>
      </c>
      <c r="S3352">
        <v>0</v>
      </c>
      <c r="T3352">
        <v>1</v>
      </c>
    </row>
    <row r="3353" spans="1:20" ht="16.5" x14ac:dyDescent="0.3">
      <c r="A3353" t="s">
        <v>3407</v>
      </c>
      <c r="B3353" s="1">
        <v>45763</v>
      </c>
      <c r="C3353">
        <v>2025</v>
      </c>
      <c r="D3353" t="s">
        <v>649</v>
      </c>
      <c r="E3353" t="s">
        <v>650</v>
      </c>
      <c r="F3353" t="s">
        <v>38</v>
      </c>
      <c r="G3353" t="s">
        <v>24</v>
      </c>
      <c r="H3353" t="s">
        <v>43</v>
      </c>
      <c r="I3353" t="s">
        <v>26</v>
      </c>
      <c r="J3353" t="s">
        <v>27</v>
      </c>
      <c r="K3353" t="s">
        <v>28</v>
      </c>
      <c r="L3353" s="2">
        <v>126.4</v>
      </c>
      <c r="M3353" s="3">
        <v>1094</v>
      </c>
      <c r="N3353">
        <v>5</v>
      </c>
      <c r="O3353">
        <v>5</v>
      </c>
      <c r="P3353">
        <v>1</v>
      </c>
      <c r="Q3353">
        <v>0</v>
      </c>
      <c r="R3353" s="4">
        <v>75.53</v>
      </c>
      <c r="S3353">
        <v>0</v>
      </c>
      <c r="T3353">
        <v>1</v>
      </c>
    </row>
    <row r="3354" spans="1:20" ht="16.5" x14ac:dyDescent="0.3">
      <c r="A3354" t="s">
        <v>3408</v>
      </c>
      <c r="B3354" s="1">
        <v>45763</v>
      </c>
      <c r="C3354">
        <v>2025</v>
      </c>
      <c r="D3354" t="s">
        <v>649</v>
      </c>
      <c r="E3354" t="s">
        <v>650</v>
      </c>
      <c r="F3354" t="s">
        <v>34</v>
      </c>
      <c r="G3354" t="s">
        <v>35</v>
      </c>
      <c r="H3354" t="s">
        <v>25</v>
      </c>
      <c r="I3354" t="s">
        <v>26</v>
      </c>
      <c r="J3354" t="s">
        <v>27</v>
      </c>
      <c r="K3354" t="s">
        <v>32</v>
      </c>
      <c r="L3354" s="2">
        <v>5.6</v>
      </c>
      <c r="M3354" s="3">
        <v>747</v>
      </c>
      <c r="N3354">
        <v>4</v>
      </c>
      <c r="O3354">
        <v>4</v>
      </c>
      <c r="P3354">
        <v>1</v>
      </c>
      <c r="Q3354">
        <v>0</v>
      </c>
      <c r="R3354" s="4">
        <v>16.010000000000002</v>
      </c>
      <c r="S3354">
        <v>1</v>
      </c>
      <c r="T3354">
        <v>1</v>
      </c>
    </row>
    <row r="3355" spans="1:20" ht="16.5" x14ac:dyDescent="0.3">
      <c r="A3355" t="s">
        <v>3409</v>
      </c>
      <c r="B3355" s="1">
        <v>45763</v>
      </c>
      <c r="C3355">
        <v>2025</v>
      </c>
      <c r="D3355" t="s">
        <v>649</v>
      </c>
      <c r="E3355" t="s">
        <v>650</v>
      </c>
      <c r="F3355" t="s">
        <v>38</v>
      </c>
      <c r="G3355" t="s">
        <v>35</v>
      </c>
      <c r="H3355" t="s">
        <v>25</v>
      </c>
      <c r="I3355" t="s">
        <v>26</v>
      </c>
      <c r="J3355" t="s">
        <v>27</v>
      </c>
      <c r="K3355" t="s">
        <v>28</v>
      </c>
      <c r="L3355" s="2">
        <v>57.8</v>
      </c>
      <c r="M3355" s="3">
        <v>803</v>
      </c>
      <c r="N3355">
        <v>4</v>
      </c>
      <c r="O3355">
        <v>3</v>
      </c>
      <c r="P3355">
        <v>1</v>
      </c>
      <c r="Q3355">
        <v>0</v>
      </c>
      <c r="R3355" s="4">
        <v>49.08</v>
      </c>
      <c r="S3355">
        <v>0</v>
      </c>
      <c r="T3355">
        <v>1</v>
      </c>
    </row>
    <row r="3356" spans="1:20" ht="16.5" x14ac:dyDescent="0.3">
      <c r="A3356" t="s">
        <v>3410</v>
      </c>
      <c r="B3356" s="1">
        <v>45763</v>
      </c>
      <c r="C3356">
        <v>2025</v>
      </c>
      <c r="D3356" t="s">
        <v>649</v>
      </c>
      <c r="E3356" t="s">
        <v>650</v>
      </c>
      <c r="F3356" t="s">
        <v>38</v>
      </c>
      <c r="G3356" t="s">
        <v>39</v>
      </c>
      <c r="H3356" t="s">
        <v>36</v>
      </c>
      <c r="I3356" t="s">
        <v>40</v>
      </c>
      <c r="J3356" t="s">
        <v>27</v>
      </c>
      <c r="K3356" t="s">
        <v>32</v>
      </c>
      <c r="L3356" s="2">
        <v>4.7</v>
      </c>
      <c r="M3356" s="3">
        <v>229</v>
      </c>
      <c r="N3356">
        <v>1</v>
      </c>
      <c r="O3356">
        <v>1</v>
      </c>
      <c r="P3356">
        <v>1</v>
      </c>
      <c r="Q3356">
        <v>0</v>
      </c>
      <c r="R3356" s="4">
        <v>28.11</v>
      </c>
      <c r="S3356">
        <v>0</v>
      </c>
      <c r="T3356">
        <v>1</v>
      </c>
    </row>
    <row r="3357" spans="1:20" ht="16.5" x14ac:dyDescent="0.3">
      <c r="A3357" t="s">
        <v>3411</v>
      </c>
      <c r="B3357" s="1">
        <v>45763</v>
      </c>
      <c r="C3357">
        <v>2025</v>
      </c>
      <c r="D3357" t="s">
        <v>649</v>
      </c>
      <c r="E3357" t="s">
        <v>650</v>
      </c>
      <c r="F3357" t="s">
        <v>34</v>
      </c>
      <c r="G3357" t="s">
        <v>24</v>
      </c>
      <c r="H3357" t="s">
        <v>36</v>
      </c>
      <c r="I3357" t="s">
        <v>31</v>
      </c>
      <c r="J3357" t="s">
        <v>27</v>
      </c>
      <c r="K3357" t="s">
        <v>28</v>
      </c>
      <c r="L3357" s="2">
        <v>146.19999999999999</v>
      </c>
      <c r="M3357" s="3">
        <v>276</v>
      </c>
      <c r="N3357">
        <v>5</v>
      </c>
      <c r="O3357">
        <v>5</v>
      </c>
      <c r="P3357">
        <v>1</v>
      </c>
      <c r="Q3357">
        <v>0</v>
      </c>
      <c r="R3357" s="4">
        <v>41.13</v>
      </c>
      <c r="S3357">
        <v>0</v>
      </c>
      <c r="T3357">
        <v>1</v>
      </c>
    </row>
    <row r="3358" spans="1:20" ht="16.5" x14ac:dyDescent="0.3">
      <c r="A3358" t="s">
        <v>3412</v>
      </c>
      <c r="B3358" s="1">
        <v>45763</v>
      </c>
      <c r="C3358">
        <v>2025</v>
      </c>
      <c r="D3358" t="s">
        <v>649</v>
      </c>
      <c r="E3358" t="s">
        <v>650</v>
      </c>
      <c r="F3358" t="s">
        <v>23</v>
      </c>
      <c r="G3358" t="s">
        <v>39</v>
      </c>
      <c r="H3358" t="s">
        <v>48</v>
      </c>
      <c r="I3358" t="s">
        <v>26</v>
      </c>
      <c r="J3358" t="s">
        <v>27</v>
      </c>
      <c r="K3358" t="s">
        <v>28</v>
      </c>
      <c r="L3358" s="2">
        <v>66.900000000000006</v>
      </c>
      <c r="M3358" s="3">
        <v>533</v>
      </c>
      <c r="N3358">
        <v>4</v>
      </c>
      <c r="O3358">
        <v>4</v>
      </c>
      <c r="P3358">
        <v>1</v>
      </c>
      <c r="Q3358">
        <v>0</v>
      </c>
      <c r="R3358" s="4">
        <v>41.29</v>
      </c>
      <c r="S3358">
        <v>0</v>
      </c>
      <c r="T3358">
        <v>1</v>
      </c>
    </row>
    <row r="3359" spans="1:20" ht="16.5" x14ac:dyDescent="0.3">
      <c r="A3359" t="s">
        <v>3413</v>
      </c>
      <c r="B3359" s="1">
        <v>45763</v>
      </c>
      <c r="C3359">
        <v>2025</v>
      </c>
      <c r="D3359" t="s">
        <v>649</v>
      </c>
      <c r="E3359" t="s">
        <v>650</v>
      </c>
      <c r="F3359" t="s">
        <v>23</v>
      </c>
      <c r="G3359" t="s">
        <v>39</v>
      </c>
      <c r="H3359" t="s">
        <v>51</v>
      </c>
      <c r="I3359" t="s">
        <v>31</v>
      </c>
      <c r="J3359" t="s">
        <v>27</v>
      </c>
      <c r="K3359" t="s">
        <v>28</v>
      </c>
      <c r="L3359" s="2">
        <v>151.80000000000001</v>
      </c>
      <c r="M3359" s="3">
        <v>1083</v>
      </c>
      <c r="N3359">
        <v>7</v>
      </c>
      <c r="O3359">
        <v>7</v>
      </c>
      <c r="P3359">
        <v>1</v>
      </c>
      <c r="Q3359">
        <v>0</v>
      </c>
      <c r="R3359" s="4">
        <v>50.39</v>
      </c>
      <c r="S3359">
        <v>0</v>
      </c>
      <c r="T3359">
        <v>1</v>
      </c>
    </row>
    <row r="3360" spans="1:20" ht="16.5" x14ac:dyDescent="0.3">
      <c r="A3360" t="s">
        <v>3414</v>
      </c>
      <c r="B3360" s="1">
        <v>45763</v>
      </c>
      <c r="C3360">
        <v>2025</v>
      </c>
      <c r="D3360" t="s">
        <v>649</v>
      </c>
      <c r="E3360" t="s">
        <v>650</v>
      </c>
      <c r="F3360" t="s">
        <v>34</v>
      </c>
      <c r="G3360" t="s">
        <v>24</v>
      </c>
      <c r="H3360" t="s">
        <v>36</v>
      </c>
      <c r="I3360" t="s">
        <v>40</v>
      </c>
      <c r="J3360" t="s">
        <v>27</v>
      </c>
      <c r="K3360" t="s">
        <v>28</v>
      </c>
      <c r="L3360" s="2">
        <v>241.7</v>
      </c>
      <c r="M3360" s="3">
        <v>226</v>
      </c>
      <c r="N3360">
        <v>1</v>
      </c>
      <c r="O3360">
        <v>1</v>
      </c>
      <c r="P3360">
        <v>1</v>
      </c>
      <c r="Q3360">
        <v>0</v>
      </c>
      <c r="R3360" s="4">
        <v>172.52</v>
      </c>
      <c r="S3360">
        <v>0</v>
      </c>
      <c r="T3360">
        <v>1</v>
      </c>
    </row>
    <row r="3361" spans="1:20" ht="16.5" x14ac:dyDescent="0.3">
      <c r="A3361" t="s">
        <v>3415</v>
      </c>
      <c r="B3361" s="1">
        <v>45763</v>
      </c>
      <c r="C3361">
        <v>2025</v>
      </c>
      <c r="D3361" t="s">
        <v>649</v>
      </c>
      <c r="E3361" t="s">
        <v>650</v>
      </c>
      <c r="F3361" t="s">
        <v>38</v>
      </c>
      <c r="G3361" t="s">
        <v>39</v>
      </c>
      <c r="H3361" t="s">
        <v>36</v>
      </c>
      <c r="I3361" t="s">
        <v>26</v>
      </c>
      <c r="J3361" t="s">
        <v>27</v>
      </c>
      <c r="K3361" t="s">
        <v>32</v>
      </c>
      <c r="L3361" s="2">
        <v>5.4</v>
      </c>
      <c r="M3361" s="3">
        <v>236</v>
      </c>
      <c r="N3361">
        <v>3</v>
      </c>
      <c r="O3361">
        <v>3</v>
      </c>
      <c r="P3361">
        <v>1</v>
      </c>
      <c r="Q3361">
        <v>0</v>
      </c>
      <c r="R3361" s="4">
        <v>12.88</v>
      </c>
      <c r="S3361">
        <v>0</v>
      </c>
      <c r="T3361">
        <v>1</v>
      </c>
    </row>
    <row r="3362" spans="1:20" ht="16.5" x14ac:dyDescent="0.3">
      <c r="A3362" t="s">
        <v>3416</v>
      </c>
      <c r="B3362" s="1">
        <v>45764</v>
      </c>
      <c r="C3362">
        <v>2025</v>
      </c>
      <c r="D3362" t="s">
        <v>649</v>
      </c>
      <c r="E3362" t="s">
        <v>650</v>
      </c>
      <c r="F3362" t="s">
        <v>23</v>
      </c>
      <c r="G3362" t="s">
        <v>39</v>
      </c>
      <c r="H3362" t="s">
        <v>36</v>
      </c>
      <c r="I3362" t="s">
        <v>26</v>
      </c>
      <c r="J3362" t="s">
        <v>27</v>
      </c>
      <c r="K3362" t="s">
        <v>32</v>
      </c>
      <c r="L3362" s="2">
        <v>22.6</v>
      </c>
      <c r="M3362" s="3">
        <v>218</v>
      </c>
      <c r="N3362">
        <v>3</v>
      </c>
      <c r="O3362">
        <v>2</v>
      </c>
      <c r="P3362">
        <v>1</v>
      </c>
      <c r="Q3362">
        <v>0</v>
      </c>
      <c r="R3362" s="4">
        <v>21.98</v>
      </c>
      <c r="S3362">
        <v>0</v>
      </c>
      <c r="T3362">
        <v>1</v>
      </c>
    </row>
    <row r="3363" spans="1:20" ht="16.5" x14ac:dyDescent="0.3">
      <c r="A3363" t="s">
        <v>3417</v>
      </c>
      <c r="B3363" s="1">
        <v>45764</v>
      </c>
      <c r="C3363">
        <v>2025</v>
      </c>
      <c r="D3363" t="s">
        <v>649</v>
      </c>
      <c r="E3363" t="s">
        <v>650</v>
      </c>
      <c r="F3363" t="s">
        <v>30</v>
      </c>
      <c r="G3363" t="s">
        <v>39</v>
      </c>
      <c r="H3363" t="s">
        <v>25</v>
      </c>
      <c r="I3363" t="s">
        <v>31</v>
      </c>
      <c r="J3363" t="s">
        <v>27</v>
      </c>
      <c r="K3363" t="s">
        <v>32</v>
      </c>
      <c r="L3363" s="2">
        <v>4.4000000000000004</v>
      </c>
      <c r="M3363" s="3">
        <v>1008</v>
      </c>
      <c r="N3363">
        <v>6</v>
      </c>
      <c r="O3363">
        <v>6</v>
      </c>
      <c r="P3363">
        <v>1</v>
      </c>
      <c r="Q3363">
        <v>0</v>
      </c>
      <c r="R3363" s="4">
        <v>15.91</v>
      </c>
      <c r="S3363">
        <v>0</v>
      </c>
      <c r="T3363">
        <v>1</v>
      </c>
    </row>
    <row r="3364" spans="1:20" ht="16.5" x14ac:dyDescent="0.3">
      <c r="A3364" t="s">
        <v>3418</v>
      </c>
      <c r="B3364" s="1">
        <v>45764</v>
      </c>
      <c r="C3364">
        <v>2025</v>
      </c>
      <c r="D3364" t="s">
        <v>649</v>
      </c>
      <c r="E3364" t="s">
        <v>650</v>
      </c>
      <c r="F3364" t="s">
        <v>23</v>
      </c>
      <c r="G3364" t="s">
        <v>35</v>
      </c>
      <c r="H3364" t="s">
        <v>36</v>
      </c>
      <c r="I3364" t="s">
        <v>31</v>
      </c>
      <c r="J3364" t="s">
        <v>27</v>
      </c>
      <c r="K3364" t="s">
        <v>28</v>
      </c>
      <c r="L3364" s="2">
        <v>241.8</v>
      </c>
      <c r="M3364" s="3">
        <v>169</v>
      </c>
      <c r="N3364">
        <v>5</v>
      </c>
      <c r="O3364">
        <v>5</v>
      </c>
      <c r="P3364">
        <v>1</v>
      </c>
      <c r="Q3364">
        <v>0</v>
      </c>
      <c r="R3364" s="4">
        <v>73.25</v>
      </c>
      <c r="S3364">
        <v>0</v>
      </c>
      <c r="T3364">
        <v>1</v>
      </c>
    </row>
    <row r="3365" spans="1:20" ht="16.5" x14ac:dyDescent="0.3">
      <c r="A3365" t="s">
        <v>3419</v>
      </c>
      <c r="B3365" s="1">
        <v>45764</v>
      </c>
      <c r="C3365">
        <v>2025</v>
      </c>
      <c r="D3365" t="s">
        <v>649</v>
      </c>
      <c r="E3365" t="s">
        <v>650</v>
      </c>
      <c r="F3365" t="s">
        <v>34</v>
      </c>
      <c r="G3365" t="s">
        <v>39</v>
      </c>
      <c r="H3365" t="s">
        <v>36</v>
      </c>
      <c r="I3365" t="s">
        <v>40</v>
      </c>
      <c r="J3365" t="s">
        <v>27</v>
      </c>
      <c r="K3365" t="s">
        <v>28</v>
      </c>
      <c r="L3365" s="2">
        <v>88.5</v>
      </c>
      <c r="M3365" s="3">
        <v>221</v>
      </c>
      <c r="N3365">
        <v>1</v>
      </c>
      <c r="O3365">
        <v>1</v>
      </c>
      <c r="P3365">
        <v>1</v>
      </c>
      <c r="Q3365">
        <v>0</v>
      </c>
      <c r="R3365" s="4">
        <v>79.150000000000006</v>
      </c>
      <c r="S3365">
        <v>0</v>
      </c>
      <c r="T3365">
        <v>1</v>
      </c>
    </row>
    <row r="3366" spans="1:20" ht="16.5" x14ac:dyDescent="0.3">
      <c r="A3366" t="s">
        <v>3420</v>
      </c>
      <c r="B3366" s="1">
        <v>45764</v>
      </c>
      <c r="C3366">
        <v>2025</v>
      </c>
      <c r="D3366" t="s">
        <v>649</v>
      </c>
      <c r="E3366" t="s">
        <v>650</v>
      </c>
      <c r="F3366" t="s">
        <v>57</v>
      </c>
      <c r="G3366" t="s">
        <v>35</v>
      </c>
      <c r="H3366" t="s">
        <v>43</v>
      </c>
      <c r="I3366" t="s">
        <v>40</v>
      </c>
      <c r="J3366" t="s">
        <v>41</v>
      </c>
      <c r="K3366" t="s">
        <v>32</v>
      </c>
      <c r="L3366" s="2">
        <v>3.8</v>
      </c>
      <c r="M3366" s="3">
        <v>1067</v>
      </c>
      <c r="N3366">
        <v>3</v>
      </c>
      <c r="O3366">
        <v>2</v>
      </c>
      <c r="P3366">
        <v>1</v>
      </c>
      <c r="Q3366">
        <v>0</v>
      </c>
      <c r="R3366" s="4">
        <v>66.8</v>
      </c>
      <c r="S3366">
        <v>0</v>
      </c>
      <c r="T3366">
        <v>1</v>
      </c>
    </row>
    <row r="3367" spans="1:20" ht="16.5" x14ac:dyDescent="0.3">
      <c r="A3367" t="s">
        <v>3421</v>
      </c>
      <c r="B3367" s="1">
        <v>45764</v>
      </c>
      <c r="C3367">
        <v>2025</v>
      </c>
      <c r="D3367" t="s">
        <v>649</v>
      </c>
      <c r="E3367" t="s">
        <v>650</v>
      </c>
      <c r="F3367" t="s">
        <v>57</v>
      </c>
      <c r="G3367" t="s">
        <v>39</v>
      </c>
      <c r="H3367" t="s">
        <v>25</v>
      </c>
      <c r="I3367" t="s">
        <v>26</v>
      </c>
      <c r="J3367" t="s">
        <v>27</v>
      </c>
      <c r="K3367" t="s">
        <v>28</v>
      </c>
      <c r="L3367" s="2">
        <v>62.5</v>
      </c>
      <c r="M3367" s="3">
        <v>992</v>
      </c>
      <c r="N3367">
        <v>4</v>
      </c>
      <c r="O3367">
        <v>3</v>
      </c>
      <c r="P3367">
        <v>1</v>
      </c>
      <c r="Q3367">
        <v>0</v>
      </c>
      <c r="R3367" s="4">
        <v>50.55</v>
      </c>
      <c r="S3367">
        <v>0</v>
      </c>
      <c r="T3367">
        <v>1</v>
      </c>
    </row>
    <row r="3368" spans="1:20" ht="16.5" x14ac:dyDescent="0.3">
      <c r="A3368" t="s">
        <v>3422</v>
      </c>
      <c r="B3368" s="1">
        <v>45764</v>
      </c>
      <c r="C3368">
        <v>2025</v>
      </c>
      <c r="D3368" t="s">
        <v>649</v>
      </c>
      <c r="E3368" t="s">
        <v>650</v>
      </c>
      <c r="F3368" t="s">
        <v>34</v>
      </c>
      <c r="G3368" t="s">
        <v>35</v>
      </c>
      <c r="H3368" t="s">
        <v>36</v>
      </c>
      <c r="I3368" t="s">
        <v>26</v>
      </c>
      <c r="J3368" t="s">
        <v>27</v>
      </c>
      <c r="K3368" t="s">
        <v>32</v>
      </c>
      <c r="L3368" s="2">
        <v>5.8</v>
      </c>
      <c r="M3368" s="3">
        <v>234</v>
      </c>
      <c r="N3368">
        <v>3</v>
      </c>
      <c r="O3368">
        <v>5</v>
      </c>
      <c r="P3368">
        <v>0</v>
      </c>
      <c r="Q3368">
        <v>2</v>
      </c>
      <c r="R3368" s="4">
        <v>11.47</v>
      </c>
      <c r="S3368">
        <v>0</v>
      </c>
      <c r="T3368">
        <v>1</v>
      </c>
    </row>
    <row r="3369" spans="1:20" ht="16.5" x14ac:dyDescent="0.3">
      <c r="A3369" t="s">
        <v>3423</v>
      </c>
      <c r="B3369" s="1">
        <v>45764</v>
      </c>
      <c r="C3369">
        <v>2025</v>
      </c>
      <c r="D3369" t="s">
        <v>649</v>
      </c>
      <c r="E3369" t="s">
        <v>650</v>
      </c>
      <c r="F3369" t="s">
        <v>57</v>
      </c>
      <c r="G3369" t="s">
        <v>39</v>
      </c>
      <c r="H3369" t="s">
        <v>36</v>
      </c>
      <c r="I3369" t="s">
        <v>26</v>
      </c>
      <c r="J3369" t="s">
        <v>27</v>
      </c>
      <c r="K3369" t="s">
        <v>32</v>
      </c>
      <c r="L3369" s="2">
        <v>6.5</v>
      </c>
      <c r="M3369" s="3">
        <v>254</v>
      </c>
      <c r="N3369">
        <v>3</v>
      </c>
      <c r="O3369">
        <v>3</v>
      </c>
      <c r="P3369">
        <v>1</v>
      </c>
      <c r="Q3369">
        <v>0</v>
      </c>
      <c r="R3369" s="4">
        <v>13.78</v>
      </c>
      <c r="S3369">
        <v>0</v>
      </c>
      <c r="T3369">
        <v>1</v>
      </c>
    </row>
    <row r="3370" spans="1:20" ht="16.5" x14ac:dyDescent="0.3">
      <c r="A3370" t="s">
        <v>3424</v>
      </c>
      <c r="B3370" s="1">
        <v>45764</v>
      </c>
      <c r="C3370">
        <v>2025</v>
      </c>
      <c r="D3370" t="s">
        <v>649</v>
      </c>
      <c r="E3370" t="s">
        <v>650</v>
      </c>
      <c r="F3370" t="s">
        <v>57</v>
      </c>
      <c r="G3370" t="s">
        <v>39</v>
      </c>
      <c r="H3370" t="s">
        <v>43</v>
      </c>
      <c r="I3370" t="s">
        <v>40</v>
      </c>
      <c r="J3370" t="s">
        <v>41</v>
      </c>
      <c r="K3370" t="s">
        <v>28</v>
      </c>
      <c r="L3370" s="2">
        <v>30.4</v>
      </c>
      <c r="M3370" s="3">
        <v>1113</v>
      </c>
      <c r="N3370">
        <v>3</v>
      </c>
      <c r="O3370">
        <v>3</v>
      </c>
      <c r="P3370">
        <v>1</v>
      </c>
      <c r="Q3370">
        <v>0</v>
      </c>
      <c r="R3370" s="4">
        <v>104.07</v>
      </c>
      <c r="S3370">
        <v>0</v>
      </c>
      <c r="T3370">
        <v>1</v>
      </c>
    </row>
    <row r="3371" spans="1:20" ht="16.5" x14ac:dyDescent="0.3">
      <c r="A3371" t="s">
        <v>3425</v>
      </c>
      <c r="B3371" s="1">
        <v>45764</v>
      </c>
      <c r="C3371">
        <v>2025</v>
      </c>
      <c r="D3371" t="s">
        <v>649</v>
      </c>
      <c r="E3371" t="s">
        <v>650</v>
      </c>
      <c r="F3371" t="s">
        <v>38</v>
      </c>
      <c r="G3371" t="s">
        <v>35</v>
      </c>
      <c r="H3371" t="s">
        <v>48</v>
      </c>
      <c r="I3371" t="s">
        <v>31</v>
      </c>
      <c r="J3371" t="s">
        <v>27</v>
      </c>
      <c r="K3371" t="s">
        <v>32</v>
      </c>
      <c r="L3371" s="2">
        <v>1.6</v>
      </c>
      <c r="M3371" s="3">
        <v>526</v>
      </c>
      <c r="N3371">
        <v>6</v>
      </c>
      <c r="O3371">
        <v>5</v>
      </c>
      <c r="P3371">
        <v>1</v>
      </c>
      <c r="Q3371">
        <v>0</v>
      </c>
      <c r="R3371" s="4">
        <v>11.35</v>
      </c>
      <c r="S3371">
        <v>0</v>
      </c>
      <c r="T3371">
        <v>1</v>
      </c>
    </row>
    <row r="3372" spans="1:20" ht="16.5" x14ac:dyDescent="0.3">
      <c r="A3372" t="s">
        <v>3426</v>
      </c>
      <c r="B3372" s="1">
        <v>45764</v>
      </c>
      <c r="C3372">
        <v>2025</v>
      </c>
      <c r="D3372" t="s">
        <v>649</v>
      </c>
      <c r="E3372" t="s">
        <v>650</v>
      </c>
      <c r="F3372" t="s">
        <v>57</v>
      </c>
      <c r="G3372" t="s">
        <v>35</v>
      </c>
      <c r="H3372" t="s">
        <v>48</v>
      </c>
      <c r="I3372" t="s">
        <v>31</v>
      </c>
      <c r="J3372" t="s">
        <v>27</v>
      </c>
      <c r="K3372" t="s">
        <v>28</v>
      </c>
      <c r="L3372" s="2">
        <v>122.7</v>
      </c>
      <c r="M3372" s="3">
        <v>338</v>
      </c>
      <c r="N3372">
        <v>6</v>
      </c>
      <c r="O3372">
        <v>6</v>
      </c>
      <c r="P3372">
        <v>1</v>
      </c>
      <c r="Q3372">
        <v>0</v>
      </c>
      <c r="R3372" s="4">
        <v>49.09</v>
      </c>
      <c r="S3372">
        <v>0</v>
      </c>
      <c r="T3372">
        <v>1</v>
      </c>
    </row>
    <row r="3373" spans="1:20" ht="16.5" x14ac:dyDescent="0.3">
      <c r="A3373" t="s">
        <v>3427</v>
      </c>
      <c r="B3373" s="1">
        <v>45765</v>
      </c>
      <c r="C3373">
        <v>2025</v>
      </c>
      <c r="D3373" t="s">
        <v>649</v>
      </c>
      <c r="E3373" t="s">
        <v>650</v>
      </c>
      <c r="F3373" t="s">
        <v>57</v>
      </c>
      <c r="G3373" t="s">
        <v>39</v>
      </c>
      <c r="H3373" t="s">
        <v>36</v>
      </c>
      <c r="I3373" t="s">
        <v>26</v>
      </c>
      <c r="J3373" t="s">
        <v>27</v>
      </c>
      <c r="K3373" t="s">
        <v>32</v>
      </c>
      <c r="L3373" s="2">
        <v>6</v>
      </c>
      <c r="M3373" s="3">
        <v>257</v>
      </c>
      <c r="N3373">
        <v>3</v>
      </c>
      <c r="O3373">
        <v>2</v>
      </c>
      <c r="P3373">
        <v>1</v>
      </c>
      <c r="Q3373">
        <v>0</v>
      </c>
      <c r="R3373" s="4">
        <v>12.66</v>
      </c>
      <c r="S3373">
        <v>0</v>
      </c>
      <c r="T3373">
        <v>1</v>
      </c>
    </row>
    <row r="3374" spans="1:20" ht="16.5" x14ac:dyDescent="0.3">
      <c r="A3374" t="s">
        <v>3428</v>
      </c>
      <c r="B3374" s="1">
        <v>45765</v>
      </c>
      <c r="C3374">
        <v>2025</v>
      </c>
      <c r="D3374" t="s">
        <v>649</v>
      </c>
      <c r="E3374" t="s">
        <v>650</v>
      </c>
      <c r="F3374" t="s">
        <v>38</v>
      </c>
      <c r="G3374" t="s">
        <v>35</v>
      </c>
      <c r="H3374" t="s">
        <v>36</v>
      </c>
      <c r="I3374" t="s">
        <v>26</v>
      </c>
      <c r="J3374" t="s">
        <v>27</v>
      </c>
      <c r="K3374" t="s">
        <v>28</v>
      </c>
      <c r="L3374" s="2">
        <v>100</v>
      </c>
      <c r="M3374" s="3">
        <v>250</v>
      </c>
      <c r="N3374">
        <v>3</v>
      </c>
      <c r="O3374">
        <v>3</v>
      </c>
      <c r="P3374">
        <v>1</v>
      </c>
      <c r="Q3374">
        <v>0</v>
      </c>
      <c r="R3374" s="4">
        <v>65.37</v>
      </c>
      <c r="S3374">
        <v>0</v>
      </c>
      <c r="T3374">
        <v>1</v>
      </c>
    </row>
    <row r="3375" spans="1:20" ht="16.5" x14ac:dyDescent="0.3">
      <c r="A3375" t="s">
        <v>3429</v>
      </c>
      <c r="B3375" s="1">
        <v>45765</v>
      </c>
      <c r="C3375">
        <v>2025</v>
      </c>
      <c r="D3375" t="s">
        <v>649</v>
      </c>
      <c r="E3375" t="s">
        <v>650</v>
      </c>
      <c r="F3375" t="s">
        <v>38</v>
      </c>
      <c r="G3375" t="s">
        <v>35</v>
      </c>
      <c r="H3375" t="s">
        <v>48</v>
      </c>
      <c r="I3375" t="s">
        <v>26</v>
      </c>
      <c r="J3375" t="s">
        <v>27</v>
      </c>
      <c r="K3375" t="s">
        <v>32</v>
      </c>
      <c r="L3375" s="2">
        <v>6.5</v>
      </c>
      <c r="M3375" s="3">
        <v>593</v>
      </c>
      <c r="N3375">
        <v>4</v>
      </c>
      <c r="O3375">
        <v>3</v>
      </c>
      <c r="P3375">
        <v>1</v>
      </c>
      <c r="Q3375">
        <v>0</v>
      </c>
      <c r="R3375" s="4">
        <v>18.07</v>
      </c>
      <c r="S3375">
        <v>0</v>
      </c>
      <c r="T3375">
        <v>1</v>
      </c>
    </row>
    <row r="3376" spans="1:20" ht="16.5" x14ac:dyDescent="0.3">
      <c r="A3376" t="s">
        <v>3430</v>
      </c>
      <c r="B3376" s="1">
        <v>45765</v>
      </c>
      <c r="C3376">
        <v>2025</v>
      </c>
      <c r="D3376" t="s">
        <v>649</v>
      </c>
      <c r="E3376" t="s">
        <v>650</v>
      </c>
      <c r="F3376" t="s">
        <v>38</v>
      </c>
      <c r="G3376" t="s">
        <v>35</v>
      </c>
      <c r="H3376" t="s">
        <v>48</v>
      </c>
      <c r="I3376" t="s">
        <v>31</v>
      </c>
      <c r="J3376" t="s">
        <v>27</v>
      </c>
      <c r="K3376" t="s">
        <v>32</v>
      </c>
      <c r="L3376" s="2">
        <v>4.9000000000000004</v>
      </c>
      <c r="M3376" s="3">
        <v>508</v>
      </c>
      <c r="N3376">
        <v>6</v>
      </c>
      <c r="O3376">
        <v>6</v>
      </c>
      <c r="P3376">
        <v>1</v>
      </c>
      <c r="Q3376">
        <v>0</v>
      </c>
      <c r="R3376" s="4">
        <v>11.72</v>
      </c>
      <c r="S3376">
        <v>0</v>
      </c>
      <c r="T3376">
        <v>1</v>
      </c>
    </row>
    <row r="3377" spans="1:20" ht="16.5" x14ac:dyDescent="0.3">
      <c r="A3377" t="s">
        <v>3431</v>
      </c>
      <c r="B3377" s="1">
        <v>45765</v>
      </c>
      <c r="C3377">
        <v>2025</v>
      </c>
      <c r="D3377" t="s">
        <v>649</v>
      </c>
      <c r="E3377" t="s">
        <v>650</v>
      </c>
      <c r="F3377" t="s">
        <v>57</v>
      </c>
      <c r="G3377" t="s">
        <v>24</v>
      </c>
      <c r="H3377" t="s">
        <v>36</v>
      </c>
      <c r="I3377" t="s">
        <v>40</v>
      </c>
      <c r="J3377" t="s">
        <v>27</v>
      </c>
      <c r="K3377" t="s">
        <v>28</v>
      </c>
      <c r="L3377" s="2">
        <v>52.8</v>
      </c>
      <c r="M3377" s="3">
        <v>244</v>
      </c>
      <c r="N3377">
        <v>1</v>
      </c>
      <c r="O3377">
        <v>1</v>
      </c>
      <c r="P3377">
        <v>1</v>
      </c>
      <c r="Q3377">
        <v>0</v>
      </c>
      <c r="R3377" s="4">
        <v>62.9</v>
      </c>
      <c r="S3377">
        <v>0</v>
      </c>
      <c r="T3377">
        <v>1</v>
      </c>
    </row>
    <row r="3378" spans="1:20" ht="16.5" x14ac:dyDescent="0.3">
      <c r="A3378" t="s">
        <v>3432</v>
      </c>
      <c r="B3378" s="1">
        <v>45765</v>
      </c>
      <c r="C3378">
        <v>2025</v>
      </c>
      <c r="D3378" t="s">
        <v>649</v>
      </c>
      <c r="E3378" t="s">
        <v>650</v>
      </c>
      <c r="F3378" t="s">
        <v>23</v>
      </c>
      <c r="G3378" t="s">
        <v>39</v>
      </c>
      <c r="H3378" t="s">
        <v>25</v>
      </c>
      <c r="I3378" t="s">
        <v>26</v>
      </c>
      <c r="J3378" t="s">
        <v>27</v>
      </c>
      <c r="K3378" t="s">
        <v>28</v>
      </c>
      <c r="L3378" s="2">
        <v>157.4</v>
      </c>
      <c r="M3378" s="3">
        <v>824</v>
      </c>
      <c r="N3378">
        <v>4</v>
      </c>
      <c r="O3378">
        <v>3</v>
      </c>
      <c r="P3378">
        <v>1</v>
      </c>
      <c r="Q3378">
        <v>0</v>
      </c>
      <c r="R3378" s="4">
        <v>80.67</v>
      </c>
      <c r="S3378">
        <v>0</v>
      </c>
      <c r="T3378">
        <v>1</v>
      </c>
    </row>
    <row r="3379" spans="1:20" ht="16.5" x14ac:dyDescent="0.3">
      <c r="A3379" t="s">
        <v>3433</v>
      </c>
      <c r="B3379" s="1">
        <v>45765</v>
      </c>
      <c r="C3379">
        <v>2025</v>
      </c>
      <c r="D3379" t="s">
        <v>649</v>
      </c>
      <c r="E3379" t="s">
        <v>650</v>
      </c>
      <c r="F3379" t="s">
        <v>57</v>
      </c>
      <c r="G3379" t="s">
        <v>39</v>
      </c>
      <c r="H3379" t="s">
        <v>36</v>
      </c>
      <c r="I3379" t="s">
        <v>26</v>
      </c>
      <c r="J3379" t="s">
        <v>27</v>
      </c>
      <c r="K3379" t="s">
        <v>28</v>
      </c>
      <c r="L3379" s="2">
        <v>120.8</v>
      </c>
      <c r="M3379" s="3">
        <v>261</v>
      </c>
      <c r="N3379">
        <v>3</v>
      </c>
      <c r="O3379">
        <v>3</v>
      </c>
      <c r="P3379">
        <v>1</v>
      </c>
      <c r="Q3379">
        <v>0</v>
      </c>
      <c r="R3379" s="4">
        <v>58.64</v>
      </c>
      <c r="S3379">
        <v>0</v>
      </c>
      <c r="T3379">
        <v>1</v>
      </c>
    </row>
    <row r="3380" spans="1:20" ht="16.5" x14ac:dyDescent="0.3">
      <c r="A3380" t="s">
        <v>3434</v>
      </c>
      <c r="B3380" s="1">
        <v>45765</v>
      </c>
      <c r="C3380">
        <v>2025</v>
      </c>
      <c r="D3380" t="s">
        <v>649</v>
      </c>
      <c r="E3380" t="s">
        <v>650</v>
      </c>
      <c r="F3380" t="s">
        <v>23</v>
      </c>
      <c r="G3380" t="s">
        <v>39</v>
      </c>
      <c r="H3380" t="s">
        <v>25</v>
      </c>
      <c r="I3380" t="s">
        <v>26</v>
      </c>
      <c r="J3380" t="s">
        <v>27</v>
      </c>
      <c r="K3380" t="s">
        <v>32</v>
      </c>
      <c r="L3380" s="2">
        <v>5.7</v>
      </c>
      <c r="M3380" s="3">
        <v>768</v>
      </c>
      <c r="N3380">
        <v>4</v>
      </c>
      <c r="O3380">
        <v>3</v>
      </c>
      <c r="P3380">
        <v>1</v>
      </c>
      <c r="Q3380">
        <v>0</v>
      </c>
      <c r="R3380" s="4">
        <v>18.93</v>
      </c>
      <c r="S3380">
        <v>0</v>
      </c>
      <c r="T3380">
        <v>1</v>
      </c>
    </row>
    <row r="3381" spans="1:20" ht="16.5" x14ac:dyDescent="0.3">
      <c r="A3381" t="s">
        <v>3435</v>
      </c>
      <c r="B3381" s="1">
        <v>45765</v>
      </c>
      <c r="C3381">
        <v>2025</v>
      </c>
      <c r="D3381" t="s">
        <v>649</v>
      </c>
      <c r="E3381" t="s">
        <v>650</v>
      </c>
      <c r="F3381" t="s">
        <v>34</v>
      </c>
      <c r="G3381" t="s">
        <v>39</v>
      </c>
      <c r="H3381" t="s">
        <v>36</v>
      </c>
      <c r="I3381" t="s">
        <v>26</v>
      </c>
      <c r="J3381" t="s">
        <v>27</v>
      </c>
      <c r="K3381" t="s">
        <v>28</v>
      </c>
      <c r="L3381" s="2">
        <v>139.6</v>
      </c>
      <c r="M3381" s="3">
        <v>285</v>
      </c>
      <c r="N3381">
        <v>3</v>
      </c>
      <c r="O3381">
        <v>4</v>
      </c>
      <c r="P3381">
        <v>0</v>
      </c>
      <c r="Q3381">
        <v>1</v>
      </c>
      <c r="R3381" s="4">
        <v>58.84</v>
      </c>
      <c r="S3381">
        <v>0</v>
      </c>
      <c r="T3381">
        <v>1</v>
      </c>
    </row>
    <row r="3382" spans="1:20" ht="16.5" x14ac:dyDescent="0.3">
      <c r="A3382" t="s">
        <v>3436</v>
      </c>
      <c r="B3382" s="1">
        <v>45765</v>
      </c>
      <c r="C3382">
        <v>2025</v>
      </c>
      <c r="D3382" t="s">
        <v>649</v>
      </c>
      <c r="E3382" t="s">
        <v>650</v>
      </c>
      <c r="F3382" t="s">
        <v>57</v>
      </c>
      <c r="G3382" t="s">
        <v>24</v>
      </c>
      <c r="H3382" t="s">
        <v>36</v>
      </c>
      <c r="I3382" t="s">
        <v>40</v>
      </c>
      <c r="J3382" t="s">
        <v>27</v>
      </c>
      <c r="K3382" t="s">
        <v>28</v>
      </c>
      <c r="L3382" s="2">
        <v>93.2</v>
      </c>
      <c r="M3382" s="3">
        <v>274</v>
      </c>
      <c r="N3382">
        <v>1</v>
      </c>
      <c r="O3382">
        <v>1</v>
      </c>
      <c r="P3382">
        <v>1</v>
      </c>
      <c r="Q3382">
        <v>0</v>
      </c>
      <c r="R3382" s="4">
        <v>98.46</v>
      </c>
      <c r="S3382">
        <v>0</v>
      </c>
      <c r="T3382">
        <v>1</v>
      </c>
    </row>
    <row r="3383" spans="1:20" ht="16.5" x14ac:dyDescent="0.3">
      <c r="A3383" t="s">
        <v>3437</v>
      </c>
      <c r="B3383" s="1">
        <v>45765</v>
      </c>
      <c r="C3383">
        <v>2025</v>
      </c>
      <c r="D3383" t="s">
        <v>649</v>
      </c>
      <c r="E3383" t="s">
        <v>650</v>
      </c>
      <c r="F3383" t="s">
        <v>34</v>
      </c>
      <c r="G3383" t="s">
        <v>35</v>
      </c>
      <c r="H3383" t="s">
        <v>36</v>
      </c>
      <c r="I3383" t="s">
        <v>26</v>
      </c>
      <c r="J3383" t="s">
        <v>27</v>
      </c>
      <c r="K3383" t="s">
        <v>32</v>
      </c>
      <c r="L3383" s="2">
        <v>3.4</v>
      </c>
      <c r="M3383" s="3">
        <v>258</v>
      </c>
      <c r="N3383">
        <v>3</v>
      </c>
      <c r="O3383">
        <v>3</v>
      </c>
      <c r="P3383">
        <v>1</v>
      </c>
      <c r="Q3383">
        <v>0</v>
      </c>
      <c r="R3383" s="4">
        <v>10.39</v>
      </c>
      <c r="S3383">
        <v>0</v>
      </c>
      <c r="T3383">
        <v>1</v>
      </c>
    </row>
    <row r="3384" spans="1:20" ht="16.5" x14ac:dyDescent="0.3">
      <c r="A3384" t="s">
        <v>3438</v>
      </c>
      <c r="B3384" s="1">
        <v>45766</v>
      </c>
      <c r="C3384">
        <v>2025</v>
      </c>
      <c r="D3384" t="s">
        <v>649</v>
      </c>
      <c r="E3384" t="s">
        <v>650</v>
      </c>
      <c r="F3384" t="s">
        <v>38</v>
      </c>
      <c r="G3384" t="s">
        <v>39</v>
      </c>
      <c r="H3384" t="s">
        <v>48</v>
      </c>
      <c r="I3384" t="s">
        <v>31</v>
      </c>
      <c r="J3384" t="s">
        <v>27</v>
      </c>
      <c r="K3384" t="s">
        <v>32</v>
      </c>
      <c r="L3384" s="2">
        <v>2.8</v>
      </c>
      <c r="M3384" s="3">
        <v>285</v>
      </c>
      <c r="N3384">
        <v>6</v>
      </c>
      <c r="O3384">
        <v>6</v>
      </c>
      <c r="P3384">
        <v>1</v>
      </c>
      <c r="Q3384">
        <v>0</v>
      </c>
      <c r="R3384" s="4">
        <v>9.49</v>
      </c>
      <c r="S3384">
        <v>0</v>
      </c>
      <c r="T3384">
        <v>1</v>
      </c>
    </row>
    <row r="3385" spans="1:20" ht="16.5" x14ac:dyDescent="0.3">
      <c r="A3385" t="s">
        <v>3439</v>
      </c>
      <c r="B3385" s="1">
        <v>45766</v>
      </c>
      <c r="C3385">
        <v>2025</v>
      </c>
      <c r="D3385" t="s">
        <v>649</v>
      </c>
      <c r="E3385" t="s">
        <v>650</v>
      </c>
      <c r="F3385" t="s">
        <v>38</v>
      </c>
      <c r="G3385" t="s">
        <v>39</v>
      </c>
      <c r="H3385" t="s">
        <v>25</v>
      </c>
      <c r="I3385" t="s">
        <v>31</v>
      </c>
      <c r="J3385" t="s">
        <v>27</v>
      </c>
      <c r="K3385" t="s">
        <v>28</v>
      </c>
      <c r="L3385" s="2">
        <v>252</v>
      </c>
      <c r="M3385" s="3">
        <v>1104</v>
      </c>
      <c r="N3385">
        <v>6</v>
      </c>
      <c r="O3385">
        <v>6</v>
      </c>
      <c r="P3385">
        <v>1</v>
      </c>
      <c r="Q3385">
        <v>0</v>
      </c>
      <c r="R3385" s="4">
        <v>93.51</v>
      </c>
      <c r="S3385">
        <v>0</v>
      </c>
      <c r="T3385">
        <v>1</v>
      </c>
    </row>
    <row r="3386" spans="1:20" ht="16.5" x14ac:dyDescent="0.3">
      <c r="A3386" t="s">
        <v>3440</v>
      </c>
      <c r="B3386" s="1">
        <v>45767</v>
      </c>
      <c r="C3386">
        <v>2025</v>
      </c>
      <c r="D3386" t="s">
        <v>649</v>
      </c>
      <c r="E3386" t="s">
        <v>650</v>
      </c>
      <c r="F3386" t="s">
        <v>38</v>
      </c>
      <c r="G3386" t="s">
        <v>35</v>
      </c>
      <c r="H3386" t="s">
        <v>51</v>
      </c>
      <c r="I3386" t="s">
        <v>31</v>
      </c>
      <c r="J3386" t="s">
        <v>27</v>
      </c>
      <c r="K3386" t="s">
        <v>32</v>
      </c>
      <c r="L3386" s="2">
        <v>14.8</v>
      </c>
      <c r="M3386" s="3">
        <v>946</v>
      </c>
      <c r="N3386">
        <v>7</v>
      </c>
      <c r="O3386">
        <v>7</v>
      </c>
      <c r="P3386">
        <v>1</v>
      </c>
      <c r="Q3386">
        <v>0</v>
      </c>
      <c r="R3386" s="4">
        <v>20.77</v>
      </c>
      <c r="S3386">
        <v>0</v>
      </c>
      <c r="T3386">
        <v>1</v>
      </c>
    </row>
    <row r="3387" spans="1:20" ht="16.5" x14ac:dyDescent="0.3">
      <c r="A3387" t="s">
        <v>3441</v>
      </c>
      <c r="B3387" s="1">
        <v>45767</v>
      </c>
      <c r="C3387">
        <v>2025</v>
      </c>
      <c r="D3387" t="s">
        <v>649</v>
      </c>
      <c r="E3387" t="s">
        <v>650</v>
      </c>
      <c r="F3387" t="s">
        <v>57</v>
      </c>
      <c r="G3387" t="s">
        <v>24</v>
      </c>
      <c r="H3387" t="s">
        <v>36</v>
      </c>
      <c r="I3387" t="s">
        <v>26</v>
      </c>
      <c r="J3387" t="s">
        <v>27</v>
      </c>
      <c r="K3387" t="s">
        <v>28</v>
      </c>
      <c r="L3387" s="2">
        <v>266.39999999999998</v>
      </c>
      <c r="M3387" s="3">
        <v>256</v>
      </c>
      <c r="N3387">
        <v>3</v>
      </c>
      <c r="O3387">
        <v>3</v>
      </c>
      <c r="P3387">
        <v>1</v>
      </c>
      <c r="Q3387">
        <v>0</v>
      </c>
      <c r="R3387" s="4">
        <v>118.84</v>
      </c>
      <c r="S3387">
        <v>0</v>
      </c>
      <c r="T3387">
        <v>1</v>
      </c>
    </row>
    <row r="3388" spans="1:20" ht="16.5" x14ac:dyDescent="0.3">
      <c r="A3388" t="s">
        <v>3442</v>
      </c>
      <c r="B3388" s="1">
        <v>45767</v>
      </c>
      <c r="C3388">
        <v>2025</v>
      </c>
      <c r="D3388" t="s">
        <v>649</v>
      </c>
      <c r="E3388" t="s">
        <v>650</v>
      </c>
      <c r="F3388" t="s">
        <v>34</v>
      </c>
      <c r="G3388" t="s">
        <v>39</v>
      </c>
      <c r="H3388" t="s">
        <v>25</v>
      </c>
      <c r="I3388" t="s">
        <v>26</v>
      </c>
      <c r="J3388" t="s">
        <v>27</v>
      </c>
      <c r="K3388" t="s">
        <v>32</v>
      </c>
      <c r="L3388" s="2">
        <v>5.4</v>
      </c>
      <c r="M3388" s="3">
        <v>766</v>
      </c>
      <c r="N3388">
        <v>4</v>
      </c>
      <c r="O3388">
        <v>4</v>
      </c>
      <c r="P3388">
        <v>1</v>
      </c>
      <c r="Q3388">
        <v>0</v>
      </c>
      <c r="R3388" s="4">
        <v>17.170000000000002</v>
      </c>
      <c r="S3388">
        <v>0</v>
      </c>
      <c r="T3388">
        <v>1</v>
      </c>
    </row>
    <row r="3389" spans="1:20" ht="16.5" x14ac:dyDescent="0.3">
      <c r="A3389" t="s">
        <v>3443</v>
      </c>
      <c r="B3389" s="1">
        <v>45767</v>
      </c>
      <c r="C3389">
        <v>2025</v>
      </c>
      <c r="D3389" t="s">
        <v>649</v>
      </c>
      <c r="E3389" t="s">
        <v>650</v>
      </c>
      <c r="F3389" t="s">
        <v>38</v>
      </c>
      <c r="G3389" t="s">
        <v>35</v>
      </c>
      <c r="H3389" t="s">
        <v>36</v>
      </c>
      <c r="I3389" t="s">
        <v>40</v>
      </c>
      <c r="J3389" t="s">
        <v>27</v>
      </c>
      <c r="K3389" t="s">
        <v>32</v>
      </c>
      <c r="L3389" s="2">
        <v>14.8</v>
      </c>
      <c r="M3389" s="3">
        <v>212</v>
      </c>
      <c r="N3389">
        <v>1</v>
      </c>
      <c r="O3389">
        <v>1</v>
      </c>
      <c r="P3389">
        <v>1</v>
      </c>
      <c r="Q3389">
        <v>0</v>
      </c>
      <c r="R3389" s="4">
        <v>36.68</v>
      </c>
      <c r="S3389">
        <v>0</v>
      </c>
      <c r="T3389">
        <v>1</v>
      </c>
    </row>
    <row r="3390" spans="1:20" ht="16.5" x14ac:dyDescent="0.3">
      <c r="A3390" t="s">
        <v>3444</v>
      </c>
      <c r="B3390" s="1">
        <v>45768</v>
      </c>
      <c r="C3390">
        <v>2025</v>
      </c>
      <c r="D3390" t="s">
        <v>649</v>
      </c>
      <c r="E3390" t="s">
        <v>650</v>
      </c>
      <c r="F3390" t="s">
        <v>23</v>
      </c>
      <c r="G3390" t="s">
        <v>35</v>
      </c>
      <c r="H3390" t="s">
        <v>25</v>
      </c>
      <c r="I3390" t="s">
        <v>31</v>
      </c>
      <c r="J3390" t="s">
        <v>27</v>
      </c>
      <c r="K3390" t="s">
        <v>32</v>
      </c>
      <c r="L3390" s="2">
        <v>7</v>
      </c>
      <c r="M3390" s="3">
        <v>672</v>
      </c>
      <c r="N3390">
        <v>6</v>
      </c>
      <c r="O3390">
        <v>6</v>
      </c>
      <c r="P3390">
        <v>1</v>
      </c>
      <c r="Q3390">
        <v>0</v>
      </c>
      <c r="R3390" s="4">
        <v>13.06</v>
      </c>
      <c r="S3390">
        <v>0</v>
      </c>
      <c r="T3390">
        <v>1</v>
      </c>
    </row>
    <row r="3391" spans="1:20" ht="16.5" x14ac:dyDescent="0.3">
      <c r="A3391" t="s">
        <v>3445</v>
      </c>
      <c r="B3391" s="1">
        <v>45768</v>
      </c>
      <c r="C3391">
        <v>2025</v>
      </c>
      <c r="D3391" t="s">
        <v>649</v>
      </c>
      <c r="E3391" t="s">
        <v>650</v>
      </c>
      <c r="F3391" t="s">
        <v>57</v>
      </c>
      <c r="G3391" t="s">
        <v>39</v>
      </c>
      <c r="H3391" t="s">
        <v>51</v>
      </c>
      <c r="I3391" t="s">
        <v>31</v>
      </c>
      <c r="J3391" t="s">
        <v>27</v>
      </c>
      <c r="K3391" t="s">
        <v>28</v>
      </c>
      <c r="L3391" s="2">
        <v>51.9</v>
      </c>
      <c r="M3391" s="3">
        <v>875</v>
      </c>
      <c r="N3391">
        <v>7</v>
      </c>
      <c r="O3391">
        <v>7</v>
      </c>
      <c r="P3391">
        <v>1</v>
      </c>
      <c r="Q3391">
        <v>0</v>
      </c>
      <c r="R3391" s="4">
        <v>31.44</v>
      </c>
      <c r="S3391">
        <v>0</v>
      </c>
      <c r="T3391">
        <v>1</v>
      </c>
    </row>
    <row r="3392" spans="1:20" ht="16.5" x14ac:dyDescent="0.3">
      <c r="A3392" t="s">
        <v>3446</v>
      </c>
      <c r="B3392" s="1">
        <v>45768</v>
      </c>
      <c r="C3392">
        <v>2025</v>
      </c>
      <c r="D3392" t="s">
        <v>649</v>
      </c>
      <c r="E3392" t="s">
        <v>650</v>
      </c>
      <c r="F3392" t="s">
        <v>57</v>
      </c>
      <c r="G3392" t="s">
        <v>39</v>
      </c>
      <c r="H3392" t="s">
        <v>36</v>
      </c>
      <c r="I3392" t="s">
        <v>26</v>
      </c>
      <c r="J3392" t="s">
        <v>27</v>
      </c>
      <c r="K3392" t="s">
        <v>32</v>
      </c>
      <c r="L3392" s="2">
        <v>13.1</v>
      </c>
      <c r="M3392" s="3">
        <v>252</v>
      </c>
      <c r="N3392">
        <v>3</v>
      </c>
      <c r="O3392">
        <v>2</v>
      </c>
      <c r="P3392">
        <v>1</v>
      </c>
      <c r="Q3392">
        <v>0</v>
      </c>
      <c r="R3392" s="4">
        <v>18.010000000000002</v>
      </c>
      <c r="S3392">
        <v>0</v>
      </c>
      <c r="T3392">
        <v>1</v>
      </c>
    </row>
    <row r="3393" spans="1:20" ht="16.5" x14ac:dyDescent="0.3">
      <c r="A3393" t="s">
        <v>3447</v>
      </c>
      <c r="B3393" s="1">
        <v>45768</v>
      </c>
      <c r="C3393">
        <v>2025</v>
      </c>
      <c r="D3393" t="s">
        <v>649</v>
      </c>
      <c r="E3393" t="s">
        <v>650</v>
      </c>
      <c r="F3393" t="s">
        <v>34</v>
      </c>
      <c r="G3393" t="s">
        <v>35</v>
      </c>
      <c r="H3393" t="s">
        <v>36</v>
      </c>
      <c r="I3393" t="s">
        <v>26</v>
      </c>
      <c r="J3393" t="s">
        <v>27</v>
      </c>
      <c r="K3393" t="s">
        <v>32</v>
      </c>
      <c r="L3393" s="2">
        <v>4.3</v>
      </c>
      <c r="M3393" s="3">
        <v>228</v>
      </c>
      <c r="N3393">
        <v>3</v>
      </c>
      <c r="O3393">
        <v>2</v>
      </c>
      <c r="P3393">
        <v>1</v>
      </c>
      <c r="Q3393">
        <v>0</v>
      </c>
      <c r="R3393" s="4">
        <v>10.23</v>
      </c>
      <c r="S3393">
        <v>0</v>
      </c>
      <c r="T3393">
        <v>1</v>
      </c>
    </row>
    <row r="3394" spans="1:20" ht="16.5" x14ac:dyDescent="0.3">
      <c r="A3394" t="s">
        <v>3448</v>
      </c>
      <c r="B3394" s="1">
        <v>45768</v>
      </c>
      <c r="C3394">
        <v>2025</v>
      </c>
      <c r="D3394" t="s">
        <v>649</v>
      </c>
      <c r="E3394" t="s">
        <v>650</v>
      </c>
      <c r="F3394" t="s">
        <v>23</v>
      </c>
      <c r="G3394" t="s">
        <v>39</v>
      </c>
      <c r="H3394" t="s">
        <v>36</v>
      </c>
      <c r="I3394" t="s">
        <v>26</v>
      </c>
      <c r="J3394" t="s">
        <v>27</v>
      </c>
      <c r="K3394" t="s">
        <v>28</v>
      </c>
      <c r="L3394" s="2">
        <v>116.4</v>
      </c>
      <c r="M3394" s="3">
        <v>299</v>
      </c>
      <c r="N3394">
        <v>3</v>
      </c>
      <c r="O3394">
        <v>2</v>
      </c>
      <c r="P3394">
        <v>1</v>
      </c>
      <c r="Q3394">
        <v>0</v>
      </c>
      <c r="R3394" s="4">
        <v>60.39</v>
      </c>
      <c r="S3394">
        <v>0</v>
      </c>
      <c r="T3394">
        <v>1</v>
      </c>
    </row>
    <row r="3395" spans="1:20" ht="16.5" x14ac:dyDescent="0.3">
      <c r="A3395" t="s">
        <v>3449</v>
      </c>
      <c r="B3395" s="1">
        <v>45768</v>
      </c>
      <c r="C3395">
        <v>2025</v>
      </c>
      <c r="D3395" t="s">
        <v>649</v>
      </c>
      <c r="E3395" t="s">
        <v>650</v>
      </c>
      <c r="F3395" t="s">
        <v>30</v>
      </c>
      <c r="G3395" t="s">
        <v>39</v>
      </c>
      <c r="H3395" t="s">
        <v>51</v>
      </c>
      <c r="I3395" t="s">
        <v>26</v>
      </c>
      <c r="J3395" t="s">
        <v>27</v>
      </c>
      <c r="K3395" t="s">
        <v>28</v>
      </c>
      <c r="L3395" s="2">
        <v>116.5</v>
      </c>
      <c r="M3395" s="3">
        <v>1339</v>
      </c>
      <c r="N3395">
        <v>5</v>
      </c>
      <c r="O3395">
        <v>5</v>
      </c>
      <c r="P3395">
        <v>1</v>
      </c>
      <c r="Q3395">
        <v>0</v>
      </c>
      <c r="R3395" s="4">
        <v>75.59</v>
      </c>
      <c r="S3395">
        <v>0</v>
      </c>
      <c r="T3395">
        <v>1</v>
      </c>
    </row>
    <row r="3396" spans="1:20" ht="16.5" x14ac:dyDescent="0.3">
      <c r="A3396" t="s">
        <v>3450</v>
      </c>
      <c r="B3396" s="1">
        <v>45768</v>
      </c>
      <c r="C3396">
        <v>2025</v>
      </c>
      <c r="D3396" t="s">
        <v>649</v>
      </c>
      <c r="E3396" t="s">
        <v>650</v>
      </c>
      <c r="F3396" t="s">
        <v>23</v>
      </c>
      <c r="G3396" t="s">
        <v>39</v>
      </c>
      <c r="H3396" t="s">
        <v>43</v>
      </c>
      <c r="I3396" t="s">
        <v>40</v>
      </c>
      <c r="J3396" t="s">
        <v>41</v>
      </c>
      <c r="K3396" t="s">
        <v>28</v>
      </c>
      <c r="L3396" s="2">
        <v>44.9</v>
      </c>
      <c r="M3396" s="3">
        <v>1237</v>
      </c>
      <c r="N3396">
        <v>3</v>
      </c>
      <c r="O3396">
        <v>2</v>
      </c>
      <c r="P3396">
        <v>1</v>
      </c>
      <c r="Q3396">
        <v>0</v>
      </c>
      <c r="R3396" s="4">
        <v>139.94</v>
      </c>
      <c r="S3396">
        <v>0</v>
      </c>
      <c r="T3396">
        <v>1</v>
      </c>
    </row>
    <row r="3397" spans="1:20" ht="16.5" x14ac:dyDescent="0.3">
      <c r="A3397" t="s">
        <v>3451</v>
      </c>
      <c r="B3397" s="1">
        <v>45768</v>
      </c>
      <c r="C3397">
        <v>2025</v>
      </c>
      <c r="D3397" t="s">
        <v>649</v>
      </c>
      <c r="E3397" t="s">
        <v>650</v>
      </c>
      <c r="F3397" t="s">
        <v>38</v>
      </c>
      <c r="G3397" t="s">
        <v>24</v>
      </c>
      <c r="H3397" t="s">
        <v>48</v>
      </c>
      <c r="I3397" t="s">
        <v>26</v>
      </c>
      <c r="J3397" t="s">
        <v>27</v>
      </c>
      <c r="K3397" t="s">
        <v>32</v>
      </c>
      <c r="L3397" s="2">
        <v>4</v>
      </c>
      <c r="M3397" s="3">
        <v>479</v>
      </c>
      <c r="N3397">
        <v>4</v>
      </c>
      <c r="O3397">
        <v>4</v>
      </c>
      <c r="P3397">
        <v>1</v>
      </c>
      <c r="Q3397">
        <v>0</v>
      </c>
      <c r="R3397" s="4">
        <v>17.989999999999998</v>
      </c>
      <c r="S3397">
        <v>0</v>
      </c>
      <c r="T3397">
        <v>1</v>
      </c>
    </row>
    <row r="3398" spans="1:20" ht="16.5" x14ac:dyDescent="0.3">
      <c r="A3398" t="s">
        <v>3452</v>
      </c>
      <c r="B3398" s="1">
        <v>45768</v>
      </c>
      <c r="C3398">
        <v>2025</v>
      </c>
      <c r="D3398" t="s">
        <v>649</v>
      </c>
      <c r="E3398" t="s">
        <v>650</v>
      </c>
      <c r="F3398" t="s">
        <v>23</v>
      </c>
      <c r="G3398" t="s">
        <v>35</v>
      </c>
      <c r="H3398" t="s">
        <v>25</v>
      </c>
      <c r="I3398" t="s">
        <v>26</v>
      </c>
      <c r="J3398" t="s">
        <v>27</v>
      </c>
      <c r="K3398" t="s">
        <v>28</v>
      </c>
      <c r="L3398" s="2">
        <v>106.3</v>
      </c>
      <c r="M3398" s="3">
        <v>932</v>
      </c>
      <c r="N3398">
        <v>4</v>
      </c>
      <c r="O3398">
        <v>4</v>
      </c>
      <c r="P3398">
        <v>1</v>
      </c>
      <c r="Q3398">
        <v>0</v>
      </c>
      <c r="R3398" s="4">
        <v>61.74</v>
      </c>
      <c r="S3398">
        <v>0</v>
      </c>
      <c r="T3398">
        <v>1</v>
      </c>
    </row>
    <row r="3399" spans="1:20" ht="16.5" x14ac:dyDescent="0.3">
      <c r="A3399" t="s">
        <v>3453</v>
      </c>
      <c r="B3399" s="1">
        <v>45768</v>
      </c>
      <c r="C3399">
        <v>2025</v>
      </c>
      <c r="D3399" t="s">
        <v>649</v>
      </c>
      <c r="E3399" t="s">
        <v>650</v>
      </c>
      <c r="F3399" t="s">
        <v>34</v>
      </c>
      <c r="G3399" t="s">
        <v>35</v>
      </c>
      <c r="H3399" t="s">
        <v>48</v>
      </c>
      <c r="I3399" t="s">
        <v>26</v>
      </c>
      <c r="J3399" t="s">
        <v>27</v>
      </c>
      <c r="K3399" t="s">
        <v>28</v>
      </c>
      <c r="L3399" s="2">
        <v>150.30000000000001</v>
      </c>
      <c r="M3399" s="3">
        <v>412</v>
      </c>
      <c r="N3399">
        <v>4</v>
      </c>
      <c r="O3399">
        <v>4</v>
      </c>
      <c r="P3399">
        <v>1</v>
      </c>
      <c r="Q3399">
        <v>0</v>
      </c>
      <c r="R3399" s="4">
        <v>60.97</v>
      </c>
      <c r="S3399">
        <v>0</v>
      </c>
      <c r="T3399">
        <v>1</v>
      </c>
    </row>
    <row r="3400" spans="1:20" ht="16.5" x14ac:dyDescent="0.3">
      <c r="A3400" t="s">
        <v>3454</v>
      </c>
      <c r="B3400" s="1">
        <v>45768</v>
      </c>
      <c r="C3400">
        <v>2025</v>
      </c>
      <c r="D3400" t="s">
        <v>649</v>
      </c>
      <c r="E3400" t="s">
        <v>650</v>
      </c>
      <c r="F3400" t="s">
        <v>23</v>
      </c>
      <c r="G3400" t="s">
        <v>39</v>
      </c>
      <c r="H3400" t="s">
        <v>36</v>
      </c>
      <c r="I3400" t="s">
        <v>40</v>
      </c>
      <c r="J3400" t="s">
        <v>27</v>
      </c>
      <c r="K3400" t="s">
        <v>32</v>
      </c>
      <c r="L3400" s="2">
        <v>2.5</v>
      </c>
      <c r="M3400" s="3">
        <v>250</v>
      </c>
      <c r="N3400">
        <v>1</v>
      </c>
      <c r="O3400">
        <v>1</v>
      </c>
      <c r="P3400">
        <v>1</v>
      </c>
      <c r="Q3400">
        <v>0</v>
      </c>
      <c r="R3400" s="4">
        <v>21.51</v>
      </c>
      <c r="S3400">
        <v>0</v>
      </c>
      <c r="T3400">
        <v>1</v>
      </c>
    </row>
    <row r="3401" spans="1:20" ht="16.5" x14ac:dyDescent="0.3">
      <c r="A3401" t="s">
        <v>3455</v>
      </c>
      <c r="B3401" s="1">
        <v>45768</v>
      </c>
      <c r="C3401">
        <v>2025</v>
      </c>
      <c r="D3401" t="s">
        <v>649</v>
      </c>
      <c r="E3401" t="s">
        <v>650</v>
      </c>
      <c r="F3401" t="s">
        <v>34</v>
      </c>
      <c r="G3401" t="s">
        <v>35</v>
      </c>
      <c r="H3401" t="s">
        <v>48</v>
      </c>
      <c r="I3401" t="s">
        <v>40</v>
      </c>
      <c r="J3401" t="s">
        <v>27</v>
      </c>
      <c r="K3401" t="s">
        <v>28</v>
      </c>
      <c r="L3401" s="2">
        <v>10.199999999999999</v>
      </c>
      <c r="M3401" s="3">
        <v>565</v>
      </c>
      <c r="N3401">
        <v>2</v>
      </c>
      <c r="O3401">
        <v>2</v>
      </c>
      <c r="P3401">
        <v>1</v>
      </c>
      <c r="Q3401">
        <v>0</v>
      </c>
      <c r="R3401" s="4">
        <v>30.05</v>
      </c>
      <c r="S3401">
        <v>0</v>
      </c>
      <c r="T3401">
        <v>1</v>
      </c>
    </row>
    <row r="3402" spans="1:20" ht="16.5" x14ac:dyDescent="0.3">
      <c r="A3402" t="s">
        <v>3456</v>
      </c>
      <c r="B3402" s="1">
        <v>45768</v>
      </c>
      <c r="C3402">
        <v>2025</v>
      </c>
      <c r="D3402" t="s">
        <v>649</v>
      </c>
      <c r="E3402" t="s">
        <v>650</v>
      </c>
      <c r="F3402" t="s">
        <v>38</v>
      </c>
      <c r="G3402" t="s">
        <v>24</v>
      </c>
      <c r="H3402" t="s">
        <v>25</v>
      </c>
      <c r="I3402" t="s">
        <v>26</v>
      </c>
      <c r="J3402" t="s">
        <v>27</v>
      </c>
      <c r="K3402" t="s">
        <v>32</v>
      </c>
      <c r="L3402" s="2">
        <v>2.6</v>
      </c>
      <c r="M3402" s="3">
        <v>883</v>
      </c>
      <c r="N3402">
        <v>4</v>
      </c>
      <c r="O3402">
        <v>3</v>
      </c>
      <c r="P3402">
        <v>1</v>
      </c>
      <c r="Q3402">
        <v>0</v>
      </c>
      <c r="R3402" s="4">
        <v>21.45</v>
      </c>
      <c r="S3402">
        <v>0</v>
      </c>
      <c r="T3402">
        <v>1</v>
      </c>
    </row>
    <row r="3403" spans="1:20" ht="16.5" x14ac:dyDescent="0.3">
      <c r="A3403" t="s">
        <v>3457</v>
      </c>
      <c r="B3403" s="1">
        <v>45769</v>
      </c>
      <c r="C3403">
        <v>2025</v>
      </c>
      <c r="D3403" t="s">
        <v>649</v>
      </c>
      <c r="E3403" t="s">
        <v>650</v>
      </c>
      <c r="F3403" t="s">
        <v>57</v>
      </c>
      <c r="G3403" t="s">
        <v>39</v>
      </c>
      <c r="H3403" t="s">
        <v>36</v>
      </c>
      <c r="I3403" t="s">
        <v>31</v>
      </c>
      <c r="J3403" t="s">
        <v>27</v>
      </c>
      <c r="K3403" t="s">
        <v>32</v>
      </c>
      <c r="L3403" s="2">
        <v>8.9</v>
      </c>
      <c r="M3403" s="3">
        <v>293</v>
      </c>
      <c r="N3403">
        <v>5</v>
      </c>
      <c r="O3403">
        <v>5</v>
      </c>
      <c r="P3403">
        <v>1</v>
      </c>
      <c r="Q3403">
        <v>0</v>
      </c>
      <c r="R3403" s="4">
        <v>10.17</v>
      </c>
      <c r="S3403">
        <v>0</v>
      </c>
      <c r="T3403">
        <v>1</v>
      </c>
    </row>
    <row r="3404" spans="1:20" ht="16.5" x14ac:dyDescent="0.3">
      <c r="A3404" t="s">
        <v>3458</v>
      </c>
      <c r="B3404" s="1">
        <v>45769</v>
      </c>
      <c r="C3404">
        <v>2025</v>
      </c>
      <c r="D3404" t="s">
        <v>649</v>
      </c>
      <c r="E3404" t="s">
        <v>650</v>
      </c>
      <c r="F3404" t="s">
        <v>23</v>
      </c>
      <c r="G3404" t="s">
        <v>35</v>
      </c>
      <c r="H3404" t="s">
        <v>43</v>
      </c>
      <c r="I3404" t="s">
        <v>40</v>
      </c>
      <c r="J3404" t="s">
        <v>41</v>
      </c>
      <c r="K3404" t="s">
        <v>28</v>
      </c>
      <c r="L3404" s="2">
        <v>27.5</v>
      </c>
      <c r="M3404" s="3">
        <v>1167</v>
      </c>
      <c r="N3404">
        <v>3</v>
      </c>
      <c r="O3404">
        <v>3</v>
      </c>
      <c r="P3404">
        <v>1</v>
      </c>
      <c r="Q3404">
        <v>0</v>
      </c>
      <c r="R3404" s="4">
        <v>99.15</v>
      </c>
      <c r="S3404">
        <v>1</v>
      </c>
      <c r="T3404">
        <v>1</v>
      </c>
    </row>
    <row r="3405" spans="1:20" ht="16.5" x14ac:dyDescent="0.3">
      <c r="A3405" t="s">
        <v>3459</v>
      </c>
      <c r="B3405" s="1">
        <v>45769</v>
      </c>
      <c r="C3405">
        <v>2025</v>
      </c>
      <c r="D3405" t="s">
        <v>649</v>
      </c>
      <c r="E3405" t="s">
        <v>650</v>
      </c>
      <c r="F3405" t="s">
        <v>34</v>
      </c>
      <c r="G3405" t="s">
        <v>35</v>
      </c>
      <c r="H3405" t="s">
        <v>36</v>
      </c>
      <c r="I3405" t="s">
        <v>40</v>
      </c>
      <c r="J3405" t="s">
        <v>27</v>
      </c>
      <c r="K3405" t="s">
        <v>28</v>
      </c>
      <c r="L3405" s="2">
        <v>149.30000000000001</v>
      </c>
      <c r="M3405" s="3">
        <v>173</v>
      </c>
      <c r="N3405">
        <v>1</v>
      </c>
      <c r="O3405">
        <v>1</v>
      </c>
      <c r="P3405">
        <v>1</v>
      </c>
      <c r="Q3405">
        <v>0</v>
      </c>
      <c r="R3405" s="4">
        <v>107.81</v>
      </c>
      <c r="S3405">
        <v>0</v>
      </c>
      <c r="T3405">
        <v>1</v>
      </c>
    </row>
    <row r="3406" spans="1:20" ht="16.5" x14ac:dyDescent="0.3">
      <c r="A3406" t="s">
        <v>3460</v>
      </c>
      <c r="B3406" s="1">
        <v>45769</v>
      </c>
      <c r="C3406">
        <v>2025</v>
      </c>
      <c r="D3406" t="s">
        <v>649</v>
      </c>
      <c r="E3406" t="s">
        <v>650</v>
      </c>
      <c r="F3406" t="s">
        <v>23</v>
      </c>
      <c r="G3406" t="s">
        <v>39</v>
      </c>
      <c r="H3406" t="s">
        <v>51</v>
      </c>
      <c r="I3406" t="s">
        <v>26</v>
      </c>
      <c r="J3406" t="s">
        <v>27</v>
      </c>
      <c r="K3406" t="s">
        <v>32</v>
      </c>
      <c r="L3406" s="2">
        <v>4.2</v>
      </c>
      <c r="M3406" s="3">
        <v>1096</v>
      </c>
      <c r="N3406">
        <v>5</v>
      </c>
      <c r="O3406">
        <v>5</v>
      </c>
      <c r="P3406">
        <v>1</v>
      </c>
      <c r="Q3406">
        <v>0</v>
      </c>
      <c r="R3406" s="4">
        <v>21.32</v>
      </c>
      <c r="S3406">
        <v>0</v>
      </c>
      <c r="T3406">
        <v>1</v>
      </c>
    </row>
    <row r="3407" spans="1:20" ht="16.5" x14ac:dyDescent="0.3">
      <c r="A3407" t="s">
        <v>3461</v>
      </c>
      <c r="B3407" s="1">
        <v>45769</v>
      </c>
      <c r="C3407">
        <v>2025</v>
      </c>
      <c r="D3407" t="s">
        <v>649</v>
      </c>
      <c r="E3407" t="s">
        <v>650</v>
      </c>
      <c r="F3407" t="s">
        <v>57</v>
      </c>
      <c r="G3407" t="s">
        <v>24</v>
      </c>
      <c r="H3407" t="s">
        <v>48</v>
      </c>
      <c r="I3407" t="s">
        <v>26</v>
      </c>
      <c r="J3407" t="s">
        <v>27</v>
      </c>
      <c r="K3407" t="s">
        <v>28</v>
      </c>
      <c r="L3407" s="2">
        <v>265.2</v>
      </c>
      <c r="M3407" s="3">
        <v>587</v>
      </c>
      <c r="N3407">
        <v>4</v>
      </c>
      <c r="O3407">
        <v>4</v>
      </c>
      <c r="P3407">
        <v>1</v>
      </c>
      <c r="Q3407">
        <v>0</v>
      </c>
      <c r="R3407" s="4">
        <v>125.61</v>
      </c>
      <c r="S3407">
        <v>0</v>
      </c>
      <c r="T3407">
        <v>1</v>
      </c>
    </row>
    <row r="3408" spans="1:20" ht="16.5" x14ac:dyDescent="0.3">
      <c r="A3408" t="s">
        <v>3462</v>
      </c>
      <c r="B3408" s="1">
        <v>45769</v>
      </c>
      <c r="C3408">
        <v>2025</v>
      </c>
      <c r="D3408" t="s">
        <v>649</v>
      </c>
      <c r="E3408" t="s">
        <v>650</v>
      </c>
      <c r="F3408" t="s">
        <v>57</v>
      </c>
      <c r="G3408" t="s">
        <v>35</v>
      </c>
      <c r="H3408" t="s">
        <v>51</v>
      </c>
      <c r="I3408" t="s">
        <v>26</v>
      </c>
      <c r="J3408" t="s">
        <v>27</v>
      </c>
      <c r="K3408" t="s">
        <v>32</v>
      </c>
      <c r="L3408" s="2">
        <v>5.2</v>
      </c>
      <c r="M3408" s="3">
        <v>1246</v>
      </c>
      <c r="N3408">
        <v>5</v>
      </c>
      <c r="O3408">
        <v>5</v>
      </c>
      <c r="P3408">
        <v>1</v>
      </c>
      <c r="Q3408">
        <v>0</v>
      </c>
      <c r="R3408" s="4">
        <v>22.06</v>
      </c>
      <c r="S3408">
        <v>0</v>
      </c>
      <c r="T3408">
        <v>1</v>
      </c>
    </row>
    <row r="3409" spans="1:20" ht="16.5" x14ac:dyDescent="0.3">
      <c r="A3409" t="s">
        <v>3463</v>
      </c>
      <c r="B3409" s="1">
        <v>45769</v>
      </c>
      <c r="C3409">
        <v>2025</v>
      </c>
      <c r="D3409" t="s">
        <v>649</v>
      </c>
      <c r="E3409" t="s">
        <v>650</v>
      </c>
      <c r="F3409" t="s">
        <v>57</v>
      </c>
      <c r="G3409" t="s">
        <v>24</v>
      </c>
      <c r="H3409" t="s">
        <v>36</v>
      </c>
      <c r="I3409" t="s">
        <v>31</v>
      </c>
      <c r="J3409" t="s">
        <v>27</v>
      </c>
      <c r="K3409" t="s">
        <v>28</v>
      </c>
      <c r="L3409" s="2">
        <v>41.1</v>
      </c>
      <c r="M3409" s="3">
        <v>234</v>
      </c>
      <c r="N3409">
        <v>5</v>
      </c>
      <c r="O3409">
        <v>5</v>
      </c>
      <c r="P3409">
        <v>1</v>
      </c>
      <c r="Q3409">
        <v>0</v>
      </c>
      <c r="R3409" s="4">
        <v>20.47</v>
      </c>
      <c r="S3409">
        <v>0</v>
      </c>
      <c r="T3409">
        <v>1</v>
      </c>
    </row>
    <row r="3410" spans="1:20" ht="16.5" x14ac:dyDescent="0.3">
      <c r="A3410" t="s">
        <v>3464</v>
      </c>
      <c r="B3410" s="1">
        <v>45770</v>
      </c>
      <c r="C3410">
        <v>2025</v>
      </c>
      <c r="D3410" t="s">
        <v>649</v>
      </c>
      <c r="E3410" t="s">
        <v>650</v>
      </c>
      <c r="F3410" t="s">
        <v>34</v>
      </c>
      <c r="G3410" t="s">
        <v>39</v>
      </c>
      <c r="H3410" t="s">
        <v>51</v>
      </c>
      <c r="I3410" t="s">
        <v>26</v>
      </c>
      <c r="J3410" t="s">
        <v>27</v>
      </c>
      <c r="K3410" t="s">
        <v>28</v>
      </c>
      <c r="L3410" s="2">
        <v>18.899999999999999</v>
      </c>
      <c r="M3410" s="3">
        <v>1102</v>
      </c>
      <c r="N3410">
        <v>5</v>
      </c>
      <c r="O3410">
        <v>5</v>
      </c>
      <c r="P3410">
        <v>1</v>
      </c>
      <c r="Q3410">
        <v>0</v>
      </c>
      <c r="R3410" s="4">
        <v>29.27</v>
      </c>
      <c r="S3410">
        <v>0</v>
      </c>
      <c r="T3410">
        <v>1</v>
      </c>
    </row>
    <row r="3411" spans="1:20" ht="16.5" x14ac:dyDescent="0.3">
      <c r="A3411" t="s">
        <v>3465</v>
      </c>
      <c r="B3411" s="1">
        <v>45770</v>
      </c>
      <c r="C3411">
        <v>2025</v>
      </c>
      <c r="D3411" t="s">
        <v>649</v>
      </c>
      <c r="E3411" t="s">
        <v>650</v>
      </c>
      <c r="F3411" t="s">
        <v>38</v>
      </c>
      <c r="G3411" t="s">
        <v>39</v>
      </c>
      <c r="H3411" t="s">
        <v>25</v>
      </c>
      <c r="I3411" t="s">
        <v>31</v>
      </c>
      <c r="J3411" t="s">
        <v>27</v>
      </c>
      <c r="K3411" t="s">
        <v>28</v>
      </c>
      <c r="L3411" s="2">
        <v>316.5</v>
      </c>
      <c r="M3411" s="3">
        <v>1203</v>
      </c>
      <c r="N3411">
        <v>6</v>
      </c>
      <c r="O3411">
        <v>5</v>
      </c>
      <c r="P3411">
        <v>1</v>
      </c>
      <c r="Q3411">
        <v>0</v>
      </c>
      <c r="R3411" s="4">
        <v>118.69</v>
      </c>
      <c r="S3411">
        <v>0</v>
      </c>
      <c r="T3411">
        <v>1</v>
      </c>
    </row>
    <row r="3412" spans="1:20" ht="16.5" x14ac:dyDescent="0.3">
      <c r="A3412" t="s">
        <v>3466</v>
      </c>
      <c r="B3412" s="1">
        <v>45770</v>
      </c>
      <c r="C3412">
        <v>2025</v>
      </c>
      <c r="D3412" t="s">
        <v>649</v>
      </c>
      <c r="E3412" t="s">
        <v>650</v>
      </c>
      <c r="F3412" t="s">
        <v>57</v>
      </c>
      <c r="G3412" t="s">
        <v>24</v>
      </c>
      <c r="H3412" t="s">
        <v>51</v>
      </c>
      <c r="I3412" t="s">
        <v>26</v>
      </c>
      <c r="J3412" t="s">
        <v>27</v>
      </c>
      <c r="K3412" t="s">
        <v>32</v>
      </c>
      <c r="L3412" s="2">
        <v>2.7</v>
      </c>
      <c r="M3412" s="3">
        <v>1123</v>
      </c>
      <c r="N3412">
        <v>5</v>
      </c>
      <c r="O3412">
        <v>5</v>
      </c>
      <c r="P3412">
        <v>1</v>
      </c>
      <c r="Q3412">
        <v>0</v>
      </c>
      <c r="R3412" s="4">
        <v>22.37</v>
      </c>
      <c r="S3412">
        <v>0</v>
      </c>
      <c r="T3412">
        <v>1</v>
      </c>
    </row>
    <row r="3413" spans="1:20" ht="16.5" x14ac:dyDescent="0.3">
      <c r="A3413" t="s">
        <v>3467</v>
      </c>
      <c r="B3413" s="1">
        <v>45770</v>
      </c>
      <c r="C3413">
        <v>2025</v>
      </c>
      <c r="D3413" t="s">
        <v>649</v>
      </c>
      <c r="E3413" t="s">
        <v>650</v>
      </c>
      <c r="F3413" t="s">
        <v>38</v>
      </c>
      <c r="G3413" t="s">
        <v>35</v>
      </c>
      <c r="H3413" t="s">
        <v>48</v>
      </c>
      <c r="I3413" t="s">
        <v>26</v>
      </c>
      <c r="J3413" t="s">
        <v>27</v>
      </c>
      <c r="K3413" t="s">
        <v>28</v>
      </c>
      <c r="L3413" s="2">
        <v>118.4</v>
      </c>
      <c r="M3413" s="3">
        <v>454</v>
      </c>
      <c r="N3413">
        <v>4</v>
      </c>
      <c r="O3413">
        <v>3</v>
      </c>
      <c r="P3413">
        <v>1</v>
      </c>
      <c r="Q3413">
        <v>0</v>
      </c>
      <c r="R3413" s="4">
        <v>72.55</v>
      </c>
      <c r="S3413">
        <v>0</v>
      </c>
      <c r="T3413">
        <v>1</v>
      </c>
    </row>
    <row r="3414" spans="1:20" ht="16.5" x14ac:dyDescent="0.3">
      <c r="A3414" t="s">
        <v>3468</v>
      </c>
      <c r="B3414" s="1">
        <v>45770</v>
      </c>
      <c r="C3414">
        <v>2025</v>
      </c>
      <c r="D3414" t="s">
        <v>649</v>
      </c>
      <c r="E3414" t="s">
        <v>650</v>
      </c>
      <c r="F3414" t="s">
        <v>23</v>
      </c>
      <c r="G3414" t="s">
        <v>35</v>
      </c>
      <c r="H3414" t="s">
        <v>25</v>
      </c>
      <c r="I3414" t="s">
        <v>26</v>
      </c>
      <c r="J3414" t="s">
        <v>27</v>
      </c>
      <c r="K3414" t="s">
        <v>28</v>
      </c>
      <c r="L3414" s="2">
        <v>45.9</v>
      </c>
      <c r="M3414" s="3">
        <v>964</v>
      </c>
      <c r="N3414">
        <v>4</v>
      </c>
      <c r="O3414">
        <v>4</v>
      </c>
      <c r="P3414">
        <v>1</v>
      </c>
      <c r="Q3414">
        <v>0</v>
      </c>
      <c r="R3414" s="4">
        <v>41.6</v>
      </c>
      <c r="S3414">
        <v>0</v>
      </c>
      <c r="T3414">
        <v>1</v>
      </c>
    </row>
    <row r="3415" spans="1:20" ht="16.5" x14ac:dyDescent="0.3">
      <c r="A3415" t="s">
        <v>3469</v>
      </c>
      <c r="B3415" s="1">
        <v>45770</v>
      </c>
      <c r="C3415">
        <v>2025</v>
      </c>
      <c r="D3415" t="s">
        <v>649</v>
      </c>
      <c r="E3415" t="s">
        <v>650</v>
      </c>
      <c r="F3415" t="s">
        <v>38</v>
      </c>
      <c r="G3415" t="s">
        <v>39</v>
      </c>
      <c r="H3415" t="s">
        <v>25</v>
      </c>
      <c r="I3415" t="s">
        <v>26</v>
      </c>
      <c r="J3415" t="s">
        <v>27</v>
      </c>
      <c r="K3415" t="s">
        <v>32</v>
      </c>
      <c r="L3415" s="2">
        <v>8</v>
      </c>
      <c r="M3415" s="3">
        <v>995</v>
      </c>
      <c r="N3415">
        <v>4</v>
      </c>
      <c r="O3415">
        <v>3</v>
      </c>
      <c r="P3415">
        <v>1</v>
      </c>
      <c r="Q3415">
        <v>0</v>
      </c>
      <c r="R3415" s="4">
        <v>25.16</v>
      </c>
      <c r="S3415">
        <v>0</v>
      </c>
      <c r="T3415">
        <v>1</v>
      </c>
    </row>
    <row r="3416" spans="1:20" ht="16.5" x14ac:dyDescent="0.3">
      <c r="A3416" t="s">
        <v>3470</v>
      </c>
      <c r="B3416" s="1">
        <v>45770</v>
      </c>
      <c r="C3416">
        <v>2025</v>
      </c>
      <c r="D3416" t="s">
        <v>649</v>
      </c>
      <c r="E3416" t="s">
        <v>650</v>
      </c>
      <c r="F3416" t="s">
        <v>30</v>
      </c>
      <c r="G3416" t="s">
        <v>39</v>
      </c>
      <c r="H3416" t="s">
        <v>48</v>
      </c>
      <c r="I3416" t="s">
        <v>40</v>
      </c>
      <c r="J3416" t="s">
        <v>27</v>
      </c>
      <c r="K3416" t="s">
        <v>32</v>
      </c>
      <c r="L3416" s="2">
        <v>17.399999999999999</v>
      </c>
      <c r="M3416" s="3">
        <v>492</v>
      </c>
      <c r="N3416">
        <v>2</v>
      </c>
      <c r="O3416">
        <v>1</v>
      </c>
      <c r="P3416">
        <v>1</v>
      </c>
      <c r="Q3416">
        <v>0</v>
      </c>
      <c r="R3416" s="4">
        <v>42.84</v>
      </c>
      <c r="S3416">
        <v>0</v>
      </c>
      <c r="T3416">
        <v>1</v>
      </c>
    </row>
    <row r="3417" spans="1:20" ht="16.5" x14ac:dyDescent="0.3">
      <c r="A3417" t="s">
        <v>3471</v>
      </c>
      <c r="B3417" s="1">
        <v>45770</v>
      </c>
      <c r="C3417">
        <v>2025</v>
      </c>
      <c r="D3417" t="s">
        <v>649</v>
      </c>
      <c r="E3417" t="s">
        <v>650</v>
      </c>
      <c r="F3417" t="s">
        <v>34</v>
      </c>
      <c r="G3417" t="s">
        <v>35</v>
      </c>
      <c r="H3417" t="s">
        <v>51</v>
      </c>
      <c r="I3417" t="s">
        <v>31</v>
      </c>
      <c r="J3417" t="s">
        <v>27</v>
      </c>
      <c r="K3417" t="s">
        <v>32</v>
      </c>
      <c r="L3417" s="2">
        <v>3.1</v>
      </c>
      <c r="M3417" s="3">
        <v>1310</v>
      </c>
      <c r="N3417">
        <v>7</v>
      </c>
      <c r="O3417">
        <v>7</v>
      </c>
      <c r="P3417">
        <v>1</v>
      </c>
      <c r="Q3417">
        <v>0</v>
      </c>
      <c r="R3417" s="4">
        <v>14.18</v>
      </c>
      <c r="S3417">
        <v>0</v>
      </c>
      <c r="T3417">
        <v>1</v>
      </c>
    </row>
    <row r="3418" spans="1:20" ht="16.5" x14ac:dyDescent="0.3">
      <c r="A3418" t="s">
        <v>3472</v>
      </c>
      <c r="B3418" s="1">
        <v>45770</v>
      </c>
      <c r="C3418">
        <v>2025</v>
      </c>
      <c r="D3418" t="s">
        <v>649</v>
      </c>
      <c r="E3418" t="s">
        <v>650</v>
      </c>
      <c r="F3418" t="s">
        <v>38</v>
      </c>
      <c r="G3418" t="s">
        <v>24</v>
      </c>
      <c r="H3418" t="s">
        <v>43</v>
      </c>
      <c r="I3418" t="s">
        <v>31</v>
      </c>
      <c r="J3418" t="s">
        <v>27</v>
      </c>
      <c r="K3418" t="s">
        <v>32</v>
      </c>
      <c r="L3418" s="2">
        <v>14.9</v>
      </c>
      <c r="M3418" s="3">
        <v>1176</v>
      </c>
      <c r="N3418">
        <v>7</v>
      </c>
      <c r="O3418">
        <v>6</v>
      </c>
      <c r="P3418">
        <v>1</v>
      </c>
      <c r="Q3418">
        <v>0</v>
      </c>
      <c r="R3418" s="4">
        <v>23.79</v>
      </c>
      <c r="S3418">
        <v>0</v>
      </c>
      <c r="T3418">
        <v>1</v>
      </c>
    </row>
    <row r="3419" spans="1:20" ht="16.5" x14ac:dyDescent="0.3">
      <c r="A3419" t="s">
        <v>3473</v>
      </c>
      <c r="B3419" s="1">
        <v>45770</v>
      </c>
      <c r="C3419">
        <v>2025</v>
      </c>
      <c r="D3419" t="s">
        <v>649</v>
      </c>
      <c r="E3419" t="s">
        <v>650</v>
      </c>
      <c r="F3419" t="s">
        <v>30</v>
      </c>
      <c r="G3419" t="s">
        <v>35</v>
      </c>
      <c r="H3419" t="s">
        <v>25</v>
      </c>
      <c r="I3419" t="s">
        <v>26</v>
      </c>
      <c r="J3419" t="s">
        <v>27</v>
      </c>
      <c r="K3419" t="s">
        <v>32</v>
      </c>
      <c r="L3419" s="2">
        <v>8.6999999999999993</v>
      </c>
      <c r="M3419" s="3">
        <v>899</v>
      </c>
      <c r="N3419">
        <v>4</v>
      </c>
      <c r="O3419">
        <v>4</v>
      </c>
      <c r="P3419">
        <v>1</v>
      </c>
      <c r="Q3419">
        <v>0</v>
      </c>
      <c r="R3419" s="4">
        <v>25.23</v>
      </c>
      <c r="S3419">
        <v>0</v>
      </c>
      <c r="T3419">
        <v>1</v>
      </c>
    </row>
    <row r="3420" spans="1:20" ht="16.5" x14ac:dyDescent="0.3">
      <c r="A3420" t="s">
        <v>3474</v>
      </c>
      <c r="B3420" s="1">
        <v>45770</v>
      </c>
      <c r="C3420">
        <v>2025</v>
      </c>
      <c r="D3420" t="s">
        <v>649</v>
      </c>
      <c r="E3420" t="s">
        <v>650</v>
      </c>
      <c r="F3420" t="s">
        <v>57</v>
      </c>
      <c r="G3420" t="s">
        <v>35</v>
      </c>
      <c r="H3420" t="s">
        <v>25</v>
      </c>
      <c r="I3420" t="s">
        <v>26</v>
      </c>
      <c r="J3420" t="s">
        <v>27</v>
      </c>
      <c r="K3420" t="s">
        <v>28</v>
      </c>
      <c r="L3420" s="2">
        <v>198.7</v>
      </c>
      <c r="M3420" s="3">
        <v>879</v>
      </c>
      <c r="N3420">
        <v>4</v>
      </c>
      <c r="O3420">
        <v>3</v>
      </c>
      <c r="P3420">
        <v>1</v>
      </c>
      <c r="Q3420">
        <v>0</v>
      </c>
      <c r="R3420" s="4">
        <v>97.9</v>
      </c>
      <c r="S3420">
        <v>0</v>
      </c>
      <c r="T3420">
        <v>1</v>
      </c>
    </row>
    <row r="3421" spans="1:20" ht="16.5" x14ac:dyDescent="0.3">
      <c r="A3421" t="s">
        <v>3475</v>
      </c>
      <c r="B3421" s="1">
        <v>45770</v>
      </c>
      <c r="C3421">
        <v>2025</v>
      </c>
      <c r="D3421" t="s">
        <v>649</v>
      </c>
      <c r="E3421" t="s">
        <v>650</v>
      </c>
      <c r="F3421" t="s">
        <v>38</v>
      </c>
      <c r="G3421" t="s">
        <v>24</v>
      </c>
      <c r="H3421" t="s">
        <v>51</v>
      </c>
      <c r="I3421" t="s">
        <v>26</v>
      </c>
      <c r="J3421" t="s">
        <v>27</v>
      </c>
      <c r="K3421" t="s">
        <v>32</v>
      </c>
      <c r="L3421" s="2">
        <v>7.3</v>
      </c>
      <c r="M3421" s="3">
        <v>1027</v>
      </c>
      <c r="N3421">
        <v>5</v>
      </c>
      <c r="O3421">
        <v>5</v>
      </c>
      <c r="P3421">
        <v>1</v>
      </c>
      <c r="Q3421">
        <v>0</v>
      </c>
      <c r="R3421" s="4">
        <v>25.97</v>
      </c>
      <c r="S3421">
        <v>0</v>
      </c>
      <c r="T3421">
        <v>1</v>
      </c>
    </row>
    <row r="3422" spans="1:20" ht="16.5" x14ac:dyDescent="0.3">
      <c r="A3422" t="s">
        <v>3476</v>
      </c>
      <c r="B3422" s="1">
        <v>45771</v>
      </c>
      <c r="C3422">
        <v>2025</v>
      </c>
      <c r="D3422" t="s">
        <v>649</v>
      </c>
      <c r="E3422" t="s">
        <v>650</v>
      </c>
      <c r="F3422" t="s">
        <v>30</v>
      </c>
      <c r="G3422" t="s">
        <v>39</v>
      </c>
      <c r="H3422" t="s">
        <v>25</v>
      </c>
      <c r="I3422" t="s">
        <v>40</v>
      </c>
      <c r="J3422" t="s">
        <v>41</v>
      </c>
      <c r="K3422" t="s">
        <v>28</v>
      </c>
      <c r="L3422" s="2">
        <v>222.5</v>
      </c>
      <c r="M3422" s="3">
        <v>902</v>
      </c>
      <c r="N3422">
        <v>2</v>
      </c>
      <c r="O3422">
        <v>2</v>
      </c>
      <c r="P3422">
        <v>1</v>
      </c>
      <c r="Q3422">
        <v>0</v>
      </c>
      <c r="R3422" s="4">
        <v>316.2</v>
      </c>
      <c r="S3422">
        <v>0</v>
      </c>
      <c r="T3422">
        <v>1</v>
      </c>
    </row>
    <row r="3423" spans="1:20" ht="16.5" x14ac:dyDescent="0.3">
      <c r="A3423" t="s">
        <v>3477</v>
      </c>
      <c r="B3423" s="1">
        <v>45771</v>
      </c>
      <c r="C3423">
        <v>2025</v>
      </c>
      <c r="D3423" t="s">
        <v>649</v>
      </c>
      <c r="E3423" t="s">
        <v>650</v>
      </c>
      <c r="F3423" t="s">
        <v>34</v>
      </c>
      <c r="G3423" t="s">
        <v>35</v>
      </c>
      <c r="H3423" t="s">
        <v>43</v>
      </c>
      <c r="I3423" t="s">
        <v>26</v>
      </c>
      <c r="J3423" t="s">
        <v>27</v>
      </c>
      <c r="K3423" t="s">
        <v>32</v>
      </c>
      <c r="L3423" s="2">
        <v>8.4</v>
      </c>
      <c r="M3423" s="3">
        <v>882</v>
      </c>
      <c r="N3423">
        <v>5</v>
      </c>
      <c r="O3423">
        <v>4</v>
      </c>
      <c r="P3423">
        <v>1</v>
      </c>
      <c r="Q3423">
        <v>0</v>
      </c>
      <c r="R3423" s="4">
        <v>18.829999999999998</v>
      </c>
      <c r="S3423">
        <v>0</v>
      </c>
      <c r="T3423">
        <v>1</v>
      </c>
    </row>
    <row r="3424" spans="1:20" ht="16.5" x14ac:dyDescent="0.3">
      <c r="A3424" t="s">
        <v>3478</v>
      </c>
      <c r="B3424" s="1">
        <v>45771</v>
      </c>
      <c r="C3424">
        <v>2025</v>
      </c>
      <c r="D3424" t="s">
        <v>649</v>
      </c>
      <c r="E3424" t="s">
        <v>650</v>
      </c>
      <c r="F3424" t="s">
        <v>38</v>
      </c>
      <c r="G3424" t="s">
        <v>39</v>
      </c>
      <c r="H3424" t="s">
        <v>25</v>
      </c>
      <c r="I3424" t="s">
        <v>40</v>
      </c>
      <c r="J3424" t="s">
        <v>41</v>
      </c>
      <c r="K3424" t="s">
        <v>32</v>
      </c>
      <c r="L3424" s="2">
        <v>1.2</v>
      </c>
      <c r="M3424" s="3">
        <v>743</v>
      </c>
      <c r="N3424">
        <v>2</v>
      </c>
      <c r="O3424">
        <v>2</v>
      </c>
      <c r="P3424">
        <v>1</v>
      </c>
      <c r="Q3424">
        <v>0</v>
      </c>
      <c r="R3424" s="4">
        <v>55.55</v>
      </c>
      <c r="S3424">
        <v>0</v>
      </c>
      <c r="T3424">
        <v>1</v>
      </c>
    </row>
    <row r="3425" spans="1:20" ht="16.5" x14ac:dyDescent="0.3">
      <c r="A3425" t="s">
        <v>3479</v>
      </c>
      <c r="B3425" s="1">
        <v>45771</v>
      </c>
      <c r="C3425">
        <v>2025</v>
      </c>
      <c r="D3425" t="s">
        <v>649</v>
      </c>
      <c r="E3425" t="s">
        <v>650</v>
      </c>
      <c r="F3425" t="s">
        <v>57</v>
      </c>
      <c r="G3425" t="s">
        <v>39</v>
      </c>
      <c r="H3425" t="s">
        <v>25</v>
      </c>
      <c r="I3425" t="s">
        <v>26</v>
      </c>
      <c r="J3425" t="s">
        <v>27</v>
      </c>
      <c r="K3425" t="s">
        <v>32</v>
      </c>
      <c r="L3425" s="2">
        <v>8.6</v>
      </c>
      <c r="M3425" s="3">
        <v>982</v>
      </c>
      <c r="N3425">
        <v>4</v>
      </c>
      <c r="O3425">
        <v>4</v>
      </c>
      <c r="P3425">
        <v>1</v>
      </c>
      <c r="Q3425">
        <v>0</v>
      </c>
      <c r="R3425" s="4">
        <v>22.95</v>
      </c>
      <c r="S3425">
        <v>0</v>
      </c>
      <c r="T3425">
        <v>1</v>
      </c>
    </row>
    <row r="3426" spans="1:20" ht="16.5" x14ac:dyDescent="0.3">
      <c r="A3426" t="s">
        <v>3480</v>
      </c>
      <c r="B3426" s="1">
        <v>45771</v>
      </c>
      <c r="C3426">
        <v>2025</v>
      </c>
      <c r="D3426" t="s">
        <v>649</v>
      </c>
      <c r="E3426" t="s">
        <v>650</v>
      </c>
      <c r="F3426" t="s">
        <v>23</v>
      </c>
      <c r="G3426" t="s">
        <v>39</v>
      </c>
      <c r="H3426" t="s">
        <v>48</v>
      </c>
      <c r="I3426" t="s">
        <v>31</v>
      </c>
      <c r="J3426" t="s">
        <v>27</v>
      </c>
      <c r="K3426" t="s">
        <v>32</v>
      </c>
      <c r="L3426" s="2">
        <v>5.8</v>
      </c>
      <c r="M3426" s="3">
        <v>565</v>
      </c>
      <c r="N3426">
        <v>6</v>
      </c>
      <c r="O3426">
        <v>7</v>
      </c>
      <c r="P3426">
        <v>0</v>
      </c>
      <c r="Q3426">
        <v>1</v>
      </c>
      <c r="R3426" s="4">
        <v>12.82</v>
      </c>
      <c r="S3426">
        <v>0</v>
      </c>
      <c r="T3426">
        <v>1</v>
      </c>
    </row>
    <row r="3427" spans="1:20" ht="16.5" x14ac:dyDescent="0.3">
      <c r="A3427" t="s">
        <v>3481</v>
      </c>
      <c r="B3427" s="1">
        <v>45771</v>
      </c>
      <c r="C3427">
        <v>2025</v>
      </c>
      <c r="D3427" t="s">
        <v>649</v>
      </c>
      <c r="E3427" t="s">
        <v>650</v>
      </c>
      <c r="F3427" t="s">
        <v>38</v>
      </c>
      <c r="G3427" t="s">
        <v>35</v>
      </c>
      <c r="H3427" t="s">
        <v>51</v>
      </c>
      <c r="I3427" t="s">
        <v>40</v>
      </c>
      <c r="J3427" t="s">
        <v>41</v>
      </c>
      <c r="K3427" t="s">
        <v>32</v>
      </c>
      <c r="L3427" s="2">
        <v>2.7</v>
      </c>
      <c r="M3427" s="3">
        <v>644</v>
      </c>
      <c r="N3427">
        <v>3</v>
      </c>
      <c r="O3427">
        <v>2</v>
      </c>
      <c r="P3427">
        <v>1</v>
      </c>
      <c r="Q3427">
        <v>0</v>
      </c>
      <c r="R3427" s="4">
        <v>53.29</v>
      </c>
      <c r="S3427">
        <v>0</v>
      </c>
      <c r="T3427">
        <v>1</v>
      </c>
    </row>
    <row r="3428" spans="1:20" ht="16.5" x14ac:dyDescent="0.3">
      <c r="A3428" t="s">
        <v>3482</v>
      </c>
      <c r="B3428" s="1">
        <v>45771</v>
      </c>
      <c r="C3428">
        <v>2025</v>
      </c>
      <c r="D3428" t="s">
        <v>649</v>
      </c>
      <c r="E3428" t="s">
        <v>650</v>
      </c>
      <c r="F3428" t="s">
        <v>30</v>
      </c>
      <c r="G3428" t="s">
        <v>35</v>
      </c>
      <c r="H3428" t="s">
        <v>36</v>
      </c>
      <c r="I3428" t="s">
        <v>31</v>
      </c>
      <c r="J3428" t="s">
        <v>27</v>
      </c>
      <c r="K3428" t="s">
        <v>28</v>
      </c>
      <c r="L3428" s="2">
        <v>83.7</v>
      </c>
      <c r="M3428" s="3">
        <v>145</v>
      </c>
      <c r="N3428">
        <v>5</v>
      </c>
      <c r="O3428">
        <v>5</v>
      </c>
      <c r="P3428">
        <v>1</v>
      </c>
      <c r="Q3428">
        <v>0</v>
      </c>
      <c r="R3428" s="4">
        <v>34.369999999999997</v>
      </c>
      <c r="S3428">
        <v>0</v>
      </c>
      <c r="T3428">
        <v>1</v>
      </c>
    </row>
    <row r="3429" spans="1:20" ht="16.5" x14ac:dyDescent="0.3">
      <c r="A3429" t="s">
        <v>3483</v>
      </c>
      <c r="B3429" s="1">
        <v>45771</v>
      </c>
      <c r="C3429">
        <v>2025</v>
      </c>
      <c r="D3429" t="s">
        <v>649</v>
      </c>
      <c r="E3429" t="s">
        <v>650</v>
      </c>
      <c r="F3429" t="s">
        <v>57</v>
      </c>
      <c r="G3429" t="s">
        <v>39</v>
      </c>
      <c r="H3429" t="s">
        <v>43</v>
      </c>
      <c r="I3429" t="s">
        <v>26</v>
      </c>
      <c r="J3429" t="s">
        <v>27</v>
      </c>
      <c r="K3429" t="s">
        <v>32</v>
      </c>
      <c r="L3429" s="2">
        <v>2.7</v>
      </c>
      <c r="M3429" s="3">
        <v>1343</v>
      </c>
      <c r="N3429">
        <v>5</v>
      </c>
      <c r="O3429">
        <v>5</v>
      </c>
      <c r="P3429">
        <v>1</v>
      </c>
      <c r="Q3429">
        <v>0</v>
      </c>
      <c r="R3429" s="4">
        <v>25.73</v>
      </c>
      <c r="S3429">
        <v>0</v>
      </c>
      <c r="T3429">
        <v>1</v>
      </c>
    </row>
    <row r="3430" spans="1:20" ht="16.5" x14ac:dyDescent="0.3">
      <c r="A3430" t="s">
        <v>3484</v>
      </c>
      <c r="B3430" s="1">
        <v>45771</v>
      </c>
      <c r="C3430">
        <v>2025</v>
      </c>
      <c r="D3430" t="s">
        <v>649</v>
      </c>
      <c r="E3430" t="s">
        <v>650</v>
      </c>
      <c r="F3430" t="s">
        <v>57</v>
      </c>
      <c r="G3430" t="s">
        <v>35</v>
      </c>
      <c r="H3430" t="s">
        <v>36</v>
      </c>
      <c r="I3430" t="s">
        <v>26</v>
      </c>
      <c r="J3430" t="s">
        <v>27</v>
      </c>
      <c r="K3430" t="s">
        <v>32</v>
      </c>
      <c r="L3430" s="2">
        <v>8.4</v>
      </c>
      <c r="M3430" s="3">
        <v>194</v>
      </c>
      <c r="N3430">
        <v>3</v>
      </c>
      <c r="O3430">
        <v>3</v>
      </c>
      <c r="P3430">
        <v>1</v>
      </c>
      <c r="Q3430">
        <v>0</v>
      </c>
      <c r="R3430" s="4">
        <v>14.04</v>
      </c>
      <c r="S3430">
        <v>0</v>
      </c>
      <c r="T3430">
        <v>1</v>
      </c>
    </row>
    <row r="3431" spans="1:20" ht="16.5" x14ac:dyDescent="0.3">
      <c r="A3431" t="s">
        <v>3485</v>
      </c>
      <c r="B3431" s="1">
        <v>45771</v>
      </c>
      <c r="C3431">
        <v>2025</v>
      </c>
      <c r="D3431" t="s">
        <v>649</v>
      </c>
      <c r="E3431" t="s">
        <v>650</v>
      </c>
      <c r="F3431" t="s">
        <v>38</v>
      </c>
      <c r="G3431" t="s">
        <v>39</v>
      </c>
      <c r="H3431" t="s">
        <v>51</v>
      </c>
      <c r="I3431" t="s">
        <v>31</v>
      </c>
      <c r="J3431" t="s">
        <v>27</v>
      </c>
      <c r="K3431" t="s">
        <v>32</v>
      </c>
      <c r="L3431" s="2">
        <v>16</v>
      </c>
      <c r="M3431" s="3">
        <v>1033</v>
      </c>
      <c r="N3431">
        <v>7</v>
      </c>
      <c r="O3431">
        <v>7</v>
      </c>
      <c r="P3431">
        <v>1</v>
      </c>
      <c r="Q3431">
        <v>0</v>
      </c>
      <c r="R3431" s="4">
        <v>21.73</v>
      </c>
      <c r="S3431">
        <v>0</v>
      </c>
      <c r="T3431">
        <v>1</v>
      </c>
    </row>
    <row r="3432" spans="1:20" ht="16.5" x14ac:dyDescent="0.3">
      <c r="A3432" t="s">
        <v>3486</v>
      </c>
      <c r="B3432" s="1">
        <v>45771</v>
      </c>
      <c r="C3432">
        <v>2025</v>
      </c>
      <c r="D3432" t="s">
        <v>649</v>
      </c>
      <c r="E3432" t="s">
        <v>650</v>
      </c>
      <c r="F3432" t="s">
        <v>23</v>
      </c>
      <c r="G3432" t="s">
        <v>39</v>
      </c>
      <c r="H3432" t="s">
        <v>36</v>
      </c>
      <c r="I3432" t="s">
        <v>26</v>
      </c>
      <c r="J3432" t="s">
        <v>27</v>
      </c>
      <c r="K3432" t="s">
        <v>28</v>
      </c>
      <c r="L3432" s="2">
        <v>150.5</v>
      </c>
      <c r="M3432" s="3">
        <v>262</v>
      </c>
      <c r="N3432">
        <v>3</v>
      </c>
      <c r="O3432">
        <v>3</v>
      </c>
      <c r="P3432">
        <v>1</v>
      </c>
      <c r="Q3432">
        <v>0</v>
      </c>
      <c r="R3432" s="4">
        <v>70.540000000000006</v>
      </c>
      <c r="S3432">
        <v>0</v>
      </c>
      <c r="T3432">
        <v>1</v>
      </c>
    </row>
    <row r="3433" spans="1:20" ht="16.5" x14ac:dyDescent="0.3">
      <c r="A3433" t="s">
        <v>3487</v>
      </c>
      <c r="B3433" s="1">
        <v>45771</v>
      </c>
      <c r="C3433">
        <v>2025</v>
      </c>
      <c r="D3433" t="s">
        <v>649</v>
      </c>
      <c r="E3433" t="s">
        <v>650</v>
      </c>
      <c r="F3433" t="s">
        <v>57</v>
      </c>
      <c r="G3433" t="s">
        <v>39</v>
      </c>
      <c r="H3433" t="s">
        <v>36</v>
      </c>
      <c r="I3433" t="s">
        <v>40</v>
      </c>
      <c r="J3433" t="s">
        <v>27</v>
      </c>
      <c r="K3433" t="s">
        <v>32</v>
      </c>
      <c r="L3433" s="2">
        <v>4.3</v>
      </c>
      <c r="M3433" s="3">
        <v>227</v>
      </c>
      <c r="N3433">
        <v>1</v>
      </c>
      <c r="O3433">
        <v>1</v>
      </c>
      <c r="P3433">
        <v>1</v>
      </c>
      <c r="Q3433">
        <v>0</v>
      </c>
      <c r="R3433" s="4">
        <v>20.37</v>
      </c>
      <c r="S3433">
        <v>0</v>
      </c>
      <c r="T3433">
        <v>1</v>
      </c>
    </row>
    <row r="3434" spans="1:20" ht="16.5" x14ac:dyDescent="0.3">
      <c r="A3434" t="s">
        <v>3488</v>
      </c>
      <c r="B3434" s="1">
        <v>45771</v>
      </c>
      <c r="C3434">
        <v>2025</v>
      </c>
      <c r="D3434" t="s">
        <v>649</v>
      </c>
      <c r="E3434" t="s">
        <v>650</v>
      </c>
      <c r="F3434" t="s">
        <v>23</v>
      </c>
      <c r="G3434" t="s">
        <v>24</v>
      </c>
      <c r="H3434" t="s">
        <v>48</v>
      </c>
      <c r="I3434" t="s">
        <v>26</v>
      </c>
      <c r="J3434" t="s">
        <v>27</v>
      </c>
      <c r="K3434" t="s">
        <v>28</v>
      </c>
      <c r="L3434" s="2">
        <v>74.2</v>
      </c>
      <c r="M3434" s="3">
        <v>625</v>
      </c>
      <c r="N3434">
        <v>4</v>
      </c>
      <c r="O3434">
        <v>4</v>
      </c>
      <c r="P3434">
        <v>1</v>
      </c>
      <c r="Q3434">
        <v>0</v>
      </c>
      <c r="R3434" s="4">
        <v>46.76</v>
      </c>
      <c r="S3434">
        <v>0</v>
      </c>
      <c r="T3434">
        <v>1</v>
      </c>
    </row>
    <row r="3435" spans="1:20" ht="16.5" x14ac:dyDescent="0.3">
      <c r="A3435" t="s">
        <v>3489</v>
      </c>
      <c r="B3435" s="1">
        <v>45772</v>
      </c>
      <c r="C3435">
        <v>2025</v>
      </c>
      <c r="D3435" t="s">
        <v>649</v>
      </c>
      <c r="E3435" t="s">
        <v>650</v>
      </c>
      <c r="F3435" t="s">
        <v>34</v>
      </c>
      <c r="G3435" t="s">
        <v>39</v>
      </c>
      <c r="H3435" t="s">
        <v>25</v>
      </c>
      <c r="I3435" t="s">
        <v>31</v>
      </c>
      <c r="J3435" t="s">
        <v>27</v>
      </c>
      <c r="K3435" t="s">
        <v>32</v>
      </c>
      <c r="L3435" s="2">
        <v>5.2</v>
      </c>
      <c r="M3435" s="3">
        <v>672</v>
      </c>
      <c r="N3435">
        <v>6</v>
      </c>
      <c r="O3435">
        <v>6</v>
      </c>
      <c r="P3435">
        <v>1</v>
      </c>
      <c r="Q3435">
        <v>0</v>
      </c>
      <c r="R3435" s="4">
        <v>11.52</v>
      </c>
      <c r="S3435">
        <v>0</v>
      </c>
      <c r="T3435">
        <v>1</v>
      </c>
    </row>
    <row r="3436" spans="1:20" ht="16.5" x14ac:dyDescent="0.3">
      <c r="A3436" t="s">
        <v>3490</v>
      </c>
      <c r="B3436" s="1">
        <v>45772</v>
      </c>
      <c r="C3436">
        <v>2025</v>
      </c>
      <c r="D3436" t="s">
        <v>649</v>
      </c>
      <c r="E3436" t="s">
        <v>650</v>
      </c>
      <c r="F3436" t="s">
        <v>30</v>
      </c>
      <c r="G3436" t="s">
        <v>39</v>
      </c>
      <c r="H3436" t="s">
        <v>36</v>
      </c>
      <c r="I3436" t="s">
        <v>26</v>
      </c>
      <c r="J3436" t="s">
        <v>27</v>
      </c>
      <c r="K3436" t="s">
        <v>32</v>
      </c>
      <c r="L3436" s="2">
        <v>10</v>
      </c>
      <c r="M3436" s="3">
        <v>218</v>
      </c>
      <c r="N3436">
        <v>3</v>
      </c>
      <c r="O3436">
        <v>2</v>
      </c>
      <c r="P3436">
        <v>1</v>
      </c>
      <c r="Q3436">
        <v>0</v>
      </c>
      <c r="R3436" s="4">
        <v>15.91</v>
      </c>
      <c r="S3436">
        <v>0</v>
      </c>
      <c r="T3436">
        <v>1</v>
      </c>
    </row>
    <row r="3437" spans="1:20" ht="16.5" x14ac:dyDescent="0.3">
      <c r="A3437" t="s">
        <v>3491</v>
      </c>
      <c r="B3437" s="1">
        <v>45772</v>
      </c>
      <c r="C3437">
        <v>2025</v>
      </c>
      <c r="D3437" t="s">
        <v>649</v>
      </c>
      <c r="E3437" t="s">
        <v>650</v>
      </c>
      <c r="F3437" t="s">
        <v>57</v>
      </c>
      <c r="G3437" t="s">
        <v>35</v>
      </c>
      <c r="H3437" t="s">
        <v>43</v>
      </c>
      <c r="I3437" t="s">
        <v>40</v>
      </c>
      <c r="J3437" t="s">
        <v>41</v>
      </c>
      <c r="K3437" t="s">
        <v>28</v>
      </c>
      <c r="L3437" s="2">
        <v>161.5</v>
      </c>
      <c r="M3437" s="3">
        <v>1242</v>
      </c>
      <c r="N3437">
        <v>3</v>
      </c>
      <c r="O3437">
        <v>8</v>
      </c>
      <c r="P3437">
        <v>0</v>
      </c>
      <c r="Q3437">
        <v>5</v>
      </c>
      <c r="R3437" s="4">
        <v>275.77999999999997</v>
      </c>
      <c r="S3437">
        <v>0</v>
      </c>
      <c r="T3437">
        <v>1</v>
      </c>
    </row>
    <row r="3438" spans="1:20" ht="16.5" x14ac:dyDescent="0.3">
      <c r="A3438" t="s">
        <v>3492</v>
      </c>
      <c r="B3438" s="1">
        <v>45772</v>
      </c>
      <c r="C3438">
        <v>2025</v>
      </c>
      <c r="D3438" t="s">
        <v>649</v>
      </c>
      <c r="E3438" t="s">
        <v>650</v>
      </c>
      <c r="F3438" t="s">
        <v>30</v>
      </c>
      <c r="G3438" t="s">
        <v>39</v>
      </c>
      <c r="H3438" t="s">
        <v>48</v>
      </c>
      <c r="I3438" t="s">
        <v>40</v>
      </c>
      <c r="J3438" t="s">
        <v>27</v>
      </c>
      <c r="K3438" t="s">
        <v>32</v>
      </c>
      <c r="L3438" s="2">
        <v>8.4</v>
      </c>
      <c r="M3438" s="3">
        <v>454</v>
      </c>
      <c r="N3438">
        <v>2</v>
      </c>
      <c r="O3438">
        <v>2</v>
      </c>
      <c r="P3438">
        <v>1</v>
      </c>
      <c r="Q3438">
        <v>0</v>
      </c>
      <c r="R3438" s="4">
        <v>32.28</v>
      </c>
      <c r="S3438">
        <v>0</v>
      </c>
      <c r="T3438">
        <v>1</v>
      </c>
    </row>
    <row r="3439" spans="1:20" ht="16.5" x14ac:dyDescent="0.3">
      <c r="A3439" t="s">
        <v>3493</v>
      </c>
      <c r="B3439" s="1">
        <v>45772</v>
      </c>
      <c r="C3439">
        <v>2025</v>
      </c>
      <c r="D3439" t="s">
        <v>649</v>
      </c>
      <c r="E3439" t="s">
        <v>650</v>
      </c>
      <c r="F3439" t="s">
        <v>57</v>
      </c>
      <c r="G3439" t="s">
        <v>35</v>
      </c>
      <c r="H3439" t="s">
        <v>36</v>
      </c>
      <c r="I3439" t="s">
        <v>26</v>
      </c>
      <c r="J3439" t="s">
        <v>27</v>
      </c>
      <c r="K3439" t="s">
        <v>28</v>
      </c>
      <c r="L3439" s="2">
        <v>192.7</v>
      </c>
      <c r="M3439" s="3">
        <v>211</v>
      </c>
      <c r="N3439">
        <v>3</v>
      </c>
      <c r="O3439">
        <v>3</v>
      </c>
      <c r="P3439">
        <v>1</v>
      </c>
      <c r="Q3439">
        <v>0</v>
      </c>
      <c r="R3439" s="4">
        <v>91.13</v>
      </c>
      <c r="S3439">
        <v>0</v>
      </c>
      <c r="T3439">
        <v>1</v>
      </c>
    </row>
    <row r="3440" spans="1:20" ht="16.5" x14ac:dyDescent="0.3">
      <c r="A3440" t="s">
        <v>3494</v>
      </c>
      <c r="B3440" s="1">
        <v>45772</v>
      </c>
      <c r="C3440">
        <v>2025</v>
      </c>
      <c r="D3440" t="s">
        <v>649</v>
      </c>
      <c r="E3440" t="s">
        <v>650</v>
      </c>
      <c r="F3440" t="s">
        <v>57</v>
      </c>
      <c r="G3440" t="s">
        <v>24</v>
      </c>
      <c r="H3440" t="s">
        <v>43</v>
      </c>
      <c r="I3440" t="s">
        <v>40</v>
      </c>
      <c r="J3440" t="s">
        <v>41</v>
      </c>
      <c r="K3440" t="s">
        <v>32</v>
      </c>
      <c r="L3440" s="2">
        <v>10.4</v>
      </c>
      <c r="M3440" s="3">
        <v>987</v>
      </c>
      <c r="N3440">
        <v>3</v>
      </c>
      <c r="O3440">
        <v>3</v>
      </c>
      <c r="P3440">
        <v>1</v>
      </c>
      <c r="Q3440">
        <v>0</v>
      </c>
      <c r="R3440" s="4">
        <v>68.430000000000007</v>
      </c>
      <c r="S3440">
        <v>0</v>
      </c>
      <c r="T3440">
        <v>1</v>
      </c>
    </row>
    <row r="3441" spans="1:20" ht="16.5" x14ac:dyDescent="0.3">
      <c r="A3441" t="s">
        <v>3495</v>
      </c>
      <c r="B3441" s="1">
        <v>45772</v>
      </c>
      <c r="C3441">
        <v>2025</v>
      </c>
      <c r="D3441" t="s">
        <v>649</v>
      </c>
      <c r="E3441" t="s">
        <v>650</v>
      </c>
      <c r="F3441" t="s">
        <v>57</v>
      </c>
      <c r="G3441" t="s">
        <v>39</v>
      </c>
      <c r="H3441" t="s">
        <v>48</v>
      </c>
      <c r="I3441" t="s">
        <v>31</v>
      </c>
      <c r="J3441" t="s">
        <v>27</v>
      </c>
      <c r="K3441" t="s">
        <v>32</v>
      </c>
      <c r="L3441" s="2">
        <v>2.4</v>
      </c>
      <c r="M3441" s="3">
        <v>552</v>
      </c>
      <c r="N3441">
        <v>6</v>
      </c>
      <c r="O3441">
        <v>6</v>
      </c>
      <c r="P3441">
        <v>1</v>
      </c>
      <c r="Q3441">
        <v>0</v>
      </c>
      <c r="R3441" s="4">
        <v>10.72</v>
      </c>
      <c r="S3441">
        <v>0</v>
      </c>
      <c r="T3441">
        <v>1</v>
      </c>
    </row>
    <row r="3442" spans="1:20" ht="16.5" x14ac:dyDescent="0.3">
      <c r="A3442" t="s">
        <v>3496</v>
      </c>
      <c r="B3442" s="1">
        <v>45772</v>
      </c>
      <c r="C3442">
        <v>2025</v>
      </c>
      <c r="D3442" t="s">
        <v>649</v>
      </c>
      <c r="E3442" t="s">
        <v>650</v>
      </c>
      <c r="F3442" t="s">
        <v>38</v>
      </c>
      <c r="G3442" t="s">
        <v>35</v>
      </c>
      <c r="H3442" t="s">
        <v>25</v>
      </c>
      <c r="I3442" t="s">
        <v>26</v>
      </c>
      <c r="J3442" t="s">
        <v>27</v>
      </c>
      <c r="K3442" t="s">
        <v>32</v>
      </c>
      <c r="L3442" s="2">
        <v>7.1</v>
      </c>
      <c r="M3442" s="3">
        <v>909</v>
      </c>
      <c r="N3442">
        <v>4</v>
      </c>
      <c r="O3442">
        <v>4</v>
      </c>
      <c r="P3442">
        <v>1</v>
      </c>
      <c r="Q3442">
        <v>0</v>
      </c>
      <c r="R3442" s="4">
        <v>23.81</v>
      </c>
      <c r="S3442">
        <v>0</v>
      </c>
      <c r="T3442">
        <v>1</v>
      </c>
    </row>
    <row r="3443" spans="1:20" ht="16.5" x14ac:dyDescent="0.3">
      <c r="A3443" t="s">
        <v>3497</v>
      </c>
      <c r="B3443" s="1">
        <v>45772</v>
      </c>
      <c r="C3443">
        <v>2025</v>
      </c>
      <c r="D3443" t="s">
        <v>649</v>
      </c>
      <c r="E3443" t="s">
        <v>650</v>
      </c>
      <c r="F3443" t="s">
        <v>30</v>
      </c>
      <c r="G3443" t="s">
        <v>39</v>
      </c>
      <c r="H3443" t="s">
        <v>48</v>
      </c>
      <c r="I3443" t="s">
        <v>26</v>
      </c>
      <c r="J3443" t="s">
        <v>27</v>
      </c>
      <c r="K3443" t="s">
        <v>32</v>
      </c>
      <c r="L3443" s="2">
        <v>6.3</v>
      </c>
      <c r="M3443" s="3">
        <v>510</v>
      </c>
      <c r="N3443">
        <v>4</v>
      </c>
      <c r="O3443">
        <v>3</v>
      </c>
      <c r="P3443">
        <v>1</v>
      </c>
      <c r="Q3443">
        <v>0</v>
      </c>
      <c r="R3443" s="4">
        <v>16.18</v>
      </c>
      <c r="S3443">
        <v>0</v>
      </c>
      <c r="T3443">
        <v>1</v>
      </c>
    </row>
    <row r="3444" spans="1:20" ht="16.5" x14ac:dyDescent="0.3">
      <c r="A3444" t="s">
        <v>3498</v>
      </c>
      <c r="B3444" s="1">
        <v>45773</v>
      </c>
      <c r="C3444">
        <v>2025</v>
      </c>
      <c r="D3444" t="s">
        <v>649</v>
      </c>
      <c r="E3444" t="s">
        <v>650</v>
      </c>
      <c r="F3444" t="s">
        <v>30</v>
      </c>
      <c r="G3444" t="s">
        <v>35</v>
      </c>
      <c r="H3444" t="s">
        <v>25</v>
      </c>
      <c r="I3444" t="s">
        <v>26</v>
      </c>
      <c r="J3444" t="s">
        <v>27</v>
      </c>
      <c r="K3444" t="s">
        <v>28</v>
      </c>
      <c r="L3444" s="2">
        <v>86.6</v>
      </c>
      <c r="M3444" s="3">
        <v>705</v>
      </c>
      <c r="N3444">
        <v>4</v>
      </c>
      <c r="O3444">
        <v>5</v>
      </c>
      <c r="P3444">
        <v>0</v>
      </c>
      <c r="Q3444">
        <v>1</v>
      </c>
      <c r="R3444" s="4">
        <v>53.96</v>
      </c>
      <c r="S3444">
        <v>0</v>
      </c>
      <c r="T3444">
        <v>1</v>
      </c>
    </row>
    <row r="3445" spans="1:20" ht="16.5" x14ac:dyDescent="0.3">
      <c r="A3445" t="s">
        <v>3499</v>
      </c>
      <c r="B3445" s="1">
        <v>45773</v>
      </c>
      <c r="C3445">
        <v>2025</v>
      </c>
      <c r="D3445" t="s">
        <v>649</v>
      </c>
      <c r="E3445" t="s">
        <v>650</v>
      </c>
      <c r="F3445" t="s">
        <v>34</v>
      </c>
      <c r="G3445" t="s">
        <v>39</v>
      </c>
      <c r="H3445" t="s">
        <v>51</v>
      </c>
      <c r="I3445" t="s">
        <v>40</v>
      </c>
      <c r="J3445" t="s">
        <v>41</v>
      </c>
      <c r="K3445" t="s">
        <v>32</v>
      </c>
      <c r="L3445" s="2">
        <v>4.2</v>
      </c>
      <c r="M3445" s="3">
        <v>1435</v>
      </c>
      <c r="N3445">
        <v>3</v>
      </c>
      <c r="O3445">
        <v>3</v>
      </c>
      <c r="P3445">
        <v>1</v>
      </c>
      <c r="Q3445">
        <v>0</v>
      </c>
      <c r="R3445" s="4">
        <v>70.05</v>
      </c>
      <c r="S3445">
        <v>0</v>
      </c>
      <c r="T3445">
        <v>1</v>
      </c>
    </row>
    <row r="3446" spans="1:20" ht="16.5" x14ac:dyDescent="0.3">
      <c r="A3446" t="s">
        <v>3500</v>
      </c>
      <c r="B3446" s="1">
        <v>45773</v>
      </c>
      <c r="C3446">
        <v>2025</v>
      </c>
      <c r="D3446" t="s">
        <v>649</v>
      </c>
      <c r="E3446" t="s">
        <v>650</v>
      </c>
      <c r="F3446" t="s">
        <v>34</v>
      </c>
      <c r="G3446" t="s">
        <v>35</v>
      </c>
      <c r="H3446" t="s">
        <v>43</v>
      </c>
      <c r="I3446" t="s">
        <v>26</v>
      </c>
      <c r="J3446" t="s">
        <v>27</v>
      </c>
      <c r="K3446" t="s">
        <v>32</v>
      </c>
      <c r="L3446" s="2">
        <v>2.4</v>
      </c>
      <c r="M3446" s="3">
        <v>1053</v>
      </c>
      <c r="N3446">
        <v>5</v>
      </c>
      <c r="O3446">
        <v>5</v>
      </c>
      <c r="P3446">
        <v>1</v>
      </c>
      <c r="Q3446">
        <v>0</v>
      </c>
      <c r="R3446" s="4">
        <v>16.170000000000002</v>
      </c>
      <c r="S3446">
        <v>0</v>
      </c>
      <c r="T3446">
        <v>1</v>
      </c>
    </row>
    <row r="3447" spans="1:20" ht="16.5" x14ac:dyDescent="0.3">
      <c r="A3447" t="s">
        <v>3501</v>
      </c>
      <c r="B3447" s="1">
        <v>45773</v>
      </c>
      <c r="C3447">
        <v>2025</v>
      </c>
      <c r="D3447" t="s">
        <v>649</v>
      </c>
      <c r="E3447" t="s">
        <v>650</v>
      </c>
      <c r="F3447" t="s">
        <v>38</v>
      </c>
      <c r="G3447" t="s">
        <v>35</v>
      </c>
      <c r="H3447" t="s">
        <v>48</v>
      </c>
      <c r="I3447" t="s">
        <v>26</v>
      </c>
      <c r="J3447" t="s">
        <v>27</v>
      </c>
      <c r="K3447" t="s">
        <v>32</v>
      </c>
      <c r="L3447" s="2">
        <v>5.2</v>
      </c>
      <c r="M3447" s="3">
        <v>400</v>
      </c>
      <c r="N3447">
        <v>4</v>
      </c>
      <c r="O3447">
        <v>4</v>
      </c>
      <c r="P3447">
        <v>1</v>
      </c>
      <c r="Q3447">
        <v>0</v>
      </c>
      <c r="R3447" s="4">
        <v>15.37</v>
      </c>
      <c r="S3447">
        <v>0</v>
      </c>
      <c r="T3447">
        <v>1</v>
      </c>
    </row>
    <row r="3448" spans="1:20" ht="16.5" x14ac:dyDescent="0.3">
      <c r="A3448" t="s">
        <v>3502</v>
      </c>
      <c r="B3448" s="1">
        <v>45773</v>
      </c>
      <c r="C3448">
        <v>2025</v>
      </c>
      <c r="D3448" t="s">
        <v>649</v>
      </c>
      <c r="E3448" t="s">
        <v>650</v>
      </c>
      <c r="F3448" t="s">
        <v>38</v>
      </c>
      <c r="G3448" t="s">
        <v>35</v>
      </c>
      <c r="H3448" t="s">
        <v>51</v>
      </c>
      <c r="I3448" t="s">
        <v>31</v>
      </c>
      <c r="J3448" t="s">
        <v>27</v>
      </c>
      <c r="K3448" t="s">
        <v>32</v>
      </c>
      <c r="L3448" s="2">
        <v>10.9</v>
      </c>
      <c r="M3448" s="3">
        <v>1082</v>
      </c>
      <c r="N3448">
        <v>7</v>
      </c>
      <c r="O3448">
        <v>7</v>
      </c>
      <c r="P3448">
        <v>1</v>
      </c>
      <c r="Q3448">
        <v>0</v>
      </c>
      <c r="R3448" s="4">
        <v>19.37</v>
      </c>
      <c r="S3448">
        <v>0</v>
      </c>
      <c r="T3448">
        <v>1</v>
      </c>
    </row>
    <row r="3449" spans="1:20" ht="16.5" x14ac:dyDescent="0.3">
      <c r="A3449" t="s">
        <v>3503</v>
      </c>
      <c r="B3449" s="1">
        <v>45774</v>
      </c>
      <c r="C3449">
        <v>2025</v>
      </c>
      <c r="D3449" t="s">
        <v>649</v>
      </c>
      <c r="E3449" t="s">
        <v>650</v>
      </c>
      <c r="F3449" t="s">
        <v>30</v>
      </c>
      <c r="G3449" t="s">
        <v>24</v>
      </c>
      <c r="H3449" t="s">
        <v>43</v>
      </c>
      <c r="I3449" t="s">
        <v>31</v>
      </c>
      <c r="J3449" t="s">
        <v>27</v>
      </c>
      <c r="K3449" t="s">
        <v>32</v>
      </c>
      <c r="L3449" s="2">
        <v>5.8</v>
      </c>
      <c r="M3449" s="3">
        <v>1426</v>
      </c>
      <c r="N3449">
        <v>7</v>
      </c>
      <c r="O3449">
        <v>9</v>
      </c>
      <c r="P3449">
        <v>0</v>
      </c>
      <c r="Q3449">
        <v>2</v>
      </c>
      <c r="R3449" s="4">
        <v>18.829999999999998</v>
      </c>
      <c r="S3449">
        <v>0</v>
      </c>
      <c r="T3449">
        <v>1</v>
      </c>
    </row>
    <row r="3450" spans="1:20" ht="16.5" x14ac:dyDescent="0.3">
      <c r="A3450" t="s">
        <v>3504</v>
      </c>
      <c r="B3450" s="1">
        <v>45774</v>
      </c>
      <c r="C3450">
        <v>2025</v>
      </c>
      <c r="D3450" t="s">
        <v>649</v>
      </c>
      <c r="E3450" t="s">
        <v>650</v>
      </c>
      <c r="F3450" t="s">
        <v>34</v>
      </c>
      <c r="G3450" t="s">
        <v>39</v>
      </c>
      <c r="H3450" t="s">
        <v>25</v>
      </c>
      <c r="I3450" t="s">
        <v>40</v>
      </c>
      <c r="J3450" t="s">
        <v>41</v>
      </c>
      <c r="K3450" t="s">
        <v>32</v>
      </c>
      <c r="L3450" s="2">
        <v>9.3000000000000007</v>
      </c>
      <c r="M3450" s="3">
        <v>739</v>
      </c>
      <c r="N3450">
        <v>2</v>
      </c>
      <c r="O3450">
        <v>2</v>
      </c>
      <c r="P3450">
        <v>1</v>
      </c>
      <c r="Q3450">
        <v>0</v>
      </c>
      <c r="R3450" s="4">
        <v>55.88</v>
      </c>
      <c r="S3450">
        <v>0</v>
      </c>
      <c r="T3450">
        <v>1</v>
      </c>
    </row>
    <row r="3451" spans="1:20" ht="16.5" x14ac:dyDescent="0.3">
      <c r="A3451" t="s">
        <v>3505</v>
      </c>
      <c r="B3451" s="1">
        <v>45775</v>
      </c>
      <c r="C3451">
        <v>2025</v>
      </c>
      <c r="D3451" t="s">
        <v>649</v>
      </c>
      <c r="E3451" t="s">
        <v>650</v>
      </c>
      <c r="F3451" t="s">
        <v>30</v>
      </c>
      <c r="G3451" t="s">
        <v>39</v>
      </c>
      <c r="H3451" t="s">
        <v>48</v>
      </c>
      <c r="I3451" t="s">
        <v>26</v>
      </c>
      <c r="J3451" t="s">
        <v>27</v>
      </c>
      <c r="K3451" t="s">
        <v>32</v>
      </c>
      <c r="L3451" s="2">
        <v>23</v>
      </c>
      <c r="M3451" s="3">
        <v>552</v>
      </c>
      <c r="N3451">
        <v>4</v>
      </c>
      <c r="O3451">
        <v>3</v>
      </c>
      <c r="P3451">
        <v>1</v>
      </c>
      <c r="Q3451">
        <v>0</v>
      </c>
      <c r="R3451" s="4">
        <v>27.91</v>
      </c>
      <c r="S3451">
        <v>0</v>
      </c>
      <c r="T3451">
        <v>1</v>
      </c>
    </row>
    <row r="3452" spans="1:20" ht="16.5" x14ac:dyDescent="0.3">
      <c r="A3452" t="s">
        <v>3506</v>
      </c>
      <c r="B3452" s="1">
        <v>45775</v>
      </c>
      <c r="C3452">
        <v>2025</v>
      </c>
      <c r="D3452" t="s">
        <v>649</v>
      </c>
      <c r="E3452" t="s">
        <v>650</v>
      </c>
      <c r="F3452" t="s">
        <v>23</v>
      </c>
      <c r="G3452" t="s">
        <v>39</v>
      </c>
      <c r="H3452" t="s">
        <v>51</v>
      </c>
      <c r="I3452" t="s">
        <v>31</v>
      </c>
      <c r="J3452" t="s">
        <v>27</v>
      </c>
      <c r="K3452" t="s">
        <v>28</v>
      </c>
      <c r="L3452" s="2">
        <v>86.6</v>
      </c>
      <c r="M3452" s="3">
        <v>1335</v>
      </c>
      <c r="N3452">
        <v>7</v>
      </c>
      <c r="O3452">
        <v>9</v>
      </c>
      <c r="P3452">
        <v>0</v>
      </c>
      <c r="Q3452">
        <v>2</v>
      </c>
      <c r="R3452" s="4">
        <v>42.88</v>
      </c>
      <c r="S3452">
        <v>0</v>
      </c>
      <c r="T3452">
        <v>1</v>
      </c>
    </row>
    <row r="3453" spans="1:20" ht="16.5" x14ac:dyDescent="0.3">
      <c r="A3453" t="s">
        <v>3507</v>
      </c>
      <c r="B3453" s="1">
        <v>45775</v>
      </c>
      <c r="C3453">
        <v>2025</v>
      </c>
      <c r="D3453" t="s">
        <v>649</v>
      </c>
      <c r="E3453" t="s">
        <v>650</v>
      </c>
      <c r="F3453" t="s">
        <v>38</v>
      </c>
      <c r="G3453" t="s">
        <v>35</v>
      </c>
      <c r="H3453" t="s">
        <v>25</v>
      </c>
      <c r="I3453" t="s">
        <v>26</v>
      </c>
      <c r="J3453" t="s">
        <v>27</v>
      </c>
      <c r="K3453" t="s">
        <v>32</v>
      </c>
      <c r="L3453" s="2">
        <v>11.7</v>
      </c>
      <c r="M3453" s="3">
        <v>787</v>
      </c>
      <c r="N3453">
        <v>4</v>
      </c>
      <c r="O3453">
        <v>4</v>
      </c>
      <c r="P3453">
        <v>1</v>
      </c>
      <c r="Q3453">
        <v>0</v>
      </c>
      <c r="R3453" s="4">
        <v>25.11</v>
      </c>
      <c r="S3453">
        <v>0</v>
      </c>
      <c r="T3453">
        <v>1</v>
      </c>
    </row>
    <row r="3454" spans="1:20" ht="16.5" x14ac:dyDescent="0.3">
      <c r="A3454" t="s">
        <v>3508</v>
      </c>
      <c r="B3454" s="1">
        <v>45775</v>
      </c>
      <c r="C3454">
        <v>2025</v>
      </c>
      <c r="D3454" t="s">
        <v>649</v>
      </c>
      <c r="E3454" t="s">
        <v>650</v>
      </c>
      <c r="F3454" t="s">
        <v>30</v>
      </c>
      <c r="G3454" t="s">
        <v>24</v>
      </c>
      <c r="H3454" t="s">
        <v>36</v>
      </c>
      <c r="I3454" t="s">
        <v>26</v>
      </c>
      <c r="J3454" t="s">
        <v>27</v>
      </c>
      <c r="K3454" t="s">
        <v>28</v>
      </c>
      <c r="L3454" s="2">
        <v>161.19999999999999</v>
      </c>
      <c r="M3454" s="3">
        <v>178</v>
      </c>
      <c r="N3454">
        <v>3</v>
      </c>
      <c r="O3454">
        <v>3</v>
      </c>
      <c r="P3454">
        <v>1</v>
      </c>
      <c r="Q3454">
        <v>0</v>
      </c>
      <c r="R3454" s="4">
        <v>77.83</v>
      </c>
      <c r="S3454">
        <v>1</v>
      </c>
      <c r="T3454">
        <v>1</v>
      </c>
    </row>
    <row r="3455" spans="1:20" ht="16.5" x14ac:dyDescent="0.3">
      <c r="A3455" t="s">
        <v>3509</v>
      </c>
      <c r="B3455" s="1">
        <v>45775</v>
      </c>
      <c r="C3455">
        <v>2025</v>
      </c>
      <c r="D3455" t="s">
        <v>649</v>
      </c>
      <c r="E3455" t="s">
        <v>650</v>
      </c>
      <c r="F3455" t="s">
        <v>23</v>
      </c>
      <c r="G3455" t="s">
        <v>24</v>
      </c>
      <c r="H3455" t="s">
        <v>51</v>
      </c>
      <c r="I3455" t="s">
        <v>31</v>
      </c>
      <c r="J3455" t="s">
        <v>27</v>
      </c>
      <c r="K3455" t="s">
        <v>32</v>
      </c>
      <c r="L3455" s="2">
        <v>3</v>
      </c>
      <c r="M3455" s="3">
        <v>875</v>
      </c>
      <c r="N3455">
        <v>7</v>
      </c>
      <c r="O3455">
        <v>8</v>
      </c>
      <c r="P3455">
        <v>0</v>
      </c>
      <c r="Q3455">
        <v>1</v>
      </c>
      <c r="R3455" s="4">
        <v>13.64</v>
      </c>
      <c r="S3455">
        <v>0</v>
      </c>
      <c r="T3455">
        <v>1</v>
      </c>
    </row>
    <row r="3456" spans="1:20" ht="16.5" x14ac:dyDescent="0.3">
      <c r="A3456" t="s">
        <v>3510</v>
      </c>
      <c r="B3456" s="1">
        <v>45775</v>
      </c>
      <c r="C3456">
        <v>2025</v>
      </c>
      <c r="D3456" t="s">
        <v>649</v>
      </c>
      <c r="E3456" t="s">
        <v>650</v>
      </c>
      <c r="F3456" t="s">
        <v>23</v>
      </c>
      <c r="G3456" t="s">
        <v>39</v>
      </c>
      <c r="H3456" t="s">
        <v>48</v>
      </c>
      <c r="I3456" t="s">
        <v>26</v>
      </c>
      <c r="J3456" t="s">
        <v>27</v>
      </c>
      <c r="K3456" t="s">
        <v>32</v>
      </c>
      <c r="L3456" s="2">
        <v>1.1000000000000001</v>
      </c>
      <c r="M3456" s="3">
        <v>457</v>
      </c>
      <c r="N3456">
        <v>4</v>
      </c>
      <c r="O3456">
        <v>4</v>
      </c>
      <c r="P3456">
        <v>1</v>
      </c>
      <c r="Q3456">
        <v>0</v>
      </c>
      <c r="R3456" s="4">
        <v>13.14</v>
      </c>
      <c r="S3456">
        <v>0</v>
      </c>
      <c r="T3456">
        <v>1</v>
      </c>
    </row>
    <row r="3457" spans="1:20" ht="16.5" x14ac:dyDescent="0.3">
      <c r="A3457" t="s">
        <v>3511</v>
      </c>
      <c r="B3457" s="1">
        <v>45775</v>
      </c>
      <c r="C3457">
        <v>2025</v>
      </c>
      <c r="D3457" t="s">
        <v>649</v>
      </c>
      <c r="E3457" t="s">
        <v>650</v>
      </c>
      <c r="F3457" t="s">
        <v>34</v>
      </c>
      <c r="G3457" t="s">
        <v>24</v>
      </c>
      <c r="H3457" t="s">
        <v>51</v>
      </c>
      <c r="I3457" t="s">
        <v>40</v>
      </c>
      <c r="J3457" t="s">
        <v>41</v>
      </c>
      <c r="K3457" t="s">
        <v>28</v>
      </c>
      <c r="L3457" s="2">
        <v>211.6</v>
      </c>
      <c r="M3457" s="3">
        <v>1246</v>
      </c>
      <c r="N3457">
        <v>3</v>
      </c>
      <c r="O3457">
        <v>4</v>
      </c>
      <c r="P3457">
        <v>0</v>
      </c>
      <c r="Q3457">
        <v>1</v>
      </c>
      <c r="R3457" s="4">
        <v>257.95999999999998</v>
      </c>
      <c r="S3457">
        <v>0</v>
      </c>
      <c r="T3457">
        <v>1</v>
      </c>
    </row>
    <row r="3458" spans="1:20" ht="16.5" x14ac:dyDescent="0.3">
      <c r="A3458" t="s">
        <v>3512</v>
      </c>
      <c r="B3458" s="1">
        <v>45775</v>
      </c>
      <c r="C3458">
        <v>2025</v>
      </c>
      <c r="D3458" t="s">
        <v>649</v>
      </c>
      <c r="E3458" t="s">
        <v>650</v>
      </c>
      <c r="F3458" t="s">
        <v>57</v>
      </c>
      <c r="G3458" t="s">
        <v>39</v>
      </c>
      <c r="H3458" t="s">
        <v>43</v>
      </c>
      <c r="I3458" t="s">
        <v>31</v>
      </c>
      <c r="J3458" t="s">
        <v>27</v>
      </c>
      <c r="K3458" t="s">
        <v>28</v>
      </c>
      <c r="L3458" s="2">
        <v>71</v>
      </c>
      <c r="M3458" s="3">
        <v>1216</v>
      </c>
      <c r="N3458">
        <v>7</v>
      </c>
      <c r="O3458">
        <v>7</v>
      </c>
      <c r="P3458">
        <v>1</v>
      </c>
      <c r="Q3458">
        <v>0</v>
      </c>
      <c r="R3458" s="4">
        <v>39.950000000000003</v>
      </c>
      <c r="S3458">
        <v>0</v>
      </c>
      <c r="T3458">
        <v>1</v>
      </c>
    </row>
    <row r="3459" spans="1:20" ht="16.5" x14ac:dyDescent="0.3">
      <c r="A3459" t="s">
        <v>3513</v>
      </c>
      <c r="B3459" s="1">
        <v>45775</v>
      </c>
      <c r="C3459">
        <v>2025</v>
      </c>
      <c r="D3459" t="s">
        <v>649</v>
      </c>
      <c r="E3459" t="s">
        <v>650</v>
      </c>
      <c r="F3459" t="s">
        <v>57</v>
      </c>
      <c r="G3459" t="s">
        <v>39</v>
      </c>
      <c r="H3459" t="s">
        <v>36</v>
      </c>
      <c r="I3459" t="s">
        <v>26</v>
      </c>
      <c r="J3459" t="s">
        <v>27</v>
      </c>
      <c r="K3459" t="s">
        <v>28</v>
      </c>
      <c r="L3459" s="2">
        <v>7.6</v>
      </c>
      <c r="M3459" s="3">
        <v>271</v>
      </c>
      <c r="N3459">
        <v>3</v>
      </c>
      <c r="O3459">
        <v>3</v>
      </c>
      <c r="P3459">
        <v>1</v>
      </c>
      <c r="Q3459">
        <v>0</v>
      </c>
      <c r="R3459" s="4">
        <v>13.5</v>
      </c>
      <c r="S3459">
        <v>0</v>
      </c>
      <c r="T3459">
        <v>1</v>
      </c>
    </row>
    <row r="3460" spans="1:20" ht="16.5" x14ac:dyDescent="0.3">
      <c r="A3460" t="s">
        <v>3514</v>
      </c>
      <c r="B3460" s="1">
        <v>45776</v>
      </c>
      <c r="C3460">
        <v>2025</v>
      </c>
      <c r="D3460" t="s">
        <v>649</v>
      </c>
      <c r="E3460" t="s">
        <v>650</v>
      </c>
      <c r="F3460" t="s">
        <v>57</v>
      </c>
      <c r="G3460" t="s">
        <v>39</v>
      </c>
      <c r="H3460" t="s">
        <v>43</v>
      </c>
      <c r="I3460" t="s">
        <v>26</v>
      </c>
      <c r="J3460" t="s">
        <v>27</v>
      </c>
      <c r="K3460" t="s">
        <v>28</v>
      </c>
      <c r="L3460" s="2">
        <v>14</v>
      </c>
      <c r="M3460" s="3">
        <v>898</v>
      </c>
      <c r="N3460">
        <v>5</v>
      </c>
      <c r="O3460">
        <v>5</v>
      </c>
      <c r="P3460">
        <v>1</v>
      </c>
      <c r="Q3460">
        <v>0</v>
      </c>
      <c r="R3460" s="4">
        <v>27.32</v>
      </c>
      <c r="S3460">
        <v>0</v>
      </c>
      <c r="T3460">
        <v>1</v>
      </c>
    </row>
    <row r="3461" spans="1:20" ht="16.5" x14ac:dyDescent="0.3">
      <c r="A3461" t="s">
        <v>3515</v>
      </c>
      <c r="B3461" s="1">
        <v>45776</v>
      </c>
      <c r="C3461">
        <v>2025</v>
      </c>
      <c r="D3461" t="s">
        <v>649</v>
      </c>
      <c r="E3461" t="s">
        <v>650</v>
      </c>
      <c r="F3461" t="s">
        <v>23</v>
      </c>
      <c r="G3461" t="s">
        <v>35</v>
      </c>
      <c r="H3461" t="s">
        <v>36</v>
      </c>
      <c r="I3461" t="s">
        <v>26</v>
      </c>
      <c r="J3461" t="s">
        <v>27</v>
      </c>
      <c r="K3461" t="s">
        <v>32</v>
      </c>
      <c r="L3461" s="2">
        <v>14.2</v>
      </c>
      <c r="M3461" s="3">
        <v>270</v>
      </c>
      <c r="N3461">
        <v>3</v>
      </c>
      <c r="O3461">
        <v>3</v>
      </c>
      <c r="P3461">
        <v>1</v>
      </c>
      <c r="Q3461">
        <v>0</v>
      </c>
      <c r="R3461" s="4">
        <v>16.149999999999999</v>
      </c>
      <c r="S3461">
        <v>0</v>
      </c>
      <c r="T3461">
        <v>1</v>
      </c>
    </row>
    <row r="3462" spans="1:20" ht="16.5" x14ac:dyDescent="0.3">
      <c r="A3462" t="s">
        <v>3516</v>
      </c>
      <c r="B3462" s="1">
        <v>45776</v>
      </c>
      <c r="C3462">
        <v>2025</v>
      </c>
      <c r="D3462" t="s">
        <v>649</v>
      </c>
      <c r="E3462" t="s">
        <v>650</v>
      </c>
      <c r="F3462" t="s">
        <v>23</v>
      </c>
      <c r="G3462" t="s">
        <v>39</v>
      </c>
      <c r="H3462" t="s">
        <v>36</v>
      </c>
      <c r="I3462" t="s">
        <v>26</v>
      </c>
      <c r="J3462" t="s">
        <v>27</v>
      </c>
      <c r="K3462" t="s">
        <v>28</v>
      </c>
      <c r="L3462" s="2">
        <v>27.4</v>
      </c>
      <c r="M3462" s="3">
        <v>169</v>
      </c>
      <c r="N3462">
        <v>3</v>
      </c>
      <c r="O3462">
        <v>3</v>
      </c>
      <c r="P3462">
        <v>1</v>
      </c>
      <c r="Q3462">
        <v>0</v>
      </c>
      <c r="R3462" s="4">
        <v>22.52</v>
      </c>
      <c r="S3462">
        <v>0</v>
      </c>
      <c r="T3462">
        <v>1</v>
      </c>
    </row>
    <row r="3463" spans="1:20" ht="16.5" x14ac:dyDescent="0.3">
      <c r="A3463" t="s">
        <v>3517</v>
      </c>
      <c r="B3463" s="1">
        <v>45776</v>
      </c>
      <c r="C3463">
        <v>2025</v>
      </c>
      <c r="D3463" t="s">
        <v>649</v>
      </c>
      <c r="E3463" t="s">
        <v>650</v>
      </c>
      <c r="F3463" t="s">
        <v>57</v>
      </c>
      <c r="G3463" t="s">
        <v>39</v>
      </c>
      <c r="H3463" t="s">
        <v>48</v>
      </c>
      <c r="I3463" t="s">
        <v>26</v>
      </c>
      <c r="J3463" t="s">
        <v>27</v>
      </c>
      <c r="K3463" t="s">
        <v>32</v>
      </c>
      <c r="L3463" s="2">
        <v>5.5</v>
      </c>
      <c r="M3463" s="3">
        <v>674</v>
      </c>
      <c r="N3463">
        <v>4</v>
      </c>
      <c r="O3463">
        <v>4</v>
      </c>
      <c r="P3463">
        <v>1</v>
      </c>
      <c r="Q3463">
        <v>0</v>
      </c>
      <c r="R3463" s="4">
        <v>15.66</v>
      </c>
      <c r="S3463">
        <v>0</v>
      </c>
      <c r="T3463">
        <v>1</v>
      </c>
    </row>
    <row r="3464" spans="1:20" ht="16.5" x14ac:dyDescent="0.3">
      <c r="A3464" t="s">
        <v>3518</v>
      </c>
      <c r="B3464" s="1">
        <v>45776</v>
      </c>
      <c r="C3464">
        <v>2025</v>
      </c>
      <c r="D3464" t="s">
        <v>649</v>
      </c>
      <c r="E3464" t="s">
        <v>650</v>
      </c>
      <c r="F3464" t="s">
        <v>57</v>
      </c>
      <c r="G3464" t="s">
        <v>39</v>
      </c>
      <c r="H3464" t="s">
        <v>36</v>
      </c>
      <c r="I3464" t="s">
        <v>40</v>
      </c>
      <c r="J3464" t="s">
        <v>27</v>
      </c>
      <c r="K3464" t="s">
        <v>28</v>
      </c>
      <c r="L3464" s="2">
        <v>124.1</v>
      </c>
      <c r="M3464" s="3">
        <v>264</v>
      </c>
      <c r="N3464">
        <v>1</v>
      </c>
      <c r="O3464">
        <v>1</v>
      </c>
      <c r="P3464">
        <v>1</v>
      </c>
      <c r="Q3464">
        <v>0</v>
      </c>
      <c r="R3464" s="4">
        <v>119.1</v>
      </c>
      <c r="S3464">
        <v>0</v>
      </c>
      <c r="T3464">
        <v>1</v>
      </c>
    </row>
    <row r="3465" spans="1:20" ht="16.5" x14ac:dyDescent="0.3">
      <c r="A3465" t="s">
        <v>3519</v>
      </c>
      <c r="B3465" s="1">
        <v>45776</v>
      </c>
      <c r="C3465">
        <v>2025</v>
      </c>
      <c r="D3465" t="s">
        <v>649</v>
      </c>
      <c r="E3465" t="s">
        <v>650</v>
      </c>
      <c r="F3465" t="s">
        <v>34</v>
      </c>
      <c r="G3465" t="s">
        <v>35</v>
      </c>
      <c r="H3465" t="s">
        <v>25</v>
      </c>
      <c r="I3465" t="s">
        <v>26</v>
      </c>
      <c r="J3465" t="s">
        <v>27</v>
      </c>
      <c r="K3465" t="s">
        <v>28</v>
      </c>
      <c r="L3465" s="2">
        <v>173.1</v>
      </c>
      <c r="M3465" s="3">
        <v>959</v>
      </c>
      <c r="N3465">
        <v>4</v>
      </c>
      <c r="O3465">
        <v>4</v>
      </c>
      <c r="P3465">
        <v>1</v>
      </c>
      <c r="Q3465">
        <v>0</v>
      </c>
      <c r="R3465" s="4">
        <v>75.290000000000006</v>
      </c>
      <c r="S3465">
        <v>0</v>
      </c>
      <c r="T3465">
        <v>1</v>
      </c>
    </row>
    <row r="3466" spans="1:20" ht="16.5" x14ac:dyDescent="0.3">
      <c r="A3466" t="s">
        <v>3520</v>
      </c>
      <c r="B3466" s="1">
        <v>45776</v>
      </c>
      <c r="C3466">
        <v>2025</v>
      </c>
      <c r="D3466" t="s">
        <v>649</v>
      </c>
      <c r="E3466" t="s">
        <v>650</v>
      </c>
      <c r="F3466" t="s">
        <v>57</v>
      </c>
      <c r="G3466" t="s">
        <v>39</v>
      </c>
      <c r="H3466" t="s">
        <v>36</v>
      </c>
      <c r="I3466" t="s">
        <v>26</v>
      </c>
      <c r="J3466" t="s">
        <v>27</v>
      </c>
      <c r="K3466" t="s">
        <v>32</v>
      </c>
      <c r="L3466" s="2">
        <v>8.3000000000000007</v>
      </c>
      <c r="M3466" s="3">
        <v>199</v>
      </c>
      <c r="N3466">
        <v>3</v>
      </c>
      <c r="O3466">
        <v>2</v>
      </c>
      <c r="P3466">
        <v>1</v>
      </c>
      <c r="Q3466">
        <v>0</v>
      </c>
      <c r="R3466" s="4">
        <v>13.2</v>
      </c>
      <c r="S3466">
        <v>0</v>
      </c>
      <c r="T3466">
        <v>1</v>
      </c>
    </row>
    <row r="3467" spans="1:20" ht="16.5" x14ac:dyDescent="0.3">
      <c r="A3467" t="s">
        <v>3521</v>
      </c>
      <c r="B3467" s="1">
        <v>45776</v>
      </c>
      <c r="C3467">
        <v>2025</v>
      </c>
      <c r="D3467" t="s">
        <v>649</v>
      </c>
      <c r="E3467" t="s">
        <v>650</v>
      </c>
      <c r="F3467" t="s">
        <v>30</v>
      </c>
      <c r="G3467" t="s">
        <v>35</v>
      </c>
      <c r="H3467" t="s">
        <v>25</v>
      </c>
      <c r="I3467" t="s">
        <v>40</v>
      </c>
      <c r="J3467" t="s">
        <v>41</v>
      </c>
      <c r="K3467" t="s">
        <v>28</v>
      </c>
      <c r="L3467" s="2">
        <v>169.1</v>
      </c>
      <c r="M3467" s="3">
        <v>857</v>
      </c>
      <c r="N3467">
        <v>2</v>
      </c>
      <c r="O3467">
        <v>2</v>
      </c>
      <c r="P3467">
        <v>1</v>
      </c>
      <c r="Q3467">
        <v>0</v>
      </c>
      <c r="R3467" s="4">
        <v>283.02</v>
      </c>
      <c r="S3467">
        <v>0</v>
      </c>
      <c r="T3467">
        <v>1</v>
      </c>
    </row>
    <row r="3468" spans="1:20" ht="16.5" x14ac:dyDescent="0.3">
      <c r="A3468" t="s">
        <v>3522</v>
      </c>
      <c r="B3468" s="1">
        <v>45777</v>
      </c>
      <c r="C3468">
        <v>2025</v>
      </c>
      <c r="D3468" t="s">
        <v>649</v>
      </c>
      <c r="E3468" t="s">
        <v>650</v>
      </c>
      <c r="F3468" t="s">
        <v>57</v>
      </c>
      <c r="G3468" t="s">
        <v>24</v>
      </c>
      <c r="H3468" t="s">
        <v>36</v>
      </c>
      <c r="I3468" t="s">
        <v>26</v>
      </c>
      <c r="J3468" t="s">
        <v>27</v>
      </c>
      <c r="K3468" t="s">
        <v>32</v>
      </c>
      <c r="L3468" s="2">
        <v>5.6</v>
      </c>
      <c r="M3468" s="3">
        <v>264</v>
      </c>
      <c r="N3468">
        <v>3</v>
      </c>
      <c r="O3468">
        <v>2</v>
      </c>
      <c r="P3468">
        <v>1</v>
      </c>
      <c r="Q3468">
        <v>0</v>
      </c>
      <c r="R3468" s="4">
        <v>13.12</v>
      </c>
      <c r="S3468">
        <v>0</v>
      </c>
      <c r="T3468">
        <v>1</v>
      </c>
    </row>
    <row r="3469" spans="1:20" ht="16.5" x14ac:dyDescent="0.3">
      <c r="A3469" t="s">
        <v>3523</v>
      </c>
      <c r="B3469" s="1">
        <v>45777</v>
      </c>
      <c r="C3469">
        <v>2025</v>
      </c>
      <c r="D3469" t="s">
        <v>649</v>
      </c>
      <c r="E3469" t="s">
        <v>650</v>
      </c>
      <c r="F3469" t="s">
        <v>34</v>
      </c>
      <c r="G3469" t="s">
        <v>24</v>
      </c>
      <c r="H3469" t="s">
        <v>51</v>
      </c>
      <c r="I3469" t="s">
        <v>40</v>
      </c>
      <c r="J3469" t="s">
        <v>41</v>
      </c>
      <c r="K3469" t="s">
        <v>28</v>
      </c>
      <c r="L3469" s="2">
        <v>3.3</v>
      </c>
      <c r="M3469" s="3">
        <v>940</v>
      </c>
      <c r="N3469">
        <v>3</v>
      </c>
      <c r="O3469">
        <v>3</v>
      </c>
      <c r="P3469">
        <v>1</v>
      </c>
      <c r="Q3469">
        <v>0</v>
      </c>
      <c r="R3469" s="4">
        <v>53.24</v>
      </c>
      <c r="S3469">
        <v>0</v>
      </c>
      <c r="T3469">
        <v>1</v>
      </c>
    </row>
    <row r="3470" spans="1:20" ht="16.5" x14ac:dyDescent="0.3">
      <c r="A3470" t="s">
        <v>3524</v>
      </c>
      <c r="B3470" s="1">
        <v>45777</v>
      </c>
      <c r="C3470">
        <v>2025</v>
      </c>
      <c r="D3470" t="s">
        <v>649</v>
      </c>
      <c r="E3470" t="s">
        <v>650</v>
      </c>
      <c r="F3470" t="s">
        <v>57</v>
      </c>
      <c r="G3470" t="s">
        <v>35</v>
      </c>
      <c r="H3470" t="s">
        <v>48</v>
      </c>
      <c r="I3470" t="s">
        <v>26</v>
      </c>
      <c r="J3470" t="s">
        <v>27</v>
      </c>
      <c r="K3470" t="s">
        <v>28</v>
      </c>
      <c r="L3470" s="2">
        <v>7.3</v>
      </c>
      <c r="M3470" s="3">
        <v>464</v>
      </c>
      <c r="N3470">
        <v>4</v>
      </c>
      <c r="O3470">
        <v>4</v>
      </c>
      <c r="P3470">
        <v>1</v>
      </c>
      <c r="Q3470">
        <v>0</v>
      </c>
      <c r="R3470" s="4">
        <v>15.02</v>
      </c>
      <c r="S3470">
        <v>0</v>
      </c>
      <c r="T3470">
        <v>1</v>
      </c>
    </row>
    <row r="3471" spans="1:20" ht="16.5" x14ac:dyDescent="0.3">
      <c r="A3471" t="s">
        <v>3525</v>
      </c>
      <c r="B3471" s="1">
        <v>45777</v>
      </c>
      <c r="C3471">
        <v>2025</v>
      </c>
      <c r="D3471" t="s">
        <v>649</v>
      </c>
      <c r="E3471" t="s">
        <v>650</v>
      </c>
      <c r="F3471" t="s">
        <v>30</v>
      </c>
      <c r="G3471" t="s">
        <v>35</v>
      </c>
      <c r="H3471" t="s">
        <v>48</v>
      </c>
      <c r="I3471" t="s">
        <v>31</v>
      </c>
      <c r="J3471" t="s">
        <v>27</v>
      </c>
      <c r="K3471" t="s">
        <v>28</v>
      </c>
      <c r="L3471" s="2">
        <v>69.599999999999994</v>
      </c>
      <c r="M3471" s="3">
        <v>481</v>
      </c>
      <c r="N3471">
        <v>6</v>
      </c>
      <c r="O3471">
        <v>5</v>
      </c>
      <c r="P3471">
        <v>1</v>
      </c>
      <c r="Q3471">
        <v>0</v>
      </c>
      <c r="R3471" s="4">
        <v>32.85</v>
      </c>
      <c r="S3471">
        <v>0</v>
      </c>
      <c r="T3471">
        <v>1</v>
      </c>
    </row>
    <row r="3472" spans="1:20" ht="16.5" x14ac:dyDescent="0.3">
      <c r="A3472" t="s">
        <v>3526</v>
      </c>
      <c r="B3472" s="1">
        <v>45777</v>
      </c>
      <c r="C3472">
        <v>2025</v>
      </c>
      <c r="D3472" t="s">
        <v>649</v>
      </c>
      <c r="E3472" t="s">
        <v>650</v>
      </c>
      <c r="F3472" t="s">
        <v>38</v>
      </c>
      <c r="G3472" t="s">
        <v>24</v>
      </c>
      <c r="H3472" t="s">
        <v>36</v>
      </c>
      <c r="I3472" t="s">
        <v>31</v>
      </c>
      <c r="J3472" t="s">
        <v>27</v>
      </c>
      <c r="K3472" t="s">
        <v>32</v>
      </c>
      <c r="L3472" s="2">
        <v>3.4</v>
      </c>
      <c r="M3472" s="3">
        <v>303</v>
      </c>
      <c r="N3472">
        <v>5</v>
      </c>
      <c r="O3472">
        <v>4</v>
      </c>
      <c r="P3472">
        <v>1</v>
      </c>
      <c r="Q3472">
        <v>0</v>
      </c>
      <c r="R3472" s="4">
        <v>9.4700000000000006</v>
      </c>
      <c r="S3472">
        <v>0</v>
      </c>
      <c r="T3472">
        <v>1</v>
      </c>
    </row>
    <row r="3473" spans="1:20" ht="16.5" x14ac:dyDescent="0.3">
      <c r="A3473" t="s">
        <v>3527</v>
      </c>
      <c r="B3473" s="1">
        <v>45777</v>
      </c>
      <c r="C3473">
        <v>2025</v>
      </c>
      <c r="D3473" t="s">
        <v>649</v>
      </c>
      <c r="E3473" t="s">
        <v>650</v>
      </c>
      <c r="F3473" t="s">
        <v>30</v>
      </c>
      <c r="G3473" t="s">
        <v>35</v>
      </c>
      <c r="H3473" t="s">
        <v>36</v>
      </c>
      <c r="I3473" t="s">
        <v>40</v>
      </c>
      <c r="J3473" t="s">
        <v>27</v>
      </c>
      <c r="K3473" t="s">
        <v>32</v>
      </c>
      <c r="L3473" s="2">
        <v>3.9</v>
      </c>
      <c r="M3473" s="3">
        <v>265</v>
      </c>
      <c r="N3473">
        <v>1</v>
      </c>
      <c r="O3473">
        <v>1</v>
      </c>
      <c r="P3473">
        <v>1</v>
      </c>
      <c r="Q3473">
        <v>0</v>
      </c>
      <c r="R3473" s="4">
        <v>22.7</v>
      </c>
      <c r="S3473">
        <v>0</v>
      </c>
      <c r="T3473">
        <v>1</v>
      </c>
    </row>
    <row r="3474" spans="1:20" ht="16.5" x14ac:dyDescent="0.3">
      <c r="A3474" t="s">
        <v>3528</v>
      </c>
      <c r="B3474" s="1">
        <v>45777</v>
      </c>
      <c r="C3474">
        <v>2025</v>
      </c>
      <c r="D3474" t="s">
        <v>649</v>
      </c>
      <c r="E3474" t="s">
        <v>650</v>
      </c>
      <c r="F3474" t="s">
        <v>34</v>
      </c>
      <c r="G3474" t="s">
        <v>35</v>
      </c>
      <c r="H3474" t="s">
        <v>36</v>
      </c>
      <c r="I3474" t="s">
        <v>40</v>
      </c>
      <c r="J3474" t="s">
        <v>27</v>
      </c>
      <c r="K3474" t="s">
        <v>32</v>
      </c>
      <c r="L3474" s="2">
        <v>3.1</v>
      </c>
      <c r="M3474" s="3">
        <v>276</v>
      </c>
      <c r="N3474">
        <v>1</v>
      </c>
      <c r="O3474">
        <v>1</v>
      </c>
      <c r="P3474">
        <v>1</v>
      </c>
      <c r="Q3474">
        <v>0</v>
      </c>
      <c r="R3474" s="4">
        <v>17.5</v>
      </c>
      <c r="S3474">
        <v>0</v>
      </c>
      <c r="T3474">
        <v>1</v>
      </c>
    </row>
    <row r="3475" spans="1:20" ht="16.5" x14ac:dyDescent="0.3">
      <c r="A3475" t="s">
        <v>3529</v>
      </c>
      <c r="B3475" s="1">
        <v>45777</v>
      </c>
      <c r="C3475">
        <v>2025</v>
      </c>
      <c r="D3475" t="s">
        <v>649</v>
      </c>
      <c r="E3475" t="s">
        <v>650</v>
      </c>
      <c r="F3475" t="s">
        <v>34</v>
      </c>
      <c r="G3475" t="s">
        <v>24</v>
      </c>
      <c r="H3475" t="s">
        <v>36</v>
      </c>
      <c r="I3475" t="s">
        <v>31</v>
      </c>
      <c r="J3475" t="s">
        <v>27</v>
      </c>
      <c r="K3475" t="s">
        <v>32</v>
      </c>
      <c r="L3475" s="2">
        <v>10.7</v>
      </c>
      <c r="M3475" s="3">
        <v>253</v>
      </c>
      <c r="N3475">
        <v>5</v>
      </c>
      <c r="O3475">
        <v>5</v>
      </c>
      <c r="P3475">
        <v>1</v>
      </c>
      <c r="Q3475">
        <v>0</v>
      </c>
      <c r="R3475" s="4">
        <v>9.66</v>
      </c>
      <c r="S3475">
        <v>0</v>
      </c>
      <c r="T3475">
        <v>1</v>
      </c>
    </row>
    <row r="3476" spans="1:20" ht="16.5" x14ac:dyDescent="0.3">
      <c r="A3476" t="s">
        <v>3530</v>
      </c>
      <c r="B3476" s="1">
        <v>45777</v>
      </c>
      <c r="C3476">
        <v>2025</v>
      </c>
      <c r="D3476" t="s">
        <v>649</v>
      </c>
      <c r="E3476" t="s">
        <v>650</v>
      </c>
      <c r="F3476" t="s">
        <v>57</v>
      </c>
      <c r="G3476" t="s">
        <v>35</v>
      </c>
      <c r="H3476" t="s">
        <v>36</v>
      </c>
      <c r="I3476" t="s">
        <v>40</v>
      </c>
      <c r="J3476" t="s">
        <v>27</v>
      </c>
      <c r="K3476" t="s">
        <v>28</v>
      </c>
      <c r="L3476" s="2">
        <v>159.80000000000001</v>
      </c>
      <c r="M3476" s="3">
        <v>211</v>
      </c>
      <c r="N3476">
        <v>1</v>
      </c>
      <c r="O3476">
        <v>1</v>
      </c>
      <c r="P3476">
        <v>1</v>
      </c>
      <c r="Q3476">
        <v>0</v>
      </c>
      <c r="R3476" s="4">
        <v>138.49</v>
      </c>
      <c r="S3476">
        <v>0</v>
      </c>
      <c r="T3476">
        <v>1</v>
      </c>
    </row>
    <row r="3477" spans="1:20" ht="16.5" x14ac:dyDescent="0.3">
      <c r="A3477" t="s">
        <v>3531</v>
      </c>
      <c r="B3477" s="1">
        <v>45777</v>
      </c>
      <c r="C3477">
        <v>2025</v>
      </c>
      <c r="D3477" t="s">
        <v>649</v>
      </c>
      <c r="E3477" t="s">
        <v>650</v>
      </c>
      <c r="F3477" t="s">
        <v>57</v>
      </c>
      <c r="G3477" t="s">
        <v>35</v>
      </c>
      <c r="H3477" t="s">
        <v>48</v>
      </c>
      <c r="I3477" t="s">
        <v>26</v>
      </c>
      <c r="J3477" t="s">
        <v>27</v>
      </c>
      <c r="K3477" t="s">
        <v>32</v>
      </c>
      <c r="L3477" s="2">
        <v>0.7</v>
      </c>
      <c r="M3477" s="3">
        <v>365</v>
      </c>
      <c r="N3477">
        <v>4</v>
      </c>
      <c r="O3477">
        <v>5</v>
      </c>
      <c r="P3477">
        <v>0</v>
      </c>
      <c r="Q3477">
        <v>1</v>
      </c>
      <c r="R3477" s="4">
        <v>11.63</v>
      </c>
      <c r="S3477">
        <v>0</v>
      </c>
      <c r="T3477">
        <v>1</v>
      </c>
    </row>
    <row r="3478" spans="1:20" ht="16.5" x14ac:dyDescent="0.3">
      <c r="A3478" t="s">
        <v>3532</v>
      </c>
      <c r="B3478" s="1">
        <v>45777</v>
      </c>
      <c r="C3478">
        <v>2025</v>
      </c>
      <c r="D3478" t="s">
        <v>649</v>
      </c>
      <c r="E3478" t="s">
        <v>650</v>
      </c>
      <c r="F3478" t="s">
        <v>30</v>
      </c>
      <c r="G3478" t="s">
        <v>39</v>
      </c>
      <c r="H3478" t="s">
        <v>48</v>
      </c>
      <c r="I3478" t="s">
        <v>40</v>
      </c>
      <c r="J3478" t="s">
        <v>27</v>
      </c>
      <c r="K3478" t="s">
        <v>28</v>
      </c>
      <c r="L3478" s="2">
        <v>139.4</v>
      </c>
      <c r="M3478" s="3">
        <v>471</v>
      </c>
      <c r="N3478">
        <v>2</v>
      </c>
      <c r="O3478">
        <v>1</v>
      </c>
      <c r="P3478">
        <v>1</v>
      </c>
      <c r="Q3478">
        <v>0</v>
      </c>
      <c r="R3478" s="4">
        <v>141.02000000000001</v>
      </c>
      <c r="S3478">
        <v>0</v>
      </c>
      <c r="T3478">
        <v>1</v>
      </c>
    </row>
    <row r="3479" spans="1:20" ht="16.5" x14ac:dyDescent="0.3">
      <c r="A3479" t="s">
        <v>3533</v>
      </c>
      <c r="B3479" s="1">
        <v>45777</v>
      </c>
      <c r="C3479">
        <v>2025</v>
      </c>
      <c r="D3479" t="s">
        <v>649</v>
      </c>
      <c r="E3479" t="s">
        <v>650</v>
      </c>
      <c r="F3479" t="s">
        <v>23</v>
      </c>
      <c r="G3479" t="s">
        <v>35</v>
      </c>
      <c r="H3479" t="s">
        <v>51</v>
      </c>
      <c r="I3479" t="s">
        <v>26</v>
      </c>
      <c r="J3479" t="s">
        <v>27</v>
      </c>
      <c r="K3479" t="s">
        <v>32</v>
      </c>
      <c r="L3479" s="2">
        <v>6.4</v>
      </c>
      <c r="M3479" s="3">
        <v>901</v>
      </c>
      <c r="N3479">
        <v>5</v>
      </c>
      <c r="O3479">
        <v>5</v>
      </c>
      <c r="P3479">
        <v>1</v>
      </c>
      <c r="Q3479">
        <v>0</v>
      </c>
      <c r="R3479" s="4">
        <v>21.72</v>
      </c>
      <c r="S3479">
        <v>0</v>
      </c>
      <c r="T3479">
        <v>1</v>
      </c>
    </row>
    <row r="3480" spans="1:20" ht="16.5" x14ac:dyDescent="0.3">
      <c r="A3480" t="s">
        <v>3534</v>
      </c>
      <c r="B3480" s="1">
        <v>45777</v>
      </c>
      <c r="C3480">
        <v>2025</v>
      </c>
      <c r="D3480" t="s">
        <v>649</v>
      </c>
      <c r="E3480" t="s">
        <v>650</v>
      </c>
      <c r="F3480" t="s">
        <v>23</v>
      </c>
      <c r="G3480" t="s">
        <v>39</v>
      </c>
      <c r="H3480" t="s">
        <v>36</v>
      </c>
      <c r="I3480" t="s">
        <v>26</v>
      </c>
      <c r="J3480" t="s">
        <v>27</v>
      </c>
      <c r="K3480" t="s">
        <v>28</v>
      </c>
      <c r="L3480" s="2">
        <v>20.399999999999999</v>
      </c>
      <c r="M3480" s="3">
        <v>242</v>
      </c>
      <c r="N3480">
        <v>3</v>
      </c>
      <c r="O3480">
        <v>3</v>
      </c>
      <c r="P3480">
        <v>1</v>
      </c>
      <c r="Q3480">
        <v>0</v>
      </c>
      <c r="R3480" s="4">
        <v>20.18</v>
      </c>
      <c r="S3480">
        <v>0</v>
      </c>
      <c r="T3480">
        <v>1</v>
      </c>
    </row>
    <row r="3481" spans="1:20" ht="16.5" x14ac:dyDescent="0.3">
      <c r="A3481" t="s">
        <v>3535</v>
      </c>
      <c r="B3481" s="1">
        <v>45777</v>
      </c>
      <c r="C3481">
        <v>2025</v>
      </c>
      <c r="D3481" t="s">
        <v>649</v>
      </c>
      <c r="E3481" t="s">
        <v>650</v>
      </c>
      <c r="F3481" t="s">
        <v>38</v>
      </c>
      <c r="G3481" t="s">
        <v>39</v>
      </c>
      <c r="H3481" t="s">
        <v>25</v>
      </c>
      <c r="I3481" t="s">
        <v>40</v>
      </c>
      <c r="J3481" t="s">
        <v>41</v>
      </c>
      <c r="K3481" t="s">
        <v>32</v>
      </c>
      <c r="L3481" s="2">
        <v>12.5</v>
      </c>
      <c r="M3481" s="3">
        <v>841</v>
      </c>
      <c r="N3481">
        <v>2</v>
      </c>
      <c r="O3481">
        <v>2</v>
      </c>
      <c r="P3481">
        <v>1</v>
      </c>
      <c r="Q3481">
        <v>0</v>
      </c>
      <c r="R3481" s="4">
        <v>79.680000000000007</v>
      </c>
      <c r="S3481">
        <v>0</v>
      </c>
      <c r="T3481">
        <v>1</v>
      </c>
    </row>
    <row r="3482" spans="1:20" ht="16.5" x14ac:dyDescent="0.3">
      <c r="A3482" t="s">
        <v>3536</v>
      </c>
      <c r="B3482" s="1">
        <v>45778</v>
      </c>
      <c r="C3482">
        <v>2025</v>
      </c>
      <c r="D3482" t="s">
        <v>649</v>
      </c>
      <c r="E3482" t="s">
        <v>859</v>
      </c>
      <c r="F3482" t="s">
        <v>23</v>
      </c>
      <c r="G3482" t="s">
        <v>24</v>
      </c>
      <c r="H3482" t="s">
        <v>36</v>
      </c>
      <c r="I3482" t="s">
        <v>40</v>
      </c>
      <c r="J3482" t="s">
        <v>27</v>
      </c>
      <c r="K3482" t="s">
        <v>28</v>
      </c>
      <c r="L3482" s="2">
        <v>85.1</v>
      </c>
      <c r="M3482" s="3">
        <v>278</v>
      </c>
      <c r="N3482">
        <v>1</v>
      </c>
      <c r="O3482">
        <v>1</v>
      </c>
      <c r="P3482">
        <v>1</v>
      </c>
      <c r="Q3482">
        <v>0</v>
      </c>
      <c r="R3482" s="4">
        <v>92.87</v>
      </c>
      <c r="S3482">
        <v>0</v>
      </c>
      <c r="T3482">
        <v>1</v>
      </c>
    </row>
    <row r="3483" spans="1:20" ht="16.5" x14ac:dyDescent="0.3">
      <c r="A3483" t="s">
        <v>3537</v>
      </c>
      <c r="B3483" s="1">
        <v>45778</v>
      </c>
      <c r="C3483">
        <v>2025</v>
      </c>
      <c r="D3483" t="s">
        <v>649</v>
      </c>
      <c r="E3483" t="s">
        <v>859</v>
      </c>
      <c r="F3483" t="s">
        <v>57</v>
      </c>
      <c r="G3483" t="s">
        <v>39</v>
      </c>
      <c r="H3483" t="s">
        <v>48</v>
      </c>
      <c r="I3483" t="s">
        <v>40</v>
      </c>
      <c r="J3483" t="s">
        <v>27</v>
      </c>
      <c r="K3483" t="s">
        <v>28</v>
      </c>
      <c r="L3483" s="2">
        <v>176</v>
      </c>
      <c r="M3483" s="3">
        <v>479</v>
      </c>
      <c r="N3483">
        <v>2</v>
      </c>
      <c r="O3483">
        <v>2</v>
      </c>
      <c r="P3483">
        <v>1</v>
      </c>
      <c r="Q3483">
        <v>0</v>
      </c>
      <c r="R3483" s="4">
        <v>173.19</v>
      </c>
      <c r="S3483">
        <v>0</v>
      </c>
      <c r="T3483">
        <v>1</v>
      </c>
    </row>
    <row r="3484" spans="1:20" ht="16.5" x14ac:dyDescent="0.3">
      <c r="A3484" t="s">
        <v>3538</v>
      </c>
      <c r="B3484" s="1">
        <v>45778</v>
      </c>
      <c r="C3484">
        <v>2025</v>
      </c>
      <c r="D3484" t="s">
        <v>649</v>
      </c>
      <c r="E3484" t="s">
        <v>859</v>
      </c>
      <c r="F3484" t="s">
        <v>34</v>
      </c>
      <c r="G3484" t="s">
        <v>39</v>
      </c>
      <c r="H3484" t="s">
        <v>43</v>
      </c>
      <c r="I3484" t="s">
        <v>26</v>
      </c>
      <c r="J3484" t="s">
        <v>27</v>
      </c>
      <c r="K3484" t="s">
        <v>32</v>
      </c>
      <c r="L3484" s="2">
        <v>2.5</v>
      </c>
      <c r="M3484" s="3">
        <v>1112</v>
      </c>
      <c r="N3484">
        <v>5</v>
      </c>
      <c r="O3484">
        <v>9</v>
      </c>
      <c r="P3484">
        <v>0</v>
      </c>
      <c r="Q3484">
        <v>4</v>
      </c>
      <c r="R3484" s="4">
        <v>17.8</v>
      </c>
      <c r="S3484">
        <v>0</v>
      </c>
      <c r="T3484">
        <v>1</v>
      </c>
    </row>
    <row r="3485" spans="1:20" ht="16.5" x14ac:dyDescent="0.3">
      <c r="A3485" t="s">
        <v>3539</v>
      </c>
      <c r="B3485" s="1">
        <v>45778</v>
      </c>
      <c r="C3485">
        <v>2025</v>
      </c>
      <c r="D3485" t="s">
        <v>649</v>
      </c>
      <c r="E3485" t="s">
        <v>859</v>
      </c>
      <c r="F3485" t="s">
        <v>38</v>
      </c>
      <c r="G3485" t="s">
        <v>24</v>
      </c>
      <c r="H3485" t="s">
        <v>25</v>
      </c>
      <c r="I3485" t="s">
        <v>26</v>
      </c>
      <c r="J3485" t="s">
        <v>27</v>
      </c>
      <c r="K3485" t="s">
        <v>28</v>
      </c>
      <c r="L3485" s="2">
        <v>27.7</v>
      </c>
      <c r="M3485" s="3">
        <v>719</v>
      </c>
      <c r="N3485">
        <v>4</v>
      </c>
      <c r="O3485">
        <v>3</v>
      </c>
      <c r="P3485">
        <v>1</v>
      </c>
      <c r="Q3485">
        <v>0</v>
      </c>
      <c r="R3485" s="4">
        <v>31.04</v>
      </c>
      <c r="S3485">
        <v>0</v>
      </c>
      <c r="T3485">
        <v>1</v>
      </c>
    </row>
    <row r="3486" spans="1:20" ht="16.5" x14ac:dyDescent="0.3">
      <c r="A3486" t="s">
        <v>3540</v>
      </c>
      <c r="B3486" s="1">
        <v>45778</v>
      </c>
      <c r="C3486">
        <v>2025</v>
      </c>
      <c r="D3486" t="s">
        <v>649</v>
      </c>
      <c r="E3486" t="s">
        <v>859</v>
      </c>
      <c r="F3486" t="s">
        <v>23</v>
      </c>
      <c r="G3486" t="s">
        <v>39</v>
      </c>
      <c r="H3486" t="s">
        <v>48</v>
      </c>
      <c r="I3486" t="s">
        <v>26</v>
      </c>
      <c r="J3486" t="s">
        <v>27</v>
      </c>
      <c r="K3486" t="s">
        <v>32</v>
      </c>
      <c r="L3486" s="2">
        <v>3.4</v>
      </c>
      <c r="M3486" s="3">
        <v>384</v>
      </c>
      <c r="N3486">
        <v>4</v>
      </c>
      <c r="O3486">
        <v>4</v>
      </c>
      <c r="P3486">
        <v>1</v>
      </c>
      <c r="Q3486">
        <v>0</v>
      </c>
      <c r="R3486" s="4">
        <v>12.39</v>
      </c>
      <c r="S3486">
        <v>0</v>
      </c>
      <c r="T3486">
        <v>1</v>
      </c>
    </row>
    <row r="3487" spans="1:20" ht="16.5" x14ac:dyDescent="0.3">
      <c r="A3487" t="s">
        <v>3541</v>
      </c>
      <c r="B3487" s="1">
        <v>45778</v>
      </c>
      <c r="C3487">
        <v>2025</v>
      </c>
      <c r="D3487" t="s">
        <v>649</v>
      </c>
      <c r="E3487" t="s">
        <v>859</v>
      </c>
      <c r="F3487" t="s">
        <v>38</v>
      </c>
      <c r="G3487" t="s">
        <v>35</v>
      </c>
      <c r="H3487" t="s">
        <v>25</v>
      </c>
      <c r="I3487" t="s">
        <v>40</v>
      </c>
      <c r="J3487" t="s">
        <v>41</v>
      </c>
      <c r="K3487" t="s">
        <v>32</v>
      </c>
      <c r="L3487" s="2">
        <v>9.4</v>
      </c>
      <c r="M3487" s="3">
        <v>977</v>
      </c>
      <c r="N3487">
        <v>2</v>
      </c>
      <c r="O3487">
        <v>2</v>
      </c>
      <c r="P3487">
        <v>1</v>
      </c>
      <c r="Q3487">
        <v>0</v>
      </c>
      <c r="R3487" s="4">
        <v>82.36</v>
      </c>
      <c r="S3487">
        <v>0</v>
      </c>
      <c r="T3487">
        <v>1</v>
      </c>
    </row>
    <row r="3488" spans="1:20" ht="16.5" x14ac:dyDescent="0.3">
      <c r="A3488" t="s">
        <v>3542</v>
      </c>
      <c r="B3488" s="1">
        <v>45778</v>
      </c>
      <c r="C3488">
        <v>2025</v>
      </c>
      <c r="D3488" t="s">
        <v>649</v>
      </c>
      <c r="E3488" t="s">
        <v>859</v>
      </c>
      <c r="F3488" t="s">
        <v>23</v>
      </c>
      <c r="G3488" t="s">
        <v>39</v>
      </c>
      <c r="H3488" t="s">
        <v>43</v>
      </c>
      <c r="I3488" t="s">
        <v>26</v>
      </c>
      <c r="J3488" t="s">
        <v>27</v>
      </c>
      <c r="K3488" t="s">
        <v>28</v>
      </c>
      <c r="L3488" s="2">
        <v>192.7</v>
      </c>
      <c r="M3488" s="3">
        <v>1192</v>
      </c>
      <c r="N3488">
        <v>5</v>
      </c>
      <c r="O3488">
        <v>5</v>
      </c>
      <c r="P3488">
        <v>1</v>
      </c>
      <c r="Q3488">
        <v>0</v>
      </c>
      <c r="R3488" s="4">
        <v>98.67</v>
      </c>
      <c r="S3488">
        <v>0</v>
      </c>
      <c r="T3488">
        <v>1</v>
      </c>
    </row>
    <row r="3489" spans="1:20" ht="16.5" x14ac:dyDescent="0.3">
      <c r="A3489" t="s">
        <v>3543</v>
      </c>
      <c r="B3489" s="1">
        <v>45778</v>
      </c>
      <c r="C3489">
        <v>2025</v>
      </c>
      <c r="D3489" t="s">
        <v>649</v>
      </c>
      <c r="E3489" t="s">
        <v>859</v>
      </c>
      <c r="F3489" t="s">
        <v>23</v>
      </c>
      <c r="G3489" t="s">
        <v>35</v>
      </c>
      <c r="H3489" t="s">
        <v>36</v>
      </c>
      <c r="I3489" t="s">
        <v>26</v>
      </c>
      <c r="J3489" t="s">
        <v>27</v>
      </c>
      <c r="K3489" t="s">
        <v>28</v>
      </c>
      <c r="L3489" s="2">
        <v>65.900000000000006</v>
      </c>
      <c r="M3489" s="3">
        <v>259</v>
      </c>
      <c r="N3489">
        <v>3</v>
      </c>
      <c r="O3489">
        <v>3</v>
      </c>
      <c r="P3489">
        <v>1</v>
      </c>
      <c r="Q3489">
        <v>0</v>
      </c>
      <c r="R3489" s="4">
        <v>40.18</v>
      </c>
      <c r="S3489">
        <v>0</v>
      </c>
      <c r="T3489">
        <v>1</v>
      </c>
    </row>
    <row r="3490" spans="1:20" ht="16.5" x14ac:dyDescent="0.3">
      <c r="A3490" t="s">
        <v>3544</v>
      </c>
      <c r="B3490" s="1">
        <v>45778</v>
      </c>
      <c r="C3490">
        <v>2025</v>
      </c>
      <c r="D3490" t="s">
        <v>649</v>
      </c>
      <c r="E3490" t="s">
        <v>859</v>
      </c>
      <c r="F3490" t="s">
        <v>30</v>
      </c>
      <c r="G3490" t="s">
        <v>35</v>
      </c>
      <c r="H3490" t="s">
        <v>51</v>
      </c>
      <c r="I3490" t="s">
        <v>26</v>
      </c>
      <c r="J3490" t="s">
        <v>27</v>
      </c>
      <c r="K3490" t="s">
        <v>32</v>
      </c>
      <c r="L3490" s="2">
        <v>3</v>
      </c>
      <c r="M3490" s="3">
        <v>1149</v>
      </c>
      <c r="N3490">
        <v>5</v>
      </c>
      <c r="O3490">
        <v>5</v>
      </c>
      <c r="P3490">
        <v>1</v>
      </c>
      <c r="Q3490">
        <v>0</v>
      </c>
      <c r="R3490" s="4">
        <v>23.18</v>
      </c>
      <c r="S3490">
        <v>0</v>
      </c>
      <c r="T3490">
        <v>1</v>
      </c>
    </row>
    <row r="3491" spans="1:20" ht="16.5" x14ac:dyDescent="0.3">
      <c r="A3491" t="s">
        <v>3545</v>
      </c>
      <c r="B3491" s="1">
        <v>45778</v>
      </c>
      <c r="C3491">
        <v>2025</v>
      </c>
      <c r="D3491" t="s">
        <v>649</v>
      </c>
      <c r="E3491" t="s">
        <v>859</v>
      </c>
      <c r="F3491" t="s">
        <v>34</v>
      </c>
      <c r="G3491" t="s">
        <v>24</v>
      </c>
      <c r="H3491" t="s">
        <v>25</v>
      </c>
      <c r="I3491" t="s">
        <v>26</v>
      </c>
      <c r="J3491" t="s">
        <v>27</v>
      </c>
      <c r="K3491" t="s">
        <v>32</v>
      </c>
      <c r="L3491" s="2">
        <v>10</v>
      </c>
      <c r="M3491" s="3">
        <v>884</v>
      </c>
      <c r="N3491">
        <v>4</v>
      </c>
      <c r="O3491">
        <v>5</v>
      </c>
      <c r="P3491">
        <v>0</v>
      </c>
      <c r="Q3491">
        <v>1</v>
      </c>
      <c r="R3491" s="4">
        <v>21.5</v>
      </c>
      <c r="S3491">
        <v>0</v>
      </c>
      <c r="T3491">
        <v>1</v>
      </c>
    </row>
    <row r="3492" spans="1:20" ht="16.5" x14ac:dyDescent="0.3">
      <c r="A3492" t="s">
        <v>3546</v>
      </c>
      <c r="B3492" s="1">
        <v>45778</v>
      </c>
      <c r="C3492">
        <v>2025</v>
      </c>
      <c r="D3492" t="s">
        <v>649</v>
      </c>
      <c r="E3492" t="s">
        <v>859</v>
      </c>
      <c r="F3492" t="s">
        <v>57</v>
      </c>
      <c r="G3492" t="s">
        <v>39</v>
      </c>
      <c r="H3492" t="s">
        <v>36</v>
      </c>
      <c r="I3492" t="s">
        <v>31</v>
      </c>
      <c r="J3492" t="s">
        <v>27</v>
      </c>
      <c r="K3492" t="s">
        <v>32</v>
      </c>
      <c r="L3492" s="2">
        <v>2.9</v>
      </c>
      <c r="M3492" s="3">
        <v>274</v>
      </c>
      <c r="N3492">
        <v>5</v>
      </c>
      <c r="O3492">
        <v>4</v>
      </c>
      <c r="P3492">
        <v>1</v>
      </c>
      <c r="Q3492">
        <v>0</v>
      </c>
      <c r="R3492" s="4">
        <v>7.59</v>
      </c>
      <c r="S3492">
        <v>0</v>
      </c>
      <c r="T3492">
        <v>1</v>
      </c>
    </row>
    <row r="3493" spans="1:20" ht="16.5" x14ac:dyDescent="0.3">
      <c r="A3493" t="s">
        <v>3547</v>
      </c>
      <c r="B3493" s="1">
        <v>45778</v>
      </c>
      <c r="C3493">
        <v>2025</v>
      </c>
      <c r="D3493" t="s">
        <v>649</v>
      </c>
      <c r="E3493" t="s">
        <v>859</v>
      </c>
      <c r="F3493" t="s">
        <v>38</v>
      </c>
      <c r="G3493" t="s">
        <v>24</v>
      </c>
      <c r="H3493" t="s">
        <v>25</v>
      </c>
      <c r="I3493" t="s">
        <v>31</v>
      </c>
      <c r="J3493" t="s">
        <v>27</v>
      </c>
      <c r="K3493" t="s">
        <v>32</v>
      </c>
      <c r="L3493" s="2">
        <v>8.6</v>
      </c>
      <c r="M3493" s="3">
        <v>934</v>
      </c>
      <c r="N3493">
        <v>6</v>
      </c>
      <c r="O3493">
        <v>6</v>
      </c>
      <c r="P3493">
        <v>1</v>
      </c>
      <c r="Q3493">
        <v>0</v>
      </c>
      <c r="R3493" s="4">
        <v>17.100000000000001</v>
      </c>
      <c r="S3493">
        <v>0</v>
      </c>
      <c r="T3493">
        <v>1</v>
      </c>
    </row>
    <row r="3494" spans="1:20" ht="16.5" x14ac:dyDescent="0.3">
      <c r="A3494" t="s">
        <v>3548</v>
      </c>
      <c r="B3494" s="1">
        <v>45778</v>
      </c>
      <c r="C3494">
        <v>2025</v>
      </c>
      <c r="D3494" t="s">
        <v>649</v>
      </c>
      <c r="E3494" t="s">
        <v>859</v>
      </c>
      <c r="F3494" t="s">
        <v>34</v>
      </c>
      <c r="G3494" t="s">
        <v>35</v>
      </c>
      <c r="H3494" t="s">
        <v>43</v>
      </c>
      <c r="I3494" t="s">
        <v>26</v>
      </c>
      <c r="J3494" t="s">
        <v>27</v>
      </c>
      <c r="K3494" t="s">
        <v>32</v>
      </c>
      <c r="L3494" s="2">
        <v>6.8</v>
      </c>
      <c r="M3494" s="3">
        <v>1084</v>
      </c>
      <c r="N3494">
        <v>5</v>
      </c>
      <c r="O3494">
        <v>5</v>
      </c>
      <c r="P3494">
        <v>1</v>
      </c>
      <c r="Q3494">
        <v>0</v>
      </c>
      <c r="R3494" s="4">
        <v>19.350000000000001</v>
      </c>
      <c r="S3494">
        <v>0</v>
      </c>
      <c r="T3494">
        <v>1</v>
      </c>
    </row>
    <row r="3495" spans="1:20" ht="16.5" x14ac:dyDescent="0.3">
      <c r="A3495" t="s">
        <v>3549</v>
      </c>
      <c r="B3495" s="1">
        <v>45779</v>
      </c>
      <c r="C3495">
        <v>2025</v>
      </c>
      <c r="D3495" t="s">
        <v>649</v>
      </c>
      <c r="E3495" t="s">
        <v>859</v>
      </c>
      <c r="F3495" t="s">
        <v>57</v>
      </c>
      <c r="G3495" t="s">
        <v>35</v>
      </c>
      <c r="H3495" t="s">
        <v>25</v>
      </c>
      <c r="I3495" t="s">
        <v>31</v>
      </c>
      <c r="J3495" t="s">
        <v>27</v>
      </c>
      <c r="K3495" t="s">
        <v>28</v>
      </c>
      <c r="L3495" s="2">
        <v>241.6</v>
      </c>
      <c r="M3495" s="3">
        <v>1007</v>
      </c>
      <c r="N3495">
        <v>6</v>
      </c>
      <c r="O3495">
        <v>6</v>
      </c>
      <c r="P3495">
        <v>1</v>
      </c>
      <c r="Q3495">
        <v>0</v>
      </c>
      <c r="R3495" s="4">
        <v>83.08</v>
      </c>
      <c r="S3495">
        <v>0</v>
      </c>
      <c r="T3495">
        <v>1</v>
      </c>
    </row>
    <row r="3496" spans="1:20" ht="16.5" x14ac:dyDescent="0.3">
      <c r="A3496" t="s">
        <v>3550</v>
      </c>
      <c r="B3496" s="1">
        <v>45779</v>
      </c>
      <c r="C3496">
        <v>2025</v>
      </c>
      <c r="D3496" t="s">
        <v>649</v>
      </c>
      <c r="E3496" t="s">
        <v>859</v>
      </c>
      <c r="F3496" t="s">
        <v>38</v>
      </c>
      <c r="G3496" t="s">
        <v>35</v>
      </c>
      <c r="H3496" t="s">
        <v>43</v>
      </c>
      <c r="I3496" t="s">
        <v>26</v>
      </c>
      <c r="J3496" t="s">
        <v>27</v>
      </c>
      <c r="K3496" t="s">
        <v>32</v>
      </c>
      <c r="L3496" s="2">
        <v>17.3</v>
      </c>
      <c r="M3496" s="3">
        <v>802</v>
      </c>
      <c r="N3496">
        <v>5</v>
      </c>
      <c r="O3496">
        <v>5</v>
      </c>
      <c r="P3496">
        <v>1</v>
      </c>
      <c r="Q3496">
        <v>0</v>
      </c>
      <c r="R3496" s="4">
        <v>30.54</v>
      </c>
      <c r="S3496">
        <v>0</v>
      </c>
      <c r="T3496">
        <v>1</v>
      </c>
    </row>
    <row r="3497" spans="1:20" ht="16.5" x14ac:dyDescent="0.3">
      <c r="A3497" t="s">
        <v>3551</v>
      </c>
      <c r="B3497" s="1">
        <v>45779</v>
      </c>
      <c r="C3497">
        <v>2025</v>
      </c>
      <c r="D3497" t="s">
        <v>649</v>
      </c>
      <c r="E3497" t="s">
        <v>859</v>
      </c>
      <c r="F3497" t="s">
        <v>38</v>
      </c>
      <c r="G3497" t="s">
        <v>39</v>
      </c>
      <c r="H3497" t="s">
        <v>36</v>
      </c>
      <c r="I3497" t="s">
        <v>26</v>
      </c>
      <c r="J3497" t="s">
        <v>27</v>
      </c>
      <c r="K3497" t="s">
        <v>28</v>
      </c>
      <c r="L3497" s="2">
        <v>89.1</v>
      </c>
      <c r="M3497" s="3">
        <v>271</v>
      </c>
      <c r="N3497">
        <v>3</v>
      </c>
      <c r="O3497">
        <v>3</v>
      </c>
      <c r="P3497">
        <v>1</v>
      </c>
      <c r="Q3497">
        <v>0</v>
      </c>
      <c r="R3497" s="4">
        <v>57.25</v>
      </c>
      <c r="S3497">
        <v>0</v>
      </c>
      <c r="T3497">
        <v>1</v>
      </c>
    </row>
    <row r="3498" spans="1:20" ht="16.5" x14ac:dyDescent="0.3">
      <c r="A3498" t="s">
        <v>3552</v>
      </c>
      <c r="B3498" s="1">
        <v>45779</v>
      </c>
      <c r="C3498">
        <v>2025</v>
      </c>
      <c r="D3498" t="s">
        <v>649</v>
      </c>
      <c r="E3498" t="s">
        <v>859</v>
      </c>
      <c r="F3498" t="s">
        <v>38</v>
      </c>
      <c r="G3498" t="s">
        <v>35</v>
      </c>
      <c r="H3498" t="s">
        <v>48</v>
      </c>
      <c r="I3498" t="s">
        <v>31</v>
      </c>
      <c r="J3498" t="s">
        <v>27</v>
      </c>
      <c r="K3498" t="s">
        <v>32</v>
      </c>
      <c r="L3498" s="2">
        <v>9.1</v>
      </c>
      <c r="M3498" s="3">
        <v>433</v>
      </c>
      <c r="N3498">
        <v>6</v>
      </c>
      <c r="O3498">
        <v>5</v>
      </c>
      <c r="P3498">
        <v>1</v>
      </c>
      <c r="Q3498">
        <v>0</v>
      </c>
      <c r="R3498" s="4">
        <v>13</v>
      </c>
      <c r="S3498">
        <v>0</v>
      </c>
      <c r="T3498">
        <v>1</v>
      </c>
    </row>
    <row r="3499" spans="1:20" ht="16.5" x14ac:dyDescent="0.3">
      <c r="A3499" t="s">
        <v>3553</v>
      </c>
      <c r="B3499" s="1">
        <v>45779</v>
      </c>
      <c r="C3499">
        <v>2025</v>
      </c>
      <c r="D3499" t="s">
        <v>649</v>
      </c>
      <c r="E3499" t="s">
        <v>859</v>
      </c>
      <c r="F3499" t="s">
        <v>34</v>
      </c>
      <c r="G3499" t="s">
        <v>39</v>
      </c>
      <c r="H3499" t="s">
        <v>36</v>
      </c>
      <c r="I3499" t="s">
        <v>26</v>
      </c>
      <c r="J3499" t="s">
        <v>27</v>
      </c>
      <c r="K3499" t="s">
        <v>28</v>
      </c>
      <c r="L3499" s="2">
        <v>126.4</v>
      </c>
      <c r="M3499" s="3">
        <v>253</v>
      </c>
      <c r="N3499">
        <v>3</v>
      </c>
      <c r="O3499">
        <v>4</v>
      </c>
      <c r="P3499">
        <v>0</v>
      </c>
      <c r="Q3499">
        <v>1</v>
      </c>
      <c r="R3499" s="4">
        <v>58.29</v>
      </c>
      <c r="S3499">
        <v>0</v>
      </c>
      <c r="T3499">
        <v>1</v>
      </c>
    </row>
    <row r="3500" spans="1:20" ht="16.5" x14ac:dyDescent="0.3">
      <c r="A3500" t="s">
        <v>3554</v>
      </c>
      <c r="B3500" s="1">
        <v>45779</v>
      </c>
      <c r="C3500">
        <v>2025</v>
      </c>
      <c r="D3500" t="s">
        <v>649</v>
      </c>
      <c r="E3500" t="s">
        <v>859</v>
      </c>
      <c r="F3500" t="s">
        <v>38</v>
      </c>
      <c r="G3500" t="s">
        <v>39</v>
      </c>
      <c r="H3500" t="s">
        <v>36</v>
      </c>
      <c r="I3500" t="s">
        <v>31</v>
      </c>
      <c r="J3500" t="s">
        <v>27</v>
      </c>
      <c r="K3500" t="s">
        <v>32</v>
      </c>
      <c r="L3500" s="2">
        <v>11.2</v>
      </c>
      <c r="M3500" s="3">
        <v>285</v>
      </c>
      <c r="N3500">
        <v>5</v>
      </c>
      <c r="O3500">
        <v>5</v>
      </c>
      <c r="P3500">
        <v>1</v>
      </c>
      <c r="Q3500">
        <v>0</v>
      </c>
      <c r="R3500" s="4">
        <v>12.65</v>
      </c>
      <c r="S3500">
        <v>0</v>
      </c>
      <c r="T3500">
        <v>1</v>
      </c>
    </row>
    <row r="3501" spans="1:20" ht="16.5" x14ac:dyDescent="0.3">
      <c r="A3501" t="s">
        <v>3555</v>
      </c>
      <c r="B3501" s="1">
        <v>45779</v>
      </c>
      <c r="C3501">
        <v>2025</v>
      </c>
      <c r="D3501" t="s">
        <v>649</v>
      </c>
      <c r="E3501" t="s">
        <v>859</v>
      </c>
      <c r="F3501" t="s">
        <v>57</v>
      </c>
      <c r="G3501" t="s">
        <v>35</v>
      </c>
      <c r="H3501" t="s">
        <v>48</v>
      </c>
      <c r="I3501" t="s">
        <v>31</v>
      </c>
      <c r="J3501" t="s">
        <v>27</v>
      </c>
      <c r="K3501" t="s">
        <v>28</v>
      </c>
      <c r="L3501" s="2">
        <v>94.1</v>
      </c>
      <c r="M3501" s="3">
        <v>566</v>
      </c>
      <c r="N3501">
        <v>6</v>
      </c>
      <c r="O3501">
        <v>8</v>
      </c>
      <c r="P3501">
        <v>0</v>
      </c>
      <c r="Q3501">
        <v>2</v>
      </c>
      <c r="R3501" s="4">
        <v>39.24</v>
      </c>
      <c r="S3501">
        <v>0</v>
      </c>
      <c r="T3501">
        <v>1</v>
      </c>
    </row>
    <row r="3502" spans="1:20" ht="16.5" x14ac:dyDescent="0.3">
      <c r="A3502" t="s">
        <v>3556</v>
      </c>
      <c r="B3502" s="1">
        <v>45780</v>
      </c>
      <c r="C3502">
        <v>2025</v>
      </c>
      <c r="D3502" t="s">
        <v>649</v>
      </c>
      <c r="E3502" t="s">
        <v>859</v>
      </c>
      <c r="F3502" t="s">
        <v>57</v>
      </c>
      <c r="G3502" t="s">
        <v>39</v>
      </c>
      <c r="H3502" t="s">
        <v>43</v>
      </c>
      <c r="I3502" t="s">
        <v>31</v>
      </c>
      <c r="J3502" t="s">
        <v>27</v>
      </c>
      <c r="K3502" t="s">
        <v>28</v>
      </c>
      <c r="L3502" s="2">
        <v>48.3</v>
      </c>
      <c r="M3502" s="3">
        <v>1065</v>
      </c>
      <c r="N3502">
        <v>7</v>
      </c>
      <c r="O3502">
        <v>7</v>
      </c>
      <c r="P3502">
        <v>1</v>
      </c>
      <c r="Q3502">
        <v>0</v>
      </c>
      <c r="R3502" s="4">
        <v>30.18</v>
      </c>
      <c r="S3502">
        <v>0</v>
      </c>
      <c r="T3502">
        <v>1</v>
      </c>
    </row>
    <row r="3503" spans="1:20" ht="16.5" x14ac:dyDescent="0.3">
      <c r="A3503" t="s">
        <v>3557</v>
      </c>
      <c r="B3503" s="1">
        <v>45780</v>
      </c>
      <c r="C3503">
        <v>2025</v>
      </c>
      <c r="D3503" t="s">
        <v>649</v>
      </c>
      <c r="E3503" t="s">
        <v>859</v>
      </c>
      <c r="F3503" t="s">
        <v>34</v>
      </c>
      <c r="G3503" t="s">
        <v>39</v>
      </c>
      <c r="H3503" t="s">
        <v>25</v>
      </c>
      <c r="I3503" t="s">
        <v>40</v>
      </c>
      <c r="J3503" t="s">
        <v>41</v>
      </c>
      <c r="K3503" t="s">
        <v>28</v>
      </c>
      <c r="L3503" s="2">
        <v>101</v>
      </c>
      <c r="M3503" s="3">
        <v>937</v>
      </c>
      <c r="N3503">
        <v>2</v>
      </c>
      <c r="O3503">
        <v>2</v>
      </c>
      <c r="P3503">
        <v>1</v>
      </c>
      <c r="Q3503">
        <v>0</v>
      </c>
      <c r="R3503" s="4">
        <v>155.33000000000001</v>
      </c>
      <c r="S3503">
        <v>0</v>
      </c>
      <c r="T3503">
        <v>1</v>
      </c>
    </row>
    <row r="3504" spans="1:20" ht="16.5" x14ac:dyDescent="0.3">
      <c r="A3504" t="s">
        <v>3558</v>
      </c>
      <c r="B3504" s="1">
        <v>45780</v>
      </c>
      <c r="C3504">
        <v>2025</v>
      </c>
      <c r="D3504" t="s">
        <v>649</v>
      </c>
      <c r="E3504" t="s">
        <v>859</v>
      </c>
      <c r="F3504" t="s">
        <v>23</v>
      </c>
      <c r="G3504" t="s">
        <v>24</v>
      </c>
      <c r="H3504" t="s">
        <v>25</v>
      </c>
      <c r="I3504" t="s">
        <v>26</v>
      </c>
      <c r="J3504" t="s">
        <v>27</v>
      </c>
      <c r="K3504" t="s">
        <v>28</v>
      </c>
      <c r="L3504" s="2">
        <v>274.10000000000002</v>
      </c>
      <c r="M3504" s="3">
        <v>724</v>
      </c>
      <c r="N3504">
        <v>4</v>
      </c>
      <c r="O3504">
        <v>3</v>
      </c>
      <c r="P3504">
        <v>1</v>
      </c>
      <c r="Q3504">
        <v>0</v>
      </c>
      <c r="R3504" s="4">
        <v>119.3</v>
      </c>
      <c r="S3504">
        <v>0</v>
      </c>
      <c r="T3504">
        <v>1</v>
      </c>
    </row>
    <row r="3505" spans="1:20" ht="16.5" x14ac:dyDescent="0.3">
      <c r="A3505" t="s">
        <v>3559</v>
      </c>
      <c r="B3505" s="1">
        <v>45780</v>
      </c>
      <c r="C3505">
        <v>2025</v>
      </c>
      <c r="D3505" t="s">
        <v>649</v>
      </c>
      <c r="E3505" t="s">
        <v>859</v>
      </c>
      <c r="F3505" t="s">
        <v>30</v>
      </c>
      <c r="G3505" t="s">
        <v>39</v>
      </c>
      <c r="H3505" t="s">
        <v>43</v>
      </c>
      <c r="I3505" t="s">
        <v>31</v>
      </c>
      <c r="J3505" t="s">
        <v>27</v>
      </c>
      <c r="K3505" t="s">
        <v>32</v>
      </c>
      <c r="L3505" s="2">
        <v>0.7</v>
      </c>
      <c r="M3505" s="3">
        <v>1246</v>
      </c>
      <c r="N3505">
        <v>7</v>
      </c>
      <c r="O3505">
        <v>7</v>
      </c>
      <c r="P3505">
        <v>1</v>
      </c>
      <c r="Q3505">
        <v>0</v>
      </c>
      <c r="R3505" s="4">
        <v>15.85</v>
      </c>
      <c r="S3505">
        <v>0</v>
      </c>
      <c r="T3505">
        <v>1</v>
      </c>
    </row>
    <row r="3506" spans="1:20" ht="16.5" x14ac:dyDescent="0.3">
      <c r="A3506" t="s">
        <v>3560</v>
      </c>
      <c r="B3506" s="1">
        <v>45780</v>
      </c>
      <c r="C3506">
        <v>2025</v>
      </c>
      <c r="D3506" t="s">
        <v>649</v>
      </c>
      <c r="E3506" t="s">
        <v>859</v>
      </c>
      <c r="F3506" t="s">
        <v>30</v>
      </c>
      <c r="G3506" t="s">
        <v>39</v>
      </c>
      <c r="H3506" t="s">
        <v>25</v>
      </c>
      <c r="I3506" t="s">
        <v>40</v>
      </c>
      <c r="J3506" t="s">
        <v>41</v>
      </c>
      <c r="K3506" t="s">
        <v>32</v>
      </c>
      <c r="L3506" s="2">
        <v>20.6</v>
      </c>
      <c r="M3506" s="3">
        <v>667</v>
      </c>
      <c r="N3506">
        <v>2</v>
      </c>
      <c r="O3506">
        <v>5</v>
      </c>
      <c r="P3506">
        <v>0</v>
      </c>
      <c r="Q3506">
        <v>3</v>
      </c>
      <c r="R3506" s="4">
        <v>84.45</v>
      </c>
      <c r="S3506">
        <v>0</v>
      </c>
      <c r="T3506">
        <v>1</v>
      </c>
    </row>
    <row r="3507" spans="1:20" ht="16.5" x14ac:dyDescent="0.3">
      <c r="A3507" t="s">
        <v>3561</v>
      </c>
      <c r="B3507" s="1">
        <v>45780</v>
      </c>
      <c r="C3507">
        <v>2025</v>
      </c>
      <c r="D3507" t="s">
        <v>649</v>
      </c>
      <c r="E3507" t="s">
        <v>859</v>
      </c>
      <c r="F3507" t="s">
        <v>34</v>
      </c>
      <c r="G3507" t="s">
        <v>35</v>
      </c>
      <c r="H3507" t="s">
        <v>25</v>
      </c>
      <c r="I3507" t="s">
        <v>26</v>
      </c>
      <c r="J3507" t="s">
        <v>27</v>
      </c>
      <c r="K3507" t="s">
        <v>28</v>
      </c>
      <c r="L3507" s="2">
        <v>171.9</v>
      </c>
      <c r="M3507" s="3">
        <v>942</v>
      </c>
      <c r="N3507">
        <v>4</v>
      </c>
      <c r="O3507">
        <v>4</v>
      </c>
      <c r="P3507">
        <v>1</v>
      </c>
      <c r="Q3507">
        <v>0</v>
      </c>
      <c r="R3507" s="4">
        <v>81.06</v>
      </c>
      <c r="S3507">
        <v>0</v>
      </c>
      <c r="T3507">
        <v>1</v>
      </c>
    </row>
    <row r="3508" spans="1:20" ht="16.5" x14ac:dyDescent="0.3">
      <c r="A3508" t="s">
        <v>3562</v>
      </c>
      <c r="B3508" s="1">
        <v>45781</v>
      </c>
      <c r="C3508">
        <v>2025</v>
      </c>
      <c r="D3508" t="s">
        <v>649</v>
      </c>
      <c r="E3508" t="s">
        <v>859</v>
      </c>
      <c r="F3508" t="s">
        <v>34</v>
      </c>
      <c r="G3508" t="s">
        <v>35</v>
      </c>
      <c r="H3508" t="s">
        <v>48</v>
      </c>
      <c r="I3508" t="s">
        <v>26</v>
      </c>
      <c r="J3508" t="s">
        <v>27</v>
      </c>
      <c r="K3508" t="s">
        <v>32</v>
      </c>
      <c r="L3508" s="2">
        <v>2.8</v>
      </c>
      <c r="M3508" s="3">
        <v>382</v>
      </c>
      <c r="N3508">
        <v>4</v>
      </c>
      <c r="O3508">
        <v>5</v>
      </c>
      <c r="P3508">
        <v>0</v>
      </c>
      <c r="Q3508">
        <v>1</v>
      </c>
      <c r="R3508" s="4">
        <v>11.1</v>
      </c>
      <c r="S3508">
        <v>0</v>
      </c>
      <c r="T3508">
        <v>1</v>
      </c>
    </row>
    <row r="3509" spans="1:20" ht="16.5" x14ac:dyDescent="0.3">
      <c r="A3509" t="s">
        <v>3563</v>
      </c>
      <c r="B3509" s="1">
        <v>45781</v>
      </c>
      <c r="C3509">
        <v>2025</v>
      </c>
      <c r="D3509" t="s">
        <v>649</v>
      </c>
      <c r="E3509" t="s">
        <v>859</v>
      </c>
      <c r="F3509" t="s">
        <v>34</v>
      </c>
      <c r="G3509" t="s">
        <v>35</v>
      </c>
      <c r="H3509" t="s">
        <v>36</v>
      </c>
      <c r="I3509" t="s">
        <v>26</v>
      </c>
      <c r="J3509" t="s">
        <v>27</v>
      </c>
      <c r="K3509" t="s">
        <v>28</v>
      </c>
      <c r="L3509" s="2">
        <v>58.7</v>
      </c>
      <c r="M3509" s="3">
        <v>285</v>
      </c>
      <c r="N3509">
        <v>3</v>
      </c>
      <c r="O3509">
        <v>2</v>
      </c>
      <c r="P3509">
        <v>1</v>
      </c>
      <c r="Q3509">
        <v>0</v>
      </c>
      <c r="R3509" s="4">
        <v>32.81</v>
      </c>
      <c r="S3509">
        <v>0</v>
      </c>
      <c r="T3509">
        <v>1</v>
      </c>
    </row>
    <row r="3510" spans="1:20" ht="16.5" x14ac:dyDescent="0.3">
      <c r="A3510" t="s">
        <v>3564</v>
      </c>
      <c r="B3510" s="1">
        <v>45781</v>
      </c>
      <c r="C3510">
        <v>2025</v>
      </c>
      <c r="D3510" t="s">
        <v>649</v>
      </c>
      <c r="E3510" t="s">
        <v>859</v>
      </c>
      <c r="F3510" t="s">
        <v>30</v>
      </c>
      <c r="G3510" t="s">
        <v>39</v>
      </c>
      <c r="H3510" t="s">
        <v>36</v>
      </c>
      <c r="I3510" t="s">
        <v>26</v>
      </c>
      <c r="J3510" t="s">
        <v>27</v>
      </c>
      <c r="K3510" t="s">
        <v>28</v>
      </c>
      <c r="L3510" s="2">
        <v>182.5</v>
      </c>
      <c r="M3510" s="3">
        <v>218</v>
      </c>
      <c r="N3510">
        <v>3</v>
      </c>
      <c r="O3510">
        <v>3</v>
      </c>
      <c r="P3510">
        <v>1</v>
      </c>
      <c r="Q3510">
        <v>0</v>
      </c>
      <c r="R3510" s="4">
        <v>84.23</v>
      </c>
      <c r="S3510">
        <v>0</v>
      </c>
      <c r="T3510">
        <v>1</v>
      </c>
    </row>
    <row r="3511" spans="1:20" ht="16.5" x14ac:dyDescent="0.3">
      <c r="A3511" t="s">
        <v>3565</v>
      </c>
      <c r="B3511" s="1">
        <v>45781</v>
      </c>
      <c r="C3511">
        <v>2025</v>
      </c>
      <c r="D3511" t="s">
        <v>649</v>
      </c>
      <c r="E3511" t="s">
        <v>859</v>
      </c>
      <c r="F3511" t="s">
        <v>34</v>
      </c>
      <c r="G3511" t="s">
        <v>35</v>
      </c>
      <c r="H3511" t="s">
        <v>36</v>
      </c>
      <c r="I3511" t="s">
        <v>26</v>
      </c>
      <c r="J3511" t="s">
        <v>27</v>
      </c>
      <c r="K3511" t="s">
        <v>32</v>
      </c>
      <c r="L3511" s="2">
        <v>6.4</v>
      </c>
      <c r="M3511" s="3">
        <v>285</v>
      </c>
      <c r="N3511">
        <v>3</v>
      </c>
      <c r="O3511">
        <v>3</v>
      </c>
      <c r="P3511">
        <v>1</v>
      </c>
      <c r="Q3511">
        <v>0</v>
      </c>
      <c r="R3511" s="4">
        <v>10.89</v>
      </c>
      <c r="S3511">
        <v>0</v>
      </c>
      <c r="T3511">
        <v>1</v>
      </c>
    </row>
    <row r="3512" spans="1:20" ht="16.5" x14ac:dyDescent="0.3">
      <c r="A3512" t="s">
        <v>3566</v>
      </c>
      <c r="B3512" s="1">
        <v>45781</v>
      </c>
      <c r="C3512">
        <v>2025</v>
      </c>
      <c r="D3512" t="s">
        <v>649</v>
      </c>
      <c r="E3512" t="s">
        <v>859</v>
      </c>
      <c r="F3512" t="s">
        <v>30</v>
      </c>
      <c r="G3512" t="s">
        <v>35</v>
      </c>
      <c r="H3512" t="s">
        <v>36</v>
      </c>
      <c r="I3512" t="s">
        <v>31</v>
      </c>
      <c r="J3512" t="s">
        <v>27</v>
      </c>
      <c r="K3512" t="s">
        <v>32</v>
      </c>
      <c r="L3512" s="2">
        <v>8.3000000000000007</v>
      </c>
      <c r="M3512" s="3">
        <v>204</v>
      </c>
      <c r="N3512">
        <v>5</v>
      </c>
      <c r="O3512">
        <v>5</v>
      </c>
      <c r="P3512">
        <v>1</v>
      </c>
      <c r="Q3512">
        <v>0</v>
      </c>
      <c r="R3512" s="4">
        <v>10.58</v>
      </c>
      <c r="S3512">
        <v>0</v>
      </c>
      <c r="T3512">
        <v>1</v>
      </c>
    </row>
    <row r="3513" spans="1:20" ht="16.5" x14ac:dyDescent="0.3">
      <c r="A3513" t="s">
        <v>3567</v>
      </c>
      <c r="B3513" s="1">
        <v>45782</v>
      </c>
      <c r="C3513">
        <v>2025</v>
      </c>
      <c r="D3513" t="s">
        <v>649</v>
      </c>
      <c r="E3513" t="s">
        <v>859</v>
      </c>
      <c r="F3513" t="s">
        <v>23</v>
      </c>
      <c r="G3513" t="s">
        <v>35</v>
      </c>
      <c r="H3513" t="s">
        <v>25</v>
      </c>
      <c r="I3513" t="s">
        <v>26</v>
      </c>
      <c r="J3513" t="s">
        <v>27</v>
      </c>
      <c r="K3513" t="s">
        <v>28</v>
      </c>
      <c r="L3513" s="2">
        <v>137.19999999999999</v>
      </c>
      <c r="M3513" s="3">
        <v>734</v>
      </c>
      <c r="N3513">
        <v>4</v>
      </c>
      <c r="O3513">
        <v>4</v>
      </c>
      <c r="P3513">
        <v>1</v>
      </c>
      <c r="Q3513">
        <v>0</v>
      </c>
      <c r="R3513" s="4">
        <v>71.53</v>
      </c>
      <c r="S3513">
        <v>0</v>
      </c>
      <c r="T3513">
        <v>1</v>
      </c>
    </row>
    <row r="3514" spans="1:20" ht="16.5" x14ac:dyDescent="0.3">
      <c r="A3514" t="s">
        <v>3568</v>
      </c>
      <c r="B3514" s="1">
        <v>45782</v>
      </c>
      <c r="C3514">
        <v>2025</v>
      </c>
      <c r="D3514" t="s">
        <v>649</v>
      </c>
      <c r="E3514" t="s">
        <v>859</v>
      </c>
      <c r="F3514" t="s">
        <v>38</v>
      </c>
      <c r="G3514" t="s">
        <v>39</v>
      </c>
      <c r="H3514" t="s">
        <v>36</v>
      </c>
      <c r="I3514" t="s">
        <v>31</v>
      </c>
      <c r="J3514" t="s">
        <v>27</v>
      </c>
      <c r="K3514" t="s">
        <v>28</v>
      </c>
      <c r="L3514" s="2">
        <v>41.5</v>
      </c>
      <c r="M3514" s="3">
        <v>253</v>
      </c>
      <c r="N3514">
        <v>5</v>
      </c>
      <c r="O3514">
        <v>4</v>
      </c>
      <c r="P3514">
        <v>1</v>
      </c>
      <c r="Q3514">
        <v>0</v>
      </c>
      <c r="R3514" s="4">
        <v>26.38</v>
      </c>
      <c r="S3514">
        <v>1</v>
      </c>
      <c r="T3514">
        <v>1</v>
      </c>
    </row>
    <row r="3515" spans="1:20" ht="16.5" x14ac:dyDescent="0.3">
      <c r="A3515" t="s">
        <v>3569</v>
      </c>
      <c r="B3515" s="1">
        <v>45782</v>
      </c>
      <c r="C3515">
        <v>2025</v>
      </c>
      <c r="D3515" t="s">
        <v>649</v>
      </c>
      <c r="E3515" t="s">
        <v>859</v>
      </c>
      <c r="F3515" t="s">
        <v>38</v>
      </c>
      <c r="G3515" t="s">
        <v>35</v>
      </c>
      <c r="H3515" t="s">
        <v>48</v>
      </c>
      <c r="I3515" t="s">
        <v>26</v>
      </c>
      <c r="J3515" t="s">
        <v>27</v>
      </c>
      <c r="K3515" t="s">
        <v>32</v>
      </c>
      <c r="L3515" s="2">
        <v>13.3</v>
      </c>
      <c r="M3515" s="3">
        <v>381</v>
      </c>
      <c r="N3515">
        <v>4</v>
      </c>
      <c r="O3515">
        <v>4</v>
      </c>
      <c r="P3515">
        <v>1</v>
      </c>
      <c r="Q3515">
        <v>0</v>
      </c>
      <c r="R3515" s="4">
        <v>20.82</v>
      </c>
      <c r="S3515">
        <v>0</v>
      </c>
      <c r="T3515">
        <v>1</v>
      </c>
    </row>
    <row r="3516" spans="1:20" ht="16.5" x14ac:dyDescent="0.3">
      <c r="A3516" t="s">
        <v>3570</v>
      </c>
      <c r="B3516" s="1">
        <v>45782</v>
      </c>
      <c r="C3516">
        <v>2025</v>
      </c>
      <c r="D3516" t="s">
        <v>649</v>
      </c>
      <c r="E3516" t="s">
        <v>859</v>
      </c>
      <c r="F3516" t="s">
        <v>23</v>
      </c>
      <c r="G3516" t="s">
        <v>24</v>
      </c>
      <c r="H3516" t="s">
        <v>51</v>
      </c>
      <c r="I3516" t="s">
        <v>26</v>
      </c>
      <c r="J3516" t="s">
        <v>27</v>
      </c>
      <c r="K3516" t="s">
        <v>32</v>
      </c>
      <c r="L3516" s="2">
        <v>6</v>
      </c>
      <c r="M3516" s="3">
        <v>1264</v>
      </c>
      <c r="N3516">
        <v>5</v>
      </c>
      <c r="O3516">
        <v>4</v>
      </c>
      <c r="P3516">
        <v>1</v>
      </c>
      <c r="Q3516">
        <v>0</v>
      </c>
      <c r="R3516" s="4">
        <v>25.02</v>
      </c>
      <c r="S3516">
        <v>0</v>
      </c>
      <c r="T3516">
        <v>1</v>
      </c>
    </row>
    <row r="3517" spans="1:20" ht="16.5" x14ac:dyDescent="0.3">
      <c r="A3517" t="s">
        <v>3571</v>
      </c>
      <c r="B3517" s="1">
        <v>45782</v>
      </c>
      <c r="C3517">
        <v>2025</v>
      </c>
      <c r="D3517" t="s">
        <v>649</v>
      </c>
      <c r="E3517" t="s">
        <v>859</v>
      </c>
      <c r="F3517" t="s">
        <v>34</v>
      </c>
      <c r="G3517" t="s">
        <v>39</v>
      </c>
      <c r="H3517" t="s">
        <v>43</v>
      </c>
      <c r="I3517" t="s">
        <v>26</v>
      </c>
      <c r="J3517" t="s">
        <v>27</v>
      </c>
      <c r="K3517" t="s">
        <v>28</v>
      </c>
      <c r="L3517" s="2">
        <v>125</v>
      </c>
      <c r="M3517" s="3">
        <v>1156</v>
      </c>
      <c r="N3517">
        <v>5</v>
      </c>
      <c r="O3517">
        <v>5</v>
      </c>
      <c r="P3517">
        <v>1</v>
      </c>
      <c r="Q3517">
        <v>0</v>
      </c>
      <c r="R3517" s="4">
        <v>65.53</v>
      </c>
      <c r="S3517">
        <v>0</v>
      </c>
      <c r="T3517">
        <v>1</v>
      </c>
    </row>
    <row r="3518" spans="1:20" ht="16.5" x14ac:dyDescent="0.3">
      <c r="A3518" t="s">
        <v>3572</v>
      </c>
      <c r="B3518" s="1">
        <v>45782</v>
      </c>
      <c r="C3518">
        <v>2025</v>
      </c>
      <c r="D3518" t="s">
        <v>649</v>
      </c>
      <c r="E3518" t="s">
        <v>859</v>
      </c>
      <c r="F3518" t="s">
        <v>30</v>
      </c>
      <c r="G3518" t="s">
        <v>39</v>
      </c>
      <c r="H3518" t="s">
        <v>48</v>
      </c>
      <c r="I3518" t="s">
        <v>26</v>
      </c>
      <c r="J3518" t="s">
        <v>27</v>
      </c>
      <c r="K3518" t="s">
        <v>32</v>
      </c>
      <c r="L3518" s="2">
        <v>1</v>
      </c>
      <c r="M3518" s="3">
        <v>453</v>
      </c>
      <c r="N3518">
        <v>4</v>
      </c>
      <c r="O3518">
        <v>4</v>
      </c>
      <c r="P3518">
        <v>1</v>
      </c>
      <c r="Q3518">
        <v>0</v>
      </c>
      <c r="R3518" s="4">
        <v>12.17</v>
      </c>
      <c r="S3518">
        <v>0</v>
      </c>
      <c r="T3518">
        <v>1</v>
      </c>
    </row>
    <row r="3519" spans="1:20" ht="16.5" x14ac:dyDescent="0.3">
      <c r="A3519" t="s">
        <v>3573</v>
      </c>
      <c r="B3519" s="1">
        <v>45782</v>
      </c>
      <c r="C3519">
        <v>2025</v>
      </c>
      <c r="D3519" t="s">
        <v>649</v>
      </c>
      <c r="E3519" t="s">
        <v>859</v>
      </c>
      <c r="F3519" t="s">
        <v>38</v>
      </c>
      <c r="G3519" t="s">
        <v>39</v>
      </c>
      <c r="H3519" t="s">
        <v>43</v>
      </c>
      <c r="I3519" t="s">
        <v>31</v>
      </c>
      <c r="J3519" t="s">
        <v>27</v>
      </c>
      <c r="K3519" t="s">
        <v>32</v>
      </c>
      <c r="L3519" s="2">
        <v>1.4</v>
      </c>
      <c r="M3519" s="3">
        <v>1137</v>
      </c>
      <c r="N3519">
        <v>7</v>
      </c>
      <c r="O3519">
        <v>7</v>
      </c>
      <c r="P3519">
        <v>1</v>
      </c>
      <c r="Q3519">
        <v>0</v>
      </c>
      <c r="R3519" s="4">
        <v>16.89</v>
      </c>
      <c r="S3519">
        <v>0</v>
      </c>
      <c r="T3519">
        <v>1</v>
      </c>
    </row>
    <row r="3520" spans="1:20" ht="16.5" x14ac:dyDescent="0.3">
      <c r="A3520" t="s">
        <v>3574</v>
      </c>
      <c r="B3520" s="1">
        <v>45782</v>
      </c>
      <c r="C3520">
        <v>2025</v>
      </c>
      <c r="D3520" t="s">
        <v>649</v>
      </c>
      <c r="E3520" t="s">
        <v>859</v>
      </c>
      <c r="F3520" t="s">
        <v>30</v>
      </c>
      <c r="G3520" t="s">
        <v>39</v>
      </c>
      <c r="H3520" t="s">
        <v>25</v>
      </c>
      <c r="I3520" t="s">
        <v>26</v>
      </c>
      <c r="J3520" t="s">
        <v>27</v>
      </c>
      <c r="K3520" t="s">
        <v>32</v>
      </c>
      <c r="L3520" s="2">
        <v>11.5</v>
      </c>
      <c r="M3520" s="3">
        <v>800</v>
      </c>
      <c r="N3520">
        <v>4</v>
      </c>
      <c r="O3520">
        <v>4</v>
      </c>
      <c r="P3520">
        <v>1</v>
      </c>
      <c r="Q3520">
        <v>0</v>
      </c>
      <c r="R3520" s="4">
        <v>24.5</v>
      </c>
      <c r="S3520">
        <v>0</v>
      </c>
      <c r="T3520">
        <v>1</v>
      </c>
    </row>
    <row r="3521" spans="1:20" ht="16.5" x14ac:dyDescent="0.3">
      <c r="A3521" t="s">
        <v>3575</v>
      </c>
      <c r="B3521" s="1">
        <v>45782</v>
      </c>
      <c r="C3521">
        <v>2025</v>
      </c>
      <c r="D3521" t="s">
        <v>649</v>
      </c>
      <c r="E3521" t="s">
        <v>859</v>
      </c>
      <c r="F3521" t="s">
        <v>38</v>
      </c>
      <c r="G3521" t="s">
        <v>35</v>
      </c>
      <c r="H3521" t="s">
        <v>36</v>
      </c>
      <c r="I3521" t="s">
        <v>31</v>
      </c>
      <c r="J3521" t="s">
        <v>27</v>
      </c>
      <c r="K3521" t="s">
        <v>28</v>
      </c>
      <c r="L3521" s="2">
        <v>73.400000000000006</v>
      </c>
      <c r="M3521" s="3">
        <v>271</v>
      </c>
      <c r="N3521">
        <v>5</v>
      </c>
      <c r="O3521">
        <v>4</v>
      </c>
      <c r="P3521">
        <v>1</v>
      </c>
      <c r="Q3521">
        <v>0</v>
      </c>
      <c r="R3521" s="4">
        <v>38.44</v>
      </c>
      <c r="S3521">
        <v>0</v>
      </c>
      <c r="T3521">
        <v>1</v>
      </c>
    </row>
    <row r="3522" spans="1:20" ht="16.5" x14ac:dyDescent="0.3">
      <c r="A3522" t="s">
        <v>3576</v>
      </c>
      <c r="B3522" s="1">
        <v>45783</v>
      </c>
      <c r="C3522">
        <v>2025</v>
      </c>
      <c r="D3522" t="s">
        <v>649</v>
      </c>
      <c r="E3522" t="s">
        <v>859</v>
      </c>
      <c r="F3522" t="s">
        <v>57</v>
      </c>
      <c r="G3522" t="s">
        <v>35</v>
      </c>
      <c r="H3522" t="s">
        <v>43</v>
      </c>
      <c r="I3522" t="s">
        <v>31</v>
      </c>
      <c r="J3522" t="s">
        <v>27</v>
      </c>
      <c r="K3522" t="s">
        <v>28</v>
      </c>
      <c r="L3522" s="2">
        <v>154.6</v>
      </c>
      <c r="M3522" s="3">
        <v>1023</v>
      </c>
      <c r="N3522">
        <v>7</v>
      </c>
      <c r="O3522">
        <v>6</v>
      </c>
      <c r="P3522">
        <v>1</v>
      </c>
      <c r="Q3522">
        <v>0</v>
      </c>
      <c r="R3522" s="4">
        <v>59.49</v>
      </c>
      <c r="S3522">
        <v>0</v>
      </c>
      <c r="T3522">
        <v>1</v>
      </c>
    </row>
    <row r="3523" spans="1:20" ht="16.5" x14ac:dyDescent="0.3">
      <c r="A3523" t="s">
        <v>3577</v>
      </c>
      <c r="B3523" s="1">
        <v>45783</v>
      </c>
      <c r="C3523">
        <v>2025</v>
      </c>
      <c r="D3523" t="s">
        <v>649</v>
      </c>
      <c r="E3523" t="s">
        <v>859</v>
      </c>
      <c r="F3523" t="s">
        <v>34</v>
      </c>
      <c r="G3523" t="s">
        <v>35</v>
      </c>
      <c r="H3523" t="s">
        <v>48</v>
      </c>
      <c r="I3523" t="s">
        <v>26</v>
      </c>
      <c r="J3523" t="s">
        <v>27</v>
      </c>
      <c r="K3523" t="s">
        <v>32</v>
      </c>
      <c r="L3523" s="2">
        <v>8</v>
      </c>
      <c r="M3523" s="3">
        <v>568</v>
      </c>
      <c r="N3523">
        <v>4</v>
      </c>
      <c r="O3523">
        <v>4</v>
      </c>
      <c r="P3523">
        <v>1</v>
      </c>
      <c r="Q3523">
        <v>0</v>
      </c>
      <c r="R3523" s="4">
        <v>16.57</v>
      </c>
      <c r="S3523">
        <v>0</v>
      </c>
      <c r="T3523">
        <v>1</v>
      </c>
    </row>
    <row r="3524" spans="1:20" ht="16.5" x14ac:dyDescent="0.3">
      <c r="A3524" t="s">
        <v>3578</v>
      </c>
      <c r="B3524" s="1">
        <v>45783</v>
      </c>
      <c r="C3524">
        <v>2025</v>
      </c>
      <c r="D3524" t="s">
        <v>649</v>
      </c>
      <c r="E3524" t="s">
        <v>859</v>
      </c>
      <c r="F3524" t="s">
        <v>38</v>
      </c>
      <c r="G3524" t="s">
        <v>24</v>
      </c>
      <c r="H3524" t="s">
        <v>25</v>
      </c>
      <c r="I3524" t="s">
        <v>26</v>
      </c>
      <c r="J3524" t="s">
        <v>27</v>
      </c>
      <c r="K3524" t="s">
        <v>32</v>
      </c>
      <c r="L3524" s="2">
        <v>1.5</v>
      </c>
      <c r="M3524" s="3">
        <v>837</v>
      </c>
      <c r="N3524">
        <v>4</v>
      </c>
      <c r="O3524">
        <v>4</v>
      </c>
      <c r="P3524">
        <v>1</v>
      </c>
      <c r="Q3524">
        <v>0</v>
      </c>
      <c r="R3524" s="4">
        <v>20.03</v>
      </c>
      <c r="S3524">
        <v>1</v>
      </c>
      <c r="T3524">
        <v>1</v>
      </c>
    </row>
    <row r="3525" spans="1:20" ht="16.5" x14ac:dyDescent="0.3">
      <c r="A3525" t="s">
        <v>3579</v>
      </c>
      <c r="B3525" s="1">
        <v>45783</v>
      </c>
      <c r="C3525">
        <v>2025</v>
      </c>
      <c r="D3525" t="s">
        <v>649</v>
      </c>
      <c r="E3525" t="s">
        <v>859</v>
      </c>
      <c r="F3525" t="s">
        <v>30</v>
      </c>
      <c r="G3525" t="s">
        <v>35</v>
      </c>
      <c r="H3525" t="s">
        <v>25</v>
      </c>
      <c r="I3525" t="s">
        <v>40</v>
      </c>
      <c r="J3525" t="s">
        <v>41</v>
      </c>
      <c r="K3525" t="s">
        <v>28</v>
      </c>
      <c r="L3525" s="2">
        <v>7.6</v>
      </c>
      <c r="M3525" s="3">
        <v>1118</v>
      </c>
      <c r="N3525">
        <v>2</v>
      </c>
      <c r="O3525">
        <v>2</v>
      </c>
      <c r="P3525">
        <v>1</v>
      </c>
      <c r="Q3525">
        <v>0</v>
      </c>
      <c r="R3525" s="4">
        <v>76.66</v>
      </c>
      <c r="S3525">
        <v>0</v>
      </c>
      <c r="T3525">
        <v>1</v>
      </c>
    </row>
    <row r="3526" spans="1:20" ht="16.5" x14ac:dyDescent="0.3">
      <c r="A3526" t="s">
        <v>3580</v>
      </c>
      <c r="B3526" s="1">
        <v>45783</v>
      </c>
      <c r="C3526">
        <v>2025</v>
      </c>
      <c r="D3526" t="s">
        <v>649</v>
      </c>
      <c r="E3526" t="s">
        <v>859</v>
      </c>
      <c r="F3526" t="s">
        <v>34</v>
      </c>
      <c r="G3526" t="s">
        <v>39</v>
      </c>
      <c r="H3526" t="s">
        <v>25</v>
      </c>
      <c r="I3526" t="s">
        <v>40</v>
      </c>
      <c r="J3526" t="s">
        <v>41</v>
      </c>
      <c r="K3526" t="s">
        <v>28</v>
      </c>
      <c r="L3526" s="2">
        <v>58.1</v>
      </c>
      <c r="M3526" s="3">
        <v>708</v>
      </c>
      <c r="N3526">
        <v>2</v>
      </c>
      <c r="O3526">
        <v>2</v>
      </c>
      <c r="P3526">
        <v>1</v>
      </c>
      <c r="Q3526">
        <v>0</v>
      </c>
      <c r="R3526" s="4">
        <v>109.3</v>
      </c>
      <c r="S3526">
        <v>0</v>
      </c>
      <c r="T3526">
        <v>1</v>
      </c>
    </row>
    <row r="3527" spans="1:20" ht="16.5" x14ac:dyDescent="0.3">
      <c r="A3527" t="s">
        <v>3581</v>
      </c>
      <c r="B3527" s="1">
        <v>45783</v>
      </c>
      <c r="C3527">
        <v>2025</v>
      </c>
      <c r="D3527" t="s">
        <v>649</v>
      </c>
      <c r="E3527" t="s">
        <v>859</v>
      </c>
      <c r="F3527" t="s">
        <v>34</v>
      </c>
      <c r="G3527" t="s">
        <v>39</v>
      </c>
      <c r="H3527" t="s">
        <v>25</v>
      </c>
      <c r="I3527" t="s">
        <v>26</v>
      </c>
      <c r="J3527" t="s">
        <v>27</v>
      </c>
      <c r="K3527" t="s">
        <v>32</v>
      </c>
      <c r="L3527" s="2">
        <v>9.9</v>
      </c>
      <c r="M3527" s="3">
        <v>1023</v>
      </c>
      <c r="N3527">
        <v>4</v>
      </c>
      <c r="O3527">
        <v>4</v>
      </c>
      <c r="P3527">
        <v>1</v>
      </c>
      <c r="Q3527">
        <v>0</v>
      </c>
      <c r="R3527" s="4">
        <v>21.11</v>
      </c>
      <c r="S3527">
        <v>0</v>
      </c>
      <c r="T3527">
        <v>1</v>
      </c>
    </row>
    <row r="3528" spans="1:20" ht="16.5" x14ac:dyDescent="0.3">
      <c r="A3528" t="s">
        <v>3582</v>
      </c>
      <c r="B3528" s="1">
        <v>45783</v>
      </c>
      <c r="C3528">
        <v>2025</v>
      </c>
      <c r="D3528" t="s">
        <v>649</v>
      </c>
      <c r="E3528" t="s">
        <v>859</v>
      </c>
      <c r="F3528" t="s">
        <v>23</v>
      </c>
      <c r="G3528" t="s">
        <v>35</v>
      </c>
      <c r="H3528" t="s">
        <v>36</v>
      </c>
      <c r="I3528" t="s">
        <v>40</v>
      </c>
      <c r="J3528" t="s">
        <v>27</v>
      </c>
      <c r="K3528" t="s">
        <v>32</v>
      </c>
      <c r="L3528" s="2">
        <v>7.1</v>
      </c>
      <c r="M3528" s="3">
        <v>301</v>
      </c>
      <c r="N3528">
        <v>1</v>
      </c>
      <c r="O3528">
        <v>3</v>
      </c>
      <c r="P3528">
        <v>0</v>
      </c>
      <c r="Q3528">
        <v>2</v>
      </c>
      <c r="R3528" s="4">
        <v>26.09</v>
      </c>
      <c r="S3528">
        <v>0</v>
      </c>
      <c r="T3528">
        <v>1</v>
      </c>
    </row>
    <row r="3529" spans="1:20" ht="16.5" x14ac:dyDescent="0.3">
      <c r="A3529" t="s">
        <v>3583</v>
      </c>
      <c r="B3529" s="1">
        <v>45783</v>
      </c>
      <c r="C3529">
        <v>2025</v>
      </c>
      <c r="D3529" t="s">
        <v>649</v>
      </c>
      <c r="E3529" t="s">
        <v>859</v>
      </c>
      <c r="F3529" t="s">
        <v>38</v>
      </c>
      <c r="G3529" t="s">
        <v>39</v>
      </c>
      <c r="H3529" t="s">
        <v>36</v>
      </c>
      <c r="I3529" t="s">
        <v>40</v>
      </c>
      <c r="J3529" t="s">
        <v>27</v>
      </c>
      <c r="K3529" t="s">
        <v>28</v>
      </c>
      <c r="L3529" s="2">
        <v>50.5</v>
      </c>
      <c r="M3529" s="3">
        <v>211</v>
      </c>
      <c r="N3529">
        <v>1</v>
      </c>
      <c r="O3529">
        <v>1</v>
      </c>
      <c r="P3529">
        <v>1</v>
      </c>
      <c r="Q3529">
        <v>0</v>
      </c>
      <c r="R3529" s="4">
        <v>75.489999999999995</v>
      </c>
      <c r="S3529">
        <v>0</v>
      </c>
      <c r="T3529">
        <v>1</v>
      </c>
    </row>
    <row r="3530" spans="1:20" ht="16.5" x14ac:dyDescent="0.3">
      <c r="A3530" t="s">
        <v>3584</v>
      </c>
      <c r="B3530" s="1">
        <v>45783</v>
      </c>
      <c r="C3530">
        <v>2025</v>
      </c>
      <c r="D3530" t="s">
        <v>649</v>
      </c>
      <c r="E3530" t="s">
        <v>859</v>
      </c>
      <c r="F3530" t="s">
        <v>23</v>
      </c>
      <c r="G3530" t="s">
        <v>24</v>
      </c>
      <c r="H3530" t="s">
        <v>48</v>
      </c>
      <c r="I3530" t="s">
        <v>26</v>
      </c>
      <c r="J3530" t="s">
        <v>27</v>
      </c>
      <c r="K3530" t="s">
        <v>32</v>
      </c>
      <c r="L3530" s="2">
        <v>2.8</v>
      </c>
      <c r="M3530" s="3">
        <v>467</v>
      </c>
      <c r="N3530">
        <v>4</v>
      </c>
      <c r="O3530">
        <v>3</v>
      </c>
      <c r="P3530">
        <v>1</v>
      </c>
      <c r="Q3530">
        <v>0</v>
      </c>
      <c r="R3530" s="4">
        <v>14.08</v>
      </c>
      <c r="S3530">
        <v>0</v>
      </c>
      <c r="T3530">
        <v>1</v>
      </c>
    </row>
    <row r="3531" spans="1:20" ht="16.5" x14ac:dyDescent="0.3">
      <c r="A3531" t="s">
        <v>3585</v>
      </c>
      <c r="B3531" s="1">
        <v>45784</v>
      </c>
      <c r="C3531">
        <v>2025</v>
      </c>
      <c r="D3531" t="s">
        <v>649</v>
      </c>
      <c r="E3531" t="s">
        <v>859</v>
      </c>
      <c r="F3531" t="s">
        <v>57</v>
      </c>
      <c r="G3531" t="s">
        <v>35</v>
      </c>
      <c r="H3531" t="s">
        <v>36</v>
      </c>
      <c r="I3531" t="s">
        <v>40</v>
      </c>
      <c r="J3531" t="s">
        <v>27</v>
      </c>
      <c r="K3531" t="s">
        <v>32</v>
      </c>
      <c r="L3531" s="2">
        <v>2.1</v>
      </c>
      <c r="M3531" s="3">
        <v>288</v>
      </c>
      <c r="N3531">
        <v>1</v>
      </c>
      <c r="O3531">
        <v>1</v>
      </c>
      <c r="P3531">
        <v>1</v>
      </c>
      <c r="Q3531">
        <v>0</v>
      </c>
      <c r="R3531" s="4">
        <v>22.24</v>
      </c>
      <c r="S3531">
        <v>0</v>
      </c>
      <c r="T3531">
        <v>1</v>
      </c>
    </row>
    <row r="3532" spans="1:20" ht="16.5" x14ac:dyDescent="0.3">
      <c r="A3532" t="s">
        <v>3586</v>
      </c>
      <c r="B3532" s="1">
        <v>45784</v>
      </c>
      <c r="C3532">
        <v>2025</v>
      </c>
      <c r="D3532" t="s">
        <v>649</v>
      </c>
      <c r="E3532" t="s">
        <v>859</v>
      </c>
      <c r="F3532" t="s">
        <v>38</v>
      </c>
      <c r="G3532" t="s">
        <v>24</v>
      </c>
      <c r="H3532" t="s">
        <v>36</v>
      </c>
      <c r="I3532" t="s">
        <v>26</v>
      </c>
      <c r="J3532" t="s">
        <v>27</v>
      </c>
      <c r="K3532" t="s">
        <v>32</v>
      </c>
      <c r="L3532" s="2">
        <v>4.2</v>
      </c>
      <c r="M3532" s="3">
        <v>262</v>
      </c>
      <c r="N3532">
        <v>3</v>
      </c>
      <c r="O3532">
        <v>2</v>
      </c>
      <c r="P3532">
        <v>1</v>
      </c>
      <c r="Q3532">
        <v>0</v>
      </c>
      <c r="R3532" s="4">
        <v>13.33</v>
      </c>
      <c r="S3532">
        <v>0</v>
      </c>
      <c r="T3532">
        <v>1</v>
      </c>
    </row>
    <row r="3533" spans="1:20" ht="16.5" x14ac:dyDescent="0.3">
      <c r="A3533" t="s">
        <v>3587</v>
      </c>
      <c r="B3533" s="1">
        <v>45784</v>
      </c>
      <c r="C3533">
        <v>2025</v>
      </c>
      <c r="D3533" t="s">
        <v>649</v>
      </c>
      <c r="E3533" t="s">
        <v>859</v>
      </c>
      <c r="F3533" t="s">
        <v>38</v>
      </c>
      <c r="G3533" t="s">
        <v>39</v>
      </c>
      <c r="H3533" t="s">
        <v>25</v>
      </c>
      <c r="I3533" t="s">
        <v>26</v>
      </c>
      <c r="J3533" t="s">
        <v>27</v>
      </c>
      <c r="K3533" t="s">
        <v>28</v>
      </c>
      <c r="L3533" s="2">
        <v>68.900000000000006</v>
      </c>
      <c r="M3533" s="3">
        <v>962</v>
      </c>
      <c r="N3533">
        <v>4</v>
      </c>
      <c r="O3533">
        <v>4</v>
      </c>
      <c r="P3533">
        <v>1</v>
      </c>
      <c r="Q3533">
        <v>0</v>
      </c>
      <c r="R3533" s="4">
        <v>55.55</v>
      </c>
      <c r="S3533">
        <v>0</v>
      </c>
      <c r="T3533">
        <v>1</v>
      </c>
    </row>
    <row r="3534" spans="1:20" ht="16.5" x14ac:dyDescent="0.3">
      <c r="A3534" t="s">
        <v>3588</v>
      </c>
      <c r="B3534" s="1">
        <v>45784</v>
      </c>
      <c r="C3534">
        <v>2025</v>
      </c>
      <c r="D3534" t="s">
        <v>649</v>
      </c>
      <c r="E3534" t="s">
        <v>859</v>
      </c>
      <c r="F3534" t="s">
        <v>57</v>
      </c>
      <c r="G3534" t="s">
        <v>39</v>
      </c>
      <c r="H3534" t="s">
        <v>51</v>
      </c>
      <c r="I3534" t="s">
        <v>26</v>
      </c>
      <c r="J3534" t="s">
        <v>27</v>
      </c>
      <c r="K3534" t="s">
        <v>28</v>
      </c>
      <c r="L3534" s="2">
        <v>87.6</v>
      </c>
      <c r="M3534" s="3">
        <v>1099</v>
      </c>
      <c r="N3534">
        <v>5</v>
      </c>
      <c r="O3534">
        <v>5</v>
      </c>
      <c r="P3534">
        <v>1</v>
      </c>
      <c r="Q3534">
        <v>0</v>
      </c>
      <c r="R3534" s="4">
        <v>61.3</v>
      </c>
      <c r="S3534">
        <v>0</v>
      </c>
      <c r="T3534">
        <v>1</v>
      </c>
    </row>
    <row r="3535" spans="1:20" ht="16.5" x14ac:dyDescent="0.3">
      <c r="A3535" t="s">
        <v>3589</v>
      </c>
      <c r="B3535" s="1">
        <v>45784</v>
      </c>
      <c r="C3535">
        <v>2025</v>
      </c>
      <c r="D3535" t="s">
        <v>649</v>
      </c>
      <c r="E3535" t="s">
        <v>859</v>
      </c>
      <c r="F3535" t="s">
        <v>34</v>
      </c>
      <c r="G3535" t="s">
        <v>39</v>
      </c>
      <c r="H3535" t="s">
        <v>51</v>
      </c>
      <c r="I3535" t="s">
        <v>26</v>
      </c>
      <c r="J3535" t="s">
        <v>27</v>
      </c>
      <c r="K3535" t="s">
        <v>32</v>
      </c>
      <c r="L3535" s="2">
        <v>6.1</v>
      </c>
      <c r="M3535" s="3">
        <v>817</v>
      </c>
      <c r="N3535">
        <v>5</v>
      </c>
      <c r="O3535">
        <v>5</v>
      </c>
      <c r="P3535">
        <v>1</v>
      </c>
      <c r="Q3535">
        <v>0</v>
      </c>
      <c r="R3535" s="4">
        <v>14.74</v>
      </c>
      <c r="S3535">
        <v>0</v>
      </c>
      <c r="T3535">
        <v>1</v>
      </c>
    </row>
    <row r="3536" spans="1:20" ht="16.5" x14ac:dyDescent="0.3">
      <c r="A3536" t="s">
        <v>3590</v>
      </c>
      <c r="B3536" s="1">
        <v>45784</v>
      </c>
      <c r="C3536">
        <v>2025</v>
      </c>
      <c r="D3536" t="s">
        <v>649</v>
      </c>
      <c r="E3536" t="s">
        <v>859</v>
      </c>
      <c r="F3536" t="s">
        <v>23</v>
      </c>
      <c r="G3536" t="s">
        <v>39</v>
      </c>
      <c r="H3536" t="s">
        <v>43</v>
      </c>
      <c r="I3536" t="s">
        <v>26</v>
      </c>
      <c r="J3536" t="s">
        <v>27</v>
      </c>
      <c r="K3536" t="s">
        <v>32</v>
      </c>
      <c r="L3536" s="2">
        <v>4.5</v>
      </c>
      <c r="M3536" s="3">
        <v>1205</v>
      </c>
      <c r="N3536">
        <v>5</v>
      </c>
      <c r="O3536">
        <v>5</v>
      </c>
      <c r="P3536">
        <v>1</v>
      </c>
      <c r="Q3536">
        <v>0</v>
      </c>
      <c r="R3536" s="4">
        <v>22.75</v>
      </c>
      <c r="S3536">
        <v>0</v>
      </c>
      <c r="T3536">
        <v>1</v>
      </c>
    </row>
    <row r="3537" spans="1:20" ht="16.5" x14ac:dyDescent="0.3">
      <c r="A3537" t="s">
        <v>3591</v>
      </c>
      <c r="B3537" s="1">
        <v>45784</v>
      </c>
      <c r="C3537">
        <v>2025</v>
      </c>
      <c r="D3537" t="s">
        <v>649</v>
      </c>
      <c r="E3537" t="s">
        <v>859</v>
      </c>
      <c r="F3537" t="s">
        <v>30</v>
      </c>
      <c r="G3537" t="s">
        <v>35</v>
      </c>
      <c r="H3537" t="s">
        <v>36</v>
      </c>
      <c r="I3537" t="s">
        <v>31</v>
      </c>
      <c r="J3537" t="s">
        <v>27</v>
      </c>
      <c r="K3537" t="s">
        <v>32</v>
      </c>
      <c r="L3537" s="2">
        <v>2.2999999999999998</v>
      </c>
      <c r="M3537" s="3">
        <v>236</v>
      </c>
      <c r="N3537">
        <v>5</v>
      </c>
      <c r="O3537">
        <v>5</v>
      </c>
      <c r="P3537">
        <v>1</v>
      </c>
      <c r="Q3537">
        <v>0</v>
      </c>
      <c r="R3537" s="4">
        <v>8.7100000000000009</v>
      </c>
      <c r="S3537">
        <v>0</v>
      </c>
      <c r="T3537">
        <v>1</v>
      </c>
    </row>
    <row r="3538" spans="1:20" ht="16.5" x14ac:dyDescent="0.3">
      <c r="A3538" t="s">
        <v>3592</v>
      </c>
      <c r="B3538" s="1">
        <v>45784</v>
      </c>
      <c r="C3538">
        <v>2025</v>
      </c>
      <c r="D3538" t="s">
        <v>649</v>
      </c>
      <c r="E3538" t="s">
        <v>859</v>
      </c>
      <c r="F3538" t="s">
        <v>30</v>
      </c>
      <c r="G3538" t="s">
        <v>35</v>
      </c>
      <c r="H3538" t="s">
        <v>25</v>
      </c>
      <c r="I3538" t="s">
        <v>26</v>
      </c>
      <c r="J3538" t="s">
        <v>27</v>
      </c>
      <c r="K3538" t="s">
        <v>32</v>
      </c>
      <c r="L3538" s="2">
        <v>14.1</v>
      </c>
      <c r="M3538" s="3">
        <v>825</v>
      </c>
      <c r="N3538">
        <v>4</v>
      </c>
      <c r="O3538">
        <v>5</v>
      </c>
      <c r="P3538">
        <v>0</v>
      </c>
      <c r="Q3538">
        <v>1</v>
      </c>
      <c r="R3538" s="4">
        <v>26.27</v>
      </c>
      <c r="S3538">
        <v>0</v>
      </c>
      <c r="T3538">
        <v>1</v>
      </c>
    </row>
    <row r="3539" spans="1:20" ht="16.5" x14ac:dyDescent="0.3">
      <c r="A3539" t="s">
        <v>3593</v>
      </c>
      <c r="B3539" s="1">
        <v>45784</v>
      </c>
      <c r="C3539">
        <v>2025</v>
      </c>
      <c r="D3539" t="s">
        <v>649</v>
      </c>
      <c r="E3539" t="s">
        <v>859</v>
      </c>
      <c r="F3539" t="s">
        <v>34</v>
      </c>
      <c r="G3539" t="s">
        <v>39</v>
      </c>
      <c r="H3539" t="s">
        <v>51</v>
      </c>
      <c r="I3539" t="s">
        <v>26</v>
      </c>
      <c r="J3539" t="s">
        <v>27</v>
      </c>
      <c r="K3539" t="s">
        <v>32</v>
      </c>
      <c r="L3539" s="2">
        <v>1.1000000000000001</v>
      </c>
      <c r="M3539" s="3">
        <v>1302</v>
      </c>
      <c r="N3539">
        <v>5</v>
      </c>
      <c r="O3539">
        <v>5</v>
      </c>
      <c r="P3539">
        <v>1</v>
      </c>
      <c r="Q3539">
        <v>0</v>
      </c>
      <c r="R3539" s="4">
        <v>20.190000000000001</v>
      </c>
      <c r="S3539">
        <v>0</v>
      </c>
      <c r="T3539">
        <v>1</v>
      </c>
    </row>
    <row r="3540" spans="1:20" ht="16.5" x14ac:dyDescent="0.3">
      <c r="A3540" t="s">
        <v>3594</v>
      </c>
      <c r="B3540" s="1">
        <v>45784</v>
      </c>
      <c r="C3540">
        <v>2025</v>
      </c>
      <c r="D3540" t="s">
        <v>649</v>
      </c>
      <c r="E3540" t="s">
        <v>859</v>
      </c>
      <c r="F3540" t="s">
        <v>30</v>
      </c>
      <c r="G3540" t="s">
        <v>24</v>
      </c>
      <c r="H3540" t="s">
        <v>25</v>
      </c>
      <c r="I3540" t="s">
        <v>26</v>
      </c>
      <c r="J3540" t="s">
        <v>27</v>
      </c>
      <c r="K3540" t="s">
        <v>32</v>
      </c>
      <c r="L3540" s="2">
        <v>14.7</v>
      </c>
      <c r="M3540" s="3">
        <v>1056</v>
      </c>
      <c r="N3540">
        <v>4</v>
      </c>
      <c r="O3540">
        <v>8</v>
      </c>
      <c r="P3540">
        <v>0</v>
      </c>
      <c r="Q3540">
        <v>4</v>
      </c>
      <c r="R3540" s="4">
        <v>29.51</v>
      </c>
      <c r="S3540">
        <v>0</v>
      </c>
      <c r="T3540">
        <v>1</v>
      </c>
    </row>
    <row r="3541" spans="1:20" ht="16.5" x14ac:dyDescent="0.3">
      <c r="A3541" t="s">
        <v>3595</v>
      </c>
      <c r="B3541" s="1">
        <v>45784</v>
      </c>
      <c r="C3541">
        <v>2025</v>
      </c>
      <c r="D3541" t="s">
        <v>649</v>
      </c>
      <c r="E3541" t="s">
        <v>859</v>
      </c>
      <c r="F3541" t="s">
        <v>57</v>
      </c>
      <c r="G3541" t="s">
        <v>35</v>
      </c>
      <c r="H3541" t="s">
        <v>25</v>
      </c>
      <c r="I3541" t="s">
        <v>31</v>
      </c>
      <c r="J3541" t="s">
        <v>27</v>
      </c>
      <c r="K3541" t="s">
        <v>28</v>
      </c>
      <c r="L3541" s="2">
        <v>185.2</v>
      </c>
      <c r="M3541" s="3">
        <v>702</v>
      </c>
      <c r="N3541">
        <v>6</v>
      </c>
      <c r="O3541">
        <v>9</v>
      </c>
      <c r="P3541">
        <v>0</v>
      </c>
      <c r="Q3541">
        <v>3</v>
      </c>
      <c r="R3541" s="4">
        <v>64.3</v>
      </c>
      <c r="S3541">
        <v>0</v>
      </c>
      <c r="T3541">
        <v>1</v>
      </c>
    </row>
    <row r="3542" spans="1:20" ht="16.5" x14ac:dyDescent="0.3">
      <c r="A3542" t="s">
        <v>3596</v>
      </c>
      <c r="B3542" s="1">
        <v>45785</v>
      </c>
      <c r="C3542">
        <v>2025</v>
      </c>
      <c r="D3542" t="s">
        <v>649</v>
      </c>
      <c r="E3542" t="s">
        <v>859</v>
      </c>
      <c r="F3542" t="s">
        <v>38</v>
      </c>
      <c r="G3542" t="s">
        <v>24</v>
      </c>
      <c r="H3542" t="s">
        <v>25</v>
      </c>
      <c r="I3542" t="s">
        <v>26</v>
      </c>
      <c r="J3542" t="s">
        <v>27</v>
      </c>
      <c r="K3542" t="s">
        <v>32</v>
      </c>
      <c r="L3542" s="2">
        <v>9</v>
      </c>
      <c r="M3542" s="3">
        <v>891</v>
      </c>
      <c r="N3542">
        <v>4</v>
      </c>
      <c r="O3542">
        <v>5</v>
      </c>
      <c r="P3542">
        <v>0</v>
      </c>
      <c r="Q3542">
        <v>1</v>
      </c>
      <c r="R3542" s="4">
        <v>22.04</v>
      </c>
      <c r="S3542">
        <v>0</v>
      </c>
      <c r="T3542">
        <v>1</v>
      </c>
    </row>
    <row r="3543" spans="1:20" ht="16.5" x14ac:dyDescent="0.3">
      <c r="A3543" t="s">
        <v>3597</v>
      </c>
      <c r="B3543" s="1">
        <v>45785</v>
      </c>
      <c r="C3543">
        <v>2025</v>
      </c>
      <c r="D3543" t="s">
        <v>649</v>
      </c>
      <c r="E3543" t="s">
        <v>859</v>
      </c>
      <c r="F3543" t="s">
        <v>38</v>
      </c>
      <c r="G3543" t="s">
        <v>35</v>
      </c>
      <c r="H3543" t="s">
        <v>43</v>
      </c>
      <c r="I3543" t="s">
        <v>26</v>
      </c>
      <c r="J3543" t="s">
        <v>27</v>
      </c>
      <c r="K3543" t="s">
        <v>32</v>
      </c>
      <c r="L3543" s="2">
        <v>0.9</v>
      </c>
      <c r="M3543" s="3">
        <v>1098</v>
      </c>
      <c r="N3543">
        <v>5</v>
      </c>
      <c r="O3543">
        <v>5</v>
      </c>
      <c r="P3543">
        <v>1</v>
      </c>
      <c r="Q3543">
        <v>0</v>
      </c>
      <c r="R3543" s="4">
        <v>25.19</v>
      </c>
      <c r="S3543">
        <v>0</v>
      </c>
      <c r="T3543">
        <v>1</v>
      </c>
    </row>
    <row r="3544" spans="1:20" ht="16.5" x14ac:dyDescent="0.3">
      <c r="A3544" t="s">
        <v>3598</v>
      </c>
      <c r="B3544" s="1">
        <v>45785</v>
      </c>
      <c r="C3544">
        <v>2025</v>
      </c>
      <c r="D3544" t="s">
        <v>649</v>
      </c>
      <c r="E3544" t="s">
        <v>859</v>
      </c>
      <c r="F3544" t="s">
        <v>34</v>
      </c>
      <c r="G3544" t="s">
        <v>39</v>
      </c>
      <c r="H3544" t="s">
        <v>36</v>
      </c>
      <c r="I3544" t="s">
        <v>40</v>
      </c>
      <c r="J3544" t="s">
        <v>27</v>
      </c>
      <c r="K3544" t="s">
        <v>32</v>
      </c>
      <c r="L3544" s="2">
        <v>5.8</v>
      </c>
      <c r="M3544" s="3">
        <v>241</v>
      </c>
      <c r="N3544">
        <v>1</v>
      </c>
      <c r="O3544">
        <v>1</v>
      </c>
      <c r="P3544">
        <v>1</v>
      </c>
      <c r="Q3544">
        <v>0</v>
      </c>
      <c r="R3544" s="4">
        <v>20.399999999999999</v>
      </c>
      <c r="S3544">
        <v>0</v>
      </c>
      <c r="T3544">
        <v>1</v>
      </c>
    </row>
    <row r="3545" spans="1:20" ht="16.5" x14ac:dyDescent="0.3">
      <c r="A3545" t="s">
        <v>3599</v>
      </c>
      <c r="B3545" s="1">
        <v>45785</v>
      </c>
      <c r="C3545">
        <v>2025</v>
      </c>
      <c r="D3545" t="s">
        <v>649</v>
      </c>
      <c r="E3545" t="s">
        <v>859</v>
      </c>
      <c r="F3545" t="s">
        <v>38</v>
      </c>
      <c r="G3545" t="s">
        <v>24</v>
      </c>
      <c r="H3545" t="s">
        <v>43</v>
      </c>
      <c r="I3545" t="s">
        <v>26</v>
      </c>
      <c r="J3545" t="s">
        <v>27</v>
      </c>
      <c r="K3545" t="s">
        <v>28</v>
      </c>
      <c r="L3545" s="2">
        <v>152.9</v>
      </c>
      <c r="M3545" s="3">
        <v>1199</v>
      </c>
      <c r="N3545">
        <v>5</v>
      </c>
      <c r="O3545">
        <v>4</v>
      </c>
      <c r="P3545">
        <v>1</v>
      </c>
      <c r="Q3545">
        <v>0</v>
      </c>
      <c r="R3545" s="4">
        <v>84.75</v>
      </c>
      <c r="S3545">
        <v>0</v>
      </c>
      <c r="T3545">
        <v>1</v>
      </c>
    </row>
    <row r="3546" spans="1:20" ht="16.5" x14ac:dyDescent="0.3">
      <c r="A3546" t="s">
        <v>3600</v>
      </c>
      <c r="B3546" s="1">
        <v>45785</v>
      </c>
      <c r="C3546">
        <v>2025</v>
      </c>
      <c r="D3546" t="s">
        <v>649</v>
      </c>
      <c r="E3546" t="s">
        <v>859</v>
      </c>
      <c r="F3546" t="s">
        <v>38</v>
      </c>
      <c r="G3546" t="s">
        <v>35</v>
      </c>
      <c r="H3546" t="s">
        <v>25</v>
      </c>
      <c r="I3546" t="s">
        <v>26</v>
      </c>
      <c r="J3546" t="s">
        <v>27</v>
      </c>
      <c r="K3546" t="s">
        <v>32</v>
      </c>
      <c r="L3546" s="2">
        <v>3.6</v>
      </c>
      <c r="M3546" s="3">
        <v>816</v>
      </c>
      <c r="N3546">
        <v>4</v>
      </c>
      <c r="O3546">
        <v>3</v>
      </c>
      <c r="P3546">
        <v>1</v>
      </c>
      <c r="Q3546">
        <v>0</v>
      </c>
      <c r="R3546" s="4">
        <v>19.440000000000001</v>
      </c>
      <c r="S3546">
        <v>0</v>
      </c>
      <c r="T3546">
        <v>1</v>
      </c>
    </row>
    <row r="3547" spans="1:20" ht="16.5" x14ac:dyDescent="0.3">
      <c r="A3547" t="s">
        <v>3601</v>
      </c>
      <c r="B3547" s="1">
        <v>45786</v>
      </c>
      <c r="C3547">
        <v>2025</v>
      </c>
      <c r="D3547" t="s">
        <v>649</v>
      </c>
      <c r="E3547" t="s">
        <v>859</v>
      </c>
      <c r="F3547" t="s">
        <v>38</v>
      </c>
      <c r="G3547" t="s">
        <v>39</v>
      </c>
      <c r="H3547" t="s">
        <v>36</v>
      </c>
      <c r="I3547" t="s">
        <v>40</v>
      </c>
      <c r="J3547" t="s">
        <v>27</v>
      </c>
      <c r="K3547" t="s">
        <v>28</v>
      </c>
      <c r="L3547" s="2">
        <v>139</v>
      </c>
      <c r="M3547" s="3">
        <v>291</v>
      </c>
      <c r="N3547">
        <v>1</v>
      </c>
      <c r="O3547">
        <v>1</v>
      </c>
      <c r="P3547">
        <v>1</v>
      </c>
      <c r="Q3547">
        <v>0</v>
      </c>
      <c r="R3547" s="4">
        <v>136.86000000000001</v>
      </c>
      <c r="S3547">
        <v>0</v>
      </c>
      <c r="T3547">
        <v>1</v>
      </c>
    </row>
    <row r="3548" spans="1:20" ht="16.5" x14ac:dyDescent="0.3">
      <c r="A3548" t="s">
        <v>3602</v>
      </c>
      <c r="B3548" s="1">
        <v>45786</v>
      </c>
      <c r="C3548">
        <v>2025</v>
      </c>
      <c r="D3548" t="s">
        <v>649</v>
      </c>
      <c r="E3548" t="s">
        <v>859</v>
      </c>
      <c r="F3548" t="s">
        <v>34</v>
      </c>
      <c r="G3548" t="s">
        <v>39</v>
      </c>
      <c r="H3548" t="s">
        <v>51</v>
      </c>
      <c r="I3548" t="s">
        <v>26</v>
      </c>
      <c r="J3548" t="s">
        <v>27</v>
      </c>
      <c r="K3548" t="s">
        <v>32</v>
      </c>
      <c r="L3548" s="2">
        <v>1</v>
      </c>
      <c r="M3548" s="3">
        <v>1073</v>
      </c>
      <c r="N3548">
        <v>5</v>
      </c>
      <c r="O3548">
        <v>8</v>
      </c>
      <c r="P3548">
        <v>0</v>
      </c>
      <c r="Q3548">
        <v>3</v>
      </c>
      <c r="R3548" s="4">
        <v>16.84</v>
      </c>
      <c r="S3548">
        <v>0</v>
      </c>
      <c r="T3548">
        <v>1</v>
      </c>
    </row>
    <row r="3549" spans="1:20" ht="16.5" x14ac:dyDescent="0.3">
      <c r="A3549" t="s">
        <v>3603</v>
      </c>
      <c r="B3549" s="1">
        <v>45786</v>
      </c>
      <c r="C3549">
        <v>2025</v>
      </c>
      <c r="D3549" t="s">
        <v>649</v>
      </c>
      <c r="E3549" t="s">
        <v>859</v>
      </c>
      <c r="F3549" t="s">
        <v>34</v>
      </c>
      <c r="G3549" t="s">
        <v>39</v>
      </c>
      <c r="H3549" t="s">
        <v>25</v>
      </c>
      <c r="I3549" t="s">
        <v>40</v>
      </c>
      <c r="J3549" t="s">
        <v>41</v>
      </c>
      <c r="K3549" t="s">
        <v>28</v>
      </c>
      <c r="L3549" s="2">
        <v>123</v>
      </c>
      <c r="M3549" s="3">
        <v>1159</v>
      </c>
      <c r="N3549">
        <v>2</v>
      </c>
      <c r="O3549">
        <v>2</v>
      </c>
      <c r="P3549">
        <v>1</v>
      </c>
      <c r="Q3549">
        <v>0</v>
      </c>
      <c r="R3549" s="4">
        <v>199.62</v>
      </c>
      <c r="S3549">
        <v>0</v>
      </c>
      <c r="T3549">
        <v>1</v>
      </c>
    </row>
    <row r="3550" spans="1:20" ht="16.5" x14ac:dyDescent="0.3">
      <c r="A3550" t="s">
        <v>3604</v>
      </c>
      <c r="B3550" s="1">
        <v>45786</v>
      </c>
      <c r="C3550">
        <v>2025</v>
      </c>
      <c r="D3550" t="s">
        <v>649</v>
      </c>
      <c r="E3550" t="s">
        <v>859</v>
      </c>
      <c r="F3550" t="s">
        <v>23</v>
      </c>
      <c r="G3550" t="s">
        <v>35</v>
      </c>
      <c r="H3550" t="s">
        <v>25</v>
      </c>
      <c r="I3550" t="s">
        <v>40</v>
      </c>
      <c r="J3550" t="s">
        <v>41</v>
      </c>
      <c r="K3550" t="s">
        <v>32</v>
      </c>
      <c r="L3550" s="2">
        <v>7.7</v>
      </c>
      <c r="M3550" s="3">
        <v>714</v>
      </c>
      <c r="N3550">
        <v>2</v>
      </c>
      <c r="O3550">
        <v>2</v>
      </c>
      <c r="P3550">
        <v>1</v>
      </c>
      <c r="Q3550">
        <v>0</v>
      </c>
      <c r="R3550" s="4">
        <v>61.51</v>
      </c>
      <c r="S3550">
        <v>0</v>
      </c>
      <c r="T3550">
        <v>1</v>
      </c>
    </row>
    <row r="3551" spans="1:20" ht="16.5" x14ac:dyDescent="0.3">
      <c r="A3551" t="s">
        <v>3605</v>
      </c>
      <c r="B3551" s="1">
        <v>45786</v>
      </c>
      <c r="C3551">
        <v>2025</v>
      </c>
      <c r="D3551" t="s">
        <v>649</v>
      </c>
      <c r="E3551" t="s">
        <v>859</v>
      </c>
      <c r="F3551" t="s">
        <v>23</v>
      </c>
      <c r="G3551" t="s">
        <v>39</v>
      </c>
      <c r="H3551" t="s">
        <v>25</v>
      </c>
      <c r="I3551" t="s">
        <v>31</v>
      </c>
      <c r="J3551" t="s">
        <v>27</v>
      </c>
      <c r="K3551" t="s">
        <v>28</v>
      </c>
      <c r="L3551" s="2">
        <v>35.700000000000003</v>
      </c>
      <c r="M3551" s="3">
        <v>891</v>
      </c>
      <c r="N3551">
        <v>6</v>
      </c>
      <c r="O3551">
        <v>6</v>
      </c>
      <c r="P3551">
        <v>1</v>
      </c>
      <c r="Q3551">
        <v>0</v>
      </c>
      <c r="R3551" s="4">
        <v>27.3</v>
      </c>
      <c r="S3551">
        <v>0</v>
      </c>
      <c r="T3551">
        <v>1</v>
      </c>
    </row>
    <row r="3552" spans="1:20" ht="16.5" x14ac:dyDescent="0.3">
      <c r="A3552" t="s">
        <v>3606</v>
      </c>
      <c r="B3552" s="1">
        <v>45786</v>
      </c>
      <c r="C3552">
        <v>2025</v>
      </c>
      <c r="D3552" t="s">
        <v>649</v>
      </c>
      <c r="E3552" t="s">
        <v>859</v>
      </c>
      <c r="F3552" t="s">
        <v>34</v>
      </c>
      <c r="G3552" t="s">
        <v>35</v>
      </c>
      <c r="H3552" t="s">
        <v>25</v>
      </c>
      <c r="I3552" t="s">
        <v>26</v>
      </c>
      <c r="J3552" t="s">
        <v>27</v>
      </c>
      <c r="K3552" t="s">
        <v>32</v>
      </c>
      <c r="L3552" s="2">
        <v>12.4</v>
      </c>
      <c r="M3552" s="3">
        <v>850</v>
      </c>
      <c r="N3552">
        <v>4</v>
      </c>
      <c r="O3552">
        <v>3</v>
      </c>
      <c r="P3552">
        <v>1</v>
      </c>
      <c r="Q3552">
        <v>0</v>
      </c>
      <c r="R3552" s="4">
        <v>18.260000000000002</v>
      </c>
      <c r="S3552">
        <v>0</v>
      </c>
      <c r="T3552">
        <v>1</v>
      </c>
    </row>
    <row r="3553" spans="1:20" ht="16.5" x14ac:dyDescent="0.3">
      <c r="A3553" t="s">
        <v>3607</v>
      </c>
      <c r="B3553" s="1">
        <v>45786</v>
      </c>
      <c r="C3553">
        <v>2025</v>
      </c>
      <c r="D3553" t="s">
        <v>649</v>
      </c>
      <c r="E3553" t="s">
        <v>859</v>
      </c>
      <c r="F3553" t="s">
        <v>38</v>
      </c>
      <c r="G3553" t="s">
        <v>24</v>
      </c>
      <c r="H3553" t="s">
        <v>48</v>
      </c>
      <c r="I3553" t="s">
        <v>31</v>
      </c>
      <c r="J3553" t="s">
        <v>27</v>
      </c>
      <c r="K3553" t="s">
        <v>28</v>
      </c>
      <c r="L3553" s="2">
        <v>95.7</v>
      </c>
      <c r="M3553" s="3">
        <v>575</v>
      </c>
      <c r="N3553">
        <v>6</v>
      </c>
      <c r="O3553">
        <v>6</v>
      </c>
      <c r="P3553">
        <v>1</v>
      </c>
      <c r="Q3553">
        <v>0</v>
      </c>
      <c r="R3553" s="4">
        <v>41.14</v>
      </c>
      <c r="S3553">
        <v>0</v>
      </c>
      <c r="T3553">
        <v>1</v>
      </c>
    </row>
    <row r="3554" spans="1:20" ht="16.5" x14ac:dyDescent="0.3">
      <c r="A3554" t="s">
        <v>3608</v>
      </c>
      <c r="B3554" s="1">
        <v>45786</v>
      </c>
      <c r="C3554">
        <v>2025</v>
      </c>
      <c r="D3554" t="s">
        <v>649</v>
      </c>
      <c r="E3554" t="s">
        <v>859</v>
      </c>
      <c r="F3554" t="s">
        <v>23</v>
      </c>
      <c r="G3554" t="s">
        <v>39</v>
      </c>
      <c r="H3554" t="s">
        <v>25</v>
      </c>
      <c r="I3554" t="s">
        <v>31</v>
      </c>
      <c r="J3554" t="s">
        <v>27</v>
      </c>
      <c r="K3554" t="s">
        <v>28</v>
      </c>
      <c r="L3554" s="2">
        <v>67.5</v>
      </c>
      <c r="M3554" s="3">
        <v>917</v>
      </c>
      <c r="N3554">
        <v>6</v>
      </c>
      <c r="O3554">
        <v>5</v>
      </c>
      <c r="P3554">
        <v>1</v>
      </c>
      <c r="Q3554">
        <v>0</v>
      </c>
      <c r="R3554" s="4">
        <v>34.979999999999997</v>
      </c>
      <c r="S3554">
        <v>0</v>
      </c>
      <c r="T3554">
        <v>1</v>
      </c>
    </row>
    <row r="3555" spans="1:20" ht="16.5" x14ac:dyDescent="0.3">
      <c r="A3555" t="s">
        <v>3609</v>
      </c>
      <c r="B3555" s="1">
        <v>45786</v>
      </c>
      <c r="C3555">
        <v>2025</v>
      </c>
      <c r="D3555" t="s">
        <v>649</v>
      </c>
      <c r="E3555" t="s">
        <v>859</v>
      </c>
      <c r="F3555" t="s">
        <v>30</v>
      </c>
      <c r="G3555" t="s">
        <v>39</v>
      </c>
      <c r="H3555" t="s">
        <v>51</v>
      </c>
      <c r="I3555" t="s">
        <v>31</v>
      </c>
      <c r="J3555" t="s">
        <v>27</v>
      </c>
      <c r="K3555" t="s">
        <v>32</v>
      </c>
      <c r="L3555" s="2">
        <v>8.1999999999999993</v>
      </c>
      <c r="M3555" s="3">
        <v>1313</v>
      </c>
      <c r="N3555">
        <v>7</v>
      </c>
      <c r="O3555">
        <v>6</v>
      </c>
      <c r="P3555">
        <v>1</v>
      </c>
      <c r="Q3555">
        <v>0</v>
      </c>
      <c r="R3555" s="4">
        <v>21.49</v>
      </c>
      <c r="S3555">
        <v>0</v>
      </c>
      <c r="T3555">
        <v>1</v>
      </c>
    </row>
    <row r="3556" spans="1:20" ht="16.5" x14ac:dyDescent="0.3">
      <c r="A3556" t="s">
        <v>3610</v>
      </c>
      <c r="B3556" s="1">
        <v>45787</v>
      </c>
      <c r="C3556">
        <v>2025</v>
      </c>
      <c r="D3556" t="s">
        <v>649</v>
      </c>
      <c r="E3556" t="s">
        <v>859</v>
      </c>
      <c r="F3556" t="s">
        <v>23</v>
      </c>
      <c r="G3556" t="s">
        <v>39</v>
      </c>
      <c r="H3556" t="s">
        <v>36</v>
      </c>
      <c r="I3556" t="s">
        <v>40</v>
      </c>
      <c r="J3556" t="s">
        <v>27</v>
      </c>
      <c r="K3556" t="s">
        <v>32</v>
      </c>
      <c r="L3556" s="2">
        <v>1.3</v>
      </c>
      <c r="M3556" s="3">
        <v>273</v>
      </c>
      <c r="N3556">
        <v>1</v>
      </c>
      <c r="O3556">
        <v>1</v>
      </c>
      <c r="P3556">
        <v>1</v>
      </c>
      <c r="Q3556">
        <v>0</v>
      </c>
      <c r="R3556" s="4">
        <v>20.239999999999998</v>
      </c>
      <c r="S3556">
        <v>0</v>
      </c>
      <c r="T3556">
        <v>1</v>
      </c>
    </row>
    <row r="3557" spans="1:20" ht="16.5" x14ac:dyDescent="0.3">
      <c r="A3557" t="s">
        <v>3611</v>
      </c>
      <c r="B3557" s="1">
        <v>45787</v>
      </c>
      <c r="C3557">
        <v>2025</v>
      </c>
      <c r="D3557" t="s">
        <v>649</v>
      </c>
      <c r="E3557" t="s">
        <v>859</v>
      </c>
      <c r="F3557" t="s">
        <v>34</v>
      </c>
      <c r="G3557" t="s">
        <v>35</v>
      </c>
      <c r="H3557" t="s">
        <v>51</v>
      </c>
      <c r="I3557" t="s">
        <v>26</v>
      </c>
      <c r="J3557" t="s">
        <v>27</v>
      </c>
      <c r="K3557" t="s">
        <v>32</v>
      </c>
      <c r="L3557" s="2">
        <v>4.9000000000000004</v>
      </c>
      <c r="M3557" s="3">
        <v>1070</v>
      </c>
      <c r="N3557">
        <v>5</v>
      </c>
      <c r="O3557">
        <v>5</v>
      </c>
      <c r="P3557">
        <v>1</v>
      </c>
      <c r="Q3557">
        <v>0</v>
      </c>
      <c r="R3557" s="4">
        <v>18.010000000000002</v>
      </c>
      <c r="S3557">
        <v>0</v>
      </c>
      <c r="T3557">
        <v>1</v>
      </c>
    </row>
    <row r="3558" spans="1:20" ht="16.5" x14ac:dyDescent="0.3">
      <c r="A3558" t="s">
        <v>3612</v>
      </c>
      <c r="B3558" s="1">
        <v>45787</v>
      </c>
      <c r="C3558">
        <v>2025</v>
      </c>
      <c r="D3558" t="s">
        <v>649</v>
      </c>
      <c r="E3558" t="s">
        <v>859</v>
      </c>
      <c r="F3558" t="s">
        <v>38</v>
      </c>
      <c r="G3558" t="s">
        <v>24</v>
      </c>
      <c r="H3558" t="s">
        <v>48</v>
      </c>
      <c r="I3558" t="s">
        <v>26</v>
      </c>
      <c r="J3558" t="s">
        <v>27</v>
      </c>
      <c r="K3558" t="s">
        <v>28</v>
      </c>
      <c r="L3558" s="2">
        <v>49.6</v>
      </c>
      <c r="M3558" s="3">
        <v>561</v>
      </c>
      <c r="N3558">
        <v>4</v>
      </c>
      <c r="O3558">
        <v>3</v>
      </c>
      <c r="P3558">
        <v>1</v>
      </c>
      <c r="Q3558">
        <v>0</v>
      </c>
      <c r="R3558" s="4">
        <v>38.1</v>
      </c>
      <c r="S3558">
        <v>0</v>
      </c>
      <c r="T3558">
        <v>1</v>
      </c>
    </row>
    <row r="3559" spans="1:20" ht="16.5" x14ac:dyDescent="0.3">
      <c r="A3559" t="s">
        <v>3613</v>
      </c>
      <c r="B3559" s="1">
        <v>45787</v>
      </c>
      <c r="C3559">
        <v>2025</v>
      </c>
      <c r="D3559" t="s">
        <v>649</v>
      </c>
      <c r="E3559" t="s">
        <v>859</v>
      </c>
      <c r="F3559" t="s">
        <v>57</v>
      </c>
      <c r="G3559" t="s">
        <v>35</v>
      </c>
      <c r="H3559" t="s">
        <v>48</v>
      </c>
      <c r="I3559" t="s">
        <v>26</v>
      </c>
      <c r="J3559" t="s">
        <v>27</v>
      </c>
      <c r="K3559" t="s">
        <v>32</v>
      </c>
      <c r="L3559" s="2">
        <v>6</v>
      </c>
      <c r="M3559" s="3">
        <v>494</v>
      </c>
      <c r="N3559">
        <v>4</v>
      </c>
      <c r="O3559">
        <v>4</v>
      </c>
      <c r="P3559">
        <v>1</v>
      </c>
      <c r="Q3559">
        <v>0</v>
      </c>
      <c r="R3559" s="4">
        <v>16.489999999999998</v>
      </c>
      <c r="S3559">
        <v>0</v>
      </c>
      <c r="T3559">
        <v>1</v>
      </c>
    </row>
    <row r="3560" spans="1:20" ht="16.5" x14ac:dyDescent="0.3">
      <c r="A3560" t="s">
        <v>3614</v>
      </c>
      <c r="B3560" s="1">
        <v>45788</v>
      </c>
      <c r="C3560">
        <v>2025</v>
      </c>
      <c r="D3560" t="s">
        <v>649</v>
      </c>
      <c r="E3560" t="s">
        <v>859</v>
      </c>
      <c r="F3560" t="s">
        <v>34</v>
      </c>
      <c r="G3560" t="s">
        <v>39</v>
      </c>
      <c r="H3560" t="s">
        <v>51</v>
      </c>
      <c r="I3560" t="s">
        <v>31</v>
      </c>
      <c r="J3560" t="s">
        <v>27</v>
      </c>
      <c r="K3560" t="s">
        <v>28</v>
      </c>
      <c r="L3560" s="2">
        <v>93.9</v>
      </c>
      <c r="M3560" s="3">
        <v>1150</v>
      </c>
      <c r="N3560">
        <v>7</v>
      </c>
      <c r="O3560">
        <v>7</v>
      </c>
      <c r="P3560">
        <v>1</v>
      </c>
      <c r="Q3560">
        <v>0</v>
      </c>
      <c r="R3560" s="4">
        <v>38.72</v>
      </c>
      <c r="S3560">
        <v>0</v>
      </c>
      <c r="T3560">
        <v>1</v>
      </c>
    </row>
    <row r="3561" spans="1:20" ht="16.5" x14ac:dyDescent="0.3">
      <c r="A3561" t="s">
        <v>3615</v>
      </c>
      <c r="B3561" s="1">
        <v>45788</v>
      </c>
      <c r="C3561">
        <v>2025</v>
      </c>
      <c r="D3561" t="s">
        <v>649</v>
      </c>
      <c r="E3561" t="s">
        <v>859</v>
      </c>
      <c r="F3561" t="s">
        <v>30</v>
      </c>
      <c r="G3561" t="s">
        <v>35</v>
      </c>
      <c r="H3561" t="s">
        <v>25</v>
      </c>
      <c r="I3561" t="s">
        <v>31</v>
      </c>
      <c r="J3561" t="s">
        <v>27</v>
      </c>
      <c r="K3561" t="s">
        <v>32</v>
      </c>
      <c r="L3561" s="2">
        <v>1.5</v>
      </c>
      <c r="M3561" s="3">
        <v>890</v>
      </c>
      <c r="N3561">
        <v>6</v>
      </c>
      <c r="O3561">
        <v>5</v>
      </c>
      <c r="P3561">
        <v>1</v>
      </c>
      <c r="Q3561">
        <v>0</v>
      </c>
      <c r="R3561" s="4">
        <v>12.83</v>
      </c>
      <c r="S3561">
        <v>0</v>
      </c>
      <c r="T3561">
        <v>1</v>
      </c>
    </row>
    <row r="3562" spans="1:20" ht="16.5" x14ac:dyDescent="0.3">
      <c r="A3562" t="s">
        <v>3616</v>
      </c>
      <c r="B3562" s="1">
        <v>45788</v>
      </c>
      <c r="C3562">
        <v>2025</v>
      </c>
      <c r="D3562" t="s">
        <v>649</v>
      </c>
      <c r="E3562" t="s">
        <v>859</v>
      </c>
      <c r="F3562" t="s">
        <v>34</v>
      </c>
      <c r="G3562" t="s">
        <v>35</v>
      </c>
      <c r="H3562" t="s">
        <v>43</v>
      </c>
      <c r="I3562" t="s">
        <v>26</v>
      </c>
      <c r="J3562" t="s">
        <v>27</v>
      </c>
      <c r="K3562" t="s">
        <v>28</v>
      </c>
      <c r="L3562" s="2">
        <v>69</v>
      </c>
      <c r="M3562" s="3">
        <v>1214</v>
      </c>
      <c r="N3562">
        <v>5</v>
      </c>
      <c r="O3562">
        <v>4</v>
      </c>
      <c r="P3562">
        <v>1</v>
      </c>
      <c r="Q3562">
        <v>0</v>
      </c>
      <c r="R3562" s="4">
        <v>43.25</v>
      </c>
      <c r="S3562">
        <v>0</v>
      </c>
      <c r="T3562">
        <v>1</v>
      </c>
    </row>
    <row r="3563" spans="1:20" ht="16.5" x14ac:dyDescent="0.3">
      <c r="A3563" t="s">
        <v>3617</v>
      </c>
      <c r="B3563" s="1">
        <v>45788</v>
      </c>
      <c r="C3563">
        <v>2025</v>
      </c>
      <c r="D3563" t="s">
        <v>649</v>
      </c>
      <c r="E3563" t="s">
        <v>859</v>
      </c>
      <c r="F3563" t="s">
        <v>23</v>
      </c>
      <c r="G3563" t="s">
        <v>35</v>
      </c>
      <c r="H3563" t="s">
        <v>48</v>
      </c>
      <c r="I3563" t="s">
        <v>31</v>
      </c>
      <c r="J3563" t="s">
        <v>27</v>
      </c>
      <c r="K3563" t="s">
        <v>28</v>
      </c>
      <c r="L3563" s="2">
        <v>154.6</v>
      </c>
      <c r="M3563" s="3">
        <v>475</v>
      </c>
      <c r="N3563">
        <v>6</v>
      </c>
      <c r="O3563">
        <v>6</v>
      </c>
      <c r="P3563">
        <v>1</v>
      </c>
      <c r="Q3563">
        <v>0</v>
      </c>
      <c r="R3563" s="4">
        <v>53.29</v>
      </c>
      <c r="S3563">
        <v>0</v>
      </c>
      <c r="T3563">
        <v>1</v>
      </c>
    </row>
    <row r="3564" spans="1:20" ht="16.5" x14ac:dyDescent="0.3">
      <c r="A3564" t="s">
        <v>3618</v>
      </c>
      <c r="B3564" s="1">
        <v>45788</v>
      </c>
      <c r="C3564">
        <v>2025</v>
      </c>
      <c r="D3564" t="s">
        <v>649</v>
      </c>
      <c r="E3564" t="s">
        <v>859</v>
      </c>
      <c r="F3564" t="s">
        <v>34</v>
      </c>
      <c r="G3564" t="s">
        <v>35</v>
      </c>
      <c r="H3564" t="s">
        <v>48</v>
      </c>
      <c r="I3564" t="s">
        <v>26</v>
      </c>
      <c r="J3564" t="s">
        <v>27</v>
      </c>
      <c r="K3564" t="s">
        <v>32</v>
      </c>
      <c r="L3564" s="2">
        <v>1.9</v>
      </c>
      <c r="M3564" s="3">
        <v>593</v>
      </c>
      <c r="N3564">
        <v>4</v>
      </c>
      <c r="O3564">
        <v>6</v>
      </c>
      <c r="P3564">
        <v>0</v>
      </c>
      <c r="Q3564">
        <v>2</v>
      </c>
      <c r="R3564" s="4">
        <v>12.97</v>
      </c>
      <c r="S3564">
        <v>0</v>
      </c>
      <c r="T3564">
        <v>1</v>
      </c>
    </row>
    <row r="3565" spans="1:20" ht="16.5" x14ac:dyDescent="0.3">
      <c r="A3565" t="s">
        <v>3619</v>
      </c>
      <c r="B3565" s="1">
        <v>45789</v>
      </c>
      <c r="C3565">
        <v>2025</v>
      </c>
      <c r="D3565" t="s">
        <v>649</v>
      </c>
      <c r="E3565" t="s">
        <v>859</v>
      </c>
      <c r="F3565" t="s">
        <v>30</v>
      </c>
      <c r="G3565" t="s">
        <v>35</v>
      </c>
      <c r="H3565" t="s">
        <v>43</v>
      </c>
      <c r="I3565" t="s">
        <v>31</v>
      </c>
      <c r="J3565" t="s">
        <v>27</v>
      </c>
      <c r="K3565" t="s">
        <v>32</v>
      </c>
      <c r="L3565" s="2">
        <v>6</v>
      </c>
      <c r="M3565" s="3">
        <v>1304</v>
      </c>
      <c r="N3565">
        <v>7</v>
      </c>
      <c r="O3565">
        <v>7</v>
      </c>
      <c r="P3565">
        <v>1</v>
      </c>
      <c r="Q3565">
        <v>0</v>
      </c>
      <c r="R3565" s="4">
        <v>18.45</v>
      </c>
      <c r="S3565">
        <v>0</v>
      </c>
      <c r="T3565">
        <v>1</v>
      </c>
    </row>
    <row r="3566" spans="1:20" ht="16.5" x14ac:dyDescent="0.3">
      <c r="A3566" t="s">
        <v>3620</v>
      </c>
      <c r="B3566" s="1">
        <v>45789</v>
      </c>
      <c r="C3566">
        <v>2025</v>
      </c>
      <c r="D3566" t="s">
        <v>649</v>
      </c>
      <c r="E3566" t="s">
        <v>859</v>
      </c>
      <c r="F3566" t="s">
        <v>38</v>
      </c>
      <c r="G3566" t="s">
        <v>24</v>
      </c>
      <c r="H3566" t="s">
        <v>43</v>
      </c>
      <c r="I3566" t="s">
        <v>26</v>
      </c>
      <c r="J3566" t="s">
        <v>27</v>
      </c>
      <c r="K3566" t="s">
        <v>28</v>
      </c>
      <c r="L3566" s="2">
        <v>211.1</v>
      </c>
      <c r="M3566" s="3">
        <v>1090</v>
      </c>
      <c r="N3566">
        <v>5</v>
      </c>
      <c r="O3566">
        <v>4</v>
      </c>
      <c r="P3566">
        <v>1</v>
      </c>
      <c r="Q3566">
        <v>0</v>
      </c>
      <c r="R3566" s="4">
        <v>130.72</v>
      </c>
      <c r="S3566">
        <v>0</v>
      </c>
      <c r="T3566">
        <v>1</v>
      </c>
    </row>
    <row r="3567" spans="1:20" ht="16.5" x14ac:dyDescent="0.3">
      <c r="A3567" t="s">
        <v>3621</v>
      </c>
      <c r="B3567" s="1">
        <v>45789</v>
      </c>
      <c r="C3567">
        <v>2025</v>
      </c>
      <c r="D3567" t="s">
        <v>649</v>
      </c>
      <c r="E3567" t="s">
        <v>859</v>
      </c>
      <c r="F3567" t="s">
        <v>34</v>
      </c>
      <c r="G3567" t="s">
        <v>35</v>
      </c>
      <c r="H3567" t="s">
        <v>51</v>
      </c>
      <c r="I3567" t="s">
        <v>31</v>
      </c>
      <c r="J3567" t="s">
        <v>27</v>
      </c>
      <c r="K3567" t="s">
        <v>32</v>
      </c>
      <c r="L3567" s="2">
        <v>3.7</v>
      </c>
      <c r="M3567" s="3">
        <v>1022</v>
      </c>
      <c r="N3567">
        <v>7</v>
      </c>
      <c r="O3567">
        <v>7</v>
      </c>
      <c r="P3567">
        <v>1</v>
      </c>
      <c r="Q3567">
        <v>0</v>
      </c>
      <c r="R3567" s="4">
        <v>11.7</v>
      </c>
      <c r="S3567">
        <v>0</v>
      </c>
      <c r="T3567">
        <v>1</v>
      </c>
    </row>
    <row r="3568" spans="1:20" ht="16.5" x14ac:dyDescent="0.3">
      <c r="A3568" t="s">
        <v>3622</v>
      </c>
      <c r="B3568" s="1">
        <v>45789</v>
      </c>
      <c r="C3568">
        <v>2025</v>
      </c>
      <c r="D3568" t="s">
        <v>649</v>
      </c>
      <c r="E3568" t="s">
        <v>859</v>
      </c>
      <c r="F3568" t="s">
        <v>23</v>
      </c>
      <c r="G3568" t="s">
        <v>35</v>
      </c>
      <c r="H3568" t="s">
        <v>51</v>
      </c>
      <c r="I3568" t="s">
        <v>26</v>
      </c>
      <c r="J3568" t="s">
        <v>27</v>
      </c>
      <c r="K3568" t="s">
        <v>32</v>
      </c>
      <c r="L3568" s="2">
        <v>4.8</v>
      </c>
      <c r="M3568" s="3">
        <v>976</v>
      </c>
      <c r="N3568">
        <v>5</v>
      </c>
      <c r="O3568">
        <v>5</v>
      </c>
      <c r="P3568">
        <v>1</v>
      </c>
      <c r="Q3568">
        <v>0</v>
      </c>
      <c r="R3568" s="4">
        <v>20.79</v>
      </c>
      <c r="S3568">
        <v>0</v>
      </c>
      <c r="T3568">
        <v>1</v>
      </c>
    </row>
    <row r="3569" spans="1:20" ht="16.5" x14ac:dyDescent="0.3">
      <c r="A3569" t="s">
        <v>3623</v>
      </c>
      <c r="B3569" s="1">
        <v>45789</v>
      </c>
      <c r="C3569">
        <v>2025</v>
      </c>
      <c r="D3569" t="s">
        <v>649</v>
      </c>
      <c r="E3569" t="s">
        <v>859</v>
      </c>
      <c r="F3569" t="s">
        <v>23</v>
      </c>
      <c r="G3569" t="s">
        <v>39</v>
      </c>
      <c r="H3569" t="s">
        <v>48</v>
      </c>
      <c r="I3569" t="s">
        <v>31</v>
      </c>
      <c r="J3569" t="s">
        <v>27</v>
      </c>
      <c r="K3569" t="s">
        <v>28</v>
      </c>
      <c r="L3569" s="2">
        <v>364.1</v>
      </c>
      <c r="M3569" s="3">
        <v>580</v>
      </c>
      <c r="N3569">
        <v>6</v>
      </c>
      <c r="O3569">
        <v>6</v>
      </c>
      <c r="P3569">
        <v>1</v>
      </c>
      <c r="Q3569">
        <v>0</v>
      </c>
      <c r="R3569" s="4">
        <v>106.01</v>
      </c>
      <c r="S3569">
        <v>0</v>
      </c>
      <c r="T3569">
        <v>1</v>
      </c>
    </row>
    <row r="3570" spans="1:20" ht="16.5" x14ac:dyDescent="0.3">
      <c r="A3570" t="s">
        <v>3624</v>
      </c>
      <c r="B3570" s="1">
        <v>45789</v>
      </c>
      <c r="C3570">
        <v>2025</v>
      </c>
      <c r="D3570" t="s">
        <v>649</v>
      </c>
      <c r="E3570" t="s">
        <v>859</v>
      </c>
      <c r="F3570" t="s">
        <v>23</v>
      </c>
      <c r="G3570" t="s">
        <v>35</v>
      </c>
      <c r="H3570" t="s">
        <v>36</v>
      </c>
      <c r="I3570" t="s">
        <v>26</v>
      </c>
      <c r="J3570" t="s">
        <v>27</v>
      </c>
      <c r="K3570" t="s">
        <v>28</v>
      </c>
      <c r="L3570" s="2">
        <v>204.6</v>
      </c>
      <c r="M3570" s="3">
        <v>259</v>
      </c>
      <c r="N3570">
        <v>3</v>
      </c>
      <c r="O3570">
        <v>3</v>
      </c>
      <c r="P3570">
        <v>1</v>
      </c>
      <c r="Q3570">
        <v>0</v>
      </c>
      <c r="R3570" s="4">
        <v>82.69</v>
      </c>
      <c r="S3570">
        <v>0</v>
      </c>
      <c r="T3570">
        <v>1</v>
      </c>
    </row>
    <row r="3571" spans="1:20" ht="16.5" x14ac:dyDescent="0.3">
      <c r="A3571" t="s">
        <v>3625</v>
      </c>
      <c r="B3571" s="1">
        <v>45789</v>
      </c>
      <c r="C3571">
        <v>2025</v>
      </c>
      <c r="D3571" t="s">
        <v>649</v>
      </c>
      <c r="E3571" t="s">
        <v>859</v>
      </c>
      <c r="F3571" t="s">
        <v>57</v>
      </c>
      <c r="G3571" t="s">
        <v>35</v>
      </c>
      <c r="H3571" t="s">
        <v>51</v>
      </c>
      <c r="I3571" t="s">
        <v>26</v>
      </c>
      <c r="J3571" t="s">
        <v>27</v>
      </c>
      <c r="K3571" t="s">
        <v>32</v>
      </c>
      <c r="L3571" s="2">
        <v>4.5999999999999996</v>
      </c>
      <c r="M3571" s="3">
        <v>1197</v>
      </c>
      <c r="N3571">
        <v>5</v>
      </c>
      <c r="O3571">
        <v>6</v>
      </c>
      <c r="P3571">
        <v>0</v>
      </c>
      <c r="Q3571">
        <v>1</v>
      </c>
      <c r="R3571" s="4">
        <v>24.12</v>
      </c>
      <c r="S3571">
        <v>0</v>
      </c>
      <c r="T3571">
        <v>1</v>
      </c>
    </row>
    <row r="3572" spans="1:20" ht="16.5" x14ac:dyDescent="0.3">
      <c r="A3572" t="s">
        <v>3626</v>
      </c>
      <c r="B3572" s="1">
        <v>45789</v>
      </c>
      <c r="C3572">
        <v>2025</v>
      </c>
      <c r="D3572" t="s">
        <v>649</v>
      </c>
      <c r="E3572" t="s">
        <v>859</v>
      </c>
      <c r="F3572" t="s">
        <v>34</v>
      </c>
      <c r="G3572" t="s">
        <v>39</v>
      </c>
      <c r="H3572" t="s">
        <v>36</v>
      </c>
      <c r="I3572" t="s">
        <v>31</v>
      </c>
      <c r="J3572" t="s">
        <v>27</v>
      </c>
      <c r="K3572" t="s">
        <v>32</v>
      </c>
      <c r="L3572" s="2">
        <v>15.7</v>
      </c>
      <c r="M3572" s="3">
        <v>239</v>
      </c>
      <c r="N3572">
        <v>5</v>
      </c>
      <c r="O3572">
        <v>5</v>
      </c>
      <c r="P3572">
        <v>1</v>
      </c>
      <c r="Q3572">
        <v>0</v>
      </c>
      <c r="R3572" s="4">
        <v>10.67</v>
      </c>
      <c r="S3572">
        <v>0</v>
      </c>
      <c r="T3572">
        <v>1</v>
      </c>
    </row>
    <row r="3573" spans="1:20" ht="16.5" x14ac:dyDescent="0.3">
      <c r="A3573" t="s">
        <v>3627</v>
      </c>
      <c r="B3573" s="1">
        <v>45790</v>
      </c>
      <c r="C3573">
        <v>2025</v>
      </c>
      <c r="D3573" t="s">
        <v>649</v>
      </c>
      <c r="E3573" t="s">
        <v>859</v>
      </c>
      <c r="F3573" t="s">
        <v>30</v>
      </c>
      <c r="G3573" t="s">
        <v>24</v>
      </c>
      <c r="H3573" t="s">
        <v>43</v>
      </c>
      <c r="I3573" t="s">
        <v>26</v>
      </c>
      <c r="J3573" t="s">
        <v>27</v>
      </c>
      <c r="K3573" t="s">
        <v>32</v>
      </c>
      <c r="L3573" s="2">
        <v>6</v>
      </c>
      <c r="M3573" s="3">
        <v>937</v>
      </c>
      <c r="N3573">
        <v>5</v>
      </c>
      <c r="O3573">
        <v>5</v>
      </c>
      <c r="P3573">
        <v>1</v>
      </c>
      <c r="Q3573">
        <v>0</v>
      </c>
      <c r="R3573" s="4">
        <v>22.98</v>
      </c>
      <c r="S3573">
        <v>0</v>
      </c>
      <c r="T3573">
        <v>1</v>
      </c>
    </row>
    <row r="3574" spans="1:20" ht="16.5" x14ac:dyDescent="0.3">
      <c r="A3574" t="s">
        <v>3628</v>
      </c>
      <c r="B3574" s="1">
        <v>45790</v>
      </c>
      <c r="C3574">
        <v>2025</v>
      </c>
      <c r="D3574" t="s">
        <v>649</v>
      </c>
      <c r="E3574" t="s">
        <v>859</v>
      </c>
      <c r="F3574" t="s">
        <v>57</v>
      </c>
      <c r="G3574" t="s">
        <v>39</v>
      </c>
      <c r="H3574" t="s">
        <v>48</v>
      </c>
      <c r="I3574" t="s">
        <v>31</v>
      </c>
      <c r="J3574" t="s">
        <v>27</v>
      </c>
      <c r="K3574" t="s">
        <v>32</v>
      </c>
      <c r="L3574" s="2">
        <v>2.9</v>
      </c>
      <c r="M3574" s="3">
        <v>475</v>
      </c>
      <c r="N3574">
        <v>6</v>
      </c>
      <c r="O3574">
        <v>6</v>
      </c>
      <c r="P3574">
        <v>1</v>
      </c>
      <c r="Q3574">
        <v>0</v>
      </c>
      <c r="R3574" s="4">
        <v>9.66</v>
      </c>
      <c r="S3574">
        <v>0</v>
      </c>
      <c r="T3574">
        <v>1</v>
      </c>
    </row>
    <row r="3575" spans="1:20" ht="16.5" x14ac:dyDescent="0.3">
      <c r="A3575" t="s">
        <v>3629</v>
      </c>
      <c r="B3575" s="1">
        <v>45790</v>
      </c>
      <c r="C3575">
        <v>2025</v>
      </c>
      <c r="D3575" t="s">
        <v>649</v>
      </c>
      <c r="E3575" t="s">
        <v>859</v>
      </c>
      <c r="F3575" t="s">
        <v>34</v>
      </c>
      <c r="G3575" t="s">
        <v>35</v>
      </c>
      <c r="H3575" t="s">
        <v>25</v>
      </c>
      <c r="I3575" t="s">
        <v>26</v>
      </c>
      <c r="J3575" t="s">
        <v>27</v>
      </c>
      <c r="K3575" t="s">
        <v>32</v>
      </c>
      <c r="L3575" s="2">
        <v>1.3</v>
      </c>
      <c r="M3575" s="3">
        <v>935</v>
      </c>
      <c r="N3575">
        <v>4</v>
      </c>
      <c r="O3575">
        <v>4</v>
      </c>
      <c r="P3575">
        <v>1</v>
      </c>
      <c r="Q3575">
        <v>0</v>
      </c>
      <c r="R3575" s="4">
        <v>15.25</v>
      </c>
      <c r="S3575">
        <v>0</v>
      </c>
      <c r="T3575">
        <v>1</v>
      </c>
    </row>
    <row r="3576" spans="1:20" ht="16.5" x14ac:dyDescent="0.3">
      <c r="A3576" t="s">
        <v>3630</v>
      </c>
      <c r="B3576" s="1">
        <v>45790</v>
      </c>
      <c r="C3576">
        <v>2025</v>
      </c>
      <c r="D3576" t="s">
        <v>649</v>
      </c>
      <c r="E3576" t="s">
        <v>859</v>
      </c>
      <c r="F3576" t="s">
        <v>38</v>
      </c>
      <c r="G3576" t="s">
        <v>24</v>
      </c>
      <c r="H3576" t="s">
        <v>48</v>
      </c>
      <c r="I3576" t="s">
        <v>31</v>
      </c>
      <c r="J3576" t="s">
        <v>27</v>
      </c>
      <c r="K3576" t="s">
        <v>32</v>
      </c>
      <c r="L3576" s="2">
        <v>8.9</v>
      </c>
      <c r="M3576" s="3">
        <v>397</v>
      </c>
      <c r="N3576">
        <v>6</v>
      </c>
      <c r="O3576">
        <v>5</v>
      </c>
      <c r="P3576">
        <v>1</v>
      </c>
      <c r="Q3576">
        <v>0</v>
      </c>
      <c r="R3576" s="4">
        <v>12.54</v>
      </c>
      <c r="S3576">
        <v>0</v>
      </c>
      <c r="T3576">
        <v>1</v>
      </c>
    </row>
    <row r="3577" spans="1:20" ht="16.5" x14ac:dyDescent="0.3">
      <c r="A3577" t="s">
        <v>3631</v>
      </c>
      <c r="B3577" s="1">
        <v>45790</v>
      </c>
      <c r="C3577">
        <v>2025</v>
      </c>
      <c r="D3577" t="s">
        <v>649</v>
      </c>
      <c r="E3577" t="s">
        <v>859</v>
      </c>
      <c r="F3577" t="s">
        <v>57</v>
      </c>
      <c r="G3577" t="s">
        <v>24</v>
      </c>
      <c r="H3577" t="s">
        <v>43</v>
      </c>
      <c r="I3577" t="s">
        <v>40</v>
      </c>
      <c r="J3577" t="s">
        <v>41</v>
      </c>
      <c r="K3577" t="s">
        <v>32</v>
      </c>
      <c r="L3577" s="2">
        <v>8.6</v>
      </c>
      <c r="M3577" s="3">
        <v>968</v>
      </c>
      <c r="N3577">
        <v>3</v>
      </c>
      <c r="O3577">
        <v>6</v>
      </c>
      <c r="P3577">
        <v>0</v>
      </c>
      <c r="Q3577">
        <v>3</v>
      </c>
      <c r="R3577" s="4">
        <v>70.41</v>
      </c>
      <c r="S3577">
        <v>0</v>
      </c>
      <c r="T3577">
        <v>1</v>
      </c>
    </row>
    <row r="3578" spans="1:20" ht="16.5" x14ac:dyDescent="0.3">
      <c r="A3578" t="s">
        <v>3632</v>
      </c>
      <c r="B3578" s="1">
        <v>45791</v>
      </c>
      <c r="C3578">
        <v>2025</v>
      </c>
      <c r="D3578" t="s">
        <v>649</v>
      </c>
      <c r="E3578" t="s">
        <v>859</v>
      </c>
      <c r="F3578" t="s">
        <v>38</v>
      </c>
      <c r="G3578" t="s">
        <v>24</v>
      </c>
      <c r="H3578" t="s">
        <v>48</v>
      </c>
      <c r="I3578" t="s">
        <v>26</v>
      </c>
      <c r="J3578" t="s">
        <v>27</v>
      </c>
      <c r="K3578" t="s">
        <v>32</v>
      </c>
      <c r="L3578" s="2">
        <v>2.8</v>
      </c>
      <c r="M3578" s="3">
        <v>428</v>
      </c>
      <c r="N3578">
        <v>4</v>
      </c>
      <c r="O3578">
        <v>4</v>
      </c>
      <c r="P3578">
        <v>1</v>
      </c>
      <c r="Q3578">
        <v>0</v>
      </c>
      <c r="R3578" s="4">
        <v>15.02</v>
      </c>
      <c r="S3578">
        <v>0</v>
      </c>
      <c r="T3578">
        <v>1</v>
      </c>
    </row>
    <row r="3579" spans="1:20" ht="16.5" x14ac:dyDescent="0.3">
      <c r="A3579" t="s">
        <v>3633</v>
      </c>
      <c r="B3579" s="1">
        <v>45791</v>
      </c>
      <c r="C3579">
        <v>2025</v>
      </c>
      <c r="D3579" t="s">
        <v>649</v>
      </c>
      <c r="E3579" t="s">
        <v>859</v>
      </c>
      <c r="F3579" t="s">
        <v>38</v>
      </c>
      <c r="G3579" t="s">
        <v>39</v>
      </c>
      <c r="H3579" t="s">
        <v>51</v>
      </c>
      <c r="I3579" t="s">
        <v>26</v>
      </c>
      <c r="J3579" t="s">
        <v>27</v>
      </c>
      <c r="K3579" t="s">
        <v>32</v>
      </c>
      <c r="L3579" s="2">
        <v>9.8000000000000007</v>
      </c>
      <c r="M3579" s="3">
        <v>1143</v>
      </c>
      <c r="N3579">
        <v>5</v>
      </c>
      <c r="O3579">
        <v>5</v>
      </c>
      <c r="P3579">
        <v>1</v>
      </c>
      <c r="Q3579">
        <v>0</v>
      </c>
      <c r="R3579" s="4">
        <v>31.64</v>
      </c>
      <c r="S3579">
        <v>0</v>
      </c>
      <c r="T3579">
        <v>1</v>
      </c>
    </row>
    <row r="3580" spans="1:20" ht="16.5" x14ac:dyDescent="0.3">
      <c r="A3580" t="s">
        <v>3634</v>
      </c>
      <c r="B3580" s="1">
        <v>45791</v>
      </c>
      <c r="C3580">
        <v>2025</v>
      </c>
      <c r="D3580" t="s">
        <v>649</v>
      </c>
      <c r="E3580" t="s">
        <v>859</v>
      </c>
      <c r="F3580" t="s">
        <v>38</v>
      </c>
      <c r="G3580" t="s">
        <v>35</v>
      </c>
      <c r="H3580" t="s">
        <v>48</v>
      </c>
      <c r="I3580" t="s">
        <v>26</v>
      </c>
      <c r="J3580" t="s">
        <v>27</v>
      </c>
      <c r="K3580" t="s">
        <v>32</v>
      </c>
      <c r="L3580" s="2">
        <v>2.5</v>
      </c>
      <c r="M3580" s="3">
        <v>475</v>
      </c>
      <c r="N3580">
        <v>4</v>
      </c>
      <c r="O3580">
        <v>3</v>
      </c>
      <c r="P3580">
        <v>1</v>
      </c>
      <c r="Q3580">
        <v>0</v>
      </c>
      <c r="R3580" s="4">
        <v>15.61</v>
      </c>
      <c r="S3580">
        <v>0</v>
      </c>
      <c r="T3580">
        <v>1</v>
      </c>
    </row>
    <row r="3581" spans="1:20" ht="16.5" x14ac:dyDescent="0.3">
      <c r="A3581" t="s">
        <v>3635</v>
      </c>
      <c r="B3581" s="1">
        <v>45791</v>
      </c>
      <c r="C3581">
        <v>2025</v>
      </c>
      <c r="D3581" t="s">
        <v>649</v>
      </c>
      <c r="E3581" t="s">
        <v>859</v>
      </c>
      <c r="F3581" t="s">
        <v>23</v>
      </c>
      <c r="G3581" t="s">
        <v>24</v>
      </c>
      <c r="H3581" t="s">
        <v>48</v>
      </c>
      <c r="I3581" t="s">
        <v>26</v>
      </c>
      <c r="J3581" t="s">
        <v>27</v>
      </c>
      <c r="K3581" t="s">
        <v>32</v>
      </c>
      <c r="L3581" s="2">
        <v>9.5</v>
      </c>
      <c r="M3581" s="3">
        <v>429</v>
      </c>
      <c r="N3581">
        <v>4</v>
      </c>
      <c r="O3581">
        <v>4</v>
      </c>
      <c r="P3581">
        <v>1</v>
      </c>
      <c r="Q3581">
        <v>0</v>
      </c>
      <c r="R3581" s="4">
        <v>17.64</v>
      </c>
      <c r="S3581">
        <v>0</v>
      </c>
      <c r="T3581">
        <v>1</v>
      </c>
    </row>
    <row r="3582" spans="1:20" ht="16.5" x14ac:dyDescent="0.3">
      <c r="A3582" t="s">
        <v>3636</v>
      </c>
      <c r="B3582" s="1">
        <v>45791</v>
      </c>
      <c r="C3582">
        <v>2025</v>
      </c>
      <c r="D3582" t="s">
        <v>649</v>
      </c>
      <c r="E3582" t="s">
        <v>859</v>
      </c>
      <c r="F3582" t="s">
        <v>23</v>
      </c>
      <c r="G3582" t="s">
        <v>24</v>
      </c>
      <c r="H3582" t="s">
        <v>36</v>
      </c>
      <c r="I3582" t="s">
        <v>26</v>
      </c>
      <c r="J3582" t="s">
        <v>27</v>
      </c>
      <c r="K3582" t="s">
        <v>28</v>
      </c>
      <c r="L3582" s="2">
        <v>77.900000000000006</v>
      </c>
      <c r="M3582" s="3">
        <v>233</v>
      </c>
      <c r="N3582">
        <v>3</v>
      </c>
      <c r="O3582">
        <v>3</v>
      </c>
      <c r="P3582">
        <v>1</v>
      </c>
      <c r="Q3582">
        <v>0</v>
      </c>
      <c r="R3582" s="4">
        <v>44.64</v>
      </c>
      <c r="S3582">
        <v>0</v>
      </c>
      <c r="T3582">
        <v>1</v>
      </c>
    </row>
    <row r="3583" spans="1:20" ht="16.5" x14ac:dyDescent="0.3">
      <c r="A3583" t="s">
        <v>3637</v>
      </c>
      <c r="B3583" s="1">
        <v>45791</v>
      </c>
      <c r="C3583">
        <v>2025</v>
      </c>
      <c r="D3583" t="s">
        <v>649</v>
      </c>
      <c r="E3583" t="s">
        <v>859</v>
      </c>
      <c r="F3583" t="s">
        <v>38</v>
      </c>
      <c r="G3583" t="s">
        <v>24</v>
      </c>
      <c r="H3583" t="s">
        <v>48</v>
      </c>
      <c r="I3583" t="s">
        <v>31</v>
      </c>
      <c r="J3583" t="s">
        <v>27</v>
      </c>
      <c r="K3583" t="s">
        <v>32</v>
      </c>
      <c r="L3583" s="2">
        <v>9.9</v>
      </c>
      <c r="M3583" s="3">
        <v>470</v>
      </c>
      <c r="N3583">
        <v>6</v>
      </c>
      <c r="O3583">
        <v>6</v>
      </c>
      <c r="P3583">
        <v>1</v>
      </c>
      <c r="Q3583">
        <v>0</v>
      </c>
      <c r="R3583" s="4">
        <v>13.64</v>
      </c>
      <c r="S3583">
        <v>0</v>
      </c>
      <c r="T3583">
        <v>1</v>
      </c>
    </row>
    <row r="3584" spans="1:20" ht="16.5" x14ac:dyDescent="0.3">
      <c r="A3584" t="s">
        <v>3638</v>
      </c>
      <c r="B3584" s="1">
        <v>45791</v>
      </c>
      <c r="C3584">
        <v>2025</v>
      </c>
      <c r="D3584" t="s">
        <v>649</v>
      </c>
      <c r="E3584" t="s">
        <v>859</v>
      </c>
      <c r="F3584" t="s">
        <v>57</v>
      </c>
      <c r="G3584" t="s">
        <v>35</v>
      </c>
      <c r="H3584" t="s">
        <v>48</v>
      </c>
      <c r="I3584" t="s">
        <v>40</v>
      </c>
      <c r="J3584" t="s">
        <v>27</v>
      </c>
      <c r="K3584" t="s">
        <v>28</v>
      </c>
      <c r="L3584" s="2">
        <v>257.89999999999998</v>
      </c>
      <c r="M3584" s="3">
        <v>461</v>
      </c>
      <c r="N3584">
        <v>2</v>
      </c>
      <c r="O3584">
        <v>2</v>
      </c>
      <c r="P3584">
        <v>1</v>
      </c>
      <c r="Q3584">
        <v>0</v>
      </c>
      <c r="R3584" s="4">
        <v>245.03</v>
      </c>
      <c r="S3584">
        <v>0</v>
      </c>
      <c r="T3584">
        <v>1</v>
      </c>
    </row>
    <row r="3585" spans="1:20" ht="16.5" x14ac:dyDescent="0.3">
      <c r="A3585" t="s">
        <v>3639</v>
      </c>
      <c r="B3585" s="1">
        <v>45791</v>
      </c>
      <c r="C3585">
        <v>2025</v>
      </c>
      <c r="D3585" t="s">
        <v>649</v>
      </c>
      <c r="E3585" t="s">
        <v>859</v>
      </c>
      <c r="F3585" t="s">
        <v>23</v>
      </c>
      <c r="G3585" t="s">
        <v>35</v>
      </c>
      <c r="H3585" t="s">
        <v>48</v>
      </c>
      <c r="I3585" t="s">
        <v>26</v>
      </c>
      <c r="J3585" t="s">
        <v>27</v>
      </c>
      <c r="K3585" t="s">
        <v>28</v>
      </c>
      <c r="L3585" s="2">
        <v>118.8</v>
      </c>
      <c r="M3585" s="3">
        <v>448</v>
      </c>
      <c r="N3585">
        <v>4</v>
      </c>
      <c r="O3585">
        <v>4</v>
      </c>
      <c r="P3585">
        <v>1</v>
      </c>
      <c r="Q3585">
        <v>0</v>
      </c>
      <c r="R3585" s="4">
        <v>65.260000000000005</v>
      </c>
      <c r="S3585">
        <v>0</v>
      </c>
      <c r="T3585">
        <v>1</v>
      </c>
    </row>
    <row r="3586" spans="1:20" ht="16.5" x14ac:dyDescent="0.3">
      <c r="A3586" t="s">
        <v>3640</v>
      </c>
      <c r="B3586" s="1">
        <v>45791</v>
      </c>
      <c r="C3586">
        <v>2025</v>
      </c>
      <c r="D3586" t="s">
        <v>649</v>
      </c>
      <c r="E3586" t="s">
        <v>859</v>
      </c>
      <c r="F3586" t="s">
        <v>57</v>
      </c>
      <c r="G3586" t="s">
        <v>39</v>
      </c>
      <c r="H3586" t="s">
        <v>25</v>
      </c>
      <c r="I3586" t="s">
        <v>40</v>
      </c>
      <c r="J3586" t="s">
        <v>41</v>
      </c>
      <c r="K3586" t="s">
        <v>32</v>
      </c>
      <c r="L3586" s="2">
        <v>3.5</v>
      </c>
      <c r="M3586" s="3">
        <v>933</v>
      </c>
      <c r="N3586">
        <v>2</v>
      </c>
      <c r="O3586">
        <v>2</v>
      </c>
      <c r="P3586">
        <v>1</v>
      </c>
      <c r="Q3586">
        <v>0</v>
      </c>
      <c r="R3586" s="4">
        <v>55.2</v>
      </c>
      <c r="S3586">
        <v>0</v>
      </c>
      <c r="T3586">
        <v>1</v>
      </c>
    </row>
    <row r="3587" spans="1:20" ht="16.5" x14ac:dyDescent="0.3">
      <c r="A3587" t="s">
        <v>3641</v>
      </c>
      <c r="B3587" s="1">
        <v>45791</v>
      </c>
      <c r="C3587">
        <v>2025</v>
      </c>
      <c r="D3587" t="s">
        <v>649</v>
      </c>
      <c r="E3587" t="s">
        <v>859</v>
      </c>
      <c r="F3587" t="s">
        <v>38</v>
      </c>
      <c r="G3587" t="s">
        <v>35</v>
      </c>
      <c r="H3587" t="s">
        <v>25</v>
      </c>
      <c r="I3587" t="s">
        <v>31</v>
      </c>
      <c r="J3587" t="s">
        <v>27</v>
      </c>
      <c r="K3587" t="s">
        <v>32</v>
      </c>
      <c r="L3587" s="2">
        <v>14.2</v>
      </c>
      <c r="M3587" s="3">
        <v>1050</v>
      </c>
      <c r="N3587">
        <v>6</v>
      </c>
      <c r="O3587">
        <v>6</v>
      </c>
      <c r="P3587">
        <v>1</v>
      </c>
      <c r="Q3587">
        <v>0</v>
      </c>
      <c r="R3587" s="4">
        <v>18.8</v>
      </c>
      <c r="S3587">
        <v>0</v>
      </c>
      <c r="T3587">
        <v>1</v>
      </c>
    </row>
    <row r="3588" spans="1:20" ht="16.5" x14ac:dyDescent="0.3">
      <c r="A3588" t="s">
        <v>3642</v>
      </c>
      <c r="B3588" s="1">
        <v>45791</v>
      </c>
      <c r="C3588">
        <v>2025</v>
      </c>
      <c r="D3588" t="s">
        <v>649</v>
      </c>
      <c r="E3588" t="s">
        <v>859</v>
      </c>
      <c r="F3588" t="s">
        <v>23</v>
      </c>
      <c r="G3588" t="s">
        <v>35</v>
      </c>
      <c r="H3588" t="s">
        <v>43</v>
      </c>
      <c r="I3588" t="s">
        <v>40</v>
      </c>
      <c r="J3588" t="s">
        <v>41</v>
      </c>
      <c r="K3588" t="s">
        <v>32</v>
      </c>
      <c r="L3588" s="2">
        <v>1.4</v>
      </c>
      <c r="M3588" s="3">
        <v>1147</v>
      </c>
      <c r="N3588">
        <v>3</v>
      </c>
      <c r="O3588">
        <v>7</v>
      </c>
      <c r="P3588">
        <v>0</v>
      </c>
      <c r="Q3588">
        <v>4</v>
      </c>
      <c r="R3588" s="4">
        <v>50.39</v>
      </c>
      <c r="S3588">
        <v>0</v>
      </c>
      <c r="T3588">
        <v>1</v>
      </c>
    </row>
    <row r="3589" spans="1:20" ht="16.5" x14ac:dyDescent="0.3">
      <c r="A3589" t="s">
        <v>3643</v>
      </c>
      <c r="B3589" s="1">
        <v>45791</v>
      </c>
      <c r="C3589">
        <v>2025</v>
      </c>
      <c r="D3589" t="s">
        <v>649</v>
      </c>
      <c r="E3589" t="s">
        <v>859</v>
      </c>
      <c r="F3589" t="s">
        <v>38</v>
      </c>
      <c r="G3589" t="s">
        <v>35</v>
      </c>
      <c r="H3589" t="s">
        <v>36</v>
      </c>
      <c r="I3589" t="s">
        <v>26</v>
      </c>
      <c r="J3589" t="s">
        <v>27</v>
      </c>
      <c r="K3589" t="s">
        <v>32</v>
      </c>
      <c r="L3589" s="2">
        <v>15.7</v>
      </c>
      <c r="M3589" s="3">
        <v>260</v>
      </c>
      <c r="N3589">
        <v>3</v>
      </c>
      <c r="O3589">
        <v>3</v>
      </c>
      <c r="P3589">
        <v>1</v>
      </c>
      <c r="Q3589">
        <v>0</v>
      </c>
      <c r="R3589" s="4">
        <v>19.239999999999998</v>
      </c>
      <c r="S3589">
        <v>0</v>
      </c>
      <c r="T3589">
        <v>1</v>
      </c>
    </row>
    <row r="3590" spans="1:20" ht="16.5" x14ac:dyDescent="0.3">
      <c r="A3590" t="s">
        <v>3644</v>
      </c>
      <c r="B3590" s="1">
        <v>45791</v>
      </c>
      <c r="C3590">
        <v>2025</v>
      </c>
      <c r="D3590" t="s">
        <v>649</v>
      </c>
      <c r="E3590" t="s">
        <v>859</v>
      </c>
      <c r="F3590" t="s">
        <v>34</v>
      </c>
      <c r="G3590" t="s">
        <v>39</v>
      </c>
      <c r="H3590" t="s">
        <v>43</v>
      </c>
      <c r="I3590" t="s">
        <v>26</v>
      </c>
      <c r="J3590" t="s">
        <v>27</v>
      </c>
      <c r="K3590" t="s">
        <v>28</v>
      </c>
      <c r="L3590" s="2">
        <v>211.8</v>
      </c>
      <c r="M3590" s="3">
        <v>951</v>
      </c>
      <c r="N3590">
        <v>5</v>
      </c>
      <c r="O3590">
        <v>5</v>
      </c>
      <c r="P3590">
        <v>1</v>
      </c>
      <c r="Q3590">
        <v>0</v>
      </c>
      <c r="R3590" s="4">
        <v>85.08</v>
      </c>
      <c r="S3590">
        <v>0</v>
      </c>
      <c r="T3590">
        <v>1</v>
      </c>
    </row>
    <row r="3591" spans="1:20" ht="16.5" x14ac:dyDescent="0.3">
      <c r="A3591" t="s">
        <v>3645</v>
      </c>
      <c r="B3591" s="1">
        <v>45791</v>
      </c>
      <c r="C3591">
        <v>2025</v>
      </c>
      <c r="D3591" t="s">
        <v>649</v>
      </c>
      <c r="E3591" t="s">
        <v>859</v>
      </c>
      <c r="F3591" t="s">
        <v>34</v>
      </c>
      <c r="G3591" t="s">
        <v>39</v>
      </c>
      <c r="H3591" t="s">
        <v>48</v>
      </c>
      <c r="I3591" t="s">
        <v>26</v>
      </c>
      <c r="J3591" t="s">
        <v>27</v>
      </c>
      <c r="K3591" t="s">
        <v>32</v>
      </c>
      <c r="L3591" s="2">
        <v>4.8</v>
      </c>
      <c r="M3591" s="3">
        <v>472</v>
      </c>
      <c r="N3591">
        <v>4</v>
      </c>
      <c r="O3591">
        <v>4</v>
      </c>
      <c r="P3591">
        <v>1</v>
      </c>
      <c r="Q3591">
        <v>0</v>
      </c>
      <c r="R3591" s="4">
        <v>13.14</v>
      </c>
      <c r="S3591">
        <v>0</v>
      </c>
      <c r="T3591">
        <v>1</v>
      </c>
    </row>
    <row r="3592" spans="1:20" ht="16.5" x14ac:dyDescent="0.3">
      <c r="A3592" t="s">
        <v>3646</v>
      </c>
      <c r="B3592" s="1">
        <v>45792</v>
      </c>
      <c r="C3592">
        <v>2025</v>
      </c>
      <c r="D3592" t="s">
        <v>649</v>
      </c>
      <c r="E3592" t="s">
        <v>859</v>
      </c>
      <c r="F3592" t="s">
        <v>38</v>
      </c>
      <c r="G3592" t="s">
        <v>39</v>
      </c>
      <c r="H3592" t="s">
        <v>36</v>
      </c>
      <c r="I3592" t="s">
        <v>26</v>
      </c>
      <c r="J3592" t="s">
        <v>27</v>
      </c>
      <c r="K3592" t="s">
        <v>28</v>
      </c>
      <c r="L3592" s="2">
        <v>225.3</v>
      </c>
      <c r="M3592" s="3">
        <v>238</v>
      </c>
      <c r="N3592">
        <v>3</v>
      </c>
      <c r="O3592">
        <v>2</v>
      </c>
      <c r="P3592">
        <v>1</v>
      </c>
      <c r="Q3592">
        <v>0</v>
      </c>
      <c r="R3592" s="4">
        <v>107.52</v>
      </c>
      <c r="S3592">
        <v>0</v>
      </c>
      <c r="T3592">
        <v>1</v>
      </c>
    </row>
    <row r="3593" spans="1:20" ht="16.5" x14ac:dyDescent="0.3">
      <c r="A3593" t="s">
        <v>3647</v>
      </c>
      <c r="B3593" s="1">
        <v>45792</v>
      </c>
      <c r="C3593">
        <v>2025</v>
      </c>
      <c r="D3593" t="s">
        <v>649</v>
      </c>
      <c r="E3593" t="s">
        <v>859</v>
      </c>
      <c r="F3593" t="s">
        <v>34</v>
      </c>
      <c r="G3593" t="s">
        <v>24</v>
      </c>
      <c r="H3593" t="s">
        <v>36</v>
      </c>
      <c r="I3593" t="s">
        <v>26</v>
      </c>
      <c r="J3593" t="s">
        <v>27</v>
      </c>
      <c r="K3593" t="s">
        <v>32</v>
      </c>
      <c r="L3593" s="2">
        <v>2.7</v>
      </c>
      <c r="M3593" s="3">
        <v>285</v>
      </c>
      <c r="N3593">
        <v>3</v>
      </c>
      <c r="O3593">
        <v>2</v>
      </c>
      <c r="P3593">
        <v>1</v>
      </c>
      <c r="Q3593">
        <v>0</v>
      </c>
      <c r="R3593" s="4">
        <v>9.84</v>
      </c>
      <c r="S3593">
        <v>0</v>
      </c>
      <c r="T3593">
        <v>1</v>
      </c>
    </row>
    <row r="3594" spans="1:20" ht="16.5" x14ac:dyDescent="0.3">
      <c r="A3594" t="s">
        <v>3648</v>
      </c>
      <c r="B3594" s="1">
        <v>45792</v>
      </c>
      <c r="C3594">
        <v>2025</v>
      </c>
      <c r="D3594" t="s">
        <v>649</v>
      </c>
      <c r="E3594" t="s">
        <v>859</v>
      </c>
      <c r="F3594" t="s">
        <v>57</v>
      </c>
      <c r="G3594" t="s">
        <v>24</v>
      </c>
      <c r="H3594" t="s">
        <v>51</v>
      </c>
      <c r="I3594" t="s">
        <v>26</v>
      </c>
      <c r="J3594" t="s">
        <v>27</v>
      </c>
      <c r="K3594" t="s">
        <v>32</v>
      </c>
      <c r="L3594" s="2">
        <v>11.7</v>
      </c>
      <c r="M3594" s="3">
        <v>1256</v>
      </c>
      <c r="N3594">
        <v>5</v>
      </c>
      <c r="O3594">
        <v>5</v>
      </c>
      <c r="P3594">
        <v>1</v>
      </c>
      <c r="Q3594">
        <v>0</v>
      </c>
      <c r="R3594" s="4">
        <v>28.48</v>
      </c>
      <c r="S3594">
        <v>0</v>
      </c>
      <c r="T3594">
        <v>1</v>
      </c>
    </row>
    <row r="3595" spans="1:20" ht="16.5" x14ac:dyDescent="0.3">
      <c r="A3595" t="s">
        <v>3649</v>
      </c>
      <c r="B3595" s="1">
        <v>45793</v>
      </c>
      <c r="C3595">
        <v>2025</v>
      </c>
      <c r="D3595" t="s">
        <v>649</v>
      </c>
      <c r="E3595" t="s">
        <v>859</v>
      </c>
      <c r="F3595" t="s">
        <v>34</v>
      </c>
      <c r="G3595" t="s">
        <v>39</v>
      </c>
      <c r="H3595" t="s">
        <v>51</v>
      </c>
      <c r="I3595" t="s">
        <v>26</v>
      </c>
      <c r="J3595" t="s">
        <v>27</v>
      </c>
      <c r="K3595" t="s">
        <v>28</v>
      </c>
      <c r="L3595" s="2">
        <v>266.10000000000002</v>
      </c>
      <c r="M3595" s="3">
        <v>844</v>
      </c>
      <c r="N3595">
        <v>5</v>
      </c>
      <c r="O3595">
        <v>6</v>
      </c>
      <c r="P3595">
        <v>0</v>
      </c>
      <c r="Q3595">
        <v>1</v>
      </c>
      <c r="R3595" s="4">
        <v>112.76</v>
      </c>
      <c r="S3595">
        <v>0</v>
      </c>
      <c r="T3595">
        <v>1</v>
      </c>
    </row>
    <row r="3596" spans="1:20" ht="16.5" x14ac:dyDescent="0.3">
      <c r="A3596" t="s">
        <v>3650</v>
      </c>
      <c r="B3596" s="1">
        <v>45793</v>
      </c>
      <c r="C3596">
        <v>2025</v>
      </c>
      <c r="D3596" t="s">
        <v>649</v>
      </c>
      <c r="E3596" t="s">
        <v>859</v>
      </c>
      <c r="F3596" t="s">
        <v>34</v>
      </c>
      <c r="G3596" t="s">
        <v>35</v>
      </c>
      <c r="H3596" t="s">
        <v>25</v>
      </c>
      <c r="I3596" t="s">
        <v>26</v>
      </c>
      <c r="J3596" t="s">
        <v>27</v>
      </c>
      <c r="K3596" t="s">
        <v>32</v>
      </c>
      <c r="L3596" s="2">
        <v>1.7</v>
      </c>
      <c r="M3596" s="3">
        <v>679</v>
      </c>
      <c r="N3596">
        <v>4</v>
      </c>
      <c r="O3596">
        <v>4</v>
      </c>
      <c r="P3596">
        <v>1</v>
      </c>
      <c r="Q3596">
        <v>0</v>
      </c>
      <c r="R3596" s="4">
        <v>13.92</v>
      </c>
      <c r="S3596">
        <v>0</v>
      </c>
      <c r="T3596">
        <v>1</v>
      </c>
    </row>
    <row r="3597" spans="1:20" ht="16.5" x14ac:dyDescent="0.3">
      <c r="A3597" t="s">
        <v>3651</v>
      </c>
      <c r="B3597" s="1">
        <v>45793</v>
      </c>
      <c r="C3597">
        <v>2025</v>
      </c>
      <c r="D3597" t="s">
        <v>649</v>
      </c>
      <c r="E3597" t="s">
        <v>859</v>
      </c>
      <c r="F3597" t="s">
        <v>30</v>
      </c>
      <c r="G3597" t="s">
        <v>35</v>
      </c>
      <c r="H3597" t="s">
        <v>36</v>
      </c>
      <c r="I3597" t="s">
        <v>26</v>
      </c>
      <c r="J3597" t="s">
        <v>27</v>
      </c>
      <c r="K3597" t="s">
        <v>32</v>
      </c>
      <c r="L3597" s="2">
        <v>5.2</v>
      </c>
      <c r="M3597" s="3">
        <v>296</v>
      </c>
      <c r="N3597">
        <v>3</v>
      </c>
      <c r="O3597">
        <v>2</v>
      </c>
      <c r="P3597">
        <v>1</v>
      </c>
      <c r="Q3597">
        <v>0</v>
      </c>
      <c r="R3597" s="4">
        <v>13.99</v>
      </c>
      <c r="S3597">
        <v>0</v>
      </c>
      <c r="T3597">
        <v>1</v>
      </c>
    </row>
    <row r="3598" spans="1:20" ht="16.5" x14ac:dyDescent="0.3">
      <c r="A3598" t="s">
        <v>3652</v>
      </c>
      <c r="B3598" s="1">
        <v>45793</v>
      </c>
      <c r="C3598">
        <v>2025</v>
      </c>
      <c r="D3598" t="s">
        <v>649</v>
      </c>
      <c r="E3598" t="s">
        <v>859</v>
      </c>
      <c r="F3598" t="s">
        <v>38</v>
      </c>
      <c r="G3598" t="s">
        <v>35</v>
      </c>
      <c r="H3598" t="s">
        <v>25</v>
      </c>
      <c r="I3598" t="s">
        <v>31</v>
      </c>
      <c r="J3598" t="s">
        <v>27</v>
      </c>
      <c r="K3598" t="s">
        <v>32</v>
      </c>
      <c r="L3598" s="2">
        <v>4.9000000000000004</v>
      </c>
      <c r="M3598" s="3">
        <v>1093</v>
      </c>
      <c r="N3598">
        <v>6</v>
      </c>
      <c r="O3598">
        <v>6</v>
      </c>
      <c r="P3598">
        <v>1</v>
      </c>
      <c r="Q3598">
        <v>0</v>
      </c>
      <c r="R3598" s="4">
        <v>18.010000000000002</v>
      </c>
      <c r="S3598">
        <v>0</v>
      </c>
      <c r="T3598">
        <v>1</v>
      </c>
    </row>
    <row r="3599" spans="1:20" ht="16.5" x14ac:dyDescent="0.3">
      <c r="A3599" t="s">
        <v>3653</v>
      </c>
      <c r="B3599" s="1">
        <v>45793</v>
      </c>
      <c r="C3599">
        <v>2025</v>
      </c>
      <c r="D3599" t="s">
        <v>649</v>
      </c>
      <c r="E3599" t="s">
        <v>859</v>
      </c>
      <c r="F3599" t="s">
        <v>23</v>
      </c>
      <c r="G3599" t="s">
        <v>35</v>
      </c>
      <c r="H3599" t="s">
        <v>36</v>
      </c>
      <c r="I3599" t="s">
        <v>31</v>
      </c>
      <c r="J3599" t="s">
        <v>27</v>
      </c>
      <c r="K3599" t="s">
        <v>28</v>
      </c>
      <c r="L3599" s="2">
        <v>91.9</v>
      </c>
      <c r="M3599" s="3">
        <v>235</v>
      </c>
      <c r="N3599">
        <v>5</v>
      </c>
      <c r="O3599">
        <v>5</v>
      </c>
      <c r="P3599">
        <v>1</v>
      </c>
      <c r="Q3599">
        <v>0</v>
      </c>
      <c r="R3599" s="4">
        <v>37.51</v>
      </c>
      <c r="S3599">
        <v>0</v>
      </c>
      <c r="T3599">
        <v>1</v>
      </c>
    </row>
    <row r="3600" spans="1:20" ht="16.5" x14ac:dyDescent="0.3">
      <c r="A3600" t="s">
        <v>3654</v>
      </c>
      <c r="B3600" s="1">
        <v>45793</v>
      </c>
      <c r="C3600">
        <v>2025</v>
      </c>
      <c r="D3600" t="s">
        <v>649</v>
      </c>
      <c r="E3600" t="s">
        <v>859</v>
      </c>
      <c r="F3600" t="s">
        <v>30</v>
      </c>
      <c r="G3600" t="s">
        <v>39</v>
      </c>
      <c r="H3600" t="s">
        <v>48</v>
      </c>
      <c r="I3600" t="s">
        <v>40</v>
      </c>
      <c r="J3600" t="s">
        <v>27</v>
      </c>
      <c r="K3600" t="s">
        <v>32</v>
      </c>
      <c r="L3600" s="2">
        <v>5.5</v>
      </c>
      <c r="M3600" s="3">
        <v>565</v>
      </c>
      <c r="N3600">
        <v>2</v>
      </c>
      <c r="O3600">
        <v>2</v>
      </c>
      <c r="P3600">
        <v>1</v>
      </c>
      <c r="Q3600">
        <v>0</v>
      </c>
      <c r="R3600" s="4">
        <v>30.65</v>
      </c>
      <c r="S3600">
        <v>0</v>
      </c>
      <c r="T3600">
        <v>1</v>
      </c>
    </row>
    <row r="3601" spans="1:20" ht="16.5" x14ac:dyDescent="0.3">
      <c r="A3601" t="s">
        <v>3655</v>
      </c>
      <c r="B3601" s="1">
        <v>45793</v>
      </c>
      <c r="C3601">
        <v>2025</v>
      </c>
      <c r="D3601" t="s">
        <v>649</v>
      </c>
      <c r="E3601" t="s">
        <v>859</v>
      </c>
      <c r="F3601" t="s">
        <v>23</v>
      </c>
      <c r="G3601" t="s">
        <v>39</v>
      </c>
      <c r="H3601" t="s">
        <v>43</v>
      </c>
      <c r="I3601" t="s">
        <v>26</v>
      </c>
      <c r="J3601" t="s">
        <v>27</v>
      </c>
      <c r="K3601" t="s">
        <v>28</v>
      </c>
      <c r="L3601" s="2">
        <v>249.9</v>
      </c>
      <c r="M3601" s="3">
        <v>1190</v>
      </c>
      <c r="N3601">
        <v>5</v>
      </c>
      <c r="O3601">
        <v>5</v>
      </c>
      <c r="P3601">
        <v>1</v>
      </c>
      <c r="Q3601">
        <v>0</v>
      </c>
      <c r="R3601" s="4">
        <v>107.76</v>
      </c>
      <c r="S3601">
        <v>0</v>
      </c>
      <c r="T3601">
        <v>1</v>
      </c>
    </row>
    <row r="3602" spans="1:20" ht="16.5" x14ac:dyDescent="0.3">
      <c r="A3602" t="s">
        <v>3656</v>
      </c>
      <c r="B3602" s="1">
        <v>45793</v>
      </c>
      <c r="C3602">
        <v>2025</v>
      </c>
      <c r="D3602" t="s">
        <v>649</v>
      </c>
      <c r="E3602" t="s">
        <v>859</v>
      </c>
      <c r="F3602" t="s">
        <v>57</v>
      </c>
      <c r="G3602" t="s">
        <v>39</v>
      </c>
      <c r="H3602" t="s">
        <v>43</v>
      </c>
      <c r="I3602" t="s">
        <v>31</v>
      </c>
      <c r="J3602" t="s">
        <v>27</v>
      </c>
      <c r="K3602" t="s">
        <v>28</v>
      </c>
      <c r="L3602" s="2">
        <v>58.5</v>
      </c>
      <c r="M3602" s="3">
        <v>1155</v>
      </c>
      <c r="N3602">
        <v>7</v>
      </c>
      <c r="O3602">
        <v>7</v>
      </c>
      <c r="P3602">
        <v>1</v>
      </c>
      <c r="Q3602">
        <v>0</v>
      </c>
      <c r="R3602" s="4">
        <v>31.92</v>
      </c>
      <c r="S3602">
        <v>0</v>
      </c>
      <c r="T3602">
        <v>1</v>
      </c>
    </row>
    <row r="3603" spans="1:20" ht="16.5" x14ac:dyDescent="0.3">
      <c r="A3603" t="s">
        <v>3657</v>
      </c>
      <c r="B3603" s="1">
        <v>45794</v>
      </c>
      <c r="C3603">
        <v>2025</v>
      </c>
      <c r="D3603" t="s">
        <v>649</v>
      </c>
      <c r="E3603" t="s">
        <v>859</v>
      </c>
      <c r="F3603" t="s">
        <v>34</v>
      </c>
      <c r="G3603" t="s">
        <v>39</v>
      </c>
      <c r="H3603" t="s">
        <v>36</v>
      </c>
      <c r="I3603" t="s">
        <v>26</v>
      </c>
      <c r="J3603" t="s">
        <v>27</v>
      </c>
      <c r="K3603" t="s">
        <v>32</v>
      </c>
      <c r="L3603" s="2">
        <v>4.5</v>
      </c>
      <c r="M3603" s="3">
        <v>205</v>
      </c>
      <c r="N3603">
        <v>3</v>
      </c>
      <c r="O3603">
        <v>3</v>
      </c>
      <c r="P3603">
        <v>1</v>
      </c>
      <c r="Q3603">
        <v>0</v>
      </c>
      <c r="R3603" s="4">
        <v>9.85</v>
      </c>
      <c r="S3603">
        <v>0</v>
      </c>
      <c r="T3603">
        <v>1</v>
      </c>
    </row>
    <row r="3604" spans="1:20" ht="16.5" x14ac:dyDescent="0.3">
      <c r="A3604" t="s">
        <v>3658</v>
      </c>
      <c r="B3604" s="1">
        <v>45794</v>
      </c>
      <c r="C3604">
        <v>2025</v>
      </c>
      <c r="D3604" t="s">
        <v>649</v>
      </c>
      <c r="E3604" t="s">
        <v>859</v>
      </c>
      <c r="F3604" t="s">
        <v>34</v>
      </c>
      <c r="G3604" t="s">
        <v>35</v>
      </c>
      <c r="H3604" t="s">
        <v>51</v>
      </c>
      <c r="I3604" t="s">
        <v>40</v>
      </c>
      <c r="J3604" t="s">
        <v>41</v>
      </c>
      <c r="K3604" t="s">
        <v>28</v>
      </c>
      <c r="L3604" s="2">
        <v>92.1</v>
      </c>
      <c r="M3604" s="3">
        <v>940</v>
      </c>
      <c r="N3604">
        <v>3</v>
      </c>
      <c r="O3604">
        <v>6</v>
      </c>
      <c r="P3604">
        <v>0</v>
      </c>
      <c r="Q3604">
        <v>3</v>
      </c>
      <c r="R3604" s="4">
        <v>155.96</v>
      </c>
      <c r="S3604">
        <v>0</v>
      </c>
      <c r="T3604">
        <v>1</v>
      </c>
    </row>
    <row r="3605" spans="1:20" ht="16.5" x14ac:dyDescent="0.3">
      <c r="A3605" t="s">
        <v>3659</v>
      </c>
      <c r="B3605" s="1">
        <v>45794</v>
      </c>
      <c r="C3605">
        <v>2025</v>
      </c>
      <c r="D3605" t="s">
        <v>649</v>
      </c>
      <c r="E3605" t="s">
        <v>859</v>
      </c>
      <c r="F3605" t="s">
        <v>30</v>
      </c>
      <c r="G3605" t="s">
        <v>39</v>
      </c>
      <c r="H3605" t="s">
        <v>43</v>
      </c>
      <c r="I3605" t="s">
        <v>26</v>
      </c>
      <c r="J3605" t="s">
        <v>27</v>
      </c>
      <c r="K3605" t="s">
        <v>28</v>
      </c>
      <c r="L3605" s="2">
        <v>98.1</v>
      </c>
      <c r="M3605" s="3">
        <v>1293</v>
      </c>
      <c r="N3605">
        <v>5</v>
      </c>
      <c r="O3605">
        <v>5</v>
      </c>
      <c r="P3605">
        <v>1</v>
      </c>
      <c r="Q3605">
        <v>0</v>
      </c>
      <c r="R3605" s="4">
        <v>67.88</v>
      </c>
      <c r="S3605">
        <v>0</v>
      </c>
      <c r="T3605">
        <v>1</v>
      </c>
    </row>
    <row r="3606" spans="1:20" ht="16.5" x14ac:dyDescent="0.3">
      <c r="A3606" t="s">
        <v>3660</v>
      </c>
      <c r="B3606" s="1">
        <v>45794</v>
      </c>
      <c r="C3606">
        <v>2025</v>
      </c>
      <c r="D3606" t="s">
        <v>649</v>
      </c>
      <c r="E3606" t="s">
        <v>859</v>
      </c>
      <c r="F3606" t="s">
        <v>30</v>
      </c>
      <c r="G3606" t="s">
        <v>24</v>
      </c>
      <c r="H3606" t="s">
        <v>25</v>
      </c>
      <c r="I3606" t="s">
        <v>26</v>
      </c>
      <c r="J3606" t="s">
        <v>27</v>
      </c>
      <c r="K3606" t="s">
        <v>32</v>
      </c>
      <c r="L3606" s="2">
        <v>3.1</v>
      </c>
      <c r="M3606" s="3">
        <v>995</v>
      </c>
      <c r="N3606">
        <v>4</v>
      </c>
      <c r="O3606">
        <v>4</v>
      </c>
      <c r="P3606">
        <v>1</v>
      </c>
      <c r="Q3606">
        <v>0</v>
      </c>
      <c r="R3606" s="4">
        <v>21.1</v>
      </c>
      <c r="S3606">
        <v>0</v>
      </c>
      <c r="T3606">
        <v>1</v>
      </c>
    </row>
    <row r="3607" spans="1:20" ht="16.5" x14ac:dyDescent="0.3">
      <c r="A3607" t="s">
        <v>3661</v>
      </c>
      <c r="B3607" s="1">
        <v>45794</v>
      </c>
      <c r="C3607">
        <v>2025</v>
      </c>
      <c r="D3607" t="s">
        <v>649</v>
      </c>
      <c r="E3607" t="s">
        <v>859</v>
      </c>
      <c r="F3607" t="s">
        <v>23</v>
      </c>
      <c r="G3607" t="s">
        <v>35</v>
      </c>
      <c r="H3607" t="s">
        <v>36</v>
      </c>
      <c r="I3607" t="s">
        <v>40</v>
      </c>
      <c r="J3607" t="s">
        <v>27</v>
      </c>
      <c r="K3607" t="s">
        <v>32</v>
      </c>
      <c r="L3607" s="2">
        <v>7.9</v>
      </c>
      <c r="M3607" s="3">
        <v>233</v>
      </c>
      <c r="N3607">
        <v>1</v>
      </c>
      <c r="O3607">
        <v>1</v>
      </c>
      <c r="P3607">
        <v>1</v>
      </c>
      <c r="Q3607">
        <v>0</v>
      </c>
      <c r="R3607" s="4">
        <v>26.76</v>
      </c>
      <c r="S3607">
        <v>0</v>
      </c>
      <c r="T3607">
        <v>1</v>
      </c>
    </row>
    <row r="3608" spans="1:20" ht="16.5" x14ac:dyDescent="0.3">
      <c r="A3608" t="s">
        <v>3662</v>
      </c>
      <c r="B3608" s="1">
        <v>45794</v>
      </c>
      <c r="C3608">
        <v>2025</v>
      </c>
      <c r="D3608" t="s">
        <v>649</v>
      </c>
      <c r="E3608" t="s">
        <v>859</v>
      </c>
      <c r="F3608" t="s">
        <v>57</v>
      </c>
      <c r="G3608" t="s">
        <v>35</v>
      </c>
      <c r="H3608" t="s">
        <v>48</v>
      </c>
      <c r="I3608" t="s">
        <v>40</v>
      </c>
      <c r="J3608" t="s">
        <v>27</v>
      </c>
      <c r="K3608" t="s">
        <v>28</v>
      </c>
      <c r="L3608" s="2">
        <v>54.6</v>
      </c>
      <c r="M3608" s="3">
        <v>544</v>
      </c>
      <c r="N3608">
        <v>2</v>
      </c>
      <c r="O3608">
        <v>2</v>
      </c>
      <c r="P3608">
        <v>1</v>
      </c>
      <c r="Q3608">
        <v>0</v>
      </c>
      <c r="R3608" s="4">
        <v>78.05</v>
      </c>
      <c r="S3608">
        <v>0</v>
      </c>
      <c r="T3608">
        <v>1</v>
      </c>
    </row>
    <row r="3609" spans="1:20" ht="16.5" x14ac:dyDescent="0.3">
      <c r="A3609" t="s">
        <v>3663</v>
      </c>
      <c r="B3609" s="1">
        <v>45794</v>
      </c>
      <c r="C3609">
        <v>2025</v>
      </c>
      <c r="D3609" t="s">
        <v>649</v>
      </c>
      <c r="E3609" t="s">
        <v>859</v>
      </c>
      <c r="F3609" t="s">
        <v>34</v>
      </c>
      <c r="G3609" t="s">
        <v>35</v>
      </c>
      <c r="H3609" t="s">
        <v>48</v>
      </c>
      <c r="I3609" t="s">
        <v>31</v>
      </c>
      <c r="J3609" t="s">
        <v>27</v>
      </c>
      <c r="K3609" t="s">
        <v>28</v>
      </c>
      <c r="L3609" s="2">
        <v>71.599999999999994</v>
      </c>
      <c r="M3609" s="3">
        <v>385</v>
      </c>
      <c r="N3609">
        <v>6</v>
      </c>
      <c r="O3609">
        <v>6</v>
      </c>
      <c r="P3609">
        <v>1</v>
      </c>
      <c r="Q3609">
        <v>0</v>
      </c>
      <c r="R3609" s="4">
        <v>29.02</v>
      </c>
      <c r="S3609">
        <v>0</v>
      </c>
      <c r="T3609">
        <v>1</v>
      </c>
    </row>
    <row r="3610" spans="1:20" ht="16.5" x14ac:dyDescent="0.3">
      <c r="A3610" t="s">
        <v>3664</v>
      </c>
      <c r="B3610" s="1">
        <v>45795</v>
      </c>
      <c r="C3610">
        <v>2025</v>
      </c>
      <c r="D3610" t="s">
        <v>649</v>
      </c>
      <c r="E3610" t="s">
        <v>859</v>
      </c>
      <c r="F3610" t="s">
        <v>57</v>
      </c>
      <c r="G3610" t="s">
        <v>39</v>
      </c>
      <c r="H3610" t="s">
        <v>36</v>
      </c>
      <c r="I3610" t="s">
        <v>40</v>
      </c>
      <c r="J3610" t="s">
        <v>27</v>
      </c>
      <c r="K3610" t="s">
        <v>32</v>
      </c>
      <c r="L3610" s="2">
        <v>3.7</v>
      </c>
      <c r="M3610" s="3">
        <v>179</v>
      </c>
      <c r="N3610">
        <v>1</v>
      </c>
      <c r="O3610">
        <v>1</v>
      </c>
      <c r="P3610">
        <v>1</v>
      </c>
      <c r="Q3610">
        <v>0</v>
      </c>
      <c r="R3610" s="4">
        <v>23.92</v>
      </c>
      <c r="S3610">
        <v>0</v>
      </c>
      <c r="T3610">
        <v>1</v>
      </c>
    </row>
    <row r="3611" spans="1:20" ht="16.5" x14ac:dyDescent="0.3">
      <c r="A3611" t="s">
        <v>3665</v>
      </c>
      <c r="B3611" s="1">
        <v>45795</v>
      </c>
      <c r="C3611">
        <v>2025</v>
      </c>
      <c r="D3611" t="s">
        <v>649</v>
      </c>
      <c r="E3611" t="s">
        <v>859</v>
      </c>
      <c r="F3611" t="s">
        <v>57</v>
      </c>
      <c r="G3611" t="s">
        <v>39</v>
      </c>
      <c r="H3611" t="s">
        <v>36</v>
      </c>
      <c r="I3611" t="s">
        <v>40</v>
      </c>
      <c r="J3611" t="s">
        <v>27</v>
      </c>
      <c r="K3611" t="s">
        <v>32</v>
      </c>
      <c r="L3611" s="2">
        <v>1.1000000000000001</v>
      </c>
      <c r="M3611" s="3">
        <v>181</v>
      </c>
      <c r="N3611">
        <v>1</v>
      </c>
      <c r="O3611">
        <v>1</v>
      </c>
      <c r="P3611">
        <v>1</v>
      </c>
      <c r="Q3611">
        <v>0</v>
      </c>
      <c r="R3611" s="4">
        <v>16.91</v>
      </c>
      <c r="S3611">
        <v>0</v>
      </c>
      <c r="T3611">
        <v>1</v>
      </c>
    </row>
    <row r="3612" spans="1:20" ht="16.5" x14ac:dyDescent="0.3">
      <c r="A3612" t="s">
        <v>3666</v>
      </c>
      <c r="B3612" s="1">
        <v>45795</v>
      </c>
      <c r="C3612">
        <v>2025</v>
      </c>
      <c r="D3612" t="s">
        <v>649</v>
      </c>
      <c r="E3612" t="s">
        <v>859</v>
      </c>
      <c r="F3612" t="s">
        <v>38</v>
      </c>
      <c r="G3612" t="s">
        <v>39</v>
      </c>
      <c r="H3612" t="s">
        <v>48</v>
      </c>
      <c r="I3612" t="s">
        <v>40</v>
      </c>
      <c r="J3612" t="s">
        <v>27</v>
      </c>
      <c r="K3612" t="s">
        <v>32</v>
      </c>
      <c r="L3612" s="2">
        <v>6.5</v>
      </c>
      <c r="M3612" s="3">
        <v>484</v>
      </c>
      <c r="N3612">
        <v>2</v>
      </c>
      <c r="O3612">
        <v>2</v>
      </c>
      <c r="P3612">
        <v>1</v>
      </c>
      <c r="Q3612">
        <v>0</v>
      </c>
      <c r="R3612" s="4">
        <v>36.44</v>
      </c>
      <c r="S3612">
        <v>0</v>
      </c>
      <c r="T3612">
        <v>1</v>
      </c>
    </row>
    <row r="3613" spans="1:20" ht="16.5" x14ac:dyDescent="0.3">
      <c r="A3613" t="s">
        <v>3667</v>
      </c>
      <c r="B3613" s="1">
        <v>45795</v>
      </c>
      <c r="C3613">
        <v>2025</v>
      </c>
      <c r="D3613" t="s">
        <v>649</v>
      </c>
      <c r="E3613" t="s">
        <v>859</v>
      </c>
      <c r="F3613" t="s">
        <v>38</v>
      </c>
      <c r="G3613" t="s">
        <v>24</v>
      </c>
      <c r="H3613" t="s">
        <v>43</v>
      </c>
      <c r="I3613" t="s">
        <v>26</v>
      </c>
      <c r="J3613" t="s">
        <v>27</v>
      </c>
      <c r="K3613" t="s">
        <v>28</v>
      </c>
      <c r="L3613" s="2">
        <v>154.1</v>
      </c>
      <c r="M3613" s="3">
        <v>1263</v>
      </c>
      <c r="N3613">
        <v>5</v>
      </c>
      <c r="O3613">
        <v>4</v>
      </c>
      <c r="P3613">
        <v>1</v>
      </c>
      <c r="Q3613">
        <v>0</v>
      </c>
      <c r="R3613" s="4">
        <v>88.6</v>
      </c>
      <c r="S3613">
        <v>0</v>
      </c>
      <c r="T3613">
        <v>1</v>
      </c>
    </row>
    <row r="3614" spans="1:20" ht="16.5" x14ac:dyDescent="0.3">
      <c r="A3614" t="s">
        <v>3668</v>
      </c>
      <c r="B3614" s="1">
        <v>45795</v>
      </c>
      <c r="C3614">
        <v>2025</v>
      </c>
      <c r="D3614" t="s">
        <v>649</v>
      </c>
      <c r="E3614" t="s">
        <v>859</v>
      </c>
      <c r="F3614" t="s">
        <v>34</v>
      </c>
      <c r="G3614" t="s">
        <v>24</v>
      </c>
      <c r="H3614" t="s">
        <v>36</v>
      </c>
      <c r="I3614" t="s">
        <v>26</v>
      </c>
      <c r="J3614" t="s">
        <v>27</v>
      </c>
      <c r="K3614" t="s">
        <v>28</v>
      </c>
      <c r="L3614" s="2">
        <v>14.4</v>
      </c>
      <c r="M3614" s="3">
        <v>228</v>
      </c>
      <c r="N3614">
        <v>3</v>
      </c>
      <c r="O3614">
        <v>3</v>
      </c>
      <c r="P3614">
        <v>1</v>
      </c>
      <c r="Q3614">
        <v>0</v>
      </c>
      <c r="R3614" s="4">
        <v>14.87</v>
      </c>
      <c r="S3614">
        <v>0</v>
      </c>
      <c r="T3614">
        <v>1</v>
      </c>
    </row>
    <row r="3615" spans="1:20" ht="16.5" x14ac:dyDescent="0.3">
      <c r="A3615" t="s">
        <v>3669</v>
      </c>
      <c r="B3615" s="1">
        <v>45795</v>
      </c>
      <c r="C3615">
        <v>2025</v>
      </c>
      <c r="D3615" t="s">
        <v>649</v>
      </c>
      <c r="E3615" t="s">
        <v>859</v>
      </c>
      <c r="F3615" t="s">
        <v>34</v>
      </c>
      <c r="G3615" t="s">
        <v>24</v>
      </c>
      <c r="H3615" t="s">
        <v>48</v>
      </c>
      <c r="I3615" t="s">
        <v>26</v>
      </c>
      <c r="J3615" t="s">
        <v>27</v>
      </c>
      <c r="K3615" t="s">
        <v>32</v>
      </c>
      <c r="L3615" s="2">
        <v>2.8</v>
      </c>
      <c r="M3615" s="3">
        <v>444</v>
      </c>
      <c r="N3615">
        <v>4</v>
      </c>
      <c r="O3615">
        <v>4</v>
      </c>
      <c r="P3615">
        <v>1</v>
      </c>
      <c r="Q3615">
        <v>0</v>
      </c>
      <c r="R3615" s="4">
        <v>11.3</v>
      </c>
      <c r="S3615">
        <v>0</v>
      </c>
      <c r="T3615">
        <v>1</v>
      </c>
    </row>
    <row r="3616" spans="1:20" ht="16.5" x14ac:dyDescent="0.3">
      <c r="A3616" t="s">
        <v>3670</v>
      </c>
      <c r="B3616" s="1">
        <v>45795</v>
      </c>
      <c r="C3616">
        <v>2025</v>
      </c>
      <c r="D3616" t="s">
        <v>649</v>
      </c>
      <c r="E3616" t="s">
        <v>859</v>
      </c>
      <c r="F3616" t="s">
        <v>30</v>
      </c>
      <c r="G3616" t="s">
        <v>39</v>
      </c>
      <c r="H3616" t="s">
        <v>51</v>
      </c>
      <c r="I3616" t="s">
        <v>26</v>
      </c>
      <c r="J3616" t="s">
        <v>27</v>
      </c>
      <c r="K3616" t="s">
        <v>32</v>
      </c>
      <c r="L3616" s="2">
        <v>3.7</v>
      </c>
      <c r="M3616" s="3">
        <v>1174</v>
      </c>
      <c r="N3616">
        <v>5</v>
      </c>
      <c r="O3616">
        <v>4</v>
      </c>
      <c r="P3616">
        <v>1</v>
      </c>
      <c r="Q3616">
        <v>0</v>
      </c>
      <c r="R3616" s="4">
        <v>22.24</v>
      </c>
      <c r="S3616">
        <v>0</v>
      </c>
      <c r="T3616">
        <v>1</v>
      </c>
    </row>
    <row r="3617" spans="1:20" ht="16.5" x14ac:dyDescent="0.3">
      <c r="A3617" t="s">
        <v>3671</v>
      </c>
      <c r="B3617" s="1">
        <v>45796</v>
      </c>
      <c r="C3617">
        <v>2025</v>
      </c>
      <c r="D3617" t="s">
        <v>649</v>
      </c>
      <c r="E3617" t="s">
        <v>859</v>
      </c>
      <c r="F3617" t="s">
        <v>23</v>
      </c>
      <c r="G3617" t="s">
        <v>39</v>
      </c>
      <c r="H3617" t="s">
        <v>25</v>
      </c>
      <c r="I3617" t="s">
        <v>26</v>
      </c>
      <c r="J3617" t="s">
        <v>27</v>
      </c>
      <c r="K3617" t="s">
        <v>32</v>
      </c>
      <c r="L3617" s="2">
        <v>12.2</v>
      </c>
      <c r="M3617" s="3">
        <v>955</v>
      </c>
      <c r="N3617">
        <v>4</v>
      </c>
      <c r="O3617">
        <v>4</v>
      </c>
      <c r="P3617">
        <v>1</v>
      </c>
      <c r="Q3617">
        <v>0</v>
      </c>
      <c r="R3617" s="4">
        <v>26.48</v>
      </c>
      <c r="S3617">
        <v>0</v>
      </c>
      <c r="T3617">
        <v>1</v>
      </c>
    </row>
    <row r="3618" spans="1:20" ht="16.5" x14ac:dyDescent="0.3">
      <c r="A3618" t="s">
        <v>3672</v>
      </c>
      <c r="B3618" s="1">
        <v>45796</v>
      </c>
      <c r="C3618">
        <v>2025</v>
      </c>
      <c r="D3618" t="s">
        <v>649</v>
      </c>
      <c r="E3618" t="s">
        <v>859</v>
      </c>
      <c r="F3618" t="s">
        <v>34</v>
      </c>
      <c r="G3618" t="s">
        <v>39</v>
      </c>
      <c r="H3618" t="s">
        <v>25</v>
      </c>
      <c r="I3618" t="s">
        <v>40</v>
      </c>
      <c r="J3618" t="s">
        <v>41</v>
      </c>
      <c r="K3618" t="s">
        <v>28</v>
      </c>
      <c r="L3618" s="2">
        <v>81.7</v>
      </c>
      <c r="M3618" s="3">
        <v>782</v>
      </c>
      <c r="N3618">
        <v>2</v>
      </c>
      <c r="O3618">
        <v>3</v>
      </c>
      <c r="P3618">
        <v>0</v>
      </c>
      <c r="Q3618">
        <v>1</v>
      </c>
      <c r="R3618" s="4">
        <v>122.45</v>
      </c>
      <c r="S3618">
        <v>0</v>
      </c>
      <c r="T3618">
        <v>1</v>
      </c>
    </row>
    <row r="3619" spans="1:20" ht="16.5" x14ac:dyDescent="0.3">
      <c r="A3619" t="s">
        <v>3673</v>
      </c>
      <c r="B3619" s="1">
        <v>45796</v>
      </c>
      <c r="C3619">
        <v>2025</v>
      </c>
      <c r="D3619" t="s">
        <v>649</v>
      </c>
      <c r="E3619" t="s">
        <v>859</v>
      </c>
      <c r="F3619" t="s">
        <v>38</v>
      </c>
      <c r="G3619" t="s">
        <v>24</v>
      </c>
      <c r="H3619" t="s">
        <v>36</v>
      </c>
      <c r="I3619" t="s">
        <v>31</v>
      </c>
      <c r="J3619" t="s">
        <v>27</v>
      </c>
      <c r="K3619" t="s">
        <v>28</v>
      </c>
      <c r="L3619" s="2">
        <v>175.9</v>
      </c>
      <c r="M3619" s="3">
        <v>223</v>
      </c>
      <c r="N3619">
        <v>5</v>
      </c>
      <c r="O3619">
        <v>5</v>
      </c>
      <c r="P3619">
        <v>1</v>
      </c>
      <c r="Q3619">
        <v>0</v>
      </c>
      <c r="R3619" s="4">
        <v>68.02</v>
      </c>
      <c r="S3619">
        <v>0</v>
      </c>
      <c r="T3619">
        <v>1</v>
      </c>
    </row>
    <row r="3620" spans="1:20" ht="16.5" x14ac:dyDescent="0.3">
      <c r="A3620" t="s">
        <v>3674</v>
      </c>
      <c r="B3620" s="1">
        <v>45796</v>
      </c>
      <c r="C3620">
        <v>2025</v>
      </c>
      <c r="D3620" t="s">
        <v>649</v>
      </c>
      <c r="E3620" t="s">
        <v>859</v>
      </c>
      <c r="F3620" t="s">
        <v>57</v>
      </c>
      <c r="G3620" t="s">
        <v>24</v>
      </c>
      <c r="H3620" t="s">
        <v>36</v>
      </c>
      <c r="I3620" t="s">
        <v>26</v>
      </c>
      <c r="J3620" t="s">
        <v>27</v>
      </c>
      <c r="K3620" t="s">
        <v>32</v>
      </c>
      <c r="L3620" s="2">
        <v>11</v>
      </c>
      <c r="M3620" s="3">
        <v>247</v>
      </c>
      <c r="N3620">
        <v>3</v>
      </c>
      <c r="O3620">
        <v>3</v>
      </c>
      <c r="P3620">
        <v>1</v>
      </c>
      <c r="Q3620">
        <v>0</v>
      </c>
      <c r="R3620" s="4">
        <v>17.3</v>
      </c>
      <c r="S3620">
        <v>0</v>
      </c>
      <c r="T3620">
        <v>1</v>
      </c>
    </row>
    <row r="3621" spans="1:20" ht="16.5" x14ac:dyDescent="0.3">
      <c r="A3621" t="s">
        <v>3675</v>
      </c>
      <c r="B3621" s="1">
        <v>45796</v>
      </c>
      <c r="C3621">
        <v>2025</v>
      </c>
      <c r="D3621" t="s">
        <v>649</v>
      </c>
      <c r="E3621" t="s">
        <v>859</v>
      </c>
      <c r="F3621" t="s">
        <v>30</v>
      </c>
      <c r="G3621" t="s">
        <v>35</v>
      </c>
      <c r="H3621" t="s">
        <v>36</v>
      </c>
      <c r="I3621" t="s">
        <v>26</v>
      </c>
      <c r="J3621" t="s">
        <v>27</v>
      </c>
      <c r="K3621" t="s">
        <v>32</v>
      </c>
      <c r="L3621" s="2">
        <v>3.5</v>
      </c>
      <c r="M3621" s="3">
        <v>286</v>
      </c>
      <c r="N3621">
        <v>3</v>
      </c>
      <c r="O3621">
        <v>5</v>
      </c>
      <c r="P3621">
        <v>0</v>
      </c>
      <c r="Q3621">
        <v>2</v>
      </c>
      <c r="R3621" s="4">
        <v>12.89</v>
      </c>
      <c r="S3621">
        <v>0</v>
      </c>
      <c r="T3621">
        <v>1</v>
      </c>
    </row>
    <row r="3622" spans="1:20" ht="16.5" x14ac:dyDescent="0.3">
      <c r="A3622" t="s">
        <v>3676</v>
      </c>
      <c r="B3622" s="1">
        <v>45796</v>
      </c>
      <c r="C3622">
        <v>2025</v>
      </c>
      <c r="D3622" t="s">
        <v>649</v>
      </c>
      <c r="E3622" t="s">
        <v>859</v>
      </c>
      <c r="F3622" t="s">
        <v>23</v>
      </c>
      <c r="G3622" t="s">
        <v>35</v>
      </c>
      <c r="H3622" t="s">
        <v>25</v>
      </c>
      <c r="I3622" t="s">
        <v>26</v>
      </c>
      <c r="J3622" t="s">
        <v>27</v>
      </c>
      <c r="K3622" t="s">
        <v>32</v>
      </c>
      <c r="L3622" s="2">
        <v>2.8</v>
      </c>
      <c r="M3622" s="3">
        <v>598</v>
      </c>
      <c r="N3622">
        <v>4</v>
      </c>
      <c r="O3622">
        <v>5</v>
      </c>
      <c r="P3622">
        <v>0</v>
      </c>
      <c r="Q3622">
        <v>1</v>
      </c>
      <c r="R3622" s="4">
        <v>15.78</v>
      </c>
      <c r="S3622">
        <v>0</v>
      </c>
      <c r="T3622">
        <v>1</v>
      </c>
    </row>
    <row r="3623" spans="1:20" ht="16.5" x14ac:dyDescent="0.3">
      <c r="A3623" t="s">
        <v>3677</v>
      </c>
      <c r="B3623" s="1">
        <v>45796</v>
      </c>
      <c r="C3623">
        <v>2025</v>
      </c>
      <c r="D3623" t="s">
        <v>649</v>
      </c>
      <c r="E3623" t="s">
        <v>859</v>
      </c>
      <c r="F3623" t="s">
        <v>30</v>
      </c>
      <c r="G3623" t="s">
        <v>35</v>
      </c>
      <c r="H3623" t="s">
        <v>25</v>
      </c>
      <c r="I3623" t="s">
        <v>26</v>
      </c>
      <c r="J3623" t="s">
        <v>27</v>
      </c>
      <c r="K3623" t="s">
        <v>28</v>
      </c>
      <c r="L3623" s="2">
        <v>80.7</v>
      </c>
      <c r="M3623" s="3">
        <v>950</v>
      </c>
      <c r="N3623">
        <v>4</v>
      </c>
      <c r="O3623">
        <v>6</v>
      </c>
      <c r="P3623">
        <v>0</v>
      </c>
      <c r="Q3623">
        <v>2</v>
      </c>
      <c r="R3623" s="4">
        <v>58.54</v>
      </c>
      <c r="S3623">
        <v>0</v>
      </c>
      <c r="T3623">
        <v>1</v>
      </c>
    </row>
    <row r="3624" spans="1:20" ht="16.5" x14ac:dyDescent="0.3">
      <c r="A3624" t="s">
        <v>3678</v>
      </c>
      <c r="B3624" s="1">
        <v>45796</v>
      </c>
      <c r="C3624">
        <v>2025</v>
      </c>
      <c r="D3624" t="s">
        <v>649</v>
      </c>
      <c r="E3624" t="s">
        <v>859</v>
      </c>
      <c r="F3624" t="s">
        <v>23</v>
      </c>
      <c r="G3624" t="s">
        <v>35</v>
      </c>
      <c r="H3624" t="s">
        <v>51</v>
      </c>
      <c r="I3624" t="s">
        <v>31</v>
      </c>
      <c r="J3624" t="s">
        <v>27</v>
      </c>
      <c r="K3624" t="s">
        <v>32</v>
      </c>
      <c r="L3624" s="2">
        <v>1.5</v>
      </c>
      <c r="M3624" s="3">
        <v>1108</v>
      </c>
      <c r="N3624">
        <v>7</v>
      </c>
      <c r="O3624">
        <v>6</v>
      </c>
      <c r="P3624">
        <v>1</v>
      </c>
      <c r="Q3624">
        <v>0</v>
      </c>
      <c r="R3624" s="4">
        <v>13.69</v>
      </c>
      <c r="S3624">
        <v>0</v>
      </c>
      <c r="T3624">
        <v>1</v>
      </c>
    </row>
    <row r="3625" spans="1:20" ht="16.5" x14ac:dyDescent="0.3">
      <c r="A3625" t="s">
        <v>3679</v>
      </c>
      <c r="B3625" s="1">
        <v>45796</v>
      </c>
      <c r="C3625">
        <v>2025</v>
      </c>
      <c r="D3625" t="s">
        <v>649</v>
      </c>
      <c r="E3625" t="s">
        <v>859</v>
      </c>
      <c r="F3625" t="s">
        <v>23</v>
      </c>
      <c r="G3625" t="s">
        <v>39</v>
      </c>
      <c r="H3625" t="s">
        <v>25</v>
      </c>
      <c r="I3625" t="s">
        <v>26</v>
      </c>
      <c r="J3625" t="s">
        <v>27</v>
      </c>
      <c r="K3625" t="s">
        <v>28</v>
      </c>
      <c r="L3625" s="2">
        <v>159.9</v>
      </c>
      <c r="M3625" s="3">
        <v>905</v>
      </c>
      <c r="N3625">
        <v>4</v>
      </c>
      <c r="O3625">
        <v>4</v>
      </c>
      <c r="P3625">
        <v>1</v>
      </c>
      <c r="Q3625">
        <v>0</v>
      </c>
      <c r="R3625" s="4">
        <v>87.25</v>
      </c>
      <c r="S3625">
        <v>0</v>
      </c>
      <c r="T3625">
        <v>1</v>
      </c>
    </row>
    <row r="3626" spans="1:20" ht="16.5" x14ac:dyDescent="0.3">
      <c r="A3626" t="s">
        <v>3680</v>
      </c>
      <c r="B3626" s="1">
        <v>45796</v>
      </c>
      <c r="C3626">
        <v>2025</v>
      </c>
      <c r="D3626" t="s">
        <v>649</v>
      </c>
      <c r="E3626" t="s">
        <v>859</v>
      </c>
      <c r="F3626" t="s">
        <v>57</v>
      </c>
      <c r="G3626" t="s">
        <v>24</v>
      </c>
      <c r="H3626" t="s">
        <v>25</v>
      </c>
      <c r="I3626" t="s">
        <v>40</v>
      </c>
      <c r="J3626" t="s">
        <v>41</v>
      </c>
      <c r="K3626" t="s">
        <v>28</v>
      </c>
      <c r="L3626" s="2">
        <v>212.6</v>
      </c>
      <c r="M3626" s="3">
        <v>811</v>
      </c>
      <c r="N3626">
        <v>2</v>
      </c>
      <c r="O3626">
        <v>2</v>
      </c>
      <c r="P3626">
        <v>1</v>
      </c>
      <c r="Q3626">
        <v>0</v>
      </c>
      <c r="R3626" s="4">
        <v>325.66000000000003</v>
      </c>
      <c r="S3626">
        <v>0</v>
      </c>
      <c r="T3626">
        <v>1</v>
      </c>
    </row>
    <row r="3627" spans="1:20" ht="16.5" x14ac:dyDescent="0.3">
      <c r="A3627" t="s">
        <v>3681</v>
      </c>
      <c r="B3627" s="1">
        <v>45796</v>
      </c>
      <c r="C3627">
        <v>2025</v>
      </c>
      <c r="D3627" t="s">
        <v>649</v>
      </c>
      <c r="E3627" t="s">
        <v>859</v>
      </c>
      <c r="F3627" t="s">
        <v>23</v>
      </c>
      <c r="G3627" t="s">
        <v>39</v>
      </c>
      <c r="H3627" t="s">
        <v>25</v>
      </c>
      <c r="I3627" t="s">
        <v>40</v>
      </c>
      <c r="J3627" t="s">
        <v>41</v>
      </c>
      <c r="K3627" t="s">
        <v>28</v>
      </c>
      <c r="L3627" s="2">
        <v>134.6</v>
      </c>
      <c r="M3627" s="3">
        <v>833</v>
      </c>
      <c r="N3627">
        <v>2</v>
      </c>
      <c r="O3627">
        <v>1</v>
      </c>
      <c r="P3627">
        <v>1</v>
      </c>
      <c r="Q3627">
        <v>0</v>
      </c>
      <c r="R3627" s="4">
        <v>235.09</v>
      </c>
      <c r="S3627">
        <v>0</v>
      </c>
      <c r="T3627">
        <v>1</v>
      </c>
    </row>
    <row r="3628" spans="1:20" ht="16.5" x14ac:dyDescent="0.3">
      <c r="A3628" t="s">
        <v>3682</v>
      </c>
      <c r="B3628" s="1">
        <v>45796</v>
      </c>
      <c r="C3628">
        <v>2025</v>
      </c>
      <c r="D3628" t="s">
        <v>649</v>
      </c>
      <c r="E3628" t="s">
        <v>859</v>
      </c>
      <c r="F3628" t="s">
        <v>34</v>
      </c>
      <c r="G3628" t="s">
        <v>39</v>
      </c>
      <c r="H3628" t="s">
        <v>51</v>
      </c>
      <c r="I3628" t="s">
        <v>26</v>
      </c>
      <c r="J3628" t="s">
        <v>27</v>
      </c>
      <c r="K3628" t="s">
        <v>32</v>
      </c>
      <c r="L3628" s="2">
        <v>5.4</v>
      </c>
      <c r="M3628" s="3">
        <v>765</v>
      </c>
      <c r="N3628">
        <v>5</v>
      </c>
      <c r="O3628">
        <v>5</v>
      </c>
      <c r="P3628">
        <v>1</v>
      </c>
      <c r="Q3628">
        <v>0</v>
      </c>
      <c r="R3628" s="4">
        <v>16.46</v>
      </c>
      <c r="S3628">
        <v>0</v>
      </c>
      <c r="T3628">
        <v>1</v>
      </c>
    </row>
    <row r="3629" spans="1:20" ht="16.5" x14ac:dyDescent="0.3">
      <c r="A3629" t="s">
        <v>3683</v>
      </c>
      <c r="B3629" s="1">
        <v>45796</v>
      </c>
      <c r="C3629">
        <v>2025</v>
      </c>
      <c r="D3629" t="s">
        <v>649</v>
      </c>
      <c r="E3629" t="s">
        <v>859</v>
      </c>
      <c r="F3629" t="s">
        <v>34</v>
      </c>
      <c r="G3629" t="s">
        <v>35</v>
      </c>
      <c r="H3629" t="s">
        <v>36</v>
      </c>
      <c r="I3629" t="s">
        <v>26</v>
      </c>
      <c r="J3629" t="s">
        <v>27</v>
      </c>
      <c r="K3629" t="s">
        <v>32</v>
      </c>
      <c r="L3629" s="2">
        <v>2.4</v>
      </c>
      <c r="M3629" s="3">
        <v>316</v>
      </c>
      <c r="N3629">
        <v>3</v>
      </c>
      <c r="O3629">
        <v>3</v>
      </c>
      <c r="P3629">
        <v>1</v>
      </c>
      <c r="Q3629">
        <v>0</v>
      </c>
      <c r="R3629" s="4">
        <v>9.6199999999999992</v>
      </c>
      <c r="S3629">
        <v>0</v>
      </c>
      <c r="T3629">
        <v>1</v>
      </c>
    </row>
    <row r="3630" spans="1:20" ht="16.5" x14ac:dyDescent="0.3">
      <c r="A3630" t="s">
        <v>3684</v>
      </c>
      <c r="B3630" s="1">
        <v>45796</v>
      </c>
      <c r="C3630">
        <v>2025</v>
      </c>
      <c r="D3630" t="s">
        <v>649</v>
      </c>
      <c r="E3630" t="s">
        <v>859</v>
      </c>
      <c r="F3630" t="s">
        <v>30</v>
      </c>
      <c r="G3630" t="s">
        <v>35</v>
      </c>
      <c r="H3630" t="s">
        <v>25</v>
      </c>
      <c r="I3630" t="s">
        <v>26</v>
      </c>
      <c r="J3630" t="s">
        <v>27</v>
      </c>
      <c r="K3630" t="s">
        <v>28</v>
      </c>
      <c r="L3630" s="2">
        <v>52.1</v>
      </c>
      <c r="M3630" s="3">
        <v>1026</v>
      </c>
      <c r="N3630">
        <v>4</v>
      </c>
      <c r="O3630">
        <v>4</v>
      </c>
      <c r="P3630">
        <v>1</v>
      </c>
      <c r="Q3630">
        <v>0</v>
      </c>
      <c r="R3630" s="4">
        <v>48.62</v>
      </c>
      <c r="S3630">
        <v>0</v>
      </c>
      <c r="T3630">
        <v>1</v>
      </c>
    </row>
    <row r="3631" spans="1:20" ht="16.5" x14ac:dyDescent="0.3">
      <c r="A3631" t="s">
        <v>3685</v>
      </c>
      <c r="B3631" s="1">
        <v>45796</v>
      </c>
      <c r="C3631">
        <v>2025</v>
      </c>
      <c r="D3631" t="s">
        <v>649</v>
      </c>
      <c r="E3631" t="s">
        <v>859</v>
      </c>
      <c r="F3631" t="s">
        <v>34</v>
      </c>
      <c r="G3631" t="s">
        <v>39</v>
      </c>
      <c r="H3631" t="s">
        <v>36</v>
      </c>
      <c r="I3631" t="s">
        <v>26</v>
      </c>
      <c r="J3631" t="s">
        <v>27</v>
      </c>
      <c r="K3631" t="s">
        <v>28</v>
      </c>
      <c r="L3631" s="2">
        <v>119.9</v>
      </c>
      <c r="M3631" s="3">
        <v>237</v>
      </c>
      <c r="N3631">
        <v>3</v>
      </c>
      <c r="O3631">
        <v>7</v>
      </c>
      <c r="P3631">
        <v>0</v>
      </c>
      <c r="Q3631">
        <v>4</v>
      </c>
      <c r="R3631" s="4">
        <v>52.88</v>
      </c>
      <c r="S3631">
        <v>0</v>
      </c>
      <c r="T3631">
        <v>1</v>
      </c>
    </row>
    <row r="3632" spans="1:20" ht="16.5" x14ac:dyDescent="0.3">
      <c r="A3632" t="s">
        <v>3686</v>
      </c>
      <c r="B3632" s="1">
        <v>45796</v>
      </c>
      <c r="C3632">
        <v>2025</v>
      </c>
      <c r="D3632" t="s">
        <v>649</v>
      </c>
      <c r="E3632" t="s">
        <v>859</v>
      </c>
      <c r="F3632" t="s">
        <v>57</v>
      </c>
      <c r="G3632" t="s">
        <v>35</v>
      </c>
      <c r="H3632" t="s">
        <v>25</v>
      </c>
      <c r="I3632" t="s">
        <v>26</v>
      </c>
      <c r="J3632" t="s">
        <v>27</v>
      </c>
      <c r="K3632" t="s">
        <v>28</v>
      </c>
      <c r="L3632" s="2">
        <v>83.5</v>
      </c>
      <c r="M3632" s="3">
        <v>920</v>
      </c>
      <c r="N3632">
        <v>4</v>
      </c>
      <c r="O3632">
        <v>3</v>
      </c>
      <c r="P3632">
        <v>1</v>
      </c>
      <c r="Q3632">
        <v>0</v>
      </c>
      <c r="R3632" s="4">
        <v>58.59</v>
      </c>
      <c r="S3632">
        <v>0</v>
      </c>
      <c r="T3632">
        <v>1</v>
      </c>
    </row>
    <row r="3633" spans="1:20" ht="16.5" x14ac:dyDescent="0.3">
      <c r="A3633" t="s">
        <v>3687</v>
      </c>
      <c r="B3633" s="1">
        <v>45797</v>
      </c>
      <c r="C3633">
        <v>2025</v>
      </c>
      <c r="D3633" t="s">
        <v>649</v>
      </c>
      <c r="E3633" t="s">
        <v>859</v>
      </c>
      <c r="F3633" t="s">
        <v>30</v>
      </c>
      <c r="G3633" t="s">
        <v>24</v>
      </c>
      <c r="H3633" t="s">
        <v>48</v>
      </c>
      <c r="I3633" t="s">
        <v>26</v>
      </c>
      <c r="J3633" t="s">
        <v>27</v>
      </c>
      <c r="K3633" t="s">
        <v>28</v>
      </c>
      <c r="L3633" s="2">
        <v>44.1</v>
      </c>
      <c r="M3633" s="3">
        <v>540</v>
      </c>
      <c r="N3633">
        <v>4</v>
      </c>
      <c r="O3633">
        <v>3</v>
      </c>
      <c r="P3633">
        <v>1</v>
      </c>
      <c r="Q3633">
        <v>0</v>
      </c>
      <c r="R3633" s="4">
        <v>39.93</v>
      </c>
      <c r="S3633">
        <v>0</v>
      </c>
      <c r="T3633">
        <v>1</v>
      </c>
    </row>
    <row r="3634" spans="1:20" ht="16.5" x14ac:dyDescent="0.3">
      <c r="A3634" t="s">
        <v>3688</v>
      </c>
      <c r="B3634" s="1">
        <v>45797</v>
      </c>
      <c r="C3634">
        <v>2025</v>
      </c>
      <c r="D3634" t="s">
        <v>649</v>
      </c>
      <c r="E3634" t="s">
        <v>859</v>
      </c>
      <c r="F3634" t="s">
        <v>30</v>
      </c>
      <c r="G3634" t="s">
        <v>35</v>
      </c>
      <c r="H3634" t="s">
        <v>25</v>
      </c>
      <c r="I3634" t="s">
        <v>31</v>
      </c>
      <c r="J3634" t="s">
        <v>27</v>
      </c>
      <c r="K3634" t="s">
        <v>32</v>
      </c>
      <c r="L3634" s="2">
        <v>8.9</v>
      </c>
      <c r="M3634" s="3">
        <v>880</v>
      </c>
      <c r="N3634">
        <v>6</v>
      </c>
      <c r="O3634">
        <v>6</v>
      </c>
      <c r="P3634">
        <v>1</v>
      </c>
      <c r="Q3634">
        <v>0</v>
      </c>
      <c r="R3634" s="4">
        <v>17.600000000000001</v>
      </c>
      <c r="S3634">
        <v>0</v>
      </c>
      <c r="T3634">
        <v>1</v>
      </c>
    </row>
    <row r="3635" spans="1:20" ht="16.5" x14ac:dyDescent="0.3">
      <c r="A3635" t="s">
        <v>3689</v>
      </c>
      <c r="B3635" s="1">
        <v>45797</v>
      </c>
      <c r="C3635">
        <v>2025</v>
      </c>
      <c r="D3635" t="s">
        <v>649</v>
      </c>
      <c r="E3635" t="s">
        <v>859</v>
      </c>
      <c r="F3635" t="s">
        <v>57</v>
      </c>
      <c r="G3635" t="s">
        <v>39</v>
      </c>
      <c r="H3635" t="s">
        <v>36</v>
      </c>
      <c r="I3635" t="s">
        <v>31</v>
      </c>
      <c r="J3635" t="s">
        <v>27</v>
      </c>
      <c r="K3635" t="s">
        <v>32</v>
      </c>
      <c r="L3635" s="2">
        <v>12.5</v>
      </c>
      <c r="M3635" s="3">
        <v>259</v>
      </c>
      <c r="N3635">
        <v>5</v>
      </c>
      <c r="O3635">
        <v>5</v>
      </c>
      <c r="P3635">
        <v>1</v>
      </c>
      <c r="Q3635">
        <v>0</v>
      </c>
      <c r="R3635" s="4">
        <v>13.04</v>
      </c>
      <c r="S3635">
        <v>0</v>
      </c>
      <c r="T3635">
        <v>1</v>
      </c>
    </row>
    <row r="3636" spans="1:20" ht="16.5" x14ac:dyDescent="0.3">
      <c r="A3636" t="s">
        <v>3690</v>
      </c>
      <c r="B3636" s="1">
        <v>45797</v>
      </c>
      <c r="C3636">
        <v>2025</v>
      </c>
      <c r="D3636" t="s">
        <v>649</v>
      </c>
      <c r="E3636" t="s">
        <v>859</v>
      </c>
      <c r="F3636" t="s">
        <v>23</v>
      </c>
      <c r="G3636" t="s">
        <v>24</v>
      </c>
      <c r="H3636" t="s">
        <v>51</v>
      </c>
      <c r="I3636" t="s">
        <v>26</v>
      </c>
      <c r="J3636" t="s">
        <v>27</v>
      </c>
      <c r="K3636" t="s">
        <v>32</v>
      </c>
      <c r="L3636" s="2">
        <v>3.7</v>
      </c>
      <c r="M3636" s="3">
        <v>1136</v>
      </c>
      <c r="N3636">
        <v>5</v>
      </c>
      <c r="O3636">
        <v>5</v>
      </c>
      <c r="P3636">
        <v>1</v>
      </c>
      <c r="Q3636">
        <v>0</v>
      </c>
      <c r="R3636" s="4">
        <v>22.16</v>
      </c>
      <c r="S3636">
        <v>0</v>
      </c>
      <c r="T3636">
        <v>1</v>
      </c>
    </row>
    <row r="3637" spans="1:20" ht="16.5" x14ac:dyDescent="0.3">
      <c r="A3637" t="s">
        <v>3691</v>
      </c>
      <c r="B3637" s="1">
        <v>45797</v>
      </c>
      <c r="C3637">
        <v>2025</v>
      </c>
      <c r="D3637" t="s">
        <v>649</v>
      </c>
      <c r="E3637" t="s">
        <v>859</v>
      </c>
      <c r="F3637" t="s">
        <v>38</v>
      </c>
      <c r="G3637" t="s">
        <v>35</v>
      </c>
      <c r="H3637" t="s">
        <v>25</v>
      </c>
      <c r="I3637" t="s">
        <v>26</v>
      </c>
      <c r="J3637" t="s">
        <v>27</v>
      </c>
      <c r="K3637" t="s">
        <v>32</v>
      </c>
      <c r="L3637" s="2">
        <v>1.9</v>
      </c>
      <c r="M3637" s="3">
        <v>772</v>
      </c>
      <c r="N3637">
        <v>4</v>
      </c>
      <c r="O3637">
        <v>3</v>
      </c>
      <c r="P3637">
        <v>1</v>
      </c>
      <c r="Q3637">
        <v>0</v>
      </c>
      <c r="R3637" s="4">
        <v>20.16</v>
      </c>
      <c r="S3637">
        <v>0</v>
      </c>
      <c r="T3637">
        <v>1</v>
      </c>
    </row>
    <row r="3638" spans="1:20" ht="16.5" x14ac:dyDescent="0.3">
      <c r="A3638" t="s">
        <v>3692</v>
      </c>
      <c r="B3638" s="1">
        <v>45797</v>
      </c>
      <c r="C3638">
        <v>2025</v>
      </c>
      <c r="D3638" t="s">
        <v>649</v>
      </c>
      <c r="E3638" t="s">
        <v>859</v>
      </c>
      <c r="F3638" t="s">
        <v>57</v>
      </c>
      <c r="G3638" t="s">
        <v>24</v>
      </c>
      <c r="H3638" t="s">
        <v>25</v>
      </c>
      <c r="I3638" t="s">
        <v>40</v>
      </c>
      <c r="J3638" t="s">
        <v>41</v>
      </c>
      <c r="K3638" t="s">
        <v>28</v>
      </c>
      <c r="L3638" s="2">
        <v>83.8</v>
      </c>
      <c r="M3638" s="3">
        <v>946</v>
      </c>
      <c r="N3638">
        <v>2</v>
      </c>
      <c r="O3638">
        <v>1</v>
      </c>
      <c r="P3638">
        <v>1</v>
      </c>
      <c r="Q3638">
        <v>0</v>
      </c>
      <c r="R3638" s="4">
        <v>177.87</v>
      </c>
      <c r="S3638">
        <v>0</v>
      </c>
      <c r="T3638">
        <v>1</v>
      </c>
    </row>
    <row r="3639" spans="1:20" ht="16.5" x14ac:dyDescent="0.3">
      <c r="A3639" t="s">
        <v>3693</v>
      </c>
      <c r="B3639" s="1">
        <v>45797</v>
      </c>
      <c r="C3639">
        <v>2025</v>
      </c>
      <c r="D3639" t="s">
        <v>649</v>
      </c>
      <c r="E3639" t="s">
        <v>859</v>
      </c>
      <c r="F3639" t="s">
        <v>23</v>
      </c>
      <c r="G3639" t="s">
        <v>39</v>
      </c>
      <c r="H3639" t="s">
        <v>48</v>
      </c>
      <c r="I3639" t="s">
        <v>26</v>
      </c>
      <c r="J3639" t="s">
        <v>27</v>
      </c>
      <c r="K3639" t="s">
        <v>28</v>
      </c>
      <c r="L3639" s="2">
        <v>66.599999999999994</v>
      </c>
      <c r="M3639" s="3">
        <v>574</v>
      </c>
      <c r="N3639">
        <v>4</v>
      </c>
      <c r="O3639">
        <v>3</v>
      </c>
      <c r="P3639">
        <v>1</v>
      </c>
      <c r="Q3639">
        <v>0</v>
      </c>
      <c r="R3639" s="4">
        <v>40.159999999999997</v>
      </c>
      <c r="S3639">
        <v>0</v>
      </c>
      <c r="T3639">
        <v>1</v>
      </c>
    </row>
    <row r="3640" spans="1:20" ht="16.5" x14ac:dyDescent="0.3">
      <c r="A3640" t="s">
        <v>3694</v>
      </c>
      <c r="B3640" s="1">
        <v>45797</v>
      </c>
      <c r="C3640">
        <v>2025</v>
      </c>
      <c r="D3640" t="s">
        <v>649</v>
      </c>
      <c r="E3640" t="s">
        <v>859</v>
      </c>
      <c r="F3640" t="s">
        <v>23</v>
      </c>
      <c r="G3640" t="s">
        <v>39</v>
      </c>
      <c r="H3640" t="s">
        <v>48</v>
      </c>
      <c r="I3640" t="s">
        <v>31</v>
      </c>
      <c r="J3640" t="s">
        <v>27</v>
      </c>
      <c r="K3640" t="s">
        <v>32</v>
      </c>
      <c r="L3640" s="2">
        <v>2.7</v>
      </c>
      <c r="M3640" s="3">
        <v>423</v>
      </c>
      <c r="N3640">
        <v>6</v>
      </c>
      <c r="O3640">
        <v>6</v>
      </c>
      <c r="P3640">
        <v>1</v>
      </c>
      <c r="Q3640">
        <v>0</v>
      </c>
      <c r="R3640" s="4">
        <v>9.3000000000000007</v>
      </c>
      <c r="S3640">
        <v>0</v>
      </c>
      <c r="T3640">
        <v>1</v>
      </c>
    </row>
    <row r="3641" spans="1:20" ht="16.5" x14ac:dyDescent="0.3">
      <c r="A3641" t="s">
        <v>3695</v>
      </c>
      <c r="B3641" s="1">
        <v>45798</v>
      </c>
      <c r="C3641">
        <v>2025</v>
      </c>
      <c r="D3641" t="s">
        <v>649</v>
      </c>
      <c r="E3641" t="s">
        <v>859</v>
      </c>
      <c r="F3641" t="s">
        <v>34</v>
      </c>
      <c r="G3641" t="s">
        <v>39</v>
      </c>
      <c r="H3641" t="s">
        <v>25</v>
      </c>
      <c r="I3641" t="s">
        <v>31</v>
      </c>
      <c r="J3641" t="s">
        <v>27</v>
      </c>
      <c r="K3641" t="s">
        <v>32</v>
      </c>
      <c r="L3641" s="2">
        <v>5.0999999999999996</v>
      </c>
      <c r="M3641" s="3">
        <v>932</v>
      </c>
      <c r="N3641">
        <v>6</v>
      </c>
      <c r="O3641">
        <v>6</v>
      </c>
      <c r="P3641">
        <v>1</v>
      </c>
      <c r="Q3641">
        <v>0</v>
      </c>
      <c r="R3641" s="4">
        <v>13.7</v>
      </c>
      <c r="S3641">
        <v>0</v>
      </c>
      <c r="T3641">
        <v>1</v>
      </c>
    </row>
    <row r="3642" spans="1:20" ht="16.5" x14ac:dyDescent="0.3">
      <c r="A3642" t="s">
        <v>3696</v>
      </c>
      <c r="B3642" s="1">
        <v>45798</v>
      </c>
      <c r="C3642">
        <v>2025</v>
      </c>
      <c r="D3642" t="s">
        <v>649</v>
      </c>
      <c r="E3642" t="s">
        <v>859</v>
      </c>
      <c r="F3642" t="s">
        <v>38</v>
      </c>
      <c r="G3642" t="s">
        <v>39</v>
      </c>
      <c r="H3642" t="s">
        <v>48</v>
      </c>
      <c r="I3642" t="s">
        <v>40</v>
      </c>
      <c r="J3642" t="s">
        <v>27</v>
      </c>
      <c r="K3642" t="s">
        <v>32</v>
      </c>
      <c r="L3642" s="2">
        <v>6.4</v>
      </c>
      <c r="M3642" s="3">
        <v>484</v>
      </c>
      <c r="N3642">
        <v>2</v>
      </c>
      <c r="O3642">
        <v>2</v>
      </c>
      <c r="P3642">
        <v>1</v>
      </c>
      <c r="Q3642">
        <v>0</v>
      </c>
      <c r="R3642" s="4">
        <v>33.19</v>
      </c>
      <c r="S3642">
        <v>0</v>
      </c>
      <c r="T3642">
        <v>1</v>
      </c>
    </row>
    <row r="3643" spans="1:20" ht="16.5" x14ac:dyDescent="0.3">
      <c r="A3643" t="s">
        <v>3697</v>
      </c>
      <c r="B3643" s="1">
        <v>45798</v>
      </c>
      <c r="C3643">
        <v>2025</v>
      </c>
      <c r="D3643" t="s">
        <v>649</v>
      </c>
      <c r="E3643" t="s">
        <v>859</v>
      </c>
      <c r="F3643" t="s">
        <v>38</v>
      </c>
      <c r="G3643" t="s">
        <v>39</v>
      </c>
      <c r="H3643" t="s">
        <v>48</v>
      </c>
      <c r="I3643" t="s">
        <v>31</v>
      </c>
      <c r="J3643" t="s">
        <v>27</v>
      </c>
      <c r="K3643" t="s">
        <v>28</v>
      </c>
      <c r="L3643" s="2">
        <v>135.80000000000001</v>
      </c>
      <c r="M3643" s="3">
        <v>385</v>
      </c>
      <c r="N3643">
        <v>6</v>
      </c>
      <c r="O3643">
        <v>6</v>
      </c>
      <c r="P3643">
        <v>1</v>
      </c>
      <c r="Q3643">
        <v>0</v>
      </c>
      <c r="R3643" s="4">
        <v>58.15</v>
      </c>
      <c r="S3643">
        <v>0</v>
      </c>
      <c r="T3643">
        <v>1</v>
      </c>
    </row>
    <row r="3644" spans="1:20" ht="16.5" x14ac:dyDescent="0.3">
      <c r="A3644" t="s">
        <v>3698</v>
      </c>
      <c r="B3644" s="1">
        <v>45798</v>
      </c>
      <c r="C3644">
        <v>2025</v>
      </c>
      <c r="D3644" t="s">
        <v>649</v>
      </c>
      <c r="E3644" t="s">
        <v>859</v>
      </c>
      <c r="F3644" t="s">
        <v>57</v>
      </c>
      <c r="G3644" t="s">
        <v>39</v>
      </c>
      <c r="H3644" t="s">
        <v>51</v>
      </c>
      <c r="I3644" t="s">
        <v>26</v>
      </c>
      <c r="J3644" t="s">
        <v>27</v>
      </c>
      <c r="K3644" t="s">
        <v>28</v>
      </c>
      <c r="L3644" s="2">
        <v>128.4</v>
      </c>
      <c r="M3644" s="3">
        <v>1037</v>
      </c>
      <c r="N3644">
        <v>5</v>
      </c>
      <c r="O3644">
        <v>5</v>
      </c>
      <c r="P3644">
        <v>1</v>
      </c>
      <c r="Q3644">
        <v>0</v>
      </c>
      <c r="R3644" s="4">
        <v>72.650000000000006</v>
      </c>
      <c r="S3644">
        <v>0</v>
      </c>
      <c r="T3644">
        <v>1</v>
      </c>
    </row>
    <row r="3645" spans="1:20" ht="16.5" x14ac:dyDescent="0.3">
      <c r="A3645" t="s">
        <v>3699</v>
      </c>
      <c r="B3645" s="1">
        <v>45798</v>
      </c>
      <c r="C3645">
        <v>2025</v>
      </c>
      <c r="D3645" t="s">
        <v>649</v>
      </c>
      <c r="E3645" t="s">
        <v>859</v>
      </c>
      <c r="F3645" t="s">
        <v>23</v>
      </c>
      <c r="G3645" t="s">
        <v>35</v>
      </c>
      <c r="H3645" t="s">
        <v>43</v>
      </c>
      <c r="I3645" t="s">
        <v>26</v>
      </c>
      <c r="J3645" t="s">
        <v>27</v>
      </c>
      <c r="K3645" t="s">
        <v>28</v>
      </c>
      <c r="L3645" s="2">
        <v>204.2</v>
      </c>
      <c r="M3645" s="3">
        <v>1059</v>
      </c>
      <c r="N3645">
        <v>5</v>
      </c>
      <c r="O3645">
        <v>5</v>
      </c>
      <c r="P3645">
        <v>1</v>
      </c>
      <c r="Q3645">
        <v>0</v>
      </c>
      <c r="R3645" s="4">
        <v>98.23</v>
      </c>
      <c r="S3645">
        <v>0</v>
      </c>
      <c r="T3645">
        <v>1</v>
      </c>
    </row>
    <row r="3646" spans="1:20" ht="16.5" x14ac:dyDescent="0.3">
      <c r="A3646" t="s">
        <v>3700</v>
      </c>
      <c r="B3646" s="1">
        <v>45798</v>
      </c>
      <c r="C3646">
        <v>2025</v>
      </c>
      <c r="D3646" t="s">
        <v>649</v>
      </c>
      <c r="E3646" t="s">
        <v>859</v>
      </c>
      <c r="F3646" t="s">
        <v>57</v>
      </c>
      <c r="G3646" t="s">
        <v>24</v>
      </c>
      <c r="H3646" t="s">
        <v>36</v>
      </c>
      <c r="I3646" t="s">
        <v>26</v>
      </c>
      <c r="J3646" t="s">
        <v>27</v>
      </c>
      <c r="K3646" t="s">
        <v>32</v>
      </c>
      <c r="L3646" s="2">
        <v>12.5</v>
      </c>
      <c r="M3646" s="3">
        <v>255</v>
      </c>
      <c r="N3646">
        <v>3</v>
      </c>
      <c r="O3646">
        <v>3</v>
      </c>
      <c r="P3646">
        <v>1</v>
      </c>
      <c r="Q3646">
        <v>0</v>
      </c>
      <c r="R3646" s="4">
        <v>16.96</v>
      </c>
      <c r="S3646">
        <v>0</v>
      </c>
      <c r="T3646">
        <v>1</v>
      </c>
    </row>
    <row r="3647" spans="1:20" ht="16.5" x14ac:dyDescent="0.3">
      <c r="A3647" t="s">
        <v>3701</v>
      </c>
      <c r="B3647" s="1">
        <v>45798</v>
      </c>
      <c r="C3647">
        <v>2025</v>
      </c>
      <c r="D3647" t="s">
        <v>649</v>
      </c>
      <c r="E3647" t="s">
        <v>859</v>
      </c>
      <c r="F3647" t="s">
        <v>23</v>
      </c>
      <c r="G3647" t="s">
        <v>39</v>
      </c>
      <c r="H3647" t="s">
        <v>48</v>
      </c>
      <c r="I3647" t="s">
        <v>26</v>
      </c>
      <c r="J3647" t="s">
        <v>27</v>
      </c>
      <c r="K3647" t="s">
        <v>32</v>
      </c>
      <c r="L3647" s="2">
        <v>3.7</v>
      </c>
      <c r="M3647" s="3">
        <v>485</v>
      </c>
      <c r="N3647">
        <v>4</v>
      </c>
      <c r="O3647">
        <v>6</v>
      </c>
      <c r="P3647">
        <v>0</v>
      </c>
      <c r="Q3647">
        <v>2</v>
      </c>
      <c r="R3647" s="4">
        <v>15.47</v>
      </c>
      <c r="S3647">
        <v>0</v>
      </c>
      <c r="T3647">
        <v>1</v>
      </c>
    </row>
    <row r="3648" spans="1:20" ht="16.5" x14ac:dyDescent="0.3">
      <c r="A3648" t="s">
        <v>3702</v>
      </c>
      <c r="B3648" s="1">
        <v>45798</v>
      </c>
      <c r="C3648">
        <v>2025</v>
      </c>
      <c r="D3648" t="s">
        <v>649</v>
      </c>
      <c r="E3648" t="s">
        <v>859</v>
      </c>
      <c r="F3648" t="s">
        <v>34</v>
      </c>
      <c r="G3648" t="s">
        <v>35</v>
      </c>
      <c r="H3648" t="s">
        <v>51</v>
      </c>
      <c r="I3648" t="s">
        <v>31</v>
      </c>
      <c r="J3648" t="s">
        <v>27</v>
      </c>
      <c r="K3648" t="s">
        <v>32</v>
      </c>
      <c r="L3648" s="2">
        <v>8.9</v>
      </c>
      <c r="M3648" s="3">
        <v>955</v>
      </c>
      <c r="N3648">
        <v>7</v>
      </c>
      <c r="O3648">
        <v>8</v>
      </c>
      <c r="P3648">
        <v>0</v>
      </c>
      <c r="Q3648">
        <v>1</v>
      </c>
      <c r="R3648" s="4">
        <v>12.81</v>
      </c>
      <c r="S3648">
        <v>0</v>
      </c>
      <c r="T3648">
        <v>1</v>
      </c>
    </row>
    <row r="3649" spans="1:20" ht="16.5" x14ac:dyDescent="0.3">
      <c r="A3649" t="s">
        <v>3703</v>
      </c>
      <c r="B3649" s="1">
        <v>45798</v>
      </c>
      <c r="C3649">
        <v>2025</v>
      </c>
      <c r="D3649" t="s">
        <v>649</v>
      </c>
      <c r="E3649" t="s">
        <v>859</v>
      </c>
      <c r="F3649" t="s">
        <v>38</v>
      </c>
      <c r="G3649" t="s">
        <v>24</v>
      </c>
      <c r="H3649" t="s">
        <v>25</v>
      </c>
      <c r="I3649" t="s">
        <v>31</v>
      </c>
      <c r="J3649" t="s">
        <v>27</v>
      </c>
      <c r="K3649" t="s">
        <v>32</v>
      </c>
      <c r="L3649" s="2">
        <v>1.6</v>
      </c>
      <c r="M3649" s="3">
        <v>889</v>
      </c>
      <c r="N3649">
        <v>6</v>
      </c>
      <c r="O3649">
        <v>6</v>
      </c>
      <c r="P3649">
        <v>1</v>
      </c>
      <c r="Q3649">
        <v>0</v>
      </c>
      <c r="R3649" s="4">
        <v>16.079999999999998</v>
      </c>
      <c r="S3649">
        <v>0</v>
      </c>
      <c r="T3649">
        <v>1</v>
      </c>
    </row>
    <row r="3650" spans="1:20" ht="16.5" x14ac:dyDescent="0.3">
      <c r="A3650" t="s">
        <v>3704</v>
      </c>
      <c r="B3650" s="1">
        <v>45798</v>
      </c>
      <c r="C3650">
        <v>2025</v>
      </c>
      <c r="D3650" t="s">
        <v>649</v>
      </c>
      <c r="E3650" t="s">
        <v>859</v>
      </c>
      <c r="F3650" t="s">
        <v>23</v>
      </c>
      <c r="G3650" t="s">
        <v>35</v>
      </c>
      <c r="H3650" t="s">
        <v>25</v>
      </c>
      <c r="I3650" t="s">
        <v>26</v>
      </c>
      <c r="J3650" t="s">
        <v>27</v>
      </c>
      <c r="K3650" t="s">
        <v>28</v>
      </c>
      <c r="L3650" s="2">
        <v>62.5</v>
      </c>
      <c r="M3650" s="3">
        <v>1118</v>
      </c>
      <c r="N3650">
        <v>4</v>
      </c>
      <c r="O3650">
        <v>4</v>
      </c>
      <c r="P3650">
        <v>1</v>
      </c>
      <c r="Q3650">
        <v>0</v>
      </c>
      <c r="R3650" s="4">
        <v>45.46</v>
      </c>
      <c r="S3650">
        <v>0</v>
      </c>
      <c r="T3650">
        <v>1</v>
      </c>
    </row>
    <row r="3651" spans="1:20" ht="16.5" x14ac:dyDescent="0.3">
      <c r="A3651" t="s">
        <v>3705</v>
      </c>
      <c r="B3651" s="1">
        <v>45798</v>
      </c>
      <c r="C3651">
        <v>2025</v>
      </c>
      <c r="D3651" t="s">
        <v>649</v>
      </c>
      <c r="E3651" t="s">
        <v>859</v>
      </c>
      <c r="F3651" t="s">
        <v>57</v>
      </c>
      <c r="G3651" t="s">
        <v>39</v>
      </c>
      <c r="H3651" t="s">
        <v>43</v>
      </c>
      <c r="I3651" t="s">
        <v>26</v>
      </c>
      <c r="J3651" t="s">
        <v>27</v>
      </c>
      <c r="K3651" t="s">
        <v>28</v>
      </c>
      <c r="L3651" s="2">
        <v>115.4</v>
      </c>
      <c r="M3651" s="3">
        <v>1128</v>
      </c>
      <c r="N3651">
        <v>5</v>
      </c>
      <c r="O3651">
        <v>5</v>
      </c>
      <c r="P3651">
        <v>1</v>
      </c>
      <c r="Q3651">
        <v>0</v>
      </c>
      <c r="R3651" s="4">
        <v>64.97</v>
      </c>
      <c r="S3651">
        <v>0</v>
      </c>
      <c r="T3651">
        <v>1</v>
      </c>
    </row>
    <row r="3652" spans="1:20" ht="16.5" x14ac:dyDescent="0.3">
      <c r="A3652" t="s">
        <v>3706</v>
      </c>
      <c r="B3652" s="1">
        <v>45798</v>
      </c>
      <c r="C3652">
        <v>2025</v>
      </c>
      <c r="D3652" t="s">
        <v>649</v>
      </c>
      <c r="E3652" t="s">
        <v>859</v>
      </c>
      <c r="F3652" t="s">
        <v>23</v>
      </c>
      <c r="G3652" t="s">
        <v>39</v>
      </c>
      <c r="H3652" t="s">
        <v>36</v>
      </c>
      <c r="I3652" t="s">
        <v>31</v>
      </c>
      <c r="J3652" t="s">
        <v>27</v>
      </c>
      <c r="K3652" t="s">
        <v>32</v>
      </c>
      <c r="L3652" s="2">
        <v>14.3</v>
      </c>
      <c r="M3652" s="3">
        <v>253</v>
      </c>
      <c r="N3652">
        <v>5</v>
      </c>
      <c r="O3652">
        <v>5</v>
      </c>
      <c r="P3652">
        <v>1</v>
      </c>
      <c r="Q3652">
        <v>0</v>
      </c>
      <c r="R3652" s="4">
        <v>12.58</v>
      </c>
      <c r="S3652">
        <v>0</v>
      </c>
      <c r="T3652">
        <v>1</v>
      </c>
    </row>
    <row r="3653" spans="1:20" ht="16.5" x14ac:dyDescent="0.3">
      <c r="A3653" t="s">
        <v>3707</v>
      </c>
      <c r="B3653" s="1">
        <v>45798</v>
      </c>
      <c r="C3653">
        <v>2025</v>
      </c>
      <c r="D3653" t="s">
        <v>649</v>
      </c>
      <c r="E3653" t="s">
        <v>859</v>
      </c>
      <c r="F3653" t="s">
        <v>23</v>
      </c>
      <c r="G3653" t="s">
        <v>24</v>
      </c>
      <c r="H3653" t="s">
        <v>36</v>
      </c>
      <c r="I3653" t="s">
        <v>26</v>
      </c>
      <c r="J3653" t="s">
        <v>27</v>
      </c>
      <c r="K3653" t="s">
        <v>32</v>
      </c>
      <c r="L3653" s="2">
        <v>6.2</v>
      </c>
      <c r="M3653" s="3">
        <v>279</v>
      </c>
      <c r="N3653">
        <v>3</v>
      </c>
      <c r="O3653">
        <v>3</v>
      </c>
      <c r="P3653">
        <v>1</v>
      </c>
      <c r="Q3653">
        <v>0</v>
      </c>
      <c r="R3653" s="4">
        <v>12.5</v>
      </c>
      <c r="S3653">
        <v>0</v>
      </c>
      <c r="T3653">
        <v>1</v>
      </c>
    </row>
    <row r="3654" spans="1:20" ht="16.5" x14ac:dyDescent="0.3">
      <c r="A3654" t="s">
        <v>3708</v>
      </c>
      <c r="B3654" s="1">
        <v>45799</v>
      </c>
      <c r="C3654">
        <v>2025</v>
      </c>
      <c r="D3654" t="s">
        <v>649</v>
      </c>
      <c r="E3654" t="s">
        <v>859</v>
      </c>
      <c r="F3654" t="s">
        <v>38</v>
      </c>
      <c r="G3654" t="s">
        <v>39</v>
      </c>
      <c r="H3654" t="s">
        <v>51</v>
      </c>
      <c r="I3654" t="s">
        <v>26</v>
      </c>
      <c r="J3654" t="s">
        <v>27</v>
      </c>
      <c r="K3654" t="s">
        <v>32</v>
      </c>
      <c r="L3654" s="2">
        <v>0.8</v>
      </c>
      <c r="M3654" s="3">
        <v>1108</v>
      </c>
      <c r="N3654">
        <v>5</v>
      </c>
      <c r="O3654">
        <v>4</v>
      </c>
      <c r="P3654">
        <v>1</v>
      </c>
      <c r="Q3654">
        <v>0</v>
      </c>
      <c r="R3654" s="4">
        <v>19.37</v>
      </c>
      <c r="S3654">
        <v>0</v>
      </c>
      <c r="T3654">
        <v>1</v>
      </c>
    </row>
    <row r="3655" spans="1:20" ht="16.5" x14ac:dyDescent="0.3">
      <c r="A3655" t="s">
        <v>3709</v>
      </c>
      <c r="B3655" s="1">
        <v>45799</v>
      </c>
      <c r="C3655">
        <v>2025</v>
      </c>
      <c r="D3655" t="s">
        <v>649</v>
      </c>
      <c r="E3655" t="s">
        <v>859</v>
      </c>
      <c r="F3655" t="s">
        <v>30</v>
      </c>
      <c r="G3655" t="s">
        <v>35</v>
      </c>
      <c r="H3655" t="s">
        <v>48</v>
      </c>
      <c r="I3655" t="s">
        <v>40</v>
      </c>
      <c r="J3655" t="s">
        <v>27</v>
      </c>
      <c r="K3655" t="s">
        <v>32</v>
      </c>
      <c r="L3655" s="2">
        <v>6.5</v>
      </c>
      <c r="M3655" s="3">
        <v>583</v>
      </c>
      <c r="N3655">
        <v>2</v>
      </c>
      <c r="O3655">
        <v>1</v>
      </c>
      <c r="P3655">
        <v>1</v>
      </c>
      <c r="Q3655">
        <v>0</v>
      </c>
      <c r="R3655" s="4">
        <v>37.1</v>
      </c>
      <c r="S3655">
        <v>0</v>
      </c>
      <c r="T3655">
        <v>1</v>
      </c>
    </row>
    <row r="3656" spans="1:20" ht="16.5" x14ac:dyDescent="0.3">
      <c r="A3656" t="s">
        <v>3710</v>
      </c>
      <c r="B3656" s="1">
        <v>45799</v>
      </c>
      <c r="C3656">
        <v>2025</v>
      </c>
      <c r="D3656" t="s">
        <v>649</v>
      </c>
      <c r="E3656" t="s">
        <v>859</v>
      </c>
      <c r="F3656" t="s">
        <v>34</v>
      </c>
      <c r="G3656" t="s">
        <v>39</v>
      </c>
      <c r="H3656" t="s">
        <v>48</v>
      </c>
      <c r="I3656" t="s">
        <v>31</v>
      </c>
      <c r="J3656" t="s">
        <v>27</v>
      </c>
      <c r="K3656" t="s">
        <v>32</v>
      </c>
      <c r="L3656" s="2">
        <v>5.6</v>
      </c>
      <c r="M3656" s="3">
        <v>508</v>
      </c>
      <c r="N3656">
        <v>6</v>
      </c>
      <c r="O3656">
        <v>5</v>
      </c>
      <c r="P3656">
        <v>1</v>
      </c>
      <c r="Q3656">
        <v>0</v>
      </c>
      <c r="R3656" s="4">
        <v>9.93</v>
      </c>
      <c r="S3656">
        <v>0</v>
      </c>
      <c r="T3656">
        <v>1</v>
      </c>
    </row>
    <row r="3657" spans="1:20" ht="16.5" x14ac:dyDescent="0.3">
      <c r="A3657" t="s">
        <v>3711</v>
      </c>
      <c r="B3657" s="1">
        <v>45799</v>
      </c>
      <c r="C3657">
        <v>2025</v>
      </c>
      <c r="D3657" t="s">
        <v>649</v>
      </c>
      <c r="E3657" t="s">
        <v>859</v>
      </c>
      <c r="F3657" t="s">
        <v>57</v>
      </c>
      <c r="G3657" t="s">
        <v>35</v>
      </c>
      <c r="H3657" t="s">
        <v>51</v>
      </c>
      <c r="I3657" t="s">
        <v>26</v>
      </c>
      <c r="J3657" t="s">
        <v>27</v>
      </c>
      <c r="K3657" t="s">
        <v>32</v>
      </c>
      <c r="L3657" s="2">
        <v>5.7</v>
      </c>
      <c r="M3657" s="3">
        <v>1102</v>
      </c>
      <c r="N3657">
        <v>5</v>
      </c>
      <c r="O3657">
        <v>5</v>
      </c>
      <c r="P3657">
        <v>1</v>
      </c>
      <c r="Q3657">
        <v>0</v>
      </c>
      <c r="R3657" s="4">
        <v>23.04</v>
      </c>
      <c r="S3657">
        <v>0</v>
      </c>
      <c r="T3657">
        <v>1</v>
      </c>
    </row>
    <row r="3658" spans="1:20" ht="16.5" x14ac:dyDescent="0.3">
      <c r="A3658" t="s">
        <v>3712</v>
      </c>
      <c r="B3658" s="1">
        <v>45799</v>
      </c>
      <c r="C3658">
        <v>2025</v>
      </c>
      <c r="D3658" t="s">
        <v>649</v>
      </c>
      <c r="E3658" t="s">
        <v>859</v>
      </c>
      <c r="F3658" t="s">
        <v>57</v>
      </c>
      <c r="G3658" t="s">
        <v>35</v>
      </c>
      <c r="H3658" t="s">
        <v>25</v>
      </c>
      <c r="I3658" t="s">
        <v>26</v>
      </c>
      <c r="J3658" t="s">
        <v>27</v>
      </c>
      <c r="K3658" t="s">
        <v>32</v>
      </c>
      <c r="L3658" s="2">
        <v>3.5</v>
      </c>
      <c r="M3658" s="3">
        <v>1013</v>
      </c>
      <c r="N3658">
        <v>4</v>
      </c>
      <c r="O3658">
        <v>4</v>
      </c>
      <c r="P3658">
        <v>1</v>
      </c>
      <c r="Q3658">
        <v>0</v>
      </c>
      <c r="R3658" s="4">
        <v>21.22</v>
      </c>
      <c r="S3658">
        <v>0</v>
      </c>
      <c r="T3658">
        <v>1</v>
      </c>
    </row>
    <row r="3659" spans="1:20" ht="16.5" x14ac:dyDescent="0.3">
      <c r="A3659" t="s">
        <v>3713</v>
      </c>
      <c r="B3659" s="1">
        <v>45799</v>
      </c>
      <c r="C3659">
        <v>2025</v>
      </c>
      <c r="D3659" t="s">
        <v>649</v>
      </c>
      <c r="E3659" t="s">
        <v>859</v>
      </c>
      <c r="F3659" t="s">
        <v>34</v>
      </c>
      <c r="G3659" t="s">
        <v>35</v>
      </c>
      <c r="H3659" t="s">
        <v>51</v>
      </c>
      <c r="I3659" t="s">
        <v>26</v>
      </c>
      <c r="J3659" t="s">
        <v>27</v>
      </c>
      <c r="K3659" t="s">
        <v>32</v>
      </c>
      <c r="L3659" s="2">
        <v>6.5</v>
      </c>
      <c r="M3659" s="3">
        <v>918</v>
      </c>
      <c r="N3659">
        <v>5</v>
      </c>
      <c r="O3659">
        <v>5</v>
      </c>
      <c r="P3659">
        <v>1</v>
      </c>
      <c r="Q3659">
        <v>0</v>
      </c>
      <c r="R3659" s="4">
        <v>20.350000000000001</v>
      </c>
      <c r="S3659">
        <v>0</v>
      </c>
      <c r="T3659">
        <v>1</v>
      </c>
    </row>
    <row r="3660" spans="1:20" ht="16.5" x14ac:dyDescent="0.3">
      <c r="A3660" t="s">
        <v>3714</v>
      </c>
      <c r="B3660" s="1">
        <v>45799</v>
      </c>
      <c r="C3660">
        <v>2025</v>
      </c>
      <c r="D3660" t="s">
        <v>649</v>
      </c>
      <c r="E3660" t="s">
        <v>859</v>
      </c>
      <c r="F3660" t="s">
        <v>30</v>
      </c>
      <c r="G3660" t="s">
        <v>39</v>
      </c>
      <c r="H3660" t="s">
        <v>25</v>
      </c>
      <c r="I3660" t="s">
        <v>26</v>
      </c>
      <c r="J3660" t="s">
        <v>27</v>
      </c>
      <c r="K3660" t="s">
        <v>32</v>
      </c>
      <c r="L3660" s="2">
        <v>4.0999999999999996</v>
      </c>
      <c r="M3660" s="3">
        <v>955</v>
      </c>
      <c r="N3660">
        <v>4</v>
      </c>
      <c r="O3660">
        <v>4</v>
      </c>
      <c r="P3660">
        <v>1</v>
      </c>
      <c r="Q3660">
        <v>0</v>
      </c>
      <c r="R3660" s="4">
        <v>21.65</v>
      </c>
      <c r="S3660">
        <v>0</v>
      </c>
      <c r="T3660">
        <v>1</v>
      </c>
    </row>
    <row r="3661" spans="1:20" ht="16.5" x14ac:dyDescent="0.3">
      <c r="A3661" t="s">
        <v>3715</v>
      </c>
      <c r="B3661" s="1">
        <v>45799</v>
      </c>
      <c r="C3661">
        <v>2025</v>
      </c>
      <c r="D3661" t="s">
        <v>649</v>
      </c>
      <c r="E3661" t="s">
        <v>859</v>
      </c>
      <c r="F3661" t="s">
        <v>57</v>
      </c>
      <c r="G3661" t="s">
        <v>24</v>
      </c>
      <c r="H3661" t="s">
        <v>51</v>
      </c>
      <c r="I3661" t="s">
        <v>26</v>
      </c>
      <c r="J3661" t="s">
        <v>27</v>
      </c>
      <c r="K3661" t="s">
        <v>28</v>
      </c>
      <c r="L3661" s="2">
        <v>172.8</v>
      </c>
      <c r="M3661" s="3">
        <v>1149</v>
      </c>
      <c r="N3661">
        <v>5</v>
      </c>
      <c r="O3661">
        <v>4</v>
      </c>
      <c r="P3661">
        <v>1</v>
      </c>
      <c r="Q3661">
        <v>0</v>
      </c>
      <c r="R3661" s="4">
        <v>92.87</v>
      </c>
      <c r="S3661">
        <v>0</v>
      </c>
      <c r="T3661">
        <v>1</v>
      </c>
    </row>
    <row r="3662" spans="1:20" ht="16.5" x14ac:dyDescent="0.3">
      <c r="A3662" t="s">
        <v>3716</v>
      </c>
      <c r="B3662" s="1">
        <v>45799</v>
      </c>
      <c r="C3662">
        <v>2025</v>
      </c>
      <c r="D3662" t="s">
        <v>649</v>
      </c>
      <c r="E3662" t="s">
        <v>859</v>
      </c>
      <c r="F3662" t="s">
        <v>38</v>
      </c>
      <c r="G3662" t="s">
        <v>39</v>
      </c>
      <c r="H3662" t="s">
        <v>51</v>
      </c>
      <c r="I3662" t="s">
        <v>26</v>
      </c>
      <c r="J3662" t="s">
        <v>27</v>
      </c>
      <c r="K3662" t="s">
        <v>32</v>
      </c>
      <c r="L3662" s="2">
        <v>6.3</v>
      </c>
      <c r="M3662" s="3">
        <v>1476</v>
      </c>
      <c r="N3662">
        <v>5</v>
      </c>
      <c r="O3662">
        <v>5</v>
      </c>
      <c r="P3662">
        <v>1</v>
      </c>
      <c r="Q3662">
        <v>0</v>
      </c>
      <c r="R3662" s="4">
        <v>30.52</v>
      </c>
      <c r="S3662">
        <v>0</v>
      </c>
      <c r="T3662">
        <v>1</v>
      </c>
    </row>
    <row r="3663" spans="1:20" ht="16.5" x14ac:dyDescent="0.3">
      <c r="A3663" t="s">
        <v>3717</v>
      </c>
      <c r="B3663" s="1">
        <v>45799</v>
      </c>
      <c r="C3663">
        <v>2025</v>
      </c>
      <c r="D3663" t="s">
        <v>649</v>
      </c>
      <c r="E3663" t="s">
        <v>859</v>
      </c>
      <c r="F3663" t="s">
        <v>38</v>
      </c>
      <c r="G3663" t="s">
        <v>39</v>
      </c>
      <c r="H3663" t="s">
        <v>43</v>
      </c>
      <c r="I3663" t="s">
        <v>31</v>
      </c>
      <c r="J3663" t="s">
        <v>27</v>
      </c>
      <c r="K3663" t="s">
        <v>28</v>
      </c>
      <c r="L3663" s="2">
        <v>110.9</v>
      </c>
      <c r="M3663" s="3">
        <v>1240</v>
      </c>
      <c r="N3663">
        <v>7</v>
      </c>
      <c r="O3663">
        <v>6</v>
      </c>
      <c r="P3663">
        <v>1</v>
      </c>
      <c r="Q3663">
        <v>0</v>
      </c>
      <c r="R3663" s="4">
        <v>56.72</v>
      </c>
      <c r="S3663">
        <v>0</v>
      </c>
      <c r="T3663">
        <v>1</v>
      </c>
    </row>
    <row r="3664" spans="1:20" ht="16.5" x14ac:dyDescent="0.3">
      <c r="A3664" t="s">
        <v>3718</v>
      </c>
      <c r="B3664" s="1">
        <v>45799</v>
      </c>
      <c r="C3664">
        <v>2025</v>
      </c>
      <c r="D3664" t="s">
        <v>649</v>
      </c>
      <c r="E3664" t="s">
        <v>859</v>
      </c>
      <c r="F3664" t="s">
        <v>38</v>
      </c>
      <c r="G3664" t="s">
        <v>24</v>
      </c>
      <c r="H3664" t="s">
        <v>48</v>
      </c>
      <c r="I3664" t="s">
        <v>31</v>
      </c>
      <c r="J3664" t="s">
        <v>27</v>
      </c>
      <c r="K3664" t="s">
        <v>28</v>
      </c>
      <c r="L3664" s="2">
        <v>93.6</v>
      </c>
      <c r="M3664" s="3">
        <v>589</v>
      </c>
      <c r="N3664">
        <v>6</v>
      </c>
      <c r="O3664">
        <v>6</v>
      </c>
      <c r="P3664">
        <v>1</v>
      </c>
      <c r="Q3664">
        <v>0</v>
      </c>
      <c r="R3664" s="4">
        <v>40.61</v>
      </c>
      <c r="S3664">
        <v>1</v>
      </c>
      <c r="T3664">
        <v>1</v>
      </c>
    </row>
    <row r="3665" spans="1:20" ht="16.5" x14ac:dyDescent="0.3">
      <c r="A3665" t="s">
        <v>3719</v>
      </c>
      <c r="B3665" s="1">
        <v>45799</v>
      </c>
      <c r="C3665">
        <v>2025</v>
      </c>
      <c r="D3665" t="s">
        <v>649</v>
      </c>
      <c r="E3665" t="s">
        <v>859</v>
      </c>
      <c r="F3665" t="s">
        <v>57</v>
      </c>
      <c r="G3665" t="s">
        <v>39</v>
      </c>
      <c r="H3665" t="s">
        <v>48</v>
      </c>
      <c r="I3665" t="s">
        <v>40</v>
      </c>
      <c r="J3665" t="s">
        <v>27</v>
      </c>
      <c r="K3665" t="s">
        <v>32</v>
      </c>
      <c r="L3665" s="2">
        <v>3.1</v>
      </c>
      <c r="M3665" s="3">
        <v>385</v>
      </c>
      <c r="N3665">
        <v>2</v>
      </c>
      <c r="O3665">
        <v>2</v>
      </c>
      <c r="P3665">
        <v>1</v>
      </c>
      <c r="Q3665">
        <v>0</v>
      </c>
      <c r="R3665" s="4">
        <v>25.9</v>
      </c>
      <c r="S3665">
        <v>0</v>
      </c>
      <c r="T3665">
        <v>1</v>
      </c>
    </row>
    <row r="3666" spans="1:20" ht="16.5" x14ac:dyDescent="0.3">
      <c r="A3666" t="s">
        <v>3720</v>
      </c>
      <c r="B3666" s="1">
        <v>45800</v>
      </c>
      <c r="C3666">
        <v>2025</v>
      </c>
      <c r="D3666" t="s">
        <v>649</v>
      </c>
      <c r="E3666" t="s">
        <v>859</v>
      </c>
      <c r="F3666" t="s">
        <v>57</v>
      </c>
      <c r="G3666" t="s">
        <v>39</v>
      </c>
      <c r="H3666" t="s">
        <v>36</v>
      </c>
      <c r="I3666" t="s">
        <v>26</v>
      </c>
      <c r="J3666" t="s">
        <v>27</v>
      </c>
      <c r="K3666" t="s">
        <v>32</v>
      </c>
      <c r="L3666" s="2">
        <v>1.2</v>
      </c>
      <c r="M3666" s="3">
        <v>244</v>
      </c>
      <c r="N3666">
        <v>3</v>
      </c>
      <c r="O3666">
        <v>2</v>
      </c>
      <c r="P3666">
        <v>1</v>
      </c>
      <c r="Q3666">
        <v>0</v>
      </c>
      <c r="R3666" s="4">
        <v>9.9700000000000006</v>
      </c>
      <c r="S3666">
        <v>0</v>
      </c>
      <c r="T3666">
        <v>1</v>
      </c>
    </row>
    <row r="3667" spans="1:20" ht="16.5" x14ac:dyDescent="0.3">
      <c r="A3667" t="s">
        <v>3721</v>
      </c>
      <c r="B3667" s="1">
        <v>45800</v>
      </c>
      <c r="C3667">
        <v>2025</v>
      </c>
      <c r="D3667" t="s">
        <v>649</v>
      </c>
      <c r="E3667" t="s">
        <v>859</v>
      </c>
      <c r="F3667" t="s">
        <v>30</v>
      </c>
      <c r="G3667" t="s">
        <v>24</v>
      </c>
      <c r="H3667" t="s">
        <v>36</v>
      </c>
      <c r="I3667" t="s">
        <v>40</v>
      </c>
      <c r="J3667" t="s">
        <v>27</v>
      </c>
      <c r="K3667" t="s">
        <v>32</v>
      </c>
      <c r="L3667" s="2">
        <v>4.8</v>
      </c>
      <c r="M3667" s="3">
        <v>218</v>
      </c>
      <c r="N3667">
        <v>1</v>
      </c>
      <c r="O3667">
        <v>1</v>
      </c>
      <c r="P3667">
        <v>1</v>
      </c>
      <c r="Q3667">
        <v>0</v>
      </c>
      <c r="R3667" s="4">
        <v>24.17</v>
      </c>
      <c r="S3667">
        <v>0</v>
      </c>
      <c r="T3667">
        <v>1</v>
      </c>
    </row>
    <row r="3668" spans="1:20" ht="16.5" x14ac:dyDescent="0.3">
      <c r="A3668" t="s">
        <v>3722</v>
      </c>
      <c r="B3668" s="1">
        <v>45800</v>
      </c>
      <c r="C3668">
        <v>2025</v>
      </c>
      <c r="D3668" t="s">
        <v>649</v>
      </c>
      <c r="E3668" t="s">
        <v>859</v>
      </c>
      <c r="F3668" t="s">
        <v>38</v>
      </c>
      <c r="G3668" t="s">
        <v>24</v>
      </c>
      <c r="H3668" t="s">
        <v>48</v>
      </c>
      <c r="I3668" t="s">
        <v>26</v>
      </c>
      <c r="J3668" t="s">
        <v>27</v>
      </c>
      <c r="K3668" t="s">
        <v>28</v>
      </c>
      <c r="L3668" s="2">
        <v>87.3</v>
      </c>
      <c r="M3668" s="3">
        <v>492</v>
      </c>
      <c r="N3668">
        <v>4</v>
      </c>
      <c r="O3668">
        <v>4</v>
      </c>
      <c r="P3668">
        <v>1</v>
      </c>
      <c r="Q3668">
        <v>0</v>
      </c>
      <c r="R3668" s="4">
        <v>59.21</v>
      </c>
      <c r="S3668">
        <v>0</v>
      </c>
      <c r="T3668">
        <v>1</v>
      </c>
    </row>
    <row r="3669" spans="1:20" ht="16.5" x14ac:dyDescent="0.3">
      <c r="A3669" t="s">
        <v>3723</v>
      </c>
      <c r="B3669" s="1">
        <v>45800</v>
      </c>
      <c r="C3669">
        <v>2025</v>
      </c>
      <c r="D3669" t="s">
        <v>649</v>
      </c>
      <c r="E3669" t="s">
        <v>859</v>
      </c>
      <c r="F3669" t="s">
        <v>30</v>
      </c>
      <c r="G3669" t="s">
        <v>39</v>
      </c>
      <c r="H3669" t="s">
        <v>48</v>
      </c>
      <c r="I3669" t="s">
        <v>40</v>
      </c>
      <c r="J3669" t="s">
        <v>27</v>
      </c>
      <c r="K3669" t="s">
        <v>28</v>
      </c>
      <c r="L3669" s="2">
        <v>46.6</v>
      </c>
      <c r="M3669" s="3">
        <v>384</v>
      </c>
      <c r="N3669">
        <v>2</v>
      </c>
      <c r="O3669">
        <v>2</v>
      </c>
      <c r="P3669">
        <v>1</v>
      </c>
      <c r="Q3669">
        <v>0</v>
      </c>
      <c r="R3669" s="4">
        <v>72.349999999999994</v>
      </c>
      <c r="S3669">
        <v>0</v>
      </c>
      <c r="T3669">
        <v>1</v>
      </c>
    </row>
    <row r="3670" spans="1:20" ht="16.5" x14ac:dyDescent="0.3">
      <c r="A3670" t="s">
        <v>3724</v>
      </c>
      <c r="B3670" s="1">
        <v>45800</v>
      </c>
      <c r="C3670">
        <v>2025</v>
      </c>
      <c r="D3670" t="s">
        <v>649</v>
      </c>
      <c r="E3670" t="s">
        <v>859</v>
      </c>
      <c r="F3670" t="s">
        <v>30</v>
      </c>
      <c r="G3670" t="s">
        <v>39</v>
      </c>
      <c r="H3670" t="s">
        <v>25</v>
      </c>
      <c r="I3670" t="s">
        <v>26</v>
      </c>
      <c r="J3670" t="s">
        <v>27</v>
      </c>
      <c r="K3670" t="s">
        <v>28</v>
      </c>
      <c r="L3670" s="2">
        <v>78.2</v>
      </c>
      <c r="M3670" s="3">
        <v>889</v>
      </c>
      <c r="N3670">
        <v>4</v>
      </c>
      <c r="O3670">
        <v>3</v>
      </c>
      <c r="P3670">
        <v>1</v>
      </c>
      <c r="Q3670">
        <v>0</v>
      </c>
      <c r="R3670" s="4">
        <v>55.8</v>
      </c>
      <c r="S3670">
        <v>0</v>
      </c>
      <c r="T3670">
        <v>1</v>
      </c>
    </row>
    <row r="3671" spans="1:20" ht="16.5" x14ac:dyDescent="0.3">
      <c r="A3671" t="s">
        <v>3725</v>
      </c>
      <c r="B3671" s="1">
        <v>45800</v>
      </c>
      <c r="C3671">
        <v>2025</v>
      </c>
      <c r="D3671" t="s">
        <v>649</v>
      </c>
      <c r="E3671" t="s">
        <v>859</v>
      </c>
      <c r="F3671" t="s">
        <v>34</v>
      </c>
      <c r="G3671" t="s">
        <v>24</v>
      </c>
      <c r="H3671" t="s">
        <v>51</v>
      </c>
      <c r="I3671" t="s">
        <v>40</v>
      </c>
      <c r="J3671" t="s">
        <v>41</v>
      </c>
      <c r="K3671" t="s">
        <v>32</v>
      </c>
      <c r="L3671" s="2">
        <v>1.5</v>
      </c>
      <c r="M3671" s="3">
        <v>1250</v>
      </c>
      <c r="N3671">
        <v>3</v>
      </c>
      <c r="O3671">
        <v>6</v>
      </c>
      <c r="P3671">
        <v>0</v>
      </c>
      <c r="Q3671">
        <v>3</v>
      </c>
      <c r="R3671" s="4">
        <v>60.24</v>
      </c>
      <c r="S3671">
        <v>0</v>
      </c>
      <c r="T3671">
        <v>1</v>
      </c>
    </row>
    <row r="3672" spans="1:20" ht="16.5" x14ac:dyDescent="0.3">
      <c r="A3672" t="s">
        <v>3726</v>
      </c>
      <c r="B3672" s="1">
        <v>45800</v>
      </c>
      <c r="C3672">
        <v>2025</v>
      </c>
      <c r="D3672" t="s">
        <v>649</v>
      </c>
      <c r="E3672" t="s">
        <v>859</v>
      </c>
      <c r="F3672" t="s">
        <v>38</v>
      </c>
      <c r="G3672" t="s">
        <v>39</v>
      </c>
      <c r="H3672" t="s">
        <v>51</v>
      </c>
      <c r="I3672" t="s">
        <v>26</v>
      </c>
      <c r="J3672" t="s">
        <v>27</v>
      </c>
      <c r="K3672" t="s">
        <v>32</v>
      </c>
      <c r="L3672" s="2">
        <v>3.3</v>
      </c>
      <c r="M3672" s="3">
        <v>992</v>
      </c>
      <c r="N3672">
        <v>5</v>
      </c>
      <c r="O3672">
        <v>5</v>
      </c>
      <c r="P3672">
        <v>1</v>
      </c>
      <c r="Q3672">
        <v>0</v>
      </c>
      <c r="R3672" s="4">
        <v>23.55</v>
      </c>
      <c r="S3672">
        <v>0</v>
      </c>
      <c r="T3672">
        <v>1</v>
      </c>
    </row>
    <row r="3673" spans="1:20" ht="16.5" x14ac:dyDescent="0.3">
      <c r="A3673" t="s">
        <v>3727</v>
      </c>
      <c r="B3673" s="1">
        <v>45800</v>
      </c>
      <c r="C3673">
        <v>2025</v>
      </c>
      <c r="D3673" t="s">
        <v>649</v>
      </c>
      <c r="E3673" t="s">
        <v>859</v>
      </c>
      <c r="F3673" t="s">
        <v>38</v>
      </c>
      <c r="G3673" t="s">
        <v>35</v>
      </c>
      <c r="H3673" t="s">
        <v>48</v>
      </c>
      <c r="I3673" t="s">
        <v>26</v>
      </c>
      <c r="J3673" t="s">
        <v>27</v>
      </c>
      <c r="K3673" t="s">
        <v>32</v>
      </c>
      <c r="L3673" s="2">
        <v>5.6</v>
      </c>
      <c r="M3673" s="3">
        <v>444</v>
      </c>
      <c r="N3673">
        <v>4</v>
      </c>
      <c r="O3673">
        <v>4</v>
      </c>
      <c r="P3673">
        <v>1</v>
      </c>
      <c r="Q3673">
        <v>0</v>
      </c>
      <c r="R3673" s="4">
        <v>15.95</v>
      </c>
      <c r="S3673">
        <v>0</v>
      </c>
      <c r="T3673">
        <v>1</v>
      </c>
    </row>
    <row r="3674" spans="1:20" ht="16.5" x14ac:dyDescent="0.3">
      <c r="A3674" t="s">
        <v>3728</v>
      </c>
      <c r="B3674" s="1">
        <v>45801</v>
      </c>
      <c r="C3674">
        <v>2025</v>
      </c>
      <c r="D3674" t="s">
        <v>649</v>
      </c>
      <c r="E3674" t="s">
        <v>859</v>
      </c>
      <c r="F3674" t="s">
        <v>30</v>
      </c>
      <c r="G3674" t="s">
        <v>39</v>
      </c>
      <c r="H3674" t="s">
        <v>48</v>
      </c>
      <c r="I3674" t="s">
        <v>31</v>
      </c>
      <c r="J3674" t="s">
        <v>27</v>
      </c>
      <c r="K3674" t="s">
        <v>32</v>
      </c>
      <c r="L3674" s="2">
        <v>1.8</v>
      </c>
      <c r="M3674" s="3">
        <v>561</v>
      </c>
      <c r="N3674">
        <v>6</v>
      </c>
      <c r="O3674">
        <v>6</v>
      </c>
      <c r="P3674">
        <v>1</v>
      </c>
      <c r="Q3674">
        <v>0</v>
      </c>
      <c r="R3674" s="4">
        <v>11.28</v>
      </c>
      <c r="S3674">
        <v>0</v>
      </c>
      <c r="T3674">
        <v>1</v>
      </c>
    </row>
    <row r="3675" spans="1:20" ht="16.5" x14ac:dyDescent="0.3">
      <c r="A3675" t="s">
        <v>3729</v>
      </c>
      <c r="B3675" s="1">
        <v>45801</v>
      </c>
      <c r="C3675">
        <v>2025</v>
      </c>
      <c r="D3675" t="s">
        <v>649</v>
      </c>
      <c r="E3675" t="s">
        <v>859</v>
      </c>
      <c r="F3675" t="s">
        <v>38</v>
      </c>
      <c r="G3675" t="s">
        <v>39</v>
      </c>
      <c r="H3675" t="s">
        <v>48</v>
      </c>
      <c r="I3675" t="s">
        <v>26</v>
      </c>
      <c r="J3675" t="s">
        <v>27</v>
      </c>
      <c r="K3675" t="s">
        <v>28</v>
      </c>
      <c r="L3675" s="2">
        <v>84.8</v>
      </c>
      <c r="M3675" s="3">
        <v>501</v>
      </c>
      <c r="N3675">
        <v>4</v>
      </c>
      <c r="O3675">
        <v>4</v>
      </c>
      <c r="P3675">
        <v>1</v>
      </c>
      <c r="Q3675">
        <v>0</v>
      </c>
      <c r="R3675" s="4">
        <v>60.95</v>
      </c>
      <c r="S3675">
        <v>0</v>
      </c>
      <c r="T3675">
        <v>1</v>
      </c>
    </row>
    <row r="3676" spans="1:20" ht="16.5" x14ac:dyDescent="0.3">
      <c r="A3676" t="s">
        <v>3730</v>
      </c>
      <c r="B3676" s="1">
        <v>45802</v>
      </c>
      <c r="C3676">
        <v>2025</v>
      </c>
      <c r="D3676" t="s">
        <v>649</v>
      </c>
      <c r="E3676" t="s">
        <v>859</v>
      </c>
      <c r="F3676" t="s">
        <v>30</v>
      </c>
      <c r="G3676" t="s">
        <v>35</v>
      </c>
      <c r="H3676" t="s">
        <v>25</v>
      </c>
      <c r="I3676" t="s">
        <v>26</v>
      </c>
      <c r="J3676" t="s">
        <v>27</v>
      </c>
      <c r="K3676" t="s">
        <v>28</v>
      </c>
      <c r="L3676" s="2">
        <v>352.5</v>
      </c>
      <c r="M3676" s="3">
        <v>725</v>
      </c>
      <c r="N3676">
        <v>4</v>
      </c>
      <c r="O3676">
        <v>4</v>
      </c>
      <c r="P3676">
        <v>1</v>
      </c>
      <c r="Q3676">
        <v>0</v>
      </c>
      <c r="R3676" s="4">
        <v>163.43</v>
      </c>
      <c r="S3676">
        <v>0</v>
      </c>
      <c r="T3676">
        <v>1</v>
      </c>
    </row>
    <row r="3677" spans="1:20" ht="16.5" x14ac:dyDescent="0.3">
      <c r="A3677" t="s">
        <v>3731</v>
      </c>
      <c r="B3677" s="1">
        <v>45803</v>
      </c>
      <c r="C3677">
        <v>2025</v>
      </c>
      <c r="D3677" t="s">
        <v>649</v>
      </c>
      <c r="E3677" t="s">
        <v>859</v>
      </c>
      <c r="F3677" t="s">
        <v>38</v>
      </c>
      <c r="G3677" t="s">
        <v>39</v>
      </c>
      <c r="H3677" t="s">
        <v>43</v>
      </c>
      <c r="I3677" t="s">
        <v>40</v>
      </c>
      <c r="J3677" t="s">
        <v>41</v>
      </c>
      <c r="K3677" t="s">
        <v>32</v>
      </c>
      <c r="L3677" s="2">
        <v>21.8</v>
      </c>
      <c r="M3677" s="3">
        <v>1439</v>
      </c>
      <c r="N3677">
        <v>3</v>
      </c>
      <c r="O3677">
        <v>3</v>
      </c>
      <c r="P3677">
        <v>1</v>
      </c>
      <c r="Q3677">
        <v>0</v>
      </c>
      <c r="R3677" s="4">
        <v>117.79</v>
      </c>
      <c r="S3677">
        <v>0</v>
      </c>
      <c r="T3677">
        <v>1</v>
      </c>
    </row>
    <row r="3678" spans="1:20" ht="16.5" x14ac:dyDescent="0.3">
      <c r="A3678" t="s">
        <v>3732</v>
      </c>
      <c r="B3678" s="1">
        <v>45803</v>
      </c>
      <c r="C3678">
        <v>2025</v>
      </c>
      <c r="D3678" t="s">
        <v>649</v>
      </c>
      <c r="E3678" t="s">
        <v>859</v>
      </c>
      <c r="F3678" t="s">
        <v>23</v>
      </c>
      <c r="G3678" t="s">
        <v>35</v>
      </c>
      <c r="H3678" t="s">
        <v>51</v>
      </c>
      <c r="I3678" t="s">
        <v>31</v>
      </c>
      <c r="J3678" t="s">
        <v>27</v>
      </c>
      <c r="K3678" t="s">
        <v>32</v>
      </c>
      <c r="L3678" s="2">
        <v>11.9</v>
      </c>
      <c r="M3678" s="3">
        <v>1142</v>
      </c>
      <c r="N3678">
        <v>7</v>
      </c>
      <c r="O3678">
        <v>7</v>
      </c>
      <c r="P3678">
        <v>1</v>
      </c>
      <c r="Q3678">
        <v>0</v>
      </c>
      <c r="R3678" s="4">
        <v>18.96</v>
      </c>
      <c r="S3678">
        <v>0</v>
      </c>
      <c r="T3678">
        <v>1</v>
      </c>
    </row>
    <row r="3679" spans="1:20" ht="16.5" x14ac:dyDescent="0.3">
      <c r="A3679" t="s">
        <v>3733</v>
      </c>
      <c r="B3679" s="1">
        <v>45803</v>
      </c>
      <c r="C3679">
        <v>2025</v>
      </c>
      <c r="D3679" t="s">
        <v>649</v>
      </c>
      <c r="E3679" t="s">
        <v>859</v>
      </c>
      <c r="F3679" t="s">
        <v>38</v>
      </c>
      <c r="G3679" t="s">
        <v>35</v>
      </c>
      <c r="H3679" t="s">
        <v>36</v>
      </c>
      <c r="I3679" t="s">
        <v>40</v>
      </c>
      <c r="J3679" t="s">
        <v>27</v>
      </c>
      <c r="K3679" t="s">
        <v>32</v>
      </c>
      <c r="L3679" s="2">
        <v>11.7</v>
      </c>
      <c r="M3679" s="3">
        <v>256</v>
      </c>
      <c r="N3679">
        <v>1</v>
      </c>
      <c r="O3679">
        <v>1</v>
      </c>
      <c r="P3679">
        <v>1</v>
      </c>
      <c r="Q3679">
        <v>0</v>
      </c>
      <c r="R3679" s="4">
        <v>37.090000000000003</v>
      </c>
      <c r="S3679">
        <v>0</v>
      </c>
      <c r="T3679">
        <v>1</v>
      </c>
    </row>
    <row r="3680" spans="1:20" ht="16.5" x14ac:dyDescent="0.3">
      <c r="A3680" t="s">
        <v>3734</v>
      </c>
      <c r="B3680" s="1">
        <v>45803</v>
      </c>
      <c r="C3680">
        <v>2025</v>
      </c>
      <c r="D3680" t="s">
        <v>649</v>
      </c>
      <c r="E3680" t="s">
        <v>859</v>
      </c>
      <c r="F3680" t="s">
        <v>38</v>
      </c>
      <c r="G3680" t="s">
        <v>35</v>
      </c>
      <c r="H3680" t="s">
        <v>43</v>
      </c>
      <c r="I3680" t="s">
        <v>31</v>
      </c>
      <c r="J3680" t="s">
        <v>27</v>
      </c>
      <c r="K3680" t="s">
        <v>32</v>
      </c>
      <c r="L3680" s="2">
        <v>9.5</v>
      </c>
      <c r="M3680" s="3">
        <v>921</v>
      </c>
      <c r="N3680">
        <v>7</v>
      </c>
      <c r="O3680">
        <v>7</v>
      </c>
      <c r="P3680">
        <v>1</v>
      </c>
      <c r="Q3680">
        <v>0</v>
      </c>
      <c r="R3680" s="4">
        <v>17.52</v>
      </c>
      <c r="S3680">
        <v>0</v>
      </c>
      <c r="T3680">
        <v>1</v>
      </c>
    </row>
    <row r="3681" spans="1:20" ht="16.5" x14ac:dyDescent="0.3">
      <c r="A3681" t="s">
        <v>3735</v>
      </c>
      <c r="B3681" s="1">
        <v>45803</v>
      </c>
      <c r="C3681">
        <v>2025</v>
      </c>
      <c r="D3681" t="s">
        <v>649</v>
      </c>
      <c r="E3681" t="s">
        <v>859</v>
      </c>
      <c r="F3681" t="s">
        <v>38</v>
      </c>
      <c r="G3681" t="s">
        <v>39</v>
      </c>
      <c r="H3681" t="s">
        <v>25</v>
      </c>
      <c r="I3681" t="s">
        <v>31</v>
      </c>
      <c r="J3681" t="s">
        <v>27</v>
      </c>
      <c r="K3681" t="s">
        <v>32</v>
      </c>
      <c r="L3681" s="2">
        <v>20.100000000000001</v>
      </c>
      <c r="M3681" s="3">
        <v>789</v>
      </c>
      <c r="N3681">
        <v>6</v>
      </c>
      <c r="O3681">
        <v>6</v>
      </c>
      <c r="P3681">
        <v>1</v>
      </c>
      <c r="Q3681">
        <v>0</v>
      </c>
      <c r="R3681" s="4">
        <v>22.64</v>
      </c>
      <c r="S3681">
        <v>0</v>
      </c>
      <c r="T3681">
        <v>1</v>
      </c>
    </row>
    <row r="3682" spans="1:20" ht="16.5" x14ac:dyDescent="0.3">
      <c r="A3682" t="s">
        <v>3736</v>
      </c>
      <c r="B3682" s="1">
        <v>45803</v>
      </c>
      <c r="C3682">
        <v>2025</v>
      </c>
      <c r="D3682" t="s">
        <v>649</v>
      </c>
      <c r="E3682" t="s">
        <v>859</v>
      </c>
      <c r="F3682" t="s">
        <v>23</v>
      </c>
      <c r="G3682" t="s">
        <v>39</v>
      </c>
      <c r="H3682" t="s">
        <v>51</v>
      </c>
      <c r="I3682" t="s">
        <v>26</v>
      </c>
      <c r="J3682" t="s">
        <v>27</v>
      </c>
      <c r="K3682" t="s">
        <v>28</v>
      </c>
      <c r="L3682" s="2">
        <v>126.9</v>
      </c>
      <c r="M3682" s="3">
        <v>1034</v>
      </c>
      <c r="N3682">
        <v>5</v>
      </c>
      <c r="O3682">
        <v>5</v>
      </c>
      <c r="P3682">
        <v>1</v>
      </c>
      <c r="Q3682">
        <v>0</v>
      </c>
      <c r="R3682" s="4">
        <v>75.400000000000006</v>
      </c>
      <c r="S3682">
        <v>0</v>
      </c>
      <c r="T3682">
        <v>1</v>
      </c>
    </row>
    <row r="3683" spans="1:20" ht="16.5" x14ac:dyDescent="0.3">
      <c r="A3683" t="s">
        <v>3737</v>
      </c>
      <c r="B3683" s="1">
        <v>45803</v>
      </c>
      <c r="C3683">
        <v>2025</v>
      </c>
      <c r="D3683" t="s">
        <v>649</v>
      </c>
      <c r="E3683" t="s">
        <v>859</v>
      </c>
      <c r="F3683" t="s">
        <v>34</v>
      </c>
      <c r="G3683" t="s">
        <v>39</v>
      </c>
      <c r="H3683" t="s">
        <v>36</v>
      </c>
      <c r="I3683" t="s">
        <v>26</v>
      </c>
      <c r="J3683" t="s">
        <v>27</v>
      </c>
      <c r="K3683" t="s">
        <v>28</v>
      </c>
      <c r="L3683" s="2">
        <v>163.19999999999999</v>
      </c>
      <c r="M3683" s="3">
        <v>233</v>
      </c>
      <c r="N3683">
        <v>3</v>
      </c>
      <c r="O3683">
        <v>3</v>
      </c>
      <c r="P3683">
        <v>1</v>
      </c>
      <c r="Q3683">
        <v>0</v>
      </c>
      <c r="R3683" s="4">
        <v>65.489999999999995</v>
      </c>
      <c r="S3683">
        <v>0</v>
      </c>
      <c r="T3683">
        <v>1</v>
      </c>
    </row>
    <row r="3684" spans="1:20" ht="16.5" x14ac:dyDescent="0.3">
      <c r="A3684" t="s">
        <v>3738</v>
      </c>
      <c r="B3684" s="1">
        <v>45803</v>
      </c>
      <c r="C3684">
        <v>2025</v>
      </c>
      <c r="D3684" t="s">
        <v>649</v>
      </c>
      <c r="E3684" t="s">
        <v>859</v>
      </c>
      <c r="F3684" t="s">
        <v>23</v>
      </c>
      <c r="G3684" t="s">
        <v>39</v>
      </c>
      <c r="H3684" t="s">
        <v>36</v>
      </c>
      <c r="I3684" t="s">
        <v>26</v>
      </c>
      <c r="J3684" t="s">
        <v>27</v>
      </c>
      <c r="K3684" t="s">
        <v>32</v>
      </c>
      <c r="L3684" s="2">
        <v>13.3</v>
      </c>
      <c r="M3684" s="3">
        <v>264</v>
      </c>
      <c r="N3684">
        <v>3</v>
      </c>
      <c r="O3684">
        <v>3</v>
      </c>
      <c r="P3684">
        <v>1</v>
      </c>
      <c r="Q3684">
        <v>0</v>
      </c>
      <c r="R3684" s="4">
        <v>17.52</v>
      </c>
      <c r="S3684">
        <v>0</v>
      </c>
      <c r="T3684">
        <v>1</v>
      </c>
    </row>
    <row r="3685" spans="1:20" ht="16.5" x14ac:dyDescent="0.3">
      <c r="A3685" t="s">
        <v>3739</v>
      </c>
      <c r="B3685" s="1">
        <v>45803</v>
      </c>
      <c r="C3685">
        <v>2025</v>
      </c>
      <c r="D3685" t="s">
        <v>649</v>
      </c>
      <c r="E3685" t="s">
        <v>859</v>
      </c>
      <c r="F3685" t="s">
        <v>57</v>
      </c>
      <c r="G3685" t="s">
        <v>24</v>
      </c>
      <c r="H3685" t="s">
        <v>25</v>
      </c>
      <c r="I3685" t="s">
        <v>31</v>
      </c>
      <c r="J3685" t="s">
        <v>27</v>
      </c>
      <c r="K3685" t="s">
        <v>32</v>
      </c>
      <c r="L3685" s="2">
        <v>0.9</v>
      </c>
      <c r="M3685" s="3">
        <v>919</v>
      </c>
      <c r="N3685">
        <v>6</v>
      </c>
      <c r="O3685">
        <v>6</v>
      </c>
      <c r="P3685">
        <v>1</v>
      </c>
      <c r="Q3685">
        <v>0</v>
      </c>
      <c r="R3685" s="4">
        <v>12.61</v>
      </c>
      <c r="S3685">
        <v>0</v>
      </c>
      <c r="T3685">
        <v>1</v>
      </c>
    </row>
    <row r="3686" spans="1:20" ht="16.5" x14ac:dyDescent="0.3">
      <c r="A3686" t="s">
        <v>3740</v>
      </c>
      <c r="B3686" s="1">
        <v>45803</v>
      </c>
      <c r="C3686">
        <v>2025</v>
      </c>
      <c r="D3686" t="s">
        <v>649</v>
      </c>
      <c r="E3686" t="s">
        <v>859</v>
      </c>
      <c r="F3686" t="s">
        <v>23</v>
      </c>
      <c r="G3686" t="s">
        <v>35</v>
      </c>
      <c r="H3686" t="s">
        <v>36</v>
      </c>
      <c r="I3686" t="s">
        <v>26</v>
      </c>
      <c r="J3686" t="s">
        <v>27</v>
      </c>
      <c r="K3686" t="s">
        <v>32</v>
      </c>
      <c r="L3686" s="2">
        <v>7.1</v>
      </c>
      <c r="M3686" s="3">
        <v>241</v>
      </c>
      <c r="N3686">
        <v>3</v>
      </c>
      <c r="O3686">
        <v>2</v>
      </c>
      <c r="P3686">
        <v>1</v>
      </c>
      <c r="Q3686">
        <v>0</v>
      </c>
      <c r="R3686" s="4">
        <v>13.64</v>
      </c>
      <c r="S3686">
        <v>0</v>
      </c>
      <c r="T3686">
        <v>1</v>
      </c>
    </row>
    <row r="3687" spans="1:20" ht="16.5" x14ac:dyDescent="0.3">
      <c r="A3687" t="s">
        <v>3741</v>
      </c>
      <c r="B3687" s="1">
        <v>45804</v>
      </c>
      <c r="C3687">
        <v>2025</v>
      </c>
      <c r="D3687" t="s">
        <v>649</v>
      </c>
      <c r="E3687" t="s">
        <v>859</v>
      </c>
      <c r="F3687" t="s">
        <v>34</v>
      </c>
      <c r="G3687" t="s">
        <v>24</v>
      </c>
      <c r="H3687" t="s">
        <v>48</v>
      </c>
      <c r="I3687" t="s">
        <v>40</v>
      </c>
      <c r="J3687" t="s">
        <v>27</v>
      </c>
      <c r="K3687" t="s">
        <v>32</v>
      </c>
      <c r="L3687" s="2">
        <v>2.4</v>
      </c>
      <c r="M3687" s="3">
        <v>530</v>
      </c>
      <c r="N3687">
        <v>2</v>
      </c>
      <c r="O3687">
        <v>2</v>
      </c>
      <c r="P3687">
        <v>1</v>
      </c>
      <c r="Q3687">
        <v>0</v>
      </c>
      <c r="R3687" s="4">
        <v>21.08</v>
      </c>
      <c r="S3687">
        <v>0</v>
      </c>
      <c r="T3687">
        <v>1</v>
      </c>
    </row>
    <row r="3688" spans="1:20" ht="16.5" x14ac:dyDescent="0.3">
      <c r="A3688" t="s">
        <v>3742</v>
      </c>
      <c r="B3688" s="1">
        <v>45804</v>
      </c>
      <c r="C3688">
        <v>2025</v>
      </c>
      <c r="D3688" t="s">
        <v>649</v>
      </c>
      <c r="E3688" t="s">
        <v>859</v>
      </c>
      <c r="F3688" t="s">
        <v>30</v>
      </c>
      <c r="G3688" t="s">
        <v>24</v>
      </c>
      <c r="H3688" t="s">
        <v>48</v>
      </c>
      <c r="I3688" t="s">
        <v>31</v>
      </c>
      <c r="J3688" t="s">
        <v>27</v>
      </c>
      <c r="K3688" t="s">
        <v>28</v>
      </c>
      <c r="L3688" s="2">
        <v>186.8</v>
      </c>
      <c r="M3688" s="3">
        <v>494</v>
      </c>
      <c r="N3688">
        <v>6</v>
      </c>
      <c r="O3688">
        <v>5</v>
      </c>
      <c r="P3688">
        <v>1</v>
      </c>
      <c r="Q3688">
        <v>0</v>
      </c>
      <c r="R3688" s="4">
        <v>68.45</v>
      </c>
      <c r="S3688">
        <v>0</v>
      </c>
      <c r="T3688">
        <v>1</v>
      </c>
    </row>
    <row r="3689" spans="1:20" ht="16.5" x14ac:dyDescent="0.3">
      <c r="A3689" t="s">
        <v>3743</v>
      </c>
      <c r="B3689" s="1">
        <v>45804</v>
      </c>
      <c r="C3689">
        <v>2025</v>
      </c>
      <c r="D3689" t="s">
        <v>649</v>
      </c>
      <c r="E3689" t="s">
        <v>859</v>
      </c>
      <c r="F3689" t="s">
        <v>23</v>
      </c>
      <c r="G3689" t="s">
        <v>39</v>
      </c>
      <c r="H3689" t="s">
        <v>48</v>
      </c>
      <c r="I3689" t="s">
        <v>31</v>
      </c>
      <c r="J3689" t="s">
        <v>27</v>
      </c>
      <c r="K3689" t="s">
        <v>32</v>
      </c>
      <c r="L3689" s="2">
        <v>4.4000000000000004</v>
      </c>
      <c r="M3689" s="3">
        <v>312</v>
      </c>
      <c r="N3689">
        <v>6</v>
      </c>
      <c r="O3689">
        <v>5</v>
      </c>
      <c r="P3689">
        <v>1</v>
      </c>
      <c r="Q3689">
        <v>0</v>
      </c>
      <c r="R3689" s="4">
        <v>9.77</v>
      </c>
      <c r="S3689">
        <v>0</v>
      </c>
      <c r="T3689">
        <v>1</v>
      </c>
    </row>
    <row r="3690" spans="1:20" ht="16.5" x14ac:dyDescent="0.3">
      <c r="A3690" t="s">
        <v>3744</v>
      </c>
      <c r="B3690" s="1">
        <v>45804</v>
      </c>
      <c r="C3690">
        <v>2025</v>
      </c>
      <c r="D3690" t="s">
        <v>649</v>
      </c>
      <c r="E3690" t="s">
        <v>859</v>
      </c>
      <c r="F3690" t="s">
        <v>38</v>
      </c>
      <c r="G3690" t="s">
        <v>24</v>
      </c>
      <c r="H3690" t="s">
        <v>43</v>
      </c>
      <c r="I3690" t="s">
        <v>40</v>
      </c>
      <c r="J3690" t="s">
        <v>41</v>
      </c>
      <c r="K3690" t="s">
        <v>32</v>
      </c>
      <c r="L3690" s="2">
        <v>10.5</v>
      </c>
      <c r="M3690" s="3">
        <v>1010</v>
      </c>
      <c r="N3690">
        <v>3</v>
      </c>
      <c r="O3690">
        <v>3</v>
      </c>
      <c r="P3690">
        <v>1</v>
      </c>
      <c r="Q3690">
        <v>0</v>
      </c>
      <c r="R3690" s="4">
        <v>78.510000000000005</v>
      </c>
      <c r="S3690">
        <v>0</v>
      </c>
      <c r="T3690">
        <v>1</v>
      </c>
    </row>
    <row r="3691" spans="1:20" ht="16.5" x14ac:dyDescent="0.3">
      <c r="A3691" t="s">
        <v>3745</v>
      </c>
      <c r="B3691" s="1">
        <v>45804</v>
      </c>
      <c r="C3691">
        <v>2025</v>
      </c>
      <c r="D3691" t="s">
        <v>649</v>
      </c>
      <c r="E3691" t="s">
        <v>859</v>
      </c>
      <c r="F3691" t="s">
        <v>34</v>
      </c>
      <c r="G3691" t="s">
        <v>35</v>
      </c>
      <c r="H3691" t="s">
        <v>48</v>
      </c>
      <c r="I3691" t="s">
        <v>31</v>
      </c>
      <c r="J3691" t="s">
        <v>27</v>
      </c>
      <c r="K3691" t="s">
        <v>28</v>
      </c>
      <c r="L3691" s="2">
        <v>179.9</v>
      </c>
      <c r="M3691" s="3">
        <v>336</v>
      </c>
      <c r="N3691">
        <v>6</v>
      </c>
      <c r="O3691">
        <v>6</v>
      </c>
      <c r="P3691">
        <v>1</v>
      </c>
      <c r="Q3691">
        <v>0</v>
      </c>
      <c r="R3691" s="4">
        <v>47.6</v>
      </c>
      <c r="S3691">
        <v>0</v>
      </c>
      <c r="T3691">
        <v>1</v>
      </c>
    </row>
    <row r="3692" spans="1:20" ht="16.5" x14ac:dyDescent="0.3">
      <c r="A3692" t="s">
        <v>3746</v>
      </c>
      <c r="B3692" s="1">
        <v>45804</v>
      </c>
      <c r="C3692">
        <v>2025</v>
      </c>
      <c r="D3692" t="s">
        <v>649</v>
      </c>
      <c r="E3692" t="s">
        <v>859</v>
      </c>
      <c r="F3692" t="s">
        <v>38</v>
      </c>
      <c r="G3692" t="s">
        <v>35</v>
      </c>
      <c r="H3692" t="s">
        <v>48</v>
      </c>
      <c r="I3692" t="s">
        <v>26</v>
      </c>
      <c r="J3692" t="s">
        <v>27</v>
      </c>
      <c r="K3692" t="s">
        <v>32</v>
      </c>
      <c r="L3692" s="2">
        <v>2.2000000000000002</v>
      </c>
      <c r="M3692" s="3">
        <v>362</v>
      </c>
      <c r="N3692">
        <v>4</v>
      </c>
      <c r="O3692">
        <v>5</v>
      </c>
      <c r="P3692">
        <v>0</v>
      </c>
      <c r="Q3692">
        <v>1</v>
      </c>
      <c r="R3692" s="4">
        <v>14.01</v>
      </c>
      <c r="S3692">
        <v>0</v>
      </c>
      <c r="T3692">
        <v>1</v>
      </c>
    </row>
    <row r="3693" spans="1:20" ht="16.5" x14ac:dyDescent="0.3">
      <c r="A3693" t="s">
        <v>3747</v>
      </c>
      <c r="B3693" s="1">
        <v>45804</v>
      </c>
      <c r="C3693">
        <v>2025</v>
      </c>
      <c r="D3693" t="s">
        <v>649</v>
      </c>
      <c r="E3693" t="s">
        <v>859</v>
      </c>
      <c r="F3693" t="s">
        <v>38</v>
      </c>
      <c r="G3693" t="s">
        <v>24</v>
      </c>
      <c r="H3693" t="s">
        <v>25</v>
      </c>
      <c r="I3693" t="s">
        <v>26</v>
      </c>
      <c r="J3693" t="s">
        <v>27</v>
      </c>
      <c r="K3693" t="s">
        <v>28</v>
      </c>
      <c r="L3693" s="2">
        <v>17.3</v>
      </c>
      <c r="M3693" s="3">
        <v>939</v>
      </c>
      <c r="N3693">
        <v>4</v>
      </c>
      <c r="O3693">
        <v>4</v>
      </c>
      <c r="P3693">
        <v>1</v>
      </c>
      <c r="Q3693">
        <v>0</v>
      </c>
      <c r="R3693" s="4">
        <v>31.24</v>
      </c>
      <c r="S3693">
        <v>0</v>
      </c>
      <c r="T3693">
        <v>1</v>
      </c>
    </row>
    <row r="3694" spans="1:20" ht="16.5" x14ac:dyDescent="0.3">
      <c r="A3694" t="s">
        <v>3748</v>
      </c>
      <c r="B3694" s="1">
        <v>45805</v>
      </c>
      <c r="C3694">
        <v>2025</v>
      </c>
      <c r="D3694" t="s">
        <v>649</v>
      </c>
      <c r="E3694" t="s">
        <v>859</v>
      </c>
      <c r="F3694" t="s">
        <v>57</v>
      </c>
      <c r="G3694" t="s">
        <v>35</v>
      </c>
      <c r="H3694" t="s">
        <v>48</v>
      </c>
      <c r="I3694" t="s">
        <v>26</v>
      </c>
      <c r="J3694" t="s">
        <v>27</v>
      </c>
      <c r="K3694" t="s">
        <v>28</v>
      </c>
      <c r="L3694" s="2">
        <v>46</v>
      </c>
      <c r="M3694" s="3">
        <v>477</v>
      </c>
      <c r="N3694">
        <v>4</v>
      </c>
      <c r="O3694">
        <v>3</v>
      </c>
      <c r="P3694">
        <v>1</v>
      </c>
      <c r="Q3694">
        <v>0</v>
      </c>
      <c r="R3694" s="4">
        <v>33.79</v>
      </c>
      <c r="S3694">
        <v>0</v>
      </c>
      <c r="T3694">
        <v>1</v>
      </c>
    </row>
    <row r="3695" spans="1:20" ht="16.5" x14ac:dyDescent="0.3">
      <c r="A3695" t="s">
        <v>3749</v>
      </c>
      <c r="B3695" s="1">
        <v>45805</v>
      </c>
      <c r="C3695">
        <v>2025</v>
      </c>
      <c r="D3695" t="s">
        <v>649</v>
      </c>
      <c r="E3695" t="s">
        <v>859</v>
      </c>
      <c r="F3695" t="s">
        <v>57</v>
      </c>
      <c r="G3695" t="s">
        <v>24</v>
      </c>
      <c r="H3695" t="s">
        <v>25</v>
      </c>
      <c r="I3695" t="s">
        <v>26</v>
      </c>
      <c r="J3695" t="s">
        <v>27</v>
      </c>
      <c r="K3695" t="s">
        <v>28</v>
      </c>
      <c r="L3695" s="2">
        <v>265.8</v>
      </c>
      <c r="M3695" s="3">
        <v>711</v>
      </c>
      <c r="N3695">
        <v>4</v>
      </c>
      <c r="O3695">
        <v>4</v>
      </c>
      <c r="P3695">
        <v>1</v>
      </c>
      <c r="Q3695">
        <v>0</v>
      </c>
      <c r="R3695" s="4">
        <v>121.25</v>
      </c>
      <c r="S3695">
        <v>0</v>
      </c>
      <c r="T3695">
        <v>1</v>
      </c>
    </row>
    <row r="3696" spans="1:20" ht="16.5" x14ac:dyDescent="0.3">
      <c r="A3696" t="s">
        <v>3750</v>
      </c>
      <c r="B3696" s="1">
        <v>45805</v>
      </c>
      <c r="C3696">
        <v>2025</v>
      </c>
      <c r="D3696" t="s">
        <v>649</v>
      </c>
      <c r="E3696" t="s">
        <v>859</v>
      </c>
      <c r="F3696" t="s">
        <v>57</v>
      </c>
      <c r="G3696" t="s">
        <v>35</v>
      </c>
      <c r="H3696" t="s">
        <v>36</v>
      </c>
      <c r="I3696" t="s">
        <v>26</v>
      </c>
      <c r="J3696" t="s">
        <v>27</v>
      </c>
      <c r="K3696" t="s">
        <v>28</v>
      </c>
      <c r="L3696" s="2">
        <v>106.1</v>
      </c>
      <c r="M3696" s="3">
        <v>273</v>
      </c>
      <c r="N3696">
        <v>3</v>
      </c>
      <c r="O3696">
        <v>2</v>
      </c>
      <c r="P3696">
        <v>1</v>
      </c>
      <c r="Q3696">
        <v>0</v>
      </c>
      <c r="R3696" s="4">
        <v>58.93</v>
      </c>
      <c r="S3696">
        <v>0</v>
      </c>
      <c r="T3696">
        <v>1</v>
      </c>
    </row>
    <row r="3697" spans="1:20" ht="16.5" x14ac:dyDescent="0.3">
      <c r="A3697" t="s">
        <v>3751</v>
      </c>
      <c r="B3697" s="1">
        <v>45805</v>
      </c>
      <c r="C3697">
        <v>2025</v>
      </c>
      <c r="D3697" t="s">
        <v>649</v>
      </c>
      <c r="E3697" t="s">
        <v>859</v>
      </c>
      <c r="F3697" t="s">
        <v>57</v>
      </c>
      <c r="G3697" t="s">
        <v>35</v>
      </c>
      <c r="H3697" t="s">
        <v>48</v>
      </c>
      <c r="I3697" t="s">
        <v>31</v>
      </c>
      <c r="J3697" t="s">
        <v>27</v>
      </c>
      <c r="K3697" t="s">
        <v>32</v>
      </c>
      <c r="L3697" s="2">
        <v>2.5</v>
      </c>
      <c r="M3697" s="3">
        <v>391</v>
      </c>
      <c r="N3697">
        <v>6</v>
      </c>
      <c r="O3697">
        <v>6</v>
      </c>
      <c r="P3697">
        <v>1</v>
      </c>
      <c r="Q3697">
        <v>0</v>
      </c>
      <c r="R3697" s="4">
        <v>8.42</v>
      </c>
      <c r="S3697">
        <v>0</v>
      </c>
      <c r="T3697">
        <v>1</v>
      </c>
    </row>
    <row r="3698" spans="1:20" ht="16.5" x14ac:dyDescent="0.3">
      <c r="A3698" t="s">
        <v>3752</v>
      </c>
      <c r="B3698" s="1">
        <v>45805</v>
      </c>
      <c r="C3698">
        <v>2025</v>
      </c>
      <c r="D3698" t="s">
        <v>649</v>
      </c>
      <c r="E3698" t="s">
        <v>859</v>
      </c>
      <c r="F3698" t="s">
        <v>38</v>
      </c>
      <c r="G3698" t="s">
        <v>35</v>
      </c>
      <c r="H3698" t="s">
        <v>48</v>
      </c>
      <c r="I3698" t="s">
        <v>26</v>
      </c>
      <c r="J3698" t="s">
        <v>27</v>
      </c>
      <c r="K3698" t="s">
        <v>28</v>
      </c>
      <c r="L3698" s="2">
        <v>14.6</v>
      </c>
      <c r="M3698" s="3">
        <v>452</v>
      </c>
      <c r="N3698">
        <v>4</v>
      </c>
      <c r="O3698">
        <v>4</v>
      </c>
      <c r="P3698">
        <v>1</v>
      </c>
      <c r="Q3698">
        <v>0</v>
      </c>
      <c r="R3698" s="4">
        <v>23.31</v>
      </c>
      <c r="S3698">
        <v>0</v>
      </c>
      <c r="T3698">
        <v>1</v>
      </c>
    </row>
    <row r="3699" spans="1:20" ht="16.5" x14ac:dyDescent="0.3">
      <c r="A3699" t="s">
        <v>3753</v>
      </c>
      <c r="B3699" s="1">
        <v>45805</v>
      </c>
      <c r="C3699">
        <v>2025</v>
      </c>
      <c r="D3699" t="s">
        <v>649</v>
      </c>
      <c r="E3699" t="s">
        <v>859</v>
      </c>
      <c r="F3699" t="s">
        <v>38</v>
      </c>
      <c r="G3699" t="s">
        <v>39</v>
      </c>
      <c r="H3699" t="s">
        <v>51</v>
      </c>
      <c r="I3699" t="s">
        <v>40</v>
      </c>
      <c r="J3699" t="s">
        <v>41</v>
      </c>
      <c r="K3699" t="s">
        <v>28</v>
      </c>
      <c r="L3699" s="2">
        <v>99.2</v>
      </c>
      <c r="M3699" s="3">
        <v>1117</v>
      </c>
      <c r="N3699">
        <v>3</v>
      </c>
      <c r="O3699">
        <v>6</v>
      </c>
      <c r="P3699">
        <v>0</v>
      </c>
      <c r="Q3699">
        <v>3</v>
      </c>
      <c r="R3699" s="4">
        <v>224.35</v>
      </c>
      <c r="S3699">
        <v>0</v>
      </c>
      <c r="T3699">
        <v>1</v>
      </c>
    </row>
    <row r="3700" spans="1:20" ht="16.5" x14ac:dyDescent="0.3">
      <c r="A3700" t="s">
        <v>3754</v>
      </c>
      <c r="B3700" s="1">
        <v>45805</v>
      </c>
      <c r="C3700">
        <v>2025</v>
      </c>
      <c r="D3700" t="s">
        <v>649</v>
      </c>
      <c r="E3700" t="s">
        <v>859</v>
      </c>
      <c r="F3700" t="s">
        <v>38</v>
      </c>
      <c r="G3700" t="s">
        <v>39</v>
      </c>
      <c r="H3700" t="s">
        <v>36</v>
      </c>
      <c r="I3700" t="s">
        <v>26</v>
      </c>
      <c r="J3700" t="s">
        <v>27</v>
      </c>
      <c r="K3700" t="s">
        <v>32</v>
      </c>
      <c r="L3700" s="2">
        <v>8.6</v>
      </c>
      <c r="M3700" s="3">
        <v>220</v>
      </c>
      <c r="N3700">
        <v>3</v>
      </c>
      <c r="O3700">
        <v>2</v>
      </c>
      <c r="P3700">
        <v>1</v>
      </c>
      <c r="Q3700">
        <v>0</v>
      </c>
      <c r="R3700" s="4">
        <v>14.93</v>
      </c>
      <c r="S3700">
        <v>0</v>
      </c>
      <c r="T3700">
        <v>1</v>
      </c>
    </row>
    <row r="3701" spans="1:20" ht="16.5" x14ac:dyDescent="0.3">
      <c r="A3701" t="s">
        <v>3755</v>
      </c>
      <c r="B3701" s="1">
        <v>45805</v>
      </c>
      <c r="C3701">
        <v>2025</v>
      </c>
      <c r="D3701" t="s">
        <v>649</v>
      </c>
      <c r="E3701" t="s">
        <v>859</v>
      </c>
      <c r="F3701" t="s">
        <v>38</v>
      </c>
      <c r="G3701" t="s">
        <v>39</v>
      </c>
      <c r="H3701" t="s">
        <v>43</v>
      </c>
      <c r="I3701" t="s">
        <v>40</v>
      </c>
      <c r="J3701" t="s">
        <v>41</v>
      </c>
      <c r="K3701" t="s">
        <v>32</v>
      </c>
      <c r="L3701" s="2">
        <v>4.4000000000000004</v>
      </c>
      <c r="M3701" s="3">
        <v>1236</v>
      </c>
      <c r="N3701">
        <v>3</v>
      </c>
      <c r="O3701">
        <v>3</v>
      </c>
      <c r="P3701">
        <v>1</v>
      </c>
      <c r="Q3701">
        <v>0</v>
      </c>
      <c r="R3701" s="4">
        <v>78.489999999999995</v>
      </c>
      <c r="S3701">
        <v>0</v>
      </c>
      <c r="T3701">
        <v>1</v>
      </c>
    </row>
    <row r="3702" spans="1:20" ht="16.5" x14ac:dyDescent="0.3">
      <c r="A3702" t="s">
        <v>3756</v>
      </c>
      <c r="B3702" s="1">
        <v>45805</v>
      </c>
      <c r="C3702">
        <v>2025</v>
      </c>
      <c r="D3702" t="s">
        <v>649</v>
      </c>
      <c r="E3702" t="s">
        <v>859</v>
      </c>
      <c r="F3702" t="s">
        <v>30</v>
      </c>
      <c r="G3702" t="s">
        <v>39</v>
      </c>
      <c r="H3702" t="s">
        <v>43</v>
      </c>
      <c r="I3702" t="s">
        <v>26</v>
      </c>
      <c r="J3702" t="s">
        <v>27</v>
      </c>
      <c r="K3702" t="s">
        <v>32</v>
      </c>
      <c r="L3702" s="2">
        <v>17</v>
      </c>
      <c r="M3702" s="3">
        <v>1276</v>
      </c>
      <c r="N3702">
        <v>5</v>
      </c>
      <c r="O3702">
        <v>8</v>
      </c>
      <c r="P3702">
        <v>0</v>
      </c>
      <c r="Q3702">
        <v>3</v>
      </c>
      <c r="R3702" s="4">
        <v>29.52</v>
      </c>
      <c r="S3702">
        <v>0</v>
      </c>
      <c r="T3702">
        <v>1</v>
      </c>
    </row>
    <row r="3703" spans="1:20" ht="16.5" x14ac:dyDescent="0.3">
      <c r="A3703" t="s">
        <v>3757</v>
      </c>
      <c r="B3703" s="1">
        <v>45805</v>
      </c>
      <c r="C3703">
        <v>2025</v>
      </c>
      <c r="D3703" t="s">
        <v>649</v>
      </c>
      <c r="E3703" t="s">
        <v>859</v>
      </c>
      <c r="F3703" t="s">
        <v>23</v>
      </c>
      <c r="G3703" t="s">
        <v>24</v>
      </c>
      <c r="H3703" t="s">
        <v>48</v>
      </c>
      <c r="I3703" t="s">
        <v>31</v>
      </c>
      <c r="J3703" t="s">
        <v>27</v>
      </c>
      <c r="K3703" t="s">
        <v>32</v>
      </c>
      <c r="L3703" s="2">
        <v>8.4</v>
      </c>
      <c r="M3703" s="3">
        <v>261</v>
      </c>
      <c r="N3703">
        <v>6</v>
      </c>
      <c r="O3703">
        <v>5</v>
      </c>
      <c r="P3703">
        <v>1</v>
      </c>
      <c r="Q3703">
        <v>0</v>
      </c>
      <c r="R3703" s="4">
        <v>9.7799999999999994</v>
      </c>
      <c r="S3703">
        <v>0</v>
      </c>
      <c r="T3703">
        <v>1</v>
      </c>
    </row>
    <row r="3704" spans="1:20" ht="16.5" x14ac:dyDescent="0.3">
      <c r="A3704" t="s">
        <v>3758</v>
      </c>
      <c r="B3704" s="1">
        <v>45805</v>
      </c>
      <c r="C3704">
        <v>2025</v>
      </c>
      <c r="D3704" t="s">
        <v>649</v>
      </c>
      <c r="E3704" t="s">
        <v>859</v>
      </c>
      <c r="F3704" t="s">
        <v>38</v>
      </c>
      <c r="G3704" t="s">
        <v>35</v>
      </c>
      <c r="H3704" t="s">
        <v>36</v>
      </c>
      <c r="I3704" t="s">
        <v>26</v>
      </c>
      <c r="J3704" t="s">
        <v>27</v>
      </c>
      <c r="K3704" t="s">
        <v>28</v>
      </c>
      <c r="L3704" s="2">
        <v>190.9</v>
      </c>
      <c r="M3704" s="3">
        <v>275</v>
      </c>
      <c r="N3704">
        <v>3</v>
      </c>
      <c r="O3704">
        <v>6</v>
      </c>
      <c r="P3704">
        <v>0</v>
      </c>
      <c r="Q3704">
        <v>3</v>
      </c>
      <c r="R3704" s="4">
        <v>90.46</v>
      </c>
      <c r="S3704">
        <v>0</v>
      </c>
      <c r="T3704">
        <v>1</v>
      </c>
    </row>
    <row r="3705" spans="1:20" ht="16.5" x14ac:dyDescent="0.3">
      <c r="A3705" t="s">
        <v>3759</v>
      </c>
      <c r="B3705" s="1">
        <v>45805</v>
      </c>
      <c r="C3705">
        <v>2025</v>
      </c>
      <c r="D3705" t="s">
        <v>649</v>
      </c>
      <c r="E3705" t="s">
        <v>859</v>
      </c>
      <c r="F3705" t="s">
        <v>57</v>
      </c>
      <c r="G3705" t="s">
        <v>24</v>
      </c>
      <c r="H3705" t="s">
        <v>43</v>
      </c>
      <c r="I3705" t="s">
        <v>31</v>
      </c>
      <c r="J3705" t="s">
        <v>27</v>
      </c>
      <c r="K3705" t="s">
        <v>32</v>
      </c>
      <c r="L3705" s="2">
        <v>12.3</v>
      </c>
      <c r="M3705" s="3">
        <v>850</v>
      </c>
      <c r="N3705">
        <v>7</v>
      </c>
      <c r="O3705">
        <v>7</v>
      </c>
      <c r="P3705">
        <v>1</v>
      </c>
      <c r="Q3705">
        <v>0</v>
      </c>
      <c r="R3705" s="4">
        <v>16.100000000000001</v>
      </c>
      <c r="S3705">
        <v>0</v>
      </c>
      <c r="T3705">
        <v>1</v>
      </c>
    </row>
    <row r="3706" spans="1:20" ht="16.5" x14ac:dyDescent="0.3">
      <c r="A3706" t="s">
        <v>3760</v>
      </c>
      <c r="B3706" s="1">
        <v>45806</v>
      </c>
      <c r="C3706">
        <v>2025</v>
      </c>
      <c r="D3706" t="s">
        <v>649</v>
      </c>
      <c r="E3706" t="s">
        <v>859</v>
      </c>
      <c r="F3706" t="s">
        <v>23</v>
      </c>
      <c r="G3706" t="s">
        <v>39</v>
      </c>
      <c r="H3706" t="s">
        <v>48</v>
      </c>
      <c r="I3706" t="s">
        <v>31</v>
      </c>
      <c r="J3706" t="s">
        <v>27</v>
      </c>
      <c r="K3706" t="s">
        <v>32</v>
      </c>
      <c r="L3706" s="2">
        <v>6.6</v>
      </c>
      <c r="M3706" s="3">
        <v>565</v>
      </c>
      <c r="N3706">
        <v>6</v>
      </c>
      <c r="O3706">
        <v>6</v>
      </c>
      <c r="P3706">
        <v>1</v>
      </c>
      <c r="Q3706">
        <v>0</v>
      </c>
      <c r="R3706" s="4">
        <v>12</v>
      </c>
      <c r="S3706">
        <v>0</v>
      </c>
      <c r="T3706">
        <v>1</v>
      </c>
    </row>
    <row r="3707" spans="1:20" ht="16.5" x14ac:dyDescent="0.3">
      <c r="A3707" t="s">
        <v>3761</v>
      </c>
      <c r="B3707" s="1">
        <v>45806</v>
      </c>
      <c r="C3707">
        <v>2025</v>
      </c>
      <c r="D3707" t="s">
        <v>649</v>
      </c>
      <c r="E3707" t="s">
        <v>859</v>
      </c>
      <c r="F3707" t="s">
        <v>34</v>
      </c>
      <c r="G3707" t="s">
        <v>39</v>
      </c>
      <c r="H3707" t="s">
        <v>51</v>
      </c>
      <c r="I3707" t="s">
        <v>31</v>
      </c>
      <c r="J3707" t="s">
        <v>27</v>
      </c>
      <c r="K3707" t="s">
        <v>32</v>
      </c>
      <c r="L3707" s="2">
        <v>6.8</v>
      </c>
      <c r="M3707" s="3">
        <v>646</v>
      </c>
      <c r="N3707">
        <v>7</v>
      </c>
      <c r="O3707">
        <v>7</v>
      </c>
      <c r="P3707">
        <v>1</v>
      </c>
      <c r="Q3707">
        <v>0</v>
      </c>
      <c r="R3707" s="4">
        <v>11.33</v>
      </c>
      <c r="S3707">
        <v>0</v>
      </c>
      <c r="T3707">
        <v>1</v>
      </c>
    </row>
    <row r="3708" spans="1:20" ht="16.5" x14ac:dyDescent="0.3">
      <c r="A3708" t="s">
        <v>3762</v>
      </c>
      <c r="B3708" s="1">
        <v>45806</v>
      </c>
      <c r="C3708">
        <v>2025</v>
      </c>
      <c r="D3708" t="s">
        <v>649</v>
      </c>
      <c r="E3708" t="s">
        <v>859</v>
      </c>
      <c r="F3708" t="s">
        <v>30</v>
      </c>
      <c r="G3708" t="s">
        <v>39</v>
      </c>
      <c r="H3708" t="s">
        <v>25</v>
      </c>
      <c r="I3708" t="s">
        <v>40</v>
      </c>
      <c r="J3708" t="s">
        <v>41</v>
      </c>
      <c r="K3708" t="s">
        <v>32</v>
      </c>
      <c r="L3708" s="2">
        <v>11.4</v>
      </c>
      <c r="M3708" s="3">
        <v>690</v>
      </c>
      <c r="N3708">
        <v>2</v>
      </c>
      <c r="O3708">
        <v>2</v>
      </c>
      <c r="P3708">
        <v>1</v>
      </c>
      <c r="Q3708">
        <v>0</v>
      </c>
      <c r="R3708" s="4">
        <v>71.239999999999995</v>
      </c>
      <c r="S3708">
        <v>0</v>
      </c>
      <c r="T3708">
        <v>1</v>
      </c>
    </row>
    <row r="3709" spans="1:20" ht="16.5" x14ac:dyDescent="0.3">
      <c r="A3709" t="s">
        <v>3763</v>
      </c>
      <c r="B3709" s="1">
        <v>45806</v>
      </c>
      <c r="C3709">
        <v>2025</v>
      </c>
      <c r="D3709" t="s">
        <v>649</v>
      </c>
      <c r="E3709" t="s">
        <v>859</v>
      </c>
      <c r="F3709" t="s">
        <v>23</v>
      </c>
      <c r="G3709" t="s">
        <v>39</v>
      </c>
      <c r="H3709" t="s">
        <v>25</v>
      </c>
      <c r="I3709" t="s">
        <v>31</v>
      </c>
      <c r="J3709" t="s">
        <v>27</v>
      </c>
      <c r="K3709" t="s">
        <v>32</v>
      </c>
      <c r="L3709" s="2">
        <v>23.1</v>
      </c>
      <c r="M3709" s="3">
        <v>833</v>
      </c>
      <c r="N3709">
        <v>6</v>
      </c>
      <c r="O3709">
        <v>5</v>
      </c>
      <c r="P3709">
        <v>1</v>
      </c>
      <c r="Q3709">
        <v>0</v>
      </c>
      <c r="R3709" s="4">
        <v>18.920000000000002</v>
      </c>
      <c r="S3709">
        <v>0</v>
      </c>
      <c r="T3709">
        <v>1</v>
      </c>
    </row>
    <row r="3710" spans="1:20" ht="16.5" x14ac:dyDescent="0.3">
      <c r="A3710" t="s">
        <v>3764</v>
      </c>
      <c r="B3710" s="1">
        <v>45806</v>
      </c>
      <c r="C3710">
        <v>2025</v>
      </c>
      <c r="D3710" t="s">
        <v>649</v>
      </c>
      <c r="E3710" t="s">
        <v>859</v>
      </c>
      <c r="F3710" t="s">
        <v>38</v>
      </c>
      <c r="G3710" t="s">
        <v>39</v>
      </c>
      <c r="H3710" t="s">
        <v>25</v>
      </c>
      <c r="I3710" t="s">
        <v>26</v>
      </c>
      <c r="J3710" t="s">
        <v>27</v>
      </c>
      <c r="K3710" t="s">
        <v>28</v>
      </c>
      <c r="L3710" s="2">
        <v>90.3</v>
      </c>
      <c r="M3710" s="3">
        <v>1168</v>
      </c>
      <c r="N3710">
        <v>4</v>
      </c>
      <c r="O3710">
        <v>4</v>
      </c>
      <c r="P3710">
        <v>1</v>
      </c>
      <c r="Q3710">
        <v>0</v>
      </c>
      <c r="R3710" s="4">
        <v>65.5</v>
      </c>
      <c r="S3710">
        <v>0</v>
      </c>
      <c r="T3710">
        <v>1</v>
      </c>
    </row>
    <row r="3711" spans="1:20" ht="16.5" x14ac:dyDescent="0.3">
      <c r="A3711" t="s">
        <v>3765</v>
      </c>
      <c r="B3711" s="1">
        <v>45806</v>
      </c>
      <c r="C3711">
        <v>2025</v>
      </c>
      <c r="D3711" t="s">
        <v>649</v>
      </c>
      <c r="E3711" t="s">
        <v>859</v>
      </c>
      <c r="F3711" t="s">
        <v>23</v>
      </c>
      <c r="G3711" t="s">
        <v>24</v>
      </c>
      <c r="H3711" t="s">
        <v>25</v>
      </c>
      <c r="I3711" t="s">
        <v>26</v>
      </c>
      <c r="J3711" t="s">
        <v>27</v>
      </c>
      <c r="K3711" t="s">
        <v>32</v>
      </c>
      <c r="L3711" s="2">
        <v>4.5999999999999996</v>
      </c>
      <c r="M3711" s="3">
        <v>1187</v>
      </c>
      <c r="N3711">
        <v>4</v>
      </c>
      <c r="O3711">
        <v>4</v>
      </c>
      <c r="P3711">
        <v>1</v>
      </c>
      <c r="Q3711">
        <v>0</v>
      </c>
      <c r="R3711" s="4">
        <v>21.14</v>
      </c>
      <c r="S3711">
        <v>0</v>
      </c>
      <c r="T3711">
        <v>1</v>
      </c>
    </row>
    <row r="3712" spans="1:20" ht="16.5" x14ac:dyDescent="0.3">
      <c r="A3712" t="s">
        <v>3766</v>
      </c>
      <c r="B3712" s="1">
        <v>45806</v>
      </c>
      <c r="C3712">
        <v>2025</v>
      </c>
      <c r="D3712" t="s">
        <v>649</v>
      </c>
      <c r="E3712" t="s">
        <v>859</v>
      </c>
      <c r="F3712" t="s">
        <v>57</v>
      </c>
      <c r="G3712" t="s">
        <v>39</v>
      </c>
      <c r="H3712" t="s">
        <v>25</v>
      </c>
      <c r="I3712" t="s">
        <v>26</v>
      </c>
      <c r="J3712" t="s">
        <v>27</v>
      </c>
      <c r="K3712" t="s">
        <v>28</v>
      </c>
      <c r="L3712" s="2">
        <v>64.7</v>
      </c>
      <c r="M3712" s="3">
        <v>967</v>
      </c>
      <c r="N3712">
        <v>4</v>
      </c>
      <c r="O3712">
        <v>4</v>
      </c>
      <c r="P3712">
        <v>1</v>
      </c>
      <c r="Q3712">
        <v>0</v>
      </c>
      <c r="R3712" s="4">
        <v>47.11</v>
      </c>
      <c r="S3712">
        <v>0</v>
      </c>
      <c r="T3712">
        <v>1</v>
      </c>
    </row>
    <row r="3713" spans="1:20" ht="16.5" x14ac:dyDescent="0.3">
      <c r="A3713" t="s">
        <v>3767</v>
      </c>
      <c r="B3713" s="1">
        <v>45806</v>
      </c>
      <c r="C3713">
        <v>2025</v>
      </c>
      <c r="D3713" t="s">
        <v>649</v>
      </c>
      <c r="E3713" t="s">
        <v>859</v>
      </c>
      <c r="F3713" t="s">
        <v>30</v>
      </c>
      <c r="G3713" t="s">
        <v>24</v>
      </c>
      <c r="H3713" t="s">
        <v>36</v>
      </c>
      <c r="I3713" t="s">
        <v>26</v>
      </c>
      <c r="J3713" t="s">
        <v>27</v>
      </c>
      <c r="K3713" t="s">
        <v>28</v>
      </c>
      <c r="L3713" s="2">
        <v>170.9</v>
      </c>
      <c r="M3713" s="3">
        <v>219</v>
      </c>
      <c r="N3713">
        <v>3</v>
      </c>
      <c r="O3713">
        <v>2</v>
      </c>
      <c r="P3713">
        <v>1</v>
      </c>
      <c r="Q3713">
        <v>0</v>
      </c>
      <c r="R3713" s="4">
        <v>85.34</v>
      </c>
      <c r="S3713">
        <v>0</v>
      </c>
      <c r="T3713">
        <v>1</v>
      </c>
    </row>
    <row r="3714" spans="1:20" ht="16.5" x14ac:dyDescent="0.3">
      <c r="A3714" t="s">
        <v>3768</v>
      </c>
      <c r="B3714" s="1">
        <v>45806</v>
      </c>
      <c r="C3714">
        <v>2025</v>
      </c>
      <c r="D3714" t="s">
        <v>649</v>
      </c>
      <c r="E3714" t="s">
        <v>859</v>
      </c>
      <c r="F3714" t="s">
        <v>38</v>
      </c>
      <c r="G3714" t="s">
        <v>35</v>
      </c>
      <c r="H3714" t="s">
        <v>48</v>
      </c>
      <c r="I3714" t="s">
        <v>26</v>
      </c>
      <c r="J3714" t="s">
        <v>27</v>
      </c>
      <c r="K3714" t="s">
        <v>28</v>
      </c>
      <c r="L3714" s="2">
        <v>108</v>
      </c>
      <c r="M3714" s="3">
        <v>396</v>
      </c>
      <c r="N3714">
        <v>4</v>
      </c>
      <c r="O3714">
        <v>4</v>
      </c>
      <c r="P3714">
        <v>1</v>
      </c>
      <c r="Q3714">
        <v>0</v>
      </c>
      <c r="R3714" s="4">
        <v>59.82</v>
      </c>
      <c r="S3714">
        <v>0</v>
      </c>
      <c r="T3714">
        <v>1</v>
      </c>
    </row>
    <row r="3715" spans="1:20" ht="16.5" x14ac:dyDescent="0.3">
      <c r="A3715" t="s">
        <v>3769</v>
      </c>
      <c r="B3715" s="1">
        <v>45807</v>
      </c>
      <c r="C3715">
        <v>2025</v>
      </c>
      <c r="D3715" t="s">
        <v>649</v>
      </c>
      <c r="E3715" t="s">
        <v>859</v>
      </c>
      <c r="F3715" t="s">
        <v>57</v>
      </c>
      <c r="G3715" t="s">
        <v>35</v>
      </c>
      <c r="H3715" t="s">
        <v>51</v>
      </c>
      <c r="I3715" t="s">
        <v>26</v>
      </c>
      <c r="J3715" t="s">
        <v>27</v>
      </c>
      <c r="K3715" t="s">
        <v>28</v>
      </c>
      <c r="L3715" s="2">
        <v>73</v>
      </c>
      <c r="M3715" s="3">
        <v>923</v>
      </c>
      <c r="N3715">
        <v>5</v>
      </c>
      <c r="O3715">
        <v>4</v>
      </c>
      <c r="P3715">
        <v>1</v>
      </c>
      <c r="Q3715">
        <v>0</v>
      </c>
      <c r="R3715" s="4">
        <v>51.03</v>
      </c>
      <c r="S3715">
        <v>0</v>
      </c>
      <c r="T3715">
        <v>1</v>
      </c>
    </row>
    <row r="3716" spans="1:20" ht="16.5" x14ac:dyDescent="0.3">
      <c r="A3716" t="s">
        <v>3770</v>
      </c>
      <c r="B3716" s="1">
        <v>45807</v>
      </c>
      <c r="C3716">
        <v>2025</v>
      </c>
      <c r="D3716" t="s">
        <v>649</v>
      </c>
      <c r="E3716" t="s">
        <v>859</v>
      </c>
      <c r="F3716" t="s">
        <v>30</v>
      </c>
      <c r="G3716" t="s">
        <v>24</v>
      </c>
      <c r="H3716" t="s">
        <v>36</v>
      </c>
      <c r="I3716" t="s">
        <v>26</v>
      </c>
      <c r="J3716" t="s">
        <v>27</v>
      </c>
      <c r="K3716" t="s">
        <v>32</v>
      </c>
      <c r="L3716" s="2">
        <v>4.0999999999999996</v>
      </c>
      <c r="M3716" s="3">
        <v>262</v>
      </c>
      <c r="N3716">
        <v>3</v>
      </c>
      <c r="O3716">
        <v>5</v>
      </c>
      <c r="P3716">
        <v>0</v>
      </c>
      <c r="Q3716">
        <v>2</v>
      </c>
      <c r="R3716" s="4">
        <v>12.45</v>
      </c>
      <c r="S3716">
        <v>0</v>
      </c>
      <c r="T3716">
        <v>1</v>
      </c>
    </row>
    <row r="3717" spans="1:20" ht="16.5" x14ac:dyDescent="0.3">
      <c r="A3717" t="s">
        <v>3771</v>
      </c>
      <c r="B3717" s="1">
        <v>45807</v>
      </c>
      <c r="C3717">
        <v>2025</v>
      </c>
      <c r="D3717" t="s">
        <v>649</v>
      </c>
      <c r="E3717" t="s">
        <v>859</v>
      </c>
      <c r="F3717" t="s">
        <v>38</v>
      </c>
      <c r="G3717" t="s">
        <v>35</v>
      </c>
      <c r="H3717" t="s">
        <v>25</v>
      </c>
      <c r="I3717" t="s">
        <v>26</v>
      </c>
      <c r="J3717" t="s">
        <v>27</v>
      </c>
      <c r="K3717" t="s">
        <v>28</v>
      </c>
      <c r="L3717" s="2">
        <v>21.4</v>
      </c>
      <c r="M3717" s="3">
        <v>1077</v>
      </c>
      <c r="N3717">
        <v>4</v>
      </c>
      <c r="O3717">
        <v>3</v>
      </c>
      <c r="P3717">
        <v>1</v>
      </c>
      <c r="Q3717">
        <v>0</v>
      </c>
      <c r="R3717" s="4">
        <v>33.75</v>
      </c>
      <c r="S3717">
        <v>0</v>
      </c>
      <c r="T3717">
        <v>1</v>
      </c>
    </row>
    <row r="3718" spans="1:20" ht="16.5" x14ac:dyDescent="0.3">
      <c r="A3718" t="s">
        <v>3772</v>
      </c>
      <c r="B3718" s="1">
        <v>45807</v>
      </c>
      <c r="C3718">
        <v>2025</v>
      </c>
      <c r="D3718" t="s">
        <v>649</v>
      </c>
      <c r="E3718" t="s">
        <v>859</v>
      </c>
      <c r="F3718" t="s">
        <v>38</v>
      </c>
      <c r="G3718" t="s">
        <v>24</v>
      </c>
      <c r="H3718" t="s">
        <v>48</v>
      </c>
      <c r="I3718" t="s">
        <v>31</v>
      </c>
      <c r="J3718" t="s">
        <v>27</v>
      </c>
      <c r="K3718" t="s">
        <v>28</v>
      </c>
      <c r="L3718" s="2">
        <v>160.1</v>
      </c>
      <c r="M3718" s="3">
        <v>578</v>
      </c>
      <c r="N3718">
        <v>6</v>
      </c>
      <c r="O3718">
        <v>6</v>
      </c>
      <c r="P3718">
        <v>1</v>
      </c>
      <c r="Q3718">
        <v>0</v>
      </c>
      <c r="R3718" s="4">
        <v>63.65</v>
      </c>
      <c r="S3718">
        <v>0</v>
      </c>
      <c r="T3718">
        <v>1</v>
      </c>
    </row>
    <row r="3719" spans="1:20" ht="16.5" x14ac:dyDescent="0.3">
      <c r="A3719" t="s">
        <v>3773</v>
      </c>
      <c r="B3719" s="1">
        <v>45807</v>
      </c>
      <c r="C3719">
        <v>2025</v>
      </c>
      <c r="D3719" t="s">
        <v>649</v>
      </c>
      <c r="E3719" t="s">
        <v>859</v>
      </c>
      <c r="F3719" t="s">
        <v>23</v>
      </c>
      <c r="G3719" t="s">
        <v>35</v>
      </c>
      <c r="H3719" t="s">
        <v>25</v>
      </c>
      <c r="I3719" t="s">
        <v>26</v>
      </c>
      <c r="J3719" t="s">
        <v>27</v>
      </c>
      <c r="K3719" t="s">
        <v>28</v>
      </c>
      <c r="L3719" s="2">
        <v>56.1</v>
      </c>
      <c r="M3719" s="3">
        <v>1005</v>
      </c>
      <c r="N3719">
        <v>4</v>
      </c>
      <c r="O3719">
        <v>3</v>
      </c>
      <c r="P3719">
        <v>1</v>
      </c>
      <c r="Q3719">
        <v>0</v>
      </c>
      <c r="R3719" s="4">
        <v>45.73</v>
      </c>
      <c r="S3719">
        <v>0</v>
      </c>
      <c r="T3719">
        <v>1</v>
      </c>
    </row>
    <row r="3720" spans="1:20" ht="16.5" x14ac:dyDescent="0.3">
      <c r="A3720" t="s">
        <v>3774</v>
      </c>
      <c r="B3720" s="1">
        <v>45807</v>
      </c>
      <c r="C3720">
        <v>2025</v>
      </c>
      <c r="D3720" t="s">
        <v>649</v>
      </c>
      <c r="E3720" t="s">
        <v>859</v>
      </c>
      <c r="F3720" t="s">
        <v>23</v>
      </c>
      <c r="G3720" t="s">
        <v>39</v>
      </c>
      <c r="H3720" t="s">
        <v>48</v>
      </c>
      <c r="I3720" t="s">
        <v>26</v>
      </c>
      <c r="J3720" t="s">
        <v>27</v>
      </c>
      <c r="K3720" t="s">
        <v>32</v>
      </c>
      <c r="L3720" s="2">
        <v>10.1</v>
      </c>
      <c r="M3720" s="3">
        <v>464</v>
      </c>
      <c r="N3720">
        <v>4</v>
      </c>
      <c r="O3720">
        <v>5</v>
      </c>
      <c r="P3720">
        <v>0</v>
      </c>
      <c r="Q3720">
        <v>1</v>
      </c>
      <c r="R3720" s="4">
        <v>16.46</v>
      </c>
      <c r="S3720">
        <v>0</v>
      </c>
      <c r="T3720">
        <v>1</v>
      </c>
    </row>
    <row r="3721" spans="1:20" ht="16.5" x14ac:dyDescent="0.3">
      <c r="A3721" t="s">
        <v>3775</v>
      </c>
      <c r="B3721" s="1">
        <v>45807</v>
      </c>
      <c r="C3721">
        <v>2025</v>
      </c>
      <c r="D3721" t="s">
        <v>649</v>
      </c>
      <c r="E3721" t="s">
        <v>859</v>
      </c>
      <c r="F3721" t="s">
        <v>57</v>
      </c>
      <c r="G3721" t="s">
        <v>35</v>
      </c>
      <c r="H3721" t="s">
        <v>48</v>
      </c>
      <c r="I3721" t="s">
        <v>26</v>
      </c>
      <c r="J3721" t="s">
        <v>27</v>
      </c>
      <c r="K3721" t="s">
        <v>32</v>
      </c>
      <c r="L3721" s="2">
        <v>2.2000000000000002</v>
      </c>
      <c r="M3721" s="3">
        <v>600</v>
      </c>
      <c r="N3721">
        <v>4</v>
      </c>
      <c r="O3721">
        <v>3</v>
      </c>
      <c r="P3721">
        <v>1</v>
      </c>
      <c r="Q3721">
        <v>0</v>
      </c>
      <c r="R3721" s="4">
        <v>14.99</v>
      </c>
      <c r="S3721">
        <v>0</v>
      </c>
      <c r="T3721">
        <v>1</v>
      </c>
    </row>
    <row r="3722" spans="1:20" ht="16.5" x14ac:dyDescent="0.3">
      <c r="A3722" t="s">
        <v>3776</v>
      </c>
      <c r="B3722" s="1">
        <v>45807</v>
      </c>
      <c r="C3722">
        <v>2025</v>
      </c>
      <c r="D3722" t="s">
        <v>649</v>
      </c>
      <c r="E3722" t="s">
        <v>859</v>
      </c>
      <c r="F3722" t="s">
        <v>38</v>
      </c>
      <c r="G3722" t="s">
        <v>39</v>
      </c>
      <c r="H3722" t="s">
        <v>36</v>
      </c>
      <c r="I3722" t="s">
        <v>26</v>
      </c>
      <c r="J3722" t="s">
        <v>27</v>
      </c>
      <c r="K3722" t="s">
        <v>32</v>
      </c>
      <c r="L3722" s="2">
        <v>7.9</v>
      </c>
      <c r="M3722" s="3">
        <v>237</v>
      </c>
      <c r="N3722">
        <v>3</v>
      </c>
      <c r="O3722">
        <v>3</v>
      </c>
      <c r="P3722">
        <v>1</v>
      </c>
      <c r="Q3722">
        <v>0</v>
      </c>
      <c r="R3722" s="4">
        <v>15.28</v>
      </c>
      <c r="S3722">
        <v>0</v>
      </c>
      <c r="T3722">
        <v>1</v>
      </c>
    </row>
    <row r="3723" spans="1:20" ht="16.5" x14ac:dyDescent="0.3">
      <c r="A3723" t="s">
        <v>3777</v>
      </c>
      <c r="B3723" s="1">
        <v>45808</v>
      </c>
      <c r="C3723">
        <v>2025</v>
      </c>
      <c r="D3723" t="s">
        <v>649</v>
      </c>
      <c r="E3723" t="s">
        <v>859</v>
      </c>
      <c r="F3723" t="s">
        <v>23</v>
      </c>
      <c r="G3723" t="s">
        <v>35</v>
      </c>
      <c r="H3723" t="s">
        <v>48</v>
      </c>
      <c r="I3723" t="s">
        <v>26</v>
      </c>
      <c r="J3723" t="s">
        <v>27</v>
      </c>
      <c r="K3723" t="s">
        <v>28</v>
      </c>
      <c r="L3723" s="2">
        <v>26.5</v>
      </c>
      <c r="M3723" s="3">
        <v>619</v>
      </c>
      <c r="N3723">
        <v>4</v>
      </c>
      <c r="O3723">
        <v>3</v>
      </c>
      <c r="P3723">
        <v>1</v>
      </c>
      <c r="Q3723">
        <v>0</v>
      </c>
      <c r="R3723" s="4">
        <v>27.94</v>
      </c>
      <c r="S3723">
        <v>0</v>
      </c>
      <c r="T3723">
        <v>1</v>
      </c>
    </row>
    <row r="3724" spans="1:20" ht="16.5" x14ac:dyDescent="0.3">
      <c r="A3724" t="s">
        <v>3778</v>
      </c>
      <c r="B3724" s="1">
        <v>45808</v>
      </c>
      <c r="C3724">
        <v>2025</v>
      </c>
      <c r="D3724" t="s">
        <v>649</v>
      </c>
      <c r="E3724" t="s">
        <v>859</v>
      </c>
      <c r="F3724" t="s">
        <v>30</v>
      </c>
      <c r="G3724" t="s">
        <v>35</v>
      </c>
      <c r="H3724" t="s">
        <v>36</v>
      </c>
      <c r="I3724" t="s">
        <v>26</v>
      </c>
      <c r="J3724" t="s">
        <v>27</v>
      </c>
      <c r="K3724" t="s">
        <v>32</v>
      </c>
      <c r="L3724" s="2">
        <v>6.1</v>
      </c>
      <c r="M3724" s="3">
        <v>298</v>
      </c>
      <c r="N3724">
        <v>3</v>
      </c>
      <c r="O3724">
        <v>3</v>
      </c>
      <c r="P3724">
        <v>1</v>
      </c>
      <c r="Q3724">
        <v>0</v>
      </c>
      <c r="R3724" s="4">
        <v>13.84</v>
      </c>
      <c r="S3724">
        <v>0</v>
      </c>
      <c r="T3724">
        <v>1</v>
      </c>
    </row>
    <row r="3725" spans="1:20" ht="16.5" x14ac:dyDescent="0.3">
      <c r="A3725" t="s">
        <v>3779</v>
      </c>
      <c r="B3725" s="1">
        <v>45808</v>
      </c>
      <c r="C3725">
        <v>2025</v>
      </c>
      <c r="D3725" t="s">
        <v>649</v>
      </c>
      <c r="E3725" t="s">
        <v>859</v>
      </c>
      <c r="F3725" t="s">
        <v>57</v>
      </c>
      <c r="G3725" t="s">
        <v>39</v>
      </c>
      <c r="H3725" t="s">
        <v>36</v>
      </c>
      <c r="I3725" t="s">
        <v>31</v>
      </c>
      <c r="J3725" t="s">
        <v>27</v>
      </c>
      <c r="K3725" t="s">
        <v>28</v>
      </c>
      <c r="L3725" s="2">
        <v>120.8</v>
      </c>
      <c r="M3725" s="3">
        <v>243</v>
      </c>
      <c r="N3725">
        <v>5</v>
      </c>
      <c r="O3725">
        <v>5</v>
      </c>
      <c r="P3725">
        <v>1</v>
      </c>
      <c r="Q3725">
        <v>0</v>
      </c>
      <c r="R3725" s="4">
        <v>48.79</v>
      </c>
      <c r="S3725">
        <v>0</v>
      </c>
      <c r="T3725">
        <v>1</v>
      </c>
    </row>
    <row r="3726" spans="1:20" ht="16.5" x14ac:dyDescent="0.3">
      <c r="A3726" t="s">
        <v>3780</v>
      </c>
      <c r="B3726" s="1">
        <v>45808</v>
      </c>
      <c r="C3726">
        <v>2025</v>
      </c>
      <c r="D3726" t="s">
        <v>649</v>
      </c>
      <c r="E3726" t="s">
        <v>859</v>
      </c>
      <c r="F3726" t="s">
        <v>57</v>
      </c>
      <c r="G3726" t="s">
        <v>39</v>
      </c>
      <c r="H3726" t="s">
        <v>25</v>
      </c>
      <c r="I3726" t="s">
        <v>26</v>
      </c>
      <c r="J3726" t="s">
        <v>27</v>
      </c>
      <c r="K3726" t="s">
        <v>32</v>
      </c>
      <c r="L3726" s="2">
        <v>4.5999999999999996</v>
      </c>
      <c r="M3726" s="3">
        <v>1093</v>
      </c>
      <c r="N3726">
        <v>4</v>
      </c>
      <c r="O3726">
        <v>4</v>
      </c>
      <c r="P3726">
        <v>1</v>
      </c>
      <c r="Q3726">
        <v>0</v>
      </c>
      <c r="R3726" s="4">
        <v>22.86</v>
      </c>
      <c r="S3726">
        <v>0</v>
      </c>
      <c r="T3726">
        <v>1</v>
      </c>
    </row>
    <row r="3727" spans="1:20" ht="16.5" x14ac:dyDescent="0.3">
      <c r="A3727" t="s">
        <v>3781</v>
      </c>
      <c r="B3727" s="1">
        <v>45809</v>
      </c>
      <c r="C3727">
        <v>2025</v>
      </c>
      <c r="D3727" t="s">
        <v>649</v>
      </c>
      <c r="E3727" t="s">
        <v>1079</v>
      </c>
      <c r="F3727" t="s">
        <v>34</v>
      </c>
      <c r="G3727" t="s">
        <v>35</v>
      </c>
      <c r="H3727" t="s">
        <v>25</v>
      </c>
      <c r="I3727" t="s">
        <v>40</v>
      </c>
      <c r="J3727" t="s">
        <v>41</v>
      </c>
      <c r="K3727" t="s">
        <v>32</v>
      </c>
      <c r="L3727" s="2">
        <v>3.8</v>
      </c>
      <c r="M3727" s="3">
        <v>813</v>
      </c>
      <c r="N3727">
        <v>2</v>
      </c>
      <c r="O3727">
        <v>5</v>
      </c>
      <c r="P3727">
        <v>0</v>
      </c>
      <c r="Q3727">
        <v>3</v>
      </c>
      <c r="R3727" s="4">
        <v>47.94</v>
      </c>
      <c r="S3727">
        <v>0</v>
      </c>
      <c r="T3727">
        <v>1</v>
      </c>
    </row>
    <row r="3728" spans="1:20" ht="16.5" x14ac:dyDescent="0.3">
      <c r="A3728" t="s">
        <v>3782</v>
      </c>
      <c r="B3728" s="1">
        <v>45809</v>
      </c>
      <c r="C3728">
        <v>2025</v>
      </c>
      <c r="D3728" t="s">
        <v>649</v>
      </c>
      <c r="E3728" t="s">
        <v>1079</v>
      </c>
      <c r="F3728" t="s">
        <v>57</v>
      </c>
      <c r="G3728" t="s">
        <v>39</v>
      </c>
      <c r="H3728" t="s">
        <v>36</v>
      </c>
      <c r="I3728" t="s">
        <v>31</v>
      </c>
      <c r="J3728" t="s">
        <v>27</v>
      </c>
      <c r="K3728" t="s">
        <v>32</v>
      </c>
      <c r="L3728" s="2">
        <v>5.2</v>
      </c>
      <c r="M3728" s="3">
        <v>226</v>
      </c>
      <c r="N3728">
        <v>5</v>
      </c>
      <c r="O3728">
        <v>5</v>
      </c>
      <c r="P3728">
        <v>1</v>
      </c>
      <c r="Q3728">
        <v>0</v>
      </c>
      <c r="R3728" s="4">
        <v>8.9600000000000009</v>
      </c>
      <c r="S3728">
        <v>0</v>
      </c>
      <c r="T3728">
        <v>1</v>
      </c>
    </row>
    <row r="3729" spans="1:20" ht="16.5" x14ac:dyDescent="0.3">
      <c r="A3729" t="s">
        <v>3783</v>
      </c>
      <c r="B3729" s="1">
        <v>45810</v>
      </c>
      <c r="C3729">
        <v>2025</v>
      </c>
      <c r="D3729" t="s">
        <v>649</v>
      </c>
      <c r="E3729" t="s">
        <v>1079</v>
      </c>
      <c r="F3729" t="s">
        <v>57</v>
      </c>
      <c r="G3729" t="s">
        <v>39</v>
      </c>
      <c r="H3729" t="s">
        <v>43</v>
      </c>
      <c r="I3729" t="s">
        <v>26</v>
      </c>
      <c r="J3729" t="s">
        <v>27</v>
      </c>
      <c r="K3729" t="s">
        <v>32</v>
      </c>
      <c r="L3729" s="2">
        <v>15.8</v>
      </c>
      <c r="M3729" s="3">
        <v>1376</v>
      </c>
      <c r="N3729">
        <v>5</v>
      </c>
      <c r="O3729">
        <v>7</v>
      </c>
      <c r="P3729">
        <v>0</v>
      </c>
      <c r="Q3729">
        <v>2</v>
      </c>
      <c r="R3729" s="4">
        <v>35.409999999999997</v>
      </c>
      <c r="S3729">
        <v>0</v>
      </c>
      <c r="T3729">
        <v>1</v>
      </c>
    </row>
    <row r="3730" spans="1:20" ht="16.5" x14ac:dyDescent="0.3">
      <c r="A3730" t="s">
        <v>3784</v>
      </c>
      <c r="B3730" s="1">
        <v>45810</v>
      </c>
      <c r="C3730">
        <v>2025</v>
      </c>
      <c r="D3730" t="s">
        <v>649</v>
      </c>
      <c r="E3730" t="s">
        <v>1079</v>
      </c>
      <c r="F3730" t="s">
        <v>57</v>
      </c>
      <c r="G3730" t="s">
        <v>39</v>
      </c>
      <c r="H3730" t="s">
        <v>25</v>
      </c>
      <c r="I3730" t="s">
        <v>31</v>
      </c>
      <c r="J3730" t="s">
        <v>27</v>
      </c>
      <c r="K3730" t="s">
        <v>32</v>
      </c>
      <c r="L3730" s="2">
        <v>7.4</v>
      </c>
      <c r="M3730" s="3">
        <v>918</v>
      </c>
      <c r="N3730">
        <v>6</v>
      </c>
      <c r="O3730">
        <v>6</v>
      </c>
      <c r="P3730">
        <v>1</v>
      </c>
      <c r="Q3730">
        <v>0</v>
      </c>
      <c r="R3730" s="4">
        <v>15.03</v>
      </c>
      <c r="S3730">
        <v>0</v>
      </c>
      <c r="T3730">
        <v>1</v>
      </c>
    </row>
    <row r="3731" spans="1:20" ht="16.5" x14ac:dyDescent="0.3">
      <c r="A3731" t="s">
        <v>3785</v>
      </c>
      <c r="B3731" s="1">
        <v>45810</v>
      </c>
      <c r="C3731">
        <v>2025</v>
      </c>
      <c r="D3731" t="s">
        <v>649</v>
      </c>
      <c r="E3731" t="s">
        <v>1079</v>
      </c>
      <c r="F3731" t="s">
        <v>34</v>
      </c>
      <c r="G3731" t="s">
        <v>39</v>
      </c>
      <c r="H3731" t="s">
        <v>36</v>
      </c>
      <c r="I3731" t="s">
        <v>26</v>
      </c>
      <c r="J3731" t="s">
        <v>27</v>
      </c>
      <c r="K3731" t="s">
        <v>32</v>
      </c>
      <c r="L3731" s="2">
        <v>5.0999999999999996</v>
      </c>
      <c r="M3731" s="3">
        <v>192</v>
      </c>
      <c r="N3731">
        <v>3</v>
      </c>
      <c r="O3731">
        <v>2</v>
      </c>
      <c r="P3731">
        <v>1</v>
      </c>
      <c r="Q3731">
        <v>0</v>
      </c>
      <c r="R3731" s="4">
        <v>9.35</v>
      </c>
      <c r="S3731">
        <v>0</v>
      </c>
      <c r="T3731">
        <v>1</v>
      </c>
    </row>
    <row r="3732" spans="1:20" ht="16.5" x14ac:dyDescent="0.3">
      <c r="A3732" t="s">
        <v>3786</v>
      </c>
      <c r="B3732" s="1">
        <v>45810</v>
      </c>
      <c r="C3732">
        <v>2025</v>
      </c>
      <c r="D3732" t="s">
        <v>649</v>
      </c>
      <c r="E3732" t="s">
        <v>1079</v>
      </c>
      <c r="F3732" t="s">
        <v>23</v>
      </c>
      <c r="G3732" t="s">
        <v>39</v>
      </c>
      <c r="H3732" t="s">
        <v>48</v>
      </c>
      <c r="I3732" t="s">
        <v>26</v>
      </c>
      <c r="J3732" t="s">
        <v>27</v>
      </c>
      <c r="K3732" t="s">
        <v>28</v>
      </c>
      <c r="L3732" s="2">
        <v>131.30000000000001</v>
      </c>
      <c r="M3732" s="3">
        <v>517</v>
      </c>
      <c r="N3732">
        <v>4</v>
      </c>
      <c r="O3732">
        <v>4</v>
      </c>
      <c r="P3732">
        <v>1</v>
      </c>
      <c r="Q3732">
        <v>0</v>
      </c>
      <c r="R3732" s="4">
        <v>75.739999999999995</v>
      </c>
      <c r="S3732">
        <v>0</v>
      </c>
      <c r="T3732">
        <v>1</v>
      </c>
    </row>
    <row r="3733" spans="1:20" ht="16.5" x14ac:dyDescent="0.3">
      <c r="A3733" t="s">
        <v>3787</v>
      </c>
      <c r="B3733" s="1">
        <v>45810</v>
      </c>
      <c r="C3733">
        <v>2025</v>
      </c>
      <c r="D3733" t="s">
        <v>649</v>
      </c>
      <c r="E3733" t="s">
        <v>1079</v>
      </c>
      <c r="F3733" t="s">
        <v>38</v>
      </c>
      <c r="G3733" t="s">
        <v>35</v>
      </c>
      <c r="H3733" t="s">
        <v>48</v>
      </c>
      <c r="I3733" t="s">
        <v>40</v>
      </c>
      <c r="J3733" t="s">
        <v>27</v>
      </c>
      <c r="K3733" t="s">
        <v>28</v>
      </c>
      <c r="L3733" s="2">
        <v>92.6</v>
      </c>
      <c r="M3733" s="3">
        <v>402</v>
      </c>
      <c r="N3733">
        <v>2</v>
      </c>
      <c r="O3733">
        <v>2</v>
      </c>
      <c r="P3733">
        <v>1</v>
      </c>
      <c r="Q3733">
        <v>0</v>
      </c>
      <c r="R3733" s="4">
        <v>105.76</v>
      </c>
      <c r="S3733">
        <v>0</v>
      </c>
      <c r="T3733">
        <v>1</v>
      </c>
    </row>
    <row r="3734" spans="1:20" ht="16.5" x14ac:dyDescent="0.3">
      <c r="A3734" t="s">
        <v>3788</v>
      </c>
      <c r="B3734" s="1">
        <v>45810</v>
      </c>
      <c r="C3734">
        <v>2025</v>
      </c>
      <c r="D3734" t="s">
        <v>649</v>
      </c>
      <c r="E3734" t="s">
        <v>1079</v>
      </c>
      <c r="F3734" t="s">
        <v>23</v>
      </c>
      <c r="G3734" t="s">
        <v>39</v>
      </c>
      <c r="H3734" t="s">
        <v>25</v>
      </c>
      <c r="I3734" t="s">
        <v>26</v>
      </c>
      <c r="J3734" t="s">
        <v>27</v>
      </c>
      <c r="K3734" t="s">
        <v>28</v>
      </c>
      <c r="L3734" s="2">
        <v>122.5</v>
      </c>
      <c r="M3734" s="3">
        <v>1001</v>
      </c>
      <c r="N3734">
        <v>4</v>
      </c>
      <c r="O3734">
        <v>7</v>
      </c>
      <c r="P3734">
        <v>0</v>
      </c>
      <c r="Q3734">
        <v>3</v>
      </c>
      <c r="R3734" s="4">
        <v>65.64</v>
      </c>
      <c r="S3734">
        <v>0</v>
      </c>
      <c r="T3734">
        <v>1</v>
      </c>
    </row>
    <row r="3735" spans="1:20" ht="16.5" x14ac:dyDescent="0.3">
      <c r="A3735" t="s">
        <v>3789</v>
      </c>
      <c r="B3735" s="1">
        <v>45810</v>
      </c>
      <c r="C3735">
        <v>2025</v>
      </c>
      <c r="D3735" t="s">
        <v>649</v>
      </c>
      <c r="E3735" t="s">
        <v>1079</v>
      </c>
      <c r="F3735" t="s">
        <v>57</v>
      </c>
      <c r="G3735" t="s">
        <v>39</v>
      </c>
      <c r="H3735" t="s">
        <v>48</v>
      </c>
      <c r="I3735" t="s">
        <v>40</v>
      </c>
      <c r="J3735" t="s">
        <v>27</v>
      </c>
      <c r="K3735" t="s">
        <v>32</v>
      </c>
      <c r="L3735" s="2">
        <v>4.0999999999999996</v>
      </c>
      <c r="M3735" s="3">
        <v>400</v>
      </c>
      <c r="N3735">
        <v>2</v>
      </c>
      <c r="O3735">
        <v>2</v>
      </c>
      <c r="P3735">
        <v>1</v>
      </c>
      <c r="Q3735">
        <v>0</v>
      </c>
      <c r="R3735" s="4">
        <v>25.37</v>
      </c>
      <c r="S3735">
        <v>0</v>
      </c>
      <c r="T3735">
        <v>1</v>
      </c>
    </row>
    <row r="3736" spans="1:20" ht="16.5" x14ac:dyDescent="0.3">
      <c r="A3736" t="s">
        <v>3790</v>
      </c>
      <c r="B3736" s="1">
        <v>45810</v>
      </c>
      <c r="C3736">
        <v>2025</v>
      </c>
      <c r="D3736" t="s">
        <v>649</v>
      </c>
      <c r="E3736" t="s">
        <v>1079</v>
      </c>
      <c r="F3736" t="s">
        <v>38</v>
      </c>
      <c r="G3736" t="s">
        <v>35</v>
      </c>
      <c r="H3736" t="s">
        <v>48</v>
      </c>
      <c r="I3736" t="s">
        <v>26</v>
      </c>
      <c r="J3736" t="s">
        <v>27</v>
      </c>
      <c r="K3736" t="s">
        <v>32</v>
      </c>
      <c r="L3736" s="2">
        <v>12</v>
      </c>
      <c r="M3736" s="3">
        <v>529</v>
      </c>
      <c r="N3736">
        <v>4</v>
      </c>
      <c r="O3736">
        <v>4</v>
      </c>
      <c r="P3736">
        <v>1</v>
      </c>
      <c r="Q3736">
        <v>0</v>
      </c>
      <c r="R3736" s="4">
        <v>22.48</v>
      </c>
      <c r="S3736">
        <v>0</v>
      </c>
      <c r="T3736">
        <v>1</v>
      </c>
    </row>
    <row r="3737" spans="1:20" ht="16.5" x14ac:dyDescent="0.3">
      <c r="A3737" t="s">
        <v>3791</v>
      </c>
      <c r="B3737" s="1">
        <v>45810</v>
      </c>
      <c r="C3737">
        <v>2025</v>
      </c>
      <c r="D3737" t="s">
        <v>649</v>
      </c>
      <c r="E3737" t="s">
        <v>1079</v>
      </c>
      <c r="F3737" t="s">
        <v>34</v>
      </c>
      <c r="G3737" t="s">
        <v>39</v>
      </c>
      <c r="H3737" t="s">
        <v>43</v>
      </c>
      <c r="I3737" t="s">
        <v>26</v>
      </c>
      <c r="J3737" t="s">
        <v>27</v>
      </c>
      <c r="K3737" t="s">
        <v>32</v>
      </c>
      <c r="L3737" s="2">
        <v>6.4</v>
      </c>
      <c r="M3737" s="3">
        <v>1085</v>
      </c>
      <c r="N3737">
        <v>5</v>
      </c>
      <c r="O3737">
        <v>5</v>
      </c>
      <c r="P3737">
        <v>1</v>
      </c>
      <c r="Q3737">
        <v>0</v>
      </c>
      <c r="R3737" s="4">
        <v>21.07</v>
      </c>
      <c r="S3737">
        <v>0</v>
      </c>
      <c r="T3737">
        <v>1</v>
      </c>
    </row>
    <row r="3738" spans="1:20" ht="16.5" x14ac:dyDescent="0.3">
      <c r="A3738" t="s">
        <v>3792</v>
      </c>
      <c r="B3738" s="1">
        <v>45810</v>
      </c>
      <c r="C3738">
        <v>2025</v>
      </c>
      <c r="D3738" t="s">
        <v>649</v>
      </c>
      <c r="E3738" t="s">
        <v>1079</v>
      </c>
      <c r="F3738" t="s">
        <v>34</v>
      </c>
      <c r="G3738" t="s">
        <v>35</v>
      </c>
      <c r="H3738" t="s">
        <v>48</v>
      </c>
      <c r="I3738" t="s">
        <v>26</v>
      </c>
      <c r="J3738" t="s">
        <v>27</v>
      </c>
      <c r="K3738" t="s">
        <v>28</v>
      </c>
      <c r="L3738" s="2">
        <v>138</v>
      </c>
      <c r="M3738" s="3">
        <v>516</v>
      </c>
      <c r="N3738">
        <v>4</v>
      </c>
      <c r="O3738">
        <v>4</v>
      </c>
      <c r="P3738">
        <v>1</v>
      </c>
      <c r="Q3738">
        <v>0</v>
      </c>
      <c r="R3738" s="4">
        <v>61.03</v>
      </c>
      <c r="S3738">
        <v>0</v>
      </c>
      <c r="T3738">
        <v>1</v>
      </c>
    </row>
    <row r="3739" spans="1:20" ht="16.5" x14ac:dyDescent="0.3">
      <c r="A3739" t="s">
        <v>3793</v>
      </c>
      <c r="B3739" s="1">
        <v>45811</v>
      </c>
      <c r="C3739">
        <v>2025</v>
      </c>
      <c r="D3739" t="s">
        <v>649</v>
      </c>
      <c r="E3739" t="s">
        <v>1079</v>
      </c>
      <c r="F3739" t="s">
        <v>30</v>
      </c>
      <c r="G3739" t="s">
        <v>39</v>
      </c>
      <c r="H3739" t="s">
        <v>25</v>
      </c>
      <c r="I3739" t="s">
        <v>31</v>
      </c>
      <c r="J3739" t="s">
        <v>27</v>
      </c>
      <c r="K3739" t="s">
        <v>28</v>
      </c>
      <c r="L3739" s="2">
        <v>25.5</v>
      </c>
      <c r="M3739" s="3">
        <v>1085</v>
      </c>
      <c r="N3739">
        <v>6</v>
      </c>
      <c r="O3739">
        <v>10</v>
      </c>
      <c r="P3739">
        <v>0</v>
      </c>
      <c r="Q3739">
        <v>4</v>
      </c>
      <c r="R3739" s="4">
        <v>23.04</v>
      </c>
      <c r="S3739">
        <v>0</v>
      </c>
      <c r="T3739">
        <v>1</v>
      </c>
    </row>
    <row r="3740" spans="1:20" ht="16.5" x14ac:dyDescent="0.3">
      <c r="A3740" t="s">
        <v>3794</v>
      </c>
      <c r="B3740" s="1">
        <v>45811</v>
      </c>
      <c r="C3740">
        <v>2025</v>
      </c>
      <c r="D3740" t="s">
        <v>649</v>
      </c>
      <c r="E3740" t="s">
        <v>1079</v>
      </c>
      <c r="F3740" t="s">
        <v>34</v>
      </c>
      <c r="G3740" t="s">
        <v>24</v>
      </c>
      <c r="H3740" t="s">
        <v>43</v>
      </c>
      <c r="I3740" t="s">
        <v>40</v>
      </c>
      <c r="J3740" t="s">
        <v>41</v>
      </c>
      <c r="K3740" t="s">
        <v>28</v>
      </c>
      <c r="L3740" s="2">
        <v>182.3</v>
      </c>
      <c r="M3740" s="3">
        <v>1115</v>
      </c>
      <c r="N3740">
        <v>3</v>
      </c>
      <c r="O3740">
        <v>3</v>
      </c>
      <c r="P3740">
        <v>1</v>
      </c>
      <c r="Q3740">
        <v>0</v>
      </c>
      <c r="R3740" s="4">
        <v>261.02999999999997</v>
      </c>
      <c r="S3740">
        <v>0</v>
      </c>
      <c r="T3740">
        <v>1</v>
      </c>
    </row>
    <row r="3741" spans="1:20" ht="16.5" x14ac:dyDescent="0.3">
      <c r="A3741" t="s">
        <v>3795</v>
      </c>
      <c r="B3741" s="1">
        <v>45811</v>
      </c>
      <c r="C3741">
        <v>2025</v>
      </c>
      <c r="D3741" t="s">
        <v>649</v>
      </c>
      <c r="E3741" t="s">
        <v>1079</v>
      </c>
      <c r="F3741" t="s">
        <v>30</v>
      </c>
      <c r="G3741" t="s">
        <v>39</v>
      </c>
      <c r="H3741" t="s">
        <v>43</v>
      </c>
      <c r="I3741" t="s">
        <v>40</v>
      </c>
      <c r="J3741" t="s">
        <v>41</v>
      </c>
      <c r="K3741" t="s">
        <v>28</v>
      </c>
      <c r="L3741" s="2">
        <v>196.6</v>
      </c>
      <c r="M3741" s="3">
        <v>1121</v>
      </c>
      <c r="N3741">
        <v>3</v>
      </c>
      <c r="O3741">
        <v>3</v>
      </c>
      <c r="P3741">
        <v>1</v>
      </c>
      <c r="Q3741">
        <v>0</v>
      </c>
      <c r="R3741" s="4">
        <v>316.5</v>
      </c>
      <c r="S3741">
        <v>0</v>
      </c>
      <c r="T3741">
        <v>1</v>
      </c>
    </row>
    <row r="3742" spans="1:20" ht="16.5" x14ac:dyDescent="0.3">
      <c r="A3742" t="s">
        <v>3796</v>
      </c>
      <c r="B3742" s="1">
        <v>45811</v>
      </c>
      <c r="C3742">
        <v>2025</v>
      </c>
      <c r="D3742" t="s">
        <v>649</v>
      </c>
      <c r="E3742" t="s">
        <v>1079</v>
      </c>
      <c r="F3742" t="s">
        <v>34</v>
      </c>
      <c r="G3742" t="s">
        <v>39</v>
      </c>
      <c r="H3742" t="s">
        <v>36</v>
      </c>
      <c r="I3742" t="s">
        <v>31</v>
      </c>
      <c r="J3742" t="s">
        <v>27</v>
      </c>
      <c r="K3742" t="s">
        <v>32</v>
      </c>
      <c r="L3742" s="2">
        <v>4.3</v>
      </c>
      <c r="M3742" s="3">
        <v>249</v>
      </c>
      <c r="N3742">
        <v>5</v>
      </c>
      <c r="O3742">
        <v>5</v>
      </c>
      <c r="P3742">
        <v>1</v>
      </c>
      <c r="Q3742">
        <v>0</v>
      </c>
      <c r="R3742" s="4">
        <v>6.93</v>
      </c>
      <c r="S3742">
        <v>0</v>
      </c>
      <c r="T3742">
        <v>1</v>
      </c>
    </row>
    <row r="3743" spans="1:20" ht="16.5" x14ac:dyDescent="0.3">
      <c r="A3743" t="s">
        <v>3797</v>
      </c>
      <c r="B3743" s="1">
        <v>45811</v>
      </c>
      <c r="C3743">
        <v>2025</v>
      </c>
      <c r="D3743" t="s">
        <v>649</v>
      </c>
      <c r="E3743" t="s">
        <v>1079</v>
      </c>
      <c r="F3743" t="s">
        <v>30</v>
      </c>
      <c r="G3743" t="s">
        <v>39</v>
      </c>
      <c r="H3743" t="s">
        <v>43</v>
      </c>
      <c r="I3743" t="s">
        <v>40</v>
      </c>
      <c r="J3743" t="s">
        <v>41</v>
      </c>
      <c r="K3743" t="s">
        <v>28</v>
      </c>
      <c r="L3743" s="2">
        <v>58.7</v>
      </c>
      <c r="M3743" s="3">
        <v>1227</v>
      </c>
      <c r="N3743">
        <v>3</v>
      </c>
      <c r="O3743">
        <v>3</v>
      </c>
      <c r="P3743">
        <v>1</v>
      </c>
      <c r="Q3743">
        <v>0</v>
      </c>
      <c r="R3743" s="4">
        <v>160.94</v>
      </c>
      <c r="S3743">
        <v>0</v>
      </c>
      <c r="T3743">
        <v>1</v>
      </c>
    </row>
    <row r="3744" spans="1:20" ht="16.5" x14ac:dyDescent="0.3">
      <c r="A3744" t="s">
        <v>3798</v>
      </c>
      <c r="B3744" s="1">
        <v>45811</v>
      </c>
      <c r="C3744">
        <v>2025</v>
      </c>
      <c r="D3744" t="s">
        <v>649</v>
      </c>
      <c r="E3744" t="s">
        <v>1079</v>
      </c>
      <c r="F3744" t="s">
        <v>30</v>
      </c>
      <c r="G3744" t="s">
        <v>39</v>
      </c>
      <c r="H3744" t="s">
        <v>48</v>
      </c>
      <c r="I3744" t="s">
        <v>40</v>
      </c>
      <c r="J3744" t="s">
        <v>27</v>
      </c>
      <c r="K3744" t="s">
        <v>28</v>
      </c>
      <c r="L3744" s="2">
        <v>68.7</v>
      </c>
      <c r="M3744" s="3">
        <v>479</v>
      </c>
      <c r="N3744">
        <v>2</v>
      </c>
      <c r="O3744">
        <v>2</v>
      </c>
      <c r="P3744">
        <v>1</v>
      </c>
      <c r="Q3744">
        <v>0</v>
      </c>
      <c r="R3744" s="4">
        <v>88.88</v>
      </c>
      <c r="S3744">
        <v>0</v>
      </c>
      <c r="T3744">
        <v>1</v>
      </c>
    </row>
    <row r="3745" spans="1:20" ht="16.5" x14ac:dyDescent="0.3">
      <c r="A3745" t="s">
        <v>3799</v>
      </c>
      <c r="B3745" s="1">
        <v>45811</v>
      </c>
      <c r="C3745">
        <v>2025</v>
      </c>
      <c r="D3745" t="s">
        <v>649</v>
      </c>
      <c r="E3745" t="s">
        <v>1079</v>
      </c>
      <c r="F3745" t="s">
        <v>38</v>
      </c>
      <c r="G3745" t="s">
        <v>35</v>
      </c>
      <c r="H3745" t="s">
        <v>48</v>
      </c>
      <c r="I3745" t="s">
        <v>40</v>
      </c>
      <c r="J3745" t="s">
        <v>27</v>
      </c>
      <c r="K3745" t="s">
        <v>32</v>
      </c>
      <c r="L3745" s="2">
        <v>1.4</v>
      </c>
      <c r="M3745" s="3">
        <v>465</v>
      </c>
      <c r="N3745">
        <v>2</v>
      </c>
      <c r="O3745">
        <v>1</v>
      </c>
      <c r="P3745">
        <v>1</v>
      </c>
      <c r="Q3745">
        <v>0</v>
      </c>
      <c r="R3745" s="4">
        <v>26.35</v>
      </c>
      <c r="S3745">
        <v>0</v>
      </c>
      <c r="T3745">
        <v>1</v>
      </c>
    </row>
    <row r="3746" spans="1:20" ht="16.5" x14ac:dyDescent="0.3">
      <c r="A3746" t="s">
        <v>3800</v>
      </c>
      <c r="B3746" s="1">
        <v>45812</v>
      </c>
      <c r="C3746">
        <v>2025</v>
      </c>
      <c r="D3746" t="s">
        <v>649</v>
      </c>
      <c r="E3746" t="s">
        <v>1079</v>
      </c>
      <c r="F3746" t="s">
        <v>34</v>
      </c>
      <c r="G3746" t="s">
        <v>39</v>
      </c>
      <c r="H3746" t="s">
        <v>36</v>
      </c>
      <c r="I3746" t="s">
        <v>31</v>
      </c>
      <c r="J3746" t="s">
        <v>27</v>
      </c>
      <c r="K3746" t="s">
        <v>28</v>
      </c>
      <c r="L3746" s="2">
        <v>149.5</v>
      </c>
      <c r="M3746" s="3">
        <v>259</v>
      </c>
      <c r="N3746">
        <v>5</v>
      </c>
      <c r="O3746">
        <v>5</v>
      </c>
      <c r="P3746">
        <v>1</v>
      </c>
      <c r="Q3746">
        <v>0</v>
      </c>
      <c r="R3746" s="4">
        <v>45.7</v>
      </c>
      <c r="S3746">
        <v>0</v>
      </c>
      <c r="T3746">
        <v>1</v>
      </c>
    </row>
    <row r="3747" spans="1:20" ht="16.5" x14ac:dyDescent="0.3">
      <c r="A3747" t="s">
        <v>3801</v>
      </c>
      <c r="B3747" s="1">
        <v>45812</v>
      </c>
      <c r="C3747">
        <v>2025</v>
      </c>
      <c r="D3747" t="s">
        <v>649</v>
      </c>
      <c r="E3747" t="s">
        <v>1079</v>
      </c>
      <c r="F3747" t="s">
        <v>34</v>
      </c>
      <c r="G3747" t="s">
        <v>24</v>
      </c>
      <c r="H3747" t="s">
        <v>43</v>
      </c>
      <c r="I3747" t="s">
        <v>31</v>
      </c>
      <c r="J3747" t="s">
        <v>27</v>
      </c>
      <c r="K3747" t="s">
        <v>28</v>
      </c>
      <c r="L3747" s="2">
        <v>53</v>
      </c>
      <c r="M3747" s="3">
        <v>1037</v>
      </c>
      <c r="N3747">
        <v>7</v>
      </c>
      <c r="O3747">
        <v>7</v>
      </c>
      <c r="P3747">
        <v>1</v>
      </c>
      <c r="Q3747">
        <v>0</v>
      </c>
      <c r="R3747" s="4">
        <v>24.73</v>
      </c>
      <c r="S3747">
        <v>0</v>
      </c>
      <c r="T3747">
        <v>1</v>
      </c>
    </row>
    <row r="3748" spans="1:20" ht="16.5" x14ac:dyDescent="0.3">
      <c r="A3748" t="s">
        <v>3802</v>
      </c>
      <c r="B3748" s="1">
        <v>45812</v>
      </c>
      <c r="C3748">
        <v>2025</v>
      </c>
      <c r="D3748" t="s">
        <v>649</v>
      </c>
      <c r="E3748" t="s">
        <v>1079</v>
      </c>
      <c r="F3748" t="s">
        <v>57</v>
      </c>
      <c r="G3748" t="s">
        <v>24</v>
      </c>
      <c r="H3748" t="s">
        <v>25</v>
      </c>
      <c r="I3748" t="s">
        <v>31</v>
      </c>
      <c r="J3748" t="s">
        <v>27</v>
      </c>
      <c r="K3748" t="s">
        <v>32</v>
      </c>
      <c r="L3748" s="2">
        <v>1.8</v>
      </c>
      <c r="M3748" s="3">
        <v>901</v>
      </c>
      <c r="N3748">
        <v>6</v>
      </c>
      <c r="O3748">
        <v>6</v>
      </c>
      <c r="P3748">
        <v>1</v>
      </c>
      <c r="Q3748">
        <v>0</v>
      </c>
      <c r="R3748" s="4">
        <v>11.95</v>
      </c>
      <c r="S3748">
        <v>1</v>
      </c>
      <c r="T3748">
        <v>1</v>
      </c>
    </row>
    <row r="3749" spans="1:20" ht="16.5" x14ac:dyDescent="0.3">
      <c r="A3749" t="s">
        <v>3803</v>
      </c>
      <c r="B3749" s="1">
        <v>45812</v>
      </c>
      <c r="C3749">
        <v>2025</v>
      </c>
      <c r="D3749" t="s">
        <v>649</v>
      </c>
      <c r="E3749" t="s">
        <v>1079</v>
      </c>
      <c r="F3749" t="s">
        <v>34</v>
      </c>
      <c r="G3749" t="s">
        <v>24</v>
      </c>
      <c r="H3749" t="s">
        <v>25</v>
      </c>
      <c r="I3749" t="s">
        <v>26</v>
      </c>
      <c r="J3749" t="s">
        <v>27</v>
      </c>
      <c r="K3749" t="s">
        <v>32</v>
      </c>
      <c r="L3749" s="2">
        <v>4.2</v>
      </c>
      <c r="M3749" s="3">
        <v>768</v>
      </c>
      <c r="N3749">
        <v>4</v>
      </c>
      <c r="O3749">
        <v>4</v>
      </c>
      <c r="P3749">
        <v>1</v>
      </c>
      <c r="Q3749">
        <v>0</v>
      </c>
      <c r="R3749" s="4">
        <v>14.82</v>
      </c>
      <c r="S3749">
        <v>1</v>
      </c>
      <c r="T3749">
        <v>1</v>
      </c>
    </row>
    <row r="3750" spans="1:20" ht="16.5" x14ac:dyDescent="0.3">
      <c r="A3750" t="s">
        <v>3804</v>
      </c>
      <c r="B3750" s="1">
        <v>45812</v>
      </c>
      <c r="C3750">
        <v>2025</v>
      </c>
      <c r="D3750" t="s">
        <v>649</v>
      </c>
      <c r="E3750" t="s">
        <v>1079</v>
      </c>
      <c r="F3750" t="s">
        <v>38</v>
      </c>
      <c r="G3750" t="s">
        <v>35</v>
      </c>
      <c r="H3750" t="s">
        <v>51</v>
      </c>
      <c r="I3750" t="s">
        <v>31</v>
      </c>
      <c r="J3750" t="s">
        <v>27</v>
      </c>
      <c r="K3750" t="s">
        <v>32</v>
      </c>
      <c r="L3750" s="2">
        <v>1.6</v>
      </c>
      <c r="M3750" s="3">
        <v>1042</v>
      </c>
      <c r="N3750">
        <v>7</v>
      </c>
      <c r="O3750">
        <v>6</v>
      </c>
      <c r="P3750">
        <v>1</v>
      </c>
      <c r="Q3750">
        <v>0</v>
      </c>
      <c r="R3750" s="4">
        <v>15.61</v>
      </c>
      <c r="S3750">
        <v>0</v>
      </c>
      <c r="T3750">
        <v>1</v>
      </c>
    </row>
    <row r="3751" spans="1:20" ht="16.5" x14ac:dyDescent="0.3">
      <c r="A3751" t="s">
        <v>3805</v>
      </c>
      <c r="B3751" s="1">
        <v>45812</v>
      </c>
      <c r="C3751">
        <v>2025</v>
      </c>
      <c r="D3751" t="s">
        <v>649</v>
      </c>
      <c r="E3751" t="s">
        <v>1079</v>
      </c>
      <c r="F3751" t="s">
        <v>30</v>
      </c>
      <c r="G3751" t="s">
        <v>39</v>
      </c>
      <c r="H3751" t="s">
        <v>43</v>
      </c>
      <c r="I3751" t="s">
        <v>31</v>
      </c>
      <c r="J3751" t="s">
        <v>27</v>
      </c>
      <c r="K3751" t="s">
        <v>28</v>
      </c>
      <c r="L3751" s="2">
        <v>170.2</v>
      </c>
      <c r="M3751" s="3">
        <v>1306</v>
      </c>
      <c r="N3751">
        <v>7</v>
      </c>
      <c r="O3751">
        <v>7</v>
      </c>
      <c r="P3751">
        <v>1</v>
      </c>
      <c r="Q3751">
        <v>0</v>
      </c>
      <c r="R3751" s="4">
        <v>64.260000000000005</v>
      </c>
      <c r="S3751">
        <v>0</v>
      </c>
      <c r="T3751">
        <v>1</v>
      </c>
    </row>
    <row r="3752" spans="1:20" ht="16.5" x14ac:dyDescent="0.3">
      <c r="A3752" t="s">
        <v>3806</v>
      </c>
      <c r="B3752" s="1">
        <v>45812</v>
      </c>
      <c r="C3752">
        <v>2025</v>
      </c>
      <c r="D3752" t="s">
        <v>649</v>
      </c>
      <c r="E3752" t="s">
        <v>1079</v>
      </c>
      <c r="F3752" t="s">
        <v>30</v>
      </c>
      <c r="G3752" t="s">
        <v>24</v>
      </c>
      <c r="H3752" t="s">
        <v>36</v>
      </c>
      <c r="I3752" t="s">
        <v>31</v>
      </c>
      <c r="J3752" t="s">
        <v>27</v>
      </c>
      <c r="K3752" t="s">
        <v>32</v>
      </c>
      <c r="L3752" s="2">
        <v>3.5</v>
      </c>
      <c r="M3752" s="3">
        <v>262</v>
      </c>
      <c r="N3752">
        <v>5</v>
      </c>
      <c r="O3752">
        <v>5</v>
      </c>
      <c r="P3752">
        <v>1</v>
      </c>
      <c r="Q3752">
        <v>0</v>
      </c>
      <c r="R3752" s="4">
        <v>10.09</v>
      </c>
      <c r="S3752">
        <v>0</v>
      </c>
      <c r="T3752">
        <v>1</v>
      </c>
    </row>
    <row r="3753" spans="1:20" ht="16.5" x14ac:dyDescent="0.3">
      <c r="A3753" t="s">
        <v>3807</v>
      </c>
      <c r="B3753" s="1">
        <v>45812</v>
      </c>
      <c r="C3753">
        <v>2025</v>
      </c>
      <c r="D3753" t="s">
        <v>649</v>
      </c>
      <c r="E3753" t="s">
        <v>1079</v>
      </c>
      <c r="F3753" t="s">
        <v>23</v>
      </c>
      <c r="G3753" t="s">
        <v>39</v>
      </c>
      <c r="H3753" t="s">
        <v>51</v>
      </c>
      <c r="I3753" t="s">
        <v>26</v>
      </c>
      <c r="J3753" t="s">
        <v>27</v>
      </c>
      <c r="K3753" t="s">
        <v>28</v>
      </c>
      <c r="L3753" s="2">
        <v>38.200000000000003</v>
      </c>
      <c r="M3753" s="3">
        <v>954</v>
      </c>
      <c r="N3753">
        <v>5</v>
      </c>
      <c r="O3753">
        <v>4</v>
      </c>
      <c r="P3753">
        <v>1</v>
      </c>
      <c r="Q3753">
        <v>0</v>
      </c>
      <c r="R3753" s="4">
        <v>37.11</v>
      </c>
      <c r="S3753">
        <v>0</v>
      </c>
      <c r="T3753">
        <v>1</v>
      </c>
    </row>
    <row r="3754" spans="1:20" ht="16.5" x14ac:dyDescent="0.3">
      <c r="A3754" t="s">
        <v>3808</v>
      </c>
      <c r="B3754" s="1">
        <v>45813</v>
      </c>
      <c r="C3754">
        <v>2025</v>
      </c>
      <c r="D3754" t="s">
        <v>649</v>
      </c>
      <c r="E3754" t="s">
        <v>1079</v>
      </c>
      <c r="F3754" t="s">
        <v>23</v>
      </c>
      <c r="G3754" t="s">
        <v>35</v>
      </c>
      <c r="H3754" t="s">
        <v>25</v>
      </c>
      <c r="I3754" t="s">
        <v>26</v>
      </c>
      <c r="J3754" t="s">
        <v>27</v>
      </c>
      <c r="K3754" t="s">
        <v>32</v>
      </c>
      <c r="L3754" s="2">
        <v>12.2</v>
      </c>
      <c r="M3754" s="3">
        <v>1108</v>
      </c>
      <c r="N3754">
        <v>4</v>
      </c>
      <c r="O3754">
        <v>4</v>
      </c>
      <c r="P3754">
        <v>1</v>
      </c>
      <c r="Q3754">
        <v>0</v>
      </c>
      <c r="R3754" s="4">
        <v>26.06</v>
      </c>
      <c r="S3754">
        <v>0</v>
      </c>
      <c r="T3754">
        <v>1</v>
      </c>
    </row>
    <row r="3755" spans="1:20" ht="16.5" x14ac:dyDescent="0.3">
      <c r="A3755" t="s">
        <v>3809</v>
      </c>
      <c r="B3755" s="1">
        <v>45813</v>
      </c>
      <c r="C3755">
        <v>2025</v>
      </c>
      <c r="D3755" t="s">
        <v>649</v>
      </c>
      <c r="E3755" t="s">
        <v>1079</v>
      </c>
      <c r="F3755" t="s">
        <v>57</v>
      </c>
      <c r="G3755" t="s">
        <v>35</v>
      </c>
      <c r="H3755" t="s">
        <v>51</v>
      </c>
      <c r="I3755" t="s">
        <v>40</v>
      </c>
      <c r="J3755" t="s">
        <v>41</v>
      </c>
      <c r="K3755" t="s">
        <v>32</v>
      </c>
      <c r="L3755" s="2">
        <v>1.2</v>
      </c>
      <c r="M3755" s="3">
        <v>1063</v>
      </c>
      <c r="N3755">
        <v>3</v>
      </c>
      <c r="O3755">
        <v>3</v>
      </c>
      <c r="P3755">
        <v>1</v>
      </c>
      <c r="Q3755">
        <v>0</v>
      </c>
      <c r="R3755" s="4">
        <v>59.88</v>
      </c>
      <c r="S3755">
        <v>0</v>
      </c>
      <c r="T3755">
        <v>1</v>
      </c>
    </row>
    <row r="3756" spans="1:20" ht="16.5" x14ac:dyDescent="0.3">
      <c r="A3756" t="s">
        <v>3810</v>
      </c>
      <c r="B3756" s="1">
        <v>45813</v>
      </c>
      <c r="C3756">
        <v>2025</v>
      </c>
      <c r="D3756" t="s">
        <v>649</v>
      </c>
      <c r="E3756" t="s">
        <v>1079</v>
      </c>
      <c r="F3756" t="s">
        <v>34</v>
      </c>
      <c r="G3756" t="s">
        <v>39</v>
      </c>
      <c r="H3756" t="s">
        <v>43</v>
      </c>
      <c r="I3756" t="s">
        <v>31</v>
      </c>
      <c r="J3756" t="s">
        <v>27</v>
      </c>
      <c r="K3756" t="s">
        <v>32</v>
      </c>
      <c r="L3756" s="2">
        <v>4.8</v>
      </c>
      <c r="M3756" s="3">
        <v>1162</v>
      </c>
      <c r="N3756">
        <v>7</v>
      </c>
      <c r="O3756">
        <v>9</v>
      </c>
      <c r="P3756">
        <v>0</v>
      </c>
      <c r="Q3756">
        <v>2</v>
      </c>
      <c r="R3756" s="4">
        <v>14</v>
      </c>
      <c r="S3756">
        <v>0</v>
      </c>
      <c r="T3756">
        <v>1</v>
      </c>
    </row>
    <row r="3757" spans="1:20" ht="16.5" x14ac:dyDescent="0.3">
      <c r="A3757" t="s">
        <v>3811</v>
      </c>
      <c r="B3757" s="1">
        <v>45813</v>
      </c>
      <c r="C3757">
        <v>2025</v>
      </c>
      <c r="D3757" t="s">
        <v>649</v>
      </c>
      <c r="E3757" t="s">
        <v>1079</v>
      </c>
      <c r="F3757" t="s">
        <v>23</v>
      </c>
      <c r="G3757" t="s">
        <v>35</v>
      </c>
      <c r="H3757" t="s">
        <v>36</v>
      </c>
      <c r="I3757" t="s">
        <v>26</v>
      </c>
      <c r="J3757" t="s">
        <v>27</v>
      </c>
      <c r="K3757" t="s">
        <v>32</v>
      </c>
      <c r="L3757" s="2">
        <v>2.1</v>
      </c>
      <c r="M3757" s="3">
        <v>227</v>
      </c>
      <c r="N3757">
        <v>3</v>
      </c>
      <c r="O3757">
        <v>3</v>
      </c>
      <c r="P3757">
        <v>1</v>
      </c>
      <c r="Q3757">
        <v>0</v>
      </c>
      <c r="R3757" s="4">
        <v>9.41</v>
      </c>
      <c r="S3757">
        <v>0</v>
      </c>
      <c r="T3757">
        <v>1</v>
      </c>
    </row>
    <row r="3758" spans="1:20" ht="16.5" x14ac:dyDescent="0.3">
      <c r="A3758" t="s">
        <v>3812</v>
      </c>
      <c r="B3758" s="1">
        <v>45813</v>
      </c>
      <c r="C3758">
        <v>2025</v>
      </c>
      <c r="D3758" t="s">
        <v>649</v>
      </c>
      <c r="E3758" t="s">
        <v>1079</v>
      </c>
      <c r="F3758" t="s">
        <v>38</v>
      </c>
      <c r="G3758" t="s">
        <v>39</v>
      </c>
      <c r="H3758" t="s">
        <v>36</v>
      </c>
      <c r="I3758" t="s">
        <v>40</v>
      </c>
      <c r="J3758" t="s">
        <v>27</v>
      </c>
      <c r="K3758" t="s">
        <v>32</v>
      </c>
      <c r="L3758" s="2">
        <v>10.8</v>
      </c>
      <c r="M3758" s="3">
        <v>326</v>
      </c>
      <c r="N3758">
        <v>1</v>
      </c>
      <c r="O3758">
        <v>1</v>
      </c>
      <c r="P3758">
        <v>1</v>
      </c>
      <c r="Q3758">
        <v>0</v>
      </c>
      <c r="R3758" s="4">
        <v>35.08</v>
      </c>
      <c r="S3758">
        <v>0</v>
      </c>
      <c r="T3758">
        <v>1</v>
      </c>
    </row>
    <row r="3759" spans="1:20" ht="16.5" x14ac:dyDescent="0.3">
      <c r="A3759" t="s">
        <v>3813</v>
      </c>
      <c r="B3759" s="1">
        <v>45813</v>
      </c>
      <c r="C3759">
        <v>2025</v>
      </c>
      <c r="D3759" t="s">
        <v>649</v>
      </c>
      <c r="E3759" t="s">
        <v>1079</v>
      </c>
      <c r="F3759" t="s">
        <v>34</v>
      </c>
      <c r="G3759" t="s">
        <v>39</v>
      </c>
      <c r="H3759" t="s">
        <v>25</v>
      </c>
      <c r="I3759" t="s">
        <v>26</v>
      </c>
      <c r="J3759" t="s">
        <v>27</v>
      </c>
      <c r="K3759" t="s">
        <v>32</v>
      </c>
      <c r="L3759" s="2">
        <v>4.0999999999999996</v>
      </c>
      <c r="M3759" s="3">
        <v>717</v>
      </c>
      <c r="N3759">
        <v>4</v>
      </c>
      <c r="O3759">
        <v>4</v>
      </c>
      <c r="P3759">
        <v>1</v>
      </c>
      <c r="Q3759">
        <v>0</v>
      </c>
      <c r="R3759" s="4">
        <v>15.62</v>
      </c>
      <c r="S3759">
        <v>0</v>
      </c>
      <c r="T3759">
        <v>1</v>
      </c>
    </row>
    <row r="3760" spans="1:20" ht="16.5" x14ac:dyDescent="0.3">
      <c r="A3760" t="s">
        <v>3814</v>
      </c>
      <c r="B3760" s="1">
        <v>45813</v>
      </c>
      <c r="C3760">
        <v>2025</v>
      </c>
      <c r="D3760" t="s">
        <v>649</v>
      </c>
      <c r="E3760" t="s">
        <v>1079</v>
      </c>
      <c r="F3760" t="s">
        <v>57</v>
      </c>
      <c r="G3760" t="s">
        <v>39</v>
      </c>
      <c r="H3760" t="s">
        <v>25</v>
      </c>
      <c r="I3760" t="s">
        <v>26</v>
      </c>
      <c r="J3760" t="s">
        <v>27</v>
      </c>
      <c r="K3760" t="s">
        <v>32</v>
      </c>
      <c r="L3760" s="2">
        <v>4.9000000000000004</v>
      </c>
      <c r="M3760" s="3">
        <v>989</v>
      </c>
      <c r="N3760">
        <v>4</v>
      </c>
      <c r="O3760">
        <v>4</v>
      </c>
      <c r="P3760">
        <v>1</v>
      </c>
      <c r="Q3760">
        <v>0</v>
      </c>
      <c r="R3760" s="4">
        <v>21.2</v>
      </c>
      <c r="S3760">
        <v>0</v>
      </c>
      <c r="T3760">
        <v>1</v>
      </c>
    </row>
    <row r="3761" spans="1:20" ht="16.5" x14ac:dyDescent="0.3">
      <c r="A3761" t="s">
        <v>3815</v>
      </c>
      <c r="B3761" s="1">
        <v>45813</v>
      </c>
      <c r="C3761">
        <v>2025</v>
      </c>
      <c r="D3761" t="s">
        <v>649</v>
      </c>
      <c r="E3761" t="s">
        <v>1079</v>
      </c>
      <c r="F3761" t="s">
        <v>38</v>
      </c>
      <c r="G3761" t="s">
        <v>24</v>
      </c>
      <c r="H3761" t="s">
        <v>36</v>
      </c>
      <c r="I3761" t="s">
        <v>26</v>
      </c>
      <c r="J3761" t="s">
        <v>27</v>
      </c>
      <c r="K3761" t="s">
        <v>32</v>
      </c>
      <c r="L3761" s="2">
        <v>6.8</v>
      </c>
      <c r="M3761" s="3">
        <v>243</v>
      </c>
      <c r="N3761">
        <v>3</v>
      </c>
      <c r="O3761">
        <v>6</v>
      </c>
      <c r="P3761">
        <v>0</v>
      </c>
      <c r="Q3761">
        <v>3</v>
      </c>
      <c r="R3761" s="4">
        <v>14.82</v>
      </c>
      <c r="S3761">
        <v>0</v>
      </c>
      <c r="T3761">
        <v>1</v>
      </c>
    </row>
    <row r="3762" spans="1:20" ht="16.5" x14ac:dyDescent="0.3">
      <c r="A3762" t="s">
        <v>3816</v>
      </c>
      <c r="B3762" s="1">
        <v>45813</v>
      </c>
      <c r="C3762">
        <v>2025</v>
      </c>
      <c r="D3762" t="s">
        <v>649</v>
      </c>
      <c r="E3762" t="s">
        <v>1079</v>
      </c>
      <c r="F3762" t="s">
        <v>34</v>
      </c>
      <c r="G3762" t="s">
        <v>24</v>
      </c>
      <c r="H3762" t="s">
        <v>51</v>
      </c>
      <c r="I3762" t="s">
        <v>40</v>
      </c>
      <c r="J3762" t="s">
        <v>41</v>
      </c>
      <c r="K3762" t="s">
        <v>32</v>
      </c>
      <c r="L3762" s="2">
        <v>6.7</v>
      </c>
      <c r="M3762" s="3">
        <v>1184</v>
      </c>
      <c r="N3762">
        <v>3</v>
      </c>
      <c r="O3762">
        <v>6</v>
      </c>
      <c r="P3762">
        <v>0</v>
      </c>
      <c r="Q3762">
        <v>3</v>
      </c>
      <c r="R3762" s="4">
        <v>60.43</v>
      </c>
      <c r="S3762">
        <v>0</v>
      </c>
      <c r="T3762">
        <v>1</v>
      </c>
    </row>
    <row r="3763" spans="1:20" ht="16.5" x14ac:dyDescent="0.3">
      <c r="A3763" t="s">
        <v>3817</v>
      </c>
      <c r="B3763" s="1">
        <v>45814</v>
      </c>
      <c r="C3763">
        <v>2025</v>
      </c>
      <c r="D3763" t="s">
        <v>649</v>
      </c>
      <c r="E3763" t="s">
        <v>1079</v>
      </c>
      <c r="F3763" t="s">
        <v>34</v>
      </c>
      <c r="G3763" t="s">
        <v>24</v>
      </c>
      <c r="H3763" t="s">
        <v>25</v>
      </c>
      <c r="I3763" t="s">
        <v>26</v>
      </c>
      <c r="J3763" t="s">
        <v>27</v>
      </c>
      <c r="K3763" t="s">
        <v>28</v>
      </c>
      <c r="L3763" s="2">
        <v>59.7</v>
      </c>
      <c r="M3763" s="3">
        <v>987</v>
      </c>
      <c r="N3763">
        <v>4</v>
      </c>
      <c r="O3763">
        <v>6</v>
      </c>
      <c r="P3763">
        <v>0</v>
      </c>
      <c r="Q3763">
        <v>2</v>
      </c>
      <c r="R3763" s="4">
        <v>34.630000000000003</v>
      </c>
      <c r="S3763">
        <v>0</v>
      </c>
      <c r="T3763">
        <v>1</v>
      </c>
    </row>
    <row r="3764" spans="1:20" ht="16.5" x14ac:dyDescent="0.3">
      <c r="A3764" t="s">
        <v>3818</v>
      </c>
      <c r="B3764" s="1">
        <v>45814</v>
      </c>
      <c r="C3764">
        <v>2025</v>
      </c>
      <c r="D3764" t="s">
        <v>649</v>
      </c>
      <c r="E3764" t="s">
        <v>1079</v>
      </c>
      <c r="F3764" t="s">
        <v>57</v>
      </c>
      <c r="G3764" t="s">
        <v>39</v>
      </c>
      <c r="H3764" t="s">
        <v>51</v>
      </c>
      <c r="I3764" t="s">
        <v>26</v>
      </c>
      <c r="J3764" t="s">
        <v>27</v>
      </c>
      <c r="K3764" t="s">
        <v>28</v>
      </c>
      <c r="L3764" s="2">
        <v>36.4</v>
      </c>
      <c r="M3764" s="3">
        <v>1226</v>
      </c>
      <c r="N3764">
        <v>5</v>
      </c>
      <c r="O3764">
        <v>5</v>
      </c>
      <c r="P3764">
        <v>1</v>
      </c>
      <c r="Q3764">
        <v>0</v>
      </c>
      <c r="R3764" s="4">
        <v>41.06</v>
      </c>
      <c r="S3764">
        <v>0</v>
      </c>
      <c r="T3764">
        <v>1</v>
      </c>
    </row>
    <row r="3765" spans="1:20" ht="16.5" x14ac:dyDescent="0.3">
      <c r="A3765" t="s">
        <v>3819</v>
      </c>
      <c r="B3765" s="1">
        <v>45814</v>
      </c>
      <c r="C3765">
        <v>2025</v>
      </c>
      <c r="D3765" t="s">
        <v>649</v>
      </c>
      <c r="E3765" t="s">
        <v>1079</v>
      </c>
      <c r="F3765" t="s">
        <v>34</v>
      </c>
      <c r="G3765" t="s">
        <v>39</v>
      </c>
      <c r="H3765" t="s">
        <v>25</v>
      </c>
      <c r="I3765" t="s">
        <v>26</v>
      </c>
      <c r="J3765" t="s">
        <v>27</v>
      </c>
      <c r="K3765" t="s">
        <v>32</v>
      </c>
      <c r="L3765" s="2">
        <v>11.1</v>
      </c>
      <c r="M3765" s="3">
        <v>897</v>
      </c>
      <c r="N3765">
        <v>4</v>
      </c>
      <c r="O3765">
        <v>4</v>
      </c>
      <c r="P3765">
        <v>1</v>
      </c>
      <c r="Q3765">
        <v>0</v>
      </c>
      <c r="R3765" s="4">
        <v>20.170000000000002</v>
      </c>
      <c r="S3765">
        <v>0</v>
      </c>
      <c r="T3765">
        <v>1</v>
      </c>
    </row>
    <row r="3766" spans="1:20" ht="16.5" x14ac:dyDescent="0.3">
      <c r="A3766" t="s">
        <v>3820</v>
      </c>
      <c r="B3766" s="1">
        <v>45814</v>
      </c>
      <c r="C3766">
        <v>2025</v>
      </c>
      <c r="D3766" t="s">
        <v>649</v>
      </c>
      <c r="E3766" t="s">
        <v>1079</v>
      </c>
      <c r="F3766" t="s">
        <v>34</v>
      </c>
      <c r="G3766" t="s">
        <v>35</v>
      </c>
      <c r="H3766" t="s">
        <v>25</v>
      </c>
      <c r="I3766" t="s">
        <v>26</v>
      </c>
      <c r="J3766" t="s">
        <v>27</v>
      </c>
      <c r="K3766" t="s">
        <v>28</v>
      </c>
      <c r="L3766" s="2">
        <v>25.1</v>
      </c>
      <c r="M3766" s="3">
        <v>1214</v>
      </c>
      <c r="N3766">
        <v>4</v>
      </c>
      <c r="O3766">
        <v>8</v>
      </c>
      <c r="P3766">
        <v>0</v>
      </c>
      <c r="Q3766">
        <v>4</v>
      </c>
      <c r="R3766" s="4">
        <v>31.82</v>
      </c>
      <c r="S3766">
        <v>0</v>
      </c>
      <c r="T3766">
        <v>1</v>
      </c>
    </row>
    <row r="3767" spans="1:20" ht="16.5" x14ac:dyDescent="0.3">
      <c r="A3767" t="s">
        <v>3821</v>
      </c>
      <c r="B3767" s="1">
        <v>45814</v>
      </c>
      <c r="C3767">
        <v>2025</v>
      </c>
      <c r="D3767" t="s">
        <v>649</v>
      </c>
      <c r="E3767" t="s">
        <v>1079</v>
      </c>
      <c r="F3767" t="s">
        <v>38</v>
      </c>
      <c r="G3767" t="s">
        <v>35</v>
      </c>
      <c r="H3767" t="s">
        <v>25</v>
      </c>
      <c r="I3767" t="s">
        <v>31</v>
      </c>
      <c r="J3767" t="s">
        <v>27</v>
      </c>
      <c r="K3767" t="s">
        <v>32</v>
      </c>
      <c r="L3767" s="2">
        <v>4.3</v>
      </c>
      <c r="M3767" s="3">
        <v>1053</v>
      </c>
      <c r="N3767">
        <v>6</v>
      </c>
      <c r="O3767">
        <v>6</v>
      </c>
      <c r="P3767">
        <v>1</v>
      </c>
      <c r="Q3767">
        <v>0</v>
      </c>
      <c r="R3767" s="4">
        <v>19.329999999999998</v>
      </c>
      <c r="S3767">
        <v>0</v>
      </c>
      <c r="T3767">
        <v>1</v>
      </c>
    </row>
    <row r="3768" spans="1:20" ht="16.5" x14ac:dyDescent="0.3">
      <c r="A3768" t="s">
        <v>3822</v>
      </c>
      <c r="B3768" s="1">
        <v>45814</v>
      </c>
      <c r="C3768">
        <v>2025</v>
      </c>
      <c r="D3768" t="s">
        <v>649</v>
      </c>
      <c r="E3768" t="s">
        <v>1079</v>
      </c>
      <c r="F3768" t="s">
        <v>38</v>
      </c>
      <c r="G3768" t="s">
        <v>35</v>
      </c>
      <c r="H3768" t="s">
        <v>48</v>
      </c>
      <c r="I3768" t="s">
        <v>26</v>
      </c>
      <c r="J3768" t="s">
        <v>27</v>
      </c>
      <c r="K3768" t="s">
        <v>28</v>
      </c>
      <c r="L3768" s="2">
        <v>173.7</v>
      </c>
      <c r="M3768" s="3">
        <v>527</v>
      </c>
      <c r="N3768">
        <v>4</v>
      </c>
      <c r="O3768">
        <v>3</v>
      </c>
      <c r="P3768">
        <v>1</v>
      </c>
      <c r="Q3768">
        <v>0</v>
      </c>
      <c r="R3768" s="4">
        <v>89.13</v>
      </c>
      <c r="S3768">
        <v>0</v>
      </c>
      <c r="T3768">
        <v>1</v>
      </c>
    </row>
    <row r="3769" spans="1:20" ht="16.5" x14ac:dyDescent="0.3">
      <c r="A3769" t="s">
        <v>3823</v>
      </c>
      <c r="B3769" s="1">
        <v>45814</v>
      </c>
      <c r="C3769">
        <v>2025</v>
      </c>
      <c r="D3769" t="s">
        <v>649</v>
      </c>
      <c r="E3769" t="s">
        <v>1079</v>
      </c>
      <c r="F3769" t="s">
        <v>30</v>
      </c>
      <c r="G3769" t="s">
        <v>35</v>
      </c>
      <c r="H3769" t="s">
        <v>48</v>
      </c>
      <c r="I3769" t="s">
        <v>40</v>
      </c>
      <c r="J3769" t="s">
        <v>27</v>
      </c>
      <c r="K3769" t="s">
        <v>28</v>
      </c>
      <c r="L3769" s="2">
        <v>101.6</v>
      </c>
      <c r="M3769" s="3">
        <v>501</v>
      </c>
      <c r="N3769">
        <v>2</v>
      </c>
      <c r="O3769">
        <v>2</v>
      </c>
      <c r="P3769">
        <v>1</v>
      </c>
      <c r="Q3769">
        <v>0</v>
      </c>
      <c r="R3769" s="4">
        <v>119.45</v>
      </c>
      <c r="S3769">
        <v>0</v>
      </c>
      <c r="T3769">
        <v>1</v>
      </c>
    </row>
    <row r="3770" spans="1:20" ht="16.5" x14ac:dyDescent="0.3">
      <c r="A3770" t="s">
        <v>3824</v>
      </c>
      <c r="B3770" s="1">
        <v>45815</v>
      </c>
      <c r="C3770">
        <v>2025</v>
      </c>
      <c r="D3770" t="s">
        <v>649</v>
      </c>
      <c r="E3770" t="s">
        <v>1079</v>
      </c>
      <c r="F3770" t="s">
        <v>57</v>
      </c>
      <c r="G3770" t="s">
        <v>35</v>
      </c>
      <c r="H3770" t="s">
        <v>48</v>
      </c>
      <c r="I3770" t="s">
        <v>26</v>
      </c>
      <c r="J3770" t="s">
        <v>27</v>
      </c>
      <c r="K3770" t="s">
        <v>28</v>
      </c>
      <c r="L3770" s="2">
        <v>90.5</v>
      </c>
      <c r="M3770" s="3">
        <v>527</v>
      </c>
      <c r="N3770">
        <v>4</v>
      </c>
      <c r="O3770">
        <v>4</v>
      </c>
      <c r="P3770">
        <v>1</v>
      </c>
      <c r="Q3770">
        <v>0</v>
      </c>
      <c r="R3770" s="4">
        <v>57.02</v>
      </c>
      <c r="S3770">
        <v>0</v>
      </c>
      <c r="T3770">
        <v>1</v>
      </c>
    </row>
    <row r="3771" spans="1:20" ht="16.5" x14ac:dyDescent="0.3">
      <c r="A3771" t="s">
        <v>3825</v>
      </c>
      <c r="B3771" s="1">
        <v>45815</v>
      </c>
      <c r="C3771">
        <v>2025</v>
      </c>
      <c r="D3771" t="s">
        <v>649</v>
      </c>
      <c r="E3771" t="s">
        <v>1079</v>
      </c>
      <c r="F3771" t="s">
        <v>38</v>
      </c>
      <c r="G3771" t="s">
        <v>39</v>
      </c>
      <c r="H3771" t="s">
        <v>36</v>
      </c>
      <c r="I3771" t="s">
        <v>31</v>
      </c>
      <c r="J3771" t="s">
        <v>27</v>
      </c>
      <c r="K3771" t="s">
        <v>32</v>
      </c>
      <c r="L3771" s="2">
        <v>5</v>
      </c>
      <c r="M3771" s="3">
        <v>233</v>
      </c>
      <c r="N3771">
        <v>5</v>
      </c>
      <c r="O3771">
        <v>5</v>
      </c>
      <c r="P3771">
        <v>1</v>
      </c>
      <c r="Q3771">
        <v>0</v>
      </c>
      <c r="R3771" s="4">
        <v>9.1300000000000008</v>
      </c>
      <c r="S3771">
        <v>0</v>
      </c>
      <c r="T3771">
        <v>1</v>
      </c>
    </row>
    <row r="3772" spans="1:20" ht="16.5" x14ac:dyDescent="0.3">
      <c r="A3772" t="s">
        <v>3826</v>
      </c>
      <c r="B3772" s="1">
        <v>45816</v>
      </c>
      <c r="C3772">
        <v>2025</v>
      </c>
      <c r="D3772" t="s">
        <v>649</v>
      </c>
      <c r="E3772" t="s">
        <v>1079</v>
      </c>
      <c r="F3772" t="s">
        <v>34</v>
      </c>
      <c r="G3772" t="s">
        <v>35</v>
      </c>
      <c r="H3772" t="s">
        <v>48</v>
      </c>
      <c r="I3772" t="s">
        <v>40</v>
      </c>
      <c r="J3772" t="s">
        <v>27</v>
      </c>
      <c r="K3772" t="s">
        <v>28</v>
      </c>
      <c r="L3772" s="2">
        <v>41.8</v>
      </c>
      <c r="M3772" s="3">
        <v>514</v>
      </c>
      <c r="N3772">
        <v>2</v>
      </c>
      <c r="O3772">
        <v>3</v>
      </c>
      <c r="P3772">
        <v>0</v>
      </c>
      <c r="Q3772">
        <v>1</v>
      </c>
      <c r="R3772" s="4">
        <v>53.84</v>
      </c>
      <c r="S3772">
        <v>0</v>
      </c>
      <c r="T3772">
        <v>1</v>
      </c>
    </row>
    <row r="3773" spans="1:20" ht="16.5" x14ac:dyDescent="0.3">
      <c r="A3773" t="s">
        <v>3827</v>
      </c>
      <c r="B3773" s="1">
        <v>45816</v>
      </c>
      <c r="C3773">
        <v>2025</v>
      </c>
      <c r="D3773" t="s">
        <v>649</v>
      </c>
      <c r="E3773" t="s">
        <v>1079</v>
      </c>
      <c r="F3773" t="s">
        <v>23</v>
      </c>
      <c r="G3773" t="s">
        <v>35</v>
      </c>
      <c r="H3773" t="s">
        <v>43</v>
      </c>
      <c r="I3773" t="s">
        <v>40</v>
      </c>
      <c r="J3773" t="s">
        <v>41</v>
      </c>
      <c r="K3773" t="s">
        <v>28</v>
      </c>
      <c r="L3773" s="2">
        <v>46.9</v>
      </c>
      <c r="M3773" s="3">
        <v>1358</v>
      </c>
      <c r="N3773">
        <v>3</v>
      </c>
      <c r="O3773">
        <v>3</v>
      </c>
      <c r="P3773">
        <v>1</v>
      </c>
      <c r="Q3773">
        <v>0</v>
      </c>
      <c r="R3773" s="4">
        <v>120.17</v>
      </c>
      <c r="S3773">
        <v>0</v>
      </c>
      <c r="T3773">
        <v>1</v>
      </c>
    </row>
    <row r="3774" spans="1:20" ht="16.5" x14ac:dyDescent="0.3">
      <c r="A3774" t="s">
        <v>3828</v>
      </c>
      <c r="B3774" s="1">
        <v>45816</v>
      </c>
      <c r="C3774">
        <v>2025</v>
      </c>
      <c r="D3774" t="s">
        <v>649</v>
      </c>
      <c r="E3774" t="s">
        <v>1079</v>
      </c>
      <c r="F3774" t="s">
        <v>30</v>
      </c>
      <c r="G3774" t="s">
        <v>39</v>
      </c>
      <c r="H3774" t="s">
        <v>36</v>
      </c>
      <c r="I3774" t="s">
        <v>26</v>
      </c>
      <c r="J3774" t="s">
        <v>27</v>
      </c>
      <c r="K3774" t="s">
        <v>32</v>
      </c>
      <c r="L3774" s="2">
        <v>6.4</v>
      </c>
      <c r="M3774" s="3">
        <v>222</v>
      </c>
      <c r="N3774">
        <v>3</v>
      </c>
      <c r="O3774">
        <v>3</v>
      </c>
      <c r="P3774">
        <v>1</v>
      </c>
      <c r="Q3774">
        <v>0</v>
      </c>
      <c r="R3774" s="4">
        <v>14.42</v>
      </c>
      <c r="S3774">
        <v>0</v>
      </c>
      <c r="T3774">
        <v>1</v>
      </c>
    </row>
    <row r="3775" spans="1:20" ht="16.5" x14ac:dyDescent="0.3">
      <c r="A3775" t="s">
        <v>3829</v>
      </c>
      <c r="B3775" s="1">
        <v>45816</v>
      </c>
      <c r="C3775">
        <v>2025</v>
      </c>
      <c r="D3775" t="s">
        <v>649</v>
      </c>
      <c r="E3775" t="s">
        <v>1079</v>
      </c>
      <c r="F3775" t="s">
        <v>57</v>
      </c>
      <c r="G3775" t="s">
        <v>24</v>
      </c>
      <c r="H3775" t="s">
        <v>36</v>
      </c>
      <c r="I3775" t="s">
        <v>31</v>
      </c>
      <c r="J3775" t="s">
        <v>27</v>
      </c>
      <c r="K3775" t="s">
        <v>32</v>
      </c>
      <c r="L3775" s="2">
        <v>11.2</v>
      </c>
      <c r="M3775" s="3">
        <v>266</v>
      </c>
      <c r="N3775">
        <v>5</v>
      </c>
      <c r="O3775">
        <v>9</v>
      </c>
      <c r="P3775">
        <v>0</v>
      </c>
      <c r="Q3775">
        <v>4</v>
      </c>
      <c r="R3775" s="4">
        <v>12.72</v>
      </c>
      <c r="S3775">
        <v>0</v>
      </c>
      <c r="T3775">
        <v>1</v>
      </c>
    </row>
    <row r="3776" spans="1:20" ht="16.5" x14ac:dyDescent="0.3">
      <c r="A3776" t="s">
        <v>3830</v>
      </c>
      <c r="B3776" s="1">
        <v>45817</v>
      </c>
      <c r="C3776">
        <v>2025</v>
      </c>
      <c r="D3776" t="s">
        <v>649</v>
      </c>
      <c r="E3776" t="s">
        <v>1079</v>
      </c>
      <c r="F3776" t="s">
        <v>38</v>
      </c>
      <c r="G3776" t="s">
        <v>39</v>
      </c>
      <c r="H3776" t="s">
        <v>36</v>
      </c>
      <c r="I3776" t="s">
        <v>31</v>
      </c>
      <c r="J3776" t="s">
        <v>27</v>
      </c>
      <c r="K3776" t="s">
        <v>28</v>
      </c>
      <c r="L3776" s="2">
        <v>158</v>
      </c>
      <c r="M3776" s="3">
        <v>256</v>
      </c>
      <c r="N3776">
        <v>5</v>
      </c>
      <c r="O3776">
        <v>5</v>
      </c>
      <c r="P3776">
        <v>1</v>
      </c>
      <c r="Q3776">
        <v>0</v>
      </c>
      <c r="R3776" s="4">
        <v>61.84</v>
      </c>
      <c r="S3776">
        <v>0</v>
      </c>
      <c r="T3776">
        <v>1</v>
      </c>
    </row>
    <row r="3777" spans="1:20" ht="16.5" x14ac:dyDescent="0.3">
      <c r="A3777" t="s">
        <v>3831</v>
      </c>
      <c r="B3777" s="1">
        <v>45817</v>
      </c>
      <c r="C3777">
        <v>2025</v>
      </c>
      <c r="D3777" t="s">
        <v>649</v>
      </c>
      <c r="E3777" t="s">
        <v>1079</v>
      </c>
      <c r="F3777" t="s">
        <v>38</v>
      </c>
      <c r="G3777" t="s">
        <v>39</v>
      </c>
      <c r="H3777" t="s">
        <v>51</v>
      </c>
      <c r="I3777" t="s">
        <v>31</v>
      </c>
      <c r="J3777" t="s">
        <v>27</v>
      </c>
      <c r="K3777" t="s">
        <v>32</v>
      </c>
      <c r="L3777" s="2">
        <v>6.2</v>
      </c>
      <c r="M3777" s="3">
        <v>858</v>
      </c>
      <c r="N3777">
        <v>7</v>
      </c>
      <c r="O3777">
        <v>7</v>
      </c>
      <c r="P3777">
        <v>1</v>
      </c>
      <c r="Q3777">
        <v>0</v>
      </c>
      <c r="R3777" s="4">
        <v>17.98</v>
      </c>
      <c r="S3777">
        <v>0</v>
      </c>
      <c r="T3777">
        <v>1</v>
      </c>
    </row>
    <row r="3778" spans="1:20" ht="16.5" x14ac:dyDescent="0.3">
      <c r="A3778" t="s">
        <v>3832</v>
      </c>
      <c r="B3778" s="1">
        <v>45817</v>
      </c>
      <c r="C3778">
        <v>2025</v>
      </c>
      <c r="D3778" t="s">
        <v>649</v>
      </c>
      <c r="E3778" t="s">
        <v>1079</v>
      </c>
      <c r="F3778" t="s">
        <v>38</v>
      </c>
      <c r="G3778" t="s">
        <v>39</v>
      </c>
      <c r="H3778" t="s">
        <v>36</v>
      </c>
      <c r="I3778" t="s">
        <v>31</v>
      </c>
      <c r="J3778" t="s">
        <v>27</v>
      </c>
      <c r="K3778" t="s">
        <v>28</v>
      </c>
      <c r="L3778" s="2">
        <v>167.3</v>
      </c>
      <c r="M3778" s="3">
        <v>249</v>
      </c>
      <c r="N3778">
        <v>5</v>
      </c>
      <c r="O3778">
        <v>5</v>
      </c>
      <c r="P3778">
        <v>1</v>
      </c>
      <c r="Q3778">
        <v>0</v>
      </c>
      <c r="R3778" s="4">
        <v>63.57</v>
      </c>
      <c r="S3778">
        <v>0</v>
      </c>
      <c r="T3778">
        <v>1</v>
      </c>
    </row>
    <row r="3779" spans="1:20" ht="16.5" x14ac:dyDescent="0.3">
      <c r="A3779" t="s">
        <v>3833</v>
      </c>
      <c r="B3779" s="1">
        <v>45817</v>
      </c>
      <c r="C3779">
        <v>2025</v>
      </c>
      <c r="D3779" t="s">
        <v>649</v>
      </c>
      <c r="E3779" t="s">
        <v>1079</v>
      </c>
      <c r="F3779" t="s">
        <v>38</v>
      </c>
      <c r="G3779" t="s">
        <v>39</v>
      </c>
      <c r="H3779" t="s">
        <v>43</v>
      </c>
      <c r="I3779" t="s">
        <v>26</v>
      </c>
      <c r="J3779" t="s">
        <v>27</v>
      </c>
      <c r="K3779" t="s">
        <v>28</v>
      </c>
      <c r="L3779" s="2">
        <v>78.7</v>
      </c>
      <c r="M3779" s="3">
        <v>1230</v>
      </c>
      <c r="N3779">
        <v>5</v>
      </c>
      <c r="O3779">
        <v>9</v>
      </c>
      <c r="P3779">
        <v>0</v>
      </c>
      <c r="Q3779">
        <v>4</v>
      </c>
      <c r="R3779" s="4">
        <v>66.569999999999993</v>
      </c>
      <c r="S3779">
        <v>0</v>
      </c>
      <c r="T3779">
        <v>1</v>
      </c>
    </row>
    <row r="3780" spans="1:20" ht="16.5" x14ac:dyDescent="0.3">
      <c r="A3780" t="s">
        <v>3834</v>
      </c>
      <c r="B3780" s="1">
        <v>45817</v>
      </c>
      <c r="C3780">
        <v>2025</v>
      </c>
      <c r="D3780" t="s">
        <v>649</v>
      </c>
      <c r="E3780" t="s">
        <v>1079</v>
      </c>
      <c r="F3780" t="s">
        <v>34</v>
      </c>
      <c r="G3780" t="s">
        <v>35</v>
      </c>
      <c r="H3780" t="s">
        <v>25</v>
      </c>
      <c r="I3780" t="s">
        <v>26</v>
      </c>
      <c r="J3780" t="s">
        <v>27</v>
      </c>
      <c r="K3780" t="s">
        <v>32</v>
      </c>
      <c r="L3780" s="2">
        <v>4.9000000000000004</v>
      </c>
      <c r="M3780" s="3">
        <v>958</v>
      </c>
      <c r="N3780">
        <v>4</v>
      </c>
      <c r="O3780">
        <v>4</v>
      </c>
      <c r="P3780">
        <v>1</v>
      </c>
      <c r="Q3780">
        <v>0</v>
      </c>
      <c r="R3780" s="4">
        <v>19.059999999999999</v>
      </c>
      <c r="S3780">
        <v>0</v>
      </c>
      <c r="T3780">
        <v>1</v>
      </c>
    </row>
    <row r="3781" spans="1:20" ht="16.5" x14ac:dyDescent="0.3">
      <c r="A3781" t="s">
        <v>3835</v>
      </c>
      <c r="B3781" s="1">
        <v>45817</v>
      </c>
      <c r="C3781">
        <v>2025</v>
      </c>
      <c r="D3781" t="s">
        <v>649</v>
      </c>
      <c r="E3781" t="s">
        <v>1079</v>
      </c>
      <c r="F3781" t="s">
        <v>57</v>
      </c>
      <c r="G3781" t="s">
        <v>39</v>
      </c>
      <c r="H3781" t="s">
        <v>48</v>
      </c>
      <c r="I3781" t="s">
        <v>26</v>
      </c>
      <c r="J3781" t="s">
        <v>27</v>
      </c>
      <c r="K3781" t="s">
        <v>28</v>
      </c>
      <c r="L3781" s="2">
        <v>36.5</v>
      </c>
      <c r="M3781" s="3">
        <v>432</v>
      </c>
      <c r="N3781">
        <v>4</v>
      </c>
      <c r="O3781">
        <v>4</v>
      </c>
      <c r="P3781">
        <v>1</v>
      </c>
      <c r="Q3781">
        <v>0</v>
      </c>
      <c r="R3781" s="4">
        <v>32.549999999999997</v>
      </c>
      <c r="S3781">
        <v>0</v>
      </c>
      <c r="T3781">
        <v>1</v>
      </c>
    </row>
    <row r="3782" spans="1:20" ht="16.5" x14ac:dyDescent="0.3">
      <c r="A3782" t="s">
        <v>3836</v>
      </c>
      <c r="B3782" s="1">
        <v>45818</v>
      </c>
      <c r="C3782">
        <v>2025</v>
      </c>
      <c r="D3782" t="s">
        <v>649</v>
      </c>
      <c r="E3782" t="s">
        <v>1079</v>
      </c>
      <c r="F3782" t="s">
        <v>38</v>
      </c>
      <c r="G3782" t="s">
        <v>39</v>
      </c>
      <c r="H3782" t="s">
        <v>48</v>
      </c>
      <c r="I3782" t="s">
        <v>31</v>
      </c>
      <c r="J3782" t="s">
        <v>27</v>
      </c>
      <c r="K3782" t="s">
        <v>28</v>
      </c>
      <c r="L3782" s="2">
        <v>242.9</v>
      </c>
      <c r="M3782" s="3">
        <v>532</v>
      </c>
      <c r="N3782">
        <v>6</v>
      </c>
      <c r="O3782">
        <v>6</v>
      </c>
      <c r="P3782">
        <v>1</v>
      </c>
      <c r="Q3782">
        <v>0</v>
      </c>
      <c r="R3782" s="4">
        <v>84.25</v>
      </c>
      <c r="S3782">
        <v>0</v>
      </c>
      <c r="T3782">
        <v>1</v>
      </c>
    </row>
    <row r="3783" spans="1:20" ht="16.5" x14ac:dyDescent="0.3">
      <c r="A3783" t="s">
        <v>3837</v>
      </c>
      <c r="B3783" s="1">
        <v>45818</v>
      </c>
      <c r="C3783">
        <v>2025</v>
      </c>
      <c r="D3783" t="s">
        <v>649</v>
      </c>
      <c r="E3783" t="s">
        <v>1079</v>
      </c>
      <c r="F3783" t="s">
        <v>23</v>
      </c>
      <c r="G3783" t="s">
        <v>39</v>
      </c>
      <c r="H3783" t="s">
        <v>36</v>
      </c>
      <c r="I3783" t="s">
        <v>26</v>
      </c>
      <c r="J3783" t="s">
        <v>27</v>
      </c>
      <c r="K3783" t="s">
        <v>32</v>
      </c>
      <c r="L3783" s="2">
        <v>12.8</v>
      </c>
      <c r="M3783" s="3">
        <v>242</v>
      </c>
      <c r="N3783">
        <v>3</v>
      </c>
      <c r="O3783">
        <v>3</v>
      </c>
      <c r="P3783">
        <v>1</v>
      </c>
      <c r="Q3783">
        <v>0</v>
      </c>
      <c r="R3783" s="4">
        <v>16.079999999999998</v>
      </c>
      <c r="S3783">
        <v>0</v>
      </c>
      <c r="T3783">
        <v>1</v>
      </c>
    </row>
    <row r="3784" spans="1:20" ht="16.5" x14ac:dyDescent="0.3">
      <c r="A3784" t="s">
        <v>3838</v>
      </c>
      <c r="B3784" s="1">
        <v>45818</v>
      </c>
      <c r="C3784">
        <v>2025</v>
      </c>
      <c r="D3784" t="s">
        <v>649</v>
      </c>
      <c r="E3784" t="s">
        <v>1079</v>
      </c>
      <c r="F3784" t="s">
        <v>57</v>
      </c>
      <c r="G3784" t="s">
        <v>35</v>
      </c>
      <c r="H3784" t="s">
        <v>36</v>
      </c>
      <c r="I3784" t="s">
        <v>40</v>
      </c>
      <c r="J3784" t="s">
        <v>27</v>
      </c>
      <c r="K3784" t="s">
        <v>28</v>
      </c>
      <c r="L3784" s="2">
        <v>321.5</v>
      </c>
      <c r="M3784" s="3">
        <v>237</v>
      </c>
      <c r="N3784">
        <v>1</v>
      </c>
      <c r="O3784">
        <v>1</v>
      </c>
      <c r="P3784">
        <v>1</v>
      </c>
      <c r="Q3784">
        <v>0</v>
      </c>
      <c r="R3784" s="4">
        <v>249.25</v>
      </c>
      <c r="S3784">
        <v>0</v>
      </c>
      <c r="T3784">
        <v>1</v>
      </c>
    </row>
    <row r="3785" spans="1:20" ht="16.5" x14ac:dyDescent="0.3">
      <c r="A3785" t="s">
        <v>3839</v>
      </c>
      <c r="B3785" s="1">
        <v>45818</v>
      </c>
      <c r="C3785">
        <v>2025</v>
      </c>
      <c r="D3785" t="s">
        <v>649</v>
      </c>
      <c r="E3785" t="s">
        <v>1079</v>
      </c>
      <c r="F3785" t="s">
        <v>23</v>
      </c>
      <c r="G3785" t="s">
        <v>24</v>
      </c>
      <c r="H3785" t="s">
        <v>36</v>
      </c>
      <c r="I3785" t="s">
        <v>31</v>
      </c>
      <c r="J3785" t="s">
        <v>27</v>
      </c>
      <c r="K3785" t="s">
        <v>32</v>
      </c>
      <c r="L3785" s="2">
        <v>5.6</v>
      </c>
      <c r="M3785" s="3">
        <v>263</v>
      </c>
      <c r="N3785">
        <v>5</v>
      </c>
      <c r="O3785">
        <v>5</v>
      </c>
      <c r="P3785">
        <v>1</v>
      </c>
      <c r="Q3785">
        <v>0</v>
      </c>
      <c r="R3785" s="4">
        <v>9.11</v>
      </c>
      <c r="S3785">
        <v>0</v>
      </c>
      <c r="T3785">
        <v>1</v>
      </c>
    </row>
    <row r="3786" spans="1:20" ht="16.5" x14ac:dyDescent="0.3">
      <c r="A3786" t="s">
        <v>3840</v>
      </c>
      <c r="B3786" s="1">
        <v>45818</v>
      </c>
      <c r="C3786">
        <v>2025</v>
      </c>
      <c r="D3786" t="s">
        <v>649</v>
      </c>
      <c r="E3786" t="s">
        <v>1079</v>
      </c>
      <c r="F3786" t="s">
        <v>34</v>
      </c>
      <c r="G3786" t="s">
        <v>35</v>
      </c>
      <c r="H3786" t="s">
        <v>43</v>
      </c>
      <c r="I3786" t="s">
        <v>26</v>
      </c>
      <c r="J3786" t="s">
        <v>27</v>
      </c>
      <c r="K3786" t="s">
        <v>32</v>
      </c>
      <c r="L3786" s="2">
        <v>10.8</v>
      </c>
      <c r="M3786" s="3">
        <v>1343</v>
      </c>
      <c r="N3786">
        <v>5</v>
      </c>
      <c r="O3786">
        <v>5</v>
      </c>
      <c r="P3786">
        <v>1</v>
      </c>
      <c r="Q3786">
        <v>0</v>
      </c>
      <c r="R3786" s="4">
        <v>24.57</v>
      </c>
      <c r="S3786">
        <v>0</v>
      </c>
      <c r="T3786">
        <v>1</v>
      </c>
    </row>
    <row r="3787" spans="1:20" ht="16.5" x14ac:dyDescent="0.3">
      <c r="A3787" t="s">
        <v>3841</v>
      </c>
      <c r="B3787" s="1">
        <v>45818</v>
      </c>
      <c r="C3787">
        <v>2025</v>
      </c>
      <c r="D3787" t="s">
        <v>649</v>
      </c>
      <c r="E3787" t="s">
        <v>1079</v>
      </c>
      <c r="F3787" t="s">
        <v>57</v>
      </c>
      <c r="G3787" t="s">
        <v>24</v>
      </c>
      <c r="H3787" t="s">
        <v>51</v>
      </c>
      <c r="I3787" t="s">
        <v>26</v>
      </c>
      <c r="J3787" t="s">
        <v>27</v>
      </c>
      <c r="K3787" t="s">
        <v>28</v>
      </c>
      <c r="L3787" s="2">
        <v>127.5</v>
      </c>
      <c r="M3787" s="3">
        <v>875</v>
      </c>
      <c r="N3787">
        <v>5</v>
      </c>
      <c r="O3787">
        <v>5</v>
      </c>
      <c r="P3787">
        <v>1</v>
      </c>
      <c r="Q3787">
        <v>0</v>
      </c>
      <c r="R3787" s="4">
        <v>67.09</v>
      </c>
      <c r="S3787">
        <v>0</v>
      </c>
      <c r="T3787">
        <v>1</v>
      </c>
    </row>
    <row r="3788" spans="1:20" ht="16.5" x14ac:dyDescent="0.3">
      <c r="A3788" t="s">
        <v>3842</v>
      </c>
      <c r="B3788" s="1">
        <v>45818</v>
      </c>
      <c r="C3788">
        <v>2025</v>
      </c>
      <c r="D3788" t="s">
        <v>649</v>
      </c>
      <c r="E3788" t="s">
        <v>1079</v>
      </c>
      <c r="F3788" t="s">
        <v>57</v>
      </c>
      <c r="G3788" t="s">
        <v>35</v>
      </c>
      <c r="H3788" t="s">
        <v>36</v>
      </c>
      <c r="I3788" t="s">
        <v>40</v>
      </c>
      <c r="J3788" t="s">
        <v>27</v>
      </c>
      <c r="K3788" t="s">
        <v>32</v>
      </c>
      <c r="L3788" s="2">
        <v>2.1</v>
      </c>
      <c r="M3788" s="3">
        <v>318</v>
      </c>
      <c r="N3788">
        <v>1</v>
      </c>
      <c r="O3788">
        <v>1</v>
      </c>
      <c r="P3788">
        <v>1</v>
      </c>
      <c r="Q3788">
        <v>0</v>
      </c>
      <c r="R3788" s="4">
        <v>21.84</v>
      </c>
      <c r="S3788">
        <v>0</v>
      </c>
      <c r="T3788">
        <v>1</v>
      </c>
    </row>
    <row r="3789" spans="1:20" ht="16.5" x14ac:dyDescent="0.3">
      <c r="A3789" t="s">
        <v>3843</v>
      </c>
      <c r="B3789" s="1">
        <v>45818</v>
      </c>
      <c r="C3789">
        <v>2025</v>
      </c>
      <c r="D3789" t="s">
        <v>649</v>
      </c>
      <c r="E3789" t="s">
        <v>1079</v>
      </c>
      <c r="F3789" t="s">
        <v>38</v>
      </c>
      <c r="G3789" t="s">
        <v>35</v>
      </c>
      <c r="H3789" t="s">
        <v>25</v>
      </c>
      <c r="I3789" t="s">
        <v>26</v>
      </c>
      <c r="J3789" t="s">
        <v>27</v>
      </c>
      <c r="K3789" t="s">
        <v>28</v>
      </c>
      <c r="L3789" s="2">
        <v>201.3</v>
      </c>
      <c r="M3789" s="3">
        <v>680</v>
      </c>
      <c r="N3789">
        <v>4</v>
      </c>
      <c r="O3789">
        <v>4</v>
      </c>
      <c r="P3789">
        <v>1</v>
      </c>
      <c r="Q3789">
        <v>0</v>
      </c>
      <c r="R3789" s="4">
        <v>94.76</v>
      </c>
      <c r="S3789">
        <v>0</v>
      </c>
      <c r="T3789">
        <v>1</v>
      </c>
    </row>
    <row r="3790" spans="1:20" ht="16.5" x14ac:dyDescent="0.3">
      <c r="A3790" t="s">
        <v>3844</v>
      </c>
      <c r="B3790" s="1">
        <v>45818</v>
      </c>
      <c r="C3790">
        <v>2025</v>
      </c>
      <c r="D3790" t="s">
        <v>649</v>
      </c>
      <c r="E3790" t="s">
        <v>1079</v>
      </c>
      <c r="F3790" t="s">
        <v>23</v>
      </c>
      <c r="G3790" t="s">
        <v>35</v>
      </c>
      <c r="H3790" t="s">
        <v>48</v>
      </c>
      <c r="I3790" t="s">
        <v>31</v>
      </c>
      <c r="J3790" t="s">
        <v>27</v>
      </c>
      <c r="K3790" t="s">
        <v>28</v>
      </c>
      <c r="L3790" s="2">
        <v>152.30000000000001</v>
      </c>
      <c r="M3790" s="3">
        <v>561</v>
      </c>
      <c r="N3790">
        <v>6</v>
      </c>
      <c r="O3790">
        <v>6</v>
      </c>
      <c r="P3790">
        <v>1</v>
      </c>
      <c r="Q3790">
        <v>0</v>
      </c>
      <c r="R3790" s="4">
        <v>47.03</v>
      </c>
      <c r="S3790">
        <v>0</v>
      </c>
      <c r="T3790">
        <v>1</v>
      </c>
    </row>
    <row r="3791" spans="1:20" ht="16.5" x14ac:dyDescent="0.3">
      <c r="A3791" t="s">
        <v>3845</v>
      </c>
      <c r="B3791" s="1">
        <v>45818</v>
      </c>
      <c r="C3791">
        <v>2025</v>
      </c>
      <c r="D3791" t="s">
        <v>649</v>
      </c>
      <c r="E3791" t="s">
        <v>1079</v>
      </c>
      <c r="F3791" t="s">
        <v>38</v>
      </c>
      <c r="G3791" t="s">
        <v>39</v>
      </c>
      <c r="H3791" t="s">
        <v>25</v>
      </c>
      <c r="I3791" t="s">
        <v>31</v>
      </c>
      <c r="J3791" t="s">
        <v>27</v>
      </c>
      <c r="K3791" t="s">
        <v>32</v>
      </c>
      <c r="L3791" s="2">
        <v>13</v>
      </c>
      <c r="M3791" s="3">
        <v>738</v>
      </c>
      <c r="N3791">
        <v>6</v>
      </c>
      <c r="O3791">
        <v>6</v>
      </c>
      <c r="P3791">
        <v>1</v>
      </c>
      <c r="Q3791">
        <v>0</v>
      </c>
      <c r="R3791" s="4">
        <v>18.34</v>
      </c>
      <c r="S3791">
        <v>0</v>
      </c>
      <c r="T3791">
        <v>1</v>
      </c>
    </row>
    <row r="3792" spans="1:20" ht="16.5" x14ac:dyDescent="0.3">
      <c r="A3792" t="s">
        <v>3846</v>
      </c>
      <c r="B3792" s="1">
        <v>45818</v>
      </c>
      <c r="C3792">
        <v>2025</v>
      </c>
      <c r="D3792" t="s">
        <v>649</v>
      </c>
      <c r="E3792" t="s">
        <v>1079</v>
      </c>
      <c r="F3792" t="s">
        <v>23</v>
      </c>
      <c r="G3792" t="s">
        <v>39</v>
      </c>
      <c r="H3792" t="s">
        <v>25</v>
      </c>
      <c r="I3792" t="s">
        <v>26</v>
      </c>
      <c r="J3792" t="s">
        <v>27</v>
      </c>
      <c r="K3792" t="s">
        <v>32</v>
      </c>
      <c r="L3792" s="2">
        <v>7.6</v>
      </c>
      <c r="M3792" s="3">
        <v>898</v>
      </c>
      <c r="N3792">
        <v>4</v>
      </c>
      <c r="O3792">
        <v>4</v>
      </c>
      <c r="P3792">
        <v>1</v>
      </c>
      <c r="Q3792">
        <v>0</v>
      </c>
      <c r="R3792" s="4">
        <v>19.579999999999998</v>
      </c>
      <c r="S3792">
        <v>0</v>
      </c>
      <c r="T3792">
        <v>1</v>
      </c>
    </row>
    <row r="3793" spans="1:20" ht="16.5" x14ac:dyDescent="0.3">
      <c r="A3793" t="s">
        <v>3847</v>
      </c>
      <c r="B3793" s="1">
        <v>45819</v>
      </c>
      <c r="C3793">
        <v>2025</v>
      </c>
      <c r="D3793" t="s">
        <v>649</v>
      </c>
      <c r="E3793" t="s">
        <v>1079</v>
      </c>
      <c r="F3793" t="s">
        <v>23</v>
      </c>
      <c r="G3793" t="s">
        <v>39</v>
      </c>
      <c r="H3793" t="s">
        <v>43</v>
      </c>
      <c r="I3793" t="s">
        <v>26</v>
      </c>
      <c r="J3793" t="s">
        <v>27</v>
      </c>
      <c r="K3793" t="s">
        <v>32</v>
      </c>
      <c r="L3793" s="2">
        <v>9.6</v>
      </c>
      <c r="M3793" s="3">
        <v>1185</v>
      </c>
      <c r="N3793">
        <v>5</v>
      </c>
      <c r="O3793">
        <v>5</v>
      </c>
      <c r="P3793">
        <v>1</v>
      </c>
      <c r="Q3793">
        <v>0</v>
      </c>
      <c r="R3793" s="4">
        <v>27.11</v>
      </c>
      <c r="S3793">
        <v>0</v>
      </c>
      <c r="T3793">
        <v>1</v>
      </c>
    </row>
    <row r="3794" spans="1:20" ht="16.5" x14ac:dyDescent="0.3">
      <c r="A3794" t="s">
        <v>3848</v>
      </c>
      <c r="B3794" s="1">
        <v>45819</v>
      </c>
      <c r="C3794">
        <v>2025</v>
      </c>
      <c r="D3794" t="s">
        <v>649</v>
      </c>
      <c r="E3794" t="s">
        <v>1079</v>
      </c>
      <c r="F3794" t="s">
        <v>57</v>
      </c>
      <c r="G3794" t="s">
        <v>39</v>
      </c>
      <c r="H3794" t="s">
        <v>36</v>
      </c>
      <c r="I3794" t="s">
        <v>31</v>
      </c>
      <c r="J3794" t="s">
        <v>27</v>
      </c>
      <c r="K3794" t="s">
        <v>28</v>
      </c>
      <c r="L3794" s="2">
        <v>7.4</v>
      </c>
      <c r="M3794" s="3">
        <v>251</v>
      </c>
      <c r="N3794">
        <v>5</v>
      </c>
      <c r="O3794">
        <v>5</v>
      </c>
      <c r="P3794">
        <v>1</v>
      </c>
      <c r="Q3794">
        <v>0</v>
      </c>
      <c r="R3794" s="4">
        <v>9.57</v>
      </c>
      <c r="S3794">
        <v>0</v>
      </c>
      <c r="T3794">
        <v>1</v>
      </c>
    </row>
    <row r="3795" spans="1:20" ht="16.5" x14ac:dyDescent="0.3">
      <c r="A3795" t="s">
        <v>3849</v>
      </c>
      <c r="B3795" s="1">
        <v>45819</v>
      </c>
      <c r="C3795">
        <v>2025</v>
      </c>
      <c r="D3795" t="s">
        <v>649</v>
      </c>
      <c r="E3795" t="s">
        <v>1079</v>
      </c>
      <c r="F3795" t="s">
        <v>57</v>
      </c>
      <c r="G3795" t="s">
        <v>35</v>
      </c>
      <c r="H3795" t="s">
        <v>36</v>
      </c>
      <c r="I3795" t="s">
        <v>26</v>
      </c>
      <c r="J3795" t="s">
        <v>27</v>
      </c>
      <c r="K3795" t="s">
        <v>32</v>
      </c>
      <c r="L3795" s="2">
        <v>34.700000000000003</v>
      </c>
      <c r="M3795" s="3">
        <v>350</v>
      </c>
      <c r="N3795">
        <v>3</v>
      </c>
      <c r="O3795">
        <v>2</v>
      </c>
      <c r="P3795">
        <v>1</v>
      </c>
      <c r="Q3795">
        <v>0</v>
      </c>
      <c r="R3795" s="4">
        <v>28.79</v>
      </c>
      <c r="S3795">
        <v>1</v>
      </c>
      <c r="T3795">
        <v>1</v>
      </c>
    </row>
    <row r="3796" spans="1:20" ht="16.5" x14ac:dyDescent="0.3">
      <c r="A3796" t="s">
        <v>3850</v>
      </c>
      <c r="B3796" s="1">
        <v>45819</v>
      </c>
      <c r="C3796">
        <v>2025</v>
      </c>
      <c r="D3796" t="s">
        <v>649</v>
      </c>
      <c r="E3796" t="s">
        <v>1079</v>
      </c>
      <c r="F3796" t="s">
        <v>30</v>
      </c>
      <c r="G3796" t="s">
        <v>39</v>
      </c>
      <c r="H3796" t="s">
        <v>25</v>
      </c>
      <c r="I3796" t="s">
        <v>31</v>
      </c>
      <c r="J3796" t="s">
        <v>27</v>
      </c>
      <c r="K3796" t="s">
        <v>28</v>
      </c>
      <c r="L3796" s="2">
        <v>151.1</v>
      </c>
      <c r="M3796" s="3">
        <v>851</v>
      </c>
      <c r="N3796">
        <v>6</v>
      </c>
      <c r="O3796">
        <v>6</v>
      </c>
      <c r="P3796">
        <v>1</v>
      </c>
      <c r="Q3796">
        <v>0</v>
      </c>
      <c r="R3796" s="4">
        <v>57.44</v>
      </c>
      <c r="S3796">
        <v>0</v>
      </c>
      <c r="T3796">
        <v>1</v>
      </c>
    </row>
    <row r="3797" spans="1:20" ht="16.5" x14ac:dyDescent="0.3">
      <c r="A3797" t="s">
        <v>3851</v>
      </c>
      <c r="B3797" s="1">
        <v>45819</v>
      </c>
      <c r="C3797">
        <v>2025</v>
      </c>
      <c r="D3797" t="s">
        <v>649</v>
      </c>
      <c r="E3797" t="s">
        <v>1079</v>
      </c>
      <c r="F3797" t="s">
        <v>38</v>
      </c>
      <c r="G3797" t="s">
        <v>39</v>
      </c>
      <c r="H3797" t="s">
        <v>43</v>
      </c>
      <c r="I3797" t="s">
        <v>31</v>
      </c>
      <c r="J3797" t="s">
        <v>27</v>
      </c>
      <c r="K3797" t="s">
        <v>32</v>
      </c>
      <c r="L3797" s="2">
        <v>25.6</v>
      </c>
      <c r="M3797" s="3">
        <v>884</v>
      </c>
      <c r="N3797">
        <v>7</v>
      </c>
      <c r="O3797">
        <v>7</v>
      </c>
      <c r="P3797">
        <v>1</v>
      </c>
      <c r="Q3797">
        <v>0</v>
      </c>
      <c r="R3797" s="4">
        <v>23.6</v>
      </c>
      <c r="S3797">
        <v>0</v>
      </c>
      <c r="T3797">
        <v>1</v>
      </c>
    </row>
    <row r="3798" spans="1:20" ht="16.5" x14ac:dyDescent="0.3">
      <c r="A3798" t="s">
        <v>3852</v>
      </c>
      <c r="B3798" s="1">
        <v>45819</v>
      </c>
      <c r="C3798">
        <v>2025</v>
      </c>
      <c r="D3798" t="s">
        <v>649</v>
      </c>
      <c r="E3798" t="s">
        <v>1079</v>
      </c>
      <c r="F3798" t="s">
        <v>34</v>
      </c>
      <c r="G3798" t="s">
        <v>39</v>
      </c>
      <c r="H3798" t="s">
        <v>25</v>
      </c>
      <c r="I3798" t="s">
        <v>31</v>
      </c>
      <c r="J3798" t="s">
        <v>27</v>
      </c>
      <c r="K3798" t="s">
        <v>32</v>
      </c>
      <c r="L3798" s="2">
        <v>10.7</v>
      </c>
      <c r="M3798" s="3">
        <v>657</v>
      </c>
      <c r="N3798">
        <v>6</v>
      </c>
      <c r="O3798">
        <v>8</v>
      </c>
      <c r="P3798">
        <v>0</v>
      </c>
      <c r="Q3798">
        <v>2</v>
      </c>
      <c r="R3798" s="4">
        <v>12.21</v>
      </c>
      <c r="S3798">
        <v>1</v>
      </c>
      <c r="T3798">
        <v>1</v>
      </c>
    </row>
    <row r="3799" spans="1:20" ht="16.5" x14ac:dyDescent="0.3">
      <c r="A3799" t="s">
        <v>3853</v>
      </c>
      <c r="B3799" s="1">
        <v>45819</v>
      </c>
      <c r="C3799">
        <v>2025</v>
      </c>
      <c r="D3799" t="s">
        <v>649</v>
      </c>
      <c r="E3799" t="s">
        <v>1079</v>
      </c>
      <c r="F3799" t="s">
        <v>34</v>
      </c>
      <c r="G3799" t="s">
        <v>39</v>
      </c>
      <c r="H3799" t="s">
        <v>25</v>
      </c>
      <c r="I3799" t="s">
        <v>26</v>
      </c>
      <c r="J3799" t="s">
        <v>27</v>
      </c>
      <c r="K3799" t="s">
        <v>32</v>
      </c>
      <c r="L3799" s="2">
        <v>2.2000000000000002</v>
      </c>
      <c r="M3799" s="3">
        <v>652</v>
      </c>
      <c r="N3799">
        <v>4</v>
      </c>
      <c r="O3799">
        <v>4</v>
      </c>
      <c r="P3799">
        <v>1</v>
      </c>
      <c r="Q3799">
        <v>0</v>
      </c>
      <c r="R3799" s="4">
        <v>12.88</v>
      </c>
      <c r="S3799">
        <v>0</v>
      </c>
      <c r="T3799">
        <v>1</v>
      </c>
    </row>
    <row r="3800" spans="1:20" ht="16.5" x14ac:dyDescent="0.3">
      <c r="A3800" t="s">
        <v>3854</v>
      </c>
      <c r="B3800" s="1">
        <v>45820</v>
      </c>
      <c r="C3800">
        <v>2025</v>
      </c>
      <c r="D3800" t="s">
        <v>649</v>
      </c>
      <c r="E3800" t="s">
        <v>1079</v>
      </c>
      <c r="F3800" t="s">
        <v>38</v>
      </c>
      <c r="G3800" t="s">
        <v>24</v>
      </c>
      <c r="H3800" t="s">
        <v>36</v>
      </c>
      <c r="I3800" t="s">
        <v>31</v>
      </c>
      <c r="J3800" t="s">
        <v>27</v>
      </c>
      <c r="K3800" t="s">
        <v>28</v>
      </c>
      <c r="L3800" s="2">
        <v>40.200000000000003</v>
      </c>
      <c r="M3800" s="3">
        <v>255</v>
      </c>
      <c r="N3800">
        <v>5</v>
      </c>
      <c r="O3800">
        <v>5</v>
      </c>
      <c r="P3800">
        <v>1</v>
      </c>
      <c r="Q3800">
        <v>0</v>
      </c>
      <c r="R3800" s="4">
        <v>25.54</v>
      </c>
      <c r="S3800">
        <v>0</v>
      </c>
      <c r="T3800">
        <v>1</v>
      </c>
    </row>
    <row r="3801" spans="1:20" ht="16.5" x14ac:dyDescent="0.3">
      <c r="A3801" t="s">
        <v>3855</v>
      </c>
      <c r="B3801" s="1">
        <v>45820</v>
      </c>
      <c r="C3801">
        <v>2025</v>
      </c>
      <c r="D3801" t="s">
        <v>649</v>
      </c>
      <c r="E3801" t="s">
        <v>1079</v>
      </c>
      <c r="F3801" t="s">
        <v>38</v>
      </c>
      <c r="G3801" t="s">
        <v>24</v>
      </c>
      <c r="H3801" t="s">
        <v>48</v>
      </c>
      <c r="I3801" t="s">
        <v>40</v>
      </c>
      <c r="J3801" t="s">
        <v>27</v>
      </c>
      <c r="K3801" t="s">
        <v>32</v>
      </c>
      <c r="L3801" s="2">
        <v>7.8</v>
      </c>
      <c r="M3801" s="3">
        <v>517</v>
      </c>
      <c r="N3801">
        <v>2</v>
      </c>
      <c r="O3801">
        <v>1</v>
      </c>
      <c r="P3801">
        <v>1</v>
      </c>
      <c r="Q3801">
        <v>0</v>
      </c>
      <c r="R3801" s="4">
        <v>37.32</v>
      </c>
      <c r="S3801">
        <v>0</v>
      </c>
      <c r="T3801">
        <v>1</v>
      </c>
    </row>
    <row r="3802" spans="1:20" ht="16.5" x14ac:dyDescent="0.3">
      <c r="A3802" t="s">
        <v>3856</v>
      </c>
      <c r="B3802" s="1">
        <v>45820</v>
      </c>
      <c r="C3802">
        <v>2025</v>
      </c>
      <c r="D3802" t="s">
        <v>649</v>
      </c>
      <c r="E3802" t="s">
        <v>1079</v>
      </c>
      <c r="F3802" t="s">
        <v>23</v>
      </c>
      <c r="G3802" t="s">
        <v>39</v>
      </c>
      <c r="H3802" t="s">
        <v>48</v>
      </c>
      <c r="I3802" t="s">
        <v>31</v>
      </c>
      <c r="J3802" t="s">
        <v>27</v>
      </c>
      <c r="K3802" t="s">
        <v>32</v>
      </c>
      <c r="L3802" s="2">
        <v>14.5</v>
      </c>
      <c r="M3802" s="3">
        <v>388</v>
      </c>
      <c r="N3802">
        <v>6</v>
      </c>
      <c r="O3802">
        <v>6</v>
      </c>
      <c r="P3802">
        <v>1</v>
      </c>
      <c r="Q3802">
        <v>0</v>
      </c>
      <c r="R3802" s="4">
        <v>14.19</v>
      </c>
      <c r="S3802">
        <v>0</v>
      </c>
      <c r="T3802">
        <v>1</v>
      </c>
    </row>
    <row r="3803" spans="1:20" ht="16.5" x14ac:dyDescent="0.3">
      <c r="A3803" t="s">
        <v>3857</v>
      </c>
      <c r="B3803" s="1">
        <v>45820</v>
      </c>
      <c r="C3803">
        <v>2025</v>
      </c>
      <c r="D3803" t="s">
        <v>649</v>
      </c>
      <c r="E3803" t="s">
        <v>1079</v>
      </c>
      <c r="F3803" t="s">
        <v>30</v>
      </c>
      <c r="G3803" t="s">
        <v>35</v>
      </c>
      <c r="H3803" t="s">
        <v>48</v>
      </c>
      <c r="I3803" t="s">
        <v>26</v>
      </c>
      <c r="J3803" t="s">
        <v>27</v>
      </c>
      <c r="K3803" t="s">
        <v>28</v>
      </c>
      <c r="L3803" s="2">
        <v>239.3</v>
      </c>
      <c r="M3803" s="3">
        <v>596</v>
      </c>
      <c r="N3803">
        <v>4</v>
      </c>
      <c r="O3803">
        <v>6</v>
      </c>
      <c r="P3803">
        <v>0</v>
      </c>
      <c r="Q3803">
        <v>2</v>
      </c>
      <c r="R3803" s="4">
        <v>107.66</v>
      </c>
      <c r="S3803">
        <v>0</v>
      </c>
      <c r="T3803">
        <v>1</v>
      </c>
    </row>
    <row r="3804" spans="1:20" ht="16.5" x14ac:dyDescent="0.3">
      <c r="A3804" t="s">
        <v>3858</v>
      </c>
      <c r="B3804" s="1">
        <v>45820</v>
      </c>
      <c r="C3804">
        <v>2025</v>
      </c>
      <c r="D3804" t="s">
        <v>649</v>
      </c>
      <c r="E3804" t="s">
        <v>1079</v>
      </c>
      <c r="F3804" t="s">
        <v>38</v>
      </c>
      <c r="G3804" t="s">
        <v>39</v>
      </c>
      <c r="H3804" t="s">
        <v>48</v>
      </c>
      <c r="I3804" t="s">
        <v>40</v>
      </c>
      <c r="J3804" t="s">
        <v>27</v>
      </c>
      <c r="K3804" t="s">
        <v>32</v>
      </c>
      <c r="L3804" s="2">
        <v>4.7</v>
      </c>
      <c r="M3804" s="3">
        <v>439</v>
      </c>
      <c r="N3804">
        <v>2</v>
      </c>
      <c r="O3804">
        <v>2</v>
      </c>
      <c r="P3804">
        <v>1</v>
      </c>
      <c r="Q3804">
        <v>0</v>
      </c>
      <c r="R3804" s="4">
        <v>31.88</v>
      </c>
      <c r="S3804">
        <v>0</v>
      </c>
      <c r="T3804">
        <v>1</v>
      </c>
    </row>
    <row r="3805" spans="1:20" ht="16.5" x14ac:dyDescent="0.3">
      <c r="A3805" t="s">
        <v>3859</v>
      </c>
      <c r="B3805" s="1">
        <v>45820</v>
      </c>
      <c r="C3805">
        <v>2025</v>
      </c>
      <c r="D3805" t="s">
        <v>649</v>
      </c>
      <c r="E3805" t="s">
        <v>1079</v>
      </c>
      <c r="F3805" t="s">
        <v>38</v>
      </c>
      <c r="G3805" t="s">
        <v>35</v>
      </c>
      <c r="H3805" t="s">
        <v>48</v>
      </c>
      <c r="I3805" t="s">
        <v>26</v>
      </c>
      <c r="J3805" t="s">
        <v>27</v>
      </c>
      <c r="K3805" t="s">
        <v>32</v>
      </c>
      <c r="L3805" s="2">
        <v>18.5</v>
      </c>
      <c r="M3805" s="3">
        <v>638</v>
      </c>
      <c r="N3805">
        <v>4</v>
      </c>
      <c r="O3805">
        <v>4</v>
      </c>
      <c r="P3805">
        <v>1</v>
      </c>
      <c r="Q3805">
        <v>0</v>
      </c>
      <c r="R3805" s="4">
        <v>23.57</v>
      </c>
      <c r="S3805">
        <v>0</v>
      </c>
      <c r="T3805">
        <v>1</v>
      </c>
    </row>
    <row r="3806" spans="1:20" ht="16.5" x14ac:dyDescent="0.3">
      <c r="A3806" t="s">
        <v>3860</v>
      </c>
      <c r="B3806" s="1">
        <v>45820</v>
      </c>
      <c r="C3806">
        <v>2025</v>
      </c>
      <c r="D3806" t="s">
        <v>649</v>
      </c>
      <c r="E3806" t="s">
        <v>1079</v>
      </c>
      <c r="F3806" t="s">
        <v>38</v>
      </c>
      <c r="G3806" t="s">
        <v>39</v>
      </c>
      <c r="H3806" t="s">
        <v>48</v>
      </c>
      <c r="I3806" t="s">
        <v>31</v>
      </c>
      <c r="J3806" t="s">
        <v>27</v>
      </c>
      <c r="K3806" t="s">
        <v>32</v>
      </c>
      <c r="L3806" s="2">
        <v>2.7</v>
      </c>
      <c r="M3806" s="3">
        <v>538</v>
      </c>
      <c r="N3806">
        <v>6</v>
      </c>
      <c r="O3806">
        <v>6</v>
      </c>
      <c r="P3806">
        <v>1</v>
      </c>
      <c r="Q3806">
        <v>0</v>
      </c>
      <c r="R3806" s="4">
        <v>11.21</v>
      </c>
      <c r="S3806">
        <v>0</v>
      </c>
      <c r="T3806">
        <v>1</v>
      </c>
    </row>
    <row r="3807" spans="1:20" ht="16.5" x14ac:dyDescent="0.3">
      <c r="A3807" t="s">
        <v>3861</v>
      </c>
      <c r="B3807" s="1">
        <v>45820</v>
      </c>
      <c r="C3807">
        <v>2025</v>
      </c>
      <c r="D3807" t="s">
        <v>649</v>
      </c>
      <c r="E3807" t="s">
        <v>1079</v>
      </c>
      <c r="F3807" t="s">
        <v>57</v>
      </c>
      <c r="G3807" t="s">
        <v>39</v>
      </c>
      <c r="H3807" t="s">
        <v>48</v>
      </c>
      <c r="I3807" t="s">
        <v>31</v>
      </c>
      <c r="J3807" t="s">
        <v>27</v>
      </c>
      <c r="K3807" t="s">
        <v>28</v>
      </c>
      <c r="L3807" s="2">
        <v>69.7</v>
      </c>
      <c r="M3807" s="3">
        <v>590</v>
      </c>
      <c r="N3807">
        <v>6</v>
      </c>
      <c r="O3807">
        <v>6</v>
      </c>
      <c r="P3807">
        <v>1</v>
      </c>
      <c r="Q3807">
        <v>0</v>
      </c>
      <c r="R3807" s="4">
        <v>34.15</v>
      </c>
      <c r="S3807">
        <v>0</v>
      </c>
      <c r="T3807">
        <v>1</v>
      </c>
    </row>
    <row r="3808" spans="1:20" ht="16.5" x14ac:dyDescent="0.3">
      <c r="A3808" t="s">
        <v>3862</v>
      </c>
      <c r="B3808" s="1">
        <v>45820</v>
      </c>
      <c r="C3808">
        <v>2025</v>
      </c>
      <c r="D3808" t="s">
        <v>649</v>
      </c>
      <c r="E3808" t="s">
        <v>1079</v>
      </c>
      <c r="F3808" t="s">
        <v>38</v>
      </c>
      <c r="G3808" t="s">
        <v>24</v>
      </c>
      <c r="H3808" t="s">
        <v>36</v>
      </c>
      <c r="I3808" t="s">
        <v>31</v>
      </c>
      <c r="J3808" t="s">
        <v>27</v>
      </c>
      <c r="K3808" t="s">
        <v>28</v>
      </c>
      <c r="L3808" s="2">
        <v>99.7</v>
      </c>
      <c r="M3808" s="3">
        <v>235</v>
      </c>
      <c r="N3808">
        <v>5</v>
      </c>
      <c r="O3808">
        <v>5</v>
      </c>
      <c r="P3808">
        <v>1</v>
      </c>
      <c r="Q3808">
        <v>0</v>
      </c>
      <c r="R3808" s="4">
        <v>42.81</v>
      </c>
      <c r="S3808">
        <v>0</v>
      </c>
      <c r="T3808">
        <v>1</v>
      </c>
    </row>
    <row r="3809" spans="1:20" ht="16.5" x14ac:dyDescent="0.3">
      <c r="A3809" t="s">
        <v>3863</v>
      </c>
      <c r="B3809" s="1">
        <v>45820</v>
      </c>
      <c r="C3809">
        <v>2025</v>
      </c>
      <c r="D3809" t="s">
        <v>649</v>
      </c>
      <c r="E3809" t="s">
        <v>1079</v>
      </c>
      <c r="F3809" t="s">
        <v>34</v>
      </c>
      <c r="G3809" t="s">
        <v>39</v>
      </c>
      <c r="H3809" t="s">
        <v>51</v>
      </c>
      <c r="I3809" t="s">
        <v>26</v>
      </c>
      <c r="J3809" t="s">
        <v>27</v>
      </c>
      <c r="K3809" t="s">
        <v>32</v>
      </c>
      <c r="L3809" s="2">
        <v>5.8</v>
      </c>
      <c r="M3809" s="3">
        <v>969</v>
      </c>
      <c r="N3809">
        <v>5</v>
      </c>
      <c r="O3809">
        <v>5</v>
      </c>
      <c r="P3809">
        <v>1</v>
      </c>
      <c r="Q3809">
        <v>0</v>
      </c>
      <c r="R3809" s="4">
        <v>18.09</v>
      </c>
      <c r="S3809">
        <v>0</v>
      </c>
      <c r="T3809">
        <v>1</v>
      </c>
    </row>
    <row r="3810" spans="1:20" ht="16.5" x14ac:dyDescent="0.3">
      <c r="A3810" t="s">
        <v>3864</v>
      </c>
      <c r="B3810" s="1">
        <v>45820</v>
      </c>
      <c r="C3810">
        <v>2025</v>
      </c>
      <c r="D3810" t="s">
        <v>649</v>
      </c>
      <c r="E3810" t="s">
        <v>1079</v>
      </c>
      <c r="F3810" t="s">
        <v>23</v>
      </c>
      <c r="G3810" t="s">
        <v>39</v>
      </c>
      <c r="H3810" t="s">
        <v>36</v>
      </c>
      <c r="I3810" t="s">
        <v>31</v>
      </c>
      <c r="J3810" t="s">
        <v>27</v>
      </c>
      <c r="K3810" t="s">
        <v>32</v>
      </c>
      <c r="L3810" s="2">
        <v>5.9</v>
      </c>
      <c r="M3810" s="3">
        <v>313</v>
      </c>
      <c r="N3810">
        <v>5</v>
      </c>
      <c r="O3810">
        <v>9</v>
      </c>
      <c r="P3810">
        <v>0</v>
      </c>
      <c r="Q3810">
        <v>4</v>
      </c>
      <c r="R3810" s="4">
        <v>9.33</v>
      </c>
      <c r="S3810">
        <v>0</v>
      </c>
      <c r="T3810">
        <v>1</v>
      </c>
    </row>
    <row r="3811" spans="1:20" ht="16.5" x14ac:dyDescent="0.3">
      <c r="A3811" t="s">
        <v>3865</v>
      </c>
      <c r="B3811" s="1">
        <v>45820</v>
      </c>
      <c r="C3811">
        <v>2025</v>
      </c>
      <c r="D3811" t="s">
        <v>649</v>
      </c>
      <c r="E3811" t="s">
        <v>1079</v>
      </c>
      <c r="F3811" t="s">
        <v>57</v>
      </c>
      <c r="G3811" t="s">
        <v>24</v>
      </c>
      <c r="H3811" t="s">
        <v>36</v>
      </c>
      <c r="I3811" t="s">
        <v>40</v>
      </c>
      <c r="J3811" t="s">
        <v>27</v>
      </c>
      <c r="K3811" t="s">
        <v>32</v>
      </c>
      <c r="L3811" s="2">
        <v>8.5</v>
      </c>
      <c r="M3811" s="3">
        <v>270</v>
      </c>
      <c r="N3811">
        <v>1</v>
      </c>
      <c r="O3811">
        <v>1</v>
      </c>
      <c r="P3811">
        <v>1</v>
      </c>
      <c r="Q3811">
        <v>0</v>
      </c>
      <c r="R3811" s="4">
        <v>26.79</v>
      </c>
      <c r="S3811">
        <v>0</v>
      </c>
      <c r="T3811">
        <v>1</v>
      </c>
    </row>
    <row r="3812" spans="1:20" ht="16.5" x14ac:dyDescent="0.3">
      <c r="A3812" t="s">
        <v>3866</v>
      </c>
      <c r="B3812" s="1">
        <v>45820</v>
      </c>
      <c r="C3812">
        <v>2025</v>
      </c>
      <c r="D3812" t="s">
        <v>649</v>
      </c>
      <c r="E3812" t="s">
        <v>1079</v>
      </c>
      <c r="F3812" t="s">
        <v>30</v>
      </c>
      <c r="G3812" t="s">
        <v>35</v>
      </c>
      <c r="H3812" t="s">
        <v>36</v>
      </c>
      <c r="I3812" t="s">
        <v>26</v>
      </c>
      <c r="J3812" t="s">
        <v>27</v>
      </c>
      <c r="K3812" t="s">
        <v>32</v>
      </c>
      <c r="L3812" s="2">
        <v>1.2</v>
      </c>
      <c r="M3812" s="3">
        <v>213</v>
      </c>
      <c r="N3812">
        <v>3</v>
      </c>
      <c r="O3812">
        <v>3</v>
      </c>
      <c r="P3812">
        <v>1</v>
      </c>
      <c r="Q3812">
        <v>0</v>
      </c>
      <c r="R3812" s="4">
        <v>9.2200000000000006</v>
      </c>
      <c r="S3812">
        <v>0</v>
      </c>
      <c r="T3812">
        <v>1</v>
      </c>
    </row>
    <row r="3813" spans="1:20" ht="16.5" x14ac:dyDescent="0.3">
      <c r="A3813" t="s">
        <v>3867</v>
      </c>
      <c r="B3813" s="1">
        <v>45821</v>
      </c>
      <c r="C3813">
        <v>2025</v>
      </c>
      <c r="D3813" t="s">
        <v>649</v>
      </c>
      <c r="E3813" t="s">
        <v>1079</v>
      </c>
      <c r="F3813" t="s">
        <v>34</v>
      </c>
      <c r="G3813" t="s">
        <v>35</v>
      </c>
      <c r="H3813" t="s">
        <v>36</v>
      </c>
      <c r="I3813" t="s">
        <v>26</v>
      </c>
      <c r="J3813" t="s">
        <v>27</v>
      </c>
      <c r="K3813" t="s">
        <v>28</v>
      </c>
      <c r="L3813" s="2">
        <v>58.7</v>
      </c>
      <c r="M3813" s="3">
        <v>301</v>
      </c>
      <c r="N3813">
        <v>3</v>
      </c>
      <c r="O3813">
        <v>3</v>
      </c>
      <c r="P3813">
        <v>1</v>
      </c>
      <c r="Q3813">
        <v>0</v>
      </c>
      <c r="R3813" s="4">
        <v>31.59</v>
      </c>
      <c r="S3813">
        <v>0</v>
      </c>
      <c r="T3813">
        <v>1</v>
      </c>
    </row>
    <row r="3814" spans="1:20" ht="16.5" x14ac:dyDescent="0.3">
      <c r="A3814" t="s">
        <v>3868</v>
      </c>
      <c r="B3814" s="1">
        <v>45821</v>
      </c>
      <c r="C3814">
        <v>2025</v>
      </c>
      <c r="D3814" t="s">
        <v>649</v>
      </c>
      <c r="E3814" t="s">
        <v>1079</v>
      </c>
      <c r="F3814" t="s">
        <v>34</v>
      </c>
      <c r="G3814" t="s">
        <v>35</v>
      </c>
      <c r="H3814" t="s">
        <v>25</v>
      </c>
      <c r="I3814" t="s">
        <v>31</v>
      </c>
      <c r="J3814" t="s">
        <v>27</v>
      </c>
      <c r="K3814" t="s">
        <v>28</v>
      </c>
      <c r="L3814" s="2">
        <v>114</v>
      </c>
      <c r="M3814" s="3">
        <v>1090</v>
      </c>
      <c r="N3814">
        <v>6</v>
      </c>
      <c r="O3814">
        <v>6</v>
      </c>
      <c r="P3814">
        <v>1</v>
      </c>
      <c r="Q3814">
        <v>0</v>
      </c>
      <c r="R3814" s="4">
        <v>42.05</v>
      </c>
      <c r="S3814">
        <v>0</v>
      </c>
      <c r="T3814">
        <v>1</v>
      </c>
    </row>
    <row r="3815" spans="1:20" ht="16.5" x14ac:dyDescent="0.3">
      <c r="A3815" t="s">
        <v>3869</v>
      </c>
      <c r="B3815" s="1">
        <v>45821</v>
      </c>
      <c r="C3815">
        <v>2025</v>
      </c>
      <c r="D3815" t="s">
        <v>649</v>
      </c>
      <c r="E3815" t="s">
        <v>1079</v>
      </c>
      <c r="F3815" t="s">
        <v>34</v>
      </c>
      <c r="G3815" t="s">
        <v>35</v>
      </c>
      <c r="H3815" t="s">
        <v>36</v>
      </c>
      <c r="I3815" t="s">
        <v>26</v>
      </c>
      <c r="J3815" t="s">
        <v>27</v>
      </c>
      <c r="K3815" t="s">
        <v>32</v>
      </c>
      <c r="L3815" s="2">
        <v>5.3</v>
      </c>
      <c r="M3815" s="3">
        <v>294</v>
      </c>
      <c r="N3815">
        <v>3</v>
      </c>
      <c r="O3815">
        <v>3</v>
      </c>
      <c r="P3815">
        <v>1</v>
      </c>
      <c r="Q3815">
        <v>0</v>
      </c>
      <c r="R3815" s="4">
        <v>12.56</v>
      </c>
      <c r="S3815">
        <v>0</v>
      </c>
      <c r="T3815">
        <v>1</v>
      </c>
    </row>
    <row r="3816" spans="1:20" ht="16.5" x14ac:dyDescent="0.3">
      <c r="A3816" t="s">
        <v>3870</v>
      </c>
      <c r="B3816" s="1">
        <v>45821</v>
      </c>
      <c r="C3816">
        <v>2025</v>
      </c>
      <c r="D3816" t="s">
        <v>649</v>
      </c>
      <c r="E3816" t="s">
        <v>1079</v>
      </c>
      <c r="F3816" t="s">
        <v>30</v>
      </c>
      <c r="G3816" t="s">
        <v>39</v>
      </c>
      <c r="H3816" t="s">
        <v>36</v>
      </c>
      <c r="I3816" t="s">
        <v>26</v>
      </c>
      <c r="J3816" t="s">
        <v>27</v>
      </c>
      <c r="K3816" t="s">
        <v>32</v>
      </c>
      <c r="L3816" s="2">
        <v>0.8</v>
      </c>
      <c r="M3816" s="3">
        <v>281</v>
      </c>
      <c r="N3816">
        <v>3</v>
      </c>
      <c r="O3816">
        <v>3</v>
      </c>
      <c r="P3816">
        <v>1</v>
      </c>
      <c r="Q3816">
        <v>0</v>
      </c>
      <c r="R3816" s="4">
        <v>10.74</v>
      </c>
      <c r="S3816">
        <v>0</v>
      </c>
      <c r="T3816">
        <v>1</v>
      </c>
    </row>
    <row r="3817" spans="1:20" ht="16.5" x14ac:dyDescent="0.3">
      <c r="A3817" t="s">
        <v>3871</v>
      </c>
      <c r="B3817" s="1">
        <v>45821</v>
      </c>
      <c r="C3817">
        <v>2025</v>
      </c>
      <c r="D3817" t="s">
        <v>649</v>
      </c>
      <c r="E3817" t="s">
        <v>1079</v>
      </c>
      <c r="F3817" t="s">
        <v>57</v>
      </c>
      <c r="G3817" t="s">
        <v>39</v>
      </c>
      <c r="H3817" t="s">
        <v>36</v>
      </c>
      <c r="I3817" t="s">
        <v>40</v>
      </c>
      <c r="J3817" t="s">
        <v>27</v>
      </c>
      <c r="K3817" t="s">
        <v>32</v>
      </c>
      <c r="L3817" s="2">
        <v>14.1</v>
      </c>
      <c r="M3817" s="3">
        <v>304</v>
      </c>
      <c r="N3817">
        <v>1</v>
      </c>
      <c r="O3817">
        <v>1</v>
      </c>
      <c r="P3817">
        <v>1</v>
      </c>
      <c r="Q3817">
        <v>0</v>
      </c>
      <c r="R3817" s="4">
        <v>33.200000000000003</v>
      </c>
      <c r="S3817">
        <v>0</v>
      </c>
      <c r="T3817">
        <v>1</v>
      </c>
    </row>
    <row r="3818" spans="1:20" ht="16.5" x14ac:dyDescent="0.3">
      <c r="A3818" t="s">
        <v>3872</v>
      </c>
      <c r="B3818" s="1">
        <v>45821</v>
      </c>
      <c r="C3818">
        <v>2025</v>
      </c>
      <c r="D3818" t="s">
        <v>649</v>
      </c>
      <c r="E3818" t="s">
        <v>1079</v>
      </c>
      <c r="F3818" t="s">
        <v>23</v>
      </c>
      <c r="G3818" t="s">
        <v>24</v>
      </c>
      <c r="H3818" t="s">
        <v>51</v>
      </c>
      <c r="I3818" t="s">
        <v>26</v>
      </c>
      <c r="J3818" t="s">
        <v>27</v>
      </c>
      <c r="K3818" t="s">
        <v>32</v>
      </c>
      <c r="L3818" s="2">
        <v>14</v>
      </c>
      <c r="M3818" s="3">
        <v>1286</v>
      </c>
      <c r="N3818">
        <v>5</v>
      </c>
      <c r="O3818">
        <v>5</v>
      </c>
      <c r="P3818">
        <v>1</v>
      </c>
      <c r="Q3818">
        <v>0</v>
      </c>
      <c r="R3818" s="4">
        <v>30.58</v>
      </c>
      <c r="S3818">
        <v>0</v>
      </c>
      <c r="T3818">
        <v>1</v>
      </c>
    </row>
    <row r="3819" spans="1:20" ht="16.5" x14ac:dyDescent="0.3">
      <c r="A3819" t="s">
        <v>3873</v>
      </c>
      <c r="B3819" s="1">
        <v>45822</v>
      </c>
      <c r="C3819">
        <v>2025</v>
      </c>
      <c r="D3819" t="s">
        <v>649</v>
      </c>
      <c r="E3819" t="s">
        <v>1079</v>
      </c>
      <c r="F3819" t="s">
        <v>23</v>
      </c>
      <c r="G3819" t="s">
        <v>24</v>
      </c>
      <c r="H3819" t="s">
        <v>43</v>
      </c>
      <c r="I3819" t="s">
        <v>26</v>
      </c>
      <c r="J3819" t="s">
        <v>27</v>
      </c>
      <c r="K3819" t="s">
        <v>32</v>
      </c>
      <c r="L3819" s="2">
        <v>1.6</v>
      </c>
      <c r="M3819" s="3">
        <v>1216</v>
      </c>
      <c r="N3819">
        <v>5</v>
      </c>
      <c r="O3819">
        <v>5</v>
      </c>
      <c r="P3819">
        <v>1</v>
      </c>
      <c r="Q3819">
        <v>0</v>
      </c>
      <c r="R3819" s="4">
        <v>21.44</v>
      </c>
      <c r="S3819">
        <v>0</v>
      </c>
      <c r="T3819">
        <v>1</v>
      </c>
    </row>
    <row r="3820" spans="1:20" ht="16.5" x14ac:dyDescent="0.3">
      <c r="A3820" t="s">
        <v>3874</v>
      </c>
      <c r="B3820" s="1">
        <v>45822</v>
      </c>
      <c r="C3820">
        <v>2025</v>
      </c>
      <c r="D3820" t="s">
        <v>649</v>
      </c>
      <c r="E3820" t="s">
        <v>1079</v>
      </c>
      <c r="F3820" t="s">
        <v>30</v>
      </c>
      <c r="G3820" t="s">
        <v>39</v>
      </c>
      <c r="H3820" t="s">
        <v>48</v>
      </c>
      <c r="I3820" t="s">
        <v>31</v>
      </c>
      <c r="J3820" t="s">
        <v>27</v>
      </c>
      <c r="K3820" t="s">
        <v>32</v>
      </c>
      <c r="L3820" s="2">
        <v>4.5</v>
      </c>
      <c r="M3820" s="3">
        <v>504</v>
      </c>
      <c r="N3820">
        <v>6</v>
      </c>
      <c r="O3820">
        <v>6</v>
      </c>
      <c r="P3820">
        <v>1</v>
      </c>
      <c r="Q3820">
        <v>0</v>
      </c>
      <c r="R3820" s="4">
        <v>12.05</v>
      </c>
      <c r="S3820">
        <v>0</v>
      </c>
      <c r="T3820">
        <v>1</v>
      </c>
    </row>
    <row r="3821" spans="1:20" ht="16.5" x14ac:dyDescent="0.3">
      <c r="A3821" t="s">
        <v>3875</v>
      </c>
      <c r="B3821" s="1">
        <v>45822</v>
      </c>
      <c r="C3821">
        <v>2025</v>
      </c>
      <c r="D3821" t="s">
        <v>649</v>
      </c>
      <c r="E3821" t="s">
        <v>1079</v>
      </c>
      <c r="F3821" t="s">
        <v>34</v>
      </c>
      <c r="G3821" t="s">
        <v>39</v>
      </c>
      <c r="H3821" t="s">
        <v>25</v>
      </c>
      <c r="I3821" t="s">
        <v>26</v>
      </c>
      <c r="J3821" t="s">
        <v>27</v>
      </c>
      <c r="K3821" t="s">
        <v>32</v>
      </c>
      <c r="L3821" s="2">
        <v>10.6</v>
      </c>
      <c r="M3821" s="3">
        <v>946</v>
      </c>
      <c r="N3821">
        <v>4</v>
      </c>
      <c r="O3821">
        <v>4</v>
      </c>
      <c r="P3821">
        <v>1</v>
      </c>
      <c r="Q3821">
        <v>0</v>
      </c>
      <c r="R3821" s="4">
        <v>23.81</v>
      </c>
      <c r="S3821">
        <v>0</v>
      </c>
      <c r="T3821">
        <v>1</v>
      </c>
    </row>
    <row r="3822" spans="1:20" ht="16.5" x14ac:dyDescent="0.3">
      <c r="A3822" t="s">
        <v>3876</v>
      </c>
      <c r="B3822" s="1">
        <v>45822</v>
      </c>
      <c r="C3822">
        <v>2025</v>
      </c>
      <c r="D3822" t="s">
        <v>649</v>
      </c>
      <c r="E3822" t="s">
        <v>1079</v>
      </c>
      <c r="F3822" t="s">
        <v>30</v>
      </c>
      <c r="G3822" t="s">
        <v>24</v>
      </c>
      <c r="H3822" t="s">
        <v>43</v>
      </c>
      <c r="I3822" t="s">
        <v>26</v>
      </c>
      <c r="J3822" t="s">
        <v>27</v>
      </c>
      <c r="K3822" t="s">
        <v>32</v>
      </c>
      <c r="L3822" s="2">
        <v>2.8</v>
      </c>
      <c r="M3822" s="3">
        <v>1111</v>
      </c>
      <c r="N3822">
        <v>5</v>
      </c>
      <c r="O3822">
        <v>5</v>
      </c>
      <c r="P3822">
        <v>1</v>
      </c>
      <c r="Q3822">
        <v>0</v>
      </c>
      <c r="R3822" s="4">
        <v>21.66</v>
      </c>
      <c r="S3822">
        <v>0</v>
      </c>
      <c r="T3822">
        <v>1</v>
      </c>
    </row>
    <row r="3823" spans="1:20" ht="16.5" x14ac:dyDescent="0.3">
      <c r="A3823" t="s">
        <v>3877</v>
      </c>
      <c r="B3823" s="1">
        <v>45823</v>
      </c>
      <c r="C3823">
        <v>2025</v>
      </c>
      <c r="D3823" t="s">
        <v>649</v>
      </c>
      <c r="E3823" t="s">
        <v>1079</v>
      </c>
      <c r="F3823" t="s">
        <v>34</v>
      </c>
      <c r="G3823" t="s">
        <v>39</v>
      </c>
      <c r="H3823" t="s">
        <v>43</v>
      </c>
      <c r="I3823" t="s">
        <v>26</v>
      </c>
      <c r="J3823" t="s">
        <v>27</v>
      </c>
      <c r="K3823" t="s">
        <v>32</v>
      </c>
      <c r="L3823" s="2">
        <v>2.8</v>
      </c>
      <c r="M3823" s="3">
        <v>1177</v>
      </c>
      <c r="N3823">
        <v>5</v>
      </c>
      <c r="O3823">
        <v>5</v>
      </c>
      <c r="P3823">
        <v>1</v>
      </c>
      <c r="Q3823">
        <v>0</v>
      </c>
      <c r="R3823" s="4">
        <v>21.54</v>
      </c>
      <c r="S3823">
        <v>0</v>
      </c>
      <c r="T3823">
        <v>1</v>
      </c>
    </row>
    <row r="3824" spans="1:20" ht="16.5" x14ac:dyDescent="0.3">
      <c r="A3824" t="s">
        <v>3878</v>
      </c>
      <c r="B3824" s="1">
        <v>45823</v>
      </c>
      <c r="C3824">
        <v>2025</v>
      </c>
      <c r="D3824" t="s">
        <v>649</v>
      </c>
      <c r="E3824" t="s">
        <v>1079</v>
      </c>
      <c r="F3824" t="s">
        <v>23</v>
      </c>
      <c r="G3824" t="s">
        <v>39</v>
      </c>
      <c r="H3824" t="s">
        <v>48</v>
      </c>
      <c r="I3824" t="s">
        <v>40</v>
      </c>
      <c r="J3824" t="s">
        <v>27</v>
      </c>
      <c r="K3824" t="s">
        <v>32</v>
      </c>
      <c r="L3824" s="2">
        <v>7.3</v>
      </c>
      <c r="M3824" s="3">
        <v>553</v>
      </c>
      <c r="N3824">
        <v>2</v>
      </c>
      <c r="O3824">
        <v>2</v>
      </c>
      <c r="P3824">
        <v>1</v>
      </c>
      <c r="Q3824">
        <v>0</v>
      </c>
      <c r="R3824" s="4">
        <v>30.07</v>
      </c>
      <c r="S3824">
        <v>0</v>
      </c>
      <c r="T3824">
        <v>1</v>
      </c>
    </row>
    <row r="3825" spans="1:20" ht="16.5" x14ac:dyDescent="0.3">
      <c r="A3825" t="s">
        <v>3879</v>
      </c>
      <c r="B3825" s="1">
        <v>45823</v>
      </c>
      <c r="C3825">
        <v>2025</v>
      </c>
      <c r="D3825" t="s">
        <v>649</v>
      </c>
      <c r="E3825" t="s">
        <v>1079</v>
      </c>
      <c r="F3825" t="s">
        <v>23</v>
      </c>
      <c r="G3825" t="s">
        <v>39</v>
      </c>
      <c r="H3825" t="s">
        <v>25</v>
      </c>
      <c r="I3825" t="s">
        <v>40</v>
      </c>
      <c r="J3825" t="s">
        <v>41</v>
      </c>
      <c r="K3825" t="s">
        <v>32</v>
      </c>
      <c r="L3825" s="2">
        <v>14.1</v>
      </c>
      <c r="M3825" s="3">
        <v>1073</v>
      </c>
      <c r="N3825">
        <v>2</v>
      </c>
      <c r="O3825">
        <v>2</v>
      </c>
      <c r="P3825">
        <v>1</v>
      </c>
      <c r="Q3825">
        <v>0</v>
      </c>
      <c r="R3825" s="4">
        <v>74.14</v>
      </c>
      <c r="S3825">
        <v>0</v>
      </c>
      <c r="T3825">
        <v>1</v>
      </c>
    </row>
    <row r="3826" spans="1:20" ht="16.5" x14ac:dyDescent="0.3">
      <c r="A3826" t="s">
        <v>3880</v>
      </c>
      <c r="B3826" s="1">
        <v>45824</v>
      </c>
      <c r="C3826">
        <v>2025</v>
      </c>
      <c r="D3826" t="s">
        <v>649</v>
      </c>
      <c r="E3826" t="s">
        <v>1079</v>
      </c>
      <c r="F3826" t="s">
        <v>23</v>
      </c>
      <c r="G3826" t="s">
        <v>39</v>
      </c>
      <c r="H3826" t="s">
        <v>25</v>
      </c>
      <c r="I3826" t="s">
        <v>31</v>
      </c>
      <c r="J3826" t="s">
        <v>27</v>
      </c>
      <c r="K3826" t="s">
        <v>28</v>
      </c>
      <c r="L3826" s="2">
        <v>118.9</v>
      </c>
      <c r="M3826" s="3">
        <v>860</v>
      </c>
      <c r="N3826">
        <v>6</v>
      </c>
      <c r="O3826">
        <v>6</v>
      </c>
      <c r="P3826">
        <v>1</v>
      </c>
      <c r="Q3826">
        <v>0</v>
      </c>
      <c r="R3826" s="4">
        <v>52.58</v>
      </c>
      <c r="S3826">
        <v>0</v>
      </c>
      <c r="T3826">
        <v>1</v>
      </c>
    </row>
    <row r="3827" spans="1:20" ht="16.5" x14ac:dyDescent="0.3">
      <c r="A3827" t="s">
        <v>3881</v>
      </c>
      <c r="B3827" s="1">
        <v>45824</v>
      </c>
      <c r="C3827">
        <v>2025</v>
      </c>
      <c r="D3827" t="s">
        <v>649</v>
      </c>
      <c r="E3827" t="s">
        <v>1079</v>
      </c>
      <c r="F3827" t="s">
        <v>34</v>
      </c>
      <c r="G3827" t="s">
        <v>35</v>
      </c>
      <c r="H3827" t="s">
        <v>48</v>
      </c>
      <c r="I3827" t="s">
        <v>31</v>
      </c>
      <c r="J3827" t="s">
        <v>27</v>
      </c>
      <c r="K3827" t="s">
        <v>28</v>
      </c>
      <c r="L3827" s="2">
        <v>183.5</v>
      </c>
      <c r="M3827" s="3">
        <v>435</v>
      </c>
      <c r="N3827">
        <v>6</v>
      </c>
      <c r="O3827">
        <v>6</v>
      </c>
      <c r="P3827">
        <v>1</v>
      </c>
      <c r="Q3827">
        <v>0</v>
      </c>
      <c r="R3827" s="4">
        <v>49.37</v>
      </c>
      <c r="S3827">
        <v>0</v>
      </c>
      <c r="T3827">
        <v>1</v>
      </c>
    </row>
    <row r="3828" spans="1:20" ht="16.5" x14ac:dyDescent="0.3">
      <c r="A3828" t="s">
        <v>3882</v>
      </c>
      <c r="B3828" s="1">
        <v>45824</v>
      </c>
      <c r="C3828">
        <v>2025</v>
      </c>
      <c r="D3828" t="s">
        <v>649</v>
      </c>
      <c r="E3828" t="s">
        <v>1079</v>
      </c>
      <c r="F3828" t="s">
        <v>38</v>
      </c>
      <c r="G3828" t="s">
        <v>39</v>
      </c>
      <c r="H3828" t="s">
        <v>25</v>
      </c>
      <c r="I3828" t="s">
        <v>26</v>
      </c>
      <c r="J3828" t="s">
        <v>27</v>
      </c>
      <c r="K3828" t="s">
        <v>28</v>
      </c>
      <c r="L3828" s="2">
        <v>113.9</v>
      </c>
      <c r="M3828" s="3">
        <v>858</v>
      </c>
      <c r="N3828">
        <v>4</v>
      </c>
      <c r="O3828">
        <v>4</v>
      </c>
      <c r="P3828">
        <v>1</v>
      </c>
      <c r="Q3828">
        <v>0</v>
      </c>
      <c r="R3828" s="4">
        <v>77.599999999999994</v>
      </c>
      <c r="S3828">
        <v>0</v>
      </c>
      <c r="T3828">
        <v>1</v>
      </c>
    </row>
    <row r="3829" spans="1:20" ht="16.5" x14ac:dyDescent="0.3">
      <c r="A3829" t="s">
        <v>3883</v>
      </c>
      <c r="B3829" s="1">
        <v>45824</v>
      </c>
      <c r="C3829">
        <v>2025</v>
      </c>
      <c r="D3829" t="s">
        <v>649</v>
      </c>
      <c r="E3829" t="s">
        <v>1079</v>
      </c>
      <c r="F3829" t="s">
        <v>30</v>
      </c>
      <c r="G3829" t="s">
        <v>24</v>
      </c>
      <c r="H3829" t="s">
        <v>48</v>
      </c>
      <c r="I3829" t="s">
        <v>40</v>
      </c>
      <c r="J3829" t="s">
        <v>27</v>
      </c>
      <c r="K3829" t="s">
        <v>32</v>
      </c>
      <c r="L3829" s="2">
        <v>5.2</v>
      </c>
      <c r="M3829" s="3">
        <v>466</v>
      </c>
      <c r="N3829">
        <v>2</v>
      </c>
      <c r="O3829">
        <v>2</v>
      </c>
      <c r="P3829">
        <v>1</v>
      </c>
      <c r="Q3829">
        <v>0</v>
      </c>
      <c r="R3829" s="4">
        <v>30.02</v>
      </c>
      <c r="S3829">
        <v>0</v>
      </c>
      <c r="T3829">
        <v>1</v>
      </c>
    </row>
    <row r="3830" spans="1:20" ht="16.5" x14ac:dyDescent="0.3">
      <c r="A3830" t="s">
        <v>3884</v>
      </c>
      <c r="B3830" s="1">
        <v>45824</v>
      </c>
      <c r="C3830">
        <v>2025</v>
      </c>
      <c r="D3830" t="s">
        <v>649</v>
      </c>
      <c r="E3830" t="s">
        <v>1079</v>
      </c>
      <c r="F3830" t="s">
        <v>34</v>
      </c>
      <c r="G3830" t="s">
        <v>24</v>
      </c>
      <c r="H3830" t="s">
        <v>48</v>
      </c>
      <c r="I3830" t="s">
        <v>31</v>
      </c>
      <c r="J3830" t="s">
        <v>27</v>
      </c>
      <c r="K3830" t="s">
        <v>28</v>
      </c>
      <c r="L3830" s="2">
        <v>36.9</v>
      </c>
      <c r="M3830" s="3">
        <v>506</v>
      </c>
      <c r="N3830">
        <v>6</v>
      </c>
      <c r="O3830">
        <v>6</v>
      </c>
      <c r="P3830">
        <v>1</v>
      </c>
      <c r="Q3830">
        <v>0</v>
      </c>
      <c r="R3830" s="4">
        <v>21.43</v>
      </c>
      <c r="S3830">
        <v>0</v>
      </c>
      <c r="T3830">
        <v>1</v>
      </c>
    </row>
    <row r="3831" spans="1:20" ht="16.5" x14ac:dyDescent="0.3">
      <c r="A3831" t="s">
        <v>3885</v>
      </c>
      <c r="B3831" s="1">
        <v>45825</v>
      </c>
      <c r="C3831">
        <v>2025</v>
      </c>
      <c r="D3831" t="s">
        <v>649</v>
      </c>
      <c r="E3831" t="s">
        <v>1079</v>
      </c>
      <c r="F3831" t="s">
        <v>23</v>
      </c>
      <c r="G3831" t="s">
        <v>35</v>
      </c>
      <c r="H3831" t="s">
        <v>51</v>
      </c>
      <c r="I3831" t="s">
        <v>26</v>
      </c>
      <c r="J3831" t="s">
        <v>27</v>
      </c>
      <c r="K3831" t="s">
        <v>28</v>
      </c>
      <c r="L3831" s="2">
        <v>175</v>
      </c>
      <c r="M3831" s="3">
        <v>1076</v>
      </c>
      <c r="N3831">
        <v>5</v>
      </c>
      <c r="O3831">
        <v>4</v>
      </c>
      <c r="P3831">
        <v>1</v>
      </c>
      <c r="Q3831">
        <v>0</v>
      </c>
      <c r="R3831" s="4">
        <v>88.9</v>
      </c>
      <c r="S3831">
        <v>0</v>
      </c>
      <c r="T3831">
        <v>1</v>
      </c>
    </row>
    <row r="3832" spans="1:20" ht="16.5" x14ac:dyDescent="0.3">
      <c r="A3832" t="s">
        <v>3886</v>
      </c>
      <c r="B3832" s="1">
        <v>45825</v>
      </c>
      <c r="C3832">
        <v>2025</v>
      </c>
      <c r="D3832" t="s">
        <v>649</v>
      </c>
      <c r="E3832" t="s">
        <v>1079</v>
      </c>
      <c r="F3832" t="s">
        <v>34</v>
      </c>
      <c r="G3832" t="s">
        <v>39</v>
      </c>
      <c r="H3832" t="s">
        <v>48</v>
      </c>
      <c r="I3832" t="s">
        <v>26</v>
      </c>
      <c r="J3832" t="s">
        <v>27</v>
      </c>
      <c r="K3832" t="s">
        <v>28</v>
      </c>
      <c r="L3832" s="2">
        <v>54.3</v>
      </c>
      <c r="M3832" s="3">
        <v>614</v>
      </c>
      <c r="N3832">
        <v>4</v>
      </c>
      <c r="O3832">
        <v>4</v>
      </c>
      <c r="P3832">
        <v>1</v>
      </c>
      <c r="Q3832">
        <v>0</v>
      </c>
      <c r="R3832" s="4">
        <v>31.71</v>
      </c>
      <c r="S3832">
        <v>0</v>
      </c>
      <c r="T3832">
        <v>1</v>
      </c>
    </row>
    <row r="3833" spans="1:20" ht="16.5" x14ac:dyDescent="0.3">
      <c r="A3833" t="s">
        <v>3887</v>
      </c>
      <c r="B3833" s="1">
        <v>45825</v>
      </c>
      <c r="C3833">
        <v>2025</v>
      </c>
      <c r="D3833" t="s">
        <v>649</v>
      </c>
      <c r="E3833" t="s">
        <v>1079</v>
      </c>
      <c r="F3833" t="s">
        <v>38</v>
      </c>
      <c r="G3833" t="s">
        <v>39</v>
      </c>
      <c r="H3833" t="s">
        <v>25</v>
      </c>
      <c r="I3833" t="s">
        <v>26</v>
      </c>
      <c r="J3833" t="s">
        <v>27</v>
      </c>
      <c r="K3833" t="s">
        <v>32</v>
      </c>
      <c r="L3833" s="2">
        <v>8.9</v>
      </c>
      <c r="M3833" s="3">
        <v>804</v>
      </c>
      <c r="N3833">
        <v>4</v>
      </c>
      <c r="O3833">
        <v>4</v>
      </c>
      <c r="P3833">
        <v>1</v>
      </c>
      <c r="Q3833">
        <v>0</v>
      </c>
      <c r="R3833" s="4">
        <v>22.44</v>
      </c>
      <c r="S3833">
        <v>0</v>
      </c>
      <c r="T3833">
        <v>1</v>
      </c>
    </row>
    <row r="3834" spans="1:20" ht="16.5" x14ac:dyDescent="0.3">
      <c r="A3834" t="s">
        <v>3888</v>
      </c>
      <c r="B3834" s="1">
        <v>45825</v>
      </c>
      <c r="C3834">
        <v>2025</v>
      </c>
      <c r="D3834" t="s">
        <v>649</v>
      </c>
      <c r="E3834" t="s">
        <v>1079</v>
      </c>
      <c r="F3834" t="s">
        <v>38</v>
      </c>
      <c r="G3834" t="s">
        <v>35</v>
      </c>
      <c r="H3834" t="s">
        <v>51</v>
      </c>
      <c r="I3834" t="s">
        <v>26</v>
      </c>
      <c r="J3834" t="s">
        <v>27</v>
      </c>
      <c r="K3834" t="s">
        <v>28</v>
      </c>
      <c r="L3834" s="2">
        <v>33.299999999999997</v>
      </c>
      <c r="M3834" s="3">
        <v>1149</v>
      </c>
      <c r="N3834">
        <v>5</v>
      </c>
      <c r="O3834">
        <v>9</v>
      </c>
      <c r="P3834">
        <v>0</v>
      </c>
      <c r="Q3834">
        <v>4</v>
      </c>
      <c r="R3834" s="4">
        <v>43.01</v>
      </c>
      <c r="S3834">
        <v>0</v>
      </c>
      <c r="T3834">
        <v>1</v>
      </c>
    </row>
    <row r="3835" spans="1:20" ht="16.5" x14ac:dyDescent="0.3">
      <c r="A3835" t="s">
        <v>3889</v>
      </c>
      <c r="B3835" s="1">
        <v>45826</v>
      </c>
      <c r="C3835">
        <v>2025</v>
      </c>
      <c r="D3835" t="s">
        <v>649</v>
      </c>
      <c r="E3835" t="s">
        <v>1079</v>
      </c>
      <c r="F3835" t="s">
        <v>34</v>
      </c>
      <c r="G3835" t="s">
        <v>39</v>
      </c>
      <c r="H3835" t="s">
        <v>48</v>
      </c>
      <c r="I3835" t="s">
        <v>40</v>
      </c>
      <c r="J3835" t="s">
        <v>27</v>
      </c>
      <c r="K3835" t="s">
        <v>28</v>
      </c>
      <c r="L3835" s="2">
        <v>138.4</v>
      </c>
      <c r="M3835" s="3">
        <v>537</v>
      </c>
      <c r="N3835">
        <v>2</v>
      </c>
      <c r="O3835">
        <v>2</v>
      </c>
      <c r="P3835">
        <v>1</v>
      </c>
      <c r="Q3835">
        <v>0</v>
      </c>
      <c r="R3835" s="4">
        <v>113.47</v>
      </c>
      <c r="S3835">
        <v>0</v>
      </c>
      <c r="T3835">
        <v>1</v>
      </c>
    </row>
    <row r="3836" spans="1:20" ht="16.5" x14ac:dyDescent="0.3">
      <c r="A3836" t="s">
        <v>3890</v>
      </c>
      <c r="B3836" s="1">
        <v>45826</v>
      </c>
      <c r="C3836">
        <v>2025</v>
      </c>
      <c r="D3836" t="s">
        <v>649</v>
      </c>
      <c r="E3836" t="s">
        <v>1079</v>
      </c>
      <c r="F3836" t="s">
        <v>23</v>
      </c>
      <c r="G3836" t="s">
        <v>35</v>
      </c>
      <c r="H3836" t="s">
        <v>48</v>
      </c>
      <c r="I3836" t="s">
        <v>26</v>
      </c>
      <c r="J3836" t="s">
        <v>27</v>
      </c>
      <c r="K3836" t="s">
        <v>32</v>
      </c>
      <c r="L3836" s="2">
        <v>6.7</v>
      </c>
      <c r="M3836" s="3">
        <v>511</v>
      </c>
      <c r="N3836">
        <v>4</v>
      </c>
      <c r="O3836">
        <v>4</v>
      </c>
      <c r="P3836">
        <v>1</v>
      </c>
      <c r="Q3836">
        <v>0</v>
      </c>
      <c r="R3836" s="4">
        <v>16.399999999999999</v>
      </c>
      <c r="S3836">
        <v>0</v>
      </c>
      <c r="T3836">
        <v>1</v>
      </c>
    </row>
    <row r="3837" spans="1:20" ht="16.5" x14ac:dyDescent="0.3">
      <c r="A3837" t="s">
        <v>3891</v>
      </c>
      <c r="B3837" s="1">
        <v>45826</v>
      </c>
      <c r="C3837">
        <v>2025</v>
      </c>
      <c r="D3837" t="s">
        <v>649</v>
      </c>
      <c r="E3837" t="s">
        <v>1079</v>
      </c>
      <c r="F3837" t="s">
        <v>34</v>
      </c>
      <c r="G3837" t="s">
        <v>35</v>
      </c>
      <c r="H3837" t="s">
        <v>25</v>
      </c>
      <c r="I3837" t="s">
        <v>26</v>
      </c>
      <c r="J3837" t="s">
        <v>27</v>
      </c>
      <c r="K3837" t="s">
        <v>32</v>
      </c>
      <c r="L3837" s="2">
        <v>1.3</v>
      </c>
      <c r="M3837" s="3">
        <v>895</v>
      </c>
      <c r="N3837">
        <v>4</v>
      </c>
      <c r="O3837">
        <v>7</v>
      </c>
      <c r="P3837">
        <v>0</v>
      </c>
      <c r="Q3837">
        <v>3</v>
      </c>
      <c r="R3837" s="4">
        <v>16.16</v>
      </c>
      <c r="S3837">
        <v>0</v>
      </c>
      <c r="T3837">
        <v>1</v>
      </c>
    </row>
    <row r="3838" spans="1:20" ht="16.5" x14ac:dyDescent="0.3">
      <c r="A3838" t="s">
        <v>3892</v>
      </c>
      <c r="B3838" s="1">
        <v>45826</v>
      </c>
      <c r="C3838">
        <v>2025</v>
      </c>
      <c r="D3838" t="s">
        <v>649</v>
      </c>
      <c r="E3838" t="s">
        <v>1079</v>
      </c>
      <c r="F3838" t="s">
        <v>38</v>
      </c>
      <c r="G3838" t="s">
        <v>39</v>
      </c>
      <c r="H3838" t="s">
        <v>36</v>
      </c>
      <c r="I3838" t="s">
        <v>40</v>
      </c>
      <c r="J3838" t="s">
        <v>27</v>
      </c>
      <c r="K3838" t="s">
        <v>32</v>
      </c>
      <c r="L3838" s="2">
        <v>5.2</v>
      </c>
      <c r="M3838" s="3">
        <v>272</v>
      </c>
      <c r="N3838">
        <v>1</v>
      </c>
      <c r="O3838">
        <v>1</v>
      </c>
      <c r="P3838">
        <v>1</v>
      </c>
      <c r="Q3838">
        <v>0</v>
      </c>
      <c r="R3838" s="4">
        <v>27.98</v>
      </c>
      <c r="S3838">
        <v>0</v>
      </c>
      <c r="T3838">
        <v>1</v>
      </c>
    </row>
    <row r="3839" spans="1:20" ht="16.5" x14ac:dyDescent="0.3">
      <c r="A3839" t="s">
        <v>3893</v>
      </c>
      <c r="B3839" s="1">
        <v>45826</v>
      </c>
      <c r="C3839">
        <v>2025</v>
      </c>
      <c r="D3839" t="s">
        <v>649</v>
      </c>
      <c r="E3839" t="s">
        <v>1079</v>
      </c>
      <c r="F3839" t="s">
        <v>30</v>
      </c>
      <c r="G3839" t="s">
        <v>39</v>
      </c>
      <c r="H3839" t="s">
        <v>43</v>
      </c>
      <c r="I3839" t="s">
        <v>26</v>
      </c>
      <c r="J3839" t="s">
        <v>27</v>
      </c>
      <c r="K3839" t="s">
        <v>32</v>
      </c>
      <c r="L3839" s="2">
        <v>10</v>
      </c>
      <c r="M3839" s="3">
        <v>1147</v>
      </c>
      <c r="N3839">
        <v>5</v>
      </c>
      <c r="O3839">
        <v>5</v>
      </c>
      <c r="P3839">
        <v>1</v>
      </c>
      <c r="Q3839">
        <v>0</v>
      </c>
      <c r="R3839" s="4">
        <v>28.65</v>
      </c>
      <c r="S3839">
        <v>0</v>
      </c>
      <c r="T3839">
        <v>1</v>
      </c>
    </row>
    <row r="3840" spans="1:20" ht="16.5" x14ac:dyDescent="0.3">
      <c r="A3840" t="s">
        <v>3894</v>
      </c>
      <c r="B3840" s="1">
        <v>45826</v>
      </c>
      <c r="C3840">
        <v>2025</v>
      </c>
      <c r="D3840" t="s">
        <v>649</v>
      </c>
      <c r="E3840" t="s">
        <v>1079</v>
      </c>
      <c r="F3840" t="s">
        <v>30</v>
      </c>
      <c r="G3840" t="s">
        <v>35</v>
      </c>
      <c r="H3840" t="s">
        <v>51</v>
      </c>
      <c r="I3840" t="s">
        <v>26</v>
      </c>
      <c r="J3840" t="s">
        <v>27</v>
      </c>
      <c r="K3840" t="s">
        <v>28</v>
      </c>
      <c r="L3840" s="2">
        <v>59.8</v>
      </c>
      <c r="M3840" s="3">
        <v>1054</v>
      </c>
      <c r="N3840">
        <v>5</v>
      </c>
      <c r="O3840">
        <v>5</v>
      </c>
      <c r="P3840">
        <v>1</v>
      </c>
      <c r="Q3840">
        <v>0</v>
      </c>
      <c r="R3840" s="4">
        <v>47.63</v>
      </c>
      <c r="S3840">
        <v>0</v>
      </c>
      <c r="T3840">
        <v>1</v>
      </c>
    </row>
    <row r="3841" spans="1:20" ht="16.5" x14ac:dyDescent="0.3">
      <c r="A3841" t="s">
        <v>3895</v>
      </c>
      <c r="B3841" s="1">
        <v>45826</v>
      </c>
      <c r="C3841">
        <v>2025</v>
      </c>
      <c r="D3841" t="s">
        <v>649</v>
      </c>
      <c r="E3841" t="s">
        <v>1079</v>
      </c>
      <c r="F3841" t="s">
        <v>57</v>
      </c>
      <c r="G3841" t="s">
        <v>35</v>
      </c>
      <c r="H3841" t="s">
        <v>43</v>
      </c>
      <c r="I3841" t="s">
        <v>31</v>
      </c>
      <c r="J3841" t="s">
        <v>27</v>
      </c>
      <c r="K3841" t="s">
        <v>28</v>
      </c>
      <c r="L3841" s="2">
        <v>172.5</v>
      </c>
      <c r="M3841" s="3">
        <v>949</v>
      </c>
      <c r="N3841">
        <v>7</v>
      </c>
      <c r="O3841">
        <v>7</v>
      </c>
      <c r="P3841">
        <v>1</v>
      </c>
      <c r="Q3841">
        <v>0</v>
      </c>
      <c r="R3841" s="4">
        <v>59.25</v>
      </c>
      <c r="S3841">
        <v>0</v>
      </c>
      <c r="T3841">
        <v>1</v>
      </c>
    </row>
    <row r="3842" spans="1:20" ht="16.5" x14ac:dyDescent="0.3">
      <c r="A3842" t="s">
        <v>3896</v>
      </c>
      <c r="B3842" s="1">
        <v>45826</v>
      </c>
      <c r="C3842">
        <v>2025</v>
      </c>
      <c r="D3842" t="s">
        <v>649</v>
      </c>
      <c r="E3842" t="s">
        <v>1079</v>
      </c>
      <c r="F3842" t="s">
        <v>34</v>
      </c>
      <c r="G3842" t="s">
        <v>39</v>
      </c>
      <c r="H3842" t="s">
        <v>25</v>
      </c>
      <c r="I3842" t="s">
        <v>26</v>
      </c>
      <c r="J3842" t="s">
        <v>27</v>
      </c>
      <c r="K3842" t="s">
        <v>28</v>
      </c>
      <c r="L3842" s="2">
        <v>210.6</v>
      </c>
      <c r="M3842" s="3">
        <v>1076</v>
      </c>
      <c r="N3842">
        <v>4</v>
      </c>
      <c r="O3842">
        <v>4</v>
      </c>
      <c r="P3842">
        <v>1</v>
      </c>
      <c r="Q3842">
        <v>0</v>
      </c>
      <c r="R3842" s="4">
        <v>86.24</v>
      </c>
      <c r="S3842">
        <v>0</v>
      </c>
      <c r="T3842">
        <v>1</v>
      </c>
    </row>
    <row r="3843" spans="1:20" ht="16.5" x14ac:dyDescent="0.3">
      <c r="A3843" t="s">
        <v>3897</v>
      </c>
      <c r="B3843" s="1">
        <v>45826</v>
      </c>
      <c r="C3843">
        <v>2025</v>
      </c>
      <c r="D3843" t="s">
        <v>649</v>
      </c>
      <c r="E3843" t="s">
        <v>1079</v>
      </c>
      <c r="F3843" t="s">
        <v>57</v>
      </c>
      <c r="G3843" t="s">
        <v>35</v>
      </c>
      <c r="H3843" t="s">
        <v>36</v>
      </c>
      <c r="I3843" t="s">
        <v>40</v>
      </c>
      <c r="J3843" t="s">
        <v>27</v>
      </c>
      <c r="K3843" t="s">
        <v>28</v>
      </c>
      <c r="L3843" s="2">
        <v>229.7</v>
      </c>
      <c r="M3843" s="3">
        <v>257</v>
      </c>
      <c r="N3843">
        <v>1</v>
      </c>
      <c r="O3843">
        <v>1</v>
      </c>
      <c r="P3843">
        <v>1</v>
      </c>
      <c r="Q3843">
        <v>0</v>
      </c>
      <c r="R3843" s="4">
        <v>194.27</v>
      </c>
      <c r="S3843">
        <v>0</v>
      </c>
      <c r="T3843">
        <v>1</v>
      </c>
    </row>
    <row r="3844" spans="1:20" ht="16.5" x14ac:dyDescent="0.3">
      <c r="A3844" t="s">
        <v>3898</v>
      </c>
      <c r="B3844" s="1">
        <v>45827</v>
      </c>
      <c r="C3844">
        <v>2025</v>
      </c>
      <c r="D3844" t="s">
        <v>649</v>
      </c>
      <c r="E3844" t="s">
        <v>1079</v>
      </c>
      <c r="F3844" t="s">
        <v>34</v>
      </c>
      <c r="G3844" t="s">
        <v>35</v>
      </c>
      <c r="H3844" t="s">
        <v>36</v>
      </c>
      <c r="I3844" t="s">
        <v>40</v>
      </c>
      <c r="J3844" t="s">
        <v>27</v>
      </c>
      <c r="K3844" t="s">
        <v>32</v>
      </c>
      <c r="L3844" s="2">
        <v>10.8</v>
      </c>
      <c r="M3844" s="3">
        <v>192</v>
      </c>
      <c r="N3844">
        <v>1</v>
      </c>
      <c r="O3844">
        <v>4</v>
      </c>
      <c r="P3844">
        <v>0</v>
      </c>
      <c r="Q3844">
        <v>3</v>
      </c>
      <c r="R3844" s="4">
        <v>26.52</v>
      </c>
      <c r="S3844">
        <v>0</v>
      </c>
      <c r="T3844">
        <v>1</v>
      </c>
    </row>
    <row r="3845" spans="1:20" ht="16.5" x14ac:dyDescent="0.3">
      <c r="A3845" t="s">
        <v>3899</v>
      </c>
      <c r="B3845" s="1">
        <v>45827</v>
      </c>
      <c r="C3845">
        <v>2025</v>
      </c>
      <c r="D3845" t="s">
        <v>649</v>
      </c>
      <c r="E3845" t="s">
        <v>1079</v>
      </c>
      <c r="F3845" t="s">
        <v>34</v>
      </c>
      <c r="G3845" t="s">
        <v>24</v>
      </c>
      <c r="H3845" t="s">
        <v>25</v>
      </c>
      <c r="I3845" t="s">
        <v>26</v>
      </c>
      <c r="J3845" t="s">
        <v>27</v>
      </c>
      <c r="K3845" t="s">
        <v>32</v>
      </c>
      <c r="L3845" s="2">
        <v>3.2</v>
      </c>
      <c r="M3845" s="3">
        <v>1121</v>
      </c>
      <c r="N3845">
        <v>4</v>
      </c>
      <c r="O3845">
        <v>3</v>
      </c>
      <c r="P3845">
        <v>1</v>
      </c>
      <c r="Q3845">
        <v>0</v>
      </c>
      <c r="R3845" s="4">
        <v>19.18</v>
      </c>
      <c r="S3845">
        <v>0</v>
      </c>
      <c r="T3845">
        <v>1</v>
      </c>
    </row>
    <row r="3846" spans="1:20" ht="16.5" x14ac:dyDescent="0.3">
      <c r="A3846" t="s">
        <v>3900</v>
      </c>
      <c r="B3846" s="1">
        <v>45827</v>
      </c>
      <c r="C3846">
        <v>2025</v>
      </c>
      <c r="D3846" t="s">
        <v>649</v>
      </c>
      <c r="E3846" t="s">
        <v>1079</v>
      </c>
      <c r="F3846" t="s">
        <v>57</v>
      </c>
      <c r="G3846" t="s">
        <v>39</v>
      </c>
      <c r="H3846" t="s">
        <v>25</v>
      </c>
      <c r="I3846" t="s">
        <v>31</v>
      </c>
      <c r="J3846" t="s">
        <v>27</v>
      </c>
      <c r="K3846" t="s">
        <v>32</v>
      </c>
      <c r="L3846" s="2">
        <v>1.3</v>
      </c>
      <c r="M3846" s="3">
        <v>806</v>
      </c>
      <c r="N3846">
        <v>6</v>
      </c>
      <c r="O3846">
        <v>8</v>
      </c>
      <c r="P3846">
        <v>0</v>
      </c>
      <c r="Q3846">
        <v>2</v>
      </c>
      <c r="R3846" s="4">
        <v>12.78</v>
      </c>
      <c r="S3846">
        <v>0</v>
      </c>
      <c r="T3846">
        <v>1</v>
      </c>
    </row>
    <row r="3847" spans="1:20" ht="16.5" x14ac:dyDescent="0.3">
      <c r="A3847" t="s">
        <v>3901</v>
      </c>
      <c r="B3847" s="1">
        <v>45827</v>
      </c>
      <c r="C3847">
        <v>2025</v>
      </c>
      <c r="D3847" t="s">
        <v>649</v>
      </c>
      <c r="E3847" t="s">
        <v>1079</v>
      </c>
      <c r="F3847" t="s">
        <v>38</v>
      </c>
      <c r="G3847" t="s">
        <v>24</v>
      </c>
      <c r="H3847" t="s">
        <v>25</v>
      </c>
      <c r="I3847" t="s">
        <v>26</v>
      </c>
      <c r="J3847" t="s">
        <v>27</v>
      </c>
      <c r="K3847" t="s">
        <v>28</v>
      </c>
      <c r="L3847" s="2">
        <v>176.3</v>
      </c>
      <c r="M3847" s="3">
        <v>1137</v>
      </c>
      <c r="N3847">
        <v>4</v>
      </c>
      <c r="O3847">
        <v>4</v>
      </c>
      <c r="P3847">
        <v>1</v>
      </c>
      <c r="Q3847">
        <v>0</v>
      </c>
      <c r="R3847" s="4">
        <v>93.84</v>
      </c>
      <c r="S3847">
        <v>0</v>
      </c>
      <c r="T3847">
        <v>1</v>
      </c>
    </row>
    <row r="3848" spans="1:20" ht="16.5" x14ac:dyDescent="0.3">
      <c r="A3848" t="s">
        <v>3902</v>
      </c>
      <c r="B3848" s="1">
        <v>45827</v>
      </c>
      <c r="C3848">
        <v>2025</v>
      </c>
      <c r="D3848" t="s">
        <v>649</v>
      </c>
      <c r="E3848" t="s">
        <v>1079</v>
      </c>
      <c r="F3848" t="s">
        <v>57</v>
      </c>
      <c r="G3848" t="s">
        <v>35</v>
      </c>
      <c r="H3848" t="s">
        <v>48</v>
      </c>
      <c r="I3848" t="s">
        <v>26</v>
      </c>
      <c r="J3848" t="s">
        <v>27</v>
      </c>
      <c r="K3848" t="s">
        <v>32</v>
      </c>
      <c r="L3848" s="2">
        <v>13.3</v>
      </c>
      <c r="M3848" s="3">
        <v>388</v>
      </c>
      <c r="N3848">
        <v>4</v>
      </c>
      <c r="O3848">
        <v>4</v>
      </c>
      <c r="P3848">
        <v>1</v>
      </c>
      <c r="Q3848">
        <v>0</v>
      </c>
      <c r="R3848" s="4">
        <v>20.77</v>
      </c>
      <c r="S3848">
        <v>0</v>
      </c>
      <c r="T3848">
        <v>1</v>
      </c>
    </row>
    <row r="3849" spans="1:20" ht="16.5" x14ac:dyDescent="0.3">
      <c r="A3849" t="s">
        <v>3903</v>
      </c>
      <c r="B3849" s="1">
        <v>45827</v>
      </c>
      <c r="C3849">
        <v>2025</v>
      </c>
      <c r="D3849" t="s">
        <v>649</v>
      </c>
      <c r="E3849" t="s">
        <v>1079</v>
      </c>
      <c r="F3849" t="s">
        <v>34</v>
      </c>
      <c r="G3849" t="s">
        <v>39</v>
      </c>
      <c r="H3849" t="s">
        <v>43</v>
      </c>
      <c r="I3849" t="s">
        <v>31</v>
      </c>
      <c r="J3849" t="s">
        <v>27</v>
      </c>
      <c r="K3849" t="s">
        <v>32</v>
      </c>
      <c r="L3849" s="2">
        <v>8.1999999999999993</v>
      </c>
      <c r="M3849" s="3">
        <v>1217</v>
      </c>
      <c r="N3849">
        <v>7</v>
      </c>
      <c r="O3849">
        <v>9</v>
      </c>
      <c r="P3849">
        <v>0</v>
      </c>
      <c r="Q3849">
        <v>2</v>
      </c>
      <c r="R3849" s="4">
        <v>16.260000000000002</v>
      </c>
      <c r="S3849">
        <v>0</v>
      </c>
      <c r="T3849">
        <v>1</v>
      </c>
    </row>
    <row r="3850" spans="1:20" ht="16.5" x14ac:dyDescent="0.3">
      <c r="A3850" t="s">
        <v>3904</v>
      </c>
      <c r="B3850" s="1">
        <v>45827</v>
      </c>
      <c r="C3850">
        <v>2025</v>
      </c>
      <c r="D3850" t="s">
        <v>649</v>
      </c>
      <c r="E3850" t="s">
        <v>1079</v>
      </c>
      <c r="F3850" t="s">
        <v>57</v>
      </c>
      <c r="G3850" t="s">
        <v>39</v>
      </c>
      <c r="H3850" t="s">
        <v>51</v>
      </c>
      <c r="I3850" t="s">
        <v>26</v>
      </c>
      <c r="J3850" t="s">
        <v>27</v>
      </c>
      <c r="K3850" t="s">
        <v>32</v>
      </c>
      <c r="L3850" s="2">
        <v>5.0999999999999996</v>
      </c>
      <c r="M3850" s="3">
        <v>852</v>
      </c>
      <c r="N3850">
        <v>5</v>
      </c>
      <c r="O3850">
        <v>4</v>
      </c>
      <c r="P3850">
        <v>1</v>
      </c>
      <c r="Q3850">
        <v>0</v>
      </c>
      <c r="R3850" s="4">
        <v>21.5</v>
      </c>
      <c r="S3850">
        <v>0</v>
      </c>
      <c r="T3850">
        <v>1</v>
      </c>
    </row>
    <row r="3851" spans="1:20" ht="16.5" x14ac:dyDescent="0.3">
      <c r="A3851" t="s">
        <v>3905</v>
      </c>
      <c r="B3851" s="1">
        <v>45827</v>
      </c>
      <c r="C3851">
        <v>2025</v>
      </c>
      <c r="D3851" t="s">
        <v>649</v>
      </c>
      <c r="E3851" t="s">
        <v>1079</v>
      </c>
      <c r="F3851" t="s">
        <v>30</v>
      </c>
      <c r="G3851" t="s">
        <v>35</v>
      </c>
      <c r="H3851" t="s">
        <v>36</v>
      </c>
      <c r="I3851" t="s">
        <v>40</v>
      </c>
      <c r="J3851" t="s">
        <v>27</v>
      </c>
      <c r="K3851" t="s">
        <v>32</v>
      </c>
      <c r="L3851" s="2">
        <v>0.8</v>
      </c>
      <c r="M3851" s="3">
        <v>227</v>
      </c>
      <c r="N3851">
        <v>1</v>
      </c>
      <c r="O3851">
        <v>1</v>
      </c>
      <c r="P3851">
        <v>1</v>
      </c>
      <c r="Q3851">
        <v>0</v>
      </c>
      <c r="R3851" s="4">
        <v>18.32</v>
      </c>
      <c r="S3851">
        <v>0</v>
      </c>
      <c r="T3851">
        <v>1</v>
      </c>
    </row>
    <row r="3852" spans="1:20" ht="16.5" x14ac:dyDescent="0.3">
      <c r="A3852" t="s">
        <v>3906</v>
      </c>
      <c r="B3852" s="1">
        <v>45827</v>
      </c>
      <c r="C3852">
        <v>2025</v>
      </c>
      <c r="D3852" t="s">
        <v>649</v>
      </c>
      <c r="E3852" t="s">
        <v>1079</v>
      </c>
      <c r="F3852" t="s">
        <v>38</v>
      </c>
      <c r="G3852" t="s">
        <v>35</v>
      </c>
      <c r="H3852" t="s">
        <v>25</v>
      </c>
      <c r="I3852" t="s">
        <v>40</v>
      </c>
      <c r="J3852" t="s">
        <v>41</v>
      </c>
      <c r="K3852" t="s">
        <v>28</v>
      </c>
      <c r="L3852" s="2">
        <v>10</v>
      </c>
      <c r="M3852" s="3">
        <v>962</v>
      </c>
      <c r="N3852">
        <v>2</v>
      </c>
      <c r="O3852">
        <v>2</v>
      </c>
      <c r="P3852">
        <v>1</v>
      </c>
      <c r="Q3852">
        <v>0</v>
      </c>
      <c r="R3852" s="4">
        <v>82.09</v>
      </c>
      <c r="S3852">
        <v>0</v>
      </c>
      <c r="T3852">
        <v>1</v>
      </c>
    </row>
    <row r="3853" spans="1:20" ht="16.5" x14ac:dyDescent="0.3">
      <c r="A3853" t="s">
        <v>3907</v>
      </c>
      <c r="B3853" s="1">
        <v>45827</v>
      </c>
      <c r="C3853">
        <v>2025</v>
      </c>
      <c r="D3853" t="s">
        <v>649</v>
      </c>
      <c r="E3853" t="s">
        <v>1079</v>
      </c>
      <c r="F3853" t="s">
        <v>23</v>
      </c>
      <c r="G3853" t="s">
        <v>39</v>
      </c>
      <c r="H3853" t="s">
        <v>43</v>
      </c>
      <c r="I3853" t="s">
        <v>26</v>
      </c>
      <c r="J3853" t="s">
        <v>27</v>
      </c>
      <c r="K3853" t="s">
        <v>28</v>
      </c>
      <c r="L3853" s="2">
        <v>40</v>
      </c>
      <c r="M3853" s="3">
        <v>1187</v>
      </c>
      <c r="N3853">
        <v>5</v>
      </c>
      <c r="O3853">
        <v>4</v>
      </c>
      <c r="P3853">
        <v>1</v>
      </c>
      <c r="Q3853">
        <v>0</v>
      </c>
      <c r="R3853" s="4">
        <v>40.57</v>
      </c>
      <c r="S3853">
        <v>0</v>
      </c>
      <c r="T3853">
        <v>1</v>
      </c>
    </row>
    <row r="3854" spans="1:20" ht="16.5" x14ac:dyDescent="0.3">
      <c r="A3854" t="s">
        <v>3908</v>
      </c>
      <c r="B3854" s="1">
        <v>45827</v>
      </c>
      <c r="C3854">
        <v>2025</v>
      </c>
      <c r="D3854" t="s">
        <v>649</v>
      </c>
      <c r="E3854" t="s">
        <v>1079</v>
      </c>
      <c r="F3854" t="s">
        <v>30</v>
      </c>
      <c r="G3854" t="s">
        <v>39</v>
      </c>
      <c r="H3854" t="s">
        <v>25</v>
      </c>
      <c r="I3854" t="s">
        <v>26</v>
      </c>
      <c r="J3854" t="s">
        <v>27</v>
      </c>
      <c r="K3854" t="s">
        <v>32</v>
      </c>
      <c r="L3854" s="2">
        <v>5.8</v>
      </c>
      <c r="M3854" s="3">
        <v>841</v>
      </c>
      <c r="N3854">
        <v>4</v>
      </c>
      <c r="O3854">
        <v>5</v>
      </c>
      <c r="P3854">
        <v>0</v>
      </c>
      <c r="Q3854">
        <v>1</v>
      </c>
      <c r="R3854" s="4">
        <v>20.64</v>
      </c>
      <c r="S3854">
        <v>0</v>
      </c>
      <c r="T3854">
        <v>1</v>
      </c>
    </row>
    <row r="3855" spans="1:20" ht="16.5" x14ac:dyDescent="0.3">
      <c r="A3855" t="s">
        <v>3909</v>
      </c>
      <c r="B3855" s="1">
        <v>45827</v>
      </c>
      <c r="C3855">
        <v>2025</v>
      </c>
      <c r="D3855" t="s">
        <v>649</v>
      </c>
      <c r="E3855" t="s">
        <v>1079</v>
      </c>
      <c r="F3855" t="s">
        <v>34</v>
      </c>
      <c r="G3855" t="s">
        <v>39</v>
      </c>
      <c r="H3855" t="s">
        <v>43</v>
      </c>
      <c r="I3855" t="s">
        <v>26</v>
      </c>
      <c r="J3855" t="s">
        <v>27</v>
      </c>
      <c r="K3855" t="s">
        <v>32</v>
      </c>
      <c r="L3855" s="2">
        <v>7</v>
      </c>
      <c r="M3855" s="3">
        <v>858</v>
      </c>
      <c r="N3855">
        <v>5</v>
      </c>
      <c r="O3855">
        <v>5</v>
      </c>
      <c r="P3855">
        <v>1</v>
      </c>
      <c r="Q3855">
        <v>0</v>
      </c>
      <c r="R3855" s="4">
        <v>17.45</v>
      </c>
      <c r="S3855">
        <v>0</v>
      </c>
      <c r="T3855">
        <v>1</v>
      </c>
    </row>
    <row r="3856" spans="1:20" ht="16.5" x14ac:dyDescent="0.3">
      <c r="A3856" t="s">
        <v>3910</v>
      </c>
      <c r="B3856" s="1">
        <v>45827</v>
      </c>
      <c r="C3856">
        <v>2025</v>
      </c>
      <c r="D3856" t="s">
        <v>649</v>
      </c>
      <c r="E3856" t="s">
        <v>1079</v>
      </c>
      <c r="F3856" t="s">
        <v>38</v>
      </c>
      <c r="G3856" t="s">
        <v>39</v>
      </c>
      <c r="H3856" t="s">
        <v>36</v>
      </c>
      <c r="I3856" t="s">
        <v>40</v>
      </c>
      <c r="J3856" t="s">
        <v>27</v>
      </c>
      <c r="K3856" t="s">
        <v>28</v>
      </c>
      <c r="L3856" s="2">
        <v>163.69999999999999</v>
      </c>
      <c r="M3856" s="3">
        <v>291</v>
      </c>
      <c r="N3856">
        <v>1</v>
      </c>
      <c r="O3856">
        <v>1</v>
      </c>
      <c r="P3856">
        <v>1</v>
      </c>
      <c r="Q3856">
        <v>0</v>
      </c>
      <c r="R3856" s="4">
        <v>153.86000000000001</v>
      </c>
      <c r="S3856">
        <v>0</v>
      </c>
      <c r="T3856">
        <v>1</v>
      </c>
    </row>
    <row r="3857" spans="1:20" ht="16.5" x14ac:dyDescent="0.3">
      <c r="A3857" t="s">
        <v>3911</v>
      </c>
      <c r="B3857" s="1">
        <v>45828</v>
      </c>
      <c r="C3857">
        <v>2025</v>
      </c>
      <c r="D3857" t="s">
        <v>649</v>
      </c>
      <c r="E3857" t="s">
        <v>1079</v>
      </c>
      <c r="F3857" t="s">
        <v>23</v>
      </c>
      <c r="G3857" t="s">
        <v>39</v>
      </c>
      <c r="H3857" t="s">
        <v>48</v>
      </c>
      <c r="I3857" t="s">
        <v>40</v>
      </c>
      <c r="J3857" t="s">
        <v>27</v>
      </c>
      <c r="K3857" t="s">
        <v>32</v>
      </c>
      <c r="L3857" s="2">
        <v>0.7</v>
      </c>
      <c r="M3857" s="3">
        <v>499</v>
      </c>
      <c r="N3857">
        <v>2</v>
      </c>
      <c r="O3857">
        <v>2</v>
      </c>
      <c r="P3857">
        <v>1</v>
      </c>
      <c r="Q3857">
        <v>0</v>
      </c>
      <c r="R3857" s="4">
        <v>21.55</v>
      </c>
      <c r="S3857">
        <v>0</v>
      </c>
      <c r="T3857">
        <v>1</v>
      </c>
    </row>
    <row r="3858" spans="1:20" ht="16.5" x14ac:dyDescent="0.3">
      <c r="A3858" t="s">
        <v>3912</v>
      </c>
      <c r="B3858" s="1">
        <v>45828</v>
      </c>
      <c r="C3858">
        <v>2025</v>
      </c>
      <c r="D3858" t="s">
        <v>649</v>
      </c>
      <c r="E3858" t="s">
        <v>1079</v>
      </c>
      <c r="F3858" t="s">
        <v>23</v>
      </c>
      <c r="G3858" t="s">
        <v>39</v>
      </c>
      <c r="H3858" t="s">
        <v>48</v>
      </c>
      <c r="I3858" t="s">
        <v>26</v>
      </c>
      <c r="J3858" t="s">
        <v>27</v>
      </c>
      <c r="K3858" t="s">
        <v>32</v>
      </c>
      <c r="L3858" s="2">
        <v>6.2</v>
      </c>
      <c r="M3858" s="3">
        <v>554</v>
      </c>
      <c r="N3858">
        <v>4</v>
      </c>
      <c r="O3858">
        <v>9</v>
      </c>
      <c r="P3858">
        <v>0</v>
      </c>
      <c r="Q3858">
        <v>5</v>
      </c>
      <c r="R3858" s="4">
        <v>16.87</v>
      </c>
      <c r="S3858">
        <v>0</v>
      </c>
      <c r="T3858">
        <v>1</v>
      </c>
    </row>
    <row r="3859" spans="1:20" ht="16.5" x14ac:dyDescent="0.3">
      <c r="A3859" t="s">
        <v>3913</v>
      </c>
      <c r="B3859" s="1">
        <v>45828</v>
      </c>
      <c r="C3859">
        <v>2025</v>
      </c>
      <c r="D3859" t="s">
        <v>649</v>
      </c>
      <c r="E3859" t="s">
        <v>1079</v>
      </c>
      <c r="F3859" t="s">
        <v>30</v>
      </c>
      <c r="G3859" t="s">
        <v>35</v>
      </c>
      <c r="H3859" t="s">
        <v>36</v>
      </c>
      <c r="I3859" t="s">
        <v>31</v>
      </c>
      <c r="J3859" t="s">
        <v>27</v>
      </c>
      <c r="K3859" t="s">
        <v>32</v>
      </c>
      <c r="L3859" s="2">
        <v>7.4</v>
      </c>
      <c r="M3859" s="3">
        <v>219</v>
      </c>
      <c r="N3859">
        <v>5</v>
      </c>
      <c r="O3859">
        <v>5</v>
      </c>
      <c r="P3859">
        <v>1</v>
      </c>
      <c r="Q3859">
        <v>0</v>
      </c>
      <c r="R3859" s="4">
        <v>10.91</v>
      </c>
      <c r="S3859">
        <v>0</v>
      </c>
      <c r="T3859">
        <v>1</v>
      </c>
    </row>
    <row r="3860" spans="1:20" ht="16.5" x14ac:dyDescent="0.3">
      <c r="A3860" t="s">
        <v>3914</v>
      </c>
      <c r="B3860" s="1">
        <v>45828</v>
      </c>
      <c r="C3860">
        <v>2025</v>
      </c>
      <c r="D3860" t="s">
        <v>649</v>
      </c>
      <c r="E3860" t="s">
        <v>1079</v>
      </c>
      <c r="F3860" t="s">
        <v>34</v>
      </c>
      <c r="G3860" t="s">
        <v>35</v>
      </c>
      <c r="H3860" t="s">
        <v>51</v>
      </c>
      <c r="I3860" t="s">
        <v>26</v>
      </c>
      <c r="J3860" t="s">
        <v>27</v>
      </c>
      <c r="K3860" t="s">
        <v>28</v>
      </c>
      <c r="L3860" s="2">
        <v>176.6</v>
      </c>
      <c r="M3860" s="3">
        <v>1038</v>
      </c>
      <c r="N3860">
        <v>5</v>
      </c>
      <c r="O3860">
        <v>5</v>
      </c>
      <c r="P3860">
        <v>1</v>
      </c>
      <c r="Q3860">
        <v>0</v>
      </c>
      <c r="R3860" s="4">
        <v>76.489999999999995</v>
      </c>
      <c r="S3860">
        <v>0</v>
      </c>
      <c r="T3860">
        <v>1</v>
      </c>
    </row>
    <row r="3861" spans="1:20" ht="16.5" x14ac:dyDescent="0.3">
      <c r="A3861" t="s">
        <v>3915</v>
      </c>
      <c r="B3861" s="1">
        <v>45828</v>
      </c>
      <c r="C3861">
        <v>2025</v>
      </c>
      <c r="D3861" t="s">
        <v>649</v>
      </c>
      <c r="E3861" t="s">
        <v>1079</v>
      </c>
      <c r="F3861" t="s">
        <v>34</v>
      </c>
      <c r="G3861" t="s">
        <v>35</v>
      </c>
      <c r="H3861" t="s">
        <v>36</v>
      </c>
      <c r="I3861" t="s">
        <v>26</v>
      </c>
      <c r="J3861" t="s">
        <v>27</v>
      </c>
      <c r="K3861" t="s">
        <v>32</v>
      </c>
      <c r="L3861" s="2">
        <v>6.7</v>
      </c>
      <c r="M3861" s="3">
        <v>277</v>
      </c>
      <c r="N3861">
        <v>3</v>
      </c>
      <c r="O3861">
        <v>2</v>
      </c>
      <c r="P3861">
        <v>1</v>
      </c>
      <c r="Q3861">
        <v>0</v>
      </c>
      <c r="R3861" s="4">
        <v>11.98</v>
      </c>
      <c r="S3861">
        <v>0</v>
      </c>
      <c r="T3861">
        <v>1</v>
      </c>
    </row>
    <row r="3862" spans="1:20" ht="16.5" x14ac:dyDescent="0.3">
      <c r="A3862" t="s">
        <v>3916</v>
      </c>
      <c r="B3862" s="1">
        <v>45828</v>
      </c>
      <c r="C3862">
        <v>2025</v>
      </c>
      <c r="D3862" t="s">
        <v>649</v>
      </c>
      <c r="E3862" t="s">
        <v>1079</v>
      </c>
      <c r="F3862" t="s">
        <v>23</v>
      </c>
      <c r="G3862" t="s">
        <v>35</v>
      </c>
      <c r="H3862" t="s">
        <v>25</v>
      </c>
      <c r="I3862" t="s">
        <v>31</v>
      </c>
      <c r="J3862" t="s">
        <v>27</v>
      </c>
      <c r="K3862" t="s">
        <v>32</v>
      </c>
      <c r="L3862" s="2">
        <v>6.7</v>
      </c>
      <c r="M3862" s="3">
        <v>838</v>
      </c>
      <c r="N3862">
        <v>6</v>
      </c>
      <c r="O3862">
        <v>6</v>
      </c>
      <c r="P3862">
        <v>1</v>
      </c>
      <c r="Q3862">
        <v>0</v>
      </c>
      <c r="R3862" s="4">
        <v>14.45</v>
      </c>
      <c r="S3862">
        <v>0</v>
      </c>
      <c r="T3862">
        <v>1</v>
      </c>
    </row>
    <row r="3863" spans="1:20" ht="16.5" x14ac:dyDescent="0.3">
      <c r="A3863" t="s">
        <v>3917</v>
      </c>
      <c r="B3863" s="1">
        <v>45828</v>
      </c>
      <c r="C3863">
        <v>2025</v>
      </c>
      <c r="D3863" t="s">
        <v>649</v>
      </c>
      <c r="E3863" t="s">
        <v>1079</v>
      </c>
      <c r="F3863" t="s">
        <v>23</v>
      </c>
      <c r="G3863" t="s">
        <v>24</v>
      </c>
      <c r="H3863" t="s">
        <v>51</v>
      </c>
      <c r="I3863" t="s">
        <v>26</v>
      </c>
      <c r="J3863" t="s">
        <v>27</v>
      </c>
      <c r="K3863" t="s">
        <v>32</v>
      </c>
      <c r="L3863" s="2">
        <v>4.0999999999999996</v>
      </c>
      <c r="M3863" s="3">
        <v>1069</v>
      </c>
      <c r="N3863">
        <v>5</v>
      </c>
      <c r="O3863">
        <v>6</v>
      </c>
      <c r="P3863">
        <v>0</v>
      </c>
      <c r="Q3863">
        <v>1</v>
      </c>
      <c r="R3863" s="4">
        <v>23.27</v>
      </c>
      <c r="S3863">
        <v>0</v>
      </c>
      <c r="T3863">
        <v>1</v>
      </c>
    </row>
    <row r="3864" spans="1:20" ht="16.5" x14ac:dyDescent="0.3">
      <c r="A3864" t="s">
        <v>3918</v>
      </c>
      <c r="B3864" s="1">
        <v>45828</v>
      </c>
      <c r="C3864">
        <v>2025</v>
      </c>
      <c r="D3864" t="s">
        <v>649</v>
      </c>
      <c r="E3864" t="s">
        <v>1079</v>
      </c>
      <c r="F3864" t="s">
        <v>23</v>
      </c>
      <c r="G3864" t="s">
        <v>39</v>
      </c>
      <c r="H3864" t="s">
        <v>36</v>
      </c>
      <c r="I3864" t="s">
        <v>26</v>
      </c>
      <c r="J3864" t="s">
        <v>27</v>
      </c>
      <c r="K3864" t="s">
        <v>28</v>
      </c>
      <c r="L3864" s="2">
        <v>169.4</v>
      </c>
      <c r="M3864" s="3">
        <v>279</v>
      </c>
      <c r="N3864">
        <v>3</v>
      </c>
      <c r="O3864">
        <v>2</v>
      </c>
      <c r="P3864">
        <v>1</v>
      </c>
      <c r="Q3864">
        <v>0</v>
      </c>
      <c r="R3864" s="4">
        <v>76.88</v>
      </c>
      <c r="S3864">
        <v>0</v>
      </c>
      <c r="T3864">
        <v>1</v>
      </c>
    </row>
    <row r="3865" spans="1:20" ht="16.5" x14ac:dyDescent="0.3">
      <c r="A3865" t="s">
        <v>3919</v>
      </c>
      <c r="B3865" s="1">
        <v>45828</v>
      </c>
      <c r="C3865">
        <v>2025</v>
      </c>
      <c r="D3865" t="s">
        <v>649</v>
      </c>
      <c r="E3865" t="s">
        <v>1079</v>
      </c>
      <c r="F3865" t="s">
        <v>38</v>
      </c>
      <c r="G3865" t="s">
        <v>39</v>
      </c>
      <c r="H3865" t="s">
        <v>43</v>
      </c>
      <c r="I3865" t="s">
        <v>40</v>
      </c>
      <c r="J3865" t="s">
        <v>41</v>
      </c>
      <c r="K3865" t="s">
        <v>32</v>
      </c>
      <c r="L3865" s="2">
        <v>7.9</v>
      </c>
      <c r="M3865" s="3">
        <v>1139</v>
      </c>
      <c r="N3865">
        <v>3</v>
      </c>
      <c r="O3865">
        <v>3</v>
      </c>
      <c r="P3865">
        <v>1</v>
      </c>
      <c r="Q3865">
        <v>0</v>
      </c>
      <c r="R3865" s="4">
        <v>98.92</v>
      </c>
      <c r="S3865">
        <v>0</v>
      </c>
      <c r="T3865">
        <v>1</v>
      </c>
    </row>
    <row r="3866" spans="1:20" ht="16.5" x14ac:dyDescent="0.3">
      <c r="A3866" t="s">
        <v>3920</v>
      </c>
      <c r="B3866" s="1">
        <v>45828</v>
      </c>
      <c r="C3866">
        <v>2025</v>
      </c>
      <c r="D3866" t="s">
        <v>649</v>
      </c>
      <c r="E3866" t="s">
        <v>1079</v>
      </c>
      <c r="F3866" t="s">
        <v>30</v>
      </c>
      <c r="G3866" t="s">
        <v>35</v>
      </c>
      <c r="H3866" t="s">
        <v>25</v>
      </c>
      <c r="I3866" t="s">
        <v>31</v>
      </c>
      <c r="J3866" t="s">
        <v>27</v>
      </c>
      <c r="K3866" t="s">
        <v>28</v>
      </c>
      <c r="L3866" s="2">
        <v>95.4</v>
      </c>
      <c r="M3866" s="3">
        <v>846</v>
      </c>
      <c r="N3866">
        <v>6</v>
      </c>
      <c r="O3866">
        <v>6</v>
      </c>
      <c r="P3866">
        <v>1</v>
      </c>
      <c r="Q3866">
        <v>0</v>
      </c>
      <c r="R3866" s="4">
        <v>43.85</v>
      </c>
      <c r="S3866">
        <v>0</v>
      </c>
      <c r="T3866">
        <v>1</v>
      </c>
    </row>
    <row r="3867" spans="1:20" ht="16.5" x14ac:dyDescent="0.3">
      <c r="A3867" t="s">
        <v>3921</v>
      </c>
      <c r="B3867" s="1">
        <v>45829</v>
      </c>
      <c r="C3867">
        <v>2025</v>
      </c>
      <c r="D3867" t="s">
        <v>649</v>
      </c>
      <c r="E3867" t="s">
        <v>1079</v>
      </c>
      <c r="F3867" t="s">
        <v>57</v>
      </c>
      <c r="G3867" t="s">
        <v>24</v>
      </c>
      <c r="H3867" t="s">
        <v>51</v>
      </c>
      <c r="I3867" t="s">
        <v>26</v>
      </c>
      <c r="J3867" t="s">
        <v>27</v>
      </c>
      <c r="K3867" t="s">
        <v>28</v>
      </c>
      <c r="L3867" s="2">
        <v>57</v>
      </c>
      <c r="M3867" s="3">
        <v>1003</v>
      </c>
      <c r="N3867">
        <v>5</v>
      </c>
      <c r="O3867">
        <v>5</v>
      </c>
      <c r="P3867">
        <v>1</v>
      </c>
      <c r="Q3867">
        <v>0</v>
      </c>
      <c r="R3867" s="4">
        <v>46.06</v>
      </c>
      <c r="S3867">
        <v>0</v>
      </c>
      <c r="T3867">
        <v>1</v>
      </c>
    </row>
    <row r="3868" spans="1:20" ht="16.5" x14ac:dyDescent="0.3">
      <c r="A3868" t="s">
        <v>3922</v>
      </c>
      <c r="B3868" s="1">
        <v>45829</v>
      </c>
      <c r="C3868">
        <v>2025</v>
      </c>
      <c r="D3868" t="s">
        <v>649</v>
      </c>
      <c r="E3868" t="s">
        <v>1079</v>
      </c>
      <c r="F3868" t="s">
        <v>23</v>
      </c>
      <c r="G3868" t="s">
        <v>24</v>
      </c>
      <c r="H3868" t="s">
        <v>48</v>
      </c>
      <c r="I3868" t="s">
        <v>40</v>
      </c>
      <c r="J3868" t="s">
        <v>27</v>
      </c>
      <c r="K3868" t="s">
        <v>32</v>
      </c>
      <c r="L3868" s="2">
        <v>6.8</v>
      </c>
      <c r="M3868" s="3">
        <v>387</v>
      </c>
      <c r="N3868">
        <v>2</v>
      </c>
      <c r="O3868">
        <v>1</v>
      </c>
      <c r="P3868">
        <v>1</v>
      </c>
      <c r="Q3868">
        <v>0</v>
      </c>
      <c r="R3868" s="4">
        <v>30.7</v>
      </c>
      <c r="S3868">
        <v>0</v>
      </c>
      <c r="T3868">
        <v>1</v>
      </c>
    </row>
    <row r="3869" spans="1:20" ht="16.5" x14ac:dyDescent="0.3">
      <c r="A3869" t="s">
        <v>3923</v>
      </c>
      <c r="B3869" s="1">
        <v>45829</v>
      </c>
      <c r="C3869">
        <v>2025</v>
      </c>
      <c r="D3869" t="s">
        <v>649</v>
      </c>
      <c r="E3869" t="s">
        <v>1079</v>
      </c>
      <c r="F3869" t="s">
        <v>57</v>
      </c>
      <c r="G3869" t="s">
        <v>39</v>
      </c>
      <c r="H3869" t="s">
        <v>43</v>
      </c>
      <c r="I3869" t="s">
        <v>26</v>
      </c>
      <c r="J3869" t="s">
        <v>27</v>
      </c>
      <c r="K3869" t="s">
        <v>28</v>
      </c>
      <c r="L3869" s="2">
        <v>46.8</v>
      </c>
      <c r="M3869" s="3">
        <v>1125</v>
      </c>
      <c r="N3869">
        <v>5</v>
      </c>
      <c r="O3869">
        <v>5</v>
      </c>
      <c r="P3869">
        <v>1</v>
      </c>
      <c r="Q3869">
        <v>0</v>
      </c>
      <c r="R3869" s="4">
        <v>46.56</v>
      </c>
      <c r="S3869">
        <v>0</v>
      </c>
      <c r="T3869">
        <v>1</v>
      </c>
    </row>
    <row r="3870" spans="1:20" ht="16.5" x14ac:dyDescent="0.3">
      <c r="A3870" t="s">
        <v>3924</v>
      </c>
      <c r="B3870" s="1">
        <v>45830</v>
      </c>
      <c r="C3870">
        <v>2025</v>
      </c>
      <c r="D3870" t="s">
        <v>649</v>
      </c>
      <c r="E3870" t="s">
        <v>1079</v>
      </c>
      <c r="F3870" t="s">
        <v>30</v>
      </c>
      <c r="G3870" t="s">
        <v>39</v>
      </c>
      <c r="H3870" t="s">
        <v>25</v>
      </c>
      <c r="I3870" t="s">
        <v>26</v>
      </c>
      <c r="J3870" t="s">
        <v>27</v>
      </c>
      <c r="K3870" t="s">
        <v>28</v>
      </c>
      <c r="L3870" s="2">
        <v>243.3</v>
      </c>
      <c r="M3870" s="3">
        <v>1212</v>
      </c>
      <c r="N3870">
        <v>4</v>
      </c>
      <c r="O3870">
        <v>4</v>
      </c>
      <c r="P3870">
        <v>1</v>
      </c>
      <c r="Q3870">
        <v>0</v>
      </c>
      <c r="R3870" s="4">
        <v>131.24</v>
      </c>
      <c r="S3870">
        <v>0</v>
      </c>
      <c r="T3870">
        <v>1</v>
      </c>
    </row>
    <row r="3871" spans="1:20" ht="16.5" x14ac:dyDescent="0.3">
      <c r="A3871" t="s">
        <v>3925</v>
      </c>
      <c r="B3871" s="1">
        <v>45830</v>
      </c>
      <c r="C3871">
        <v>2025</v>
      </c>
      <c r="D3871" t="s">
        <v>649</v>
      </c>
      <c r="E3871" t="s">
        <v>1079</v>
      </c>
      <c r="F3871" t="s">
        <v>38</v>
      </c>
      <c r="G3871" t="s">
        <v>35</v>
      </c>
      <c r="H3871" t="s">
        <v>36</v>
      </c>
      <c r="I3871" t="s">
        <v>26</v>
      </c>
      <c r="J3871" t="s">
        <v>27</v>
      </c>
      <c r="K3871" t="s">
        <v>28</v>
      </c>
      <c r="L3871" s="2">
        <v>274.39999999999998</v>
      </c>
      <c r="M3871" s="3">
        <v>271</v>
      </c>
      <c r="N3871">
        <v>3</v>
      </c>
      <c r="O3871">
        <v>2</v>
      </c>
      <c r="P3871">
        <v>1</v>
      </c>
      <c r="Q3871">
        <v>0</v>
      </c>
      <c r="R3871" s="4">
        <v>132.81</v>
      </c>
      <c r="S3871">
        <v>0</v>
      </c>
      <c r="T3871">
        <v>1</v>
      </c>
    </row>
    <row r="3872" spans="1:20" ht="16.5" x14ac:dyDescent="0.3">
      <c r="A3872" t="s">
        <v>3926</v>
      </c>
      <c r="B3872" s="1">
        <v>45830</v>
      </c>
      <c r="C3872">
        <v>2025</v>
      </c>
      <c r="D3872" t="s">
        <v>649</v>
      </c>
      <c r="E3872" t="s">
        <v>1079</v>
      </c>
      <c r="F3872" t="s">
        <v>34</v>
      </c>
      <c r="G3872" t="s">
        <v>39</v>
      </c>
      <c r="H3872" t="s">
        <v>25</v>
      </c>
      <c r="I3872" t="s">
        <v>26</v>
      </c>
      <c r="J3872" t="s">
        <v>27</v>
      </c>
      <c r="K3872" t="s">
        <v>32</v>
      </c>
      <c r="L3872" s="2">
        <v>3.4</v>
      </c>
      <c r="M3872" s="3">
        <v>926</v>
      </c>
      <c r="N3872">
        <v>4</v>
      </c>
      <c r="O3872">
        <v>3</v>
      </c>
      <c r="P3872">
        <v>1</v>
      </c>
      <c r="Q3872">
        <v>0</v>
      </c>
      <c r="R3872" s="4">
        <v>17.059999999999999</v>
      </c>
      <c r="S3872">
        <v>0</v>
      </c>
      <c r="T3872">
        <v>1</v>
      </c>
    </row>
    <row r="3873" spans="1:20" ht="16.5" x14ac:dyDescent="0.3">
      <c r="A3873" t="s">
        <v>3927</v>
      </c>
      <c r="B3873" s="1">
        <v>45831</v>
      </c>
      <c r="C3873">
        <v>2025</v>
      </c>
      <c r="D3873" t="s">
        <v>649</v>
      </c>
      <c r="E3873" t="s">
        <v>1079</v>
      </c>
      <c r="F3873" t="s">
        <v>57</v>
      </c>
      <c r="G3873" t="s">
        <v>35</v>
      </c>
      <c r="H3873" t="s">
        <v>48</v>
      </c>
      <c r="I3873" t="s">
        <v>40</v>
      </c>
      <c r="J3873" t="s">
        <v>27</v>
      </c>
      <c r="K3873" t="s">
        <v>28</v>
      </c>
      <c r="L3873" s="2">
        <v>80</v>
      </c>
      <c r="M3873" s="3">
        <v>458</v>
      </c>
      <c r="N3873">
        <v>2</v>
      </c>
      <c r="O3873">
        <v>2</v>
      </c>
      <c r="P3873">
        <v>1</v>
      </c>
      <c r="Q3873">
        <v>0</v>
      </c>
      <c r="R3873" s="4">
        <v>89.27</v>
      </c>
      <c r="S3873">
        <v>0</v>
      </c>
      <c r="T3873">
        <v>1</v>
      </c>
    </row>
    <row r="3874" spans="1:20" ht="16.5" x14ac:dyDescent="0.3">
      <c r="A3874" t="s">
        <v>3928</v>
      </c>
      <c r="B3874" s="1">
        <v>45831</v>
      </c>
      <c r="C3874">
        <v>2025</v>
      </c>
      <c r="D3874" t="s">
        <v>649</v>
      </c>
      <c r="E3874" t="s">
        <v>1079</v>
      </c>
      <c r="F3874" t="s">
        <v>38</v>
      </c>
      <c r="G3874" t="s">
        <v>39</v>
      </c>
      <c r="H3874" t="s">
        <v>51</v>
      </c>
      <c r="I3874" t="s">
        <v>40</v>
      </c>
      <c r="J3874" t="s">
        <v>41</v>
      </c>
      <c r="K3874" t="s">
        <v>32</v>
      </c>
      <c r="L3874" s="2">
        <v>3.4</v>
      </c>
      <c r="M3874" s="3">
        <v>1078</v>
      </c>
      <c r="N3874">
        <v>3</v>
      </c>
      <c r="O3874">
        <v>2</v>
      </c>
      <c r="P3874">
        <v>1</v>
      </c>
      <c r="Q3874">
        <v>0</v>
      </c>
      <c r="R3874" s="4">
        <v>69.989999999999995</v>
      </c>
      <c r="S3874">
        <v>0</v>
      </c>
      <c r="T3874">
        <v>1</v>
      </c>
    </row>
    <row r="3875" spans="1:20" ht="16.5" x14ac:dyDescent="0.3">
      <c r="A3875" t="s">
        <v>3929</v>
      </c>
      <c r="B3875" s="1">
        <v>45831</v>
      </c>
      <c r="C3875">
        <v>2025</v>
      </c>
      <c r="D3875" t="s">
        <v>649</v>
      </c>
      <c r="E3875" t="s">
        <v>1079</v>
      </c>
      <c r="F3875" t="s">
        <v>38</v>
      </c>
      <c r="G3875" t="s">
        <v>35</v>
      </c>
      <c r="H3875" t="s">
        <v>36</v>
      </c>
      <c r="I3875" t="s">
        <v>26</v>
      </c>
      <c r="J3875" t="s">
        <v>27</v>
      </c>
      <c r="K3875" t="s">
        <v>32</v>
      </c>
      <c r="L3875" s="2">
        <v>4.5999999999999996</v>
      </c>
      <c r="M3875" s="3">
        <v>187</v>
      </c>
      <c r="N3875">
        <v>3</v>
      </c>
      <c r="O3875">
        <v>3</v>
      </c>
      <c r="P3875">
        <v>1</v>
      </c>
      <c r="Q3875">
        <v>0</v>
      </c>
      <c r="R3875" s="4">
        <v>12.04</v>
      </c>
      <c r="S3875">
        <v>0</v>
      </c>
      <c r="T3875">
        <v>1</v>
      </c>
    </row>
    <row r="3876" spans="1:20" ht="16.5" x14ac:dyDescent="0.3">
      <c r="A3876" t="s">
        <v>3930</v>
      </c>
      <c r="B3876" s="1">
        <v>45831</v>
      </c>
      <c r="C3876">
        <v>2025</v>
      </c>
      <c r="D3876" t="s">
        <v>649</v>
      </c>
      <c r="E3876" t="s">
        <v>1079</v>
      </c>
      <c r="F3876" t="s">
        <v>30</v>
      </c>
      <c r="G3876" t="s">
        <v>39</v>
      </c>
      <c r="H3876" t="s">
        <v>43</v>
      </c>
      <c r="I3876" t="s">
        <v>31</v>
      </c>
      <c r="J3876" t="s">
        <v>27</v>
      </c>
      <c r="K3876" t="s">
        <v>28</v>
      </c>
      <c r="L3876" s="2">
        <v>126.1</v>
      </c>
      <c r="M3876" s="3">
        <v>767</v>
      </c>
      <c r="N3876">
        <v>7</v>
      </c>
      <c r="O3876">
        <v>7</v>
      </c>
      <c r="P3876">
        <v>1</v>
      </c>
      <c r="Q3876">
        <v>0</v>
      </c>
      <c r="R3876" s="4">
        <v>60.77</v>
      </c>
      <c r="S3876">
        <v>0</v>
      </c>
      <c r="T3876">
        <v>1</v>
      </c>
    </row>
    <row r="3877" spans="1:20" ht="16.5" x14ac:dyDescent="0.3">
      <c r="A3877" t="s">
        <v>3931</v>
      </c>
      <c r="B3877" s="1">
        <v>45831</v>
      </c>
      <c r="C3877">
        <v>2025</v>
      </c>
      <c r="D3877" t="s">
        <v>649</v>
      </c>
      <c r="E3877" t="s">
        <v>1079</v>
      </c>
      <c r="F3877" t="s">
        <v>38</v>
      </c>
      <c r="G3877" t="s">
        <v>24</v>
      </c>
      <c r="H3877" t="s">
        <v>36</v>
      </c>
      <c r="I3877" t="s">
        <v>31</v>
      </c>
      <c r="J3877" t="s">
        <v>27</v>
      </c>
      <c r="K3877" t="s">
        <v>28</v>
      </c>
      <c r="L3877" s="2">
        <v>108.8</v>
      </c>
      <c r="M3877" s="3">
        <v>266</v>
      </c>
      <c r="N3877">
        <v>5</v>
      </c>
      <c r="O3877">
        <v>5</v>
      </c>
      <c r="P3877">
        <v>1</v>
      </c>
      <c r="Q3877">
        <v>0</v>
      </c>
      <c r="R3877" s="4">
        <v>41.94</v>
      </c>
      <c r="S3877">
        <v>0</v>
      </c>
      <c r="T3877">
        <v>1</v>
      </c>
    </row>
    <row r="3878" spans="1:20" ht="16.5" x14ac:dyDescent="0.3">
      <c r="A3878" t="s">
        <v>3932</v>
      </c>
      <c r="B3878" s="1">
        <v>45831</v>
      </c>
      <c r="C3878">
        <v>2025</v>
      </c>
      <c r="D3878" t="s">
        <v>649</v>
      </c>
      <c r="E3878" t="s">
        <v>1079</v>
      </c>
      <c r="F3878" t="s">
        <v>57</v>
      </c>
      <c r="G3878" t="s">
        <v>35</v>
      </c>
      <c r="H3878" t="s">
        <v>48</v>
      </c>
      <c r="I3878" t="s">
        <v>26</v>
      </c>
      <c r="J3878" t="s">
        <v>27</v>
      </c>
      <c r="K3878" t="s">
        <v>28</v>
      </c>
      <c r="L3878" s="2">
        <v>294.5</v>
      </c>
      <c r="M3878" s="3">
        <v>436</v>
      </c>
      <c r="N3878">
        <v>4</v>
      </c>
      <c r="O3878">
        <v>4</v>
      </c>
      <c r="P3878">
        <v>1</v>
      </c>
      <c r="Q3878">
        <v>0</v>
      </c>
      <c r="R3878" s="4">
        <v>116.7</v>
      </c>
      <c r="S3878">
        <v>0</v>
      </c>
      <c r="T3878">
        <v>1</v>
      </c>
    </row>
    <row r="3879" spans="1:20" ht="16.5" x14ac:dyDescent="0.3">
      <c r="A3879" t="s">
        <v>3933</v>
      </c>
      <c r="B3879" s="1">
        <v>45831</v>
      </c>
      <c r="C3879">
        <v>2025</v>
      </c>
      <c r="D3879" t="s">
        <v>649</v>
      </c>
      <c r="E3879" t="s">
        <v>1079</v>
      </c>
      <c r="F3879" t="s">
        <v>38</v>
      </c>
      <c r="G3879" t="s">
        <v>39</v>
      </c>
      <c r="H3879" t="s">
        <v>25</v>
      </c>
      <c r="I3879" t="s">
        <v>31</v>
      </c>
      <c r="J3879" t="s">
        <v>27</v>
      </c>
      <c r="K3879" t="s">
        <v>32</v>
      </c>
      <c r="L3879" s="2">
        <v>5.3</v>
      </c>
      <c r="M3879" s="3">
        <v>1129</v>
      </c>
      <c r="N3879">
        <v>6</v>
      </c>
      <c r="O3879">
        <v>6</v>
      </c>
      <c r="P3879">
        <v>1</v>
      </c>
      <c r="Q3879">
        <v>0</v>
      </c>
      <c r="R3879" s="4">
        <v>19.75</v>
      </c>
      <c r="S3879">
        <v>0</v>
      </c>
      <c r="T3879">
        <v>1</v>
      </c>
    </row>
    <row r="3880" spans="1:20" ht="16.5" x14ac:dyDescent="0.3">
      <c r="A3880" t="s">
        <v>3934</v>
      </c>
      <c r="B3880" s="1">
        <v>45831</v>
      </c>
      <c r="C3880">
        <v>2025</v>
      </c>
      <c r="D3880" t="s">
        <v>649</v>
      </c>
      <c r="E3880" t="s">
        <v>1079</v>
      </c>
      <c r="F3880" t="s">
        <v>34</v>
      </c>
      <c r="G3880" t="s">
        <v>24</v>
      </c>
      <c r="H3880" t="s">
        <v>36</v>
      </c>
      <c r="I3880" t="s">
        <v>31</v>
      </c>
      <c r="J3880" t="s">
        <v>27</v>
      </c>
      <c r="K3880" t="s">
        <v>28</v>
      </c>
      <c r="L3880" s="2">
        <v>355.8</v>
      </c>
      <c r="M3880" s="3">
        <v>239</v>
      </c>
      <c r="N3880">
        <v>5</v>
      </c>
      <c r="O3880">
        <v>5</v>
      </c>
      <c r="P3880">
        <v>1</v>
      </c>
      <c r="Q3880">
        <v>0</v>
      </c>
      <c r="R3880" s="4">
        <v>95.83</v>
      </c>
      <c r="S3880">
        <v>0</v>
      </c>
      <c r="T3880">
        <v>1</v>
      </c>
    </row>
    <row r="3881" spans="1:20" ht="16.5" x14ac:dyDescent="0.3">
      <c r="A3881" t="s">
        <v>3935</v>
      </c>
      <c r="B3881" s="1">
        <v>45831</v>
      </c>
      <c r="C3881">
        <v>2025</v>
      </c>
      <c r="D3881" t="s">
        <v>649</v>
      </c>
      <c r="E3881" t="s">
        <v>1079</v>
      </c>
      <c r="F3881" t="s">
        <v>34</v>
      </c>
      <c r="G3881" t="s">
        <v>39</v>
      </c>
      <c r="H3881" t="s">
        <v>36</v>
      </c>
      <c r="I3881" t="s">
        <v>31</v>
      </c>
      <c r="J3881" t="s">
        <v>27</v>
      </c>
      <c r="K3881" t="s">
        <v>28</v>
      </c>
      <c r="L3881" s="2">
        <v>64.400000000000006</v>
      </c>
      <c r="M3881" s="3">
        <v>290</v>
      </c>
      <c r="N3881">
        <v>5</v>
      </c>
      <c r="O3881">
        <v>8</v>
      </c>
      <c r="P3881">
        <v>0</v>
      </c>
      <c r="Q3881">
        <v>3</v>
      </c>
      <c r="R3881" s="4">
        <v>25.37</v>
      </c>
      <c r="S3881">
        <v>0</v>
      </c>
      <c r="T3881">
        <v>1</v>
      </c>
    </row>
    <row r="3882" spans="1:20" ht="16.5" x14ac:dyDescent="0.3">
      <c r="A3882" t="s">
        <v>3936</v>
      </c>
      <c r="B3882" s="1">
        <v>45831</v>
      </c>
      <c r="C3882">
        <v>2025</v>
      </c>
      <c r="D3882" t="s">
        <v>649</v>
      </c>
      <c r="E3882" t="s">
        <v>1079</v>
      </c>
      <c r="F3882" t="s">
        <v>38</v>
      </c>
      <c r="G3882" t="s">
        <v>35</v>
      </c>
      <c r="H3882" t="s">
        <v>51</v>
      </c>
      <c r="I3882" t="s">
        <v>26</v>
      </c>
      <c r="J3882" t="s">
        <v>27</v>
      </c>
      <c r="K3882" t="s">
        <v>32</v>
      </c>
      <c r="L3882" s="2">
        <v>2.5</v>
      </c>
      <c r="M3882" s="3">
        <v>1288</v>
      </c>
      <c r="N3882">
        <v>5</v>
      </c>
      <c r="O3882">
        <v>5</v>
      </c>
      <c r="P3882">
        <v>1</v>
      </c>
      <c r="Q3882">
        <v>0</v>
      </c>
      <c r="R3882" s="4">
        <v>28.77</v>
      </c>
      <c r="S3882">
        <v>0</v>
      </c>
      <c r="T3882">
        <v>1</v>
      </c>
    </row>
    <row r="3883" spans="1:20" ht="16.5" x14ac:dyDescent="0.3">
      <c r="A3883" t="s">
        <v>3937</v>
      </c>
      <c r="B3883" s="1">
        <v>45832</v>
      </c>
      <c r="C3883">
        <v>2025</v>
      </c>
      <c r="D3883" t="s">
        <v>649</v>
      </c>
      <c r="E3883" t="s">
        <v>1079</v>
      </c>
      <c r="F3883" t="s">
        <v>30</v>
      </c>
      <c r="G3883" t="s">
        <v>35</v>
      </c>
      <c r="H3883" t="s">
        <v>36</v>
      </c>
      <c r="I3883" t="s">
        <v>26</v>
      </c>
      <c r="J3883" t="s">
        <v>27</v>
      </c>
      <c r="K3883" t="s">
        <v>32</v>
      </c>
      <c r="L3883" s="2">
        <v>13.3</v>
      </c>
      <c r="M3883" s="3">
        <v>334</v>
      </c>
      <c r="N3883">
        <v>3</v>
      </c>
      <c r="O3883">
        <v>2</v>
      </c>
      <c r="P3883">
        <v>1</v>
      </c>
      <c r="Q3883">
        <v>0</v>
      </c>
      <c r="R3883" s="4">
        <v>18.829999999999998</v>
      </c>
      <c r="S3883">
        <v>0</v>
      </c>
      <c r="T3883">
        <v>1</v>
      </c>
    </row>
    <row r="3884" spans="1:20" ht="16.5" x14ac:dyDescent="0.3">
      <c r="A3884" t="s">
        <v>3938</v>
      </c>
      <c r="B3884" s="1">
        <v>45832</v>
      </c>
      <c r="C3884">
        <v>2025</v>
      </c>
      <c r="D3884" t="s">
        <v>649</v>
      </c>
      <c r="E3884" t="s">
        <v>1079</v>
      </c>
      <c r="F3884" t="s">
        <v>57</v>
      </c>
      <c r="G3884" t="s">
        <v>35</v>
      </c>
      <c r="H3884" t="s">
        <v>36</v>
      </c>
      <c r="I3884" t="s">
        <v>26</v>
      </c>
      <c r="J3884" t="s">
        <v>27</v>
      </c>
      <c r="K3884" t="s">
        <v>32</v>
      </c>
      <c r="L3884" s="2">
        <v>13</v>
      </c>
      <c r="M3884" s="3">
        <v>185</v>
      </c>
      <c r="N3884">
        <v>3</v>
      </c>
      <c r="O3884">
        <v>3</v>
      </c>
      <c r="P3884">
        <v>1</v>
      </c>
      <c r="Q3884">
        <v>0</v>
      </c>
      <c r="R3884" s="4">
        <v>15.47</v>
      </c>
      <c r="S3884">
        <v>0</v>
      </c>
      <c r="T3884">
        <v>1</v>
      </c>
    </row>
    <row r="3885" spans="1:20" ht="16.5" x14ac:dyDescent="0.3">
      <c r="A3885" t="s">
        <v>3939</v>
      </c>
      <c r="B3885" s="1">
        <v>45832</v>
      </c>
      <c r="C3885">
        <v>2025</v>
      </c>
      <c r="D3885" t="s">
        <v>649</v>
      </c>
      <c r="E3885" t="s">
        <v>1079</v>
      </c>
      <c r="F3885" t="s">
        <v>38</v>
      </c>
      <c r="G3885" t="s">
        <v>24</v>
      </c>
      <c r="H3885" t="s">
        <v>36</v>
      </c>
      <c r="I3885" t="s">
        <v>40</v>
      </c>
      <c r="J3885" t="s">
        <v>27</v>
      </c>
      <c r="K3885" t="s">
        <v>32</v>
      </c>
      <c r="L3885" s="2">
        <v>3.9</v>
      </c>
      <c r="M3885" s="3">
        <v>249</v>
      </c>
      <c r="N3885">
        <v>1</v>
      </c>
      <c r="O3885">
        <v>1</v>
      </c>
      <c r="P3885">
        <v>1</v>
      </c>
      <c r="Q3885">
        <v>0</v>
      </c>
      <c r="R3885" s="4">
        <v>24.74</v>
      </c>
      <c r="S3885">
        <v>0</v>
      </c>
      <c r="T3885">
        <v>1</v>
      </c>
    </row>
    <row r="3886" spans="1:20" ht="16.5" x14ac:dyDescent="0.3">
      <c r="A3886" t="s">
        <v>3940</v>
      </c>
      <c r="B3886" s="1">
        <v>45832</v>
      </c>
      <c r="C3886">
        <v>2025</v>
      </c>
      <c r="D3886" t="s">
        <v>649</v>
      </c>
      <c r="E3886" t="s">
        <v>1079</v>
      </c>
      <c r="F3886" t="s">
        <v>30</v>
      </c>
      <c r="G3886" t="s">
        <v>39</v>
      </c>
      <c r="H3886" t="s">
        <v>43</v>
      </c>
      <c r="I3886" t="s">
        <v>40</v>
      </c>
      <c r="J3886" t="s">
        <v>41</v>
      </c>
      <c r="K3886" t="s">
        <v>28</v>
      </c>
      <c r="L3886" s="2">
        <v>29.5</v>
      </c>
      <c r="M3886" s="3">
        <v>1243</v>
      </c>
      <c r="N3886">
        <v>3</v>
      </c>
      <c r="O3886">
        <v>3</v>
      </c>
      <c r="P3886">
        <v>1</v>
      </c>
      <c r="Q3886">
        <v>0</v>
      </c>
      <c r="R3886" s="4">
        <v>127.84</v>
      </c>
      <c r="S3886">
        <v>0</v>
      </c>
      <c r="T3886">
        <v>1</v>
      </c>
    </row>
    <row r="3887" spans="1:20" ht="16.5" x14ac:dyDescent="0.3">
      <c r="A3887" t="s">
        <v>3941</v>
      </c>
      <c r="B3887" s="1">
        <v>45832</v>
      </c>
      <c r="C3887">
        <v>2025</v>
      </c>
      <c r="D3887" t="s">
        <v>649</v>
      </c>
      <c r="E3887" t="s">
        <v>1079</v>
      </c>
      <c r="F3887" t="s">
        <v>23</v>
      </c>
      <c r="G3887" t="s">
        <v>39</v>
      </c>
      <c r="H3887" t="s">
        <v>25</v>
      </c>
      <c r="I3887" t="s">
        <v>26</v>
      </c>
      <c r="J3887" t="s">
        <v>27</v>
      </c>
      <c r="K3887" t="s">
        <v>32</v>
      </c>
      <c r="L3887" s="2">
        <v>7.8</v>
      </c>
      <c r="M3887" s="3">
        <v>1129</v>
      </c>
      <c r="N3887">
        <v>4</v>
      </c>
      <c r="O3887">
        <v>4</v>
      </c>
      <c r="P3887">
        <v>1</v>
      </c>
      <c r="Q3887">
        <v>0</v>
      </c>
      <c r="R3887" s="4">
        <v>25.26</v>
      </c>
      <c r="S3887">
        <v>0</v>
      </c>
      <c r="T3887">
        <v>1</v>
      </c>
    </row>
    <row r="3888" spans="1:20" ht="16.5" x14ac:dyDescent="0.3">
      <c r="A3888" t="s">
        <v>3942</v>
      </c>
      <c r="B3888" s="1">
        <v>45832</v>
      </c>
      <c r="C3888">
        <v>2025</v>
      </c>
      <c r="D3888" t="s">
        <v>649</v>
      </c>
      <c r="E3888" t="s">
        <v>1079</v>
      </c>
      <c r="F3888" t="s">
        <v>30</v>
      </c>
      <c r="G3888" t="s">
        <v>24</v>
      </c>
      <c r="H3888" t="s">
        <v>36</v>
      </c>
      <c r="I3888" t="s">
        <v>40</v>
      </c>
      <c r="J3888" t="s">
        <v>27</v>
      </c>
      <c r="K3888" t="s">
        <v>32</v>
      </c>
      <c r="L3888" s="2">
        <v>12.9</v>
      </c>
      <c r="M3888" s="3">
        <v>271</v>
      </c>
      <c r="N3888">
        <v>1</v>
      </c>
      <c r="O3888">
        <v>1</v>
      </c>
      <c r="P3888">
        <v>1</v>
      </c>
      <c r="Q3888">
        <v>0</v>
      </c>
      <c r="R3888" s="4">
        <v>33.85</v>
      </c>
      <c r="S3888">
        <v>0</v>
      </c>
      <c r="T3888">
        <v>1</v>
      </c>
    </row>
    <row r="3889" spans="1:20" ht="16.5" x14ac:dyDescent="0.3">
      <c r="A3889" t="s">
        <v>3943</v>
      </c>
      <c r="B3889" s="1">
        <v>45832</v>
      </c>
      <c r="C3889">
        <v>2025</v>
      </c>
      <c r="D3889" t="s">
        <v>649</v>
      </c>
      <c r="E3889" t="s">
        <v>1079</v>
      </c>
      <c r="F3889" t="s">
        <v>23</v>
      </c>
      <c r="G3889" t="s">
        <v>39</v>
      </c>
      <c r="H3889" t="s">
        <v>51</v>
      </c>
      <c r="I3889" t="s">
        <v>26</v>
      </c>
      <c r="J3889" t="s">
        <v>27</v>
      </c>
      <c r="K3889" t="s">
        <v>28</v>
      </c>
      <c r="L3889" s="2">
        <v>162.80000000000001</v>
      </c>
      <c r="M3889" s="3">
        <v>923</v>
      </c>
      <c r="N3889">
        <v>5</v>
      </c>
      <c r="O3889">
        <v>5</v>
      </c>
      <c r="P3889">
        <v>1</v>
      </c>
      <c r="Q3889">
        <v>0</v>
      </c>
      <c r="R3889" s="4">
        <v>77.28</v>
      </c>
      <c r="S3889">
        <v>0</v>
      </c>
      <c r="T3889">
        <v>1</v>
      </c>
    </row>
    <row r="3890" spans="1:20" ht="16.5" x14ac:dyDescent="0.3">
      <c r="A3890" t="s">
        <v>3944</v>
      </c>
      <c r="B3890" s="1">
        <v>45832</v>
      </c>
      <c r="C3890">
        <v>2025</v>
      </c>
      <c r="D3890" t="s">
        <v>649</v>
      </c>
      <c r="E3890" t="s">
        <v>1079</v>
      </c>
      <c r="F3890" t="s">
        <v>30</v>
      </c>
      <c r="G3890" t="s">
        <v>39</v>
      </c>
      <c r="H3890" t="s">
        <v>48</v>
      </c>
      <c r="I3890" t="s">
        <v>26</v>
      </c>
      <c r="J3890" t="s">
        <v>27</v>
      </c>
      <c r="K3890" t="s">
        <v>32</v>
      </c>
      <c r="L3890" s="2">
        <v>2.7</v>
      </c>
      <c r="M3890" s="3">
        <v>540</v>
      </c>
      <c r="N3890">
        <v>4</v>
      </c>
      <c r="O3890">
        <v>4</v>
      </c>
      <c r="P3890">
        <v>1</v>
      </c>
      <c r="Q3890">
        <v>0</v>
      </c>
      <c r="R3890" s="4">
        <v>16.239999999999998</v>
      </c>
      <c r="S3890">
        <v>0</v>
      </c>
      <c r="T3890">
        <v>1</v>
      </c>
    </row>
    <row r="3891" spans="1:20" ht="16.5" x14ac:dyDescent="0.3">
      <c r="A3891" t="s">
        <v>3945</v>
      </c>
      <c r="B3891" s="1">
        <v>45832</v>
      </c>
      <c r="C3891">
        <v>2025</v>
      </c>
      <c r="D3891" t="s">
        <v>649</v>
      </c>
      <c r="E3891" t="s">
        <v>1079</v>
      </c>
      <c r="F3891" t="s">
        <v>38</v>
      </c>
      <c r="G3891" t="s">
        <v>39</v>
      </c>
      <c r="H3891" t="s">
        <v>36</v>
      </c>
      <c r="I3891" t="s">
        <v>40</v>
      </c>
      <c r="J3891" t="s">
        <v>27</v>
      </c>
      <c r="K3891" t="s">
        <v>28</v>
      </c>
      <c r="L3891" s="2">
        <v>66.2</v>
      </c>
      <c r="M3891" s="3">
        <v>217</v>
      </c>
      <c r="N3891">
        <v>1</v>
      </c>
      <c r="O3891">
        <v>1</v>
      </c>
      <c r="P3891">
        <v>1</v>
      </c>
      <c r="Q3891">
        <v>0</v>
      </c>
      <c r="R3891" s="4">
        <v>83.91</v>
      </c>
      <c r="S3891">
        <v>0</v>
      </c>
      <c r="T3891">
        <v>1</v>
      </c>
    </row>
    <row r="3892" spans="1:20" ht="16.5" x14ac:dyDescent="0.3">
      <c r="A3892" t="s">
        <v>3946</v>
      </c>
      <c r="B3892" s="1">
        <v>45832</v>
      </c>
      <c r="C3892">
        <v>2025</v>
      </c>
      <c r="D3892" t="s">
        <v>649</v>
      </c>
      <c r="E3892" t="s">
        <v>1079</v>
      </c>
      <c r="F3892" t="s">
        <v>34</v>
      </c>
      <c r="G3892" t="s">
        <v>35</v>
      </c>
      <c r="H3892" t="s">
        <v>25</v>
      </c>
      <c r="I3892" t="s">
        <v>26</v>
      </c>
      <c r="J3892" t="s">
        <v>27</v>
      </c>
      <c r="K3892" t="s">
        <v>32</v>
      </c>
      <c r="L3892" s="2">
        <v>10.6</v>
      </c>
      <c r="M3892" s="3">
        <v>837</v>
      </c>
      <c r="N3892">
        <v>4</v>
      </c>
      <c r="O3892">
        <v>6</v>
      </c>
      <c r="P3892">
        <v>0</v>
      </c>
      <c r="Q3892">
        <v>2</v>
      </c>
      <c r="R3892" s="4">
        <v>18.22</v>
      </c>
      <c r="S3892">
        <v>0</v>
      </c>
      <c r="T3892">
        <v>1</v>
      </c>
    </row>
    <row r="3893" spans="1:20" ht="16.5" x14ac:dyDescent="0.3">
      <c r="A3893" t="s">
        <v>3947</v>
      </c>
      <c r="B3893" s="1">
        <v>45832</v>
      </c>
      <c r="C3893">
        <v>2025</v>
      </c>
      <c r="D3893" t="s">
        <v>649</v>
      </c>
      <c r="E3893" t="s">
        <v>1079</v>
      </c>
      <c r="F3893" t="s">
        <v>57</v>
      </c>
      <c r="G3893" t="s">
        <v>35</v>
      </c>
      <c r="H3893" t="s">
        <v>48</v>
      </c>
      <c r="I3893" t="s">
        <v>31</v>
      </c>
      <c r="J3893" t="s">
        <v>27</v>
      </c>
      <c r="K3893" t="s">
        <v>28</v>
      </c>
      <c r="L3893" s="2">
        <v>61.6</v>
      </c>
      <c r="M3893" s="3">
        <v>398</v>
      </c>
      <c r="N3893">
        <v>6</v>
      </c>
      <c r="O3893">
        <v>7</v>
      </c>
      <c r="P3893">
        <v>0</v>
      </c>
      <c r="Q3893">
        <v>1</v>
      </c>
      <c r="R3893" s="4">
        <v>30</v>
      </c>
      <c r="S3893">
        <v>0</v>
      </c>
      <c r="T3893">
        <v>1</v>
      </c>
    </row>
    <row r="3894" spans="1:20" ht="16.5" x14ac:dyDescent="0.3">
      <c r="A3894" t="s">
        <v>3948</v>
      </c>
      <c r="B3894" s="1">
        <v>45832</v>
      </c>
      <c r="C3894">
        <v>2025</v>
      </c>
      <c r="D3894" t="s">
        <v>649</v>
      </c>
      <c r="E3894" t="s">
        <v>1079</v>
      </c>
      <c r="F3894" t="s">
        <v>34</v>
      </c>
      <c r="G3894" t="s">
        <v>39</v>
      </c>
      <c r="H3894" t="s">
        <v>43</v>
      </c>
      <c r="I3894" t="s">
        <v>26</v>
      </c>
      <c r="J3894" t="s">
        <v>27</v>
      </c>
      <c r="K3894" t="s">
        <v>28</v>
      </c>
      <c r="L3894" s="2">
        <v>56</v>
      </c>
      <c r="M3894" s="3">
        <v>1243</v>
      </c>
      <c r="N3894">
        <v>5</v>
      </c>
      <c r="O3894">
        <v>5</v>
      </c>
      <c r="P3894">
        <v>1</v>
      </c>
      <c r="Q3894">
        <v>0</v>
      </c>
      <c r="R3894" s="4">
        <v>40.299999999999997</v>
      </c>
      <c r="S3894">
        <v>0</v>
      </c>
      <c r="T3894">
        <v>1</v>
      </c>
    </row>
    <row r="3895" spans="1:20" ht="16.5" x14ac:dyDescent="0.3">
      <c r="A3895" t="s">
        <v>3949</v>
      </c>
      <c r="B3895" s="1">
        <v>45833</v>
      </c>
      <c r="C3895">
        <v>2025</v>
      </c>
      <c r="D3895" t="s">
        <v>649</v>
      </c>
      <c r="E3895" t="s">
        <v>1079</v>
      </c>
      <c r="F3895" t="s">
        <v>38</v>
      </c>
      <c r="G3895" t="s">
        <v>35</v>
      </c>
      <c r="H3895" t="s">
        <v>48</v>
      </c>
      <c r="I3895" t="s">
        <v>31</v>
      </c>
      <c r="J3895" t="s">
        <v>27</v>
      </c>
      <c r="K3895" t="s">
        <v>32</v>
      </c>
      <c r="L3895" s="2">
        <v>10.8</v>
      </c>
      <c r="M3895" s="3">
        <v>450</v>
      </c>
      <c r="N3895">
        <v>6</v>
      </c>
      <c r="O3895">
        <v>6</v>
      </c>
      <c r="P3895">
        <v>1</v>
      </c>
      <c r="Q3895">
        <v>0</v>
      </c>
      <c r="R3895" s="4">
        <v>14.31</v>
      </c>
      <c r="S3895">
        <v>0</v>
      </c>
      <c r="T3895">
        <v>1</v>
      </c>
    </row>
    <row r="3896" spans="1:20" ht="16.5" x14ac:dyDescent="0.3">
      <c r="A3896" t="s">
        <v>3950</v>
      </c>
      <c r="B3896" s="1">
        <v>45833</v>
      </c>
      <c r="C3896">
        <v>2025</v>
      </c>
      <c r="D3896" t="s">
        <v>649</v>
      </c>
      <c r="E3896" t="s">
        <v>1079</v>
      </c>
      <c r="F3896" t="s">
        <v>38</v>
      </c>
      <c r="G3896" t="s">
        <v>35</v>
      </c>
      <c r="H3896" t="s">
        <v>48</v>
      </c>
      <c r="I3896" t="s">
        <v>26</v>
      </c>
      <c r="J3896" t="s">
        <v>27</v>
      </c>
      <c r="K3896" t="s">
        <v>28</v>
      </c>
      <c r="L3896" s="2">
        <v>143.30000000000001</v>
      </c>
      <c r="M3896" s="3">
        <v>557</v>
      </c>
      <c r="N3896">
        <v>4</v>
      </c>
      <c r="O3896">
        <v>4</v>
      </c>
      <c r="P3896">
        <v>1</v>
      </c>
      <c r="Q3896">
        <v>0</v>
      </c>
      <c r="R3896" s="4">
        <v>86.02</v>
      </c>
      <c r="S3896">
        <v>0</v>
      </c>
      <c r="T3896">
        <v>1</v>
      </c>
    </row>
    <row r="3897" spans="1:20" ht="16.5" x14ac:dyDescent="0.3">
      <c r="A3897" t="s">
        <v>3951</v>
      </c>
      <c r="B3897" s="1">
        <v>45833</v>
      </c>
      <c r="C3897">
        <v>2025</v>
      </c>
      <c r="D3897" t="s">
        <v>649</v>
      </c>
      <c r="E3897" t="s">
        <v>1079</v>
      </c>
      <c r="F3897" t="s">
        <v>30</v>
      </c>
      <c r="G3897" t="s">
        <v>35</v>
      </c>
      <c r="H3897" t="s">
        <v>48</v>
      </c>
      <c r="I3897" t="s">
        <v>26</v>
      </c>
      <c r="J3897" t="s">
        <v>27</v>
      </c>
      <c r="K3897" t="s">
        <v>32</v>
      </c>
      <c r="L3897" s="2">
        <v>2.4</v>
      </c>
      <c r="M3897" s="3">
        <v>322</v>
      </c>
      <c r="N3897">
        <v>4</v>
      </c>
      <c r="O3897">
        <v>4</v>
      </c>
      <c r="P3897">
        <v>1</v>
      </c>
      <c r="Q3897">
        <v>0</v>
      </c>
      <c r="R3897" s="4">
        <v>12.25</v>
      </c>
      <c r="S3897">
        <v>0</v>
      </c>
      <c r="T3897">
        <v>1</v>
      </c>
    </row>
    <row r="3898" spans="1:20" ht="16.5" x14ac:dyDescent="0.3">
      <c r="A3898" t="s">
        <v>3952</v>
      </c>
      <c r="B3898" s="1">
        <v>45833</v>
      </c>
      <c r="C3898">
        <v>2025</v>
      </c>
      <c r="D3898" t="s">
        <v>649</v>
      </c>
      <c r="E3898" t="s">
        <v>1079</v>
      </c>
      <c r="F3898" t="s">
        <v>30</v>
      </c>
      <c r="G3898" t="s">
        <v>39</v>
      </c>
      <c r="H3898" t="s">
        <v>36</v>
      </c>
      <c r="I3898" t="s">
        <v>26</v>
      </c>
      <c r="J3898" t="s">
        <v>27</v>
      </c>
      <c r="K3898" t="s">
        <v>32</v>
      </c>
      <c r="L3898" s="2">
        <v>7.7</v>
      </c>
      <c r="M3898" s="3">
        <v>269</v>
      </c>
      <c r="N3898">
        <v>3</v>
      </c>
      <c r="O3898">
        <v>5</v>
      </c>
      <c r="P3898">
        <v>0</v>
      </c>
      <c r="Q3898">
        <v>2</v>
      </c>
      <c r="R3898" s="4">
        <v>14.97</v>
      </c>
      <c r="S3898">
        <v>0</v>
      </c>
      <c r="T3898">
        <v>1</v>
      </c>
    </row>
    <row r="3899" spans="1:20" ht="16.5" x14ac:dyDescent="0.3">
      <c r="A3899" t="s">
        <v>3953</v>
      </c>
      <c r="B3899" s="1">
        <v>45833</v>
      </c>
      <c r="C3899">
        <v>2025</v>
      </c>
      <c r="D3899" t="s">
        <v>649</v>
      </c>
      <c r="E3899" t="s">
        <v>1079</v>
      </c>
      <c r="F3899" t="s">
        <v>57</v>
      </c>
      <c r="G3899" t="s">
        <v>35</v>
      </c>
      <c r="H3899" t="s">
        <v>51</v>
      </c>
      <c r="I3899" t="s">
        <v>40</v>
      </c>
      <c r="J3899" t="s">
        <v>41</v>
      </c>
      <c r="K3899" t="s">
        <v>28</v>
      </c>
      <c r="L3899" s="2">
        <v>151.6</v>
      </c>
      <c r="M3899" s="3">
        <v>990</v>
      </c>
      <c r="N3899">
        <v>3</v>
      </c>
      <c r="O3899">
        <v>3</v>
      </c>
      <c r="P3899">
        <v>1</v>
      </c>
      <c r="Q3899">
        <v>0</v>
      </c>
      <c r="R3899" s="4">
        <v>248.28</v>
      </c>
      <c r="S3899">
        <v>0</v>
      </c>
      <c r="T3899">
        <v>1</v>
      </c>
    </row>
    <row r="3900" spans="1:20" ht="16.5" x14ac:dyDescent="0.3">
      <c r="A3900" t="s">
        <v>3954</v>
      </c>
      <c r="B3900" s="1">
        <v>45833</v>
      </c>
      <c r="C3900">
        <v>2025</v>
      </c>
      <c r="D3900" t="s">
        <v>649</v>
      </c>
      <c r="E3900" t="s">
        <v>1079</v>
      </c>
      <c r="F3900" t="s">
        <v>38</v>
      </c>
      <c r="G3900" t="s">
        <v>35</v>
      </c>
      <c r="H3900" t="s">
        <v>48</v>
      </c>
      <c r="I3900" t="s">
        <v>31</v>
      </c>
      <c r="J3900" t="s">
        <v>27</v>
      </c>
      <c r="K3900" t="s">
        <v>28</v>
      </c>
      <c r="L3900" s="2">
        <v>192</v>
      </c>
      <c r="M3900" s="3">
        <v>639</v>
      </c>
      <c r="N3900">
        <v>6</v>
      </c>
      <c r="O3900">
        <v>6</v>
      </c>
      <c r="P3900">
        <v>1</v>
      </c>
      <c r="Q3900">
        <v>0</v>
      </c>
      <c r="R3900" s="4">
        <v>79.3</v>
      </c>
      <c r="S3900">
        <v>0</v>
      </c>
      <c r="T3900">
        <v>1</v>
      </c>
    </row>
    <row r="3901" spans="1:20" ht="16.5" x14ac:dyDescent="0.3">
      <c r="A3901" t="s">
        <v>3955</v>
      </c>
      <c r="B3901" s="1">
        <v>45833</v>
      </c>
      <c r="C3901">
        <v>2025</v>
      </c>
      <c r="D3901" t="s">
        <v>649</v>
      </c>
      <c r="E3901" t="s">
        <v>1079</v>
      </c>
      <c r="F3901" t="s">
        <v>34</v>
      </c>
      <c r="G3901" t="s">
        <v>39</v>
      </c>
      <c r="H3901" t="s">
        <v>36</v>
      </c>
      <c r="I3901" t="s">
        <v>26</v>
      </c>
      <c r="J3901" t="s">
        <v>27</v>
      </c>
      <c r="K3901" t="s">
        <v>28</v>
      </c>
      <c r="L3901" s="2">
        <v>118</v>
      </c>
      <c r="M3901" s="3">
        <v>239</v>
      </c>
      <c r="N3901">
        <v>3</v>
      </c>
      <c r="O3901">
        <v>3</v>
      </c>
      <c r="P3901">
        <v>1</v>
      </c>
      <c r="Q3901">
        <v>0</v>
      </c>
      <c r="R3901" s="4">
        <v>55.28</v>
      </c>
      <c r="S3901">
        <v>0</v>
      </c>
      <c r="T3901">
        <v>1</v>
      </c>
    </row>
    <row r="3902" spans="1:20" ht="16.5" x14ac:dyDescent="0.3">
      <c r="A3902" t="s">
        <v>3956</v>
      </c>
      <c r="B3902" s="1">
        <v>45833</v>
      </c>
      <c r="C3902">
        <v>2025</v>
      </c>
      <c r="D3902" t="s">
        <v>649</v>
      </c>
      <c r="E3902" t="s">
        <v>1079</v>
      </c>
      <c r="F3902" t="s">
        <v>34</v>
      </c>
      <c r="G3902" t="s">
        <v>39</v>
      </c>
      <c r="H3902" t="s">
        <v>48</v>
      </c>
      <c r="I3902" t="s">
        <v>26</v>
      </c>
      <c r="J3902" t="s">
        <v>27</v>
      </c>
      <c r="K3902" t="s">
        <v>32</v>
      </c>
      <c r="L3902" s="2">
        <v>7.7</v>
      </c>
      <c r="M3902" s="3">
        <v>494</v>
      </c>
      <c r="N3902">
        <v>4</v>
      </c>
      <c r="O3902">
        <v>6</v>
      </c>
      <c r="P3902">
        <v>0</v>
      </c>
      <c r="Q3902">
        <v>2</v>
      </c>
      <c r="R3902" s="4">
        <v>14.31</v>
      </c>
      <c r="S3902">
        <v>0</v>
      </c>
      <c r="T3902">
        <v>1</v>
      </c>
    </row>
    <row r="3903" spans="1:20" ht="16.5" x14ac:dyDescent="0.3">
      <c r="A3903" t="s">
        <v>3957</v>
      </c>
      <c r="B3903" s="1">
        <v>45833</v>
      </c>
      <c r="C3903">
        <v>2025</v>
      </c>
      <c r="D3903" t="s">
        <v>649</v>
      </c>
      <c r="E3903" t="s">
        <v>1079</v>
      </c>
      <c r="F3903" t="s">
        <v>34</v>
      </c>
      <c r="G3903" t="s">
        <v>35</v>
      </c>
      <c r="H3903" t="s">
        <v>36</v>
      </c>
      <c r="I3903" t="s">
        <v>26</v>
      </c>
      <c r="J3903" t="s">
        <v>27</v>
      </c>
      <c r="K3903" t="s">
        <v>32</v>
      </c>
      <c r="L3903" s="2">
        <v>3.5</v>
      </c>
      <c r="M3903" s="3">
        <v>235</v>
      </c>
      <c r="N3903">
        <v>3</v>
      </c>
      <c r="O3903">
        <v>3</v>
      </c>
      <c r="P3903">
        <v>1</v>
      </c>
      <c r="Q3903">
        <v>0</v>
      </c>
      <c r="R3903" s="4">
        <v>9.86</v>
      </c>
      <c r="S3903">
        <v>0</v>
      </c>
      <c r="T3903">
        <v>1</v>
      </c>
    </row>
    <row r="3904" spans="1:20" ht="16.5" x14ac:dyDescent="0.3">
      <c r="A3904" t="s">
        <v>3958</v>
      </c>
      <c r="B3904" s="1">
        <v>45833</v>
      </c>
      <c r="C3904">
        <v>2025</v>
      </c>
      <c r="D3904" t="s">
        <v>649</v>
      </c>
      <c r="E3904" t="s">
        <v>1079</v>
      </c>
      <c r="F3904" t="s">
        <v>34</v>
      </c>
      <c r="G3904" t="s">
        <v>39</v>
      </c>
      <c r="H3904" t="s">
        <v>25</v>
      </c>
      <c r="I3904" t="s">
        <v>40</v>
      </c>
      <c r="J3904" t="s">
        <v>41</v>
      </c>
      <c r="K3904" t="s">
        <v>28</v>
      </c>
      <c r="L3904" s="2">
        <v>110.2</v>
      </c>
      <c r="M3904" s="3">
        <v>828</v>
      </c>
      <c r="N3904">
        <v>2</v>
      </c>
      <c r="O3904">
        <v>2</v>
      </c>
      <c r="P3904">
        <v>1</v>
      </c>
      <c r="Q3904">
        <v>0</v>
      </c>
      <c r="R3904" s="4">
        <v>160.03</v>
      </c>
      <c r="S3904">
        <v>0</v>
      </c>
      <c r="T3904">
        <v>1</v>
      </c>
    </row>
    <row r="3905" spans="1:20" ht="16.5" x14ac:dyDescent="0.3">
      <c r="A3905" t="s">
        <v>3959</v>
      </c>
      <c r="B3905" s="1">
        <v>45833</v>
      </c>
      <c r="C3905">
        <v>2025</v>
      </c>
      <c r="D3905" t="s">
        <v>649</v>
      </c>
      <c r="E3905" t="s">
        <v>1079</v>
      </c>
      <c r="F3905" t="s">
        <v>57</v>
      </c>
      <c r="G3905" t="s">
        <v>35</v>
      </c>
      <c r="H3905" t="s">
        <v>25</v>
      </c>
      <c r="I3905" t="s">
        <v>26</v>
      </c>
      <c r="J3905" t="s">
        <v>27</v>
      </c>
      <c r="K3905" t="s">
        <v>32</v>
      </c>
      <c r="L3905" s="2">
        <v>3</v>
      </c>
      <c r="M3905" s="3">
        <v>1014</v>
      </c>
      <c r="N3905">
        <v>4</v>
      </c>
      <c r="O3905">
        <v>4</v>
      </c>
      <c r="P3905">
        <v>1</v>
      </c>
      <c r="Q3905">
        <v>0</v>
      </c>
      <c r="R3905" s="4">
        <v>21.08</v>
      </c>
      <c r="S3905">
        <v>0</v>
      </c>
      <c r="T3905">
        <v>1</v>
      </c>
    </row>
    <row r="3906" spans="1:20" ht="16.5" x14ac:dyDescent="0.3">
      <c r="A3906" t="s">
        <v>3960</v>
      </c>
      <c r="B3906" s="1">
        <v>45834</v>
      </c>
      <c r="C3906">
        <v>2025</v>
      </c>
      <c r="D3906" t="s">
        <v>649</v>
      </c>
      <c r="E3906" t="s">
        <v>1079</v>
      </c>
      <c r="F3906" t="s">
        <v>34</v>
      </c>
      <c r="G3906" t="s">
        <v>35</v>
      </c>
      <c r="H3906" t="s">
        <v>43</v>
      </c>
      <c r="I3906" t="s">
        <v>31</v>
      </c>
      <c r="J3906" t="s">
        <v>27</v>
      </c>
      <c r="K3906" t="s">
        <v>32</v>
      </c>
      <c r="L3906" s="2">
        <v>9.6999999999999993</v>
      </c>
      <c r="M3906" s="3">
        <v>1395</v>
      </c>
      <c r="N3906">
        <v>7</v>
      </c>
      <c r="O3906">
        <v>7</v>
      </c>
      <c r="P3906">
        <v>1</v>
      </c>
      <c r="Q3906">
        <v>0</v>
      </c>
      <c r="R3906" s="4">
        <v>18.68</v>
      </c>
      <c r="S3906">
        <v>0</v>
      </c>
      <c r="T3906">
        <v>1</v>
      </c>
    </row>
    <row r="3907" spans="1:20" ht="16.5" x14ac:dyDescent="0.3">
      <c r="A3907" t="s">
        <v>3961</v>
      </c>
      <c r="B3907" s="1">
        <v>45834</v>
      </c>
      <c r="C3907">
        <v>2025</v>
      </c>
      <c r="D3907" t="s">
        <v>649</v>
      </c>
      <c r="E3907" t="s">
        <v>1079</v>
      </c>
      <c r="F3907" t="s">
        <v>34</v>
      </c>
      <c r="G3907" t="s">
        <v>39</v>
      </c>
      <c r="H3907" t="s">
        <v>36</v>
      </c>
      <c r="I3907" t="s">
        <v>40</v>
      </c>
      <c r="J3907" t="s">
        <v>27</v>
      </c>
      <c r="K3907" t="s">
        <v>32</v>
      </c>
      <c r="L3907" s="2">
        <v>4.7</v>
      </c>
      <c r="M3907" s="3">
        <v>222</v>
      </c>
      <c r="N3907">
        <v>1</v>
      </c>
      <c r="O3907">
        <v>1</v>
      </c>
      <c r="P3907">
        <v>1</v>
      </c>
      <c r="Q3907">
        <v>0</v>
      </c>
      <c r="R3907" s="4">
        <v>19.98</v>
      </c>
      <c r="S3907">
        <v>0</v>
      </c>
      <c r="T3907">
        <v>1</v>
      </c>
    </row>
    <row r="3908" spans="1:20" ht="16.5" x14ac:dyDescent="0.3">
      <c r="A3908" t="s">
        <v>3962</v>
      </c>
      <c r="B3908" s="1">
        <v>45834</v>
      </c>
      <c r="C3908">
        <v>2025</v>
      </c>
      <c r="D3908" t="s">
        <v>649</v>
      </c>
      <c r="E3908" t="s">
        <v>1079</v>
      </c>
      <c r="F3908" t="s">
        <v>38</v>
      </c>
      <c r="G3908" t="s">
        <v>39</v>
      </c>
      <c r="H3908" t="s">
        <v>36</v>
      </c>
      <c r="I3908" t="s">
        <v>40</v>
      </c>
      <c r="J3908" t="s">
        <v>27</v>
      </c>
      <c r="K3908" t="s">
        <v>32</v>
      </c>
      <c r="L3908" s="2">
        <v>0.7</v>
      </c>
      <c r="M3908" s="3">
        <v>211</v>
      </c>
      <c r="N3908">
        <v>1</v>
      </c>
      <c r="O3908">
        <v>1</v>
      </c>
      <c r="P3908">
        <v>1</v>
      </c>
      <c r="Q3908">
        <v>0</v>
      </c>
      <c r="R3908" s="4">
        <v>18.78</v>
      </c>
      <c r="S3908">
        <v>0</v>
      </c>
      <c r="T3908">
        <v>1</v>
      </c>
    </row>
    <row r="3909" spans="1:20" ht="16.5" x14ac:dyDescent="0.3">
      <c r="A3909" t="s">
        <v>3963</v>
      </c>
      <c r="B3909" s="1">
        <v>45834</v>
      </c>
      <c r="C3909">
        <v>2025</v>
      </c>
      <c r="D3909" t="s">
        <v>649</v>
      </c>
      <c r="E3909" t="s">
        <v>1079</v>
      </c>
      <c r="F3909" t="s">
        <v>23</v>
      </c>
      <c r="G3909" t="s">
        <v>39</v>
      </c>
      <c r="H3909" t="s">
        <v>51</v>
      </c>
      <c r="I3909" t="s">
        <v>31</v>
      </c>
      <c r="J3909" t="s">
        <v>27</v>
      </c>
      <c r="K3909" t="s">
        <v>32</v>
      </c>
      <c r="L3909" s="2">
        <v>4.2</v>
      </c>
      <c r="M3909" s="3">
        <v>1062</v>
      </c>
      <c r="N3909">
        <v>7</v>
      </c>
      <c r="O3909">
        <v>6</v>
      </c>
      <c r="P3909">
        <v>1</v>
      </c>
      <c r="Q3909">
        <v>0</v>
      </c>
      <c r="R3909" s="4">
        <v>15.17</v>
      </c>
      <c r="S3909">
        <v>0</v>
      </c>
      <c r="T3909">
        <v>1</v>
      </c>
    </row>
    <row r="3910" spans="1:20" ht="16.5" x14ac:dyDescent="0.3">
      <c r="A3910" t="s">
        <v>3964</v>
      </c>
      <c r="B3910" s="1">
        <v>45834</v>
      </c>
      <c r="C3910">
        <v>2025</v>
      </c>
      <c r="D3910" t="s">
        <v>649</v>
      </c>
      <c r="E3910" t="s">
        <v>1079</v>
      </c>
      <c r="F3910" t="s">
        <v>34</v>
      </c>
      <c r="G3910" t="s">
        <v>24</v>
      </c>
      <c r="H3910" t="s">
        <v>25</v>
      </c>
      <c r="I3910" t="s">
        <v>40</v>
      </c>
      <c r="J3910" t="s">
        <v>41</v>
      </c>
      <c r="K3910" t="s">
        <v>32</v>
      </c>
      <c r="L3910" s="2">
        <v>5.9</v>
      </c>
      <c r="M3910" s="3">
        <v>946</v>
      </c>
      <c r="N3910">
        <v>2</v>
      </c>
      <c r="O3910">
        <v>2</v>
      </c>
      <c r="P3910">
        <v>1</v>
      </c>
      <c r="Q3910">
        <v>0</v>
      </c>
      <c r="R3910" s="4">
        <v>54.83</v>
      </c>
      <c r="S3910">
        <v>0</v>
      </c>
      <c r="T3910">
        <v>1</v>
      </c>
    </row>
    <row r="3911" spans="1:20" ht="16.5" x14ac:dyDescent="0.3">
      <c r="A3911" t="s">
        <v>3965</v>
      </c>
      <c r="B3911" s="1">
        <v>45834</v>
      </c>
      <c r="C3911">
        <v>2025</v>
      </c>
      <c r="D3911" t="s">
        <v>649</v>
      </c>
      <c r="E3911" t="s">
        <v>1079</v>
      </c>
      <c r="F3911" t="s">
        <v>34</v>
      </c>
      <c r="G3911" t="s">
        <v>35</v>
      </c>
      <c r="H3911" t="s">
        <v>43</v>
      </c>
      <c r="I3911" t="s">
        <v>26</v>
      </c>
      <c r="J3911" t="s">
        <v>27</v>
      </c>
      <c r="K3911" t="s">
        <v>28</v>
      </c>
      <c r="L3911" s="2">
        <v>17.5</v>
      </c>
      <c r="M3911" s="3">
        <v>1018</v>
      </c>
      <c r="N3911">
        <v>5</v>
      </c>
      <c r="O3911">
        <v>4</v>
      </c>
      <c r="P3911">
        <v>1</v>
      </c>
      <c r="Q3911">
        <v>0</v>
      </c>
      <c r="R3911" s="4">
        <v>24.22</v>
      </c>
      <c r="S3911">
        <v>0</v>
      </c>
      <c r="T3911">
        <v>1</v>
      </c>
    </row>
    <row r="3912" spans="1:20" ht="16.5" x14ac:dyDescent="0.3">
      <c r="A3912" t="s">
        <v>3966</v>
      </c>
      <c r="B3912" s="1">
        <v>45834</v>
      </c>
      <c r="C3912">
        <v>2025</v>
      </c>
      <c r="D3912" t="s">
        <v>649</v>
      </c>
      <c r="E3912" t="s">
        <v>1079</v>
      </c>
      <c r="F3912" t="s">
        <v>23</v>
      </c>
      <c r="G3912" t="s">
        <v>35</v>
      </c>
      <c r="H3912" t="s">
        <v>48</v>
      </c>
      <c r="I3912" t="s">
        <v>31</v>
      </c>
      <c r="J3912" t="s">
        <v>27</v>
      </c>
      <c r="K3912" t="s">
        <v>28</v>
      </c>
      <c r="L3912" s="2">
        <v>248.2</v>
      </c>
      <c r="M3912" s="3">
        <v>468</v>
      </c>
      <c r="N3912">
        <v>6</v>
      </c>
      <c r="O3912">
        <v>7</v>
      </c>
      <c r="P3912">
        <v>0</v>
      </c>
      <c r="Q3912">
        <v>1</v>
      </c>
      <c r="R3912" s="4">
        <v>66.64</v>
      </c>
      <c r="S3912">
        <v>0</v>
      </c>
      <c r="T3912">
        <v>1</v>
      </c>
    </row>
    <row r="3913" spans="1:20" ht="16.5" x14ac:dyDescent="0.3">
      <c r="A3913" t="s">
        <v>3967</v>
      </c>
      <c r="B3913" s="1">
        <v>45835</v>
      </c>
      <c r="C3913">
        <v>2025</v>
      </c>
      <c r="D3913" t="s">
        <v>649</v>
      </c>
      <c r="E3913" t="s">
        <v>1079</v>
      </c>
      <c r="F3913" t="s">
        <v>57</v>
      </c>
      <c r="G3913" t="s">
        <v>35</v>
      </c>
      <c r="H3913" t="s">
        <v>36</v>
      </c>
      <c r="I3913" t="s">
        <v>26</v>
      </c>
      <c r="J3913" t="s">
        <v>27</v>
      </c>
      <c r="K3913" t="s">
        <v>32</v>
      </c>
      <c r="L3913" s="2">
        <v>3.3</v>
      </c>
      <c r="M3913" s="3">
        <v>257</v>
      </c>
      <c r="N3913">
        <v>3</v>
      </c>
      <c r="O3913">
        <v>3</v>
      </c>
      <c r="P3913">
        <v>1</v>
      </c>
      <c r="Q3913">
        <v>0</v>
      </c>
      <c r="R3913" s="4">
        <v>11.6</v>
      </c>
      <c r="S3913">
        <v>0</v>
      </c>
      <c r="T3913">
        <v>1</v>
      </c>
    </row>
    <row r="3914" spans="1:20" ht="16.5" x14ac:dyDescent="0.3">
      <c r="A3914" t="s">
        <v>3968</v>
      </c>
      <c r="B3914" s="1">
        <v>45835</v>
      </c>
      <c r="C3914">
        <v>2025</v>
      </c>
      <c r="D3914" t="s">
        <v>649</v>
      </c>
      <c r="E3914" t="s">
        <v>1079</v>
      </c>
      <c r="F3914" t="s">
        <v>38</v>
      </c>
      <c r="G3914" t="s">
        <v>24</v>
      </c>
      <c r="H3914" t="s">
        <v>25</v>
      </c>
      <c r="I3914" t="s">
        <v>26</v>
      </c>
      <c r="J3914" t="s">
        <v>27</v>
      </c>
      <c r="K3914" t="s">
        <v>32</v>
      </c>
      <c r="L3914" s="2">
        <v>4.5</v>
      </c>
      <c r="M3914" s="3">
        <v>1028</v>
      </c>
      <c r="N3914">
        <v>4</v>
      </c>
      <c r="O3914">
        <v>3</v>
      </c>
      <c r="P3914">
        <v>1</v>
      </c>
      <c r="Q3914">
        <v>0</v>
      </c>
      <c r="R3914" s="4">
        <v>21.87</v>
      </c>
      <c r="S3914">
        <v>0</v>
      </c>
      <c r="T3914">
        <v>1</v>
      </c>
    </row>
    <row r="3915" spans="1:20" ht="16.5" x14ac:dyDescent="0.3">
      <c r="A3915" t="s">
        <v>3969</v>
      </c>
      <c r="B3915" s="1">
        <v>45835</v>
      </c>
      <c r="C3915">
        <v>2025</v>
      </c>
      <c r="D3915" t="s">
        <v>649</v>
      </c>
      <c r="E3915" t="s">
        <v>1079</v>
      </c>
      <c r="F3915" t="s">
        <v>57</v>
      </c>
      <c r="G3915" t="s">
        <v>39</v>
      </c>
      <c r="H3915" t="s">
        <v>25</v>
      </c>
      <c r="I3915" t="s">
        <v>26</v>
      </c>
      <c r="J3915" t="s">
        <v>27</v>
      </c>
      <c r="K3915" t="s">
        <v>32</v>
      </c>
      <c r="L3915" s="2">
        <v>2.8</v>
      </c>
      <c r="M3915" s="3">
        <v>886</v>
      </c>
      <c r="N3915">
        <v>4</v>
      </c>
      <c r="O3915">
        <v>4</v>
      </c>
      <c r="P3915">
        <v>1</v>
      </c>
      <c r="Q3915">
        <v>0</v>
      </c>
      <c r="R3915" s="4">
        <v>18.64</v>
      </c>
      <c r="S3915">
        <v>0</v>
      </c>
      <c r="T3915">
        <v>1</v>
      </c>
    </row>
    <row r="3916" spans="1:20" ht="16.5" x14ac:dyDescent="0.3">
      <c r="A3916" t="s">
        <v>3970</v>
      </c>
      <c r="B3916" s="1">
        <v>45835</v>
      </c>
      <c r="C3916">
        <v>2025</v>
      </c>
      <c r="D3916" t="s">
        <v>649</v>
      </c>
      <c r="E3916" t="s">
        <v>1079</v>
      </c>
      <c r="F3916" t="s">
        <v>38</v>
      </c>
      <c r="G3916" t="s">
        <v>35</v>
      </c>
      <c r="H3916" t="s">
        <v>25</v>
      </c>
      <c r="I3916" t="s">
        <v>26</v>
      </c>
      <c r="J3916" t="s">
        <v>27</v>
      </c>
      <c r="K3916" t="s">
        <v>28</v>
      </c>
      <c r="L3916" s="2">
        <v>81.8</v>
      </c>
      <c r="M3916" s="3">
        <v>1060</v>
      </c>
      <c r="N3916">
        <v>4</v>
      </c>
      <c r="O3916">
        <v>4</v>
      </c>
      <c r="P3916">
        <v>1</v>
      </c>
      <c r="Q3916">
        <v>0</v>
      </c>
      <c r="R3916" s="4">
        <v>63.38</v>
      </c>
      <c r="S3916">
        <v>0</v>
      </c>
      <c r="T3916">
        <v>1</v>
      </c>
    </row>
    <row r="3917" spans="1:20" ht="16.5" x14ac:dyDescent="0.3">
      <c r="A3917" t="s">
        <v>3971</v>
      </c>
      <c r="B3917" s="1">
        <v>45835</v>
      </c>
      <c r="C3917">
        <v>2025</v>
      </c>
      <c r="D3917" t="s">
        <v>649</v>
      </c>
      <c r="E3917" t="s">
        <v>1079</v>
      </c>
      <c r="F3917" t="s">
        <v>34</v>
      </c>
      <c r="G3917" t="s">
        <v>24</v>
      </c>
      <c r="H3917" t="s">
        <v>36</v>
      </c>
      <c r="I3917" t="s">
        <v>26</v>
      </c>
      <c r="J3917" t="s">
        <v>27</v>
      </c>
      <c r="K3917" t="s">
        <v>32</v>
      </c>
      <c r="L3917" s="2">
        <v>11.5</v>
      </c>
      <c r="M3917" s="3">
        <v>270</v>
      </c>
      <c r="N3917">
        <v>3</v>
      </c>
      <c r="O3917">
        <v>2</v>
      </c>
      <c r="P3917">
        <v>1</v>
      </c>
      <c r="Q3917">
        <v>0</v>
      </c>
      <c r="R3917" s="4">
        <v>14.27</v>
      </c>
      <c r="S3917">
        <v>0</v>
      </c>
      <c r="T3917">
        <v>1</v>
      </c>
    </row>
    <row r="3918" spans="1:20" ht="16.5" x14ac:dyDescent="0.3">
      <c r="A3918" t="s">
        <v>3972</v>
      </c>
      <c r="B3918" s="1">
        <v>45835</v>
      </c>
      <c r="C3918">
        <v>2025</v>
      </c>
      <c r="D3918" t="s">
        <v>649</v>
      </c>
      <c r="E3918" t="s">
        <v>1079</v>
      </c>
      <c r="F3918" t="s">
        <v>34</v>
      </c>
      <c r="G3918" t="s">
        <v>39</v>
      </c>
      <c r="H3918" t="s">
        <v>48</v>
      </c>
      <c r="I3918" t="s">
        <v>40</v>
      </c>
      <c r="J3918" t="s">
        <v>27</v>
      </c>
      <c r="K3918" t="s">
        <v>32</v>
      </c>
      <c r="L3918" s="2">
        <v>2.4</v>
      </c>
      <c r="M3918" s="3">
        <v>517</v>
      </c>
      <c r="N3918">
        <v>2</v>
      </c>
      <c r="O3918">
        <v>3</v>
      </c>
      <c r="P3918">
        <v>0</v>
      </c>
      <c r="Q3918">
        <v>1</v>
      </c>
      <c r="R3918" s="4">
        <v>24.06</v>
      </c>
      <c r="S3918">
        <v>0</v>
      </c>
      <c r="T3918">
        <v>1</v>
      </c>
    </row>
    <row r="3919" spans="1:20" ht="16.5" x14ac:dyDescent="0.3">
      <c r="A3919" t="s">
        <v>3973</v>
      </c>
      <c r="B3919" s="1">
        <v>45835</v>
      </c>
      <c r="C3919">
        <v>2025</v>
      </c>
      <c r="D3919" t="s">
        <v>649</v>
      </c>
      <c r="E3919" t="s">
        <v>1079</v>
      </c>
      <c r="F3919" t="s">
        <v>57</v>
      </c>
      <c r="G3919" t="s">
        <v>39</v>
      </c>
      <c r="H3919" t="s">
        <v>25</v>
      </c>
      <c r="I3919" t="s">
        <v>40</v>
      </c>
      <c r="J3919" t="s">
        <v>41</v>
      </c>
      <c r="K3919" t="s">
        <v>32</v>
      </c>
      <c r="L3919" s="2">
        <v>9</v>
      </c>
      <c r="M3919" s="3">
        <v>1064</v>
      </c>
      <c r="N3919">
        <v>2</v>
      </c>
      <c r="O3919">
        <v>1</v>
      </c>
      <c r="P3919">
        <v>1</v>
      </c>
      <c r="Q3919">
        <v>0</v>
      </c>
      <c r="R3919" s="4">
        <v>82.4</v>
      </c>
      <c r="S3919">
        <v>0</v>
      </c>
      <c r="T3919">
        <v>1</v>
      </c>
    </row>
    <row r="3920" spans="1:20" ht="16.5" x14ac:dyDescent="0.3">
      <c r="A3920" t="s">
        <v>3974</v>
      </c>
      <c r="B3920" s="1">
        <v>45836</v>
      </c>
      <c r="C3920">
        <v>2025</v>
      </c>
      <c r="D3920" t="s">
        <v>649</v>
      </c>
      <c r="E3920" t="s">
        <v>1079</v>
      </c>
      <c r="F3920" t="s">
        <v>30</v>
      </c>
      <c r="G3920" t="s">
        <v>39</v>
      </c>
      <c r="H3920" t="s">
        <v>43</v>
      </c>
      <c r="I3920" t="s">
        <v>31</v>
      </c>
      <c r="J3920" t="s">
        <v>27</v>
      </c>
      <c r="K3920" t="s">
        <v>32</v>
      </c>
      <c r="L3920" s="2">
        <v>10.199999999999999</v>
      </c>
      <c r="M3920" s="3">
        <v>1085</v>
      </c>
      <c r="N3920">
        <v>7</v>
      </c>
      <c r="O3920">
        <v>6</v>
      </c>
      <c r="P3920">
        <v>1</v>
      </c>
      <c r="Q3920">
        <v>0</v>
      </c>
      <c r="R3920" s="4">
        <v>22.09</v>
      </c>
      <c r="S3920">
        <v>0</v>
      </c>
      <c r="T3920">
        <v>1</v>
      </c>
    </row>
    <row r="3921" spans="1:20" ht="16.5" x14ac:dyDescent="0.3">
      <c r="A3921" t="s">
        <v>3975</v>
      </c>
      <c r="B3921" s="1">
        <v>45836</v>
      </c>
      <c r="C3921">
        <v>2025</v>
      </c>
      <c r="D3921" t="s">
        <v>649</v>
      </c>
      <c r="E3921" t="s">
        <v>1079</v>
      </c>
      <c r="F3921" t="s">
        <v>57</v>
      </c>
      <c r="G3921" t="s">
        <v>35</v>
      </c>
      <c r="H3921" t="s">
        <v>25</v>
      </c>
      <c r="I3921" t="s">
        <v>31</v>
      </c>
      <c r="J3921" t="s">
        <v>27</v>
      </c>
      <c r="K3921" t="s">
        <v>32</v>
      </c>
      <c r="L3921" s="2">
        <v>12.3</v>
      </c>
      <c r="M3921" s="3">
        <v>1046</v>
      </c>
      <c r="N3921">
        <v>6</v>
      </c>
      <c r="O3921">
        <v>6</v>
      </c>
      <c r="P3921">
        <v>1</v>
      </c>
      <c r="Q3921">
        <v>0</v>
      </c>
      <c r="R3921" s="4">
        <v>17.43</v>
      </c>
      <c r="S3921">
        <v>0</v>
      </c>
      <c r="T3921">
        <v>1</v>
      </c>
    </row>
    <row r="3922" spans="1:20" ht="16.5" x14ac:dyDescent="0.3">
      <c r="A3922" t="s">
        <v>3976</v>
      </c>
      <c r="B3922" s="1">
        <v>45836</v>
      </c>
      <c r="C3922">
        <v>2025</v>
      </c>
      <c r="D3922" t="s">
        <v>649</v>
      </c>
      <c r="E3922" t="s">
        <v>1079</v>
      </c>
      <c r="F3922" t="s">
        <v>57</v>
      </c>
      <c r="G3922" t="s">
        <v>24</v>
      </c>
      <c r="H3922" t="s">
        <v>36</v>
      </c>
      <c r="I3922" t="s">
        <v>26</v>
      </c>
      <c r="J3922" t="s">
        <v>27</v>
      </c>
      <c r="K3922" t="s">
        <v>28</v>
      </c>
      <c r="L3922" s="2">
        <v>167.8</v>
      </c>
      <c r="M3922" s="3">
        <v>247</v>
      </c>
      <c r="N3922">
        <v>3</v>
      </c>
      <c r="O3922">
        <v>4</v>
      </c>
      <c r="P3922">
        <v>0</v>
      </c>
      <c r="Q3922">
        <v>1</v>
      </c>
      <c r="R3922" s="4">
        <v>86.79</v>
      </c>
      <c r="S3922">
        <v>0</v>
      </c>
      <c r="T3922">
        <v>1</v>
      </c>
    </row>
    <row r="3923" spans="1:20" ht="16.5" x14ac:dyDescent="0.3">
      <c r="A3923" t="s">
        <v>3977</v>
      </c>
      <c r="B3923" s="1">
        <v>45836</v>
      </c>
      <c r="C3923">
        <v>2025</v>
      </c>
      <c r="D3923" t="s">
        <v>649</v>
      </c>
      <c r="E3923" t="s">
        <v>1079</v>
      </c>
      <c r="F3923" t="s">
        <v>30</v>
      </c>
      <c r="G3923" t="s">
        <v>35</v>
      </c>
      <c r="H3923" t="s">
        <v>43</v>
      </c>
      <c r="I3923" t="s">
        <v>31</v>
      </c>
      <c r="J3923" t="s">
        <v>27</v>
      </c>
      <c r="K3923" t="s">
        <v>28</v>
      </c>
      <c r="L3923" s="2">
        <v>96.9</v>
      </c>
      <c r="M3923" s="3">
        <v>769</v>
      </c>
      <c r="N3923">
        <v>7</v>
      </c>
      <c r="O3923">
        <v>7</v>
      </c>
      <c r="P3923">
        <v>1</v>
      </c>
      <c r="Q3923">
        <v>0</v>
      </c>
      <c r="R3923" s="4">
        <v>45.54</v>
      </c>
      <c r="S3923">
        <v>0</v>
      </c>
      <c r="T3923">
        <v>1</v>
      </c>
    </row>
    <row r="3924" spans="1:20" ht="16.5" x14ac:dyDescent="0.3">
      <c r="A3924" t="s">
        <v>3978</v>
      </c>
      <c r="B3924" s="1">
        <v>45837</v>
      </c>
      <c r="C3924">
        <v>2025</v>
      </c>
      <c r="D3924" t="s">
        <v>649</v>
      </c>
      <c r="E3924" t="s">
        <v>1079</v>
      </c>
      <c r="F3924" t="s">
        <v>23</v>
      </c>
      <c r="G3924" t="s">
        <v>35</v>
      </c>
      <c r="H3924" t="s">
        <v>36</v>
      </c>
      <c r="I3924" t="s">
        <v>26</v>
      </c>
      <c r="J3924" t="s">
        <v>27</v>
      </c>
      <c r="K3924" t="s">
        <v>32</v>
      </c>
      <c r="L3924" s="2">
        <v>4.9000000000000004</v>
      </c>
      <c r="M3924" s="3">
        <v>226</v>
      </c>
      <c r="N3924">
        <v>3</v>
      </c>
      <c r="O3924">
        <v>3</v>
      </c>
      <c r="P3924">
        <v>1</v>
      </c>
      <c r="Q3924">
        <v>0</v>
      </c>
      <c r="R3924" s="4">
        <v>11.72</v>
      </c>
      <c r="S3924">
        <v>0</v>
      </c>
      <c r="T3924">
        <v>1</v>
      </c>
    </row>
    <row r="3925" spans="1:20" ht="16.5" x14ac:dyDescent="0.3">
      <c r="A3925" t="s">
        <v>3979</v>
      </c>
      <c r="B3925" s="1">
        <v>45837</v>
      </c>
      <c r="C3925">
        <v>2025</v>
      </c>
      <c r="D3925" t="s">
        <v>649</v>
      </c>
      <c r="E3925" t="s">
        <v>1079</v>
      </c>
      <c r="F3925" t="s">
        <v>34</v>
      </c>
      <c r="G3925" t="s">
        <v>35</v>
      </c>
      <c r="H3925" t="s">
        <v>25</v>
      </c>
      <c r="I3925" t="s">
        <v>26</v>
      </c>
      <c r="J3925" t="s">
        <v>27</v>
      </c>
      <c r="K3925" t="s">
        <v>28</v>
      </c>
      <c r="L3925" s="2">
        <v>28.8</v>
      </c>
      <c r="M3925" s="3">
        <v>951</v>
      </c>
      <c r="N3925">
        <v>4</v>
      </c>
      <c r="O3925">
        <v>4</v>
      </c>
      <c r="P3925">
        <v>1</v>
      </c>
      <c r="Q3925">
        <v>0</v>
      </c>
      <c r="R3925" s="4">
        <v>27.57</v>
      </c>
      <c r="S3925">
        <v>0</v>
      </c>
      <c r="T3925">
        <v>1</v>
      </c>
    </row>
    <row r="3926" spans="1:20" ht="16.5" x14ac:dyDescent="0.3">
      <c r="A3926" t="s">
        <v>3980</v>
      </c>
      <c r="B3926" s="1">
        <v>45837</v>
      </c>
      <c r="C3926">
        <v>2025</v>
      </c>
      <c r="D3926" t="s">
        <v>649</v>
      </c>
      <c r="E3926" t="s">
        <v>1079</v>
      </c>
      <c r="F3926" t="s">
        <v>38</v>
      </c>
      <c r="G3926" t="s">
        <v>24</v>
      </c>
      <c r="H3926" t="s">
        <v>25</v>
      </c>
      <c r="I3926" t="s">
        <v>26</v>
      </c>
      <c r="J3926" t="s">
        <v>27</v>
      </c>
      <c r="K3926" t="s">
        <v>32</v>
      </c>
      <c r="L3926" s="2">
        <v>6.4</v>
      </c>
      <c r="M3926" s="3">
        <v>909</v>
      </c>
      <c r="N3926">
        <v>4</v>
      </c>
      <c r="O3926">
        <v>4</v>
      </c>
      <c r="P3926">
        <v>1</v>
      </c>
      <c r="Q3926">
        <v>0</v>
      </c>
      <c r="R3926" s="4">
        <v>26.86</v>
      </c>
      <c r="S3926">
        <v>0</v>
      </c>
      <c r="T3926">
        <v>1</v>
      </c>
    </row>
    <row r="3927" spans="1:20" ht="16.5" x14ac:dyDescent="0.3">
      <c r="A3927" t="s">
        <v>3981</v>
      </c>
      <c r="B3927" s="1">
        <v>45837</v>
      </c>
      <c r="C3927">
        <v>2025</v>
      </c>
      <c r="D3927" t="s">
        <v>649</v>
      </c>
      <c r="E3927" t="s">
        <v>1079</v>
      </c>
      <c r="F3927" t="s">
        <v>23</v>
      </c>
      <c r="G3927" t="s">
        <v>39</v>
      </c>
      <c r="H3927" t="s">
        <v>51</v>
      </c>
      <c r="I3927" t="s">
        <v>40</v>
      </c>
      <c r="J3927" t="s">
        <v>41</v>
      </c>
      <c r="K3927" t="s">
        <v>32</v>
      </c>
      <c r="L3927" s="2">
        <v>7.5</v>
      </c>
      <c r="M3927" s="3">
        <v>817</v>
      </c>
      <c r="N3927">
        <v>3</v>
      </c>
      <c r="O3927">
        <v>3</v>
      </c>
      <c r="P3927">
        <v>1</v>
      </c>
      <c r="Q3927">
        <v>0</v>
      </c>
      <c r="R3927" s="4">
        <v>65.52</v>
      </c>
      <c r="S3927">
        <v>0</v>
      </c>
      <c r="T3927">
        <v>1</v>
      </c>
    </row>
    <row r="3928" spans="1:20" ht="16.5" x14ac:dyDescent="0.3">
      <c r="A3928" t="s">
        <v>3982</v>
      </c>
      <c r="B3928" s="1">
        <v>45837</v>
      </c>
      <c r="C3928">
        <v>2025</v>
      </c>
      <c r="D3928" t="s">
        <v>649</v>
      </c>
      <c r="E3928" t="s">
        <v>1079</v>
      </c>
      <c r="F3928" t="s">
        <v>34</v>
      </c>
      <c r="G3928" t="s">
        <v>35</v>
      </c>
      <c r="H3928" t="s">
        <v>43</v>
      </c>
      <c r="I3928" t="s">
        <v>40</v>
      </c>
      <c r="J3928" t="s">
        <v>41</v>
      </c>
      <c r="K3928" t="s">
        <v>28</v>
      </c>
      <c r="L3928" s="2">
        <v>97.9</v>
      </c>
      <c r="M3928" s="3">
        <v>1187</v>
      </c>
      <c r="N3928">
        <v>3</v>
      </c>
      <c r="O3928">
        <v>5</v>
      </c>
      <c r="P3928">
        <v>0</v>
      </c>
      <c r="Q3928">
        <v>2</v>
      </c>
      <c r="R3928" s="4">
        <v>165.73</v>
      </c>
      <c r="S3928">
        <v>0</v>
      </c>
      <c r="T3928">
        <v>1</v>
      </c>
    </row>
    <row r="3929" spans="1:20" ht="16.5" x14ac:dyDescent="0.3">
      <c r="A3929" t="s">
        <v>3983</v>
      </c>
      <c r="B3929" s="1">
        <v>45837</v>
      </c>
      <c r="C3929">
        <v>2025</v>
      </c>
      <c r="D3929" t="s">
        <v>649</v>
      </c>
      <c r="E3929" t="s">
        <v>1079</v>
      </c>
      <c r="F3929" t="s">
        <v>38</v>
      </c>
      <c r="G3929" t="s">
        <v>35</v>
      </c>
      <c r="H3929" t="s">
        <v>25</v>
      </c>
      <c r="I3929" t="s">
        <v>31</v>
      </c>
      <c r="J3929" t="s">
        <v>27</v>
      </c>
      <c r="K3929" t="s">
        <v>28</v>
      </c>
      <c r="L3929" s="2">
        <v>153.5</v>
      </c>
      <c r="M3929" s="3">
        <v>834</v>
      </c>
      <c r="N3929">
        <v>6</v>
      </c>
      <c r="O3929">
        <v>6</v>
      </c>
      <c r="P3929">
        <v>1</v>
      </c>
      <c r="Q3929">
        <v>0</v>
      </c>
      <c r="R3929" s="4">
        <v>61.44</v>
      </c>
      <c r="S3929">
        <v>0</v>
      </c>
      <c r="T3929">
        <v>1</v>
      </c>
    </row>
    <row r="3930" spans="1:20" ht="16.5" x14ac:dyDescent="0.3">
      <c r="A3930" t="s">
        <v>3984</v>
      </c>
      <c r="B3930" s="1">
        <v>45838</v>
      </c>
      <c r="C3930">
        <v>2025</v>
      </c>
      <c r="D3930" t="s">
        <v>649</v>
      </c>
      <c r="E3930" t="s">
        <v>1079</v>
      </c>
      <c r="F3930" t="s">
        <v>38</v>
      </c>
      <c r="G3930" t="s">
        <v>35</v>
      </c>
      <c r="H3930" t="s">
        <v>48</v>
      </c>
      <c r="I3930" t="s">
        <v>26</v>
      </c>
      <c r="J3930" t="s">
        <v>27</v>
      </c>
      <c r="K3930" t="s">
        <v>32</v>
      </c>
      <c r="L3930" s="2">
        <v>3.8</v>
      </c>
      <c r="M3930" s="3">
        <v>445</v>
      </c>
      <c r="N3930">
        <v>4</v>
      </c>
      <c r="O3930">
        <v>4</v>
      </c>
      <c r="P3930">
        <v>1</v>
      </c>
      <c r="Q3930">
        <v>0</v>
      </c>
      <c r="R3930" s="4">
        <v>17.12</v>
      </c>
      <c r="S3930">
        <v>0</v>
      </c>
      <c r="T3930">
        <v>1</v>
      </c>
    </row>
    <row r="3931" spans="1:20" ht="16.5" x14ac:dyDescent="0.3">
      <c r="A3931" t="s">
        <v>3985</v>
      </c>
      <c r="B3931" s="1">
        <v>45838</v>
      </c>
      <c r="C3931">
        <v>2025</v>
      </c>
      <c r="D3931" t="s">
        <v>649</v>
      </c>
      <c r="E3931" t="s">
        <v>1079</v>
      </c>
      <c r="F3931" t="s">
        <v>34</v>
      </c>
      <c r="G3931" t="s">
        <v>39</v>
      </c>
      <c r="H3931" t="s">
        <v>36</v>
      </c>
      <c r="I3931" t="s">
        <v>26</v>
      </c>
      <c r="J3931" t="s">
        <v>27</v>
      </c>
      <c r="K3931" t="s">
        <v>32</v>
      </c>
      <c r="L3931" s="2">
        <v>5.9</v>
      </c>
      <c r="M3931" s="3">
        <v>243</v>
      </c>
      <c r="N3931">
        <v>3</v>
      </c>
      <c r="O3931">
        <v>2</v>
      </c>
      <c r="P3931">
        <v>1</v>
      </c>
      <c r="Q3931">
        <v>0</v>
      </c>
      <c r="R3931" s="4">
        <v>11.85</v>
      </c>
      <c r="S3931">
        <v>0</v>
      </c>
      <c r="T3931">
        <v>1</v>
      </c>
    </row>
    <row r="3932" spans="1:20" ht="16.5" x14ac:dyDescent="0.3">
      <c r="A3932" t="s">
        <v>3986</v>
      </c>
      <c r="B3932" s="1">
        <v>45838</v>
      </c>
      <c r="C3932">
        <v>2025</v>
      </c>
      <c r="D3932" t="s">
        <v>649</v>
      </c>
      <c r="E3932" t="s">
        <v>1079</v>
      </c>
      <c r="F3932" t="s">
        <v>38</v>
      </c>
      <c r="G3932" t="s">
        <v>24</v>
      </c>
      <c r="H3932" t="s">
        <v>43</v>
      </c>
      <c r="I3932" t="s">
        <v>26</v>
      </c>
      <c r="J3932" t="s">
        <v>27</v>
      </c>
      <c r="K3932" t="s">
        <v>28</v>
      </c>
      <c r="L3932" s="2">
        <v>248.6</v>
      </c>
      <c r="M3932" s="3">
        <v>920</v>
      </c>
      <c r="N3932">
        <v>5</v>
      </c>
      <c r="O3932">
        <v>8</v>
      </c>
      <c r="P3932">
        <v>0</v>
      </c>
      <c r="Q3932">
        <v>3</v>
      </c>
      <c r="R3932" s="4">
        <v>122</v>
      </c>
      <c r="S3932">
        <v>0</v>
      </c>
      <c r="T3932">
        <v>1</v>
      </c>
    </row>
    <row r="3933" spans="1:20" ht="16.5" x14ac:dyDescent="0.3">
      <c r="A3933" t="s">
        <v>3987</v>
      </c>
      <c r="B3933" s="1">
        <v>45838</v>
      </c>
      <c r="C3933">
        <v>2025</v>
      </c>
      <c r="D3933" t="s">
        <v>649</v>
      </c>
      <c r="E3933" t="s">
        <v>1079</v>
      </c>
      <c r="F3933" t="s">
        <v>38</v>
      </c>
      <c r="G3933" t="s">
        <v>35</v>
      </c>
      <c r="H3933" t="s">
        <v>48</v>
      </c>
      <c r="I3933" t="s">
        <v>26</v>
      </c>
      <c r="J3933" t="s">
        <v>27</v>
      </c>
      <c r="K3933" t="s">
        <v>28</v>
      </c>
      <c r="L3933" s="2">
        <v>110.8</v>
      </c>
      <c r="M3933" s="3">
        <v>491</v>
      </c>
      <c r="N3933">
        <v>4</v>
      </c>
      <c r="O3933">
        <v>3</v>
      </c>
      <c r="P3933">
        <v>1</v>
      </c>
      <c r="Q3933">
        <v>0</v>
      </c>
      <c r="R3933" s="4">
        <v>67.42</v>
      </c>
      <c r="S3933">
        <v>0</v>
      </c>
      <c r="T3933">
        <v>1</v>
      </c>
    </row>
    <row r="3934" spans="1:20" ht="16.5" x14ac:dyDescent="0.3">
      <c r="A3934" t="s">
        <v>3988</v>
      </c>
      <c r="B3934" s="1">
        <v>45838</v>
      </c>
      <c r="C3934">
        <v>2025</v>
      </c>
      <c r="D3934" t="s">
        <v>649</v>
      </c>
      <c r="E3934" t="s">
        <v>1079</v>
      </c>
      <c r="F3934" t="s">
        <v>34</v>
      </c>
      <c r="G3934" t="s">
        <v>35</v>
      </c>
      <c r="H3934" t="s">
        <v>36</v>
      </c>
      <c r="I3934" t="s">
        <v>31</v>
      </c>
      <c r="J3934" t="s">
        <v>27</v>
      </c>
      <c r="K3934" t="s">
        <v>28</v>
      </c>
      <c r="L3934" s="2">
        <v>70</v>
      </c>
      <c r="M3934" s="3">
        <v>281</v>
      </c>
      <c r="N3934">
        <v>5</v>
      </c>
      <c r="O3934">
        <v>5</v>
      </c>
      <c r="P3934">
        <v>1</v>
      </c>
      <c r="Q3934">
        <v>0</v>
      </c>
      <c r="R3934" s="4">
        <v>27.2</v>
      </c>
      <c r="S3934">
        <v>0</v>
      </c>
      <c r="T3934">
        <v>1</v>
      </c>
    </row>
    <row r="3935" spans="1:20" ht="16.5" x14ac:dyDescent="0.3">
      <c r="A3935" t="s">
        <v>3989</v>
      </c>
      <c r="B3935" s="1">
        <v>45838</v>
      </c>
      <c r="C3935">
        <v>2025</v>
      </c>
      <c r="D3935" t="s">
        <v>649</v>
      </c>
      <c r="E3935" t="s">
        <v>1079</v>
      </c>
      <c r="F3935" t="s">
        <v>34</v>
      </c>
      <c r="G3935" t="s">
        <v>35</v>
      </c>
      <c r="H3935" t="s">
        <v>36</v>
      </c>
      <c r="I3935" t="s">
        <v>31</v>
      </c>
      <c r="J3935" t="s">
        <v>27</v>
      </c>
      <c r="K3935" t="s">
        <v>28</v>
      </c>
      <c r="L3935" s="2">
        <v>247.3</v>
      </c>
      <c r="M3935" s="3">
        <v>213</v>
      </c>
      <c r="N3935">
        <v>5</v>
      </c>
      <c r="O3935">
        <v>7</v>
      </c>
      <c r="P3935">
        <v>0</v>
      </c>
      <c r="Q3935">
        <v>2</v>
      </c>
      <c r="R3935" s="4">
        <v>68.12</v>
      </c>
      <c r="S3935">
        <v>0</v>
      </c>
      <c r="T3935">
        <v>1</v>
      </c>
    </row>
    <row r="3936" spans="1:20" ht="16.5" x14ac:dyDescent="0.3">
      <c r="A3936" t="s">
        <v>3990</v>
      </c>
      <c r="B3936" s="1">
        <v>45838</v>
      </c>
      <c r="C3936">
        <v>2025</v>
      </c>
      <c r="D3936" t="s">
        <v>649</v>
      </c>
      <c r="E3936" t="s">
        <v>1079</v>
      </c>
      <c r="F3936" t="s">
        <v>57</v>
      </c>
      <c r="G3936" t="s">
        <v>39</v>
      </c>
      <c r="H3936" t="s">
        <v>25</v>
      </c>
      <c r="I3936" t="s">
        <v>26</v>
      </c>
      <c r="J3936" t="s">
        <v>27</v>
      </c>
      <c r="K3936" t="s">
        <v>28</v>
      </c>
      <c r="L3936" s="2">
        <v>116</v>
      </c>
      <c r="M3936" s="3">
        <v>819</v>
      </c>
      <c r="N3936">
        <v>4</v>
      </c>
      <c r="O3936">
        <v>4</v>
      </c>
      <c r="P3936">
        <v>1</v>
      </c>
      <c r="Q3936">
        <v>0</v>
      </c>
      <c r="R3936" s="4">
        <v>62.57</v>
      </c>
      <c r="S3936">
        <v>0</v>
      </c>
      <c r="T3936">
        <v>1</v>
      </c>
    </row>
    <row r="3937" spans="1:20" ht="16.5" x14ac:dyDescent="0.3">
      <c r="A3937" t="s">
        <v>3991</v>
      </c>
      <c r="B3937" s="1">
        <v>45838</v>
      </c>
      <c r="C3937">
        <v>2025</v>
      </c>
      <c r="D3937" t="s">
        <v>649</v>
      </c>
      <c r="E3937" t="s">
        <v>1079</v>
      </c>
      <c r="F3937" t="s">
        <v>38</v>
      </c>
      <c r="G3937" t="s">
        <v>24</v>
      </c>
      <c r="H3937" t="s">
        <v>25</v>
      </c>
      <c r="I3937" t="s">
        <v>26</v>
      </c>
      <c r="J3937" t="s">
        <v>27</v>
      </c>
      <c r="K3937" t="s">
        <v>32</v>
      </c>
      <c r="L3937" s="2">
        <v>8.1999999999999993</v>
      </c>
      <c r="M3937" s="3">
        <v>854</v>
      </c>
      <c r="N3937">
        <v>4</v>
      </c>
      <c r="O3937">
        <v>3</v>
      </c>
      <c r="P3937">
        <v>1</v>
      </c>
      <c r="Q3937">
        <v>0</v>
      </c>
      <c r="R3937" s="4">
        <v>24.56</v>
      </c>
      <c r="S3937">
        <v>0</v>
      </c>
      <c r="T3937">
        <v>1</v>
      </c>
    </row>
    <row r="3938" spans="1:20" ht="16.5" x14ac:dyDescent="0.3">
      <c r="A3938" t="s">
        <v>3992</v>
      </c>
      <c r="B3938" s="1">
        <v>45838</v>
      </c>
      <c r="C3938">
        <v>2025</v>
      </c>
      <c r="D3938" t="s">
        <v>649</v>
      </c>
      <c r="E3938" t="s">
        <v>1079</v>
      </c>
      <c r="F3938" t="s">
        <v>57</v>
      </c>
      <c r="G3938" t="s">
        <v>39</v>
      </c>
      <c r="H3938" t="s">
        <v>48</v>
      </c>
      <c r="I3938" t="s">
        <v>40</v>
      </c>
      <c r="J3938" t="s">
        <v>27</v>
      </c>
      <c r="K3938" t="s">
        <v>28</v>
      </c>
      <c r="L3938" s="2">
        <v>164.5</v>
      </c>
      <c r="M3938" s="3">
        <v>468</v>
      </c>
      <c r="N3938">
        <v>2</v>
      </c>
      <c r="O3938">
        <v>2</v>
      </c>
      <c r="P3938">
        <v>1</v>
      </c>
      <c r="Q3938">
        <v>0</v>
      </c>
      <c r="R3938" s="4">
        <v>151.18</v>
      </c>
      <c r="S3938">
        <v>0</v>
      </c>
      <c r="T3938">
        <v>1</v>
      </c>
    </row>
    <row r="3939" spans="1:20" ht="16.5" x14ac:dyDescent="0.3">
      <c r="A3939" t="s">
        <v>3993</v>
      </c>
      <c r="B3939" s="1">
        <v>45839</v>
      </c>
      <c r="C3939">
        <v>2025</v>
      </c>
      <c r="D3939" t="s">
        <v>1261</v>
      </c>
      <c r="E3939" t="s">
        <v>1262</v>
      </c>
      <c r="F3939" t="s">
        <v>57</v>
      </c>
      <c r="G3939" t="s">
        <v>39</v>
      </c>
      <c r="H3939" t="s">
        <v>36</v>
      </c>
      <c r="I3939" t="s">
        <v>26</v>
      </c>
      <c r="J3939" t="s">
        <v>27</v>
      </c>
      <c r="K3939" t="s">
        <v>32</v>
      </c>
      <c r="L3939" s="2">
        <v>21.3</v>
      </c>
      <c r="M3939" s="3">
        <v>285</v>
      </c>
      <c r="N3939">
        <v>3</v>
      </c>
      <c r="O3939">
        <v>3</v>
      </c>
      <c r="P3939">
        <v>1</v>
      </c>
      <c r="Q3939">
        <v>0</v>
      </c>
      <c r="R3939" s="4">
        <v>19.04</v>
      </c>
      <c r="S3939">
        <v>0</v>
      </c>
      <c r="T3939">
        <v>1</v>
      </c>
    </row>
    <row r="3940" spans="1:20" ht="16.5" x14ac:dyDescent="0.3">
      <c r="A3940" t="s">
        <v>3994</v>
      </c>
      <c r="B3940" s="1">
        <v>45839</v>
      </c>
      <c r="C3940">
        <v>2025</v>
      </c>
      <c r="D3940" t="s">
        <v>1261</v>
      </c>
      <c r="E3940" t="s">
        <v>1262</v>
      </c>
      <c r="F3940" t="s">
        <v>57</v>
      </c>
      <c r="G3940" t="s">
        <v>39</v>
      </c>
      <c r="H3940" t="s">
        <v>48</v>
      </c>
      <c r="I3940" t="s">
        <v>26</v>
      </c>
      <c r="J3940" t="s">
        <v>27</v>
      </c>
      <c r="K3940" t="s">
        <v>28</v>
      </c>
      <c r="L3940" s="2">
        <v>292.2</v>
      </c>
      <c r="M3940" s="3">
        <v>485</v>
      </c>
      <c r="N3940">
        <v>4</v>
      </c>
      <c r="O3940">
        <v>4</v>
      </c>
      <c r="P3940">
        <v>1</v>
      </c>
      <c r="Q3940">
        <v>0</v>
      </c>
      <c r="R3940" s="4">
        <v>122.11</v>
      </c>
      <c r="S3940">
        <v>0</v>
      </c>
      <c r="T3940">
        <v>1</v>
      </c>
    </row>
    <row r="3941" spans="1:20" ht="16.5" x14ac:dyDescent="0.3">
      <c r="A3941" t="s">
        <v>3995</v>
      </c>
      <c r="B3941" s="1">
        <v>45839</v>
      </c>
      <c r="C3941">
        <v>2025</v>
      </c>
      <c r="D3941" t="s">
        <v>1261</v>
      </c>
      <c r="E3941" t="s">
        <v>1262</v>
      </c>
      <c r="F3941" t="s">
        <v>57</v>
      </c>
      <c r="G3941" t="s">
        <v>39</v>
      </c>
      <c r="H3941" t="s">
        <v>25</v>
      </c>
      <c r="I3941" t="s">
        <v>26</v>
      </c>
      <c r="J3941" t="s">
        <v>27</v>
      </c>
      <c r="K3941" t="s">
        <v>32</v>
      </c>
      <c r="L3941" s="2">
        <v>3.3</v>
      </c>
      <c r="M3941" s="3">
        <v>1014</v>
      </c>
      <c r="N3941">
        <v>4</v>
      </c>
      <c r="O3941">
        <v>3</v>
      </c>
      <c r="P3941">
        <v>1</v>
      </c>
      <c r="Q3941">
        <v>0</v>
      </c>
      <c r="R3941" s="4">
        <v>20.43</v>
      </c>
      <c r="S3941">
        <v>0</v>
      </c>
      <c r="T3941">
        <v>1</v>
      </c>
    </row>
    <row r="3942" spans="1:20" ht="16.5" x14ac:dyDescent="0.3">
      <c r="A3942" t="s">
        <v>3996</v>
      </c>
      <c r="B3942" s="1">
        <v>45839</v>
      </c>
      <c r="C3942">
        <v>2025</v>
      </c>
      <c r="D3942" t="s">
        <v>1261</v>
      </c>
      <c r="E3942" t="s">
        <v>1262</v>
      </c>
      <c r="F3942" t="s">
        <v>23</v>
      </c>
      <c r="G3942" t="s">
        <v>35</v>
      </c>
      <c r="H3942" t="s">
        <v>36</v>
      </c>
      <c r="I3942" t="s">
        <v>40</v>
      </c>
      <c r="J3942" t="s">
        <v>27</v>
      </c>
      <c r="K3942" t="s">
        <v>28</v>
      </c>
      <c r="L3942" s="2">
        <v>68.5</v>
      </c>
      <c r="M3942" s="3">
        <v>218</v>
      </c>
      <c r="N3942">
        <v>1</v>
      </c>
      <c r="O3942">
        <v>1</v>
      </c>
      <c r="P3942">
        <v>1</v>
      </c>
      <c r="Q3942">
        <v>0</v>
      </c>
      <c r="R3942" s="4">
        <v>79.37</v>
      </c>
      <c r="S3942">
        <v>0</v>
      </c>
      <c r="T3942">
        <v>1</v>
      </c>
    </row>
    <row r="3943" spans="1:20" ht="16.5" x14ac:dyDescent="0.3">
      <c r="A3943" t="s">
        <v>3997</v>
      </c>
      <c r="B3943" s="1">
        <v>45839</v>
      </c>
      <c r="C3943">
        <v>2025</v>
      </c>
      <c r="D3943" t="s">
        <v>1261</v>
      </c>
      <c r="E3943" t="s">
        <v>1262</v>
      </c>
      <c r="F3943" t="s">
        <v>23</v>
      </c>
      <c r="G3943" t="s">
        <v>39</v>
      </c>
      <c r="H3943" t="s">
        <v>36</v>
      </c>
      <c r="I3943" t="s">
        <v>31</v>
      </c>
      <c r="J3943" t="s">
        <v>27</v>
      </c>
      <c r="K3943" t="s">
        <v>28</v>
      </c>
      <c r="L3943" s="2">
        <v>259.89999999999998</v>
      </c>
      <c r="M3943" s="3">
        <v>271</v>
      </c>
      <c r="N3943">
        <v>5</v>
      </c>
      <c r="O3943">
        <v>5</v>
      </c>
      <c r="P3943">
        <v>1</v>
      </c>
      <c r="Q3943">
        <v>0</v>
      </c>
      <c r="R3943" s="4">
        <v>79.81</v>
      </c>
      <c r="S3943">
        <v>0</v>
      </c>
      <c r="T3943">
        <v>1</v>
      </c>
    </row>
    <row r="3944" spans="1:20" ht="16.5" x14ac:dyDescent="0.3">
      <c r="A3944" t="s">
        <v>3998</v>
      </c>
      <c r="B3944" s="1">
        <v>45839</v>
      </c>
      <c r="C3944">
        <v>2025</v>
      </c>
      <c r="D3944" t="s">
        <v>1261</v>
      </c>
      <c r="E3944" t="s">
        <v>1262</v>
      </c>
      <c r="F3944" t="s">
        <v>38</v>
      </c>
      <c r="G3944" t="s">
        <v>24</v>
      </c>
      <c r="H3944" t="s">
        <v>48</v>
      </c>
      <c r="I3944" t="s">
        <v>40</v>
      </c>
      <c r="J3944" t="s">
        <v>27</v>
      </c>
      <c r="K3944" t="s">
        <v>28</v>
      </c>
      <c r="L3944" s="2">
        <v>214.9</v>
      </c>
      <c r="M3944" s="3">
        <v>471</v>
      </c>
      <c r="N3944">
        <v>2</v>
      </c>
      <c r="O3944">
        <v>2</v>
      </c>
      <c r="P3944">
        <v>1</v>
      </c>
      <c r="Q3944">
        <v>0</v>
      </c>
      <c r="R3944" s="4">
        <v>232.56</v>
      </c>
      <c r="S3944">
        <v>0</v>
      </c>
      <c r="T3944">
        <v>1</v>
      </c>
    </row>
    <row r="3945" spans="1:20" ht="16.5" x14ac:dyDescent="0.3">
      <c r="A3945" t="s">
        <v>3999</v>
      </c>
      <c r="B3945" s="1">
        <v>45839</v>
      </c>
      <c r="C3945">
        <v>2025</v>
      </c>
      <c r="D3945" t="s">
        <v>1261</v>
      </c>
      <c r="E3945" t="s">
        <v>1262</v>
      </c>
      <c r="F3945" t="s">
        <v>23</v>
      </c>
      <c r="G3945" t="s">
        <v>35</v>
      </c>
      <c r="H3945" t="s">
        <v>51</v>
      </c>
      <c r="I3945" t="s">
        <v>26</v>
      </c>
      <c r="J3945" t="s">
        <v>27</v>
      </c>
      <c r="K3945" t="s">
        <v>32</v>
      </c>
      <c r="L3945" s="2">
        <v>8.1999999999999993</v>
      </c>
      <c r="M3945" s="3">
        <v>1167</v>
      </c>
      <c r="N3945">
        <v>5</v>
      </c>
      <c r="O3945">
        <v>5</v>
      </c>
      <c r="P3945">
        <v>1</v>
      </c>
      <c r="Q3945">
        <v>0</v>
      </c>
      <c r="R3945" s="4">
        <v>26.2</v>
      </c>
      <c r="S3945">
        <v>0</v>
      </c>
      <c r="T3945">
        <v>1</v>
      </c>
    </row>
    <row r="3946" spans="1:20" ht="16.5" x14ac:dyDescent="0.3">
      <c r="A3946" t="s">
        <v>4000</v>
      </c>
      <c r="B3946" s="1">
        <v>45839</v>
      </c>
      <c r="C3946">
        <v>2025</v>
      </c>
      <c r="D3946" t="s">
        <v>1261</v>
      </c>
      <c r="E3946" t="s">
        <v>1262</v>
      </c>
      <c r="F3946" t="s">
        <v>57</v>
      </c>
      <c r="G3946" t="s">
        <v>35</v>
      </c>
      <c r="H3946" t="s">
        <v>43</v>
      </c>
      <c r="I3946" t="s">
        <v>40</v>
      </c>
      <c r="J3946" t="s">
        <v>41</v>
      </c>
      <c r="K3946" t="s">
        <v>32</v>
      </c>
      <c r="L3946" s="2">
        <v>24.6</v>
      </c>
      <c r="M3946" s="3">
        <v>1076</v>
      </c>
      <c r="N3946">
        <v>3</v>
      </c>
      <c r="O3946">
        <v>6</v>
      </c>
      <c r="P3946">
        <v>0</v>
      </c>
      <c r="Q3946">
        <v>3</v>
      </c>
      <c r="R3946" s="4">
        <v>95.45</v>
      </c>
      <c r="S3946">
        <v>0</v>
      </c>
      <c r="T3946">
        <v>1</v>
      </c>
    </row>
    <row r="3947" spans="1:20" ht="16.5" x14ac:dyDescent="0.3">
      <c r="A3947" t="s">
        <v>4001</v>
      </c>
      <c r="B3947" s="1">
        <v>45839</v>
      </c>
      <c r="C3947">
        <v>2025</v>
      </c>
      <c r="D3947" t="s">
        <v>1261</v>
      </c>
      <c r="E3947" t="s">
        <v>1262</v>
      </c>
      <c r="F3947" t="s">
        <v>57</v>
      </c>
      <c r="G3947" t="s">
        <v>35</v>
      </c>
      <c r="H3947" t="s">
        <v>43</v>
      </c>
      <c r="I3947" t="s">
        <v>31</v>
      </c>
      <c r="J3947" t="s">
        <v>27</v>
      </c>
      <c r="K3947" t="s">
        <v>28</v>
      </c>
      <c r="L3947" s="2">
        <v>129.30000000000001</v>
      </c>
      <c r="M3947" s="3">
        <v>1222</v>
      </c>
      <c r="N3947">
        <v>7</v>
      </c>
      <c r="O3947">
        <v>7</v>
      </c>
      <c r="P3947">
        <v>1</v>
      </c>
      <c r="Q3947">
        <v>0</v>
      </c>
      <c r="R3947" s="4">
        <v>52.95</v>
      </c>
      <c r="S3947">
        <v>0</v>
      </c>
      <c r="T3947">
        <v>1</v>
      </c>
    </row>
    <row r="3948" spans="1:20" ht="16.5" x14ac:dyDescent="0.3">
      <c r="A3948" t="s">
        <v>4002</v>
      </c>
      <c r="B3948" s="1">
        <v>45839</v>
      </c>
      <c r="C3948">
        <v>2025</v>
      </c>
      <c r="D3948" t="s">
        <v>1261</v>
      </c>
      <c r="E3948" t="s">
        <v>1262</v>
      </c>
      <c r="F3948" t="s">
        <v>34</v>
      </c>
      <c r="G3948" t="s">
        <v>35</v>
      </c>
      <c r="H3948" t="s">
        <v>43</v>
      </c>
      <c r="I3948" t="s">
        <v>31</v>
      </c>
      <c r="J3948" t="s">
        <v>27</v>
      </c>
      <c r="K3948" t="s">
        <v>28</v>
      </c>
      <c r="L3948" s="2">
        <v>42.8</v>
      </c>
      <c r="M3948" s="3">
        <v>1150</v>
      </c>
      <c r="N3948">
        <v>7</v>
      </c>
      <c r="O3948">
        <v>6</v>
      </c>
      <c r="P3948">
        <v>1</v>
      </c>
      <c r="Q3948">
        <v>0</v>
      </c>
      <c r="R3948" s="4">
        <v>25.58</v>
      </c>
      <c r="S3948">
        <v>0</v>
      </c>
      <c r="T3948">
        <v>1</v>
      </c>
    </row>
    <row r="3949" spans="1:20" ht="16.5" x14ac:dyDescent="0.3">
      <c r="A3949" t="s">
        <v>4003</v>
      </c>
      <c r="B3949" s="1">
        <v>45840</v>
      </c>
      <c r="C3949">
        <v>2025</v>
      </c>
      <c r="D3949" t="s">
        <v>1261</v>
      </c>
      <c r="E3949" t="s">
        <v>1262</v>
      </c>
      <c r="F3949" t="s">
        <v>38</v>
      </c>
      <c r="G3949" t="s">
        <v>24</v>
      </c>
      <c r="H3949" t="s">
        <v>25</v>
      </c>
      <c r="I3949" t="s">
        <v>31</v>
      </c>
      <c r="J3949" t="s">
        <v>27</v>
      </c>
      <c r="K3949" t="s">
        <v>32</v>
      </c>
      <c r="L3949" s="2">
        <v>9.9</v>
      </c>
      <c r="M3949" s="3">
        <v>836</v>
      </c>
      <c r="N3949">
        <v>6</v>
      </c>
      <c r="O3949">
        <v>6</v>
      </c>
      <c r="P3949">
        <v>1</v>
      </c>
      <c r="Q3949">
        <v>0</v>
      </c>
      <c r="R3949" s="4">
        <v>16.350000000000001</v>
      </c>
      <c r="S3949">
        <v>0</v>
      </c>
      <c r="T3949">
        <v>1</v>
      </c>
    </row>
    <row r="3950" spans="1:20" ht="16.5" x14ac:dyDescent="0.3">
      <c r="A3950" t="s">
        <v>4004</v>
      </c>
      <c r="B3950" s="1">
        <v>45840</v>
      </c>
      <c r="C3950">
        <v>2025</v>
      </c>
      <c r="D3950" t="s">
        <v>1261</v>
      </c>
      <c r="E3950" t="s">
        <v>1262</v>
      </c>
      <c r="F3950" t="s">
        <v>57</v>
      </c>
      <c r="G3950" t="s">
        <v>39</v>
      </c>
      <c r="H3950" t="s">
        <v>51</v>
      </c>
      <c r="I3950" t="s">
        <v>26</v>
      </c>
      <c r="J3950" t="s">
        <v>27</v>
      </c>
      <c r="K3950" t="s">
        <v>28</v>
      </c>
      <c r="L3950" s="2">
        <v>49.2</v>
      </c>
      <c r="M3950" s="3">
        <v>1067</v>
      </c>
      <c r="N3950">
        <v>5</v>
      </c>
      <c r="O3950">
        <v>5</v>
      </c>
      <c r="P3950">
        <v>1</v>
      </c>
      <c r="Q3950">
        <v>0</v>
      </c>
      <c r="R3950" s="4">
        <v>46.18</v>
      </c>
      <c r="S3950">
        <v>0</v>
      </c>
      <c r="T3950">
        <v>1</v>
      </c>
    </row>
    <row r="3951" spans="1:20" ht="16.5" x14ac:dyDescent="0.3">
      <c r="A3951" t="s">
        <v>4005</v>
      </c>
      <c r="B3951" s="1">
        <v>45840</v>
      </c>
      <c r="C3951">
        <v>2025</v>
      </c>
      <c r="D3951" t="s">
        <v>1261</v>
      </c>
      <c r="E3951" t="s">
        <v>1262</v>
      </c>
      <c r="F3951" t="s">
        <v>30</v>
      </c>
      <c r="G3951" t="s">
        <v>39</v>
      </c>
      <c r="H3951" t="s">
        <v>51</v>
      </c>
      <c r="I3951" t="s">
        <v>26</v>
      </c>
      <c r="J3951" t="s">
        <v>27</v>
      </c>
      <c r="K3951" t="s">
        <v>28</v>
      </c>
      <c r="L3951" s="2">
        <v>96.8</v>
      </c>
      <c r="M3951" s="3">
        <v>976</v>
      </c>
      <c r="N3951">
        <v>5</v>
      </c>
      <c r="O3951">
        <v>5</v>
      </c>
      <c r="P3951">
        <v>1</v>
      </c>
      <c r="Q3951">
        <v>0</v>
      </c>
      <c r="R3951" s="4">
        <v>62.71</v>
      </c>
      <c r="S3951">
        <v>0</v>
      </c>
      <c r="T3951">
        <v>1</v>
      </c>
    </row>
    <row r="3952" spans="1:20" ht="16.5" x14ac:dyDescent="0.3">
      <c r="A3952" t="s">
        <v>4006</v>
      </c>
      <c r="B3952" s="1">
        <v>45840</v>
      </c>
      <c r="C3952">
        <v>2025</v>
      </c>
      <c r="D3952" t="s">
        <v>1261</v>
      </c>
      <c r="E3952" t="s">
        <v>1262</v>
      </c>
      <c r="F3952" t="s">
        <v>34</v>
      </c>
      <c r="G3952" t="s">
        <v>39</v>
      </c>
      <c r="H3952" t="s">
        <v>48</v>
      </c>
      <c r="I3952" t="s">
        <v>26</v>
      </c>
      <c r="J3952" t="s">
        <v>27</v>
      </c>
      <c r="K3952" t="s">
        <v>32</v>
      </c>
      <c r="L3952" s="2">
        <v>16</v>
      </c>
      <c r="M3952" s="3">
        <v>460</v>
      </c>
      <c r="N3952">
        <v>4</v>
      </c>
      <c r="O3952">
        <v>4</v>
      </c>
      <c r="P3952">
        <v>1</v>
      </c>
      <c r="Q3952">
        <v>0</v>
      </c>
      <c r="R3952" s="4">
        <v>17.239999999999998</v>
      </c>
      <c r="S3952">
        <v>0</v>
      </c>
      <c r="T3952">
        <v>1</v>
      </c>
    </row>
    <row r="3953" spans="1:20" ht="16.5" x14ac:dyDescent="0.3">
      <c r="A3953" t="s">
        <v>4007</v>
      </c>
      <c r="B3953" s="1">
        <v>45840</v>
      </c>
      <c r="C3953">
        <v>2025</v>
      </c>
      <c r="D3953" t="s">
        <v>1261</v>
      </c>
      <c r="E3953" t="s">
        <v>1262</v>
      </c>
      <c r="F3953" t="s">
        <v>23</v>
      </c>
      <c r="G3953" t="s">
        <v>39</v>
      </c>
      <c r="H3953" t="s">
        <v>43</v>
      </c>
      <c r="I3953" t="s">
        <v>40</v>
      </c>
      <c r="J3953" t="s">
        <v>41</v>
      </c>
      <c r="K3953" t="s">
        <v>32</v>
      </c>
      <c r="L3953" s="2">
        <v>6.7</v>
      </c>
      <c r="M3953" s="3">
        <v>1027</v>
      </c>
      <c r="N3953">
        <v>3</v>
      </c>
      <c r="O3953">
        <v>5</v>
      </c>
      <c r="P3953">
        <v>0</v>
      </c>
      <c r="Q3953">
        <v>2</v>
      </c>
      <c r="R3953" s="4">
        <v>63.66</v>
      </c>
      <c r="S3953">
        <v>0</v>
      </c>
      <c r="T3953">
        <v>1</v>
      </c>
    </row>
    <row r="3954" spans="1:20" ht="16.5" x14ac:dyDescent="0.3">
      <c r="A3954" t="s">
        <v>4008</v>
      </c>
      <c r="B3954" s="1">
        <v>45840</v>
      </c>
      <c r="C3954">
        <v>2025</v>
      </c>
      <c r="D3954" t="s">
        <v>1261</v>
      </c>
      <c r="E3954" t="s">
        <v>1262</v>
      </c>
      <c r="F3954" t="s">
        <v>30</v>
      </c>
      <c r="G3954" t="s">
        <v>39</v>
      </c>
      <c r="H3954" t="s">
        <v>43</v>
      </c>
      <c r="I3954" t="s">
        <v>31</v>
      </c>
      <c r="J3954" t="s">
        <v>27</v>
      </c>
      <c r="K3954" t="s">
        <v>28</v>
      </c>
      <c r="L3954" s="2">
        <v>130.30000000000001</v>
      </c>
      <c r="M3954" s="3">
        <v>1361</v>
      </c>
      <c r="N3954">
        <v>7</v>
      </c>
      <c r="O3954">
        <v>6</v>
      </c>
      <c r="P3954">
        <v>1</v>
      </c>
      <c r="Q3954">
        <v>0</v>
      </c>
      <c r="R3954" s="4">
        <v>64.92</v>
      </c>
      <c r="S3954">
        <v>0</v>
      </c>
      <c r="T3954">
        <v>1</v>
      </c>
    </row>
    <row r="3955" spans="1:20" ht="16.5" x14ac:dyDescent="0.3">
      <c r="A3955" t="s">
        <v>4009</v>
      </c>
      <c r="B3955" s="1">
        <v>45840</v>
      </c>
      <c r="C3955">
        <v>2025</v>
      </c>
      <c r="D3955" t="s">
        <v>1261</v>
      </c>
      <c r="E3955" t="s">
        <v>1262</v>
      </c>
      <c r="F3955" t="s">
        <v>57</v>
      </c>
      <c r="G3955" t="s">
        <v>39</v>
      </c>
      <c r="H3955" t="s">
        <v>51</v>
      </c>
      <c r="I3955" t="s">
        <v>40</v>
      </c>
      <c r="J3955" t="s">
        <v>41</v>
      </c>
      <c r="K3955" t="s">
        <v>32</v>
      </c>
      <c r="L3955" s="2">
        <v>11.9</v>
      </c>
      <c r="M3955" s="3">
        <v>660</v>
      </c>
      <c r="N3955">
        <v>3</v>
      </c>
      <c r="O3955">
        <v>3</v>
      </c>
      <c r="P3955">
        <v>1</v>
      </c>
      <c r="Q3955">
        <v>0</v>
      </c>
      <c r="R3955" s="4">
        <v>63.68</v>
      </c>
      <c r="S3955">
        <v>0</v>
      </c>
      <c r="T3955">
        <v>1</v>
      </c>
    </row>
    <row r="3956" spans="1:20" ht="16.5" x14ac:dyDescent="0.3">
      <c r="A3956" t="s">
        <v>4010</v>
      </c>
      <c r="B3956" s="1">
        <v>45841</v>
      </c>
      <c r="C3956">
        <v>2025</v>
      </c>
      <c r="D3956" t="s">
        <v>1261</v>
      </c>
      <c r="E3956" t="s">
        <v>1262</v>
      </c>
      <c r="F3956" t="s">
        <v>23</v>
      </c>
      <c r="G3956" t="s">
        <v>24</v>
      </c>
      <c r="H3956" t="s">
        <v>36</v>
      </c>
      <c r="I3956" t="s">
        <v>40</v>
      </c>
      <c r="J3956" t="s">
        <v>27</v>
      </c>
      <c r="K3956" t="s">
        <v>32</v>
      </c>
      <c r="L3956" s="2">
        <v>1.9</v>
      </c>
      <c r="M3956" s="3">
        <v>255</v>
      </c>
      <c r="N3956">
        <v>1</v>
      </c>
      <c r="O3956">
        <v>1</v>
      </c>
      <c r="P3956">
        <v>1</v>
      </c>
      <c r="Q3956">
        <v>0</v>
      </c>
      <c r="R3956" s="4">
        <v>19.579999999999998</v>
      </c>
      <c r="S3956">
        <v>0</v>
      </c>
      <c r="T3956">
        <v>1</v>
      </c>
    </row>
    <row r="3957" spans="1:20" ht="16.5" x14ac:dyDescent="0.3">
      <c r="A3957" t="s">
        <v>4011</v>
      </c>
      <c r="B3957" s="1">
        <v>45841</v>
      </c>
      <c r="C3957">
        <v>2025</v>
      </c>
      <c r="D3957" t="s">
        <v>1261</v>
      </c>
      <c r="E3957" t="s">
        <v>1262</v>
      </c>
      <c r="F3957" t="s">
        <v>57</v>
      </c>
      <c r="G3957" t="s">
        <v>39</v>
      </c>
      <c r="H3957" t="s">
        <v>51</v>
      </c>
      <c r="I3957" t="s">
        <v>26</v>
      </c>
      <c r="J3957" t="s">
        <v>27</v>
      </c>
      <c r="K3957" t="s">
        <v>28</v>
      </c>
      <c r="L3957" s="2">
        <v>89.4</v>
      </c>
      <c r="M3957" s="3">
        <v>1149</v>
      </c>
      <c r="N3957">
        <v>5</v>
      </c>
      <c r="O3957">
        <v>7</v>
      </c>
      <c r="P3957">
        <v>0</v>
      </c>
      <c r="Q3957">
        <v>2</v>
      </c>
      <c r="R3957" s="4">
        <v>53.56</v>
      </c>
      <c r="S3957">
        <v>0</v>
      </c>
      <c r="T3957">
        <v>1</v>
      </c>
    </row>
    <row r="3958" spans="1:20" ht="16.5" x14ac:dyDescent="0.3">
      <c r="A3958" t="s">
        <v>4012</v>
      </c>
      <c r="B3958" s="1">
        <v>45841</v>
      </c>
      <c r="C3958">
        <v>2025</v>
      </c>
      <c r="D3958" t="s">
        <v>1261</v>
      </c>
      <c r="E3958" t="s">
        <v>1262</v>
      </c>
      <c r="F3958" t="s">
        <v>34</v>
      </c>
      <c r="G3958" t="s">
        <v>39</v>
      </c>
      <c r="H3958" t="s">
        <v>25</v>
      </c>
      <c r="I3958" t="s">
        <v>26</v>
      </c>
      <c r="J3958" t="s">
        <v>27</v>
      </c>
      <c r="K3958" t="s">
        <v>28</v>
      </c>
      <c r="L3958" s="2">
        <v>189</v>
      </c>
      <c r="M3958" s="3">
        <v>904</v>
      </c>
      <c r="N3958">
        <v>4</v>
      </c>
      <c r="O3958">
        <v>4</v>
      </c>
      <c r="P3958">
        <v>1</v>
      </c>
      <c r="Q3958">
        <v>0</v>
      </c>
      <c r="R3958" s="4">
        <v>72.959999999999994</v>
      </c>
      <c r="S3958">
        <v>0</v>
      </c>
      <c r="T3958">
        <v>1</v>
      </c>
    </row>
    <row r="3959" spans="1:20" ht="16.5" x14ac:dyDescent="0.3">
      <c r="A3959" t="s">
        <v>4013</v>
      </c>
      <c r="B3959" s="1">
        <v>45841</v>
      </c>
      <c r="C3959">
        <v>2025</v>
      </c>
      <c r="D3959" t="s">
        <v>1261</v>
      </c>
      <c r="E3959" t="s">
        <v>1262</v>
      </c>
      <c r="F3959" t="s">
        <v>34</v>
      </c>
      <c r="G3959" t="s">
        <v>35</v>
      </c>
      <c r="H3959" t="s">
        <v>25</v>
      </c>
      <c r="I3959" t="s">
        <v>26</v>
      </c>
      <c r="J3959" t="s">
        <v>27</v>
      </c>
      <c r="K3959" t="s">
        <v>28</v>
      </c>
      <c r="L3959" s="2">
        <v>62.9</v>
      </c>
      <c r="M3959" s="3">
        <v>854</v>
      </c>
      <c r="N3959">
        <v>4</v>
      </c>
      <c r="O3959">
        <v>4</v>
      </c>
      <c r="P3959">
        <v>1</v>
      </c>
      <c r="Q3959">
        <v>0</v>
      </c>
      <c r="R3959" s="4">
        <v>40.93</v>
      </c>
      <c r="S3959">
        <v>0</v>
      </c>
      <c r="T3959">
        <v>1</v>
      </c>
    </row>
    <row r="3960" spans="1:20" ht="16.5" x14ac:dyDescent="0.3">
      <c r="A3960" t="s">
        <v>4014</v>
      </c>
      <c r="B3960" s="1">
        <v>45841</v>
      </c>
      <c r="C3960">
        <v>2025</v>
      </c>
      <c r="D3960" t="s">
        <v>1261</v>
      </c>
      <c r="E3960" t="s">
        <v>1262</v>
      </c>
      <c r="F3960" t="s">
        <v>23</v>
      </c>
      <c r="G3960" t="s">
        <v>35</v>
      </c>
      <c r="H3960" t="s">
        <v>25</v>
      </c>
      <c r="I3960" t="s">
        <v>26</v>
      </c>
      <c r="J3960" t="s">
        <v>27</v>
      </c>
      <c r="K3960" t="s">
        <v>32</v>
      </c>
      <c r="L3960" s="2">
        <v>15.9</v>
      </c>
      <c r="M3960" s="3">
        <v>857</v>
      </c>
      <c r="N3960">
        <v>4</v>
      </c>
      <c r="O3960">
        <v>4</v>
      </c>
      <c r="P3960">
        <v>1</v>
      </c>
      <c r="Q3960">
        <v>0</v>
      </c>
      <c r="R3960" s="4">
        <v>24.92</v>
      </c>
      <c r="S3960">
        <v>0</v>
      </c>
      <c r="T3960">
        <v>1</v>
      </c>
    </row>
    <row r="3961" spans="1:20" ht="16.5" x14ac:dyDescent="0.3">
      <c r="A3961" t="s">
        <v>4015</v>
      </c>
      <c r="B3961" s="1">
        <v>45841</v>
      </c>
      <c r="C3961">
        <v>2025</v>
      </c>
      <c r="D3961" t="s">
        <v>1261</v>
      </c>
      <c r="E3961" t="s">
        <v>1262</v>
      </c>
      <c r="F3961" t="s">
        <v>23</v>
      </c>
      <c r="G3961" t="s">
        <v>39</v>
      </c>
      <c r="H3961" t="s">
        <v>48</v>
      </c>
      <c r="I3961" t="s">
        <v>31</v>
      </c>
      <c r="J3961" t="s">
        <v>27</v>
      </c>
      <c r="K3961" t="s">
        <v>32</v>
      </c>
      <c r="L3961" s="2">
        <v>4.8</v>
      </c>
      <c r="M3961" s="3">
        <v>594</v>
      </c>
      <c r="N3961">
        <v>6</v>
      </c>
      <c r="O3961">
        <v>6</v>
      </c>
      <c r="P3961">
        <v>1</v>
      </c>
      <c r="Q3961">
        <v>0</v>
      </c>
      <c r="R3961" s="4">
        <v>11.18</v>
      </c>
      <c r="S3961">
        <v>0</v>
      </c>
      <c r="T3961">
        <v>1</v>
      </c>
    </row>
    <row r="3962" spans="1:20" ht="16.5" x14ac:dyDescent="0.3">
      <c r="A3962" t="s">
        <v>4016</v>
      </c>
      <c r="B3962" s="1">
        <v>45842</v>
      </c>
      <c r="C3962">
        <v>2025</v>
      </c>
      <c r="D3962" t="s">
        <v>1261</v>
      </c>
      <c r="E3962" t="s">
        <v>1262</v>
      </c>
      <c r="F3962" t="s">
        <v>30</v>
      </c>
      <c r="G3962" t="s">
        <v>39</v>
      </c>
      <c r="H3962" t="s">
        <v>48</v>
      </c>
      <c r="I3962" t="s">
        <v>26</v>
      </c>
      <c r="J3962" t="s">
        <v>27</v>
      </c>
      <c r="K3962" t="s">
        <v>32</v>
      </c>
      <c r="L3962" s="2">
        <v>5.9</v>
      </c>
      <c r="M3962" s="3">
        <v>418</v>
      </c>
      <c r="N3962">
        <v>4</v>
      </c>
      <c r="O3962">
        <v>4</v>
      </c>
      <c r="P3962">
        <v>1</v>
      </c>
      <c r="Q3962">
        <v>0</v>
      </c>
      <c r="R3962" s="4">
        <v>16.25</v>
      </c>
      <c r="S3962">
        <v>0</v>
      </c>
      <c r="T3962">
        <v>1</v>
      </c>
    </row>
    <row r="3963" spans="1:20" ht="16.5" x14ac:dyDescent="0.3">
      <c r="A3963" t="s">
        <v>4017</v>
      </c>
      <c r="B3963" s="1">
        <v>45842</v>
      </c>
      <c r="C3963">
        <v>2025</v>
      </c>
      <c r="D3963" t="s">
        <v>1261</v>
      </c>
      <c r="E3963" t="s">
        <v>1262</v>
      </c>
      <c r="F3963" t="s">
        <v>57</v>
      </c>
      <c r="G3963" t="s">
        <v>24</v>
      </c>
      <c r="H3963" t="s">
        <v>51</v>
      </c>
      <c r="I3963" t="s">
        <v>31</v>
      </c>
      <c r="J3963" t="s">
        <v>27</v>
      </c>
      <c r="K3963" t="s">
        <v>32</v>
      </c>
      <c r="L3963" s="2">
        <v>5.7</v>
      </c>
      <c r="M3963" s="3">
        <v>876</v>
      </c>
      <c r="N3963">
        <v>7</v>
      </c>
      <c r="O3963">
        <v>7</v>
      </c>
      <c r="P3963">
        <v>1</v>
      </c>
      <c r="Q3963">
        <v>0</v>
      </c>
      <c r="R3963" s="4">
        <v>13.29</v>
      </c>
      <c r="S3963">
        <v>0</v>
      </c>
      <c r="T3963">
        <v>1</v>
      </c>
    </row>
    <row r="3964" spans="1:20" ht="16.5" x14ac:dyDescent="0.3">
      <c r="A3964" t="s">
        <v>4018</v>
      </c>
      <c r="B3964" s="1">
        <v>45842</v>
      </c>
      <c r="C3964">
        <v>2025</v>
      </c>
      <c r="D3964" t="s">
        <v>1261</v>
      </c>
      <c r="E3964" t="s">
        <v>1262</v>
      </c>
      <c r="F3964" t="s">
        <v>57</v>
      </c>
      <c r="G3964" t="s">
        <v>39</v>
      </c>
      <c r="H3964" t="s">
        <v>25</v>
      </c>
      <c r="I3964" t="s">
        <v>26</v>
      </c>
      <c r="J3964" t="s">
        <v>27</v>
      </c>
      <c r="K3964" t="s">
        <v>28</v>
      </c>
      <c r="L3964" s="2">
        <v>204.8</v>
      </c>
      <c r="M3964" s="3">
        <v>841</v>
      </c>
      <c r="N3964">
        <v>4</v>
      </c>
      <c r="O3964">
        <v>4</v>
      </c>
      <c r="P3964">
        <v>1</v>
      </c>
      <c r="Q3964">
        <v>0</v>
      </c>
      <c r="R3964" s="4">
        <v>103.47</v>
      </c>
      <c r="S3964">
        <v>0</v>
      </c>
      <c r="T3964">
        <v>1</v>
      </c>
    </row>
    <row r="3965" spans="1:20" ht="16.5" x14ac:dyDescent="0.3">
      <c r="A3965" t="s">
        <v>4019</v>
      </c>
      <c r="B3965" s="1">
        <v>45842</v>
      </c>
      <c r="C3965">
        <v>2025</v>
      </c>
      <c r="D3965" t="s">
        <v>1261</v>
      </c>
      <c r="E3965" t="s">
        <v>1262</v>
      </c>
      <c r="F3965" t="s">
        <v>34</v>
      </c>
      <c r="G3965" t="s">
        <v>39</v>
      </c>
      <c r="H3965" t="s">
        <v>25</v>
      </c>
      <c r="I3965" t="s">
        <v>40</v>
      </c>
      <c r="J3965" t="s">
        <v>41</v>
      </c>
      <c r="K3965" t="s">
        <v>32</v>
      </c>
      <c r="L3965" s="2">
        <v>19.399999999999999</v>
      </c>
      <c r="M3965" s="3">
        <v>1085</v>
      </c>
      <c r="N3965">
        <v>2</v>
      </c>
      <c r="O3965">
        <v>4</v>
      </c>
      <c r="P3965">
        <v>0</v>
      </c>
      <c r="Q3965">
        <v>2</v>
      </c>
      <c r="R3965" s="4">
        <v>83.8</v>
      </c>
      <c r="S3965">
        <v>0</v>
      </c>
      <c r="T3965">
        <v>1</v>
      </c>
    </row>
    <row r="3966" spans="1:20" ht="16.5" x14ac:dyDescent="0.3">
      <c r="A3966" t="s">
        <v>4020</v>
      </c>
      <c r="B3966" s="1">
        <v>45842</v>
      </c>
      <c r="C3966">
        <v>2025</v>
      </c>
      <c r="D3966" t="s">
        <v>1261</v>
      </c>
      <c r="E3966" t="s">
        <v>1262</v>
      </c>
      <c r="F3966" t="s">
        <v>23</v>
      </c>
      <c r="G3966" t="s">
        <v>35</v>
      </c>
      <c r="H3966" t="s">
        <v>36</v>
      </c>
      <c r="I3966" t="s">
        <v>31</v>
      </c>
      <c r="J3966" t="s">
        <v>27</v>
      </c>
      <c r="K3966" t="s">
        <v>32</v>
      </c>
      <c r="L3966" s="2">
        <v>4.4000000000000004</v>
      </c>
      <c r="M3966" s="3">
        <v>271</v>
      </c>
      <c r="N3966">
        <v>5</v>
      </c>
      <c r="O3966">
        <v>5</v>
      </c>
      <c r="P3966">
        <v>1</v>
      </c>
      <c r="Q3966">
        <v>0</v>
      </c>
      <c r="R3966" s="4">
        <v>9.24</v>
      </c>
      <c r="S3966">
        <v>0</v>
      </c>
      <c r="T3966">
        <v>1</v>
      </c>
    </row>
    <row r="3967" spans="1:20" ht="16.5" x14ac:dyDescent="0.3">
      <c r="A3967" t="s">
        <v>4021</v>
      </c>
      <c r="B3967" s="1">
        <v>45842</v>
      </c>
      <c r="C3967">
        <v>2025</v>
      </c>
      <c r="D3967" t="s">
        <v>1261</v>
      </c>
      <c r="E3967" t="s">
        <v>1262</v>
      </c>
      <c r="F3967" t="s">
        <v>34</v>
      </c>
      <c r="G3967" t="s">
        <v>39</v>
      </c>
      <c r="H3967" t="s">
        <v>43</v>
      </c>
      <c r="I3967" t="s">
        <v>40</v>
      </c>
      <c r="J3967" t="s">
        <v>41</v>
      </c>
      <c r="K3967" t="s">
        <v>28</v>
      </c>
      <c r="L3967" s="2">
        <v>147.9</v>
      </c>
      <c r="M3967" s="3">
        <v>1050</v>
      </c>
      <c r="N3967">
        <v>3</v>
      </c>
      <c r="O3967">
        <v>3</v>
      </c>
      <c r="P3967">
        <v>1</v>
      </c>
      <c r="Q3967">
        <v>0</v>
      </c>
      <c r="R3967" s="4">
        <v>216.46</v>
      </c>
      <c r="S3967">
        <v>0</v>
      </c>
      <c r="T3967">
        <v>1</v>
      </c>
    </row>
    <row r="3968" spans="1:20" ht="16.5" x14ac:dyDescent="0.3">
      <c r="A3968" t="s">
        <v>4022</v>
      </c>
      <c r="B3968" s="1">
        <v>45842</v>
      </c>
      <c r="C3968">
        <v>2025</v>
      </c>
      <c r="D3968" t="s">
        <v>1261</v>
      </c>
      <c r="E3968" t="s">
        <v>1262</v>
      </c>
      <c r="F3968" t="s">
        <v>34</v>
      </c>
      <c r="G3968" t="s">
        <v>24</v>
      </c>
      <c r="H3968" t="s">
        <v>36</v>
      </c>
      <c r="I3968" t="s">
        <v>26</v>
      </c>
      <c r="J3968" t="s">
        <v>27</v>
      </c>
      <c r="K3968" t="s">
        <v>32</v>
      </c>
      <c r="L3968" s="2">
        <v>11.1</v>
      </c>
      <c r="M3968" s="3">
        <v>271</v>
      </c>
      <c r="N3968">
        <v>3</v>
      </c>
      <c r="O3968">
        <v>6</v>
      </c>
      <c r="P3968">
        <v>0</v>
      </c>
      <c r="Q3968">
        <v>3</v>
      </c>
      <c r="R3968" s="4">
        <v>15.08</v>
      </c>
      <c r="S3968">
        <v>0</v>
      </c>
      <c r="T3968">
        <v>1</v>
      </c>
    </row>
    <row r="3969" spans="1:20" ht="16.5" x14ac:dyDescent="0.3">
      <c r="A3969" t="s">
        <v>4023</v>
      </c>
      <c r="B3969" s="1">
        <v>45842</v>
      </c>
      <c r="C3969">
        <v>2025</v>
      </c>
      <c r="D3969" t="s">
        <v>1261</v>
      </c>
      <c r="E3969" t="s">
        <v>1262</v>
      </c>
      <c r="F3969" t="s">
        <v>34</v>
      </c>
      <c r="G3969" t="s">
        <v>39</v>
      </c>
      <c r="H3969" t="s">
        <v>25</v>
      </c>
      <c r="I3969" t="s">
        <v>26</v>
      </c>
      <c r="J3969" t="s">
        <v>27</v>
      </c>
      <c r="K3969" t="s">
        <v>28</v>
      </c>
      <c r="L3969" s="2">
        <v>147.69999999999999</v>
      </c>
      <c r="M3969" s="3">
        <v>797</v>
      </c>
      <c r="N3969">
        <v>4</v>
      </c>
      <c r="O3969">
        <v>3</v>
      </c>
      <c r="P3969">
        <v>1</v>
      </c>
      <c r="Q3969">
        <v>0</v>
      </c>
      <c r="R3969" s="4">
        <v>63.79</v>
      </c>
      <c r="S3969">
        <v>0</v>
      </c>
      <c r="T3969">
        <v>1</v>
      </c>
    </row>
    <row r="3970" spans="1:20" ht="16.5" x14ac:dyDescent="0.3">
      <c r="A3970" t="s">
        <v>4024</v>
      </c>
      <c r="B3970" s="1">
        <v>45842</v>
      </c>
      <c r="C3970">
        <v>2025</v>
      </c>
      <c r="D3970" t="s">
        <v>1261</v>
      </c>
      <c r="E3970" t="s">
        <v>1262</v>
      </c>
      <c r="F3970" t="s">
        <v>30</v>
      </c>
      <c r="G3970" t="s">
        <v>39</v>
      </c>
      <c r="H3970" t="s">
        <v>36</v>
      </c>
      <c r="I3970" t="s">
        <v>26</v>
      </c>
      <c r="J3970" t="s">
        <v>27</v>
      </c>
      <c r="K3970" t="s">
        <v>28</v>
      </c>
      <c r="L3970" s="2">
        <v>98.5</v>
      </c>
      <c r="M3970" s="3">
        <v>264</v>
      </c>
      <c r="N3970">
        <v>3</v>
      </c>
      <c r="O3970">
        <v>4</v>
      </c>
      <c r="P3970">
        <v>0</v>
      </c>
      <c r="Q3970">
        <v>1</v>
      </c>
      <c r="R3970" s="4">
        <v>54.57</v>
      </c>
      <c r="S3970">
        <v>0</v>
      </c>
      <c r="T3970">
        <v>1</v>
      </c>
    </row>
    <row r="3971" spans="1:20" ht="16.5" x14ac:dyDescent="0.3">
      <c r="A3971" t="s">
        <v>4025</v>
      </c>
      <c r="B3971" s="1">
        <v>45842</v>
      </c>
      <c r="C3971">
        <v>2025</v>
      </c>
      <c r="D3971" t="s">
        <v>1261</v>
      </c>
      <c r="E3971" t="s">
        <v>1262</v>
      </c>
      <c r="F3971" t="s">
        <v>57</v>
      </c>
      <c r="G3971" t="s">
        <v>39</v>
      </c>
      <c r="H3971" t="s">
        <v>48</v>
      </c>
      <c r="I3971" t="s">
        <v>31</v>
      </c>
      <c r="J3971" t="s">
        <v>27</v>
      </c>
      <c r="K3971" t="s">
        <v>28</v>
      </c>
      <c r="L3971" s="2">
        <v>111.7</v>
      </c>
      <c r="M3971" s="3">
        <v>406</v>
      </c>
      <c r="N3971">
        <v>6</v>
      </c>
      <c r="O3971">
        <v>7</v>
      </c>
      <c r="P3971">
        <v>0</v>
      </c>
      <c r="Q3971">
        <v>1</v>
      </c>
      <c r="R3971" s="4">
        <v>44.27</v>
      </c>
      <c r="S3971">
        <v>0</v>
      </c>
      <c r="T3971">
        <v>1</v>
      </c>
    </row>
    <row r="3972" spans="1:20" ht="16.5" x14ac:dyDescent="0.3">
      <c r="A3972" t="s">
        <v>4026</v>
      </c>
      <c r="B3972" s="1">
        <v>45842</v>
      </c>
      <c r="C3972">
        <v>2025</v>
      </c>
      <c r="D3972" t="s">
        <v>1261</v>
      </c>
      <c r="E3972" t="s">
        <v>1262</v>
      </c>
      <c r="F3972" t="s">
        <v>30</v>
      </c>
      <c r="G3972" t="s">
        <v>35</v>
      </c>
      <c r="H3972" t="s">
        <v>36</v>
      </c>
      <c r="I3972" t="s">
        <v>26</v>
      </c>
      <c r="J3972" t="s">
        <v>27</v>
      </c>
      <c r="K3972" t="s">
        <v>32</v>
      </c>
      <c r="L3972" s="2">
        <v>2.4</v>
      </c>
      <c r="M3972" s="3">
        <v>279</v>
      </c>
      <c r="N3972">
        <v>3</v>
      </c>
      <c r="O3972">
        <v>3</v>
      </c>
      <c r="P3972">
        <v>1</v>
      </c>
      <c r="Q3972">
        <v>0</v>
      </c>
      <c r="R3972" s="4">
        <v>12.25</v>
      </c>
      <c r="S3972">
        <v>0</v>
      </c>
      <c r="T3972">
        <v>1</v>
      </c>
    </row>
    <row r="3973" spans="1:20" ht="16.5" x14ac:dyDescent="0.3">
      <c r="A3973" t="s">
        <v>4027</v>
      </c>
      <c r="B3973" s="1">
        <v>45843</v>
      </c>
      <c r="C3973">
        <v>2025</v>
      </c>
      <c r="D3973" t="s">
        <v>1261</v>
      </c>
      <c r="E3973" t="s">
        <v>1262</v>
      </c>
      <c r="F3973" t="s">
        <v>57</v>
      </c>
      <c r="G3973" t="s">
        <v>24</v>
      </c>
      <c r="H3973" t="s">
        <v>36</v>
      </c>
      <c r="I3973" t="s">
        <v>26</v>
      </c>
      <c r="J3973" t="s">
        <v>27</v>
      </c>
      <c r="K3973" t="s">
        <v>28</v>
      </c>
      <c r="L3973" s="2">
        <v>171.1</v>
      </c>
      <c r="M3973" s="3">
        <v>255</v>
      </c>
      <c r="N3973">
        <v>3</v>
      </c>
      <c r="O3973">
        <v>3</v>
      </c>
      <c r="P3973">
        <v>1</v>
      </c>
      <c r="Q3973">
        <v>0</v>
      </c>
      <c r="R3973" s="4">
        <v>75.86</v>
      </c>
      <c r="S3973">
        <v>0</v>
      </c>
      <c r="T3973">
        <v>1</v>
      </c>
    </row>
    <row r="3974" spans="1:20" ht="16.5" x14ac:dyDescent="0.3">
      <c r="A3974" t="s">
        <v>4028</v>
      </c>
      <c r="B3974" s="1">
        <v>45843</v>
      </c>
      <c r="C3974">
        <v>2025</v>
      </c>
      <c r="D3974" t="s">
        <v>1261</v>
      </c>
      <c r="E3974" t="s">
        <v>1262</v>
      </c>
      <c r="F3974" t="s">
        <v>23</v>
      </c>
      <c r="G3974" t="s">
        <v>24</v>
      </c>
      <c r="H3974" t="s">
        <v>48</v>
      </c>
      <c r="I3974" t="s">
        <v>31</v>
      </c>
      <c r="J3974" t="s">
        <v>27</v>
      </c>
      <c r="K3974" t="s">
        <v>32</v>
      </c>
      <c r="L3974" s="2">
        <v>4.2</v>
      </c>
      <c r="M3974" s="3">
        <v>520</v>
      </c>
      <c r="N3974">
        <v>6</v>
      </c>
      <c r="O3974">
        <v>6</v>
      </c>
      <c r="P3974">
        <v>1</v>
      </c>
      <c r="Q3974">
        <v>0</v>
      </c>
      <c r="R3974" s="4">
        <v>10.02</v>
      </c>
      <c r="S3974">
        <v>0</v>
      </c>
      <c r="T3974">
        <v>1</v>
      </c>
    </row>
    <row r="3975" spans="1:20" ht="16.5" x14ac:dyDescent="0.3">
      <c r="A3975" t="s">
        <v>4029</v>
      </c>
      <c r="B3975" s="1">
        <v>45843</v>
      </c>
      <c r="C3975">
        <v>2025</v>
      </c>
      <c r="D3975" t="s">
        <v>1261</v>
      </c>
      <c r="E3975" t="s">
        <v>1262</v>
      </c>
      <c r="F3975" t="s">
        <v>23</v>
      </c>
      <c r="G3975" t="s">
        <v>35</v>
      </c>
      <c r="H3975" t="s">
        <v>36</v>
      </c>
      <c r="I3975" t="s">
        <v>31</v>
      </c>
      <c r="J3975" t="s">
        <v>27</v>
      </c>
      <c r="K3975" t="s">
        <v>28</v>
      </c>
      <c r="L3975" s="2">
        <v>41.2</v>
      </c>
      <c r="M3975" s="3">
        <v>232</v>
      </c>
      <c r="N3975">
        <v>5</v>
      </c>
      <c r="O3975">
        <v>4</v>
      </c>
      <c r="P3975">
        <v>1</v>
      </c>
      <c r="Q3975">
        <v>0</v>
      </c>
      <c r="R3975" s="4">
        <v>20.88</v>
      </c>
      <c r="S3975">
        <v>0</v>
      </c>
      <c r="T3975">
        <v>1</v>
      </c>
    </row>
    <row r="3976" spans="1:20" ht="16.5" x14ac:dyDescent="0.3">
      <c r="A3976" t="s">
        <v>4030</v>
      </c>
      <c r="B3976" s="1">
        <v>45843</v>
      </c>
      <c r="C3976">
        <v>2025</v>
      </c>
      <c r="D3976" t="s">
        <v>1261</v>
      </c>
      <c r="E3976" t="s">
        <v>1262</v>
      </c>
      <c r="F3976" t="s">
        <v>30</v>
      </c>
      <c r="G3976" t="s">
        <v>24</v>
      </c>
      <c r="H3976" t="s">
        <v>25</v>
      </c>
      <c r="I3976" t="s">
        <v>31</v>
      </c>
      <c r="J3976" t="s">
        <v>27</v>
      </c>
      <c r="K3976" t="s">
        <v>32</v>
      </c>
      <c r="L3976" s="2">
        <v>1.3</v>
      </c>
      <c r="M3976" s="3">
        <v>1098</v>
      </c>
      <c r="N3976">
        <v>6</v>
      </c>
      <c r="O3976">
        <v>6</v>
      </c>
      <c r="P3976">
        <v>1</v>
      </c>
      <c r="Q3976">
        <v>0</v>
      </c>
      <c r="R3976" s="4">
        <v>14.84</v>
      </c>
      <c r="S3976">
        <v>0</v>
      </c>
      <c r="T3976">
        <v>1</v>
      </c>
    </row>
    <row r="3977" spans="1:20" ht="16.5" x14ac:dyDescent="0.3">
      <c r="A3977" t="s">
        <v>4031</v>
      </c>
      <c r="B3977" s="1">
        <v>45843</v>
      </c>
      <c r="C3977">
        <v>2025</v>
      </c>
      <c r="D3977" t="s">
        <v>1261</v>
      </c>
      <c r="E3977" t="s">
        <v>1262</v>
      </c>
      <c r="F3977" t="s">
        <v>38</v>
      </c>
      <c r="G3977" t="s">
        <v>39</v>
      </c>
      <c r="H3977" t="s">
        <v>36</v>
      </c>
      <c r="I3977" t="s">
        <v>31</v>
      </c>
      <c r="J3977" t="s">
        <v>27</v>
      </c>
      <c r="K3977" t="s">
        <v>28</v>
      </c>
      <c r="L3977" s="2">
        <v>157.19999999999999</v>
      </c>
      <c r="M3977" s="3">
        <v>206</v>
      </c>
      <c r="N3977">
        <v>5</v>
      </c>
      <c r="O3977">
        <v>4</v>
      </c>
      <c r="P3977">
        <v>1</v>
      </c>
      <c r="Q3977">
        <v>0</v>
      </c>
      <c r="R3977" s="4">
        <v>66.94</v>
      </c>
      <c r="S3977">
        <v>0</v>
      </c>
      <c r="T3977">
        <v>1</v>
      </c>
    </row>
    <row r="3978" spans="1:20" ht="16.5" x14ac:dyDescent="0.3">
      <c r="A3978" t="s">
        <v>4032</v>
      </c>
      <c r="B3978" s="1">
        <v>45843</v>
      </c>
      <c r="C3978">
        <v>2025</v>
      </c>
      <c r="D3978" t="s">
        <v>1261</v>
      </c>
      <c r="E3978" t="s">
        <v>1262</v>
      </c>
      <c r="F3978" t="s">
        <v>38</v>
      </c>
      <c r="G3978" t="s">
        <v>39</v>
      </c>
      <c r="H3978" t="s">
        <v>48</v>
      </c>
      <c r="I3978" t="s">
        <v>26</v>
      </c>
      <c r="J3978" t="s">
        <v>27</v>
      </c>
      <c r="K3978" t="s">
        <v>32</v>
      </c>
      <c r="L3978" s="2">
        <v>5.2</v>
      </c>
      <c r="M3978" s="3">
        <v>471</v>
      </c>
      <c r="N3978">
        <v>4</v>
      </c>
      <c r="O3978">
        <v>7</v>
      </c>
      <c r="P3978">
        <v>0</v>
      </c>
      <c r="Q3978">
        <v>3</v>
      </c>
      <c r="R3978" s="4">
        <v>16.54</v>
      </c>
      <c r="S3978">
        <v>0</v>
      </c>
      <c r="T3978">
        <v>1</v>
      </c>
    </row>
    <row r="3979" spans="1:20" ht="16.5" x14ac:dyDescent="0.3">
      <c r="A3979" t="s">
        <v>4033</v>
      </c>
      <c r="B3979" s="1">
        <v>45844</v>
      </c>
      <c r="C3979">
        <v>2025</v>
      </c>
      <c r="D3979" t="s">
        <v>1261</v>
      </c>
      <c r="E3979" t="s">
        <v>1262</v>
      </c>
      <c r="F3979" t="s">
        <v>57</v>
      </c>
      <c r="G3979" t="s">
        <v>24</v>
      </c>
      <c r="H3979" t="s">
        <v>48</v>
      </c>
      <c r="I3979" t="s">
        <v>26</v>
      </c>
      <c r="J3979" t="s">
        <v>27</v>
      </c>
      <c r="K3979" t="s">
        <v>32</v>
      </c>
      <c r="L3979" s="2">
        <v>6</v>
      </c>
      <c r="M3979" s="3">
        <v>559</v>
      </c>
      <c r="N3979">
        <v>4</v>
      </c>
      <c r="O3979">
        <v>4</v>
      </c>
      <c r="P3979">
        <v>1</v>
      </c>
      <c r="Q3979">
        <v>0</v>
      </c>
      <c r="R3979" s="4">
        <v>16.329999999999998</v>
      </c>
      <c r="S3979">
        <v>0</v>
      </c>
      <c r="T3979">
        <v>1</v>
      </c>
    </row>
    <row r="3980" spans="1:20" ht="16.5" x14ac:dyDescent="0.3">
      <c r="A3980" t="s">
        <v>4034</v>
      </c>
      <c r="B3980" s="1">
        <v>45844</v>
      </c>
      <c r="C3980">
        <v>2025</v>
      </c>
      <c r="D3980" t="s">
        <v>1261</v>
      </c>
      <c r="E3980" t="s">
        <v>1262</v>
      </c>
      <c r="F3980" t="s">
        <v>38</v>
      </c>
      <c r="G3980" t="s">
        <v>35</v>
      </c>
      <c r="H3980" t="s">
        <v>36</v>
      </c>
      <c r="I3980" t="s">
        <v>26</v>
      </c>
      <c r="J3980" t="s">
        <v>27</v>
      </c>
      <c r="K3980" t="s">
        <v>28</v>
      </c>
      <c r="L3980" s="2">
        <v>116</v>
      </c>
      <c r="M3980" s="3">
        <v>186</v>
      </c>
      <c r="N3980">
        <v>3</v>
      </c>
      <c r="O3980">
        <v>3</v>
      </c>
      <c r="P3980">
        <v>1</v>
      </c>
      <c r="Q3980">
        <v>0</v>
      </c>
      <c r="R3980" s="4">
        <v>65.09</v>
      </c>
      <c r="S3980">
        <v>0</v>
      </c>
      <c r="T3980">
        <v>1</v>
      </c>
    </row>
    <row r="3981" spans="1:20" ht="16.5" x14ac:dyDescent="0.3">
      <c r="A3981" t="s">
        <v>4035</v>
      </c>
      <c r="B3981" s="1">
        <v>45844</v>
      </c>
      <c r="C3981">
        <v>2025</v>
      </c>
      <c r="D3981" t="s">
        <v>1261</v>
      </c>
      <c r="E3981" t="s">
        <v>1262</v>
      </c>
      <c r="F3981" t="s">
        <v>38</v>
      </c>
      <c r="G3981" t="s">
        <v>24</v>
      </c>
      <c r="H3981" t="s">
        <v>36</v>
      </c>
      <c r="I3981" t="s">
        <v>26</v>
      </c>
      <c r="J3981" t="s">
        <v>27</v>
      </c>
      <c r="K3981" t="s">
        <v>28</v>
      </c>
      <c r="L3981" s="2">
        <v>200.3</v>
      </c>
      <c r="M3981" s="3">
        <v>159</v>
      </c>
      <c r="N3981">
        <v>3</v>
      </c>
      <c r="O3981">
        <v>3</v>
      </c>
      <c r="P3981">
        <v>1</v>
      </c>
      <c r="Q3981">
        <v>0</v>
      </c>
      <c r="R3981" s="4">
        <v>93.45</v>
      </c>
      <c r="S3981">
        <v>0</v>
      </c>
      <c r="T3981">
        <v>1</v>
      </c>
    </row>
    <row r="3982" spans="1:20" ht="16.5" x14ac:dyDescent="0.3">
      <c r="A3982" t="s">
        <v>4036</v>
      </c>
      <c r="B3982" s="1">
        <v>45844</v>
      </c>
      <c r="C3982">
        <v>2025</v>
      </c>
      <c r="D3982" t="s">
        <v>1261</v>
      </c>
      <c r="E3982" t="s">
        <v>1262</v>
      </c>
      <c r="F3982" t="s">
        <v>57</v>
      </c>
      <c r="G3982" t="s">
        <v>39</v>
      </c>
      <c r="H3982" t="s">
        <v>48</v>
      </c>
      <c r="I3982" t="s">
        <v>40</v>
      </c>
      <c r="J3982" t="s">
        <v>27</v>
      </c>
      <c r="K3982" t="s">
        <v>32</v>
      </c>
      <c r="L3982" s="2">
        <v>13.3</v>
      </c>
      <c r="M3982" s="3">
        <v>468</v>
      </c>
      <c r="N3982">
        <v>2</v>
      </c>
      <c r="O3982">
        <v>2</v>
      </c>
      <c r="P3982">
        <v>1</v>
      </c>
      <c r="Q3982">
        <v>0</v>
      </c>
      <c r="R3982" s="4">
        <v>37.44</v>
      </c>
      <c r="S3982">
        <v>0</v>
      </c>
      <c r="T3982">
        <v>1</v>
      </c>
    </row>
    <row r="3983" spans="1:20" ht="16.5" x14ac:dyDescent="0.3">
      <c r="A3983" t="s">
        <v>4037</v>
      </c>
      <c r="B3983" s="1">
        <v>45844</v>
      </c>
      <c r="C3983">
        <v>2025</v>
      </c>
      <c r="D3983" t="s">
        <v>1261</v>
      </c>
      <c r="E3983" t="s">
        <v>1262</v>
      </c>
      <c r="F3983" t="s">
        <v>23</v>
      </c>
      <c r="G3983" t="s">
        <v>35</v>
      </c>
      <c r="H3983" t="s">
        <v>36</v>
      </c>
      <c r="I3983" t="s">
        <v>31</v>
      </c>
      <c r="J3983" t="s">
        <v>27</v>
      </c>
      <c r="K3983" t="s">
        <v>28</v>
      </c>
      <c r="L3983" s="2">
        <v>313.39999999999998</v>
      </c>
      <c r="M3983" s="3">
        <v>313</v>
      </c>
      <c r="N3983">
        <v>5</v>
      </c>
      <c r="O3983">
        <v>9</v>
      </c>
      <c r="P3983">
        <v>0</v>
      </c>
      <c r="Q3983">
        <v>4</v>
      </c>
      <c r="R3983" s="4">
        <v>92.01</v>
      </c>
      <c r="S3983">
        <v>0</v>
      </c>
      <c r="T3983">
        <v>1</v>
      </c>
    </row>
    <row r="3984" spans="1:20" ht="16.5" x14ac:dyDescent="0.3">
      <c r="A3984" t="s">
        <v>4038</v>
      </c>
      <c r="B3984" s="1">
        <v>45844</v>
      </c>
      <c r="C3984">
        <v>2025</v>
      </c>
      <c r="D3984" t="s">
        <v>1261</v>
      </c>
      <c r="E3984" t="s">
        <v>1262</v>
      </c>
      <c r="F3984" t="s">
        <v>23</v>
      </c>
      <c r="G3984" t="s">
        <v>39</v>
      </c>
      <c r="H3984" t="s">
        <v>36</v>
      </c>
      <c r="I3984" t="s">
        <v>40</v>
      </c>
      <c r="J3984" t="s">
        <v>27</v>
      </c>
      <c r="K3984" t="s">
        <v>32</v>
      </c>
      <c r="L3984" s="2">
        <v>5.9</v>
      </c>
      <c r="M3984" s="3">
        <v>244</v>
      </c>
      <c r="N3984">
        <v>1</v>
      </c>
      <c r="O3984">
        <v>1</v>
      </c>
      <c r="P3984">
        <v>1</v>
      </c>
      <c r="Q3984">
        <v>0</v>
      </c>
      <c r="R3984" s="4">
        <v>22.07</v>
      </c>
      <c r="S3984">
        <v>0</v>
      </c>
      <c r="T3984">
        <v>1</v>
      </c>
    </row>
    <row r="3985" spans="1:20" ht="16.5" x14ac:dyDescent="0.3">
      <c r="A3985" t="s">
        <v>4039</v>
      </c>
      <c r="B3985" s="1">
        <v>45845</v>
      </c>
      <c r="C3985">
        <v>2025</v>
      </c>
      <c r="D3985" t="s">
        <v>1261</v>
      </c>
      <c r="E3985" t="s">
        <v>1262</v>
      </c>
      <c r="F3985" t="s">
        <v>34</v>
      </c>
      <c r="G3985" t="s">
        <v>39</v>
      </c>
      <c r="H3985" t="s">
        <v>43</v>
      </c>
      <c r="I3985" t="s">
        <v>40</v>
      </c>
      <c r="J3985" t="s">
        <v>41</v>
      </c>
      <c r="K3985" t="s">
        <v>28</v>
      </c>
      <c r="L3985" s="2">
        <v>207.5</v>
      </c>
      <c r="M3985" s="3">
        <v>926</v>
      </c>
      <c r="N3985">
        <v>3</v>
      </c>
      <c r="O3985">
        <v>6</v>
      </c>
      <c r="P3985">
        <v>0</v>
      </c>
      <c r="Q3985">
        <v>3</v>
      </c>
      <c r="R3985" s="4">
        <v>254.54</v>
      </c>
      <c r="S3985">
        <v>0</v>
      </c>
      <c r="T3985">
        <v>1</v>
      </c>
    </row>
    <row r="3986" spans="1:20" ht="16.5" x14ac:dyDescent="0.3">
      <c r="A3986" t="s">
        <v>4040</v>
      </c>
      <c r="B3986" s="1">
        <v>45845</v>
      </c>
      <c r="C3986">
        <v>2025</v>
      </c>
      <c r="D3986" t="s">
        <v>1261</v>
      </c>
      <c r="E3986" t="s">
        <v>1262</v>
      </c>
      <c r="F3986" t="s">
        <v>57</v>
      </c>
      <c r="G3986" t="s">
        <v>39</v>
      </c>
      <c r="H3986" t="s">
        <v>43</v>
      </c>
      <c r="I3986" t="s">
        <v>40</v>
      </c>
      <c r="J3986" t="s">
        <v>41</v>
      </c>
      <c r="K3986" t="s">
        <v>32</v>
      </c>
      <c r="L3986" s="2">
        <v>18.5</v>
      </c>
      <c r="M3986" s="3">
        <v>1141</v>
      </c>
      <c r="N3986">
        <v>3</v>
      </c>
      <c r="O3986">
        <v>3</v>
      </c>
      <c r="P3986">
        <v>1</v>
      </c>
      <c r="Q3986">
        <v>0</v>
      </c>
      <c r="R3986" s="4">
        <v>95.01</v>
      </c>
      <c r="S3986">
        <v>0</v>
      </c>
      <c r="T3986">
        <v>1</v>
      </c>
    </row>
    <row r="3987" spans="1:20" ht="16.5" x14ac:dyDescent="0.3">
      <c r="A3987" t="s">
        <v>4041</v>
      </c>
      <c r="B3987" s="1">
        <v>45845</v>
      </c>
      <c r="C3987">
        <v>2025</v>
      </c>
      <c r="D3987" t="s">
        <v>1261</v>
      </c>
      <c r="E3987" t="s">
        <v>1262</v>
      </c>
      <c r="F3987" t="s">
        <v>23</v>
      </c>
      <c r="G3987" t="s">
        <v>24</v>
      </c>
      <c r="H3987" t="s">
        <v>36</v>
      </c>
      <c r="I3987" t="s">
        <v>26</v>
      </c>
      <c r="J3987" t="s">
        <v>27</v>
      </c>
      <c r="K3987" t="s">
        <v>28</v>
      </c>
      <c r="L3987" s="2">
        <v>75.099999999999994</v>
      </c>
      <c r="M3987" s="3">
        <v>243</v>
      </c>
      <c r="N3987">
        <v>3</v>
      </c>
      <c r="O3987">
        <v>3</v>
      </c>
      <c r="P3987">
        <v>1</v>
      </c>
      <c r="Q3987">
        <v>0</v>
      </c>
      <c r="R3987" s="4">
        <v>41.71</v>
      </c>
      <c r="S3987">
        <v>0</v>
      </c>
      <c r="T3987">
        <v>1</v>
      </c>
    </row>
    <row r="3988" spans="1:20" ht="16.5" x14ac:dyDescent="0.3">
      <c r="A3988" t="s">
        <v>4042</v>
      </c>
      <c r="B3988" s="1">
        <v>45845</v>
      </c>
      <c r="C3988">
        <v>2025</v>
      </c>
      <c r="D3988" t="s">
        <v>1261</v>
      </c>
      <c r="E3988" t="s">
        <v>1262</v>
      </c>
      <c r="F3988" t="s">
        <v>38</v>
      </c>
      <c r="G3988" t="s">
        <v>35</v>
      </c>
      <c r="H3988" t="s">
        <v>51</v>
      </c>
      <c r="I3988" t="s">
        <v>26</v>
      </c>
      <c r="J3988" t="s">
        <v>27</v>
      </c>
      <c r="K3988" t="s">
        <v>28</v>
      </c>
      <c r="L3988" s="2">
        <v>179.9</v>
      </c>
      <c r="M3988" s="3">
        <v>881</v>
      </c>
      <c r="N3988">
        <v>5</v>
      </c>
      <c r="O3988">
        <v>5</v>
      </c>
      <c r="P3988">
        <v>1</v>
      </c>
      <c r="Q3988">
        <v>0</v>
      </c>
      <c r="R3988" s="4">
        <v>105.06</v>
      </c>
      <c r="S3988">
        <v>0</v>
      </c>
      <c r="T3988">
        <v>1</v>
      </c>
    </row>
    <row r="3989" spans="1:20" ht="16.5" x14ac:dyDescent="0.3">
      <c r="A3989" t="s">
        <v>4043</v>
      </c>
      <c r="B3989" s="1">
        <v>45845</v>
      </c>
      <c r="C3989">
        <v>2025</v>
      </c>
      <c r="D3989" t="s">
        <v>1261</v>
      </c>
      <c r="E3989" t="s">
        <v>1262</v>
      </c>
      <c r="F3989" t="s">
        <v>30</v>
      </c>
      <c r="G3989" t="s">
        <v>24</v>
      </c>
      <c r="H3989" t="s">
        <v>25</v>
      </c>
      <c r="I3989" t="s">
        <v>40</v>
      </c>
      <c r="J3989" t="s">
        <v>41</v>
      </c>
      <c r="K3989" t="s">
        <v>28</v>
      </c>
      <c r="L3989" s="2">
        <v>101.8</v>
      </c>
      <c r="M3989" s="3">
        <v>765</v>
      </c>
      <c r="N3989">
        <v>2</v>
      </c>
      <c r="O3989">
        <v>2</v>
      </c>
      <c r="P3989">
        <v>1</v>
      </c>
      <c r="Q3989">
        <v>0</v>
      </c>
      <c r="R3989" s="4">
        <v>199.63</v>
      </c>
      <c r="S3989">
        <v>0</v>
      </c>
      <c r="T3989">
        <v>1</v>
      </c>
    </row>
    <row r="3990" spans="1:20" ht="16.5" x14ac:dyDescent="0.3">
      <c r="A3990" t="s">
        <v>4044</v>
      </c>
      <c r="B3990" s="1">
        <v>45845</v>
      </c>
      <c r="C3990">
        <v>2025</v>
      </c>
      <c r="D3990" t="s">
        <v>1261</v>
      </c>
      <c r="E3990" t="s">
        <v>1262</v>
      </c>
      <c r="F3990" t="s">
        <v>34</v>
      </c>
      <c r="G3990" t="s">
        <v>39</v>
      </c>
      <c r="H3990" t="s">
        <v>36</v>
      </c>
      <c r="I3990" t="s">
        <v>31</v>
      </c>
      <c r="J3990" t="s">
        <v>27</v>
      </c>
      <c r="K3990" t="s">
        <v>28</v>
      </c>
      <c r="L3990" s="2">
        <v>130.80000000000001</v>
      </c>
      <c r="M3990" s="3">
        <v>239</v>
      </c>
      <c r="N3990">
        <v>5</v>
      </c>
      <c r="O3990">
        <v>4</v>
      </c>
      <c r="P3990">
        <v>1</v>
      </c>
      <c r="Q3990">
        <v>0</v>
      </c>
      <c r="R3990" s="4">
        <v>37.229999999999997</v>
      </c>
      <c r="S3990">
        <v>0</v>
      </c>
      <c r="T3990">
        <v>1</v>
      </c>
    </row>
    <row r="3991" spans="1:20" ht="16.5" x14ac:dyDescent="0.3">
      <c r="A3991" t="s">
        <v>4045</v>
      </c>
      <c r="B3991" s="1">
        <v>45845</v>
      </c>
      <c r="C3991">
        <v>2025</v>
      </c>
      <c r="D3991" t="s">
        <v>1261</v>
      </c>
      <c r="E3991" t="s">
        <v>1262</v>
      </c>
      <c r="F3991" t="s">
        <v>38</v>
      </c>
      <c r="G3991" t="s">
        <v>39</v>
      </c>
      <c r="H3991" t="s">
        <v>51</v>
      </c>
      <c r="I3991" t="s">
        <v>26</v>
      </c>
      <c r="J3991" t="s">
        <v>27</v>
      </c>
      <c r="K3991" t="s">
        <v>32</v>
      </c>
      <c r="L3991" s="2">
        <v>4.5</v>
      </c>
      <c r="M3991" s="3">
        <v>1230</v>
      </c>
      <c r="N3991">
        <v>5</v>
      </c>
      <c r="O3991">
        <v>5</v>
      </c>
      <c r="P3991">
        <v>1</v>
      </c>
      <c r="Q3991">
        <v>0</v>
      </c>
      <c r="R3991" s="4">
        <v>28.52</v>
      </c>
      <c r="S3991">
        <v>0</v>
      </c>
      <c r="T3991">
        <v>1</v>
      </c>
    </row>
    <row r="3992" spans="1:20" ht="16.5" x14ac:dyDescent="0.3">
      <c r="A3992" t="s">
        <v>4046</v>
      </c>
      <c r="B3992" s="1">
        <v>45845</v>
      </c>
      <c r="C3992">
        <v>2025</v>
      </c>
      <c r="D3992" t="s">
        <v>1261</v>
      </c>
      <c r="E3992" t="s">
        <v>1262</v>
      </c>
      <c r="F3992" t="s">
        <v>30</v>
      </c>
      <c r="G3992" t="s">
        <v>35</v>
      </c>
      <c r="H3992" t="s">
        <v>25</v>
      </c>
      <c r="I3992" t="s">
        <v>40</v>
      </c>
      <c r="J3992" t="s">
        <v>41</v>
      </c>
      <c r="K3992" t="s">
        <v>28</v>
      </c>
      <c r="L3992" s="2">
        <v>185</v>
      </c>
      <c r="M3992" s="3">
        <v>949</v>
      </c>
      <c r="N3992">
        <v>2</v>
      </c>
      <c r="O3992">
        <v>4</v>
      </c>
      <c r="P3992">
        <v>0</v>
      </c>
      <c r="Q3992">
        <v>2</v>
      </c>
      <c r="R3992" s="4">
        <v>310.64</v>
      </c>
      <c r="S3992">
        <v>0</v>
      </c>
      <c r="T3992">
        <v>1</v>
      </c>
    </row>
    <row r="3993" spans="1:20" ht="16.5" x14ac:dyDescent="0.3">
      <c r="A3993" t="s">
        <v>4047</v>
      </c>
      <c r="B3993" s="1">
        <v>45846</v>
      </c>
      <c r="C3993">
        <v>2025</v>
      </c>
      <c r="D3993" t="s">
        <v>1261</v>
      </c>
      <c r="E3993" t="s">
        <v>1262</v>
      </c>
      <c r="F3993" t="s">
        <v>57</v>
      </c>
      <c r="G3993" t="s">
        <v>39</v>
      </c>
      <c r="H3993" t="s">
        <v>25</v>
      </c>
      <c r="I3993" t="s">
        <v>31</v>
      </c>
      <c r="J3993" t="s">
        <v>27</v>
      </c>
      <c r="K3993" t="s">
        <v>32</v>
      </c>
      <c r="L3993" s="2">
        <v>3.3</v>
      </c>
      <c r="M3993" s="3">
        <v>883</v>
      </c>
      <c r="N3993">
        <v>6</v>
      </c>
      <c r="O3993">
        <v>6</v>
      </c>
      <c r="P3993">
        <v>1</v>
      </c>
      <c r="Q3993">
        <v>0</v>
      </c>
      <c r="R3993" s="4">
        <v>14.31</v>
      </c>
      <c r="S3993">
        <v>0</v>
      </c>
      <c r="T3993">
        <v>1</v>
      </c>
    </row>
    <row r="3994" spans="1:20" ht="16.5" x14ac:dyDescent="0.3">
      <c r="A3994" t="s">
        <v>4048</v>
      </c>
      <c r="B3994" s="1">
        <v>45846</v>
      </c>
      <c r="C3994">
        <v>2025</v>
      </c>
      <c r="D3994" t="s">
        <v>1261</v>
      </c>
      <c r="E3994" t="s">
        <v>1262</v>
      </c>
      <c r="F3994" t="s">
        <v>38</v>
      </c>
      <c r="G3994" t="s">
        <v>24</v>
      </c>
      <c r="H3994" t="s">
        <v>43</v>
      </c>
      <c r="I3994" t="s">
        <v>26</v>
      </c>
      <c r="J3994" t="s">
        <v>27</v>
      </c>
      <c r="K3994" t="s">
        <v>32</v>
      </c>
      <c r="L3994" s="2">
        <v>5.5</v>
      </c>
      <c r="M3994" s="3">
        <v>1175</v>
      </c>
      <c r="N3994">
        <v>5</v>
      </c>
      <c r="O3994">
        <v>5</v>
      </c>
      <c r="P3994">
        <v>1</v>
      </c>
      <c r="Q3994">
        <v>0</v>
      </c>
      <c r="R3994" s="4">
        <v>25.21</v>
      </c>
      <c r="S3994">
        <v>0</v>
      </c>
      <c r="T3994">
        <v>1</v>
      </c>
    </row>
    <row r="3995" spans="1:20" ht="16.5" x14ac:dyDescent="0.3">
      <c r="A3995" t="s">
        <v>4049</v>
      </c>
      <c r="B3995" s="1">
        <v>45846</v>
      </c>
      <c r="C3995">
        <v>2025</v>
      </c>
      <c r="D3995" t="s">
        <v>1261</v>
      </c>
      <c r="E3995" t="s">
        <v>1262</v>
      </c>
      <c r="F3995" t="s">
        <v>30</v>
      </c>
      <c r="G3995" t="s">
        <v>39</v>
      </c>
      <c r="H3995" t="s">
        <v>36</v>
      </c>
      <c r="I3995" t="s">
        <v>40</v>
      </c>
      <c r="J3995" t="s">
        <v>27</v>
      </c>
      <c r="K3995" t="s">
        <v>28</v>
      </c>
      <c r="L3995" s="2">
        <v>114.6</v>
      </c>
      <c r="M3995" s="3">
        <v>237</v>
      </c>
      <c r="N3995">
        <v>1</v>
      </c>
      <c r="O3995">
        <v>1</v>
      </c>
      <c r="P3995">
        <v>1</v>
      </c>
      <c r="Q3995">
        <v>0</v>
      </c>
      <c r="R3995" s="4">
        <v>111.72</v>
      </c>
      <c r="S3995">
        <v>0</v>
      </c>
      <c r="T3995">
        <v>1</v>
      </c>
    </row>
    <row r="3996" spans="1:20" ht="16.5" x14ac:dyDescent="0.3">
      <c r="A3996" t="s">
        <v>4050</v>
      </c>
      <c r="B3996" s="1">
        <v>45846</v>
      </c>
      <c r="C3996">
        <v>2025</v>
      </c>
      <c r="D3996" t="s">
        <v>1261</v>
      </c>
      <c r="E3996" t="s">
        <v>1262</v>
      </c>
      <c r="F3996" t="s">
        <v>23</v>
      </c>
      <c r="G3996" t="s">
        <v>24</v>
      </c>
      <c r="H3996" t="s">
        <v>25</v>
      </c>
      <c r="I3996" t="s">
        <v>26</v>
      </c>
      <c r="J3996" t="s">
        <v>27</v>
      </c>
      <c r="K3996" t="s">
        <v>28</v>
      </c>
      <c r="L3996" s="2">
        <v>175.8</v>
      </c>
      <c r="M3996" s="3">
        <v>797</v>
      </c>
      <c r="N3996">
        <v>4</v>
      </c>
      <c r="O3996">
        <v>4</v>
      </c>
      <c r="P3996">
        <v>1</v>
      </c>
      <c r="Q3996">
        <v>0</v>
      </c>
      <c r="R3996" s="4">
        <v>87.74</v>
      </c>
      <c r="S3996">
        <v>0</v>
      </c>
      <c r="T3996">
        <v>1</v>
      </c>
    </row>
    <row r="3997" spans="1:20" ht="16.5" x14ac:dyDescent="0.3">
      <c r="A3997" t="s">
        <v>4051</v>
      </c>
      <c r="B3997" s="1">
        <v>45846</v>
      </c>
      <c r="C3997">
        <v>2025</v>
      </c>
      <c r="D3997" t="s">
        <v>1261</v>
      </c>
      <c r="E3997" t="s">
        <v>1262</v>
      </c>
      <c r="F3997" t="s">
        <v>34</v>
      </c>
      <c r="G3997" t="s">
        <v>39</v>
      </c>
      <c r="H3997" t="s">
        <v>25</v>
      </c>
      <c r="I3997" t="s">
        <v>40</v>
      </c>
      <c r="J3997" t="s">
        <v>41</v>
      </c>
      <c r="K3997" t="s">
        <v>32</v>
      </c>
      <c r="L3997" s="2">
        <v>3.1</v>
      </c>
      <c r="M3997" s="3">
        <v>1026</v>
      </c>
      <c r="N3997">
        <v>2</v>
      </c>
      <c r="O3997">
        <v>3</v>
      </c>
      <c r="P3997">
        <v>0</v>
      </c>
      <c r="Q3997">
        <v>1</v>
      </c>
      <c r="R3997" s="4">
        <v>54.66</v>
      </c>
      <c r="S3997">
        <v>0</v>
      </c>
      <c r="T3997">
        <v>1</v>
      </c>
    </row>
    <row r="3998" spans="1:20" ht="16.5" x14ac:dyDescent="0.3">
      <c r="A3998" t="s">
        <v>4052</v>
      </c>
      <c r="B3998" s="1">
        <v>45847</v>
      </c>
      <c r="C3998">
        <v>2025</v>
      </c>
      <c r="D3998" t="s">
        <v>1261</v>
      </c>
      <c r="E3998" t="s">
        <v>1262</v>
      </c>
      <c r="F3998" t="s">
        <v>57</v>
      </c>
      <c r="G3998" t="s">
        <v>39</v>
      </c>
      <c r="H3998" t="s">
        <v>36</v>
      </c>
      <c r="I3998" t="s">
        <v>40</v>
      </c>
      <c r="J3998" t="s">
        <v>27</v>
      </c>
      <c r="K3998" t="s">
        <v>28</v>
      </c>
      <c r="L3998" s="2">
        <v>215.6</v>
      </c>
      <c r="M3998" s="3">
        <v>274</v>
      </c>
      <c r="N3998">
        <v>1</v>
      </c>
      <c r="O3998">
        <v>1</v>
      </c>
      <c r="P3998">
        <v>1</v>
      </c>
      <c r="Q3998">
        <v>0</v>
      </c>
      <c r="R3998" s="4">
        <v>191.78</v>
      </c>
      <c r="S3998">
        <v>0</v>
      </c>
      <c r="T3998">
        <v>1</v>
      </c>
    </row>
    <row r="3999" spans="1:20" ht="16.5" x14ac:dyDescent="0.3">
      <c r="A3999" t="s">
        <v>4053</v>
      </c>
      <c r="B3999" s="1">
        <v>45847</v>
      </c>
      <c r="C3999">
        <v>2025</v>
      </c>
      <c r="D3999" t="s">
        <v>1261</v>
      </c>
      <c r="E3999" t="s">
        <v>1262</v>
      </c>
      <c r="F3999" t="s">
        <v>57</v>
      </c>
      <c r="G3999" t="s">
        <v>24</v>
      </c>
      <c r="H3999" t="s">
        <v>36</v>
      </c>
      <c r="I3999" t="s">
        <v>26</v>
      </c>
      <c r="J3999" t="s">
        <v>27</v>
      </c>
      <c r="K3999" t="s">
        <v>28</v>
      </c>
      <c r="L3999" s="2">
        <v>73.8</v>
      </c>
      <c r="M3999" s="3">
        <v>318</v>
      </c>
      <c r="N3999">
        <v>3</v>
      </c>
      <c r="O3999">
        <v>3</v>
      </c>
      <c r="P3999">
        <v>1</v>
      </c>
      <c r="Q3999">
        <v>0</v>
      </c>
      <c r="R3999" s="4">
        <v>43.39</v>
      </c>
      <c r="S3999">
        <v>0</v>
      </c>
      <c r="T3999">
        <v>1</v>
      </c>
    </row>
    <row r="4000" spans="1:20" ht="16.5" x14ac:dyDescent="0.3">
      <c r="A4000" t="s">
        <v>4054</v>
      </c>
      <c r="B4000" s="1">
        <v>45847</v>
      </c>
      <c r="C4000">
        <v>2025</v>
      </c>
      <c r="D4000" t="s">
        <v>1261</v>
      </c>
      <c r="E4000" t="s">
        <v>1262</v>
      </c>
      <c r="F4000" t="s">
        <v>38</v>
      </c>
      <c r="G4000" t="s">
        <v>39</v>
      </c>
      <c r="H4000" t="s">
        <v>48</v>
      </c>
      <c r="I4000" t="s">
        <v>40</v>
      </c>
      <c r="J4000" t="s">
        <v>27</v>
      </c>
      <c r="K4000" t="s">
        <v>32</v>
      </c>
      <c r="L4000" s="2">
        <v>7.7</v>
      </c>
      <c r="M4000" s="3">
        <v>552</v>
      </c>
      <c r="N4000">
        <v>2</v>
      </c>
      <c r="O4000">
        <v>2</v>
      </c>
      <c r="P4000">
        <v>1</v>
      </c>
      <c r="Q4000">
        <v>0</v>
      </c>
      <c r="R4000" s="4">
        <v>39.51</v>
      </c>
      <c r="S4000">
        <v>0</v>
      </c>
      <c r="T4000">
        <v>1</v>
      </c>
    </row>
    <row r="4001" spans="1:20" ht="16.5" x14ac:dyDescent="0.3">
      <c r="A4001" t="s">
        <v>4055</v>
      </c>
      <c r="B4001" s="1">
        <v>45847</v>
      </c>
      <c r="C4001">
        <v>2025</v>
      </c>
      <c r="D4001" t="s">
        <v>1261</v>
      </c>
      <c r="E4001" t="s">
        <v>1262</v>
      </c>
      <c r="F4001" t="s">
        <v>34</v>
      </c>
      <c r="G4001" t="s">
        <v>39</v>
      </c>
      <c r="H4001" t="s">
        <v>48</v>
      </c>
      <c r="I4001" t="s">
        <v>26</v>
      </c>
      <c r="J4001" t="s">
        <v>27</v>
      </c>
      <c r="K4001" t="s">
        <v>32</v>
      </c>
      <c r="L4001" s="2">
        <v>1.7</v>
      </c>
      <c r="M4001" s="3">
        <v>459</v>
      </c>
      <c r="N4001">
        <v>4</v>
      </c>
      <c r="O4001">
        <v>4</v>
      </c>
      <c r="P4001">
        <v>1</v>
      </c>
      <c r="Q4001">
        <v>0</v>
      </c>
      <c r="R4001" s="4">
        <v>10.23</v>
      </c>
      <c r="S4001">
        <v>0</v>
      </c>
      <c r="T4001">
        <v>1</v>
      </c>
    </row>
    <row r="4002" spans="1:20" ht="16.5" x14ac:dyDescent="0.3">
      <c r="A4002" t="s">
        <v>4056</v>
      </c>
      <c r="B4002" s="1">
        <v>45847</v>
      </c>
      <c r="C4002">
        <v>2025</v>
      </c>
      <c r="D4002" t="s">
        <v>1261</v>
      </c>
      <c r="E4002" t="s">
        <v>1262</v>
      </c>
      <c r="F4002" t="s">
        <v>57</v>
      </c>
      <c r="G4002" t="s">
        <v>39</v>
      </c>
      <c r="H4002" t="s">
        <v>36</v>
      </c>
      <c r="I4002" t="s">
        <v>26</v>
      </c>
      <c r="J4002" t="s">
        <v>27</v>
      </c>
      <c r="K4002" t="s">
        <v>32</v>
      </c>
      <c r="L4002" s="2">
        <v>1.1000000000000001</v>
      </c>
      <c r="M4002" s="3">
        <v>225</v>
      </c>
      <c r="N4002">
        <v>3</v>
      </c>
      <c r="O4002">
        <v>2</v>
      </c>
      <c r="P4002">
        <v>1</v>
      </c>
      <c r="Q4002">
        <v>0</v>
      </c>
      <c r="R4002" s="4">
        <v>9.3800000000000008</v>
      </c>
      <c r="S4002">
        <v>0</v>
      </c>
      <c r="T4002">
        <v>1</v>
      </c>
    </row>
    <row r="4003" spans="1:20" ht="16.5" x14ac:dyDescent="0.3">
      <c r="A4003" t="s">
        <v>4057</v>
      </c>
      <c r="B4003" s="1">
        <v>45847</v>
      </c>
      <c r="C4003">
        <v>2025</v>
      </c>
      <c r="D4003" t="s">
        <v>1261</v>
      </c>
      <c r="E4003" t="s">
        <v>1262</v>
      </c>
      <c r="F4003" t="s">
        <v>57</v>
      </c>
      <c r="G4003" t="s">
        <v>35</v>
      </c>
      <c r="H4003" t="s">
        <v>36</v>
      </c>
      <c r="I4003" t="s">
        <v>26</v>
      </c>
      <c r="J4003" t="s">
        <v>27</v>
      </c>
      <c r="K4003" t="s">
        <v>28</v>
      </c>
      <c r="L4003" s="2">
        <v>160.30000000000001</v>
      </c>
      <c r="M4003" s="3">
        <v>294</v>
      </c>
      <c r="N4003">
        <v>3</v>
      </c>
      <c r="O4003">
        <v>3</v>
      </c>
      <c r="P4003">
        <v>1</v>
      </c>
      <c r="Q4003">
        <v>0</v>
      </c>
      <c r="R4003" s="4">
        <v>81.040000000000006</v>
      </c>
      <c r="S4003">
        <v>1</v>
      </c>
      <c r="T4003">
        <v>1</v>
      </c>
    </row>
    <row r="4004" spans="1:20" ht="16.5" x14ac:dyDescent="0.3">
      <c r="A4004" t="s">
        <v>4058</v>
      </c>
      <c r="B4004" s="1">
        <v>45847</v>
      </c>
      <c r="C4004">
        <v>2025</v>
      </c>
      <c r="D4004" t="s">
        <v>1261</v>
      </c>
      <c r="E4004" t="s">
        <v>1262</v>
      </c>
      <c r="F4004" t="s">
        <v>34</v>
      </c>
      <c r="G4004" t="s">
        <v>35</v>
      </c>
      <c r="H4004" t="s">
        <v>36</v>
      </c>
      <c r="I4004" t="s">
        <v>26</v>
      </c>
      <c r="J4004" t="s">
        <v>27</v>
      </c>
      <c r="K4004" t="s">
        <v>28</v>
      </c>
      <c r="L4004" s="2">
        <v>100.8</v>
      </c>
      <c r="M4004" s="3">
        <v>261</v>
      </c>
      <c r="N4004">
        <v>3</v>
      </c>
      <c r="O4004">
        <v>5</v>
      </c>
      <c r="P4004">
        <v>0</v>
      </c>
      <c r="Q4004">
        <v>2</v>
      </c>
      <c r="R4004" s="4">
        <v>46.82</v>
      </c>
      <c r="S4004">
        <v>0</v>
      </c>
      <c r="T4004">
        <v>1</v>
      </c>
    </row>
    <row r="4005" spans="1:20" ht="16.5" x14ac:dyDescent="0.3">
      <c r="A4005" t="s">
        <v>4059</v>
      </c>
      <c r="B4005" s="1">
        <v>45847</v>
      </c>
      <c r="C4005">
        <v>2025</v>
      </c>
      <c r="D4005" t="s">
        <v>1261</v>
      </c>
      <c r="E4005" t="s">
        <v>1262</v>
      </c>
      <c r="F4005" t="s">
        <v>23</v>
      </c>
      <c r="G4005" t="s">
        <v>39</v>
      </c>
      <c r="H4005" t="s">
        <v>36</v>
      </c>
      <c r="I4005" t="s">
        <v>26</v>
      </c>
      <c r="J4005" t="s">
        <v>27</v>
      </c>
      <c r="K4005" t="s">
        <v>32</v>
      </c>
      <c r="L4005" s="2">
        <v>7.9</v>
      </c>
      <c r="M4005" s="3">
        <v>261</v>
      </c>
      <c r="N4005">
        <v>3</v>
      </c>
      <c r="O4005">
        <v>3</v>
      </c>
      <c r="P4005">
        <v>1</v>
      </c>
      <c r="Q4005">
        <v>0</v>
      </c>
      <c r="R4005" s="4">
        <v>14.4</v>
      </c>
      <c r="S4005">
        <v>0</v>
      </c>
      <c r="T4005">
        <v>1</v>
      </c>
    </row>
    <row r="4006" spans="1:20" ht="16.5" x14ac:dyDescent="0.3">
      <c r="A4006" t="s">
        <v>4060</v>
      </c>
      <c r="B4006" s="1">
        <v>45847</v>
      </c>
      <c r="C4006">
        <v>2025</v>
      </c>
      <c r="D4006" t="s">
        <v>1261</v>
      </c>
      <c r="E4006" t="s">
        <v>1262</v>
      </c>
      <c r="F4006" t="s">
        <v>34</v>
      </c>
      <c r="G4006" t="s">
        <v>24</v>
      </c>
      <c r="H4006" t="s">
        <v>48</v>
      </c>
      <c r="I4006" t="s">
        <v>40</v>
      </c>
      <c r="J4006" t="s">
        <v>27</v>
      </c>
      <c r="K4006" t="s">
        <v>32</v>
      </c>
      <c r="L4006" s="2">
        <v>8.4</v>
      </c>
      <c r="M4006" s="3">
        <v>411</v>
      </c>
      <c r="N4006">
        <v>2</v>
      </c>
      <c r="O4006">
        <v>4</v>
      </c>
      <c r="P4006">
        <v>0</v>
      </c>
      <c r="Q4006">
        <v>2</v>
      </c>
      <c r="R4006" s="4">
        <v>26.15</v>
      </c>
      <c r="S4006">
        <v>0</v>
      </c>
      <c r="T4006">
        <v>1</v>
      </c>
    </row>
    <row r="4007" spans="1:20" ht="16.5" x14ac:dyDescent="0.3">
      <c r="A4007" t="s">
        <v>4061</v>
      </c>
      <c r="B4007" s="1">
        <v>45848</v>
      </c>
      <c r="C4007">
        <v>2025</v>
      </c>
      <c r="D4007" t="s">
        <v>1261</v>
      </c>
      <c r="E4007" t="s">
        <v>1262</v>
      </c>
      <c r="F4007" t="s">
        <v>57</v>
      </c>
      <c r="G4007" t="s">
        <v>24</v>
      </c>
      <c r="H4007" t="s">
        <v>25</v>
      </c>
      <c r="I4007" t="s">
        <v>26</v>
      </c>
      <c r="J4007" t="s">
        <v>27</v>
      </c>
      <c r="K4007" t="s">
        <v>32</v>
      </c>
      <c r="L4007" s="2">
        <v>7</v>
      </c>
      <c r="M4007" s="3">
        <v>979</v>
      </c>
      <c r="N4007">
        <v>4</v>
      </c>
      <c r="O4007">
        <v>4</v>
      </c>
      <c r="P4007">
        <v>1</v>
      </c>
      <c r="Q4007">
        <v>0</v>
      </c>
      <c r="R4007" s="4">
        <v>26.27</v>
      </c>
      <c r="S4007">
        <v>0</v>
      </c>
      <c r="T4007">
        <v>1</v>
      </c>
    </row>
    <row r="4008" spans="1:20" ht="16.5" x14ac:dyDescent="0.3">
      <c r="A4008" t="s">
        <v>4062</v>
      </c>
      <c r="B4008" s="1">
        <v>45848</v>
      </c>
      <c r="C4008">
        <v>2025</v>
      </c>
      <c r="D4008" t="s">
        <v>1261</v>
      </c>
      <c r="E4008" t="s">
        <v>1262</v>
      </c>
      <c r="F4008" t="s">
        <v>23</v>
      </c>
      <c r="G4008" t="s">
        <v>35</v>
      </c>
      <c r="H4008" t="s">
        <v>48</v>
      </c>
      <c r="I4008" t="s">
        <v>31</v>
      </c>
      <c r="J4008" t="s">
        <v>27</v>
      </c>
      <c r="K4008" t="s">
        <v>32</v>
      </c>
      <c r="L4008" s="2">
        <v>13.8</v>
      </c>
      <c r="M4008" s="3">
        <v>434</v>
      </c>
      <c r="N4008">
        <v>6</v>
      </c>
      <c r="O4008">
        <v>6</v>
      </c>
      <c r="P4008">
        <v>1</v>
      </c>
      <c r="Q4008">
        <v>0</v>
      </c>
      <c r="R4008" s="4">
        <v>12.59</v>
      </c>
      <c r="S4008">
        <v>0</v>
      </c>
      <c r="T4008">
        <v>1</v>
      </c>
    </row>
    <row r="4009" spans="1:20" ht="16.5" x14ac:dyDescent="0.3">
      <c r="A4009" t="s">
        <v>4063</v>
      </c>
      <c r="B4009" s="1">
        <v>45848</v>
      </c>
      <c r="C4009">
        <v>2025</v>
      </c>
      <c r="D4009" t="s">
        <v>1261</v>
      </c>
      <c r="E4009" t="s">
        <v>1262</v>
      </c>
      <c r="F4009" t="s">
        <v>38</v>
      </c>
      <c r="G4009" t="s">
        <v>35</v>
      </c>
      <c r="H4009" t="s">
        <v>51</v>
      </c>
      <c r="I4009" t="s">
        <v>40</v>
      </c>
      <c r="J4009" t="s">
        <v>41</v>
      </c>
      <c r="K4009" t="s">
        <v>32</v>
      </c>
      <c r="L4009" s="2">
        <v>5.7</v>
      </c>
      <c r="M4009" s="3">
        <v>1169</v>
      </c>
      <c r="N4009">
        <v>3</v>
      </c>
      <c r="O4009">
        <v>3</v>
      </c>
      <c r="P4009">
        <v>1</v>
      </c>
      <c r="Q4009">
        <v>0</v>
      </c>
      <c r="R4009" s="4">
        <v>78.180000000000007</v>
      </c>
      <c r="S4009">
        <v>0</v>
      </c>
      <c r="T4009">
        <v>1</v>
      </c>
    </row>
    <row r="4010" spans="1:20" ht="16.5" x14ac:dyDescent="0.3">
      <c r="A4010" t="s">
        <v>4064</v>
      </c>
      <c r="B4010" s="1">
        <v>45848</v>
      </c>
      <c r="C4010">
        <v>2025</v>
      </c>
      <c r="D4010" t="s">
        <v>1261</v>
      </c>
      <c r="E4010" t="s">
        <v>1262</v>
      </c>
      <c r="F4010" t="s">
        <v>57</v>
      </c>
      <c r="G4010" t="s">
        <v>35</v>
      </c>
      <c r="H4010" t="s">
        <v>36</v>
      </c>
      <c r="I4010" t="s">
        <v>26</v>
      </c>
      <c r="J4010" t="s">
        <v>27</v>
      </c>
      <c r="K4010" t="s">
        <v>32</v>
      </c>
      <c r="L4010" s="2">
        <v>14.3</v>
      </c>
      <c r="M4010" s="3">
        <v>318</v>
      </c>
      <c r="N4010">
        <v>3</v>
      </c>
      <c r="O4010">
        <v>3</v>
      </c>
      <c r="P4010">
        <v>1</v>
      </c>
      <c r="Q4010">
        <v>0</v>
      </c>
      <c r="R4010" s="4">
        <v>17.97</v>
      </c>
      <c r="S4010">
        <v>0</v>
      </c>
      <c r="T4010">
        <v>1</v>
      </c>
    </row>
    <row r="4011" spans="1:20" ht="16.5" x14ac:dyDescent="0.3">
      <c r="A4011" t="s">
        <v>4065</v>
      </c>
      <c r="B4011" s="1">
        <v>45848</v>
      </c>
      <c r="C4011">
        <v>2025</v>
      </c>
      <c r="D4011" t="s">
        <v>1261</v>
      </c>
      <c r="E4011" t="s">
        <v>1262</v>
      </c>
      <c r="F4011" t="s">
        <v>38</v>
      </c>
      <c r="G4011" t="s">
        <v>39</v>
      </c>
      <c r="H4011" t="s">
        <v>25</v>
      </c>
      <c r="I4011" t="s">
        <v>31</v>
      </c>
      <c r="J4011" t="s">
        <v>27</v>
      </c>
      <c r="K4011" t="s">
        <v>32</v>
      </c>
      <c r="L4011" s="2">
        <v>6.8</v>
      </c>
      <c r="M4011" s="3">
        <v>872</v>
      </c>
      <c r="N4011">
        <v>6</v>
      </c>
      <c r="O4011">
        <v>6</v>
      </c>
      <c r="P4011">
        <v>1</v>
      </c>
      <c r="Q4011">
        <v>0</v>
      </c>
      <c r="R4011" s="4">
        <v>15.3</v>
      </c>
      <c r="S4011">
        <v>0</v>
      </c>
      <c r="T4011">
        <v>1</v>
      </c>
    </row>
    <row r="4012" spans="1:20" ht="16.5" x14ac:dyDescent="0.3">
      <c r="A4012" t="s">
        <v>4066</v>
      </c>
      <c r="B4012" s="1">
        <v>45848</v>
      </c>
      <c r="C4012">
        <v>2025</v>
      </c>
      <c r="D4012" t="s">
        <v>1261</v>
      </c>
      <c r="E4012" t="s">
        <v>1262</v>
      </c>
      <c r="F4012" t="s">
        <v>57</v>
      </c>
      <c r="G4012" t="s">
        <v>35</v>
      </c>
      <c r="H4012" t="s">
        <v>48</v>
      </c>
      <c r="I4012" t="s">
        <v>31</v>
      </c>
      <c r="J4012" t="s">
        <v>27</v>
      </c>
      <c r="K4012" t="s">
        <v>28</v>
      </c>
      <c r="L4012" s="2">
        <v>63.5</v>
      </c>
      <c r="M4012" s="3">
        <v>477</v>
      </c>
      <c r="N4012">
        <v>6</v>
      </c>
      <c r="O4012">
        <v>5</v>
      </c>
      <c r="P4012">
        <v>1</v>
      </c>
      <c r="Q4012">
        <v>0</v>
      </c>
      <c r="R4012" s="4">
        <v>33.06</v>
      </c>
      <c r="S4012">
        <v>0</v>
      </c>
      <c r="T4012">
        <v>1</v>
      </c>
    </row>
    <row r="4013" spans="1:20" ht="16.5" x14ac:dyDescent="0.3">
      <c r="A4013" t="s">
        <v>4067</v>
      </c>
      <c r="B4013" s="1">
        <v>45848</v>
      </c>
      <c r="C4013">
        <v>2025</v>
      </c>
      <c r="D4013" t="s">
        <v>1261</v>
      </c>
      <c r="E4013" t="s">
        <v>1262</v>
      </c>
      <c r="F4013" t="s">
        <v>57</v>
      </c>
      <c r="G4013" t="s">
        <v>39</v>
      </c>
      <c r="H4013" t="s">
        <v>25</v>
      </c>
      <c r="I4013" t="s">
        <v>26</v>
      </c>
      <c r="J4013" t="s">
        <v>27</v>
      </c>
      <c r="K4013" t="s">
        <v>32</v>
      </c>
      <c r="L4013" s="2">
        <v>14.2</v>
      </c>
      <c r="M4013" s="3">
        <v>937</v>
      </c>
      <c r="N4013">
        <v>4</v>
      </c>
      <c r="O4013">
        <v>4</v>
      </c>
      <c r="P4013">
        <v>1</v>
      </c>
      <c r="Q4013">
        <v>0</v>
      </c>
      <c r="R4013" s="4">
        <v>27.17</v>
      </c>
      <c r="S4013">
        <v>0</v>
      </c>
      <c r="T4013">
        <v>1</v>
      </c>
    </row>
    <row r="4014" spans="1:20" ht="16.5" x14ac:dyDescent="0.3">
      <c r="A4014" t="s">
        <v>4068</v>
      </c>
      <c r="B4014" s="1">
        <v>45848</v>
      </c>
      <c r="C4014">
        <v>2025</v>
      </c>
      <c r="D4014" t="s">
        <v>1261</v>
      </c>
      <c r="E4014" t="s">
        <v>1262</v>
      </c>
      <c r="F4014" t="s">
        <v>30</v>
      </c>
      <c r="G4014" t="s">
        <v>39</v>
      </c>
      <c r="H4014" t="s">
        <v>25</v>
      </c>
      <c r="I4014" t="s">
        <v>26</v>
      </c>
      <c r="J4014" t="s">
        <v>27</v>
      </c>
      <c r="K4014" t="s">
        <v>32</v>
      </c>
      <c r="L4014" s="2">
        <v>7.3</v>
      </c>
      <c r="M4014" s="3">
        <v>941</v>
      </c>
      <c r="N4014">
        <v>4</v>
      </c>
      <c r="O4014">
        <v>6</v>
      </c>
      <c r="P4014">
        <v>0</v>
      </c>
      <c r="Q4014">
        <v>2</v>
      </c>
      <c r="R4014" s="4">
        <v>22.93</v>
      </c>
      <c r="S4014">
        <v>0</v>
      </c>
      <c r="T4014">
        <v>1</v>
      </c>
    </row>
    <row r="4015" spans="1:20" ht="16.5" x14ac:dyDescent="0.3">
      <c r="A4015" t="s">
        <v>4069</v>
      </c>
      <c r="B4015" s="1">
        <v>45848</v>
      </c>
      <c r="C4015">
        <v>2025</v>
      </c>
      <c r="D4015" t="s">
        <v>1261</v>
      </c>
      <c r="E4015" t="s">
        <v>1262</v>
      </c>
      <c r="F4015" t="s">
        <v>34</v>
      </c>
      <c r="G4015" t="s">
        <v>39</v>
      </c>
      <c r="H4015" t="s">
        <v>43</v>
      </c>
      <c r="I4015" t="s">
        <v>26</v>
      </c>
      <c r="J4015" t="s">
        <v>27</v>
      </c>
      <c r="K4015" t="s">
        <v>32</v>
      </c>
      <c r="L4015" s="2">
        <v>2.4</v>
      </c>
      <c r="M4015" s="3">
        <v>1067</v>
      </c>
      <c r="N4015">
        <v>5</v>
      </c>
      <c r="O4015">
        <v>4</v>
      </c>
      <c r="P4015">
        <v>1</v>
      </c>
      <c r="Q4015">
        <v>0</v>
      </c>
      <c r="R4015" s="4">
        <v>16.899999999999999</v>
      </c>
      <c r="S4015">
        <v>0</v>
      </c>
      <c r="T4015">
        <v>1</v>
      </c>
    </row>
    <row r="4016" spans="1:20" ht="16.5" x14ac:dyDescent="0.3">
      <c r="A4016" t="s">
        <v>4070</v>
      </c>
      <c r="B4016" s="1">
        <v>45848</v>
      </c>
      <c r="C4016">
        <v>2025</v>
      </c>
      <c r="D4016" t="s">
        <v>1261</v>
      </c>
      <c r="E4016" t="s">
        <v>1262</v>
      </c>
      <c r="F4016" t="s">
        <v>23</v>
      </c>
      <c r="G4016" t="s">
        <v>24</v>
      </c>
      <c r="H4016" t="s">
        <v>25</v>
      </c>
      <c r="I4016" t="s">
        <v>26</v>
      </c>
      <c r="J4016" t="s">
        <v>27</v>
      </c>
      <c r="K4016" t="s">
        <v>32</v>
      </c>
      <c r="L4016" s="2">
        <v>10.4</v>
      </c>
      <c r="M4016" s="3">
        <v>954</v>
      </c>
      <c r="N4016">
        <v>4</v>
      </c>
      <c r="O4016">
        <v>6</v>
      </c>
      <c r="P4016">
        <v>0</v>
      </c>
      <c r="Q4016">
        <v>2</v>
      </c>
      <c r="R4016" s="4">
        <v>24.94</v>
      </c>
      <c r="S4016">
        <v>0</v>
      </c>
      <c r="T4016">
        <v>1</v>
      </c>
    </row>
    <row r="4017" spans="1:20" ht="16.5" x14ac:dyDescent="0.3">
      <c r="A4017" t="s">
        <v>4071</v>
      </c>
      <c r="B4017" s="1">
        <v>45849</v>
      </c>
      <c r="C4017">
        <v>2025</v>
      </c>
      <c r="D4017" t="s">
        <v>1261</v>
      </c>
      <c r="E4017" t="s">
        <v>1262</v>
      </c>
      <c r="F4017" t="s">
        <v>38</v>
      </c>
      <c r="G4017" t="s">
        <v>35</v>
      </c>
      <c r="H4017" t="s">
        <v>48</v>
      </c>
      <c r="I4017" t="s">
        <v>31</v>
      </c>
      <c r="J4017" t="s">
        <v>27</v>
      </c>
      <c r="K4017" t="s">
        <v>28</v>
      </c>
      <c r="L4017" s="2">
        <v>145.4</v>
      </c>
      <c r="M4017" s="3">
        <v>511</v>
      </c>
      <c r="N4017">
        <v>6</v>
      </c>
      <c r="O4017">
        <v>5</v>
      </c>
      <c r="P4017">
        <v>1</v>
      </c>
      <c r="Q4017">
        <v>0</v>
      </c>
      <c r="R4017" s="4">
        <v>56.05</v>
      </c>
      <c r="S4017">
        <v>0</v>
      </c>
      <c r="T4017">
        <v>1</v>
      </c>
    </row>
    <row r="4018" spans="1:20" ht="16.5" x14ac:dyDescent="0.3">
      <c r="A4018" t="s">
        <v>4072</v>
      </c>
      <c r="B4018" s="1">
        <v>45849</v>
      </c>
      <c r="C4018">
        <v>2025</v>
      </c>
      <c r="D4018" t="s">
        <v>1261</v>
      </c>
      <c r="E4018" t="s">
        <v>1262</v>
      </c>
      <c r="F4018" t="s">
        <v>38</v>
      </c>
      <c r="G4018" t="s">
        <v>35</v>
      </c>
      <c r="H4018" t="s">
        <v>25</v>
      </c>
      <c r="I4018" t="s">
        <v>26</v>
      </c>
      <c r="J4018" t="s">
        <v>27</v>
      </c>
      <c r="K4018" t="s">
        <v>28</v>
      </c>
      <c r="L4018" s="2">
        <v>45.4</v>
      </c>
      <c r="M4018" s="3">
        <v>709</v>
      </c>
      <c r="N4018">
        <v>4</v>
      </c>
      <c r="O4018">
        <v>4</v>
      </c>
      <c r="P4018">
        <v>1</v>
      </c>
      <c r="Q4018">
        <v>0</v>
      </c>
      <c r="R4018" s="4">
        <v>40.590000000000003</v>
      </c>
      <c r="S4018">
        <v>0</v>
      </c>
      <c r="T4018">
        <v>1</v>
      </c>
    </row>
    <row r="4019" spans="1:20" ht="16.5" x14ac:dyDescent="0.3">
      <c r="A4019" t="s">
        <v>4073</v>
      </c>
      <c r="B4019" s="1">
        <v>45849</v>
      </c>
      <c r="C4019">
        <v>2025</v>
      </c>
      <c r="D4019" t="s">
        <v>1261</v>
      </c>
      <c r="E4019" t="s">
        <v>1262</v>
      </c>
      <c r="F4019" t="s">
        <v>30</v>
      </c>
      <c r="G4019" t="s">
        <v>35</v>
      </c>
      <c r="H4019" t="s">
        <v>36</v>
      </c>
      <c r="I4019" t="s">
        <v>26</v>
      </c>
      <c r="J4019" t="s">
        <v>27</v>
      </c>
      <c r="K4019" t="s">
        <v>28</v>
      </c>
      <c r="L4019" s="2">
        <v>156.19999999999999</v>
      </c>
      <c r="M4019" s="3">
        <v>219</v>
      </c>
      <c r="N4019">
        <v>3</v>
      </c>
      <c r="O4019">
        <v>3</v>
      </c>
      <c r="P4019">
        <v>1</v>
      </c>
      <c r="Q4019">
        <v>0</v>
      </c>
      <c r="R4019" s="4">
        <v>77.459999999999994</v>
      </c>
      <c r="S4019">
        <v>0</v>
      </c>
      <c r="T4019">
        <v>1</v>
      </c>
    </row>
    <row r="4020" spans="1:20" ht="16.5" x14ac:dyDescent="0.3">
      <c r="A4020" t="s">
        <v>4074</v>
      </c>
      <c r="B4020" s="1">
        <v>45849</v>
      </c>
      <c r="C4020">
        <v>2025</v>
      </c>
      <c r="D4020" t="s">
        <v>1261</v>
      </c>
      <c r="E4020" t="s">
        <v>1262</v>
      </c>
      <c r="F4020" t="s">
        <v>57</v>
      </c>
      <c r="G4020" t="s">
        <v>39</v>
      </c>
      <c r="H4020" t="s">
        <v>43</v>
      </c>
      <c r="I4020" t="s">
        <v>26</v>
      </c>
      <c r="J4020" t="s">
        <v>27</v>
      </c>
      <c r="K4020" t="s">
        <v>32</v>
      </c>
      <c r="L4020" s="2">
        <v>3.3</v>
      </c>
      <c r="M4020" s="3">
        <v>983</v>
      </c>
      <c r="N4020">
        <v>5</v>
      </c>
      <c r="O4020">
        <v>5</v>
      </c>
      <c r="P4020">
        <v>1</v>
      </c>
      <c r="Q4020">
        <v>0</v>
      </c>
      <c r="R4020" s="4">
        <v>18.11</v>
      </c>
      <c r="S4020">
        <v>0</v>
      </c>
      <c r="T4020">
        <v>1</v>
      </c>
    </row>
    <row r="4021" spans="1:20" ht="16.5" x14ac:dyDescent="0.3">
      <c r="A4021" t="s">
        <v>4075</v>
      </c>
      <c r="B4021" s="1">
        <v>45849</v>
      </c>
      <c r="C4021">
        <v>2025</v>
      </c>
      <c r="D4021" t="s">
        <v>1261</v>
      </c>
      <c r="E4021" t="s">
        <v>1262</v>
      </c>
      <c r="F4021" t="s">
        <v>38</v>
      </c>
      <c r="G4021" t="s">
        <v>35</v>
      </c>
      <c r="H4021" t="s">
        <v>25</v>
      </c>
      <c r="I4021" t="s">
        <v>31</v>
      </c>
      <c r="J4021" t="s">
        <v>27</v>
      </c>
      <c r="K4021" t="s">
        <v>28</v>
      </c>
      <c r="L4021" s="2">
        <v>195</v>
      </c>
      <c r="M4021" s="3">
        <v>967</v>
      </c>
      <c r="N4021">
        <v>6</v>
      </c>
      <c r="O4021">
        <v>6</v>
      </c>
      <c r="P4021">
        <v>1</v>
      </c>
      <c r="Q4021">
        <v>0</v>
      </c>
      <c r="R4021" s="4">
        <v>77.739999999999995</v>
      </c>
      <c r="S4021">
        <v>0</v>
      </c>
      <c r="T4021">
        <v>1</v>
      </c>
    </row>
    <row r="4022" spans="1:20" ht="16.5" x14ac:dyDescent="0.3">
      <c r="A4022" t="s">
        <v>4076</v>
      </c>
      <c r="B4022" s="1">
        <v>45849</v>
      </c>
      <c r="C4022">
        <v>2025</v>
      </c>
      <c r="D4022" t="s">
        <v>1261</v>
      </c>
      <c r="E4022" t="s">
        <v>1262</v>
      </c>
      <c r="F4022" t="s">
        <v>34</v>
      </c>
      <c r="G4022" t="s">
        <v>39</v>
      </c>
      <c r="H4022" t="s">
        <v>36</v>
      </c>
      <c r="I4022" t="s">
        <v>26</v>
      </c>
      <c r="J4022" t="s">
        <v>27</v>
      </c>
      <c r="K4022" t="s">
        <v>32</v>
      </c>
      <c r="L4022" s="2">
        <v>5.3</v>
      </c>
      <c r="M4022" s="3">
        <v>277</v>
      </c>
      <c r="N4022">
        <v>3</v>
      </c>
      <c r="O4022">
        <v>3</v>
      </c>
      <c r="P4022">
        <v>1</v>
      </c>
      <c r="Q4022">
        <v>0</v>
      </c>
      <c r="R4022" s="4">
        <v>11.59</v>
      </c>
      <c r="S4022">
        <v>0</v>
      </c>
      <c r="T4022">
        <v>1</v>
      </c>
    </row>
    <row r="4023" spans="1:20" ht="16.5" x14ac:dyDescent="0.3">
      <c r="A4023" t="s">
        <v>4077</v>
      </c>
      <c r="B4023" s="1">
        <v>45849</v>
      </c>
      <c r="C4023">
        <v>2025</v>
      </c>
      <c r="D4023" t="s">
        <v>1261</v>
      </c>
      <c r="E4023" t="s">
        <v>1262</v>
      </c>
      <c r="F4023" t="s">
        <v>38</v>
      </c>
      <c r="G4023" t="s">
        <v>24</v>
      </c>
      <c r="H4023" t="s">
        <v>25</v>
      </c>
      <c r="I4023" t="s">
        <v>26</v>
      </c>
      <c r="J4023" t="s">
        <v>27</v>
      </c>
      <c r="K4023" t="s">
        <v>28</v>
      </c>
      <c r="L4023" s="2">
        <v>297.10000000000002</v>
      </c>
      <c r="M4023" s="3">
        <v>592</v>
      </c>
      <c r="N4023">
        <v>4</v>
      </c>
      <c r="O4023">
        <v>4</v>
      </c>
      <c r="P4023">
        <v>1</v>
      </c>
      <c r="Q4023">
        <v>0</v>
      </c>
      <c r="R4023" s="4">
        <v>136.32</v>
      </c>
      <c r="S4023">
        <v>0</v>
      </c>
      <c r="T4023">
        <v>1</v>
      </c>
    </row>
    <row r="4024" spans="1:20" ht="16.5" x14ac:dyDescent="0.3">
      <c r="A4024" t="s">
        <v>4078</v>
      </c>
      <c r="B4024" s="1">
        <v>45849</v>
      </c>
      <c r="C4024">
        <v>2025</v>
      </c>
      <c r="D4024" t="s">
        <v>1261</v>
      </c>
      <c r="E4024" t="s">
        <v>1262</v>
      </c>
      <c r="F4024" t="s">
        <v>34</v>
      </c>
      <c r="G4024" t="s">
        <v>39</v>
      </c>
      <c r="H4024" t="s">
        <v>25</v>
      </c>
      <c r="I4024" t="s">
        <v>40</v>
      </c>
      <c r="J4024" t="s">
        <v>41</v>
      </c>
      <c r="K4024" t="s">
        <v>32</v>
      </c>
      <c r="L4024" s="2">
        <v>9.1999999999999993</v>
      </c>
      <c r="M4024" s="3">
        <v>1029</v>
      </c>
      <c r="N4024">
        <v>2</v>
      </c>
      <c r="O4024">
        <v>1</v>
      </c>
      <c r="P4024">
        <v>1</v>
      </c>
      <c r="Q4024">
        <v>0</v>
      </c>
      <c r="R4024" s="4">
        <v>68.75</v>
      </c>
      <c r="S4024">
        <v>0</v>
      </c>
      <c r="T4024">
        <v>1</v>
      </c>
    </row>
    <row r="4025" spans="1:20" ht="16.5" x14ac:dyDescent="0.3">
      <c r="A4025" t="s">
        <v>4079</v>
      </c>
      <c r="B4025" s="1">
        <v>45849</v>
      </c>
      <c r="C4025">
        <v>2025</v>
      </c>
      <c r="D4025" t="s">
        <v>1261</v>
      </c>
      <c r="E4025" t="s">
        <v>1262</v>
      </c>
      <c r="F4025" t="s">
        <v>57</v>
      </c>
      <c r="G4025" t="s">
        <v>24</v>
      </c>
      <c r="H4025" t="s">
        <v>36</v>
      </c>
      <c r="I4025" t="s">
        <v>40</v>
      </c>
      <c r="J4025" t="s">
        <v>27</v>
      </c>
      <c r="K4025" t="s">
        <v>32</v>
      </c>
      <c r="L4025" s="2">
        <v>9.9</v>
      </c>
      <c r="M4025" s="3">
        <v>233</v>
      </c>
      <c r="N4025">
        <v>1</v>
      </c>
      <c r="O4025">
        <v>1</v>
      </c>
      <c r="P4025">
        <v>1</v>
      </c>
      <c r="Q4025">
        <v>0</v>
      </c>
      <c r="R4025" s="4">
        <v>27.49</v>
      </c>
      <c r="S4025">
        <v>0</v>
      </c>
      <c r="T4025">
        <v>1</v>
      </c>
    </row>
    <row r="4026" spans="1:20" ht="16.5" x14ac:dyDescent="0.3">
      <c r="A4026" t="s">
        <v>4080</v>
      </c>
      <c r="B4026" s="1">
        <v>45850</v>
      </c>
      <c r="C4026">
        <v>2025</v>
      </c>
      <c r="D4026" t="s">
        <v>1261</v>
      </c>
      <c r="E4026" t="s">
        <v>1262</v>
      </c>
      <c r="F4026" t="s">
        <v>34</v>
      </c>
      <c r="G4026" t="s">
        <v>39</v>
      </c>
      <c r="H4026" t="s">
        <v>25</v>
      </c>
      <c r="I4026" t="s">
        <v>31</v>
      </c>
      <c r="J4026" t="s">
        <v>27</v>
      </c>
      <c r="K4026" t="s">
        <v>28</v>
      </c>
      <c r="L4026" s="2">
        <v>245.8</v>
      </c>
      <c r="M4026" s="3">
        <v>985</v>
      </c>
      <c r="N4026">
        <v>6</v>
      </c>
      <c r="O4026">
        <v>5</v>
      </c>
      <c r="P4026">
        <v>1</v>
      </c>
      <c r="Q4026">
        <v>0</v>
      </c>
      <c r="R4026" s="4">
        <v>76.930000000000007</v>
      </c>
      <c r="S4026">
        <v>0</v>
      </c>
      <c r="T4026">
        <v>1</v>
      </c>
    </row>
    <row r="4027" spans="1:20" ht="16.5" x14ac:dyDescent="0.3">
      <c r="A4027" t="s">
        <v>4081</v>
      </c>
      <c r="B4027" s="1">
        <v>45850</v>
      </c>
      <c r="C4027">
        <v>2025</v>
      </c>
      <c r="D4027" t="s">
        <v>1261</v>
      </c>
      <c r="E4027" t="s">
        <v>1262</v>
      </c>
      <c r="F4027" t="s">
        <v>57</v>
      </c>
      <c r="G4027" t="s">
        <v>35</v>
      </c>
      <c r="H4027" t="s">
        <v>25</v>
      </c>
      <c r="I4027" t="s">
        <v>26</v>
      </c>
      <c r="J4027" t="s">
        <v>27</v>
      </c>
      <c r="K4027" t="s">
        <v>32</v>
      </c>
      <c r="L4027" s="2">
        <v>2.5</v>
      </c>
      <c r="M4027" s="3">
        <v>990</v>
      </c>
      <c r="N4027">
        <v>4</v>
      </c>
      <c r="O4027">
        <v>4</v>
      </c>
      <c r="P4027">
        <v>1</v>
      </c>
      <c r="Q4027">
        <v>0</v>
      </c>
      <c r="R4027" s="4">
        <v>19.78</v>
      </c>
      <c r="S4027">
        <v>0</v>
      </c>
      <c r="T4027">
        <v>1</v>
      </c>
    </row>
    <row r="4028" spans="1:20" ht="16.5" x14ac:dyDescent="0.3">
      <c r="A4028" t="s">
        <v>4082</v>
      </c>
      <c r="B4028" s="1">
        <v>45850</v>
      </c>
      <c r="C4028">
        <v>2025</v>
      </c>
      <c r="D4028" t="s">
        <v>1261</v>
      </c>
      <c r="E4028" t="s">
        <v>1262</v>
      </c>
      <c r="F4028" t="s">
        <v>34</v>
      </c>
      <c r="G4028" t="s">
        <v>35</v>
      </c>
      <c r="H4028" t="s">
        <v>36</v>
      </c>
      <c r="I4028" t="s">
        <v>31</v>
      </c>
      <c r="J4028" t="s">
        <v>27</v>
      </c>
      <c r="K4028" t="s">
        <v>32</v>
      </c>
      <c r="L4028" s="2">
        <v>6.9</v>
      </c>
      <c r="M4028" s="3">
        <v>298</v>
      </c>
      <c r="N4028">
        <v>5</v>
      </c>
      <c r="O4028">
        <v>5</v>
      </c>
      <c r="P4028">
        <v>1</v>
      </c>
      <c r="Q4028">
        <v>0</v>
      </c>
      <c r="R4028" s="4">
        <v>8.4</v>
      </c>
      <c r="S4028">
        <v>0</v>
      </c>
      <c r="T4028">
        <v>1</v>
      </c>
    </row>
    <row r="4029" spans="1:20" ht="16.5" x14ac:dyDescent="0.3">
      <c r="A4029" t="s">
        <v>4083</v>
      </c>
      <c r="B4029" s="1">
        <v>45851</v>
      </c>
      <c r="C4029">
        <v>2025</v>
      </c>
      <c r="D4029" t="s">
        <v>1261</v>
      </c>
      <c r="E4029" t="s">
        <v>1262</v>
      </c>
      <c r="F4029" t="s">
        <v>23</v>
      </c>
      <c r="G4029" t="s">
        <v>24</v>
      </c>
      <c r="H4029" t="s">
        <v>51</v>
      </c>
      <c r="I4029" t="s">
        <v>26</v>
      </c>
      <c r="J4029" t="s">
        <v>27</v>
      </c>
      <c r="K4029" t="s">
        <v>32</v>
      </c>
      <c r="L4029" s="2">
        <v>6.5</v>
      </c>
      <c r="M4029" s="3">
        <v>1253</v>
      </c>
      <c r="N4029">
        <v>5</v>
      </c>
      <c r="O4029">
        <v>7</v>
      </c>
      <c r="P4029">
        <v>0</v>
      </c>
      <c r="Q4029">
        <v>2</v>
      </c>
      <c r="R4029" s="4">
        <v>25.3</v>
      </c>
      <c r="S4029">
        <v>0</v>
      </c>
      <c r="T4029">
        <v>1</v>
      </c>
    </row>
    <row r="4030" spans="1:20" ht="16.5" x14ac:dyDescent="0.3">
      <c r="A4030" t="s">
        <v>4084</v>
      </c>
      <c r="B4030" s="1">
        <v>45852</v>
      </c>
      <c r="C4030">
        <v>2025</v>
      </c>
      <c r="D4030" t="s">
        <v>1261</v>
      </c>
      <c r="E4030" t="s">
        <v>1262</v>
      </c>
      <c r="F4030" t="s">
        <v>38</v>
      </c>
      <c r="G4030" t="s">
        <v>35</v>
      </c>
      <c r="H4030" t="s">
        <v>25</v>
      </c>
      <c r="I4030" t="s">
        <v>26</v>
      </c>
      <c r="J4030" t="s">
        <v>27</v>
      </c>
      <c r="K4030" t="s">
        <v>32</v>
      </c>
      <c r="L4030" s="2">
        <v>6.9</v>
      </c>
      <c r="M4030" s="3">
        <v>965</v>
      </c>
      <c r="N4030">
        <v>4</v>
      </c>
      <c r="O4030">
        <v>4</v>
      </c>
      <c r="P4030">
        <v>1</v>
      </c>
      <c r="Q4030">
        <v>0</v>
      </c>
      <c r="R4030" s="4">
        <v>26.5</v>
      </c>
      <c r="S4030">
        <v>0</v>
      </c>
      <c r="T4030">
        <v>1</v>
      </c>
    </row>
    <row r="4031" spans="1:20" ht="16.5" x14ac:dyDescent="0.3">
      <c r="A4031" t="s">
        <v>4085</v>
      </c>
      <c r="B4031" s="1">
        <v>45852</v>
      </c>
      <c r="C4031">
        <v>2025</v>
      </c>
      <c r="D4031" t="s">
        <v>1261</v>
      </c>
      <c r="E4031" t="s">
        <v>1262</v>
      </c>
      <c r="F4031" t="s">
        <v>34</v>
      </c>
      <c r="G4031" t="s">
        <v>39</v>
      </c>
      <c r="H4031" t="s">
        <v>51</v>
      </c>
      <c r="I4031" t="s">
        <v>26</v>
      </c>
      <c r="J4031" t="s">
        <v>27</v>
      </c>
      <c r="K4031" t="s">
        <v>28</v>
      </c>
      <c r="L4031" s="2">
        <v>35.700000000000003</v>
      </c>
      <c r="M4031" s="3">
        <v>764</v>
      </c>
      <c r="N4031">
        <v>5</v>
      </c>
      <c r="O4031">
        <v>5</v>
      </c>
      <c r="P4031">
        <v>1</v>
      </c>
      <c r="Q4031">
        <v>0</v>
      </c>
      <c r="R4031" s="4">
        <v>28.92</v>
      </c>
      <c r="S4031">
        <v>0</v>
      </c>
      <c r="T4031">
        <v>1</v>
      </c>
    </row>
    <row r="4032" spans="1:20" ht="16.5" x14ac:dyDescent="0.3">
      <c r="A4032" t="s">
        <v>4086</v>
      </c>
      <c r="B4032" s="1">
        <v>45852</v>
      </c>
      <c r="C4032">
        <v>2025</v>
      </c>
      <c r="D4032" t="s">
        <v>1261</v>
      </c>
      <c r="E4032" t="s">
        <v>1262</v>
      </c>
      <c r="F4032" t="s">
        <v>30</v>
      </c>
      <c r="G4032" t="s">
        <v>35</v>
      </c>
      <c r="H4032" t="s">
        <v>36</v>
      </c>
      <c r="I4032" t="s">
        <v>31</v>
      </c>
      <c r="J4032" t="s">
        <v>27</v>
      </c>
      <c r="K4032" t="s">
        <v>28</v>
      </c>
      <c r="L4032" s="2">
        <v>24.7</v>
      </c>
      <c r="M4032" s="3">
        <v>258</v>
      </c>
      <c r="N4032">
        <v>5</v>
      </c>
      <c r="O4032">
        <v>4</v>
      </c>
      <c r="P4032">
        <v>1</v>
      </c>
      <c r="Q4032">
        <v>0</v>
      </c>
      <c r="R4032" s="4">
        <v>17.64</v>
      </c>
      <c r="S4032">
        <v>0</v>
      </c>
      <c r="T4032">
        <v>1</v>
      </c>
    </row>
    <row r="4033" spans="1:20" ht="16.5" x14ac:dyDescent="0.3">
      <c r="A4033" t="s">
        <v>4087</v>
      </c>
      <c r="B4033" s="1">
        <v>45852</v>
      </c>
      <c r="C4033">
        <v>2025</v>
      </c>
      <c r="D4033" t="s">
        <v>1261</v>
      </c>
      <c r="E4033" t="s">
        <v>1262</v>
      </c>
      <c r="F4033" t="s">
        <v>23</v>
      </c>
      <c r="G4033" t="s">
        <v>39</v>
      </c>
      <c r="H4033" t="s">
        <v>36</v>
      </c>
      <c r="I4033" t="s">
        <v>26</v>
      </c>
      <c r="J4033" t="s">
        <v>27</v>
      </c>
      <c r="K4033" t="s">
        <v>28</v>
      </c>
      <c r="L4033" s="2">
        <v>291</v>
      </c>
      <c r="M4033" s="3">
        <v>260</v>
      </c>
      <c r="N4033">
        <v>3</v>
      </c>
      <c r="O4033">
        <v>3</v>
      </c>
      <c r="P4033">
        <v>1</v>
      </c>
      <c r="Q4033">
        <v>0</v>
      </c>
      <c r="R4033" s="4">
        <v>110.95</v>
      </c>
      <c r="S4033">
        <v>0</v>
      </c>
      <c r="T4033">
        <v>1</v>
      </c>
    </row>
    <row r="4034" spans="1:20" ht="16.5" x14ac:dyDescent="0.3">
      <c r="A4034" t="s">
        <v>4088</v>
      </c>
      <c r="B4034" s="1">
        <v>45852</v>
      </c>
      <c r="C4034">
        <v>2025</v>
      </c>
      <c r="D4034" t="s">
        <v>1261</v>
      </c>
      <c r="E4034" t="s">
        <v>1262</v>
      </c>
      <c r="F4034" t="s">
        <v>23</v>
      </c>
      <c r="G4034" t="s">
        <v>35</v>
      </c>
      <c r="H4034" t="s">
        <v>51</v>
      </c>
      <c r="I4034" t="s">
        <v>26</v>
      </c>
      <c r="J4034" t="s">
        <v>27</v>
      </c>
      <c r="K4034" t="s">
        <v>32</v>
      </c>
      <c r="L4034" s="2">
        <v>3.2</v>
      </c>
      <c r="M4034" s="3">
        <v>948</v>
      </c>
      <c r="N4034">
        <v>5</v>
      </c>
      <c r="O4034">
        <v>4</v>
      </c>
      <c r="P4034">
        <v>1</v>
      </c>
      <c r="Q4034">
        <v>0</v>
      </c>
      <c r="R4034" s="4">
        <v>19.010000000000002</v>
      </c>
      <c r="S4034">
        <v>0</v>
      </c>
      <c r="T4034">
        <v>1</v>
      </c>
    </row>
    <row r="4035" spans="1:20" ht="16.5" x14ac:dyDescent="0.3">
      <c r="A4035" t="s">
        <v>4089</v>
      </c>
      <c r="B4035" s="1">
        <v>45852</v>
      </c>
      <c r="C4035">
        <v>2025</v>
      </c>
      <c r="D4035" t="s">
        <v>1261</v>
      </c>
      <c r="E4035" t="s">
        <v>1262</v>
      </c>
      <c r="F4035" t="s">
        <v>57</v>
      </c>
      <c r="G4035" t="s">
        <v>35</v>
      </c>
      <c r="H4035" t="s">
        <v>36</v>
      </c>
      <c r="I4035" t="s">
        <v>26</v>
      </c>
      <c r="J4035" t="s">
        <v>27</v>
      </c>
      <c r="K4035" t="s">
        <v>28</v>
      </c>
      <c r="L4035" s="2">
        <v>167.8</v>
      </c>
      <c r="M4035" s="3">
        <v>149</v>
      </c>
      <c r="N4035">
        <v>3</v>
      </c>
      <c r="O4035">
        <v>2</v>
      </c>
      <c r="P4035">
        <v>1</v>
      </c>
      <c r="Q4035">
        <v>0</v>
      </c>
      <c r="R4035" s="4">
        <v>79.319999999999993</v>
      </c>
      <c r="S4035">
        <v>0</v>
      </c>
      <c r="T4035">
        <v>1</v>
      </c>
    </row>
    <row r="4036" spans="1:20" ht="16.5" x14ac:dyDescent="0.3">
      <c r="A4036" t="s">
        <v>4090</v>
      </c>
      <c r="B4036" s="1">
        <v>45852</v>
      </c>
      <c r="C4036">
        <v>2025</v>
      </c>
      <c r="D4036" t="s">
        <v>1261</v>
      </c>
      <c r="E4036" t="s">
        <v>1262</v>
      </c>
      <c r="F4036" t="s">
        <v>30</v>
      </c>
      <c r="G4036" t="s">
        <v>39</v>
      </c>
      <c r="H4036" t="s">
        <v>36</v>
      </c>
      <c r="I4036" t="s">
        <v>26</v>
      </c>
      <c r="J4036" t="s">
        <v>27</v>
      </c>
      <c r="K4036" t="s">
        <v>32</v>
      </c>
      <c r="L4036" s="2">
        <v>6</v>
      </c>
      <c r="M4036" s="3">
        <v>279</v>
      </c>
      <c r="N4036">
        <v>3</v>
      </c>
      <c r="O4036">
        <v>2</v>
      </c>
      <c r="P4036">
        <v>1</v>
      </c>
      <c r="Q4036">
        <v>0</v>
      </c>
      <c r="R4036" s="4">
        <v>14.26</v>
      </c>
      <c r="S4036">
        <v>0</v>
      </c>
      <c r="T4036">
        <v>1</v>
      </c>
    </row>
    <row r="4037" spans="1:20" ht="16.5" x14ac:dyDescent="0.3">
      <c r="A4037" t="s">
        <v>4091</v>
      </c>
      <c r="B4037" s="1">
        <v>45852</v>
      </c>
      <c r="C4037">
        <v>2025</v>
      </c>
      <c r="D4037" t="s">
        <v>1261</v>
      </c>
      <c r="E4037" t="s">
        <v>1262</v>
      </c>
      <c r="F4037" t="s">
        <v>30</v>
      </c>
      <c r="G4037" t="s">
        <v>39</v>
      </c>
      <c r="H4037" t="s">
        <v>48</v>
      </c>
      <c r="I4037" t="s">
        <v>26</v>
      </c>
      <c r="J4037" t="s">
        <v>27</v>
      </c>
      <c r="K4037" t="s">
        <v>32</v>
      </c>
      <c r="L4037" s="2">
        <v>3.3</v>
      </c>
      <c r="M4037" s="3">
        <v>522</v>
      </c>
      <c r="N4037">
        <v>4</v>
      </c>
      <c r="O4037">
        <v>4</v>
      </c>
      <c r="P4037">
        <v>1</v>
      </c>
      <c r="Q4037">
        <v>0</v>
      </c>
      <c r="R4037" s="4">
        <v>15.38</v>
      </c>
      <c r="S4037">
        <v>0</v>
      </c>
      <c r="T4037">
        <v>1</v>
      </c>
    </row>
    <row r="4038" spans="1:20" ht="16.5" x14ac:dyDescent="0.3">
      <c r="A4038" t="s">
        <v>4092</v>
      </c>
      <c r="B4038" s="1">
        <v>45852</v>
      </c>
      <c r="C4038">
        <v>2025</v>
      </c>
      <c r="D4038" t="s">
        <v>1261</v>
      </c>
      <c r="E4038" t="s">
        <v>1262</v>
      </c>
      <c r="F4038" t="s">
        <v>38</v>
      </c>
      <c r="G4038" t="s">
        <v>39</v>
      </c>
      <c r="H4038" t="s">
        <v>43</v>
      </c>
      <c r="I4038" t="s">
        <v>26</v>
      </c>
      <c r="J4038" t="s">
        <v>27</v>
      </c>
      <c r="K4038" t="s">
        <v>32</v>
      </c>
      <c r="L4038" s="2">
        <v>36.200000000000003</v>
      </c>
      <c r="M4038" s="3">
        <v>1535</v>
      </c>
      <c r="N4038">
        <v>5</v>
      </c>
      <c r="O4038">
        <v>5</v>
      </c>
      <c r="P4038">
        <v>1</v>
      </c>
      <c r="Q4038">
        <v>0</v>
      </c>
      <c r="R4038" s="4">
        <v>50.55</v>
      </c>
      <c r="S4038">
        <v>0</v>
      </c>
      <c r="T4038">
        <v>1</v>
      </c>
    </row>
    <row r="4039" spans="1:20" ht="16.5" x14ac:dyDescent="0.3">
      <c r="A4039" t="s">
        <v>4093</v>
      </c>
      <c r="B4039" s="1">
        <v>45852</v>
      </c>
      <c r="C4039">
        <v>2025</v>
      </c>
      <c r="D4039" t="s">
        <v>1261</v>
      </c>
      <c r="E4039" t="s">
        <v>1262</v>
      </c>
      <c r="F4039" t="s">
        <v>23</v>
      </c>
      <c r="G4039" t="s">
        <v>39</v>
      </c>
      <c r="H4039" t="s">
        <v>36</v>
      </c>
      <c r="I4039" t="s">
        <v>26</v>
      </c>
      <c r="J4039" t="s">
        <v>27</v>
      </c>
      <c r="K4039" t="s">
        <v>28</v>
      </c>
      <c r="L4039" s="2">
        <v>175.8</v>
      </c>
      <c r="M4039" s="3">
        <v>187</v>
      </c>
      <c r="N4039">
        <v>3</v>
      </c>
      <c r="O4039">
        <v>3</v>
      </c>
      <c r="P4039">
        <v>1</v>
      </c>
      <c r="Q4039">
        <v>0</v>
      </c>
      <c r="R4039" s="4">
        <v>79.16</v>
      </c>
      <c r="S4039">
        <v>0</v>
      </c>
      <c r="T4039">
        <v>1</v>
      </c>
    </row>
    <row r="4040" spans="1:20" ht="16.5" x14ac:dyDescent="0.3">
      <c r="A4040" t="s">
        <v>4094</v>
      </c>
      <c r="B4040" s="1">
        <v>45853</v>
      </c>
      <c r="C4040">
        <v>2025</v>
      </c>
      <c r="D4040" t="s">
        <v>1261</v>
      </c>
      <c r="E4040" t="s">
        <v>1262</v>
      </c>
      <c r="F4040" t="s">
        <v>38</v>
      </c>
      <c r="G4040" t="s">
        <v>39</v>
      </c>
      <c r="H4040" t="s">
        <v>51</v>
      </c>
      <c r="I4040" t="s">
        <v>26</v>
      </c>
      <c r="J4040" t="s">
        <v>27</v>
      </c>
      <c r="K4040" t="s">
        <v>28</v>
      </c>
      <c r="L4040" s="2">
        <v>107.4</v>
      </c>
      <c r="M4040" s="3">
        <v>1137</v>
      </c>
      <c r="N4040">
        <v>5</v>
      </c>
      <c r="O4040">
        <v>5</v>
      </c>
      <c r="P4040">
        <v>1</v>
      </c>
      <c r="Q4040">
        <v>0</v>
      </c>
      <c r="R4040" s="4">
        <v>71.55</v>
      </c>
      <c r="S4040">
        <v>0</v>
      </c>
      <c r="T4040">
        <v>1</v>
      </c>
    </row>
    <row r="4041" spans="1:20" ht="16.5" x14ac:dyDescent="0.3">
      <c r="A4041" t="s">
        <v>4095</v>
      </c>
      <c r="B4041" s="1">
        <v>45853</v>
      </c>
      <c r="C4041">
        <v>2025</v>
      </c>
      <c r="D4041" t="s">
        <v>1261</v>
      </c>
      <c r="E4041" t="s">
        <v>1262</v>
      </c>
      <c r="F4041" t="s">
        <v>38</v>
      </c>
      <c r="G4041" t="s">
        <v>39</v>
      </c>
      <c r="H4041" t="s">
        <v>36</v>
      </c>
      <c r="I4041" t="s">
        <v>26</v>
      </c>
      <c r="J4041" t="s">
        <v>27</v>
      </c>
      <c r="K4041" t="s">
        <v>32</v>
      </c>
      <c r="L4041" s="2">
        <v>11.9</v>
      </c>
      <c r="M4041" s="3">
        <v>260</v>
      </c>
      <c r="N4041">
        <v>3</v>
      </c>
      <c r="O4041">
        <v>2</v>
      </c>
      <c r="P4041">
        <v>1</v>
      </c>
      <c r="Q4041">
        <v>0</v>
      </c>
      <c r="R4041" s="4">
        <v>17.059999999999999</v>
      </c>
      <c r="S4041">
        <v>0</v>
      </c>
      <c r="T4041">
        <v>1</v>
      </c>
    </row>
    <row r="4042" spans="1:20" ht="16.5" x14ac:dyDescent="0.3">
      <c r="A4042" t="s">
        <v>4096</v>
      </c>
      <c r="B4042" s="1">
        <v>45853</v>
      </c>
      <c r="C4042">
        <v>2025</v>
      </c>
      <c r="D4042" t="s">
        <v>1261</v>
      </c>
      <c r="E4042" t="s">
        <v>1262</v>
      </c>
      <c r="F4042" t="s">
        <v>38</v>
      </c>
      <c r="G4042" t="s">
        <v>39</v>
      </c>
      <c r="H4042" t="s">
        <v>48</v>
      </c>
      <c r="I4042" t="s">
        <v>26</v>
      </c>
      <c r="J4042" t="s">
        <v>27</v>
      </c>
      <c r="K4042" t="s">
        <v>32</v>
      </c>
      <c r="L4042" s="2">
        <v>4</v>
      </c>
      <c r="M4042" s="3">
        <v>478</v>
      </c>
      <c r="N4042">
        <v>4</v>
      </c>
      <c r="O4042">
        <v>4</v>
      </c>
      <c r="P4042">
        <v>1</v>
      </c>
      <c r="Q4042">
        <v>0</v>
      </c>
      <c r="R4042" s="4">
        <v>17.29</v>
      </c>
      <c r="S4042">
        <v>0</v>
      </c>
      <c r="T4042">
        <v>1</v>
      </c>
    </row>
    <row r="4043" spans="1:20" ht="16.5" x14ac:dyDescent="0.3">
      <c r="A4043" t="s">
        <v>4097</v>
      </c>
      <c r="B4043" s="1">
        <v>45854</v>
      </c>
      <c r="C4043">
        <v>2025</v>
      </c>
      <c r="D4043" t="s">
        <v>1261</v>
      </c>
      <c r="E4043" t="s">
        <v>1262</v>
      </c>
      <c r="F4043" t="s">
        <v>34</v>
      </c>
      <c r="G4043" t="s">
        <v>35</v>
      </c>
      <c r="H4043" t="s">
        <v>48</v>
      </c>
      <c r="I4043" t="s">
        <v>26</v>
      </c>
      <c r="J4043" t="s">
        <v>27</v>
      </c>
      <c r="K4043" t="s">
        <v>28</v>
      </c>
      <c r="L4043" s="2">
        <v>236.2</v>
      </c>
      <c r="M4043" s="3">
        <v>500</v>
      </c>
      <c r="N4043">
        <v>4</v>
      </c>
      <c r="O4043">
        <v>3</v>
      </c>
      <c r="P4043">
        <v>1</v>
      </c>
      <c r="Q4043">
        <v>0</v>
      </c>
      <c r="R4043" s="4">
        <v>97.83</v>
      </c>
      <c r="S4043">
        <v>0</v>
      </c>
      <c r="T4043">
        <v>1</v>
      </c>
    </row>
    <row r="4044" spans="1:20" ht="16.5" x14ac:dyDescent="0.3">
      <c r="A4044" t="s">
        <v>4098</v>
      </c>
      <c r="B4044" s="1">
        <v>45854</v>
      </c>
      <c r="C4044">
        <v>2025</v>
      </c>
      <c r="D4044" t="s">
        <v>1261</v>
      </c>
      <c r="E4044" t="s">
        <v>1262</v>
      </c>
      <c r="F4044" t="s">
        <v>23</v>
      </c>
      <c r="G4044" t="s">
        <v>39</v>
      </c>
      <c r="H4044" t="s">
        <v>48</v>
      </c>
      <c r="I4044" t="s">
        <v>31</v>
      </c>
      <c r="J4044" t="s">
        <v>27</v>
      </c>
      <c r="K4044" t="s">
        <v>32</v>
      </c>
      <c r="L4044" s="2">
        <v>2.2000000000000002</v>
      </c>
      <c r="M4044" s="3">
        <v>503</v>
      </c>
      <c r="N4044">
        <v>6</v>
      </c>
      <c r="O4044">
        <v>6</v>
      </c>
      <c r="P4044">
        <v>1</v>
      </c>
      <c r="Q4044">
        <v>0</v>
      </c>
      <c r="R4044" s="4">
        <v>9.7200000000000006</v>
      </c>
      <c r="S4044">
        <v>0</v>
      </c>
      <c r="T4044">
        <v>1</v>
      </c>
    </row>
    <row r="4045" spans="1:20" ht="16.5" x14ac:dyDescent="0.3">
      <c r="A4045" t="s">
        <v>4099</v>
      </c>
      <c r="B4045" s="1">
        <v>45854</v>
      </c>
      <c r="C4045">
        <v>2025</v>
      </c>
      <c r="D4045" t="s">
        <v>1261</v>
      </c>
      <c r="E4045" t="s">
        <v>1262</v>
      </c>
      <c r="F4045" t="s">
        <v>57</v>
      </c>
      <c r="G4045" t="s">
        <v>24</v>
      </c>
      <c r="H4045" t="s">
        <v>48</v>
      </c>
      <c r="I4045" t="s">
        <v>26</v>
      </c>
      <c r="J4045" t="s">
        <v>27</v>
      </c>
      <c r="K4045" t="s">
        <v>28</v>
      </c>
      <c r="L4045" s="2">
        <v>28.7</v>
      </c>
      <c r="M4045" s="3">
        <v>524</v>
      </c>
      <c r="N4045">
        <v>4</v>
      </c>
      <c r="O4045">
        <v>4</v>
      </c>
      <c r="P4045">
        <v>1</v>
      </c>
      <c r="Q4045">
        <v>0</v>
      </c>
      <c r="R4045" s="4">
        <v>30.1</v>
      </c>
      <c r="S4045">
        <v>0</v>
      </c>
      <c r="T4045">
        <v>1</v>
      </c>
    </row>
    <row r="4046" spans="1:20" ht="16.5" x14ac:dyDescent="0.3">
      <c r="A4046" t="s">
        <v>4100</v>
      </c>
      <c r="B4046" s="1">
        <v>45854</v>
      </c>
      <c r="C4046">
        <v>2025</v>
      </c>
      <c r="D4046" t="s">
        <v>1261</v>
      </c>
      <c r="E4046" t="s">
        <v>1262</v>
      </c>
      <c r="F4046" t="s">
        <v>30</v>
      </c>
      <c r="G4046" t="s">
        <v>39</v>
      </c>
      <c r="H4046" t="s">
        <v>25</v>
      </c>
      <c r="I4046" t="s">
        <v>26</v>
      </c>
      <c r="J4046" t="s">
        <v>27</v>
      </c>
      <c r="K4046" t="s">
        <v>32</v>
      </c>
      <c r="L4046" s="2">
        <v>3.9</v>
      </c>
      <c r="M4046" s="3">
        <v>795</v>
      </c>
      <c r="N4046">
        <v>4</v>
      </c>
      <c r="O4046">
        <v>4</v>
      </c>
      <c r="P4046">
        <v>1</v>
      </c>
      <c r="Q4046">
        <v>0</v>
      </c>
      <c r="R4046" s="4">
        <v>21.25</v>
      </c>
      <c r="S4046">
        <v>0</v>
      </c>
      <c r="T4046">
        <v>1</v>
      </c>
    </row>
    <row r="4047" spans="1:20" ht="16.5" x14ac:dyDescent="0.3">
      <c r="A4047" t="s">
        <v>4101</v>
      </c>
      <c r="B4047" s="1">
        <v>45854</v>
      </c>
      <c r="C4047">
        <v>2025</v>
      </c>
      <c r="D4047" t="s">
        <v>1261</v>
      </c>
      <c r="E4047" t="s">
        <v>1262</v>
      </c>
      <c r="F4047" t="s">
        <v>30</v>
      </c>
      <c r="G4047" t="s">
        <v>24</v>
      </c>
      <c r="H4047" t="s">
        <v>48</v>
      </c>
      <c r="I4047" t="s">
        <v>31</v>
      </c>
      <c r="J4047" t="s">
        <v>27</v>
      </c>
      <c r="K4047" t="s">
        <v>32</v>
      </c>
      <c r="L4047" s="2">
        <v>3</v>
      </c>
      <c r="M4047" s="3">
        <v>478</v>
      </c>
      <c r="N4047">
        <v>6</v>
      </c>
      <c r="O4047">
        <v>6</v>
      </c>
      <c r="P4047">
        <v>1</v>
      </c>
      <c r="Q4047">
        <v>0</v>
      </c>
      <c r="R4047" s="4">
        <v>10.81</v>
      </c>
      <c r="S4047">
        <v>0</v>
      </c>
      <c r="T4047">
        <v>1</v>
      </c>
    </row>
    <row r="4048" spans="1:20" ht="16.5" x14ac:dyDescent="0.3">
      <c r="A4048" t="s">
        <v>4102</v>
      </c>
      <c r="B4048" s="1">
        <v>45854</v>
      </c>
      <c r="C4048">
        <v>2025</v>
      </c>
      <c r="D4048" t="s">
        <v>1261</v>
      </c>
      <c r="E4048" t="s">
        <v>1262</v>
      </c>
      <c r="F4048" t="s">
        <v>30</v>
      </c>
      <c r="G4048" t="s">
        <v>35</v>
      </c>
      <c r="H4048" t="s">
        <v>43</v>
      </c>
      <c r="I4048" t="s">
        <v>26</v>
      </c>
      <c r="J4048" t="s">
        <v>27</v>
      </c>
      <c r="K4048" t="s">
        <v>32</v>
      </c>
      <c r="L4048" s="2">
        <v>8.1</v>
      </c>
      <c r="M4048" s="3">
        <v>1112</v>
      </c>
      <c r="N4048">
        <v>5</v>
      </c>
      <c r="O4048">
        <v>4</v>
      </c>
      <c r="P4048">
        <v>1</v>
      </c>
      <c r="Q4048">
        <v>0</v>
      </c>
      <c r="R4048" s="4">
        <v>24.79</v>
      </c>
      <c r="S4048">
        <v>0</v>
      </c>
      <c r="T4048">
        <v>1</v>
      </c>
    </row>
    <row r="4049" spans="1:20" ht="16.5" x14ac:dyDescent="0.3">
      <c r="A4049" t="s">
        <v>4103</v>
      </c>
      <c r="B4049" s="1">
        <v>45855</v>
      </c>
      <c r="C4049">
        <v>2025</v>
      </c>
      <c r="D4049" t="s">
        <v>1261</v>
      </c>
      <c r="E4049" t="s">
        <v>1262</v>
      </c>
      <c r="F4049" t="s">
        <v>23</v>
      </c>
      <c r="G4049" t="s">
        <v>39</v>
      </c>
      <c r="H4049" t="s">
        <v>43</v>
      </c>
      <c r="I4049" t="s">
        <v>40</v>
      </c>
      <c r="J4049" t="s">
        <v>41</v>
      </c>
      <c r="K4049" t="s">
        <v>28</v>
      </c>
      <c r="L4049" s="2">
        <v>60.4</v>
      </c>
      <c r="M4049" s="3">
        <v>1043</v>
      </c>
      <c r="N4049">
        <v>3</v>
      </c>
      <c r="O4049">
        <v>4</v>
      </c>
      <c r="P4049">
        <v>0</v>
      </c>
      <c r="Q4049">
        <v>1</v>
      </c>
      <c r="R4049" s="4">
        <v>135.28</v>
      </c>
      <c r="S4049">
        <v>0</v>
      </c>
      <c r="T4049">
        <v>1</v>
      </c>
    </row>
    <row r="4050" spans="1:20" ht="16.5" x14ac:dyDescent="0.3">
      <c r="A4050" t="s">
        <v>4104</v>
      </c>
      <c r="B4050" s="1">
        <v>45855</v>
      </c>
      <c r="C4050">
        <v>2025</v>
      </c>
      <c r="D4050" t="s">
        <v>1261</v>
      </c>
      <c r="E4050" t="s">
        <v>1262</v>
      </c>
      <c r="F4050" t="s">
        <v>38</v>
      </c>
      <c r="G4050" t="s">
        <v>35</v>
      </c>
      <c r="H4050" t="s">
        <v>25</v>
      </c>
      <c r="I4050" t="s">
        <v>26</v>
      </c>
      <c r="J4050" t="s">
        <v>27</v>
      </c>
      <c r="K4050" t="s">
        <v>28</v>
      </c>
      <c r="L4050" s="2">
        <v>185</v>
      </c>
      <c r="M4050" s="3">
        <v>1042</v>
      </c>
      <c r="N4050">
        <v>4</v>
      </c>
      <c r="O4050">
        <v>4</v>
      </c>
      <c r="P4050">
        <v>1</v>
      </c>
      <c r="Q4050">
        <v>0</v>
      </c>
      <c r="R4050" s="4">
        <v>99.87</v>
      </c>
      <c r="S4050">
        <v>1</v>
      </c>
      <c r="T4050">
        <v>1</v>
      </c>
    </row>
    <row r="4051" spans="1:20" ht="16.5" x14ac:dyDescent="0.3">
      <c r="A4051" t="s">
        <v>4105</v>
      </c>
      <c r="B4051" s="1">
        <v>45855</v>
      </c>
      <c r="C4051">
        <v>2025</v>
      </c>
      <c r="D4051" t="s">
        <v>1261</v>
      </c>
      <c r="E4051" t="s">
        <v>1262</v>
      </c>
      <c r="F4051" t="s">
        <v>30</v>
      </c>
      <c r="G4051" t="s">
        <v>24</v>
      </c>
      <c r="H4051" t="s">
        <v>48</v>
      </c>
      <c r="I4051" t="s">
        <v>26</v>
      </c>
      <c r="J4051" t="s">
        <v>27</v>
      </c>
      <c r="K4051" t="s">
        <v>32</v>
      </c>
      <c r="L4051" s="2">
        <v>22.8</v>
      </c>
      <c r="M4051" s="3">
        <v>556</v>
      </c>
      <c r="N4051">
        <v>4</v>
      </c>
      <c r="O4051">
        <v>4</v>
      </c>
      <c r="P4051">
        <v>1</v>
      </c>
      <c r="Q4051">
        <v>0</v>
      </c>
      <c r="R4051" s="4">
        <v>24.12</v>
      </c>
      <c r="S4051">
        <v>0</v>
      </c>
      <c r="T4051">
        <v>1</v>
      </c>
    </row>
    <row r="4052" spans="1:20" ht="16.5" x14ac:dyDescent="0.3">
      <c r="A4052" t="s">
        <v>4106</v>
      </c>
      <c r="B4052" s="1">
        <v>45855</v>
      </c>
      <c r="C4052">
        <v>2025</v>
      </c>
      <c r="D4052" t="s">
        <v>1261</v>
      </c>
      <c r="E4052" t="s">
        <v>1262</v>
      </c>
      <c r="F4052" t="s">
        <v>38</v>
      </c>
      <c r="G4052" t="s">
        <v>35</v>
      </c>
      <c r="H4052" t="s">
        <v>48</v>
      </c>
      <c r="I4052" t="s">
        <v>26</v>
      </c>
      <c r="J4052" t="s">
        <v>27</v>
      </c>
      <c r="K4052" t="s">
        <v>32</v>
      </c>
      <c r="L4052" s="2">
        <v>5.6</v>
      </c>
      <c r="M4052" s="3">
        <v>593</v>
      </c>
      <c r="N4052">
        <v>4</v>
      </c>
      <c r="O4052">
        <v>3</v>
      </c>
      <c r="P4052">
        <v>1</v>
      </c>
      <c r="Q4052">
        <v>0</v>
      </c>
      <c r="R4052" s="4">
        <v>20.39</v>
      </c>
      <c r="S4052">
        <v>0</v>
      </c>
      <c r="T4052">
        <v>1</v>
      </c>
    </row>
    <row r="4053" spans="1:20" ht="16.5" x14ac:dyDescent="0.3">
      <c r="A4053" t="s">
        <v>4107</v>
      </c>
      <c r="B4053" s="1">
        <v>45855</v>
      </c>
      <c r="C4053">
        <v>2025</v>
      </c>
      <c r="D4053" t="s">
        <v>1261</v>
      </c>
      <c r="E4053" t="s">
        <v>1262</v>
      </c>
      <c r="F4053" t="s">
        <v>57</v>
      </c>
      <c r="G4053" t="s">
        <v>39</v>
      </c>
      <c r="H4053" t="s">
        <v>51</v>
      </c>
      <c r="I4053" t="s">
        <v>31</v>
      </c>
      <c r="J4053" t="s">
        <v>27</v>
      </c>
      <c r="K4053" t="s">
        <v>32</v>
      </c>
      <c r="L4053" s="2">
        <v>4.0999999999999996</v>
      </c>
      <c r="M4053" s="3">
        <v>863</v>
      </c>
      <c r="N4053">
        <v>7</v>
      </c>
      <c r="O4053">
        <v>7</v>
      </c>
      <c r="P4053">
        <v>1</v>
      </c>
      <c r="Q4053">
        <v>0</v>
      </c>
      <c r="R4053" s="4">
        <v>15.16</v>
      </c>
      <c r="S4053">
        <v>0</v>
      </c>
      <c r="T4053">
        <v>1</v>
      </c>
    </row>
    <row r="4054" spans="1:20" ht="16.5" x14ac:dyDescent="0.3">
      <c r="A4054" t="s">
        <v>4108</v>
      </c>
      <c r="B4054" s="1">
        <v>45855</v>
      </c>
      <c r="C4054">
        <v>2025</v>
      </c>
      <c r="D4054" t="s">
        <v>1261</v>
      </c>
      <c r="E4054" t="s">
        <v>1262</v>
      </c>
      <c r="F4054" t="s">
        <v>57</v>
      </c>
      <c r="G4054" t="s">
        <v>35</v>
      </c>
      <c r="H4054" t="s">
        <v>36</v>
      </c>
      <c r="I4054" t="s">
        <v>31</v>
      </c>
      <c r="J4054" t="s">
        <v>27</v>
      </c>
      <c r="K4054" t="s">
        <v>28</v>
      </c>
      <c r="L4054" s="2">
        <v>31.7</v>
      </c>
      <c r="M4054" s="3">
        <v>236</v>
      </c>
      <c r="N4054">
        <v>5</v>
      </c>
      <c r="O4054">
        <v>5</v>
      </c>
      <c r="P4054">
        <v>1</v>
      </c>
      <c r="Q4054">
        <v>0</v>
      </c>
      <c r="R4054" s="4">
        <v>16.350000000000001</v>
      </c>
      <c r="S4054">
        <v>0</v>
      </c>
      <c r="T4054">
        <v>1</v>
      </c>
    </row>
    <row r="4055" spans="1:20" ht="16.5" x14ac:dyDescent="0.3">
      <c r="A4055" t="s">
        <v>4109</v>
      </c>
      <c r="B4055" s="1">
        <v>45855</v>
      </c>
      <c r="C4055">
        <v>2025</v>
      </c>
      <c r="D4055" t="s">
        <v>1261</v>
      </c>
      <c r="E4055" t="s">
        <v>1262</v>
      </c>
      <c r="F4055" t="s">
        <v>38</v>
      </c>
      <c r="G4055" t="s">
        <v>39</v>
      </c>
      <c r="H4055" t="s">
        <v>36</v>
      </c>
      <c r="I4055" t="s">
        <v>40</v>
      </c>
      <c r="J4055" t="s">
        <v>27</v>
      </c>
      <c r="K4055" t="s">
        <v>28</v>
      </c>
      <c r="L4055" s="2">
        <v>31.7</v>
      </c>
      <c r="M4055" s="3">
        <v>160</v>
      </c>
      <c r="N4055">
        <v>1</v>
      </c>
      <c r="O4055">
        <v>1</v>
      </c>
      <c r="P4055">
        <v>1</v>
      </c>
      <c r="Q4055">
        <v>0</v>
      </c>
      <c r="R4055" s="4">
        <v>51.62</v>
      </c>
      <c r="S4055">
        <v>0</v>
      </c>
      <c r="T4055">
        <v>1</v>
      </c>
    </row>
    <row r="4056" spans="1:20" ht="16.5" x14ac:dyDescent="0.3">
      <c r="A4056" t="s">
        <v>4110</v>
      </c>
      <c r="B4056" s="1">
        <v>45855</v>
      </c>
      <c r="C4056">
        <v>2025</v>
      </c>
      <c r="D4056" t="s">
        <v>1261</v>
      </c>
      <c r="E4056" t="s">
        <v>1262</v>
      </c>
      <c r="F4056" t="s">
        <v>57</v>
      </c>
      <c r="G4056" t="s">
        <v>39</v>
      </c>
      <c r="H4056" t="s">
        <v>51</v>
      </c>
      <c r="I4056" t="s">
        <v>40</v>
      </c>
      <c r="J4056" t="s">
        <v>41</v>
      </c>
      <c r="K4056" t="s">
        <v>28</v>
      </c>
      <c r="L4056" s="2">
        <v>69.8</v>
      </c>
      <c r="M4056" s="3">
        <v>1318</v>
      </c>
      <c r="N4056">
        <v>3</v>
      </c>
      <c r="O4056">
        <v>3</v>
      </c>
      <c r="P4056">
        <v>1</v>
      </c>
      <c r="Q4056">
        <v>0</v>
      </c>
      <c r="R4056" s="4">
        <v>160.09</v>
      </c>
      <c r="S4056">
        <v>0</v>
      </c>
      <c r="T4056">
        <v>1</v>
      </c>
    </row>
    <row r="4057" spans="1:20" ht="16.5" x14ac:dyDescent="0.3">
      <c r="A4057" t="s">
        <v>4111</v>
      </c>
      <c r="B4057" s="1">
        <v>45855</v>
      </c>
      <c r="C4057">
        <v>2025</v>
      </c>
      <c r="D4057" t="s">
        <v>1261</v>
      </c>
      <c r="E4057" t="s">
        <v>1262</v>
      </c>
      <c r="F4057" t="s">
        <v>34</v>
      </c>
      <c r="G4057" t="s">
        <v>35</v>
      </c>
      <c r="H4057" t="s">
        <v>48</v>
      </c>
      <c r="I4057" t="s">
        <v>26</v>
      </c>
      <c r="J4057" t="s">
        <v>27</v>
      </c>
      <c r="K4057" t="s">
        <v>32</v>
      </c>
      <c r="L4057" s="2">
        <v>8.1999999999999993</v>
      </c>
      <c r="M4057" s="3">
        <v>405</v>
      </c>
      <c r="N4057">
        <v>4</v>
      </c>
      <c r="O4057">
        <v>5</v>
      </c>
      <c r="P4057">
        <v>0</v>
      </c>
      <c r="Q4057">
        <v>1</v>
      </c>
      <c r="R4057" s="4">
        <v>14.35</v>
      </c>
      <c r="S4057">
        <v>0</v>
      </c>
      <c r="T4057">
        <v>1</v>
      </c>
    </row>
    <row r="4058" spans="1:20" ht="16.5" x14ac:dyDescent="0.3">
      <c r="A4058" t="s">
        <v>4112</v>
      </c>
      <c r="B4058" s="1">
        <v>45855</v>
      </c>
      <c r="C4058">
        <v>2025</v>
      </c>
      <c r="D4058" t="s">
        <v>1261</v>
      </c>
      <c r="E4058" t="s">
        <v>1262</v>
      </c>
      <c r="F4058" t="s">
        <v>23</v>
      </c>
      <c r="G4058" t="s">
        <v>35</v>
      </c>
      <c r="H4058" t="s">
        <v>48</v>
      </c>
      <c r="I4058" t="s">
        <v>26</v>
      </c>
      <c r="J4058" t="s">
        <v>27</v>
      </c>
      <c r="K4058" t="s">
        <v>32</v>
      </c>
      <c r="L4058" s="2">
        <v>2.4</v>
      </c>
      <c r="M4058" s="3">
        <v>542</v>
      </c>
      <c r="N4058">
        <v>4</v>
      </c>
      <c r="O4058">
        <v>4</v>
      </c>
      <c r="P4058">
        <v>1</v>
      </c>
      <c r="Q4058">
        <v>0</v>
      </c>
      <c r="R4058" s="4">
        <v>13.66</v>
      </c>
      <c r="S4058">
        <v>0</v>
      </c>
      <c r="T4058">
        <v>1</v>
      </c>
    </row>
    <row r="4059" spans="1:20" ht="16.5" x14ac:dyDescent="0.3">
      <c r="A4059" t="s">
        <v>4113</v>
      </c>
      <c r="B4059" s="1">
        <v>45855</v>
      </c>
      <c r="C4059">
        <v>2025</v>
      </c>
      <c r="D4059" t="s">
        <v>1261</v>
      </c>
      <c r="E4059" t="s">
        <v>1262</v>
      </c>
      <c r="F4059" t="s">
        <v>38</v>
      </c>
      <c r="G4059" t="s">
        <v>39</v>
      </c>
      <c r="H4059" t="s">
        <v>25</v>
      </c>
      <c r="I4059" t="s">
        <v>26</v>
      </c>
      <c r="J4059" t="s">
        <v>27</v>
      </c>
      <c r="K4059" t="s">
        <v>28</v>
      </c>
      <c r="L4059" s="2">
        <v>183.8</v>
      </c>
      <c r="M4059" s="3">
        <v>663</v>
      </c>
      <c r="N4059">
        <v>4</v>
      </c>
      <c r="O4059">
        <v>3</v>
      </c>
      <c r="P4059">
        <v>1</v>
      </c>
      <c r="Q4059">
        <v>0</v>
      </c>
      <c r="R4059" s="4">
        <v>108.49</v>
      </c>
      <c r="S4059">
        <v>0</v>
      </c>
      <c r="T4059">
        <v>1</v>
      </c>
    </row>
    <row r="4060" spans="1:20" ht="16.5" x14ac:dyDescent="0.3">
      <c r="A4060" t="s">
        <v>4114</v>
      </c>
      <c r="B4060" s="1">
        <v>45855</v>
      </c>
      <c r="C4060">
        <v>2025</v>
      </c>
      <c r="D4060" t="s">
        <v>1261</v>
      </c>
      <c r="E4060" t="s">
        <v>1262</v>
      </c>
      <c r="F4060" t="s">
        <v>23</v>
      </c>
      <c r="G4060" t="s">
        <v>39</v>
      </c>
      <c r="H4060" t="s">
        <v>25</v>
      </c>
      <c r="I4060" t="s">
        <v>31</v>
      </c>
      <c r="J4060" t="s">
        <v>27</v>
      </c>
      <c r="K4060" t="s">
        <v>32</v>
      </c>
      <c r="L4060" s="2">
        <v>1.3</v>
      </c>
      <c r="M4060" s="3">
        <v>1126</v>
      </c>
      <c r="N4060">
        <v>6</v>
      </c>
      <c r="O4060">
        <v>6</v>
      </c>
      <c r="P4060">
        <v>1</v>
      </c>
      <c r="Q4060">
        <v>0</v>
      </c>
      <c r="R4060" s="4">
        <v>14.4</v>
      </c>
      <c r="S4060">
        <v>0</v>
      </c>
      <c r="T4060">
        <v>1</v>
      </c>
    </row>
    <row r="4061" spans="1:20" ht="16.5" x14ac:dyDescent="0.3">
      <c r="A4061" t="s">
        <v>4115</v>
      </c>
      <c r="B4061" s="1">
        <v>45855</v>
      </c>
      <c r="C4061">
        <v>2025</v>
      </c>
      <c r="D4061" t="s">
        <v>1261</v>
      </c>
      <c r="E4061" t="s">
        <v>1262</v>
      </c>
      <c r="F4061" t="s">
        <v>38</v>
      </c>
      <c r="G4061" t="s">
        <v>35</v>
      </c>
      <c r="H4061" t="s">
        <v>36</v>
      </c>
      <c r="I4061" t="s">
        <v>26</v>
      </c>
      <c r="J4061" t="s">
        <v>27</v>
      </c>
      <c r="K4061" t="s">
        <v>28</v>
      </c>
      <c r="L4061" s="2">
        <v>175.1</v>
      </c>
      <c r="M4061" s="3">
        <v>298</v>
      </c>
      <c r="N4061">
        <v>3</v>
      </c>
      <c r="O4061">
        <v>3</v>
      </c>
      <c r="P4061">
        <v>1</v>
      </c>
      <c r="Q4061">
        <v>0</v>
      </c>
      <c r="R4061" s="4">
        <v>88.25</v>
      </c>
      <c r="S4061">
        <v>0</v>
      </c>
      <c r="T4061">
        <v>1</v>
      </c>
    </row>
    <row r="4062" spans="1:20" ht="16.5" x14ac:dyDescent="0.3">
      <c r="A4062" t="s">
        <v>4116</v>
      </c>
      <c r="B4062" s="1">
        <v>45855</v>
      </c>
      <c r="C4062">
        <v>2025</v>
      </c>
      <c r="D4062" t="s">
        <v>1261</v>
      </c>
      <c r="E4062" t="s">
        <v>1262</v>
      </c>
      <c r="F4062" t="s">
        <v>30</v>
      </c>
      <c r="G4062" t="s">
        <v>24</v>
      </c>
      <c r="H4062" t="s">
        <v>51</v>
      </c>
      <c r="I4062" t="s">
        <v>40</v>
      </c>
      <c r="J4062" t="s">
        <v>41</v>
      </c>
      <c r="K4062" t="s">
        <v>32</v>
      </c>
      <c r="L4062" s="2">
        <v>3.8</v>
      </c>
      <c r="M4062" s="3">
        <v>1283</v>
      </c>
      <c r="N4062">
        <v>3</v>
      </c>
      <c r="O4062">
        <v>3</v>
      </c>
      <c r="P4062">
        <v>1</v>
      </c>
      <c r="Q4062">
        <v>0</v>
      </c>
      <c r="R4062" s="4">
        <v>74.27</v>
      </c>
      <c r="S4062">
        <v>0</v>
      </c>
      <c r="T4062">
        <v>1</v>
      </c>
    </row>
    <row r="4063" spans="1:20" ht="16.5" x14ac:dyDescent="0.3">
      <c r="A4063" t="s">
        <v>4117</v>
      </c>
      <c r="B4063" s="1">
        <v>45855</v>
      </c>
      <c r="C4063">
        <v>2025</v>
      </c>
      <c r="D4063" t="s">
        <v>1261</v>
      </c>
      <c r="E4063" t="s">
        <v>1262</v>
      </c>
      <c r="F4063" t="s">
        <v>30</v>
      </c>
      <c r="G4063" t="s">
        <v>39</v>
      </c>
      <c r="H4063" t="s">
        <v>25</v>
      </c>
      <c r="I4063" t="s">
        <v>26</v>
      </c>
      <c r="J4063" t="s">
        <v>27</v>
      </c>
      <c r="K4063" t="s">
        <v>28</v>
      </c>
      <c r="L4063" s="2">
        <v>21.8</v>
      </c>
      <c r="M4063" s="3">
        <v>1078</v>
      </c>
      <c r="N4063">
        <v>4</v>
      </c>
      <c r="O4063">
        <v>4</v>
      </c>
      <c r="P4063">
        <v>1</v>
      </c>
      <c r="Q4063">
        <v>0</v>
      </c>
      <c r="R4063" s="4">
        <v>32.92</v>
      </c>
      <c r="S4063">
        <v>0</v>
      </c>
      <c r="T4063">
        <v>1</v>
      </c>
    </row>
    <row r="4064" spans="1:20" ht="16.5" x14ac:dyDescent="0.3">
      <c r="A4064" t="s">
        <v>4118</v>
      </c>
      <c r="B4064" s="1">
        <v>45855</v>
      </c>
      <c r="C4064">
        <v>2025</v>
      </c>
      <c r="D4064" t="s">
        <v>1261</v>
      </c>
      <c r="E4064" t="s">
        <v>1262</v>
      </c>
      <c r="F4064" t="s">
        <v>57</v>
      </c>
      <c r="G4064" t="s">
        <v>24</v>
      </c>
      <c r="H4064" t="s">
        <v>25</v>
      </c>
      <c r="I4064" t="s">
        <v>26</v>
      </c>
      <c r="J4064" t="s">
        <v>27</v>
      </c>
      <c r="K4064" t="s">
        <v>28</v>
      </c>
      <c r="L4064" s="2">
        <v>84.7</v>
      </c>
      <c r="M4064" s="3">
        <v>1244</v>
      </c>
      <c r="N4064">
        <v>4</v>
      </c>
      <c r="O4064">
        <v>4</v>
      </c>
      <c r="P4064">
        <v>1</v>
      </c>
      <c r="Q4064">
        <v>0</v>
      </c>
      <c r="R4064" s="4">
        <v>63.82</v>
      </c>
      <c r="S4064">
        <v>0</v>
      </c>
      <c r="T4064">
        <v>1</v>
      </c>
    </row>
    <row r="4065" spans="1:20" ht="16.5" x14ac:dyDescent="0.3">
      <c r="A4065" t="s">
        <v>4119</v>
      </c>
      <c r="B4065" s="1">
        <v>45855</v>
      </c>
      <c r="C4065">
        <v>2025</v>
      </c>
      <c r="D4065" t="s">
        <v>1261</v>
      </c>
      <c r="E4065" t="s">
        <v>1262</v>
      </c>
      <c r="F4065" t="s">
        <v>30</v>
      </c>
      <c r="G4065" t="s">
        <v>24</v>
      </c>
      <c r="H4065" t="s">
        <v>36</v>
      </c>
      <c r="I4065" t="s">
        <v>31</v>
      </c>
      <c r="J4065" t="s">
        <v>27</v>
      </c>
      <c r="K4065" t="s">
        <v>28</v>
      </c>
      <c r="L4065" s="2">
        <v>165.7</v>
      </c>
      <c r="M4065" s="3">
        <v>291</v>
      </c>
      <c r="N4065">
        <v>5</v>
      </c>
      <c r="O4065">
        <v>5</v>
      </c>
      <c r="P4065">
        <v>1</v>
      </c>
      <c r="Q4065">
        <v>0</v>
      </c>
      <c r="R4065" s="4">
        <v>63.78</v>
      </c>
      <c r="S4065">
        <v>0</v>
      </c>
      <c r="T4065">
        <v>1</v>
      </c>
    </row>
    <row r="4066" spans="1:20" ht="16.5" x14ac:dyDescent="0.3">
      <c r="A4066" t="s">
        <v>4120</v>
      </c>
      <c r="B4066" s="1">
        <v>45855</v>
      </c>
      <c r="C4066">
        <v>2025</v>
      </c>
      <c r="D4066" t="s">
        <v>1261</v>
      </c>
      <c r="E4066" t="s">
        <v>1262</v>
      </c>
      <c r="F4066" t="s">
        <v>23</v>
      </c>
      <c r="G4066" t="s">
        <v>24</v>
      </c>
      <c r="H4066" t="s">
        <v>25</v>
      </c>
      <c r="I4066" t="s">
        <v>26</v>
      </c>
      <c r="J4066" t="s">
        <v>27</v>
      </c>
      <c r="K4066" t="s">
        <v>28</v>
      </c>
      <c r="L4066" s="2">
        <v>85.8</v>
      </c>
      <c r="M4066" s="3">
        <v>1027</v>
      </c>
      <c r="N4066">
        <v>4</v>
      </c>
      <c r="O4066">
        <v>4</v>
      </c>
      <c r="P4066">
        <v>1</v>
      </c>
      <c r="Q4066">
        <v>0</v>
      </c>
      <c r="R4066" s="4">
        <v>58.84</v>
      </c>
      <c r="S4066">
        <v>0</v>
      </c>
      <c r="T4066">
        <v>1</v>
      </c>
    </row>
    <row r="4067" spans="1:20" ht="16.5" x14ac:dyDescent="0.3">
      <c r="A4067" t="s">
        <v>4121</v>
      </c>
      <c r="B4067" s="1">
        <v>45855</v>
      </c>
      <c r="C4067">
        <v>2025</v>
      </c>
      <c r="D4067" t="s">
        <v>1261</v>
      </c>
      <c r="E4067" t="s">
        <v>1262</v>
      </c>
      <c r="F4067" t="s">
        <v>57</v>
      </c>
      <c r="G4067" t="s">
        <v>24</v>
      </c>
      <c r="H4067" t="s">
        <v>48</v>
      </c>
      <c r="I4067" t="s">
        <v>26</v>
      </c>
      <c r="J4067" t="s">
        <v>27</v>
      </c>
      <c r="K4067" t="s">
        <v>32</v>
      </c>
      <c r="L4067" s="2">
        <v>8.4</v>
      </c>
      <c r="M4067" s="3">
        <v>391</v>
      </c>
      <c r="N4067">
        <v>4</v>
      </c>
      <c r="O4067">
        <v>4</v>
      </c>
      <c r="P4067">
        <v>1</v>
      </c>
      <c r="Q4067">
        <v>0</v>
      </c>
      <c r="R4067" s="4">
        <v>14.98</v>
      </c>
      <c r="S4067">
        <v>0</v>
      </c>
      <c r="T4067">
        <v>1</v>
      </c>
    </row>
    <row r="4068" spans="1:20" ht="16.5" x14ac:dyDescent="0.3">
      <c r="A4068" t="s">
        <v>4122</v>
      </c>
      <c r="B4068" s="1">
        <v>45856</v>
      </c>
      <c r="C4068">
        <v>2025</v>
      </c>
      <c r="D4068" t="s">
        <v>1261</v>
      </c>
      <c r="E4068" t="s">
        <v>1262</v>
      </c>
      <c r="F4068" t="s">
        <v>23</v>
      </c>
      <c r="G4068" t="s">
        <v>35</v>
      </c>
      <c r="H4068" t="s">
        <v>25</v>
      </c>
      <c r="I4068" t="s">
        <v>26</v>
      </c>
      <c r="J4068" t="s">
        <v>27</v>
      </c>
      <c r="K4068" t="s">
        <v>32</v>
      </c>
      <c r="L4068" s="2">
        <v>5.0999999999999996</v>
      </c>
      <c r="M4068" s="3">
        <v>890</v>
      </c>
      <c r="N4068">
        <v>4</v>
      </c>
      <c r="O4068">
        <v>4</v>
      </c>
      <c r="P4068">
        <v>1</v>
      </c>
      <c r="Q4068">
        <v>0</v>
      </c>
      <c r="R4068" s="4">
        <v>18.37</v>
      </c>
      <c r="S4068">
        <v>0</v>
      </c>
      <c r="T4068">
        <v>1</v>
      </c>
    </row>
    <row r="4069" spans="1:20" ht="16.5" x14ac:dyDescent="0.3">
      <c r="A4069" t="s">
        <v>4123</v>
      </c>
      <c r="B4069" s="1">
        <v>45856</v>
      </c>
      <c r="C4069">
        <v>2025</v>
      </c>
      <c r="D4069" t="s">
        <v>1261</v>
      </c>
      <c r="E4069" t="s">
        <v>1262</v>
      </c>
      <c r="F4069" t="s">
        <v>23</v>
      </c>
      <c r="G4069" t="s">
        <v>39</v>
      </c>
      <c r="H4069" t="s">
        <v>36</v>
      </c>
      <c r="I4069" t="s">
        <v>40</v>
      </c>
      <c r="J4069" t="s">
        <v>27</v>
      </c>
      <c r="K4069" t="s">
        <v>28</v>
      </c>
      <c r="L4069" s="2">
        <v>163.19999999999999</v>
      </c>
      <c r="M4069" s="3">
        <v>284</v>
      </c>
      <c r="N4069">
        <v>1</v>
      </c>
      <c r="O4069">
        <v>1</v>
      </c>
      <c r="P4069">
        <v>1</v>
      </c>
      <c r="Q4069">
        <v>0</v>
      </c>
      <c r="R4069" s="4">
        <v>140.19999999999999</v>
      </c>
      <c r="S4069">
        <v>0</v>
      </c>
      <c r="T4069">
        <v>1</v>
      </c>
    </row>
    <row r="4070" spans="1:20" ht="16.5" x14ac:dyDescent="0.3">
      <c r="A4070" t="s">
        <v>4124</v>
      </c>
      <c r="B4070" s="1">
        <v>45856</v>
      </c>
      <c r="C4070">
        <v>2025</v>
      </c>
      <c r="D4070" t="s">
        <v>1261</v>
      </c>
      <c r="E4070" t="s">
        <v>1262</v>
      </c>
      <c r="F4070" t="s">
        <v>30</v>
      </c>
      <c r="G4070" t="s">
        <v>39</v>
      </c>
      <c r="H4070" t="s">
        <v>25</v>
      </c>
      <c r="I4070" t="s">
        <v>31</v>
      </c>
      <c r="J4070" t="s">
        <v>27</v>
      </c>
      <c r="K4070" t="s">
        <v>32</v>
      </c>
      <c r="L4070" s="2">
        <v>0.8</v>
      </c>
      <c r="M4070" s="3">
        <v>1175</v>
      </c>
      <c r="N4070">
        <v>6</v>
      </c>
      <c r="O4070">
        <v>6</v>
      </c>
      <c r="P4070">
        <v>1</v>
      </c>
      <c r="Q4070">
        <v>0</v>
      </c>
      <c r="R4070" s="4">
        <v>16.03</v>
      </c>
      <c r="S4070">
        <v>0</v>
      </c>
      <c r="T4070">
        <v>1</v>
      </c>
    </row>
    <row r="4071" spans="1:20" ht="16.5" x14ac:dyDescent="0.3">
      <c r="A4071" t="s">
        <v>4125</v>
      </c>
      <c r="B4071" s="1">
        <v>45856</v>
      </c>
      <c r="C4071">
        <v>2025</v>
      </c>
      <c r="D4071" t="s">
        <v>1261</v>
      </c>
      <c r="E4071" t="s">
        <v>1262</v>
      </c>
      <c r="F4071" t="s">
        <v>57</v>
      </c>
      <c r="G4071" t="s">
        <v>39</v>
      </c>
      <c r="H4071" t="s">
        <v>48</v>
      </c>
      <c r="I4071" t="s">
        <v>26</v>
      </c>
      <c r="J4071" t="s">
        <v>27</v>
      </c>
      <c r="K4071" t="s">
        <v>32</v>
      </c>
      <c r="L4071" s="2">
        <v>6.5</v>
      </c>
      <c r="M4071" s="3">
        <v>461</v>
      </c>
      <c r="N4071">
        <v>4</v>
      </c>
      <c r="O4071">
        <v>6</v>
      </c>
      <c r="P4071">
        <v>0</v>
      </c>
      <c r="Q4071">
        <v>2</v>
      </c>
      <c r="R4071" s="4">
        <v>14.7</v>
      </c>
      <c r="S4071">
        <v>0</v>
      </c>
      <c r="T4071">
        <v>1</v>
      </c>
    </row>
    <row r="4072" spans="1:20" ht="16.5" x14ac:dyDescent="0.3">
      <c r="A4072" t="s">
        <v>4126</v>
      </c>
      <c r="B4072" s="1">
        <v>45856</v>
      </c>
      <c r="C4072">
        <v>2025</v>
      </c>
      <c r="D4072" t="s">
        <v>1261</v>
      </c>
      <c r="E4072" t="s">
        <v>1262</v>
      </c>
      <c r="F4072" t="s">
        <v>38</v>
      </c>
      <c r="G4072" t="s">
        <v>35</v>
      </c>
      <c r="H4072" t="s">
        <v>43</v>
      </c>
      <c r="I4072" t="s">
        <v>31</v>
      </c>
      <c r="J4072" t="s">
        <v>27</v>
      </c>
      <c r="K4072" t="s">
        <v>32</v>
      </c>
      <c r="L4072" s="2">
        <v>15.4</v>
      </c>
      <c r="M4072" s="3">
        <v>1385</v>
      </c>
      <c r="N4072">
        <v>7</v>
      </c>
      <c r="O4072">
        <v>7</v>
      </c>
      <c r="P4072">
        <v>1</v>
      </c>
      <c r="Q4072">
        <v>0</v>
      </c>
      <c r="R4072" s="4">
        <v>23.29</v>
      </c>
      <c r="S4072">
        <v>0</v>
      </c>
      <c r="T4072">
        <v>1</v>
      </c>
    </row>
    <row r="4073" spans="1:20" ht="16.5" x14ac:dyDescent="0.3">
      <c r="A4073" t="s">
        <v>4127</v>
      </c>
      <c r="B4073" s="1">
        <v>45856</v>
      </c>
      <c r="C4073">
        <v>2025</v>
      </c>
      <c r="D4073" t="s">
        <v>1261</v>
      </c>
      <c r="E4073" t="s">
        <v>1262</v>
      </c>
      <c r="F4073" t="s">
        <v>57</v>
      </c>
      <c r="G4073" t="s">
        <v>35</v>
      </c>
      <c r="H4073" t="s">
        <v>48</v>
      </c>
      <c r="I4073" t="s">
        <v>26</v>
      </c>
      <c r="J4073" t="s">
        <v>27</v>
      </c>
      <c r="K4073" t="s">
        <v>28</v>
      </c>
      <c r="L4073" s="2">
        <v>132.4</v>
      </c>
      <c r="M4073" s="3">
        <v>506</v>
      </c>
      <c r="N4073">
        <v>4</v>
      </c>
      <c r="O4073">
        <v>4</v>
      </c>
      <c r="P4073">
        <v>1</v>
      </c>
      <c r="Q4073">
        <v>0</v>
      </c>
      <c r="R4073" s="4">
        <v>73</v>
      </c>
      <c r="S4073">
        <v>0</v>
      </c>
      <c r="T4073">
        <v>1</v>
      </c>
    </row>
    <row r="4074" spans="1:20" ht="16.5" x14ac:dyDescent="0.3">
      <c r="A4074" t="s">
        <v>4128</v>
      </c>
      <c r="B4074" s="1">
        <v>45856</v>
      </c>
      <c r="C4074">
        <v>2025</v>
      </c>
      <c r="D4074" t="s">
        <v>1261</v>
      </c>
      <c r="E4074" t="s">
        <v>1262</v>
      </c>
      <c r="F4074" t="s">
        <v>38</v>
      </c>
      <c r="G4074" t="s">
        <v>35</v>
      </c>
      <c r="H4074" t="s">
        <v>25</v>
      </c>
      <c r="I4074" t="s">
        <v>40</v>
      </c>
      <c r="J4074" t="s">
        <v>41</v>
      </c>
      <c r="K4074" t="s">
        <v>32</v>
      </c>
      <c r="L4074" s="2">
        <v>4.2</v>
      </c>
      <c r="M4074" s="3">
        <v>982</v>
      </c>
      <c r="N4074">
        <v>2</v>
      </c>
      <c r="O4074">
        <v>2</v>
      </c>
      <c r="P4074">
        <v>1</v>
      </c>
      <c r="Q4074">
        <v>0</v>
      </c>
      <c r="R4074" s="4">
        <v>68.19</v>
      </c>
      <c r="S4074">
        <v>0</v>
      </c>
      <c r="T4074">
        <v>1</v>
      </c>
    </row>
    <row r="4075" spans="1:20" ht="16.5" x14ac:dyDescent="0.3">
      <c r="A4075" t="s">
        <v>4129</v>
      </c>
      <c r="B4075" s="1">
        <v>45856</v>
      </c>
      <c r="C4075">
        <v>2025</v>
      </c>
      <c r="D4075" t="s">
        <v>1261</v>
      </c>
      <c r="E4075" t="s">
        <v>1262</v>
      </c>
      <c r="F4075" t="s">
        <v>34</v>
      </c>
      <c r="G4075" t="s">
        <v>39</v>
      </c>
      <c r="H4075" t="s">
        <v>36</v>
      </c>
      <c r="I4075" t="s">
        <v>40</v>
      </c>
      <c r="J4075" t="s">
        <v>27</v>
      </c>
      <c r="K4075" t="s">
        <v>32</v>
      </c>
      <c r="L4075" s="2">
        <v>13.3</v>
      </c>
      <c r="M4075" s="3">
        <v>322</v>
      </c>
      <c r="N4075">
        <v>1</v>
      </c>
      <c r="O4075">
        <v>1</v>
      </c>
      <c r="P4075">
        <v>1</v>
      </c>
      <c r="Q4075">
        <v>0</v>
      </c>
      <c r="R4075" s="4">
        <v>29.39</v>
      </c>
      <c r="S4075">
        <v>0</v>
      </c>
      <c r="T4075">
        <v>1</v>
      </c>
    </row>
    <row r="4076" spans="1:20" ht="16.5" x14ac:dyDescent="0.3">
      <c r="A4076" t="s">
        <v>4130</v>
      </c>
      <c r="B4076" s="1">
        <v>45857</v>
      </c>
      <c r="C4076">
        <v>2025</v>
      </c>
      <c r="D4076" t="s">
        <v>1261</v>
      </c>
      <c r="E4076" t="s">
        <v>1262</v>
      </c>
      <c r="F4076" t="s">
        <v>57</v>
      </c>
      <c r="G4076" t="s">
        <v>39</v>
      </c>
      <c r="H4076" t="s">
        <v>51</v>
      </c>
      <c r="I4076" t="s">
        <v>26</v>
      </c>
      <c r="J4076" t="s">
        <v>27</v>
      </c>
      <c r="K4076" t="s">
        <v>32</v>
      </c>
      <c r="L4076" s="2">
        <v>3.1</v>
      </c>
      <c r="M4076" s="3">
        <v>960</v>
      </c>
      <c r="N4076">
        <v>5</v>
      </c>
      <c r="O4076">
        <v>5</v>
      </c>
      <c r="P4076">
        <v>1</v>
      </c>
      <c r="Q4076">
        <v>0</v>
      </c>
      <c r="R4076" s="4">
        <v>18.100000000000001</v>
      </c>
      <c r="S4076">
        <v>0</v>
      </c>
      <c r="T4076">
        <v>1</v>
      </c>
    </row>
    <row r="4077" spans="1:20" ht="16.5" x14ac:dyDescent="0.3">
      <c r="A4077" t="s">
        <v>4131</v>
      </c>
      <c r="B4077" s="1">
        <v>45857</v>
      </c>
      <c r="C4077">
        <v>2025</v>
      </c>
      <c r="D4077" t="s">
        <v>1261</v>
      </c>
      <c r="E4077" t="s">
        <v>1262</v>
      </c>
      <c r="F4077" t="s">
        <v>34</v>
      </c>
      <c r="G4077" t="s">
        <v>35</v>
      </c>
      <c r="H4077" t="s">
        <v>43</v>
      </c>
      <c r="I4077" t="s">
        <v>26</v>
      </c>
      <c r="J4077" t="s">
        <v>27</v>
      </c>
      <c r="K4077" t="s">
        <v>28</v>
      </c>
      <c r="L4077" s="2">
        <v>78</v>
      </c>
      <c r="M4077" s="3">
        <v>959</v>
      </c>
      <c r="N4077">
        <v>5</v>
      </c>
      <c r="O4077">
        <v>5</v>
      </c>
      <c r="P4077">
        <v>1</v>
      </c>
      <c r="Q4077">
        <v>0</v>
      </c>
      <c r="R4077" s="4">
        <v>49.55</v>
      </c>
      <c r="S4077">
        <v>0</v>
      </c>
      <c r="T4077">
        <v>1</v>
      </c>
    </row>
    <row r="4078" spans="1:20" ht="16.5" x14ac:dyDescent="0.3">
      <c r="A4078" t="s">
        <v>4132</v>
      </c>
      <c r="B4078" s="1">
        <v>45857</v>
      </c>
      <c r="C4078">
        <v>2025</v>
      </c>
      <c r="D4078" t="s">
        <v>1261</v>
      </c>
      <c r="E4078" t="s">
        <v>1262</v>
      </c>
      <c r="F4078" t="s">
        <v>34</v>
      </c>
      <c r="G4078" t="s">
        <v>39</v>
      </c>
      <c r="H4078" t="s">
        <v>48</v>
      </c>
      <c r="I4078" t="s">
        <v>40</v>
      </c>
      <c r="J4078" t="s">
        <v>27</v>
      </c>
      <c r="K4078" t="s">
        <v>28</v>
      </c>
      <c r="L4078" s="2">
        <v>356.2</v>
      </c>
      <c r="M4078" s="3">
        <v>490</v>
      </c>
      <c r="N4078">
        <v>2</v>
      </c>
      <c r="O4078">
        <v>2</v>
      </c>
      <c r="P4078">
        <v>1</v>
      </c>
      <c r="Q4078">
        <v>0</v>
      </c>
      <c r="R4078" s="4">
        <v>206.34</v>
      </c>
      <c r="S4078">
        <v>0</v>
      </c>
      <c r="T4078">
        <v>1</v>
      </c>
    </row>
    <row r="4079" spans="1:20" ht="16.5" x14ac:dyDescent="0.3">
      <c r="A4079" t="s">
        <v>4133</v>
      </c>
      <c r="B4079" s="1">
        <v>45857</v>
      </c>
      <c r="C4079">
        <v>2025</v>
      </c>
      <c r="D4079" t="s">
        <v>1261</v>
      </c>
      <c r="E4079" t="s">
        <v>1262</v>
      </c>
      <c r="F4079" t="s">
        <v>34</v>
      </c>
      <c r="G4079" t="s">
        <v>35</v>
      </c>
      <c r="H4079" t="s">
        <v>48</v>
      </c>
      <c r="I4079" t="s">
        <v>40</v>
      </c>
      <c r="J4079" t="s">
        <v>27</v>
      </c>
      <c r="K4079" t="s">
        <v>28</v>
      </c>
      <c r="L4079" s="2">
        <v>167.9</v>
      </c>
      <c r="M4079" s="3">
        <v>425</v>
      </c>
      <c r="N4079">
        <v>2</v>
      </c>
      <c r="O4079">
        <v>2</v>
      </c>
      <c r="P4079">
        <v>1</v>
      </c>
      <c r="Q4079">
        <v>0</v>
      </c>
      <c r="R4079" s="4">
        <v>133.22999999999999</v>
      </c>
      <c r="S4079">
        <v>0</v>
      </c>
      <c r="T4079">
        <v>1</v>
      </c>
    </row>
    <row r="4080" spans="1:20" ht="16.5" x14ac:dyDescent="0.3">
      <c r="A4080" t="s">
        <v>4134</v>
      </c>
      <c r="B4080" s="1">
        <v>45858</v>
      </c>
      <c r="C4080">
        <v>2025</v>
      </c>
      <c r="D4080" t="s">
        <v>1261</v>
      </c>
      <c r="E4080" t="s">
        <v>1262</v>
      </c>
      <c r="F4080" t="s">
        <v>57</v>
      </c>
      <c r="G4080" t="s">
        <v>39</v>
      </c>
      <c r="H4080" t="s">
        <v>36</v>
      </c>
      <c r="I4080" t="s">
        <v>26</v>
      </c>
      <c r="J4080" t="s">
        <v>27</v>
      </c>
      <c r="K4080" t="s">
        <v>32</v>
      </c>
      <c r="L4080" s="2">
        <v>4.7</v>
      </c>
      <c r="M4080" s="3">
        <v>244</v>
      </c>
      <c r="N4080">
        <v>3</v>
      </c>
      <c r="O4080">
        <v>3</v>
      </c>
      <c r="P4080">
        <v>1</v>
      </c>
      <c r="Q4080">
        <v>0</v>
      </c>
      <c r="R4080" s="4">
        <v>13.14</v>
      </c>
      <c r="S4080">
        <v>0</v>
      </c>
      <c r="T4080">
        <v>1</v>
      </c>
    </row>
    <row r="4081" spans="1:20" ht="16.5" x14ac:dyDescent="0.3">
      <c r="A4081" t="s">
        <v>4135</v>
      </c>
      <c r="B4081" s="1">
        <v>45859</v>
      </c>
      <c r="C4081">
        <v>2025</v>
      </c>
      <c r="D4081" t="s">
        <v>1261</v>
      </c>
      <c r="E4081" t="s">
        <v>1262</v>
      </c>
      <c r="F4081" t="s">
        <v>30</v>
      </c>
      <c r="G4081" t="s">
        <v>35</v>
      </c>
      <c r="H4081" t="s">
        <v>36</v>
      </c>
      <c r="I4081" t="s">
        <v>26</v>
      </c>
      <c r="J4081" t="s">
        <v>27</v>
      </c>
      <c r="K4081" t="s">
        <v>32</v>
      </c>
      <c r="L4081" s="2">
        <v>5.4</v>
      </c>
      <c r="M4081" s="3">
        <v>186</v>
      </c>
      <c r="N4081">
        <v>3</v>
      </c>
      <c r="O4081">
        <v>3</v>
      </c>
      <c r="P4081">
        <v>1</v>
      </c>
      <c r="Q4081">
        <v>0</v>
      </c>
      <c r="R4081" s="4">
        <v>13.51</v>
      </c>
      <c r="S4081">
        <v>0</v>
      </c>
      <c r="T4081">
        <v>1</v>
      </c>
    </row>
    <row r="4082" spans="1:20" ht="16.5" x14ac:dyDescent="0.3">
      <c r="A4082" t="s">
        <v>4136</v>
      </c>
      <c r="B4082" s="1">
        <v>45859</v>
      </c>
      <c r="C4082">
        <v>2025</v>
      </c>
      <c r="D4082" t="s">
        <v>1261</v>
      </c>
      <c r="E4082" t="s">
        <v>1262</v>
      </c>
      <c r="F4082" t="s">
        <v>38</v>
      </c>
      <c r="G4082" t="s">
        <v>35</v>
      </c>
      <c r="H4082" t="s">
        <v>36</v>
      </c>
      <c r="I4082" t="s">
        <v>31</v>
      </c>
      <c r="J4082" t="s">
        <v>27</v>
      </c>
      <c r="K4082" t="s">
        <v>32</v>
      </c>
      <c r="L4082" s="2">
        <v>15.5</v>
      </c>
      <c r="M4082" s="3">
        <v>283</v>
      </c>
      <c r="N4082">
        <v>5</v>
      </c>
      <c r="O4082">
        <v>5</v>
      </c>
      <c r="P4082">
        <v>1</v>
      </c>
      <c r="Q4082">
        <v>0</v>
      </c>
      <c r="R4082" s="4">
        <v>16.32</v>
      </c>
      <c r="S4082">
        <v>0</v>
      </c>
      <c r="T4082">
        <v>1</v>
      </c>
    </row>
    <row r="4083" spans="1:20" ht="16.5" x14ac:dyDescent="0.3">
      <c r="A4083" t="s">
        <v>4137</v>
      </c>
      <c r="B4083" s="1">
        <v>45859</v>
      </c>
      <c r="C4083">
        <v>2025</v>
      </c>
      <c r="D4083" t="s">
        <v>1261</v>
      </c>
      <c r="E4083" t="s">
        <v>1262</v>
      </c>
      <c r="F4083" t="s">
        <v>57</v>
      </c>
      <c r="G4083" t="s">
        <v>39</v>
      </c>
      <c r="H4083" t="s">
        <v>51</v>
      </c>
      <c r="I4083" t="s">
        <v>40</v>
      </c>
      <c r="J4083" t="s">
        <v>41</v>
      </c>
      <c r="K4083" t="s">
        <v>28</v>
      </c>
      <c r="L4083" s="2">
        <v>482.8</v>
      </c>
      <c r="M4083" s="3">
        <v>1122</v>
      </c>
      <c r="N4083">
        <v>3</v>
      </c>
      <c r="O4083">
        <v>3</v>
      </c>
      <c r="P4083">
        <v>1</v>
      </c>
      <c r="Q4083">
        <v>0</v>
      </c>
      <c r="R4083" s="4">
        <v>584.91</v>
      </c>
      <c r="S4083">
        <v>0</v>
      </c>
      <c r="T4083">
        <v>1</v>
      </c>
    </row>
    <row r="4084" spans="1:20" ht="16.5" x14ac:dyDescent="0.3">
      <c r="A4084" t="s">
        <v>4138</v>
      </c>
      <c r="B4084" s="1">
        <v>45859</v>
      </c>
      <c r="C4084">
        <v>2025</v>
      </c>
      <c r="D4084" t="s">
        <v>1261</v>
      </c>
      <c r="E4084" t="s">
        <v>1262</v>
      </c>
      <c r="F4084" t="s">
        <v>23</v>
      </c>
      <c r="G4084" t="s">
        <v>39</v>
      </c>
      <c r="H4084" t="s">
        <v>36</v>
      </c>
      <c r="I4084" t="s">
        <v>26</v>
      </c>
      <c r="J4084" t="s">
        <v>27</v>
      </c>
      <c r="K4084" t="s">
        <v>32</v>
      </c>
      <c r="L4084" s="2">
        <v>2.2999999999999998</v>
      </c>
      <c r="M4084" s="3">
        <v>289</v>
      </c>
      <c r="N4084">
        <v>3</v>
      </c>
      <c r="O4084">
        <v>3</v>
      </c>
      <c r="P4084">
        <v>1</v>
      </c>
      <c r="Q4084">
        <v>0</v>
      </c>
      <c r="R4084" s="4">
        <v>11.65</v>
      </c>
      <c r="S4084">
        <v>0</v>
      </c>
      <c r="T4084">
        <v>1</v>
      </c>
    </row>
    <row r="4085" spans="1:20" ht="16.5" x14ac:dyDescent="0.3">
      <c r="A4085" t="s">
        <v>4139</v>
      </c>
      <c r="B4085" s="1">
        <v>45859</v>
      </c>
      <c r="C4085">
        <v>2025</v>
      </c>
      <c r="D4085" t="s">
        <v>1261</v>
      </c>
      <c r="E4085" t="s">
        <v>1262</v>
      </c>
      <c r="F4085" t="s">
        <v>38</v>
      </c>
      <c r="G4085" t="s">
        <v>35</v>
      </c>
      <c r="H4085" t="s">
        <v>36</v>
      </c>
      <c r="I4085" t="s">
        <v>26</v>
      </c>
      <c r="J4085" t="s">
        <v>27</v>
      </c>
      <c r="K4085" t="s">
        <v>32</v>
      </c>
      <c r="L4085" s="2">
        <v>17.7</v>
      </c>
      <c r="M4085" s="3">
        <v>243</v>
      </c>
      <c r="N4085">
        <v>3</v>
      </c>
      <c r="O4085">
        <v>3</v>
      </c>
      <c r="P4085">
        <v>1</v>
      </c>
      <c r="Q4085">
        <v>0</v>
      </c>
      <c r="R4085" s="4">
        <v>21.24</v>
      </c>
      <c r="S4085">
        <v>0</v>
      </c>
      <c r="T4085">
        <v>1</v>
      </c>
    </row>
    <row r="4086" spans="1:20" ht="16.5" x14ac:dyDescent="0.3">
      <c r="A4086" t="s">
        <v>4140</v>
      </c>
      <c r="B4086" s="1">
        <v>45859</v>
      </c>
      <c r="C4086">
        <v>2025</v>
      </c>
      <c r="D4086" t="s">
        <v>1261</v>
      </c>
      <c r="E4086" t="s">
        <v>1262</v>
      </c>
      <c r="F4086" t="s">
        <v>34</v>
      </c>
      <c r="G4086" t="s">
        <v>39</v>
      </c>
      <c r="H4086" t="s">
        <v>36</v>
      </c>
      <c r="I4086" t="s">
        <v>26</v>
      </c>
      <c r="J4086" t="s">
        <v>27</v>
      </c>
      <c r="K4086" t="s">
        <v>28</v>
      </c>
      <c r="L4086" s="2">
        <v>86.6</v>
      </c>
      <c r="M4086" s="3">
        <v>293</v>
      </c>
      <c r="N4086">
        <v>3</v>
      </c>
      <c r="O4086">
        <v>3</v>
      </c>
      <c r="P4086">
        <v>1</v>
      </c>
      <c r="Q4086">
        <v>0</v>
      </c>
      <c r="R4086" s="4">
        <v>40.520000000000003</v>
      </c>
      <c r="S4086">
        <v>0</v>
      </c>
      <c r="T4086">
        <v>1</v>
      </c>
    </row>
    <row r="4087" spans="1:20" ht="16.5" x14ac:dyDescent="0.3">
      <c r="A4087" t="s">
        <v>4141</v>
      </c>
      <c r="B4087" s="1">
        <v>45860</v>
      </c>
      <c r="C4087">
        <v>2025</v>
      </c>
      <c r="D4087" t="s">
        <v>1261</v>
      </c>
      <c r="E4087" t="s">
        <v>1262</v>
      </c>
      <c r="F4087" t="s">
        <v>30</v>
      </c>
      <c r="G4087" t="s">
        <v>39</v>
      </c>
      <c r="H4087" t="s">
        <v>48</v>
      </c>
      <c r="I4087" t="s">
        <v>31</v>
      </c>
      <c r="J4087" t="s">
        <v>27</v>
      </c>
      <c r="K4087" t="s">
        <v>32</v>
      </c>
      <c r="L4087" s="2">
        <v>2.9</v>
      </c>
      <c r="M4087" s="3">
        <v>487</v>
      </c>
      <c r="N4087">
        <v>6</v>
      </c>
      <c r="O4087">
        <v>6</v>
      </c>
      <c r="P4087">
        <v>1</v>
      </c>
      <c r="Q4087">
        <v>0</v>
      </c>
      <c r="R4087" s="4">
        <v>9.8000000000000007</v>
      </c>
      <c r="S4087">
        <v>0</v>
      </c>
      <c r="T4087">
        <v>1</v>
      </c>
    </row>
    <row r="4088" spans="1:20" ht="16.5" x14ac:dyDescent="0.3">
      <c r="A4088" t="s">
        <v>4142</v>
      </c>
      <c r="B4088" s="1">
        <v>45860</v>
      </c>
      <c r="C4088">
        <v>2025</v>
      </c>
      <c r="D4088" t="s">
        <v>1261</v>
      </c>
      <c r="E4088" t="s">
        <v>1262</v>
      </c>
      <c r="F4088" t="s">
        <v>38</v>
      </c>
      <c r="G4088" t="s">
        <v>35</v>
      </c>
      <c r="H4088" t="s">
        <v>25</v>
      </c>
      <c r="I4088" t="s">
        <v>26</v>
      </c>
      <c r="J4088" t="s">
        <v>27</v>
      </c>
      <c r="K4088" t="s">
        <v>32</v>
      </c>
      <c r="L4088" s="2">
        <v>18.5</v>
      </c>
      <c r="M4088" s="3">
        <v>748</v>
      </c>
      <c r="N4088">
        <v>4</v>
      </c>
      <c r="O4088">
        <v>4</v>
      </c>
      <c r="P4088">
        <v>1</v>
      </c>
      <c r="Q4088">
        <v>0</v>
      </c>
      <c r="R4088" s="4">
        <v>28.27</v>
      </c>
      <c r="S4088">
        <v>0</v>
      </c>
      <c r="T4088">
        <v>1</v>
      </c>
    </row>
    <row r="4089" spans="1:20" ht="16.5" x14ac:dyDescent="0.3">
      <c r="A4089" t="s">
        <v>4143</v>
      </c>
      <c r="B4089" s="1">
        <v>45860</v>
      </c>
      <c r="C4089">
        <v>2025</v>
      </c>
      <c r="D4089" t="s">
        <v>1261</v>
      </c>
      <c r="E4089" t="s">
        <v>1262</v>
      </c>
      <c r="F4089" t="s">
        <v>34</v>
      </c>
      <c r="G4089" t="s">
        <v>35</v>
      </c>
      <c r="H4089" t="s">
        <v>25</v>
      </c>
      <c r="I4089" t="s">
        <v>26</v>
      </c>
      <c r="J4089" t="s">
        <v>27</v>
      </c>
      <c r="K4089" t="s">
        <v>32</v>
      </c>
      <c r="L4089" s="2">
        <v>1.9</v>
      </c>
      <c r="M4089" s="3">
        <v>1229</v>
      </c>
      <c r="N4089">
        <v>4</v>
      </c>
      <c r="O4089">
        <v>4</v>
      </c>
      <c r="P4089">
        <v>1</v>
      </c>
      <c r="Q4089">
        <v>0</v>
      </c>
      <c r="R4089" s="4">
        <v>18.170000000000002</v>
      </c>
      <c r="S4089">
        <v>0</v>
      </c>
      <c r="T4089">
        <v>1</v>
      </c>
    </row>
    <row r="4090" spans="1:20" ht="16.5" x14ac:dyDescent="0.3">
      <c r="A4090" t="s">
        <v>4144</v>
      </c>
      <c r="B4090" s="1">
        <v>45860</v>
      </c>
      <c r="C4090">
        <v>2025</v>
      </c>
      <c r="D4090" t="s">
        <v>1261</v>
      </c>
      <c r="E4090" t="s">
        <v>1262</v>
      </c>
      <c r="F4090" t="s">
        <v>38</v>
      </c>
      <c r="G4090" t="s">
        <v>35</v>
      </c>
      <c r="H4090" t="s">
        <v>25</v>
      </c>
      <c r="I4090" t="s">
        <v>31</v>
      </c>
      <c r="J4090" t="s">
        <v>27</v>
      </c>
      <c r="K4090" t="s">
        <v>32</v>
      </c>
      <c r="L4090" s="2">
        <v>7.2</v>
      </c>
      <c r="M4090" s="3">
        <v>721</v>
      </c>
      <c r="N4090">
        <v>6</v>
      </c>
      <c r="O4090">
        <v>6</v>
      </c>
      <c r="P4090">
        <v>1</v>
      </c>
      <c r="Q4090">
        <v>0</v>
      </c>
      <c r="R4090" s="4">
        <v>17.059999999999999</v>
      </c>
      <c r="S4090">
        <v>0</v>
      </c>
      <c r="T4090">
        <v>1</v>
      </c>
    </row>
    <row r="4091" spans="1:20" ht="16.5" x14ac:dyDescent="0.3">
      <c r="A4091" t="s">
        <v>4145</v>
      </c>
      <c r="B4091" s="1">
        <v>45860</v>
      </c>
      <c r="C4091">
        <v>2025</v>
      </c>
      <c r="D4091" t="s">
        <v>1261</v>
      </c>
      <c r="E4091" t="s">
        <v>1262</v>
      </c>
      <c r="F4091" t="s">
        <v>34</v>
      </c>
      <c r="G4091" t="s">
        <v>39</v>
      </c>
      <c r="H4091" t="s">
        <v>25</v>
      </c>
      <c r="I4091" t="s">
        <v>40</v>
      </c>
      <c r="J4091" t="s">
        <v>41</v>
      </c>
      <c r="K4091" t="s">
        <v>32</v>
      </c>
      <c r="L4091" s="2">
        <v>1.7</v>
      </c>
      <c r="M4091" s="3">
        <v>814</v>
      </c>
      <c r="N4091">
        <v>2</v>
      </c>
      <c r="O4091">
        <v>2</v>
      </c>
      <c r="P4091">
        <v>1</v>
      </c>
      <c r="Q4091">
        <v>0</v>
      </c>
      <c r="R4091" s="4">
        <v>45.76</v>
      </c>
      <c r="S4091">
        <v>0</v>
      </c>
      <c r="T4091">
        <v>1</v>
      </c>
    </row>
    <row r="4092" spans="1:20" ht="16.5" x14ac:dyDescent="0.3">
      <c r="A4092" t="s">
        <v>4146</v>
      </c>
      <c r="B4092" s="1">
        <v>45860</v>
      </c>
      <c r="C4092">
        <v>2025</v>
      </c>
      <c r="D4092" t="s">
        <v>1261</v>
      </c>
      <c r="E4092" t="s">
        <v>1262</v>
      </c>
      <c r="F4092" t="s">
        <v>38</v>
      </c>
      <c r="G4092" t="s">
        <v>39</v>
      </c>
      <c r="H4092" t="s">
        <v>48</v>
      </c>
      <c r="I4092" t="s">
        <v>31</v>
      </c>
      <c r="J4092" t="s">
        <v>27</v>
      </c>
      <c r="K4092" t="s">
        <v>32</v>
      </c>
      <c r="L4092" s="2">
        <v>2.4</v>
      </c>
      <c r="M4092" s="3">
        <v>640</v>
      </c>
      <c r="N4092">
        <v>6</v>
      </c>
      <c r="O4092">
        <v>5</v>
      </c>
      <c r="P4092">
        <v>1</v>
      </c>
      <c r="Q4092">
        <v>0</v>
      </c>
      <c r="R4092" s="4">
        <v>11.82</v>
      </c>
      <c r="S4092">
        <v>0</v>
      </c>
      <c r="T4092">
        <v>1</v>
      </c>
    </row>
    <row r="4093" spans="1:20" ht="16.5" x14ac:dyDescent="0.3">
      <c r="A4093" t="s">
        <v>4147</v>
      </c>
      <c r="B4093" s="1">
        <v>45860</v>
      </c>
      <c r="C4093">
        <v>2025</v>
      </c>
      <c r="D4093" t="s">
        <v>1261</v>
      </c>
      <c r="E4093" t="s">
        <v>1262</v>
      </c>
      <c r="F4093" t="s">
        <v>23</v>
      </c>
      <c r="G4093" t="s">
        <v>24</v>
      </c>
      <c r="H4093" t="s">
        <v>25</v>
      </c>
      <c r="I4093" t="s">
        <v>31</v>
      </c>
      <c r="J4093" t="s">
        <v>27</v>
      </c>
      <c r="K4093" t="s">
        <v>32</v>
      </c>
      <c r="L4093" s="2">
        <v>1</v>
      </c>
      <c r="M4093" s="3">
        <v>987</v>
      </c>
      <c r="N4093">
        <v>6</v>
      </c>
      <c r="O4093">
        <v>6</v>
      </c>
      <c r="P4093">
        <v>1</v>
      </c>
      <c r="Q4093">
        <v>0</v>
      </c>
      <c r="R4093" s="4">
        <v>12.83</v>
      </c>
      <c r="S4093">
        <v>0</v>
      </c>
      <c r="T4093">
        <v>1</v>
      </c>
    </row>
    <row r="4094" spans="1:20" ht="16.5" x14ac:dyDescent="0.3">
      <c r="A4094" t="s">
        <v>4148</v>
      </c>
      <c r="B4094" s="1">
        <v>45860</v>
      </c>
      <c r="C4094">
        <v>2025</v>
      </c>
      <c r="D4094" t="s">
        <v>1261</v>
      </c>
      <c r="E4094" t="s">
        <v>1262</v>
      </c>
      <c r="F4094" t="s">
        <v>30</v>
      </c>
      <c r="G4094" t="s">
        <v>24</v>
      </c>
      <c r="H4094" t="s">
        <v>51</v>
      </c>
      <c r="I4094" t="s">
        <v>40</v>
      </c>
      <c r="J4094" t="s">
        <v>41</v>
      </c>
      <c r="K4094" t="s">
        <v>32</v>
      </c>
      <c r="L4094" s="2">
        <v>3.1</v>
      </c>
      <c r="M4094" s="3">
        <v>957</v>
      </c>
      <c r="N4094">
        <v>3</v>
      </c>
      <c r="O4094">
        <v>3</v>
      </c>
      <c r="P4094">
        <v>1</v>
      </c>
      <c r="Q4094">
        <v>0</v>
      </c>
      <c r="R4094" s="4">
        <v>63.37</v>
      </c>
      <c r="S4094">
        <v>0</v>
      </c>
      <c r="T4094">
        <v>1</v>
      </c>
    </row>
    <row r="4095" spans="1:20" ht="16.5" x14ac:dyDescent="0.3">
      <c r="A4095" t="s">
        <v>4149</v>
      </c>
      <c r="B4095" s="1">
        <v>45860</v>
      </c>
      <c r="C4095">
        <v>2025</v>
      </c>
      <c r="D4095" t="s">
        <v>1261</v>
      </c>
      <c r="E4095" t="s">
        <v>1262</v>
      </c>
      <c r="F4095" t="s">
        <v>23</v>
      </c>
      <c r="G4095" t="s">
        <v>39</v>
      </c>
      <c r="H4095" t="s">
        <v>36</v>
      </c>
      <c r="I4095" t="s">
        <v>26</v>
      </c>
      <c r="J4095" t="s">
        <v>27</v>
      </c>
      <c r="K4095" t="s">
        <v>28</v>
      </c>
      <c r="L4095" s="2">
        <v>73.7</v>
      </c>
      <c r="M4095" s="3">
        <v>250</v>
      </c>
      <c r="N4095">
        <v>3</v>
      </c>
      <c r="O4095">
        <v>2</v>
      </c>
      <c r="P4095">
        <v>1</v>
      </c>
      <c r="Q4095">
        <v>0</v>
      </c>
      <c r="R4095" s="4">
        <v>43.06</v>
      </c>
      <c r="S4095">
        <v>0</v>
      </c>
      <c r="T4095">
        <v>1</v>
      </c>
    </row>
    <row r="4096" spans="1:20" ht="16.5" x14ac:dyDescent="0.3">
      <c r="A4096" t="s">
        <v>4150</v>
      </c>
      <c r="B4096" s="1">
        <v>45860</v>
      </c>
      <c r="C4096">
        <v>2025</v>
      </c>
      <c r="D4096" t="s">
        <v>1261</v>
      </c>
      <c r="E4096" t="s">
        <v>1262</v>
      </c>
      <c r="F4096" t="s">
        <v>23</v>
      </c>
      <c r="G4096" t="s">
        <v>35</v>
      </c>
      <c r="H4096" t="s">
        <v>36</v>
      </c>
      <c r="I4096" t="s">
        <v>31</v>
      </c>
      <c r="J4096" t="s">
        <v>27</v>
      </c>
      <c r="K4096" t="s">
        <v>32</v>
      </c>
      <c r="L4096" s="2">
        <v>8.5</v>
      </c>
      <c r="M4096" s="3">
        <v>230</v>
      </c>
      <c r="N4096">
        <v>5</v>
      </c>
      <c r="O4096">
        <v>5</v>
      </c>
      <c r="P4096">
        <v>1</v>
      </c>
      <c r="Q4096">
        <v>0</v>
      </c>
      <c r="R4096" s="4">
        <v>9.24</v>
      </c>
      <c r="S4096">
        <v>0</v>
      </c>
      <c r="T4096">
        <v>1</v>
      </c>
    </row>
    <row r="4097" spans="1:20" ht="16.5" x14ac:dyDescent="0.3">
      <c r="A4097" t="s">
        <v>4151</v>
      </c>
      <c r="B4097" s="1">
        <v>45860</v>
      </c>
      <c r="C4097">
        <v>2025</v>
      </c>
      <c r="D4097" t="s">
        <v>1261</v>
      </c>
      <c r="E4097" t="s">
        <v>1262</v>
      </c>
      <c r="F4097" t="s">
        <v>30</v>
      </c>
      <c r="G4097" t="s">
        <v>24</v>
      </c>
      <c r="H4097" t="s">
        <v>36</v>
      </c>
      <c r="I4097" t="s">
        <v>40</v>
      </c>
      <c r="J4097" t="s">
        <v>27</v>
      </c>
      <c r="K4097" t="s">
        <v>32</v>
      </c>
      <c r="L4097" s="2">
        <v>27</v>
      </c>
      <c r="M4097" s="3">
        <v>257</v>
      </c>
      <c r="N4097">
        <v>1</v>
      </c>
      <c r="O4097">
        <v>1</v>
      </c>
      <c r="P4097">
        <v>1</v>
      </c>
      <c r="Q4097">
        <v>0</v>
      </c>
      <c r="R4097" s="4">
        <v>49.84</v>
      </c>
      <c r="S4097">
        <v>0</v>
      </c>
      <c r="T4097">
        <v>1</v>
      </c>
    </row>
    <row r="4098" spans="1:20" ht="16.5" x14ac:dyDescent="0.3">
      <c r="A4098" t="s">
        <v>4152</v>
      </c>
      <c r="B4098" s="1">
        <v>45861</v>
      </c>
      <c r="C4098">
        <v>2025</v>
      </c>
      <c r="D4098" t="s">
        <v>1261</v>
      </c>
      <c r="E4098" t="s">
        <v>1262</v>
      </c>
      <c r="F4098" t="s">
        <v>23</v>
      </c>
      <c r="G4098" t="s">
        <v>24</v>
      </c>
      <c r="H4098" t="s">
        <v>51</v>
      </c>
      <c r="I4098" t="s">
        <v>26</v>
      </c>
      <c r="J4098" t="s">
        <v>27</v>
      </c>
      <c r="K4098" t="s">
        <v>32</v>
      </c>
      <c r="L4098" s="2">
        <v>3.4</v>
      </c>
      <c r="M4098" s="3">
        <v>1118</v>
      </c>
      <c r="N4098">
        <v>5</v>
      </c>
      <c r="O4098">
        <v>5</v>
      </c>
      <c r="P4098">
        <v>1</v>
      </c>
      <c r="Q4098">
        <v>0</v>
      </c>
      <c r="R4098" s="4">
        <v>20.46</v>
      </c>
      <c r="S4098">
        <v>0</v>
      </c>
      <c r="T4098">
        <v>1</v>
      </c>
    </row>
    <row r="4099" spans="1:20" ht="16.5" x14ac:dyDescent="0.3">
      <c r="A4099" t="s">
        <v>4153</v>
      </c>
      <c r="B4099" s="1">
        <v>45861</v>
      </c>
      <c r="C4099">
        <v>2025</v>
      </c>
      <c r="D4099" t="s">
        <v>1261</v>
      </c>
      <c r="E4099" t="s">
        <v>1262</v>
      </c>
      <c r="F4099" t="s">
        <v>30</v>
      </c>
      <c r="G4099" t="s">
        <v>39</v>
      </c>
      <c r="H4099" t="s">
        <v>36</v>
      </c>
      <c r="I4099" t="s">
        <v>40</v>
      </c>
      <c r="J4099" t="s">
        <v>27</v>
      </c>
      <c r="K4099" t="s">
        <v>28</v>
      </c>
      <c r="L4099" s="2">
        <v>180.5</v>
      </c>
      <c r="M4099" s="3">
        <v>269</v>
      </c>
      <c r="N4099">
        <v>1</v>
      </c>
      <c r="O4099">
        <v>1</v>
      </c>
      <c r="P4099">
        <v>1</v>
      </c>
      <c r="Q4099">
        <v>0</v>
      </c>
      <c r="R4099" s="4">
        <v>173.96</v>
      </c>
      <c r="S4099">
        <v>0</v>
      </c>
      <c r="T4099">
        <v>1</v>
      </c>
    </row>
    <row r="4100" spans="1:20" ht="16.5" x14ac:dyDescent="0.3">
      <c r="A4100" t="s">
        <v>4154</v>
      </c>
      <c r="B4100" s="1">
        <v>45861</v>
      </c>
      <c r="C4100">
        <v>2025</v>
      </c>
      <c r="D4100" t="s">
        <v>1261</v>
      </c>
      <c r="E4100" t="s">
        <v>1262</v>
      </c>
      <c r="F4100" t="s">
        <v>23</v>
      </c>
      <c r="G4100" t="s">
        <v>35</v>
      </c>
      <c r="H4100" t="s">
        <v>25</v>
      </c>
      <c r="I4100" t="s">
        <v>40</v>
      </c>
      <c r="J4100" t="s">
        <v>41</v>
      </c>
      <c r="K4100" t="s">
        <v>28</v>
      </c>
      <c r="L4100" s="2">
        <v>169.6</v>
      </c>
      <c r="M4100" s="3">
        <v>770</v>
      </c>
      <c r="N4100">
        <v>2</v>
      </c>
      <c r="O4100">
        <v>2</v>
      </c>
      <c r="P4100">
        <v>1</v>
      </c>
      <c r="Q4100">
        <v>0</v>
      </c>
      <c r="R4100" s="4">
        <v>263.2</v>
      </c>
      <c r="S4100">
        <v>0</v>
      </c>
      <c r="T4100">
        <v>1</v>
      </c>
    </row>
    <row r="4101" spans="1:20" ht="16.5" x14ac:dyDescent="0.3">
      <c r="A4101" t="s">
        <v>4155</v>
      </c>
      <c r="B4101" s="1">
        <v>45861</v>
      </c>
      <c r="C4101">
        <v>2025</v>
      </c>
      <c r="D4101" t="s">
        <v>1261</v>
      </c>
      <c r="E4101" t="s">
        <v>1262</v>
      </c>
      <c r="F4101" t="s">
        <v>23</v>
      </c>
      <c r="G4101" t="s">
        <v>39</v>
      </c>
      <c r="H4101" t="s">
        <v>25</v>
      </c>
      <c r="I4101" t="s">
        <v>31</v>
      </c>
      <c r="J4101" t="s">
        <v>27</v>
      </c>
      <c r="K4101" t="s">
        <v>32</v>
      </c>
      <c r="L4101" s="2">
        <v>2.4</v>
      </c>
      <c r="M4101" s="3">
        <v>1057</v>
      </c>
      <c r="N4101">
        <v>6</v>
      </c>
      <c r="O4101">
        <v>6</v>
      </c>
      <c r="P4101">
        <v>1</v>
      </c>
      <c r="Q4101">
        <v>0</v>
      </c>
      <c r="R4101" s="4">
        <v>13.94</v>
      </c>
      <c r="S4101">
        <v>0</v>
      </c>
      <c r="T4101">
        <v>1</v>
      </c>
    </row>
    <row r="4102" spans="1:20" ht="16.5" x14ac:dyDescent="0.3">
      <c r="A4102" t="s">
        <v>4156</v>
      </c>
      <c r="B4102" s="1">
        <v>45861</v>
      </c>
      <c r="C4102">
        <v>2025</v>
      </c>
      <c r="D4102" t="s">
        <v>1261</v>
      </c>
      <c r="E4102" t="s">
        <v>1262</v>
      </c>
      <c r="F4102" t="s">
        <v>30</v>
      </c>
      <c r="G4102" t="s">
        <v>24</v>
      </c>
      <c r="H4102" t="s">
        <v>36</v>
      </c>
      <c r="I4102" t="s">
        <v>40</v>
      </c>
      <c r="J4102" t="s">
        <v>27</v>
      </c>
      <c r="K4102" t="s">
        <v>28</v>
      </c>
      <c r="L4102" s="2">
        <v>56.5</v>
      </c>
      <c r="M4102" s="3">
        <v>273</v>
      </c>
      <c r="N4102">
        <v>1</v>
      </c>
      <c r="O4102">
        <v>1</v>
      </c>
      <c r="P4102">
        <v>1</v>
      </c>
      <c r="Q4102">
        <v>0</v>
      </c>
      <c r="R4102" s="4">
        <v>67.95</v>
      </c>
      <c r="S4102">
        <v>0</v>
      </c>
      <c r="T4102">
        <v>1</v>
      </c>
    </row>
    <row r="4103" spans="1:20" ht="16.5" x14ac:dyDescent="0.3">
      <c r="A4103" t="s">
        <v>4157</v>
      </c>
      <c r="B4103" s="1">
        <v>45861</v>
      </c>
      <c r="C4103">
        <v>2025</v>
      </c>
      <c r="D4103" t="s">
        <v>1261</v>
      </c>
      <c r="E4103" t="s">
        <v>1262</v>
      </c>
      <c r="F4103" t="s">
        <v>38</v>
      </c>
      <c r="G4103" t="s">
        <v>39</v>
      </c>
      <c r="H4103" t="s">
        <v>25</v>
      </c>
      <c r="I4103" t="s">
        <v>26</v>
      </c>
      <c r="J4103" t="s">
        <v>27</v>
      </c>
      <c r="K4103" t="s">
        <v>32</v>
      </c>
      <c r="L4103" s="2">
        <v>7.4</v>
      </c>
      <c r="M4103" s="3">
        <v>749</v>
      </c>
      <c r="N4103">
        <v>4</v>
      </c>
      <c r="O4103">
        <v>4</v>
      </c>
      <c r="P4103">
        <v>1</v>
      </c>
      <c r="Q4103">
        <v>0</v>
      </c>
      <c r="R4103" s="4">
        <v>18.809999999999999</v>
      </c>
      <c r="S4103">
        <v>0</v>
      </c>
      <c r="T4103">
        <v>1</v>
      </c>
    </row>
    <row r="4104" spans="1:20" ht="16.5" x14ac:dyDescent="0.3">
      <c r="A4104" t="s">
        <v>4158</v>
      </c>
      <c r="B4104" s="1">
        <v>45861</v>
      </c>
      <c r="C4104">
        <v>2025</v>
      </c>
      <c r="D4104" t="s">
        <v>1261</v>
      </c>
      <c r="E4104" t="s">
        <v>1262</v>
      </c>
      <c r="F4104" t="s">
        <v>38</v>
      </c>
      <c r="G4104" t="s">
        <v>39</v>
      </c>
      <c r="H4104" t="s">
        <v>25</v>
      </c>
      <c r="I4104" t="s">
        <v>31</v>
      </c>
      <c r="J4104" t="s">
        <v>27</v>
      </c>
      <c r="K4104" t="s">
        <v>28</v>
      </c>
      <c r="L4104" s="2">
        <v>171.3</v>
      </c>
      <c r="M4104" s="3">
        <v>1076</v>
      </c>
      <c r="N4104">
        <v>6</v>
      </c>
      <c r="O4104">
        <v>6</v>
      </c>
      <c r="P4104">
        <v>1</v>
      </c>
      <c r="Q4104">
        <v>0</v>
      </c>
      <c r="R4104" s="4">
        <v>77.83</v>
      </c>
      <c r="S4104">
        <v>0</v>
      </c>
      <c r="T4104">
        <v>1</v>
      </c>
    </row>
    <row r="4105" spans="1:20" ht="16.5" x14ac:dyDescent="0.3">
      <c r="A4105" t="s">
        <v>4159</v>
      </c>
      <c r="B4105" s="1">
        <v>45862</v>
      </c>
      <c r="C4105">
        <v>2025</v>
      </c>
      <c r="D4105" t="s">
        <v>1261</v>
      </c>
      <c r="E4105" t="s">
        <v>1262</v>
      </c>
      <c r="F4105" t="s">
        <v>38</v>
      </c>
      <c r="G4105" t="s">
        <v>24</v>
      </c>
      <c r="H4105" t="s">
        <v>25</v>
      </c>
      <c r="I4105" t="s">
        <v>31</v>
      </c>
      <c r="J4105" t="s">
        <v>27</v>
      </c>
      <c r="K4105" t="s">
        <v>32</v>
      </c>
      <c r="L4105" s="2">
        <v>13.9</v>
      </c>
      <c r="M4105" s="3">
        <v>1116</v>
      </c>
      <c r="N4105">
        <v>6</v>
      </c>
      <c r="O4105">
        <v>7</v>
      </c>
      <c r="P4105">
        <v>0</v>
      </c>
      <c r="Q4105">
        <v>1</v>
      </c>
      <c r="R4105" s="4">
        <v>22.96</v>
      </c>
      <c r="S4105">
        <v>0</v>
      </c>
      <c r="T4105">
        <v>1</v>
      </c>
    </row>
    <row r="4106" spans="1:20" ht="16.5" x14ac:dyDescent="0.3">
      <c r="A4106" t="s">
        <v>4160</v>
      </c>
      <c r="B4106" s="1">
        <v>45862</v>
      </c>
      <c r="C4106">
        <v>2025</v>
      </c>
      <c r="D4106" t="s">
        <v>1261</v>
      </c>
      <c r="E4106" t="s">
        <v>1262</v>
      </c>
      <c r="F4106" t="s">
        <v>38</v>
      </c>
      <c r="G4106" t="s">
        <v>39</v>
      </c>
      <c r="H4106" t="s">
        <v>43</v>
      </c>
      <c r="I4106" t="s">
        <v>26</v>
      </c>
      <c r="J4106" t="s">
        <v>27</v>
      </c>
      <c r="K4106" t="s">
        <v>32</v>
      </c>
      <c r="L4106" s="2">
        <v>3.3</v>
      </c>
      <c r="M4106" s="3">
        <v>1117</v>
      </c>
      <c r="N4106">
        <v>5</v>
      </c>
      <c r="O4106">
        <v>4</v>
      </c>
      <c r="P4106">
        <v>1</v>
      </c>
      <c r="Q4106">
        <v>0</v>
      </c>
      <c r="R4106" s="4">
        <v>25.52</v>
      </c>
      <c r="S4106">
        <v>0</v>
      </c>
      <c r="T4106">
        <v>1</v>
      </c>
    </row>
    <row r="4107" spans="1:20" ht="16.5" x14ac:dyDescent="0.3">
      <c r="A4107" t="s">
        <v>4161</v>
      </c>
      <c r="B4107" s="1">
        <v>45862</v>
      </c>
      <c r="C4107">
        <v>2025</v>
      </c>
      <c r="D4107" t="s">
        <v>1261</v>
      </c>
      <c r="E4107" t="s">
        <v>1262</v>
      </c>
      <c r="F4107" t="s">
        <v>23</v>
      </c>
      <c r="G4107" t="s">
        <v>39</v>
      </c>
      <c r="H4107" t="s">
        <v>43</v>
      </c>
      <c r="I4107" t="s">
        <v>26</v>
      </c>
      <c r="J4107" t="s">
        <v>27</v>
      </c>
      <c r="K4107" t="s">
        <v>28</v>
      </c>
      <c r="L4107" s="2">
        <v>24.2</v>
      </c>
      <c r="M4107" s="3">
        <v>1100</v>
      </c>
      <c r="N4107">
        <v>5</v>
      </c>
      <c r="O4107">
        <v>5</v>
      </c>
      <c r="P4107">
        <v>1</v>
      </c>
      <c r="Q4107">
        <v>0</v>
      </c>
      <c r="R4107" s="4">
        <v>29.02</v>
      </c>
      <c r="S4107">
        <v>0</v>
      </c>
      <c r="T4107">
        <v>1</v>
      </c>
    </row>
    <row r="4108" spans="1:20" ht="16.5" x14ac:dyDescent="0.3">
      <c r="A4108" t="s">
        <v>4162</v>
      </c>
      <c r="B4108" s="1">
        <v>45862</v>
      </c>
      <c r="C4108">
        <v>2025</v>
      </c>
      <c r="D4108" t="s">
        <v>1261</v>
      </c>
      <c r="E4108" t="s">
        <v>1262</v>
      </c>
      <c r="F4108" t="s">
        <v>38</v>
      </c>
      <c r="G4108" t="s">
        <v>39</v>
      </c>
      <c r="H4108" t="s">
        <v>48</v>
      </c>
      <c r="I4108" t="s">
        <v>31</v>
      </c>
      <c r="J4108" t="s">
        <v>27</v>
      </c>
      <c r="K4108" t="s">
        <v>32</v>
      </c>
      <c r="L4108" s="2">
        <v>9.9</v>
      </c>
      <c r="M4108" s="3">
        <v>502</v>
      </c>
      <c r="N4108">
        <v>6</v>
      </c>
      <c r="O4108">
        <v>6</v>
      </c>
      <c r="P4108">
        <v>1</v>
      </c>
      <c r="Q4108">
        <v>0</v>
      </c>
      <c r="R4108" s="4">
        <v>13.86</v>
      </c>
      <c r="S4108">
        <v>0</v>
      </c>
      <c r="T4108">
        <v>1</v>
      </c>
    </row>
    <row r="4109" spans="1:20" ht="16.5" x14ac:dyDescent="0.3">
      <c r="A4109" t="s">
        <v>4163</v>
      </c>
      <c r="B4109" s="1">
        <v>45862</v>
      </c>
      <c r="C4109">
        <v>2025</v>
      </c>
      <c r="D4109" t="s">
        <v>1261</v>
      </c>
      <c r="E4109" t="s">
        <v>1262</v>
      </c>
      <c r="F4109" t="s">
        <v>30</v>
      </c>
      <c r="G4109" t="s">
        <v>39</v>
      </c>
      <c r="H4109" t="s">
        <v>25</v>
      </c>
      <c r="I4109" t="s">
        <v>40</v>
      </c>
      <c r="J4109" t="s">
        <v>41</v>
      </c>
      <c r="K4109" t="s">
        <v>28</v>
      </c>
      <c r="L4109" s="2">
        <v>243.7</v>
      </c>
      <c r="M4109" s="3">
        <v>726</v>
      </c>
      <c r="N4109">
        <v>2</v>
      </c>
      <c r="O4109">
        <v>2</v>
      </c>
      <c r="P4109">
        <v>1</v>
      </c>
      <c r="Q4109">
        <v>0</v>
      </c>
      <c r="R4109" s="4">
        <v>306.06</v>
      </c>
      <c r="S4109">
        <v>0</v>
      </c>
      <c r="T4109">
        <v>1</v>
      </c>
    </row>
    <row r="4110" spans="1:20" ht="16.5" x14ac:dyDescent="0.3">
      <c r="A4110" t="s">
        <v>4164</v>
      </c>
      <c r="B4110" s="1">
        <v>45862</v>
      </c>
      <c r="C4110">
        <v>2025</v>
      </c>
      <c r="D4110" t="s">
        <v>1261</v>
      </c>
      <c r="E4110" t="s">
        <v>1262</v>
      </c>
      <c r="F4110" t="s">
        <v>34</v>
      </c>
      <c r="G4110" t="s">
        <v>35</v>
      </c>
      <c r="H4110" t="s">
        <v>25</v>
      </c>
      <c r="I4110" t="s">
        <v>26</v>
      </c>
      <c r="J4110" t="s">
        <v>27</v>
      </c>
      <c r="K4110" t="s">
        <v>28</v>
      </c>
      <c r="L4110" s="2">
        <v>167.1</v>
      </c>
      <c r="M4110" s="3">
        <v>1058</v>
      </c>
      <c r="N4110">
        <v>4</v>
      </c>
      <c r="O4110">
        <v>4</v>
      </c>
      <c r="P4110">
        <v>1</v>
      </c>
      <c r="Q4110">
        <v>0</v>
      </c>
      <c r="R4110" s="4">
        <v>76.84</v>
      </c>
      <c r="S4110">
        <v>0</v>
      </c>
      <c r="T4110">
        <v>1</v>
      </c>
    </row>
    <row r="4111" spans="1:20" ht="16.5" x14ac:dyDescent="0.3">
      <c r="A4111" t="s">
        <v>4165</v>
      </c>
      <c r="B4111" s="1">
        <v>45862</v>
      </c>
      <c r="C4111">
        <v>2025</v>
      </c>
      <c r="D4111" t="s">
        <v>1261</v>
      </c>
      <c r="E4111" t="s">
        <v>1262</v>
      </c>
      <c r="F4111" t="s">
        <v>57</v>
      </c>
      <c r="G4111" t="s">
        <v>39</v>
      </c>
      <c r="H4111" t="s">
        <v>36</v>
      </c>
      <c r="I4111" t="s">
        <v>26</v>
      </c>
      <c r="J4111" t="s">
        <v>27</v>
      </c>
      <c r="K4111" t="s">
        <v>28</v>
      </c>
      <c r="L4111" s="2">
        <v>67.599999999999994</v>
      </c>
      <c r="M4111" s="3">
        <v>186</v>
      </c>
      <c r="N4111">
        <v>3</v>
      </c>
      <c r="O4111">
        <v>2</v>
      </c>
      <c r="P4111">
        <v>1</v>
      </c>
      <c r="Q4111">
        <v>0</v>
      </c>
      <c r="R4111" s="4">
        <v>42.55</v>
      </c>
      <c r="S4111">
        <v>0</v>
      </c>
      <c r="T4111">
        <v>1</v>
      </c>
    </row>
    <row r="4112" spans="1:20" ht="16.5" x14ac:dyDescent="0.3">
      <c r="A4112" t="s">
        <v>4166</v>
      </c>
      <c r="B4112" s="1">
        <v>45862</v>
      </c>
      <c r="C4112">
        <v>2025</v>
      </c>
      <c r="D4112" t="s">
        <v>1261</v>
      </c>
      <c r="E4112" t="s">
        <v>1262</v>
      </c>
      <c r="F4112" t="s">
        <v>23</v>
      </c>
      <c r="G4112" t="s">
        <v>39</v>
      </c>
      <c r="H4112" t="s">
        <v>48</v>
      </c>
      <c r="I4112" t="s">
        <v>26</v>
      </c>
      <c r="J4112" t="s">
        <v>27</v>
      </c>
      <c r="K4112" t="s">
        <v>32</v>
      </c>
      <c r="L4112" s="2">
        <v>1.6</v>
      </c>
      <c r="M4112" s="3">
        <v>510</v>
      </c>
      <c r="N4112">
        <v>4</v>
      </c>
      <c r="O4112">
        <v>3</v>
      </c>
      <c r="P4112">
        <v>1</v>
      </c>
      <c r="Q4112">
        <v>0</v>
      </c>
      <c r="R4112" s="4">
        <v>14.06</v>
      </c>
      <c r="S4112">
        <v>0</v>
      </c>
      <c r="T4112">
        <v>1</v>
      </c>
    </row>
    <row r="4113" spans="1:20" ht="16.5" x14ac:dyDescent="0.3">
      <c r="A4113" t="s">
        <v>4167</v>
      </c>
      <c r="B4113" s="1">
        <v>45862</v>
      </c>
      <c r="C4113">
        <v>2025</v>
      </c>
      <c r="D4113" t="s">
        <v>1261</v>
      </c>
      <c r="E4113" t="s">
        <v>1262</v>
      </c>
      <c r="F4113" t="s">
        <v>38</v>
      </c>
      <c r="G4113" t="s">
        <v>24</v>
      </c>
      <c r="H4113" t="s">
        <v>25</v>
      </c>
      <c r="I4113" t="s">
        <v>26</v>
      </c>
      <c r="J4113" t="s">
        <v>27</v>
      </c>
      <c r="K4113" t="s">
        <v>32</v>
      </c>
      <c r="L4113" s="2">
        <v>8.1999999999999993</v>
      </c>
      <c r="M4113" s="3">
        <v>1102</v>
      </c>
      <c r="N4113">
        <v>4</v>
      </c>
      <c r="O4113">
        <v>4</v>
      </c>
      <c r="P4113">
        <v>1</v>
      </c>
      <c r="Q4113">
        <v>0</v>
      </c>
      <c r="R4113" s="4">
        <v>26.57</v>
      </c>
      <c r="S4113">
        <v>0</v>
      </c>
      <c r="T4113">
        <v>1</v>
      </c>
    </row>
    <row r="4114" spans="1:20" ht="16.5" x14ac:dyDescent="0.3">
      <c r="A4114" t="s">
        <v>4168</v>
      </c>
      <c r="B4114" s="1">
        <v>45862</v>
      </c>
      <c r="C4114">
        <v>2025</v>
      </c>
      <c r="D4114" t="s">
        <v>1261</v>
      </c>
      <c r="E4114" t="s">
        <v>1262</v>
      </c>
      <c r="F4114" t="s">
        <v>38</v>
      </c>
      <c r="G4114" t="s">
        <v>39</v>
      </c>
      <c r="H4114" t="s">
        <v>43</v>
      </c>
      <c r="I4114" t="s">
        <v>26</v>
      </c>
      <c r="J4114" t="s">
        <v>27</v>
      </c>
      <c r="K4114" t="s">
        <v>32</v>
      </c>
      <c r="L4114" s="2">
        <v>6.1</v>
      </c>
      <c r="M4114" s="3">
        <v>1148</v>
      </c>
      <c r="N4114">
        <v>5</v>
      </c>
      <c r="O4114">
        <v>6</v>
      </c>
      <c r="P4114">
        <v>0</v>
      </c>
      <c r="Q4114">
        <v>1</v>
      </c>
      <c r="R4114" s="4">
        <v>26.35</v>
      </c>
      <c r="S4114">
        <v>0</v>
      </c>
      <c r="T4114">
        <v>1</v>
      </c>
    </row>
    <row r="4115" spans="1:20" ht="16.5" x14ac:dyDescent="0.3">
      <c r="A4115" t="s">
        <v>4169</v>
      </c>
      <c r="B4115" s="1">
        <v>45862</v>
      </c>
      <c r="C4115">
        <v>2025</v>
      </c>
      <c r="D4115" t="s">
        <v>1261</v>
      </c>
      <c r="E4115" t="s">
        <v>1262</v>
      </c>
      <c r="F4115" t="s">
        <v>34</v>
      </c>
      <c r="G4115" t="s">
        <v>39</v>
      </c>
      <c r="H4115" t="s">
        <v>25</v>
      </c>
      <c r="I4115" t="s">
        <v>40</v>
      </c>
      <c r="J4115" t="s">
        <v>41</v>
      </c>
      <c r="K4115" t="s">
        <v>32</v>
      </c>
      <c r="L4115" s="2">
        <v>10.3</v>
      </c>
      <c r="M4115" s="3">
        <v>803</v>
      </c>
      <c r="N4115">
        <v>2</v>
      </c>
      <c r="O4115">
        <v>2</v>
      </c>
      <c r="P4115">
        <v>1</v>
      </c>
      <c r="Q4115">
        <v>0</v>
      </c>
      <c r="R4115" s="4">
        <v>57.09</v>
      </c>
      <c r="S4115">
        <v>0</v>
      </c>
      <c r="T4115">
        <v>1</v>
      </c>
    </row>
    <row r="4116" spans="1:20" ht="16.5" x14ac:dyDescent="0.3">
      <c r="A4116" t="s">
        <v>4170</v>
      </c>
      <c r="B4116" s="1">
        <v>45863</v>
      </c>
      <c r="C4116">
        <v>2025</v>
      </c>
      <c r="D4116" t="s">
        <v>1261</v>
      </c>
      <c r="E4116" t="s">
        <v>1262</v>
      </c>
      <c r="F4116" t="s">
        <v>30</v>
      </c>
      <c r="G4116" t="s">
        <v>24</v>
      </c>
      <c r="H4116" t="s">
        <v>48</v>
      </c>
      <c r="I4116" t="s">
        <v>26</v>
      </c>
      <c r="J4116" t="s">
        <v>27</v>
      </c>
      <c r="K4116" t="s">
        <v>28</v>
      </c>
      <c r="L4116" s="2">
        <v>33.700000000000003</v>
      </c>
      <c r="M4116" s="3">
        <v>554</v>
      </c>
      <c r="N4116">
        <v>4</v>
      </c>
      <c r="O4116">
        <v>4</v>
      </c>
      <c r="P4116">
        <v>1</v>
      </c>
      <c r="Q4116">
        <v>0</v>
      </c>
      <c r="R4116" s="4">
        <v>31.69</v>
      </c>
      <c r="S4116">
        <v>0</v>
      </c>
      <c r="T4116">
        <v>1</v>
      </c>
    </row>
    <row r="4117" spans="1:20" ht="16.5" x14ac:dyDescent="0.3">
      <c r="A4117" t="s">
        <v>4171</v>
      </c>
      <c r="B4117" s="1">
        <v>45863</v>
      </c>
      <c r="C4117">
        <v>2025</v>
      </c>
      <c r="D4117" t="s">
        <v>1261</v>
      </c>
      <c r="E4117" t="s">
        <v>1262</v>
      </c>
      <c r="F4117" t="s">
        <v>34</v>
      </c>
      <c r="G4117" t="s">
        <v>35</v>
      </c>
      <c r="H4117" t="s">
        <v>43</v>
      </c>
      <c r="I4117" t="s">
        <v>26</v>
      </c>
      <c r="J4117" t="s">
        <v>27</v>
      </c>
      <c r="K4117" t="s">
        <v>28</v>
      </c>
      <c r="L4117" s="2">
        <v>180.3</v>
      </c>
      <c r="M4117" s="3">
        <v>1030</v>
      </c>
      <c r="N4117">
        <v>5</v>
      </c>
      <c r="O4117">
        <v>5</v>
      </c>
      <c r="P4117">
        <v>1</v>
      </c>
      <c r="Q4117">
        <v>0</v>
      </c>
      <c r="R4117" s="4">
        <v>85.94</v>
      </c>
      <c r="S4117">
        <v>0</v>
      </c>
      <c r="T4117">
        <v>1</v>
      </c>
    </row>
    <row r="4118" spans="1:20" ht="16.5" x14ac:dyDescent="0.3">
      <c r="A4118" t="s">
        <v>4172</v>
      </c>
      <c r="B4118" s="1">
        <v>45863</v>
      </c>
      <c r="C4118">
        <v>2025</v>
      </c>
      <c r="D4118" t="s">
        <v>1261</v>
      </c>
      <c r="E4118" t="s">
        <v>1262</v>
      </c>
      <c r="F4118" t="s">
        <v>38</v>
      </c>
      <c r="G4118" t="s">
        <v>24</v>
      </c>
      <c r="H4118" t="s">
        <v>36</v>
      </c>
      <c r="I4118" t="s">
        <v>26</v>
      </c>
      <c r="J4118" t="s">
        <v>27</v>
      </c>
      <c r="K4118" t="s">
        <v>32</v>
      </c>
      <c r="L4118" s="2">
        <v>9.8000000000000007</v>
      </c>
      <c r="M4118" s="3">
        <v>297</v>
      </c>
      <c r="N4118">
        <v>3</v>
      </c>
      <c r="O4118">
        <v>3</v>
      </c>
      <c r="P4118">
        <v>1</v>
      </c>
      <c r="Q4118">
        <v>0</v>
      </c>
      <c r="R4118" s="4">
        <v>16.78</v>
      </c>
      <c r="S4118">
        <v>0</v>
      </c>
      <c r="T4118">
        <v>1</v>
      </c>
    </row>
    <row r="4119" spans="1:20" ht="16.5" x14ac:dyDescent="0.3">
      <c r="A4119" t="s">
        <v>4173</v>
      </c>
      <c r="B4119" s="1">
        <v>45863</v>
      </c>
      <c r="C4119">
        <v>2025</v>
      </c>
      <c r="D4119" t="s">
        <v>1261</v>
      </c>
      <c r="E4119" t="s">
        <v>1262</v>
      </c>
      <c r="F4119" t="s">
        <v>23</v>
      </c>
      <c r="G4119" t="s">
        <v>35</v>
      </c>
      <c r="H4119" t="s">
        <v>48</v>
      </c>
      <c r="I4119" t="s">
        <v>26</v>
      </c>
      <c r="J4119" t="s">
        <v>27</v>
      </c>
      <c r="K4119" t="s">
        <v>28</v>
      </c>
      <c r="L4119" s="2">
        <v>25.6</v>
      </c>
      <c r="M4119" s="3">
        <v>629</v>
      </c>
      <c r="N4119">
        <v>4</v>
      </c>
      <c r="O4119">
        <v>4</v>
      </c>
      <c r="P4119">
        <v>1</v>
      </c>
      <c r="Q4119">
        <v>0</v>
      </c>
      <c r="R4119" s="4">
        <v>28.29</v>
      </c>
      <c r="S4119">
        <v>0</v>
      </c>
      <c r="T4119">
        <v>1</v>
      </c>
    </row>
    <row r="4120" spans="1:20" ht="16.5" x14ac:dyDescent="0.3">
      <c r="A4120" t="s">
        <v>4174</v>
      </c>
      <c r="B4120" s="1">
        <v>45863</v>
      </c>
      <c r="C4120">
        <v>2025</v>
      </c>
      <c r="D4120" t="s">
        <v>1261</v>
      </c>
      <c r="E4120" t="s">
        <v>1262</v>
      </c>
      <c r="F4120" t="s">
        <v>38</v>
      </c>
      <c r="G4120" t="s">
        <v>35</v>
      </c>
      <c r="H4120" t="s">
        <v>25</v>
      </c>
      <c r="I4120" t="s">
        <v>26</v>
      </c>
      <c r="J4120" t="s">
        <v>27</v>
      </c>
      <c r="K4120" t="s">
        <v>32</v>
      </c>
      <c r="L4120" s="2">
        <v>5.6</v>
      </c>
      <c r="M4120" s="3">
        <v>641</v>
      </c>
      <c r="N4120">
        <v>4</v>
      </c>
      <c r="O4120">
        <v>3</v>
      </c>
      <c r="P4120">
        <v>1</v>
      </c>
      <c r="Q4120">
        <v>0</v>
      </c>
      <c r="R4120" s="4">
        <v>19.87</v>
      </c>
      <c r="S4120">
        <v>0</v>
      </c>
      <c r="T4120">
        <v>1</v>
      </c>
    </row>
    <row r="4121" spans="1:20" ht="16.5" x14ac:dyDescent="0.3">
      <c r="A4121" t="s">
        <v>4175</v>
      </c>
      <c r="B4121" s="1">
        <v>45863</v>
      </c>
      <c r="C4121">
        <v>2025</v>
      </c>
      <c r="D4121" t="s">
        <v>1261</v>
      </c>
      <c r="E4121" t="s">
        <v>1262</v>
      </c>
      <c r="F4121" t="s">
        <v>38</v>
      </c>
      <c r="G4121" t="s">
        <v>35</v>
      </c>
      <c r="H4121" t="s">
        <v>48</v>
      </c>
      <c r="I4121" t="s">
        <v>26</v>
      </c>
      <c r="J4121" t="s">
        <v>27</v>
      </c>
      <c r="K4121" t="s">
        <v>32</v>
      </c>
      <c r="L4121" s="2">
        <v>6.5</v>
      </c>
      <c r="M4121" s="3">
        <v>437</v>
      </c>
      <c r="N4121">
        <v>4</v>
      </c>
      <c r="O4121">
        <v>3</v>
      </c>
      <c r="P4121">
        <v>1</v>
      </c>
      <c r="Q4121">
        <v>0</v>
      </c>
      <c r="R4121" s="4">
        <v>15.6</v>
      </c>
      <c r="S4121">
        <v>0</v>
      </c>
      <c r="T4121">
        <v>1</v>
      </c>
    </row>
    <row r="4122" spans="1:20" ht="16.5" x14ac:dyDescent="0.3">
      <c r="A4122" t="s">
        <v>4176</v>
      </c>
      <c r="B4122" s="1">
        <v>45863</v>
      </c>
      <c r="C4122">
        <v>2025</v>
      </c>
      <c r="D4122" t="s">
        <v>1261</v>
      </c>
      <c r="E4122" t="s">
        <v>1262</v>
      </c>
      <c r="F4122" t="s">
        <v>23</v>
      </c>
      <c r="G4122" t="s">
        <v>39</v>
      </c>
      <c r="H4122" t="s">
        <v>36</v>
      </c>
      <c r="I4122" t="s">
        <v>31</v>
      </c>
      <c r="J4122" t="s">
        <v>27</v>
      </c>
      <c r="K4122" t="s">
        <v>32</v>
      </c>
      <c r="L4122" s="2">
        <v>5</v>
      </c>
      <c r="M4122" s="3">
        <v>305</v>
      </c>
      <c r="N4122">
        <v>5</v>
      </c>
      <c r="O4122">
        <v>5</v>
      </c>
      <c r="P4122">
        <v>1</v>
      </c>
      <c r="Q4122">
        <v>0</v>
      </c>
      <c r="R4122" s="4">
        <v>8.76</v>
      </c>
      <c r="S4122">
        <v>0</v>
      </c>
      <c r="T4122">
        <v>1</v>
      </c>
    </row>
    <row r="4123" spans="1:20" ht="16.5" x14ac:dyDescent="0.3">
      <c r="A4123" t="s">
        <v>4177</v>
      </c>
      <c r="B4123" s="1">
        <v>45863</v>
      </c>
      <c r="C4123">
        <v>2025</v>
      </c>
      <c r="D4123" t="s">
        <v>1261</v>
      </c>
      <c r="E4123" t="s">
        <v>1262</v>
      </c>
      <c r="F4123" t="s">
        <v>57</v>
      </c>
      <c r="G4123" t="s">
        <v>39</v>
      </c>
      <c r="H4123" t="s">
        <v>48</v>
      </c>
      <c r="I4123" t="s">
        <v>26</v>
      </c>
      <c r="J4123" t="s">
        <v>27</v>
      </c>
      <c r="K4123" t="s">
        <v>28</v>
      </c>
      <c r="L4123" s="2">
        <v>71.599999999999994</v>
      </c>
      <c r="M4123" s="3">
        <v>376</v>
      </c>
      <c r="N4123">
        <v>4</v>
      </c>
      <c r="O4123">
        <v>5</v>
      </c>
      <c r="P4123">
        <v>0</v>
      </c>
      <c r="Q4123">
        <v>1</v>
      </c>
      <c r="R4123" s="4">
        <v>44.79</v>
      </c>
      <c r="S4123">
        <v>0</v>
      </c>
      <c r="T4123">
        <v>1</v>
      </c>
    </row>
    <row r="4124" spans="1:20" ht="16.5" x14ac:dyDescent="0.3">
      <c r="A4124" t="s">
        <v>4178</v>
      </c>
      <c r="B4124" s="1">
        <v>45864</v>
      </c>
      <c r="C4124">
        <v>2025</v>
      </c>
      <c r="D4124" t="s">
        <v>1261</v>
      </c>
      <c r="E4124" t="s">
        <v>1262</v>
      </c>
      <c r="F4124" t="s">
        <v>57</v>
      </c>
      <c r="G4124" t="s">
        <v>39</v>
      </c>
      <c r="H4124" t="s">
        <v>43</v>
      </c>
      <c r="I4124" t="s">
        <v>40</v>
      </c>
      <c r="J4124" t="s">
        <v>41</v>
      </c>
      <c r="K4124" t="s">
        <v>28</v>
      </c>
      <c r="L4124" s="2">
        <v>106.4</v>
      </c>
      <c r="M4124" s="3">
        <v>992</v>
      </c>
      <c r="N4124">
        <v>3</v>
      </c>
      <c r="O4124">
        <v>5</v>
      </c>
      <c r="P4124">
        <v>0</v>
      </c>
      <c r="Q4124">
        <v>2</v>
      </c>
      <c r="R4124" s="4">
        <v>186.9</v>
      </c>
      <c r="S4124">
        <v>0</v>
      </c>
      <c r="T4124">
        <v>1</v>
      </c>
    </row>
    <row r="4125" spans="1:20" ht="16.5" x14ac:dyDescent="0.3">
      <c r="A4125" t="s">
        <v>4179</v>
      </c>
      <c r="B4125" s="1">
        <v>45864</v>
      </c>
      <c r="C4125">
        <v>2025</v>
      </c>
      <c r="D4125" t="s">
        <v>1261</v>
      </c>
      <c r="E4125" t="s">
        <v>1262</v>
      </c>
      <c r="F4125" t="s">
        <v>38</v>
      </c>
      <c r="G4125" t="s">
        <v>39</v>
      </c>
      <c r="H4125" t="s">
        <v>36</v>
      </c>
      <c r="I4125" t="s">
        <v>31</v>
      </c>
      <c r="J4125" t="s">
        <v>27</v>
      </c>
      <c r="K4125" t="s">
        <v>32</v>
      </c>
      <c r="L4125" s="2">
        <v>26.2</v>
      </c>
      <c r="M4125" s="3">
        <v>269</v>
      </c>
      <c r="N4125">
        <v>5</v>
      </c>
      <c r="O4125">
        <v>4</v>
      </c>
      <c r="P4125">
        <v>1</v>
      </c>
      <c r="Q4125">
        <v>0</v>
      </c>
      <c r="R4125" s="4">
        <v>18.690000000000001</v>
      </c>
      <c r="S4125">
        <v>0</v>
      </c>
      <c r="T4125">
        <v>1</v>
      </c>
    </row>
    <row r="4126" spans="1:20" ht="16.5" x14ac:dyDescent="0.3">
      <c r="A4126" t="s">
        <v>4180</v>
      </c>
      <c r="B4126" s="1">
        <v>45864</v>
      </c>
      <c r="C4126">
        <v>2025</v>
      </c>
      <c r="D4126" t="s">
        <v>1261</v>
      </c>
      <c r="E4126" t="s">
        <v>1262</v>
      </c>
      <c r="F4126" t="s">
        <v>30</v>
      </c>
      <c r="G4126" t="s">
        <v>35</v>
      </c>
      <c r="H4126" t="s">
        <v>48</v>
      </c>
      <c r="I4126" t="s">
        <v>40</v>
      </c>
      <c r="J4126" t="s">
        <v>27</v>
      </c>
      <c r="K4126" t="s">
        <v>28</v>
      </c>
      <c r="L4126" s="2">
        <v>49.4</v>
      </c>
      <c r="M4126" s="3">
        <v>458</v>
      </c>
      <c r="N4126">
        <v>2</v>
      </c>
      <c r="O4126">
        <v>2</v>
      </c>
      <c r="P4126">
        <v>1</v>
      </c>
      <c r="Q4126">
        <v>0</v>
      </c>
      <c r="R4126" s="4">
        <v>75.38</v>
      </c>
      <c r="S4126">
        <v>0</v>
      </c>
      <c r="T4126">
        <v>1</v>
      </c>
    </row>
    <row r="4127" spans="1:20" ht="16.5" x14ac:dyDescent="0.3">
      <c r="A4127" t="s">
        <v>4181</v>
      </c>
      <c r="B4127" s="1">
        <v>45864</v>
      </c>
      <c r="C4127">
        <v>2025</v>
      </c>
      <c r="D4127" t="s">
        <v>1261</v>
      </c>
      <c r="E4127" t="s">
        <v>1262</v>
      </c>
      <c r="F4127" t="s">
        <v>30</v>
      </c>
      <c r="G4127" t="s">
        <v>35</v>
      </c>
      <c r="H4127" t="s">
        <v>48</v>
      </c>
      <c r="I4127" t="s">
        <v>26</v>
      </c>
      <c r="J4127" t="s">
        <v>27</v>
      </c>
      <c r="K4127" t="s">
        <v>28</v>
      </c>
      <c r="L4127" s="2">
        <v>73.400000000000006</v>
      </c>
      <c r="M4127" s="3">
        <v>371</v>
      </c>
      <c r="N4127">
        <v>4</v>
      </c>
      <c r="O4127">
        <v>4</v>
      </c>
      <c r="P4127">
        <v>1</v>
      </c>
      <c r="Q4127">
        <v>0</v>
      </c>
      <c r="R4127" s="4">
        <v>53.81</v>
      </c>
      <c r="S4127">
        <v>0</v>
      </c>
      <c r="T4127">
        <v>1</v>
      </c>
    </row>
    <row r="4128" spans="1:20" ht="16.5" x14ac:dyDescent="0.3">
      <c r="A4128" t="s">
        <v>4182</v>
      </c>
      <c r="B4128" s="1">
        <v>45864</v>
      </c>
      <c r="C4128">
        <v>2025</v>
      </c>
      <c r="D4128" t="s">
        <v>1261</v>
      </c>
      <c r="E4128" t="s">
        <v>1262</v>
      </c>
      <c r="F4128" t="s">
        <v>34</v>
      </c>
      <c r="G4128" t="s">
        <v>39</v>
      </c>
      <c r="H4128" t="s">
        <v>36</v>
      </c>
      <c r="I4128" t="s">
        <v>40</v>
      </c>
      <c r="J4128" t="s">
        <v>27</v>
      </c>
      <c r="K4128" t="s">
        <v>32</v>
      </c>
      <c r="L4128" s="2">
        <v>1.7</v>
      </c>
      <c r="M4128" s="3">
        <v>218</v>
      </c>
      <c r="N4128">
        <v>1</v>
      </c>
      <c r="O4128">
        <v>1</v>
      </c>
      <c r="P4128">
        <v>1</v>
      </c>
      <c r="Q4128">
        <v>0</v>
      </c>
      <c r="R4128" s="4">
        <v>16.22</v>
      </c>
      <c r="S4128">
        <v>0</v>
      </c>
      <c r="T4128">
        <v>1</v>
      </c>
    </row>
    <row r="4129" spans="1:20" ht="16.5" x14ac:dyDescent="0.3">
      <c r="A4129" t="s">
        <v>4183</v>
      </c>
      <c r="B4129" s="1">
        <v>45865</v>
      </c>
      <c r="C4129">
        <v>2025</v>
      </c>
      <c r="D4129" t="s">
        <v>1261</v>
      </c>
      <c r="E4129" t="s">
        <v>1262</v>
      </c>
      <c r="F4129" t="s">
        <v>57</v>
      </c>
      <c r="G4129" t="s">
        <v>39</v>
      </c>
      <c r="H4129" t="s">
        <v>36</v>
      </c>
      <c r="I4129" t="s">
        <v>31</v>
      </c>
      <c r="J4129" t="s">
        <v>27</v>
      </c>
      <c r="K4129" t="s">
        <v>32</v>
      </c>
      <c r="L4129" s="2">
        <v>4.5</v>
      </c>
      <c r="M4129" s="3">
        <v>232</v>
      </c>
      <c r="N4129">
        <v>5</v>
      </c>
      <c r="O4129">
        <v>5</v>
      </c>
      <c r="P4129">
        <v>1</v>
      </c>
      <c r="Q4129">
        <v>0</v>
      </c>
      <c r="R4129" s="4">
        <v>9</v>
      </c>
      <c r="S4129">
        <v>0</v>
      </c>
      <c r="T4129">
        <v>1</v>
      </c>
    </row>
    <row r="4130" spans="1:20" ht="16.5" x14ac:dyDescent="0.3">
      <c r="A4130" t="s">
        <v>4184</v>
      </c>
      <c r="B4130" s="1">
        <v>45865</v>
      </c>
      <c r="C4130">
        <v>2025</v>
      </c>
      <c r="D4130" t="s">
        <v>1261</v>
      </c>
      <c r="E4130" t="s">
        <v>1262</v>
      </c>
      <c r="F4130" t="s">
        <v>57</v>
      </c>
      <c r="G4130" t="s">
        <v>35</v>
      </c>
      <c r="H4130" t="s">
        <v>51</v>
      </c>
      <c r="I4130" t="s">
        <v>26</v>
      </c>
      <c r="J4130" t="s">
        <v>27</v>
      </c>
      <c r="K4130" t="s">
        <v>32</v>
      </c>
      <c r="L4130" s="2">
        <v>2.8</v>
      </c>
      <c r="M4130" s="3">
        <v>902</v>
      </c>
      <c r="N4130">
        <v>5</v>
      </c>
      <c r="O4130">
        <v>4</v>
      </c>
      <c r="P4130">
        <v>1</v>
      </c>
      <c r="Q4130">
        <v>0</v>
      </c>
      <c r="R4130" s="4">
        <v>19.11</v>
      </c>
      <c r="S4130">
        <v>0</v>
      </c>
      <c r="T4130">
        <v>1</v>
      </c>
    </row>
    <row r="4131" spans="1:20" ht="16.5" x14ac:dyDescent="0.3">
      <c r="A4131" t="s">
        <v>4185</v>
      </c>
      <c r="B4131" s="1">
        <v>45865</v>
      </c>
      <c r="C4131">
        <v>2025</v>
      </c>
      <c r="D4131" t="s">
        <v>1261</v>
      </c>
      <c r="E4131" t="s">
        <v>1262</v>
      </c>
      <c r="F4131" t="s">
        <v>30</v>
      </c>
      <c r="G4131" t="s">
        <v>35</v>
      </c>
      <c r="H4131" t="s">
        <v>36</v>
      </c>
      <c r="I4131" t="s">
        <v>26</v>
      </c>
      <c r="J4131" t="s">
        <v>27</v>
      </c>
      <c r="K4131" t="s">
        <v>32</v>
      </c>
      <c r="L4131" s="2">
        <v>10.8</v>
      </c>
      <c r="M4131" s="3">
        <v>222</v>
      </c>
      <c r="N4131">
        <v>3</v>
      </c>
      <c r="O4131">
        <v>6</v>
      </c>
      <c r="P4131">
        <v>0</v>
      </c>
      <c r="Q4131">
        <v>3</v>
      </c>
      <c r="R4131" s="4">
        <v>16.649999999999999</v>
      </c>
      <c r="S4131">
        <v>0</v>
      </c>
      <c r="T4131">
        <v>1</v>
      </c>
    </row>
    <row r="4132" spans="1:20" ht="16.5" x14ac:dyDescent="0.3">
      <c r="A4132" t="s">
        <v>4186</v>
      </c>
      <c r="B4132" s="1">
        <v>45866</v>
      </c>
      <c r="C4132">
        <v>2025</v>
      </c>
      <c r="D4132" t="s">
        <v>1261</v>
      </c>
      <c r="E4132" t="s">
        <v>1262</v>
      </c>
      <c r="F4132" t="s">
        <v>23</v>
      </c>
      <c r="G4132" t="s">
        <v>35</v>
      </c>
      <c r="H4132" t="s">
        <v>36</v>
      </c>
      <c r="I4132" t="s">
        <v>26</v>
      </c>
      <c r="J4132" t="s">
        <v>27</v>
      </c>
      <c r="K4132" t="s">
        <v>32</v>
      </c>
      <c r="L4132" s="2">
        <v>8.6999999999999993</v>
      </c>
      <c r="M4132" s="3">
        <v>291</v>
      </c>
      <c r="N4132">
        <v>3</v>
      </c>
      <c r="O4132">
        <v>2</v>
      </c>
      <c r="P4132">
        <v>1</v>
      </c>
      <c r="Q4132">
        <v>0</v>
      </c>
      <c r="R4132" s="4">
        <v>13.68</v>
      </c>
      <c r="S4132">
        <v>0</v>
      </c>
      <c r="T4132">
        <v>1</v>
      </c>
    </row>
    <row r="4133" spans="1:20" ht="16.5" x14ac:dyDescent="0.3">
      <c r="A4133" t="s">
        <v>4187</v>
      </c>
      <c r="B4133" s="1">
        <v>45866</v>
      </c>
      <c r="C4133">
        <v>2025</v>
      </c>
      <c r="D4133" t="s">
        <v>1261</v>
      </c>
      <c r="E4133" t="s">
        <v>1262</v>
      </c>
      <c r="F4133" t="s">
        <v>30</v>
      </c>
      <c r="G4133" t="s">
        <v>39</v>
      </c>
      <c r="H4133" t="s">
        <v>48</v>
      </c>
      <c r="I4133" t="s">
        <v>31</v>
      </c>
      <c r="J4133" t="s">
        <v>27</v>
      </c>
      <c r="K4133" t="s">
        <v>32</v>
      </c>
      <c r="L4133" s="2">
        <v>10</v>
      </c>
      <c r="M4133" s="3">
        <v>517</v>
      </c>
      <c r="N4133">
        <v>6</v>
      </c>
      <c r="O4133">
        <v>6</v>
      </c>
      <c r="P4133">
        <v>1</v>
      </c>
      <c r="Q4133">
        <v>0</v>
      </c>
      <c r="R4133" s="4">
        <v>14.12</v>
      </c>
      <c r="S4133">
        <v>0</v>
      </c>
      <c r="T4133">
        <v>1</v>
      </c>
    </row>
    <row r="4134" spans="1:20" ht="16.5" x14ac:dyDescent="0.3">
      <c r="A4134" t="s">
        <v>4188</v>
      </c>
      <c r="B4134" s="1">
        <v>45866</v>
      </c>
      <c r="C4134">
        <v>2025</v>
      </c>
      <c r="D4134" t="s">
        <v>1261</v>
      </c>
      <c r="E4134" t="s">
        <v>1262</v>
      </c>
      <c r="F4134" t="s">
        <v>34</v>
      </c>
      <c r="G4134" t="s">
        <v>24</v>
      </c>
      <c r="H4134" t="s">
        <v>36</v>
      </c>
      <c r="I4134" t="s">
        <v>26</v>
      </c>
      <c r="J4134" t="s">
        <v>27</v>
      </c>
      <c r="K4134" t="s">
        <v>28</v>
      </c>
      <c r="L4134" s="2">
        <v>363.1</v>
      </c>
      <c r="M4134" s="3">
        <v>233</v>
      </c>
      <c r="N4134">
        <v>3</v>
      </c>
      <c r="O4134">
        <v>3</v>
      </c>
      <c r="P4134">
        <v>1</v>
      </c>
      <c r="Q4134">
        <v>0</v>
      </c>
      <c r="R4134" s="4">
        <v>120.93</v>
      </c>
      <c r="S4134">
        <v>0</v>
      </c>
      <c r="T4134">
        <v>1</v>
      </c>
    </row>
    <row r="4135" spans="1:20" ht="16.5" x14ac:dyDescent="0.3">
      <c r="A4135" t="s">
        <v>4189</v>
      </c>
      <c r="B4135" s="1">
        <v>45866</v>
      </c>
      <c r="C4135">
        <v>2025</v>
      </c>
      <c r="D4135" t="s">
        <v>1261</v>
      </c>
      <c r="E4135" t="s">
        <v>1262</v>
      </c>
      <c r="F4135" t="s">
        <v>38</v>
      </c>
      <c r="G4135" t="s">
        <v>35</v>
      </c>
      <c r="H4135" t="s">
        <v>36</v>
      </c>
      <c r="I4135" t="s">
        <v>26</v>
      </c>
      <c r="J4135" t="s">
        <v>27</v>
      </c>
      <c r="K4135" t="s">
        <v>32</v>
      </c>
      <c r="L4135" s="2">
        <v>15.7</v>
      </c>
      <c r="M4135" s="3">
        <v>222</v>
      </c>
      <c r="N4135">
        <v>3</v>
      </c>
      <c r="O4135">
        <v>3</v>
      </c>
      <c r="P4135">
        <v>1</v>
      </c>
      <c r="Q4135">
        <v>0</v>
      </c>
      <c r="R4135" s="4">
        <v>20</v>
      </c>
      <c r="S4135">
        <v>0</v>
      </c>
      <c r="T4135">
        <v>1</v>
      </c>
    </row>
    <row r="4136" spans="1:20" ht="16.5" x14ac:dyDescent="0.3">
      <c r="A4136" t="s">
        <v>4190</v>
      </c>
      <c r="B4136" s="1">
        <v>45867</v>
      </c>
      <c r="C4136">
        <v>2025</v>
      </c>
      <c r="D4136" t="s">
        <v>1261</v>
      </c>
      <c r="E4136" t="s">
        <v>1262</v>
      </c>
      <c r="F4136" t="s">
        <v>30</v>
      </c>
      <c r="G4136" t="s">
        <v>35</v>
      </c>
      <c r="H4136" t="s">
        <v>36</v>
      </c>
      <c r="I4136" t="s">
        <v>26</v>
      </c>
      <c r="J4136" t="s">
        <v>27</v>
      </c>
      <c r="K4136" t="s">
        <v>32</v>
      </c>
      <c r="L4136" s="2">
        <v>10.9</v>
      </c>
      <c r="M4136" s="3">
        <v>219</v>
      </c>
      <c r="N4136">
        <v>3</v>
      </c>
      <c r="O4136">
        <v>5</v>
      </c>
      <c r="P4136">
        <v>0</v>
      </c>
      <c r="Q4136">
        <v>2</v>
      </c>
      <c r="R4136" s="4">
        <v>16.03</v>
      </c>
      <c r="S4136">
        <v>0</v>
      </c>
      <c r="T4136">
        <v>1</v>
      </c>
    </row>
    <row r="4137" spans="1:20" ht="16.5" x14ac:dyDescent="0.3">
      <c r="A4137" t="s">
        <v>4191</v>
      </c>
      <c r="B4137" s="1">
        <v>45867</v>
      </c>
      <c r="C4137">
        <v>2025</v>
      </c>
      <c r="D4137" t="s">
        <v>1261</v>
      </c>
      <c r="E4137" t="s">
        <v>1262</v>
      </c>
      <c r="F4137" t="s">
        <v>34</v>
      </c>
      <c r="G4137" t="s">
        <v>35</v>
      </c>
      <c r="H4137" t="s">
        <v>48</v>
      </c>
      <c r="I4137" t="s">
        <v>31</v>
      </c>
      <c r="J4137" t="s">
        <v>27</v>
      </c>
      <c r="K4137" t="s">
        <v>28</v>
      </c>
      <c r="L4137" s="2">
        <v>211.1</v>
      </c>
      <c r="M4137" s="3">
        <v>343</v>
      </c>
      <c r="N4137">
        <v>6</v>
      </c>
      <c r="O4137">
        <v>6</v>
      </c>
      <c r="P4137">
        <v>1</v>
      </c>
      <c r="Q4137">
        <v>0</v>
      </c>
      <c r="R4137" s="4">
        <v>53.24</v>
      </c>
      <c r="S4137">
        <v>0</v>
      </c>
      <c r="T4137">
        <v>1</v>
      </c>
    </row>
    <row r="4138" spans="1:20" ht="16.5" x14ac:dyDescent="0.3">
      <c r="A4138" t="s">
        <v>4192</v>
      </c>
      <c r="B4138" s="1">
        <v>45867</v>
      </c>
      <c r="C4138">
        <v>2025</v>
      </c>
      <c r="D4138" t="s">
        <v>1261</v>
      </c>
      <c r="E4138" t="s">
        <v>1262</v>
      </c>
      <c r="F4138" t="s">
        <v>57</v>
      </c>
      <c r="G4138" t="s">
        <v>35</v>
      </c>
      <c r="H4138" t="s">
        <v>25</v>
      </c>
      <c r="I4138" t="s">
        <v>26</v>
      </c>
      <c r="J4138" t="s">
        <v>27</v>
      </c>
      <c r="K4138" t="s">
        <v>32</v>
      </c>
      <c r="L4138" s="2">
        <v>6.8</v>
      </c>
      <c r="M4138" s="3">
        <v>951</v>
      </c>
      <c r="N4138">
        <v>4</v>
      </c>
      <c r="O4138">
        <v>4</v>
      </c>
      <c r="P4138">
        <v>1</v>
      </c>
      <c r="Q4138">
        <v>0</v>
      </c>
      <c r="R4138" s="4">
        <v>23.32</v>
      </c>
      <c r="S4138">
        <v>0</v>
      </c>
      <c r="T4138">
        <v>1</v>
      </c>
    </row>
    <row r="4139" spans="1:20" ht="16.5" x14ac:dyDescent="0.3">
      <c r="A4139" t="s">
        <v>4193</v>
      </c>
      <c r="B4139" s="1">
        <v>45867</v>
      </c>
      <c r="C4139">
        <v>2025</v>
      </c>
      <c r="D4139" t="s">
        <v>1261</v>
      </c>
      <c r="E4139" t="s">
        <v>1262</v>
      </c>
      <c r="F4139" t="s">
        <v>57</v>
      </c>
      <c r="G4139" t="s">
        <v>35</v>
      </c>
      <c r="H4139" t="s">
        <v>43</v>
      </c>
      <c r="I4139" t="s">
        <v>26</v>
      </c>
      <c r="J4139" t="s">
        <v>27</v>
      </c>
      <c r="K4139" t="s">
        <v>28</v>
      </c>
      <c r="L4139" s="2">
        <v>35.299999999999997</v>
      </c>
      <c r="M4139" s="3">
        <v>1153</v>
      </c>
      <c r="N4139">
        <v>5</v>
      </c>
      <c r="O4139">
        <v>4</v>
      </c>
      <c r="P4139">
        <v>1</v>
      </c>
      <c r="Q4139">
        <v>0</v>
      </c>
      <c r="R4139" s="4">
        <v>38.78</v>
      </c>
      <c r="S4139">
        <v>0</v>
      </c>
      <c r="T4139">
        <v>1</v>
      </c>
    </row>
    <row r="4140" spans="1:20" ht="16.5" x14ac:dyDescent="0.3">
      <c r="A4140" t="s">
        <v>4194</v>
      </c>
      <c r="B4140" s="1">
        <v>45867</v>
      </c>
      <c r="C4140">
        <v>2025</v>
      </c>
      <c r="D4140" t="s">
        <v>1261</v>
      </c>
      <c r="E4140" t="s">
        <v>1262</v>
      </c>
      <c r="F4140" t="s">
        <v>34</v>
      </c>
      <c r="G4140" t="s">
        <v>35</v>
      </c>
      <c r="H4140" t="s">
        <v>48</v>
      </c>
      <c r="I4140" t="s">
        <v>26</v>
      </c>
      <c r="J4140" t="s">
        <v>27</v>
      </c>
      <c r="K4140" t="s">
        <v>28</v>
      </c>
      <c r="L4140" s="2">
        <v>51.5</v>
      </c>
      <c r="M4140" s="3">
        <v>491</v>
      </c>
      <c r="N4140">
        <v>4</v>
      </c>
      <c r="O4140">
        <v>4</v>
      </c>
      <c r="P4140">
        <v>1</v>
      </c>
      <c r="Q4140">
        <v>0</v>
      </c>
      <c r="R4140" s="4">
        <v>30.37</v>
      </c>
      <c r="S4140">
        <v>0</v>
      </c>
      <c r="T4140">
        <v>1</v>
      </c>
    </row>
    <row r="4141" spans="1:20" ht="16.5" x14ac:dyDescent="0.3">
      <c r="A4141" t="s">
        <v>4195</v>
      </c>
      <c r="B4141" s="1">
        <v>45867</v>
      </c>
      <c r="C4141">
        <v>2025</v>
      </c>
      <c r="D4141" t="s">
        <v>1261</v>
      </c>
      <c r="E4141" t="s">
        <v>1262</v>
      </c>
      <c r="F4141" t="s">
        <v>23</v>
      </c>
      <c r="G4141" t="s">
        <v>35</v>
      </c>
      <c r="H4141" t="s">
        <v>36</v>
      </c>
      <c r="I4141" t="s">
        <v>31</v>
      </c>
      <c r="J4141" t="s">
        <v>27</v>
      </c>
      <c r="K4141" t="s">
        <v>28</v>
      </c>
      <c r="L4141" s="2">
        <v>19</v>
      </c>
      <c r="M4141" s="3">
        <v>246</v>
      </c>
      <c r="N4141">
        <v>5</v>
      </c>
      <c r="O4141">
        <v>6</v>
      </c>
      <c r="P4141">
        <v>0</v>
      </c>
      <c r="Q4141">
        <v>1</v>
      </c>
      <c r="R4141" s="4">
        <v>12.89</v>
      </c>
      <c r="S4141">
        <v>0</v>
      </c>
      <c r="T4141">
        <v>1</v>
      </c>
    </row>
    <row r="4142" spans="1:20" ht="16.5" x14ac:dyDescent="0.3">
      <c r="A4142" t="s">
        <v>4196</v>
      </c>
      <c r="B4142" s="1">
        <v>45867</v>
      </c>
      <c r="C4142">
        <v>2025</v>
      </c>
      <c r="D4142" t="s">
        <v>1261</v>
      </c>
      <c r="E4142" t="s">
        <v>1262</v>
      </c>
      <c r="F4142" t="s">
        <v>57</v>
      </c>
      <c r="G4142" t="s">
        <v>35</v>
      </c>
      <c r="H4142" t="s">
        <v>48</v>
      </c>
      <c r="I4142" t="s">
        <v>26</v>
      </c>
      <c r="J4142" t="s">
        <v>27</v>
      </c>
      <c r="K4142" t="s">
        <v>28</v>
      </c>
      <c r="L4142" s="2">
        <v>41.8</v>
      </c>
      <c r="M4142" s="3">
        <v>433</v>
      </c>
      <c r="N4142">
        <v>4</v>
      </c>
      <c r="O4142">
        <v>4</v>
      </c>
      <c r="P4142">
        <v>1</v>
      </c>
      <c r="Q4142">
        <v>0</v>
      </c>
      <c r="R4142" s="4">
        <v>32.24</v>
      </c>
      <c r="S4142">
        <v>0</v>
      </c>
      <c r="T4142">
        <v>1</v>
      </c>
    </row>
    <row r="4143" spans="1:20" ht="16.5" x14ac:dyDescent="0.3">
      <c r="A4143" t="s">
        <v>4197</v>
      </c>
      <c r="B4143" s="1">
        <v>45867</v>
      </c>
      <c r="C4143">
        <v>2025</v>
      </c>
      <c r="D4143" t="s">
        <v>1261</v>
      </c>
      <c r="E4143" t="s">
        <v>1262</v>
      </c>
      <c r="F4143" t="s">
        <v>23</v>
      </c>
      <c r="G4143" t="s">
        <v>39</v>
      </c>
      <c r="H4143" t="s">
        <v>43</v>
      </c>
      <c r="I4143" t="s">
        <v>26</v>
      </c>
      <c r="J4143" t="s">
        <v>27</v>
      </c>
      <c r="K4143" t="s">
        <v>32</v>
      </c>
      <c r="L4143" s="2">
        <v>12</v>
      </c>
      <c r="M4143" s="3">
        <v>1075</v>
      </c>
      <c r="N4143">
        <v>5</v>
      </c>
      <c r="O4143">
        <v>5</v>
      </c>
      <c r="P4143">
        <v>1</v>
      </c>
      <c r="Q4143">
        <v>0</v>
      </c>
      <c r="R4143" s="4">
        <v>25.4</v>
      </c>
      <c r="S4143">
        <v>0</v>
      </c>
      <c r="T4143">
        <v>1</v>
      </c>
    </row>
    <row r="4144" spans="1:20" ht="16.5" x14ac:dyDescent="0.3">
      <c r="A4144" t="s">
        <v>4198</v>
      </c>
      <c r="B4144" s="1">
        <v>45867</v>
      </c>
      <c r="C4144">
        <v>2025</v>
      </c>
      <c r="D4144" t="s">
        <v>1261</v>
      </c>
      <c r="E4144" t="s">
        <v>1262</v>
      </c>
      <c r="F4144" t="s">
        <v>38</v>
      </c>
      <c r="G4144" t="s">
        <v>39</v>
      </c>
      <c r="H4144" t="s">
        <v>25</v>
      </c>
      <c r="I4144" t="s">
        <v>31</v>
      </c>
      <c r="J4144" t="s">
        <v>27</v>
      </c>
      <c r="K4144" t="s">
        <v>32</v>
      </c>
      <c r="L4144" s="2">
        <v>12.2</v>
      </c>
      <c r="M4144" s="3">
        <v>1040</v>
      </c>
      <c r="N4144">
        <v>6</v>
      </c>
      <c r="O4144">
        <v>6</v>
      </c>
      <c r="P4144">
        <v>1</v>
      </c>
      <c r="Q4144">
        <v>0</v>
      </c>
      <c r="R4144" s="4">
        <v>20.9</v>
      </c>
      <c r="S4144">
        <v>0</v>
      </c>
      <c r="T4144">
        <v>1</v>
      </c>
    </row>
    <row r="4145" spans="1:20" ht="16.5" x14ac:dyDescent="0.3">
      <c r="A4145" t="s">
        <v>4199</v>
      </c>
      <c r="B4145" s="1">
        <v>45867</v>
      </c>
      <c r="C4145">
        <v>2025</v>
      </c>
      <c r="D4145" t="s">
        <v>1261</v>
      </c>
      <c r="E4145" t="s">
        <v>1262</v>
      </c>
      <c r="F4145" t="s">
        <v>38</v>
      </c>
      <c r="G4145" t="s">
        <v>35</v>
      </c>
      <c r="H4145" t="s">
        <v>48</v>
      </c>
      <c r="I4145" t="s">
        <v>26</v>
      </c>
      <c r="J4145" t="s">
        <v>27</v>
      </c>
      <c r="K4145" t="s">
        <v>32</v>
      </c>
      <c r="L4145" s="2">
        <v>4</v>
      </c>
      <c r="M4145" s="3">
        <v>495</v>
      </c>
      <c r="N4145">
        <v>4</v>
      </c>
      <c r="O4145">
        <v>5</v>
      </c>
      <c r="P4145">
        <v>0</v>
      </c>
      <c r="Q4145">
        <v>1</v>
      </c>
      <c r="R4145" s="4">
        <v>16.34</v>
      </c>
      <c r="S4145">
        <v>0</v>
      </c>
      <c r="T4145">
        <v>1</v>
      </c>
    </row>
    <row r="4146" spans="1:20" ht="16.5" x14ac:dyDescent="0.3">
      <c r="A4146" t="s">
        <v>4200</v>
      </c>
      <c r="B4146" s="1">
        <v>45867</v>
      </c>
      <c r="C4146">
        <v>2025</v>
      </c>
      <c r="D4146" t="s">
        <v>1261</v>
      </c>
      <c r="E4146" t="s">
        <v>1262</v>
      </c>
      <c r="F4146" t="s">
        <v>23</v>
      </c>
      <c r="G4146" t="s">
        <v>24</v>
      </c>
      <c r="H4146" t="s">
        <v>36</v>
      </c>
      <c r="I4146" t="s">
        <v>26</v>
      </c>
      <c r="J4146" t="s">
        <v>27</v>
      </c>
      <c r="K4146" t="s">
        <v>32</v>
      </c>
      <c r="L4146" s="2">
        <v>12.5</v>
      </c>
      <c r="M4146" s="3">
        <v>180</v>
      </c>
      <c r="N4146">
        <v>3</v>
      </c>
      <c r="O4146">
        <v>3</v>
      </c>
      <c r="P4146">
        <v>1</v>
      </c>
      <c r="Q4146">
        <v>0</v>
      </c>
      <c r="R4146" s="4">
        <v>15.42</v>
      </c>
      <c r="S4146">
        <v>0</v>
      </c>
      <c r="T4146">
        <v>1</v>
      </c>
    </row>
    <row r="4147" spans="1:20" ht="16.5" x14ac:dyDescent="0.3">
      <c r="A4147" t="s">
        <v>4201</v>
      </c>
      <c r="B4147" s="1">
        <v>45867</v>
      </c>
      <c r="C4147">
        <v>2025</v>
      </c>
      <c r="D4147" t="s">
        <v>1261</v>
      </c>
      <c r="E4147" t="s">
        <v>1262</v>
      </c>
      <c r="F4147" t="s">
        <v>57</v>
      </c>
      <c r="G4147" t="s">
        <v>35</v>
      </c>
      <c r="H4147" t="s">
        <v>48</v>
      </c>
      <c r="I4147" t="s">
        <v>40</v>
      </c>
      <c r="J4147" t="s">
        <v>27</v>
      </c>
      <c r="K4147" t="s">
        <v>28</v>
      </c>
      <c r="L4147" s="2">
        <v>166.1</v>
      </c>
      <c r="M4147" s="3">
        <v>517</v>
      </c>
      <c r="N4147">
        <v>2</v>
      </c>
      <c r="O4147">
        <v>2</v>
      </c>
      <c r="P4147">
        <v>1</v>
      </c>
      <c r="Q4147">
        <v>0</v>
      </c>
      <c r="R4147" s="4">
        <v>156.62</v>
      </c>
      <c r="S4147">
        <v>0</v>
      </c>
      <c r="T4147">
        <v>1</v>
      </c>
    </row>
    <row r="4148" spans="1:20" ht="16.5" x14ac:dyDescent="0.3">
      <c r="A4148" t="s">
        <v>4202</v>
      </c>
      <c r="B4148" s="1">
        <v>45868</v>
      </c>
      <c r="C4148">
        <v>2025</v>
      </c>
      <c r="D4148" t="s">
        <v>1261</v>
      </c>
      <c r="E4148" t="s">
        <v>1262</v>
      </c>
      <c r="F4148" t="s">
        <v>57</v>
      </c>
      <c r="G4148" t="s">
        <v>39</v>
      </c>
      <c r="H4148" t="s">
        <v>48</v>
      </c>
      <c r="I4148" t="s">
        <v>26</v>
      </c>
      <c r="J4148" t="s">
        <v>27</v>
      </c>
      <c r="K4148" t="s">
        <v>32</v>
      </c>
      <c r="L4148" s="2">
        <v>16</v>
      </c>
      <c r="M4148" s="3">
        <v>469</v>
      </c>
      <c r="N4148">
        <v>4</v>
      </c>
      <c r="O4148">
        <v>4</v>
      </c>
      <c r="P4148">
        <v>1</v>
      </c>
      <c r="Q4148">
        <v>0</v>
      </c>
      <c r="R4148" s="4">
        <v>19.34</v>
      </c>
      <c r="S4148">
        <v>0</v>
      </c>
      <c r="T4148">
        <v>1</v>
      </c>
    </row>
    <row r="4149" spans="1:20" ht="16.5" x14ac:dyDescent="0.3">
      <c r="A4149" t="s">
        <v>4203</v>
      </c>
      <c r="B4149" s="1">
        <v>45868</v>
      </c>
      <c r="C4149">
        <v>2025</v>
      </c>
      <c r="D4149" t="s">
        <v>1261</v>
      </c>
      <c r="E4149" t="s">
        <v>1262</v>
      </c>
      <c r="F4149" t="s">
        <v>57</v>
      </c>
      <c r="G4149" t="s">
        <v>39</v>
      </c>
      <c r="H4149" t="s">
        <v>25</v>
      </c>
      <c r="I4149" t="s">
        <v>31</v>
      </c>
      <c r="J4149" t="s">
        <v>27</v>
      </c>
      <c r="K4149" t="s">
        <v>32</v>
      </c>
      <c r="L4149" s="2">
        <v>12.6</v>
      </c>
      <c r="M4149" s="3">
        <v>1033</v>
      </c>
      <c r="N4149">
        <v>6</v>
      </c>
      <c r="O4149">
        <v>6</v>
      </c>
      <c r="P4149">
        <v>1</v>
      </c>
      <c r="Q4149">
        <v>0</v>
      </c>
      <c r="R4149" s="4">
        <v>19.13</v>
      </c>
      <c r="S4149">
        <v>0</v>
      </c>
      <c r="T4149">
        <v>1</v>
      </c>
    </row>
    <row r="4150" spans="1:20" ht="16.5" x14ac:dyDescent="0.3">
      <c r="A4150" t="s">
        <v>4204</v>
      </c>
      <c r="B4150" s="1">
        <v>45868</v>
      </c>
      <c r="C4150">
        <v>2025</v>
      </c>
      <c r="D4150" t="s">
        <v>1261</v>
      </c>
      <c r="E4150" t="s">
        <v>1262</v>
      </c>
      <c r="F4150" t="s">
        <v>34</v>
      </c>
      <c r="G4150" t="s">
        <v>39</v>
      </c>
      <c r="H4150" t="s">
        <v>43</v>
      </c>
      <c r="I4150" t="s">
        <v>26</v>
      </c>
      <c r="J4150" t="s">
        <v>27</v>
      </c>
      <c r="K4150" t="s">
        <v>32</v>
      </c>
      <c r="L4150" s="2">
        <v>1.5</v>
      </c>
      <c r="M4150" s="3">
        <v>1107</v>
      </c>
      <c r="N4150">
        <v>5</v>
      </c>
      <c r="O4150">
        <v>5</v>
      </c>
      <c r="P4150">
        <v>1</v>
      </c>
      <c r="Q4150">
        <v>0</v>
      </c>
      <c r="R4150" s="4">
        <v>17.100000000000001</v>
      </c>
      <c r="S4150">
        <v>0</v>
      </c>
      <c r="T4150">
        <v>1</v>
      </c>
    </row>
    <row r="4151" spans="1:20" ht="16.5" x14ac:dyDescent="0.3">
      <c r="A4151" t="s">
        <v>4205</v>
      </c>
      <c r="B4151" s="1">
        <v>45868</v>
      </c>
      <c r="C4151">
        <v>2025</v>
      </c>
      <c r="D4151" t="s">
        <v>1261</v>
      </c>
      <c r="E4151" t="s">
        <v>1262</v>
      </c>
      <c r="F4151" t="s">
        <v>34</v>
      </c>
      <c r="G4151" t="s">
        <v>35</v>
      </c>
      <c r="H4151" t="s">
        <v>25</v>
      </c>
      <c r="I4151" t="s">
        <v>26</v>
      </c>
      <c r="J4151" t="s">
        <v>27</v>
      </c>
      <c r="K4151" t="s">
        <v>32</v>
      </c>
      <c r="L4151" s="2">
        <v>0.9</v>
      </c>
      <c r="M4151" s="3">
        <v>1119</v>
      </c>
      <c r="N4151">
        <v>4</v>
      </c>
      <c r="O4151">
        <v>7</v>
      </c>
      <c r="P4151">
        <v>0</v>
      </c>
      <c r="Q4151">
        <v>3</v>
      </c>
      <c r="R4151" s="4">
        <v>16.77</v>
      </c>
      <c r="S4151">
        <v>0</v>
      </c>
      <c r="T4151">
        <v>1</v>
      </c>
    </row>
    <row r="4152" spans="1:20" ht="16.5" x14ac:dyDescent="0.3">
      <c r="A4152" t="s">
        <v>4206</v>
      </c>
      <c r="B4152" s="1">
        <v>45868</v>
      </c>
      <c r="C4152">
        <v>2025</v>
      </c>
      <c r="D4152" t="s">
        <v>1261</v>
      </c>
      <c r="E4152" t="s">
        <v>1262</v>
      </c>
      <c r="F4152" t="s">
        <v>34</v>
      </c>
      <c r="G4152" t="s">
        <v>39</v>
      </c>
      <c r="H4152" t="s">
        <v>36</v>
      </c>
      <c r="I4152" t="s">
        <v>40</v>
      </c>
      <c r="J4152" t="s">
        <v>27</v>
      </c>
      <c r="K4152" t="s">
        <v>28</v>
      </c>
      <c r="L4152" s="2">
        <v>253.7</v>
      </c>
      <c r="M4152" s="3">
        <v>279</v>
      </c>
      <c r="N4152">
        <v>1</v>
      </c>
      <c r="O4152">
        <v>1</v>
      </c>
      <c r="P4152">
        <v>1</v>
      </c>
      <c r="Q4152">
        <v>0</v>
      </c>
      <c r="R4152" s="4">
        <v>195.07</v>
      </c>
      <c r="S4152">
        <v>0</v>
      </c>
      <c r="T4152">
        <v>1</v>
      </c>
    </row>
    <row r="4153" spans="1:20" ht="16.5" x14ac:dyDescent="0.3">
      <c r="A4153" t="s">
        <v>4207</v>
      </c>
      <c r="B4153" s="1">
        <v>45868</v>
      </c>
      <c r="C4153">
        <v>2025</v>
      </c>
      <c r="D4153" t="s">
        <v>1261</v>
      </c>
      <c r="E4153" t="s">
        <v>1262</v>
      </c>
      <c r="F4153" t="s">
        <v>23</v>
      </c>
      <c r="G4153" t="s">
        <v>35</v>
      </c>
      <c r="H4153" t="s">
        <v>36</v>
      </c>
      <c r="I4153" t="s">
        <v>40</v>
      </c>
      <c r="J4153" t="s">
        <v>27</v>
      </c>
      <c r="K4153" t="s">
        <v>28</v>
      </c>
      <c r="L4153" s="2">
        <v>108.1</v>
      </c>
      <c r="M4153" s="3">
        <v>247</v>
      </c>
      <c r="N4153">
        <v>1</v>
      </c>
      <c r="O4153">
        <v>1</v>
      </c>
      <c r="P4153">
        <v>1</v>
      </c>
      <c r="Q4153">
        <v>0</v>
      </c>
      <c r="R4153" s="4">
        <v>106.69</v>
      </c>
      <c r="S4153">
        <v>0</v>
      </c>
      <c r="T4153">
        <v>1</v>
      </c>
    </row>
    <row r="4154" spans="1:20" ht="16.5" x14ac:dyDescent="0.3">
      <c r="A4154" t="s">
        <v>4208</v>
      </c>
      <c r="B4154" s="1">
        <v>45868</v>
      </c>
      <c r="C4154">
        <v>2025</v>
      </c>
      <c r="D4154" t="s">
        <v>1261</v>
      </c>
      <c r="E4154" t="s">
        <v>1262</v>
      </c>
      <c r="F4154" t="s">
        <v>30</v>
      </c>
      <c r="G4154" t="s">
        <v>35</v>
      </c>
      <c r="H4154" t="s">
        <v>36</v>
      </c>
      <c r="I4154" t="s">
        <v>40</v>
      </c>
      <c r="J4154" t="s">
        <v>27</v>
      </c>
      <c r="K4154" t="s">
        <v>28</v>
      </c>
      <c r="L4154" s="2">
        <v>31.8</v>
      </c>
      <c r="M4154" s="3">
        <v>207</v>
      </c>
      <c r="N4154">
        <v>1</v>
      </c>
      <c r="O4154">
        <v>1</v>
      </c>
      <c r="P4154">
        <v>1</v>
      </c>
      <c r="Q4154">
        <v>0</v>
      </c>
      <c r="R4154" s="4">
        <v>51.14</v>
      </c>
      <c r="S4154">
        <v>0</v>
      </c>
      <c r="T4154">
        <v>1</v>
      </c>
    </row>
    <row r="4155" spans="1:20" ht="16.5" x14ac:dyDescent="0.3">
      <c r="A4155" t="s">
        <v>4209</v>
      </c>
      <c r="B4155" s="1">
        <v>45869</v>
      </c>
      <c r="C4155">
        <v>2025</v>
      </c>
      <c r="D4155" t="s">
        <v>1261</v>
      </c>
      <c r="E4155" t="s">
        <v>1262</v>
      </c>
      <c r="F4155" t="s">
        <v>23</v>
      </c>
      <c r="G4155" t="s">
        <v>35</v>
      </c>
      <c r="H4155" t="s">
        <v>25</v>
      </c>
      <c r="I4155" t="s">
        <v>26</v>
      </c>
      <c r="J4155" t="s">
        <v>27</v>
      </c>
      <c r="K4155" t="s">
        <v>32</v>
      </c>
      <c r="L4155" s="2">
        <v>6.5</v>
      </c>
      <c r="M4155" s="3">
        <v>886</v>
      </c>
      <c r="N4155">
        <v>4</v>
      </c>
      <c r="O4155">
        <v>4</v>
      </c>
      <c r="P4155">
        <v>1</v>
      </c>
      <c r="Q4155">
        <v>0</v>
      </c>
      <c r="R4155" s="4">
        <v>19.46</v>
      </c>
      <c r="S4155">
        <v>0</v>
      </c>
      <c r="T4155">
        <v>1</v>
      </c>
    </row>
    <row r="4156" spans="1:20" ht="16.5" x14ac:dyDescent="0.3">
      <c r="A4156" t="s">
        <v>4210</v>
      </c>
      <c r="B4156" s="1">
        <v>45869</v>
      </c>
      <c r="C4156">
        <v>2025</v>
      </c>
      <c r="D4156" t="s">
        <v>1261</v>
      </c>
      <c r="E4156" t="s">
        <v>1262</v>
      </c>
      <c r="F4156" t="s">
        <v>23</v>
      </c>
      <c r="G4156" t="s">
        <v>39</v>
      </c>
      <c r="H4156" t="s">
        <v>51</v>
      </c>
      <c r="I4156" t="s">
        <v>40</v>
      </c>
      <c r="J4156" t="s">
        <v>41</v>
      </c>
      <c r="K4156" t="s">
        <v>32</v>
      </c>
      <c r="L4156" s="2">
        <v>10.7</v>
      </c>
      <c r="M4156" s="3">
        <v>1109</v>
      </c>
      <c r="N4156">
        <v>3</v>
      </c>
      <c r="O4156">
        <v>3</v>
      </c>
      <c r="P4156">
        <v>1</v>
      </c>
      <c r="Q4156">
        <v>0</v>
      </c>
      <c r="R4156" s="4">
        <v>73.989999999999995</v>
      </c>
      <c r="S4156">
        <v>0</v>
      </c>
      <c r="T4156">
        <v>1</v>
      </c>
    </row>
    <row r="4157" spans="1:20" ht="16.5" x14ac:dyDescent="0.3">
      <c r="A4157" t="s">
        <v>4211</v>
      </c>
      <c r="B4157" s="1">
        <v>45869</v>
      </c>
      <c r="C4157">
        <v>2025</v>
      </c>
      <c r="D4157" t="s">
        <v>1261</v>
      </c>
      <c r="E4157" t="s">
        <v>1262</v>
      </c>
      <c r="F4157" t="s">
        <v>38</v>
      </c>
      <c r="G4157" t="s">
        <v>24</v>
      </c>
      <c r="H4157" t="s">
        <v>51</v>
      </c>
      <c r="I4157" t="s">
        <v>40</v>
      </c>
      <c r="J4157" t="s">
        <v>41</v>
      </c>
      <c r="K4157" t="s">
        <v>32</v>
      </c>
      <c r="L4157" s="2">
        <v>3.2</v>
      </c>
      <c r="M4157" s="3">
        <v>1052</v>
      </c>
      <c r="N4157">
        <v>3</v>
      </c>
      <c r="O4157">
        <v>3</v>
      </c>
      <c r="P4157">
        <v>1</v>
      </c>
      <c r="Q4157">
        <v>0</v>
      </c>
      <c r="R4157" s="4">
        <v>69.150000000000006</v>
      </c>
      <c r="S4157">
        <v>0</v>
      </c>
      <c r="T4157">
        <v>1</v>
      </c>
    </row>
    <row r="4158" spans="1:20" ht="16.5" x14ac:dyDescent="0.3">
      <c r="A4158" t="s">
        <v>4212</v>
      </c>
      <c r="B4158" s="1">
        <v>45869</v>
      </c>
      <c r="C4158">
        <v>2025</v>
      </c>
      <c r="D4158" t="s">
        <v>1261</v>
      </c>
      <c r="E4158" t="s">
        <v>1262</v>
      </c>
      <c r="F4158" t="s">
        <v>34</v>
      </c>
      <c r="G4158" t="s">
        <v>39</v>
      </c>
      <c r="H4158" t="s">
        <v>36</v>
      </c>
      <c r="I4158" t="s">
        <v>31</v>
      </c>
      <c r="J4158" t="s">
        <v>27</v>
      </c>
      <c r="K4158" t="s">
        <v>28</v>
      </c>
      <c r="L4158" s="2">
        <v>249.8</v>
      </c>
      <c r="M4158" s="3">
        <v>266</v>
      </c>
      <c r="N4158">
        <v>5</v>
      </c>
      <c r="O4158">
        <v>9</v>
      </c>
      <c r="P4158">
        <v>0</v>
      </c>
      <c r="Q4158">
        <v>4</v>
      </c>
      <c r="R4158" s="4">
        <v>60.07</v>
      </c>
      <c r="S4158">
        <v>0</v>
      </c>
      <c r="T4158">
        <v>1</v>
      </c>
    </row>
    <row r="4159" spans="1:20" ht="16.5" x14ac:dyDescent="0.3">
      <c r="A4159" t="s">
        <v>4213</v>
      </c>
      <c r="B4159" s="1">
        <v>45869</v>
      </c>
      <c r="C4159">
        <v>2025</v>
      </c>
      <c r="D4159" t="s">
        <v>1261</v>
      </c>
      <c r="E4159" t="s">
        <v>1262</v>
      </c>
      <c r="F4159" t="s">
        <v>34</v>
      </c>
      <c r="G4159" t="s">
        <v>35</v>
      </c>
      <c r="H4159" t="s">
        <v>36</v>
      </c>
      <c r="I4159" t="s">
        <v>31</v>
      </c>
      <c r="J4159" t="s">
        <v>27</v>
      </c>
      <c r="K4159" t="s">
        <v>28</v>
      </c>
      <c r="L4159" s="2">
        <v>106.3</v>
      </c>
      <c r="M4159" s="3">
        <v>285</v>
      </c>
      <c r="N4159">
        <v>5</v>
      </c>
      <c r="O4159">
        <v>8</v>
      </c>
      <c r="P4159">
        <v>0</v>
      </c>
      <c r="Q4159">
        <v>3</v>
      </c>
      <c r="R4159" s="4">
        <v>33.67</v>
      </c>
      <c r="S4159">
        <v>0</v>
      </c>
      <c r="T4159">
        <v>1</v>
      </c>
    </row>
    <row r="4160" spans="1:20" ht="16.5" x14ac:dyDescent="0.3">
      <c r="A4160" t="s">
        <v>4214</v>
      </c>
      <c r="B4160" s="1">
        <v>45869</v>
      </c>
      <c r="C4160">
        <v>2025</v>
      </c>
      <c r="D4160" t="s">
        <v>1261</v>
      </c>
      <c r="E4160" t="s">
        <v>1262</v>
      </c>
      <c r="F4160" t="s">
        <v>57</v>
      </c>
      <c r="G4160" t="s">
        <v>39</v>
      </c>
      <c r="H4160" t="s">
        <v>36</v>
      </c>
      <c r="I4160" t="s">
        <v>31</v>
      </c>
      <c r="J4160" t="s">
        <v>27</v>
      </c>
      <c r="K4160" t="s">
        <v>32</v>
      </c>
      <c r="L4160" s="2">
        <v>9.1</v>
      </c>
      <c r="M4160" s="3">
        <v>259</v>
      </c>
      <c r="N4160">
        <v>5</v>
      </c>
      <c r="O4160">
        <v>5</v>
      </c>
      <c r="P4160">
        <v>1</v>
      </c>
      <c r="Q4160">
        <v>0</v>
      </c>
      <c r="R4160" s="4">
        <v>10.01</v>
      </c>
      <c r="S4160">
        <v>0</v>
      </c>
      <c r="T4160">
        <v>1</v>
      </c>
    </row>
    <row r="4161" spans="1:20" ht="16.5" x14ac:dyDescent="0.3">
      <c r="A4161" t="s">
        <v>4215</v>
      </c>
      <c r="B4161" s="1">
        <v>45869</v>
      </c>
      <c r="C4161">
        <v>2025</v>
      </c>
      <c r="D4161" t="s">
        <v>1261</v>
      </c>
      <c r="E4161" t="s">
        <v>1262</v>
      </c>
      <c r="F4161" t="s">
        <v>57</v>
      </c>
      <c r="G4161" t="s">
        <v>39</v>
      </c>
      <c r="H4161" t="s">
        <v>25</v>
      </c>
      <c r="I4161" t="s">
        <v>26</v>
      </c>
      <c r="J4161" t="s">
        <v>27</v>
      </c>
      <c r="K4161" t="s">
        <v>32</v>
      </c>
      <c r="L4161" s="2">
        <v>5.4</v>
      </c>
      <c r="M4161" s="3">
        <v>1085</v>
      </c>
      <c r="N4161">
        <v>4</v>
      </c>
      <c r="O4161">
        <v>4</v>
      </c>
      <c r="P4161">
        <v>1</v>
      </c>
      <c r="Q4161">
        <v>0</v>
      </c>
      <c r="R4161" s="4">
        <v>22.83</v>
      </c>
      <c r="S4161">
        <v>0</v>
      </c>
      <c r="T4161">
        <v>1</v>
      </c>
    </row>
    <row r="4162" spans="1:20" ht="16.5" x14ac:dyDescent="0.3">
      <c r="A4162" t="s">
        <v>4216</v>
      </c>
      <c r="B4162" s="1">
        <v>45870</v>
      </c>
      <c r="C4162">
        <v>2025</v>
      </c>
      <c r="D4162" t="s">
        <v>1261</v>
      </c>
      <c r="E4162" t="s">
        <v>1454</v>
      </c>
      <c r="F4162" t="s">
        <v>38</v>
      </c>
      <c r="G4162" t="s">
        <v>35</v>
      </c>
      <c r="H4162" t="s">
        <v>25</v>
      </c>
      <c r="I4162" t="s">
        <v>26</v>
      </c>
      <c r="J4162" t="s">
        <v>27</v>
      </c>
      <c r="K4162" t="s">
        <v>32</v>
      </c>
      <c r="L4162" s="2">
        <v>4.5999999999999996</v>
      </c>
      <c r="M4162" s="3">
        <v>748</v>
      </c>
      <c r="N4162">
        <v>4</v>
      </c>
      <c r="O4162">
        <v>5</v>
      </c>
      <c r="P4162">
        <v>0</v>
      </c>
      <c r="Q4162">
        <v>1</v>
      </c>
      <c r="R4162" s="4">
        <v>19.809999999999999</v>
      </c>
      <c r="S4162">
        <v>0</v>
      </c>
      <c r="T4162">
        <v>1</v>
      </c>
    </row>
    <row r="4163" spans="1:20" ht="16.5" x14ac:dyDescent="0.3">
      <c r="A4163" t="s">
        <v>4217</v>
      </c>
      <c r="B4163" s="1">
        <v>45870</v>
      </c>
      <c r="C4163">
        <v>2025</v>
      </c>
      <c r="D4163" t="s">
        <v>1261</v>
      </c>
      <c r="E4163" t="s">
        <v>1454</v>
      </c>
      <c r="F4163" t="s">
        <v>34</v>
      </c>
      <c r="G4163" t="s">
        <v>35</v>
      </c>
      <c r="H4163" t="s">
        <v>48</v>
      </c>
      <c r="I4163" t="s">
        <v>26</v>
      </c>
      <c r="J4163" t="s">
        <v>27</v>
      </c>
      <c r="K4163" t="s">
        <v>28</v>
      </c>
      <c r="L4163" s="2">
        <v>351.8</v>
      </c>
      <c r="M4163" s="3">
        <v>432</v>
      </c>
      <c r="N4163">
        <v>4</v>
      </c>
      <c r="O4163">
        <v>4</v>
      </c>
      <c r="P4163">
        <v>1</v>
      </c>
      <c r="Q4163">
        <v>0</v>
      </c>
      <c r="R4163" s="4">
        <v>109.1</v>
      </c>
      <c r="S4163">
        <v>0</v>
      </c>
      <c r="T4163">
        <v>1</v>
      </c>
    </row>
    <row r="4164" spans="1:20" ht="16.5" x14ac:dyDescent="0.3">
      <c r="A4164" t="s">
        <v>4218</v>
      </c>
      <c r="B4164" s="1">
        <v>45870</v>
      </c>
      <c r="C4164">
        <v>2025</v>
      </c>
      <c r="D4164" t="s">
        <v>1261</v>
      </c>
      <c r="E4164" t="s">
        <v>1454</v>
      </c>
      <c r="F4164" t="s">
        <v>34</v>
      </c>
      <c r="G4164" t="s">
        <v>39</v>
      </c>
      <c r="H4164" t="s">
        <v>36</v>
      </c>
      <c r="I4164" t="s">
        <v>26</v>
      </c>
      <c r="J4164" t="s">
        <v>27</v>
      </c>
      <c r="K4164" t="s">
        <v>32</v>
      </c>
      <c r="L4164" s="2">
        <v>5.4</v>
      </c>
      <c r="M4164" s="3">
        <v>203</v>
      </c>
      <c r="N4164">
        <v>3</v>
      </c>
      <c r="O4164">
        <v>4</v>
      </c>
      <c r="P4164">
        <v>0</v>
      </c>
      <c r="Q4164">
        <v>1</v>
      </c>
      <c r="R4164" s="4">
        <v>9.33</v>
      </c>
      <c r="S4164">
        <v>0</v>
      </c>
      <c r="T4164">
        <v>1</v>
      </c>
    </row>
    <row r="4165" spans="1:20" ht="16.5" x14ac:dyDescent="0.3">
      <c r="A4165" t="s">
        <v>4219</v>
      </c>
      <c r="B4165" s="1">
        <v>45870</v>
      </c>
      <c r="C4165">
        <v>2025</v>
      </c>
      <c r="D4165" t="s">
        <v>1261</v>
      </c>
      <c r="E4165" t="s">
        <v>1454</v>
      </c>
      <c r="F4165" t="s">
        <v>57</v>
      </c>
      <c r="G4165" t="s">
        <v>35</v>
      </c>
      <c r="H4165" t="s">
        <v>43</v>
      </c>
      <c r="I4165" t="s">
        <v>26</v>
      </c>
      <c r="J4165" t="s">
        <v>27</v>
      </c>
      <c r="K4165" t="s">
        <v>32</v>
      </c>
      <c r="L4165" s="2">
        <v>4.5</v>
      </c>
      <c r="M4165" s="3">
        <v>649</v>
      </c>
      <c r="N4165">
        <v>5</v>
      </c>
      <c r="O4165">
        <v>4</v>
      </c>
      <c r="P4165">
        <v>1</v>
      </c>
      <c r="Q4165">
        <v>0</v>
      </c>
      <c r="R4165" s="4">
        <v>15.89</v>
      </c>
      <c r="S4165">
        <v>0</v>
      </c>
      <c r="T4165">
        <v>1</v>
      </c>
    </row>
    <row r="4166" spans="1:20" ht="16.5" x14ac:dyDescent="0.3">
      <c r="A4166" t="s">
        <v>4220</v>
      </c>
      <c r="B4166" s="1">
        <v>45870</v>
      </c>
      <c r="C4166">
        <v>2025</v>
      </c>
      <c r="D4166" t="s">
        <v>1261</v>
      </c>
      <c r="E4166" t="s">
        <v>1454</v>
      </c>
      <c r="F4166" t="s">
        <v>57</v>
      </c>
      <c r="G4166" t="s">
        <v>39</v>
      </c>
      <c r="H4166" t="s">
        <v>25</v>
      </c>
      <c r="I4166" t="s">
        <v>26</v>
      </c>
      <c r="J4166" t="s">
        <v>27</v>
      </c>
      <c r="K4166" t="s">
        <v>32</v>
      </c>
      <c r="L4166" s="2">
        <v>2.8</v>
      </c>
      <c r="M4166" s="3">
        <v>807</v>
      </c>
      <c r="N4166">
        <v>4</v>
      </c>
      <c r="O4166">
        <v>4</v>
      </c>
      <c r="P4166">
        <v>1</v>
      </c>
      <c r="Q4166">
        <v>0</v>
      </c>
      <c r="R4166" s="4">
        <v>17.82</v>
      </c>
      <c r="S4166">
        <v>0</v>
      </c>
      <c r="T4166">
        <v>1</v>
      </c>
    </row>
    <row r="4167" spans="1:20" ht="16.5" x14ac:dyDescent="0.3">
      <c r="A4167" t="s">
        <v>4221</v>
      </c>
      <c r="B4167" s="1">
        <v>45871</v>
      </c>
      <c r="C4167">
        <v>2025</v>
      </c>
      <c r="D4167" t="s">
        <v>1261</v>
      </c>
      <c r="E4167" t="s">
        <v>1454</v>
      </c>
      <c r="F4167" t="s">
        <v>23</v>
      </c>
      <c r="G4167" t="s">
        <v>35</v>
      </c>
      <c r="H4167" t="s">
        <v>48</v>
      </c>
      <c r="I4167" t="s">
        <v>26</v>
      </c>
      <c r="J4167" t="s">
        <v>27</v>
      </c>
      <c r="K4167" t="s">
        <v>32</v>
      </c>
      <c r="L4167" s="2">
        <v>1.1000000000000001</v>
      </c>
      <c r="M4167" s="3">
        <v>354</v>
      </c>
      <c r="N4167">
        <v>4</v>
      </c>
      <c r="O4167">
        <v>4</v>
      </c>
      <c r="P4167">
        <v>1</v>
      </c>
      <c r="Q4167">
        <v>0</v>
      </c>
      <c r="R4167" s="4">
        <v>10.75</v>
      </c>
      <c r="S4167">
        <v>0</v>
      </c>
      <c r="T4167">
        <v>1</v>
      </c>
    </row>
    <row r="4168" spans="1:20" ht="16.5" x14ac:dyDescent="0.3">
      <c r="A4168" t="s">
        <v>4222</v>
      </c>
      <c r="B4168" s="1">
        <v>45871</v>
      </c>
      <c r="C4168">
        <v>2025</v>
      </c>
      <c r="D4168" t="s">
        <v>1261</v>
      </c>
      <c r="E4168" t="s">
        <v>1454</v>
      </c>
      <c r="F4168" t="s">
        <v>30</v>
      </c>
      <c r="G4168" t="s">
        <v>24</v>
      </c>
      <c r="H4168" t="s">
        <v>36</v>
      </c>
      <c r="I4168" t="s">
        <v>26</v>
      </c>
      <c r="J4168" t="s">
        <v>27</v>
      </c>
      <c r="K4168" t="s">
        <v>28</v>
      </c>
      <c r="L4168" s="2">
        <v>150.30000000000001</v>
      </c>
      <c r="M4168" s="3">
        <v>278</v>
      </c>
      <c r="N4168">
        <v>3</v>
      </c>
      <c r="O4168">
        <v>3</v>
      </c>
      <c r="P4168">
        <v>1</v>
      </c>
      <c r="Q4168">
        <v>0</v>
      </c>
      <c r="R4168" s="4">
        <v>77.849999999999994</v>
      </c>
      <c r="S4168">
        <v>0</v>
      </c>
      <c r="T4168">
        <v>1</v>
      </c>
    </row>
    <row r="4169" spans="1:20" ht="16.5" x14ac:dyDescent="0.3">
      <c r="A4169" t="s">
        <v>4223</v>
      </c>
      <c r="B4169" s="1">
        <v>45871</v>
      </c>
      <c r="C4169">
        <v>2025</v>
      </c>
      <c r="D4169" t="s">
        <v>1261</v>
      </c>
      <c r="E4169" t="s">
        <v>1454</v>
      </c>
      <c r="F4169" t="s">
        <v>34</v>
      </c>
      <c r="G4169" t="s">
        <v>39</v>
      </c>
      <c r="H4169" t="s">
        <v>43</v>
      </c>
      <c r="I4169" t="s">
        <v>26</v>
      </c>
      <c r="J4169" t="s">
        <v>27</v>
      </c>
      <c r="K4169" t="s">
        <v>32</v>
      </c>
      <c r="L4169" s="2">
        <v>7.5</v>
      </c>
      <c r="M4169" s="3">
        <v>1012</v>
      </c>
      <c r="N4169">
        <v>5</v>
      </c>
      <c r="O4169">
        <v>5</v>
      </c>
      <c r="P4169">
        <v>1</v>
      </c>
      <c r="Q4169">
        <v>0</v>
      </c>
      <c r="R4169" s="4">
        <v>21.16</v>
      </c>
      <c r="S4169">
        <v>0</v>
      </c>
      <c r="T4169">
        <v>1</v>
      </c>
    </row>
    <row r="4170" spans="1:20" ht="16.5" x14ac:dyDescent="0.3">
      <c r="A4170" t="s">
        <v>4224</v>
      </c>
      <c r="B4170" s="1">
        <v>45871</v>
      </c>
      <c r="C4170">
        <v>2025</v>
      </c>
      <c r="D4170" t="s">
        <v>1261</v>
      </c>
      <c r="E4170" t="s">
        <v>1454</v>
      </c>
      <c r="F4170" t="s">
        <v>30</v>
      </c>
      <c r="G4170" t="s">
        <v>35</v>
      </c>
      <c r="H4170" t="s">
        <v>25</v>
      </c>
      <c r="I4170" t="s">
        <v>26</v>
      </c>
      <c r="J4170" t="s">
        <v>27</v>
      </c>
      <c r="K4170" t="s">
        <v>28</v>
      </c>
      <c r="L4170" s="2">
        <v>113.5</v>
      </c>
      <c r="M4170" s="3">
        <v>774</v>
      </c>
      <c r="N4170">
        <v>4</v>
      </c>
      <c r="O4170">
        <v>3</v>
      </c>
      <c r="P4170">
        <v>1</v>
      </c>
      <c r="Q4170">
        <v>0</v>
      </c>
      <c r="R4170" s="4">
        <v>70</v>
      </c>
      <c r="S4170">
        <v>0</v>
      </c>
      <c r="T4170">
        <v>1</v>
      </c>
    </row>
    <row r="4171" spans="1:20" ht="16.5" x14ac:dyDescent="0.3">
      <c r="A4171" t="s">
        <v>4225</v>
      </c>
      <c r="B4171" s="1">
        <v>45871</v>
      </c>
      <c r="C4171">
        <v>2025</v>
      </c>
      <c r="D4171" t="s">
        <v>1261</v>
      </c>
      <c r="E4171" t="s">
        <v>1454</v>
      </c>
      <c r="F4171" t="s">
        <v>23</v>
      </c>
      <c r="G4171" t="s">
        <v>39</v>
      </c>
      <c r="H4171" t="s">
        <v>51</v>
      </c>
      <c r="I4171" t="s">
        <v>26</v>
      </c>
      <c r="J4171" t="s">
        <v>27</v>
      </c>
      <c r="K4171" t="s">
        <v>28</v>
      </c>
      <c r="L4171" s="2">
        <v>254.9</v>
      </c>
      <c r="M4171" s="3">
        <v>1008</v>
      </c>
      <c r="N4171">
        <v>5</v>
      </c>
      <c r="O4171">
        <v>5</v>
      </c>
      <c r="P4171">
        <v>1</v>
      </c>
      <c r="Q4171">
        <v>0</v>
      </c>
      <c r="R4171" s="4">
        <v>110.64</v>
      </c>
      <c r="S4171">
        <v>0</v>
      </c>
      <c r="T4171">
        <v>1</v>
      </c>
    </row>
    <row r="4172" spans="1:20" ht="16.5" x14ac:dyDescent="0.3">
      <c r="A4172" t="s">
        <v>4226</v>
      </c>
      <c r="B4172" s="1">
        <v>45871</v>
      </c>
      <c r="C4172">
        <v>2025</v>
      </c>
      <c r="D4172" t="s">
        <v>1261</v>
      </c>
      <c r="E4172" t="s">
        <v>1454</v>
      </c>
      <c r="F4172" t="s">
        <v>38</v>
      </c>
      <c r="G4172" t="s">
        <v>39</v>
      </c>
      <c r="H4172" t="s">
        <v>25</v>
      </c>
      <c r="I4172" t="s">
        <v>40</v>
      </c>
      <c r="J4172" t="s">
        <v>41</v>
      </c>
      <c r="K4172" t="s">
        <v>32</v>
      </c>
      <c r="L4172" s="2">
        <v>4.2</v>
      </c>
      <c r="M4172" s="3">
        <v>860</v>
      </c>
      <c r="N4172">
        <v>2</v>
      </c>
      <c r="O4172">
        <v>2</v>
      </c>
      <c r="P4172">
        <v>1</v>
      </c>
      <c r="Q4172">
        <v>0</v>
      </c>
      <c r="R4172" s="4">
        <v>66.63</v>
      </c>
      <c r="S4172">
        <v>0</v>
      </c>
      <c r="T4172">
        <v>1</v>
      </c>
    </row>
    <row r="4173" spans="1:20" ht="16.5" x14ac:dyDescent="0.3">
      <c r="A4173" t="s">
        <v>4227</v>
      </c>
      <c r="B4173" s="1">
        <v>45871</v>
      </c>
      <c r="C4173">
        <v>2025</v>
      </c>
      <c r="D4173" t="s">
        <v>1261</v>
      </c>
      <c r="E4173" t="s">
        <v>1454</v>
      </c>
      <c r="F4173" t="s">
        <v>38</v>
      </c>
      <c r="G4173" t="s">
        <v>35</v>
      </c>
      <c r="H4173" t="s">
        <v>36</v>
      </c>
      <c r="I4173" t="s">
        <v>40</v>
      </c>
      <c r="J4173" t="s">
        <v>27</v>
      </c>
      <c r="K4173" t="s">
        <v>32</v>
      </c>
      <c r="L4173" s="2">
        <v>9.5</v>
      </c>
      <c r="M4173" s="3">
        <v>191</v>
      </c>
      <c r="N4173">
        <v>1</v>
      </c>
      <c r="O4173">
        <v>4</v>
      </c>
      <c r="P4173">
        <v>0</v>
      </c>
      <c r="Q4173">
        <v>3</v>
      </c>
      <c r="R4173" s="4">
        <v>30.69</v>
      </c>
      <c r="S4173">
        <v>0</v>
      </c>
      <c r="T4173">
        <v>1</v>
      </c>
    </row>
    <row r="4174" spans="1:20" ht="16.5" x14ac:dyDescent="0.3">
      <c r="A4174" t="s">
        <v>4228</v>
      </c>
      <c r="B4174" s="1">
        <v>45872</v>
      </c>
      <c r="C4174">
        <v>2025</v>
      </c>
      <c r="D4174" t="s">
        <v>1261</v>
      </c>
      <c r="E4174" t="s">
        <v>1454</v>
      </c>
      <c r="F4174" t="s">
        <v>34</v>
      </c>
      <c r="G4174" t="s">
        <v>39</v>
      </c>
      <c r="H4174" t="s">
        <v>36</v>
      </c>
      <c r="I4174" t="s">
        <v>31</v>
      </c>
      <c r="J4174" t="s">
        <v>27</v>
      </c>
      <c r="K4174" t="s">
        <v>32</v>
      </c>
      <c r="L4174" s="2">
        <v>10.6</v>
      </c>
      <c r="M4174" s="3">
        <v>257</v>
      </c>
      <c r="N4174">
        <v>5</v>
      </c>
      <c r="O4174">
        <v>5</v>
      </c>
      <c r="P4174">
        <v>1</v>
      </c>
      <c r="Q4174">
        <v>0</v>
      </c>
      <c r="R4174" s="4">
        <v>9.93</v>
      </c>
      <c r="S4174">
        <v>0</v>
      </c>
      <c r="T4174">
        <v>1</v>
      </c>
    </row>
    <row r="4175" spans="1:20" ht="16.5" x14ac:dyDescent="0.3">
      <c r="A4175" t="s">
        <v>4229</v>
      </c>
      <c r="B4175" s="1">
        <v>45872</v>
      </c>
      <c r="C4175">
        <v>2025</v>
      </c>
      <c r="D4175" t="s">
        <v>1261</v>
      </c>
      <c r="E4175" t="s">
        <v>1454</v>
      </c>
      <c r="F4175" t="s">
        <v>30</v>
      </c>
      <c r="G4175" t="s">
        <v>35</v>
      </c>
      <c r="H4175" t="s">
        <v>48</v>
      </c>
      <c r="I4175" t="s">
        <v>31</v>
      </c>
      <c r="J4175" t="s">
        <v>27</v>
      </c>
      <c r="K4175" t="s">
        <v>28</v>
      </c>
      <c r="L4175" s="2">
        <v>310.89999999999998</v>
      </c>
      <c r="M4175" s="3">
        <v>389</v>
      </c>
      <c r="N4175">
        <v>6</v>
      </c>
      <c r="O4175">
        <v>5</v>
      </c>
      <c r="P4175">
        <v>1</v>
      </c>
      <c r="Q4175">
        <v>0</v>
      </c>
      <c r="R4175" s="4">
        <v>97.45</v>
      </c>
      <c r="S4175">
        <v>0</v>
      </c>
      <c r="T4175">
        <v>1</v>
      </c>
    </row>
    <row r="4176" spans="1:20" ht="16.5" x14ac:dyDescent="0.3">
      <c r="A4176" t="s">
        <v>4230</v>
      </c>
      <c r="B4176" s="1">
        <v>45872</v>
      </c>
      <c r="C4176">
        <v>2025</v>
      </c>
      <c r="D4176" t="s">
        <v>1261</v>
      </c>
      <c r="E4176" t="s">
        <v>1454</v>
      </c>
      <c r="F4176" t="s">
        <v>57</v>
      </c>
      <c r="G4176" t="s">
        <v>24</v>
      </c>
      <c r="H4176" t="s">
        <v>51</v>
      </c>
      <c r="I4176" t="s">
        <v>40</v>
      </c>
      <c r="J4176" t="s">
        <v>41</v>
      </c>
      <c r="K4176" t="s">
        <v>28</v>
      </c>
      <c r="L4176" s="2">
        <v>118.5</v>
      </c>
      <c r="M4176" s="3">
        <v>1204</v>
      </c>
      <c r="N4176">
        <v>3</v>
      </c>
      <c r="O4176">
        <v>3</v>
      </c>
      <c r="P4176">
        <v>1</v>
      </c>
      <c r="Q4176">
        <v>0</v>
      </c>
      <c r="R4176" s="4">
        <v>212.44</v>
      </c>
      <c r="S4176">
        <v>0</v>
      </c>
      <c r="T4176">
        <v>1</v>
      </c>
    </row>
    <row r="4177" spans="1:20" ht="16.5" x14ac:dyDescent="0.3">
      <c r="A4177" t="s">
        <v>4231</v>
      </c>
      <c r="B4177" s="1">
        <v>45872</v>
      </c>
      <c r="C4177">
        <v>2025</v>
      </c>
      <c r="D4177" t="s">
        <v>1261</v>
      </c>
      <c r="E4177" t="s">
        <v>1454</v>
      </c>
      <c r="F4177" t="s">
        <v>34</v>
      </c>
      <c r="G4177" t="s">
        <v>24</v>
      </c>
      <c r="H4177" t="s">
        <v>25</v>
      </c>
      <c r="I4177" t="s">
        <v>26</v>
      </c>
      <c r="J4177" t="s">
        <v>27</v>
      </c>
      <c r="K4177" t="s">
        <v>32</v>
      </c>
      <c r="L4177" s="2">
        <v>11</v>
      </c>
      <c r="M4177" s="3">
        <v>953</v>
      </c>
      <c r="N4177">
        <v>4</v>
      </c>
      <c r="O4177">
        <v>3</v>
      </c>
      <c r="P4177">
        <v>1</v>
      </c>
      <c r="Q4177">
        <v>0</v>
      </c>
      <c r="R4177" s="4">
        <v>22.67</v>
      </c>
      <c r="S4177">
        <v>0</v>
      </c>
      <c r="T4177">
        <v>1</v>
      </c>
    </row>
    <row r="4178" spans="1:20" ht="16.5" x14ac:dyDescent="0.3">
      <c r="A4178" t="s">
        <v>4232</v>
      </c>
      <c r="B4178" s="1">
        <v>45873</v>
      </c>
      <c r="C4178">
        <v>2025</v>
      </c>
      <c r="D4178" t="s">
        <v>1261</v>
      </c>
      <c r="E4178" t="s">
        <v>1454</v>
      </c>
      <c r="F4178" t="s">
        <v>57</v>
      </c>
      <c r="G4178" t="s">
        <v>35</v>
      </c>
      <c r="H4178" t="s">
        <v>51</v>
      </c>
      <c r="I4178" t="s">
        <v>26</v>
      </c>
      <c r="J4178" t="s">
        <v>27</v>
      </c>
      <c r="K4178" t="s">
        <v>28</v>
      </c>
      <c r="L4178" s="2">
        <v>94</v>
      </c>
      <c r="M4178" s="3">
        <v>841</v>
      </c>
      <c r="N4178">
        <v>5</v>
      </c>
      <c r="O4178">
        <v>5</v>
      </c>
      <c r="P4178">
        <v>1</v>
      </c>
      <c r="Q4178">
        <v>0</v>
      </c>
      <c r="R4178" s="4">
        <v>59.57</v>
      </c>
      <c r="S4178">
        <v>0</v>
      </c>
      <c r="T4178">
        <v>1</v>
      </c>
    </row>
    <row r="4179" spans="1:20" ht="16.5" x14ac:dyDescent="0.3">
      <c r="A4179" t="s">
        <v>4233</v>
      </c>
      <c r="B4179" s="1">
        <v>45873</v>
      </c>
      <c r="C4179">
        <v>2025</v>
      </c>
      <c r="D4179" t="s">
        <v>1261</v>
      </c>
      <c r="E4179" t="s">
        <v>1454</v>
      </c>
      <c r="F4179" t="s">
        <v>34</v>
      </c>
      <c r="G4179" t="s">
        <v>24</v>
      </c>
      <c r="H4179" t="s">
        <v>48</v>
      </c>
      <c r="I4179" t="s">
        <v>26</v>
      </c>
      <c r="J4179" t="s">
        <v>27</v>
      </c>
      <c r="K4179" t="s">
        <v>32</v>
      </c>
      <c r="L4179" s="2">
        <v>12</v>
      </c>
      <c r="M4179" s="3">
        <v>546</v>
      </c>
      <c r="N4179">
        <v>4</v>
      </c>
      <c r="O4179">
        <v>6</v>
      </c>
      <c r="P4179">
        <v>0</v>
      </c>
      <c r="Q4179">
        <v>2</v>
      </c>
      <c r="R4179" s="4">
        <v>16.21</v>
      </c>
      <c r="S4179">
        <v>0</v>
      </c>
      <c r="T4179">
        <v>1</v>
      </c>
    </row>
    <row r="4180" spans="1:20" ht="16.5" x14ac:dyDescent="0.3">
      <c r="A4180" t="s">
        <v>4234</v>
      </c>
      <c r="B4180" s="1">
        <v>45873</v>
      </c>
      <c r="C4180">
        <v>2025</v>
      </c>
      <c r="D4180" t="s">
        <v>1261</v>
      </c>
      <c r="E4180" t="s">
        <v>1454</v>
      </c>
      <c r="F4180" t="s">
        <v>30</v>
      </c>
      <c r="G4180" t="s">
        <v>35</v>
      </c>
      <c r="H4180" t="s">
        <v>36</v>
      </c>
      <c r="I4180" t="s">
        <v>31</v>
      </c>
      <c r="J4180" t="s">
        <v>27</v>
      </c>
      <c r="K4180" t="s">
        <v>32</v>
      </c>
      <c r="L4180" s="2">
        <v>12.7</v>
      </c>
      <c r="M4180" s="3">
        <v>254</v>
      </c>
      <c r="N4180">
        <v>5</v>
      </c>
      <c r="O4180">
        <v>5</v>
      </c>
      <c r="P4180">
        <v>1</v>
      </c>
      <c r="Q4180">
        <v>0</v>
      </c>
      <c r="R4180" s="4">
        <v>12.72</v>
      </c>
      <c r="S4180">
        <v>0</v>
      </c>
      <c r="T4180">
        <v>1</v>
      </c>
    </row>
    <row r="4181" spans="1:20" ht="16.5" x14ac:dyDescent="0.3">
      <c r="A4181" t="s">
        <v>4235</v>
      </c>
      <c r="B4181" s="1">
        <v>45873</v>
      </c>
      <c r="C4181">
        <v>2025</v>
      </c>
      <c r="D4181" t="s">
        <v>1261</v>
      </c>
      <c r="E4181" t="s">
        <v>1454</v>
      </c>
      <c r="F4181" t="s">
        <v>38</v>
      </c>
      <c r="G4181" t="s">
        <v>35</v>
      </c>
      <c r="H4181" t="s">
        <v>51</v>
      </c>
      <c r="I4181" t="s">
        <v>26</v>
      </c>
      <c r="J4181" t="s">
        <v>27</v>
      </c>
      <c r="K4181" t="s">
        <v>32</v>
      </c>
      <c r="L4181" s="2">
        <v>21.5</v>
      </c>
      <c r="M4181" s="3">
        <v>920</v>
      </c>
      <c r="N4181">
        <v>5</v>
      </c>
      <c r="O4181">
        <v>5</v>
      </c>
      <c r="P4181">
        <v>1</v>
      </c>
      <c r="Q4181">
        <v>0</v>
      </c>
      <c r="R4181" s="4">
        <v>32.21</v>
      </c>
      <c r="S4181">
        <v>0</v>
      </c>
      <c r="T4181">
        <v>1</v>
      </c>
    </row>
    <row r="4182" spans="1:20" ht="16.5" x14ac:dyDescent="0.3">
      <c r="A4182" t="s">
        <v>4236</v>
      </c>
      <c r="B4182" s="1">
        <v>45874</v>
      </c>
      <c r="C4182">
        <v>2025</v>
      </c>
      <c r="D4182" t="s">
        <v>1261</v>
      </c>
      <c r="E4182" t="s">
        <v>1454</v>
      </c>
      <c r="F4182" t="s">
        <v>57</v>
      </c>
      <c r="G4182" t="s">
        <v>39</v>
      </c>
      <c r="H4182" t="s">
        <v>43</v>
      </c>
      <c r="I4182" t="s">
        <v>26</v>
      </c>
      <c r="J4182" t="s">
        <v>27</v>
      </c>
      <c r="K4182" t="s">
        <v>32</v>
      </c>
      <c r="L4182" s="2">
        <v>9.1</v>
      </c>
      <c r="M4182" s="3">
        <v>1053</v>
      </c>
      <c r="N4182">
        <v>5</v>
      </c>
      <c r="O4182">
        <v>5</v>
      </c>
      <c r="P4182">
        <v>1</v>
      </c>
      <c r="Q4182">
        <v>0</v>
      </c>
      <c r="R4182" s="4">
        <v>23.51</v>
      </c>
      <c r="S4182">
        <v>0</v>
      </c>
      <c r="T4182">
        <v>1</v>
      </c>
    </row>
    <row r="4183" spans="1:20" ht="16.5" x14ac:dyDescent="0.3">
      <c r="A4183" t="s">
        <v>4237</v>
      </c>
      <c r="B4183" s="1">
        <v>45874</v>
      </c>
      <c r="C4183">
        <v>2025</v>
      </c>
      <c r="D4183" t="s">
        <v>1261</v>
      </c>
      <c r="E4183" t="s">
        <v>1454</v>
      </c>
      <c r="F4183" t="s">
        <v>30</v>
      </c>
      <c r="G4183" t="s">
        <v>24</v>
      </c>
      <c r="H4183" t="s">
        <v>51</v>
      </c>
      <c r="I4183" t="s">
        <v>31</v>
      </c>
      <c r="J4183" t="s">
        <v>27</v>
      </c>
      <c r="K4183" t="s">
        <v>28</v>
      </c>
      <c r="L4183" s="2">
        <v>147.30000000000001</v>
      </c>
      <c r="M4183" s="3">
        <v>618</v>
      </c>
      <c r="N4183">
        <v>7</v>
      </c>
      <c r="O4183">
        <v>6</v>
      </c>
      <c r="P4183">
        <v>1</v>
      </c>
      <c r="Q4183">
        <v>0</v>
      </c>
      <c r="R4183" s="4">
        <v>61.78</v>
      </c>
      <c r="S4183">
        <v>0</v>
      </c>
      <c r="T4183">
        <v>1</v>
      </c>
    </row>
    <row r="4184" spans="1:20" ht="16.5" x14ac:dyDescent="0.3">
      <c r="A4184" t="s">
        <v>4238</v>
      </c>
      <c r="B4184" s="1">
        <v>45874</v>
      </c>
      <c r="C4184">
        <v>2025</v>
      </c>
      <c r="D4184" t="s">
        <v>1261</v>
      </c>
      <c r="E4184" t="s">
        <v>1454</v>
      </c>
      <c r="F4184" t="s">
        <v>57</v>
      </c>
      <c r="G4184" t="s">
        <v>35</v>
      </c>
      <c r="H4184" t="s">
        <v>36</v>
      </c>
      <c r="I4184" t="s">
        <v>40</v>
      </c>
      <c r="J4184" t="s">
        <v>27</v>
      </c>
      <c r="K4184" t="s">
        <v>28</v>
      </c>
      <c r="L4184" s="2">
        <v>54.6</v>
      </c>
      <c r="M4184" s="3">
        <v>237</v>
      </c>
      <c r="N4184">
        <v>1</v>
      </c>
      <c r="O4184">
        <v>1</v>
      </c>
      <c r="P4184">
        <v>1</v>
      </c>
      <c r="Q4184">
        <v>0</v>
      </c>
      <c r="R4184" s="4">
        <v>68.98</v>
      </c>
      <c r="S4184">
        <v>0</v>
      </c>
      <c r="T4184">
        <v>1</v>
      </c>
    </row>
    <row r="4185" spans="1:20" ht="16.5" x14ac:dyDescent="0.3">
      <c r="A4185" t="s">
        <v>4239</v>
      </c>
      <c r="B4185" s="1">
        <v>45874</v>
      </c>
      <c r="C4185">
        <v>2025</v>
      </c>
      <c r="D4185" t="s">
        <v>1261</v>
      </c>
      <c r="E4185" t="s">
        <v>1454</v>
      </c>
      <c r="F4185" t="s">
        <v>30</v>
      </c>
      <c r="G4185" t="s">
        <v>39</v>
      </c>
      <c r="H4185" t="s">
        <v>25</v>
      </c>
      <c r="I4185" t="s">
        <v>31</v>
      </c>
      <c r="J4185" t="s">
        <v>27</v>
      </c>
      <c r="K4185" t="s">
        <v>28</v>
      </c>
      <c r="L4185" s="2">
        <v>114.5</v>
      </c>
      <c r="M4185" s="3">
        <v>815</v>
      </c>
      <c r="N4185">
        <v>6</v>
      </c>
      <c r="O4185">
        <v>6</v>
      </c>
      <c r="P4185">
        <v>1</v>
      </c>
      <c r="Q4185">
        <v>0</v>
      </c>
      <c r="R4185" s="4">
        <v>54.05</v>
      </c>
      <c r="S4185">
        <v>0</v>
      </c>
      <c r="T4185">
        <v>1</v>
      </c>
    </row>
    <row r="4186" spans="1:20" ht="16.5" x14ac:dyDescent="0.3">
      <c r="A4186" t="s">
        <v>4240</v>
      </c>
      <c r="B4186" s="1">
        <v>45875</v>
      </c>
      <c r="C4186">
        <v>2025</v>
      </c>
      <c r="D4186" t="s">
        <v>1261</v>
      </c>
      <c r="E4186" t="s">
        <v>1454</v>
      </c>
      <c r="F4186" t="s">
        <v>57</v>
      </c>
      <c r="G4186" t="s">
        <v>35</v>
      </c>
      <c r="H4186" t="s">
        <v>43</v>
      </c>
      <c r="I4186" t="s">
        <v>26</v>
      </c>
      <c r="J4186" t="s">
        <v>27</v>
      </c>
      <c r="K4186" t="s">
        <v>32</v>
      </c>
      <c r="L4186" s="2">
        <v>8.5</v>
      </c>
      <c r="M4186" s="3">
        <v>1043</v>
      </c>
      <c r="N4186">
        <v>5</v>
      </c>
      <c r="O4186">
        <v>5</v>
      </c>
      <c r="P4186">
        <v>1</v>
      </c>
      <c r="Q4186">
        <v>0</v>
      </c>
      <c r="R4186" s="4">
        <v>22.02</v>
      </c>
      <c r="S4186">
        <v>0</v>
      </c>
      <c r="T4186">
        <v>1</v>
      </c>
    </row>
    <row r="4187" spans="1:20" ht="16.5" x14ac:dyDescent="0.3">
      <c r="A4187" t="s">
        <v>4241</v>
      </c>
      <c r="B4187" s="1">
        <v>45875</v>
      </c>
      <c r="C4187">
        <v>2025</v>
      </c>
      <c r="D4187" t="s">
        <v>1261</v>
      </c>
      <c r="E4187" t="s">
        <v>1454</v>
      </c>
      <c r="F4187" t="s">
        <v>23</v>
      </c>
      <c r="G4187" t="s">
        <v>39</v>
      </c>
      <c r="H4187" t="s">
        <v>48</v>
      </c>
      <c r="I4187" t="s">
        <v>26</v>
      </c>
      <c r="J4187" t="s">
        <v>27</v>
      </c>
      <c r="K4187" t="s">
        <v>28</v>
      </c>
      <c r="L4187" s="2">
        <v>100.7</v>
      </c>
      <c r="M4187" s="3">
        <v>488</v>
      </c>
      <c r="N4187">
        <v>4</v>
      </c>
      <c r="O4187">
        <v>3</v>
      </c>
      <c r="P4187">
        <v>1</v>
      </c>
      <c r="Q4187">
        <v>0</v>
      </c>
      <c r="R4187" s="4">
        <v>50.81</v>
      </c>
      <c r="S4187">
        <v>0</v>
      </c>
      <c r="T4187">
        <v>1</v>
      </c>
    </row>
    <row r="4188" spans="1:20" ht="16.5" x14ac:dyDescent="0.3">
      <c r="A4188" t="s">
        <v>4242</v>
      </c>
      <c r="B4188" s="1">
        <v>45875</v>
      </c>
      <c r="C4188">
        <v>2025</v>
      </c>
      <c r="D4188" t="s">
        <v>1261</v>
      </c>
      <c r="E4188" t="s">
        <v>1454</v>
      </c>
      <c r="F4188" t="s">
        <v>38</v>
      </c>
      <c r="G4188" t="s">
        <v>39</v>
      </c>
      <c r="H4188" t="s">
        <v>48</v>
      </c>
      <c r="I4188" t="s">
        <v>26</v>
      </c>
      <c r="J4188" t="s">
        <v>27</v>
      </c>
      <c r="K4188" t="s">
        <v>32</v>
      </c>
      <c r="L4188" s="2">
        <v>8.5</v>
      </c>
      <c r="M4188" s="3">
        <v>619</v>
      </c>
      <c r="N4188">
        <v>4</v>
      </c>
      <c r="O4188">
        <v>4</v>
      </c>
      <c r="P4188">
        <v>1</v>
      </c>
      <c r="Q4188">
        <v>0</v>
      </c>
      <c r="R4188" s="4">
        <v>23.15</v>
      </c>
      <c r="S4188">
        <v>0</v>
      </c>
      <c r="T4188">
        <v>1</v>
      </c>
    </row>
    <row r="4189" spans="1:20" ht="16.5" x14ac:dyDescent="0.3">
      <c r="A4189" t="s">
        <v>4243</v>
      </c>
      <c r="B4189" s="1">
        <v>45875</v>
      </c>
      <c r="C4189">
        <v>2025</v>
      </c>
      <c r="D4189" t="s">
        <v>1261</v>
      </c>
      <c r="E4189" t="s">
        <v>1454</v>
      </c>
      <c r="F4189" t="s">
        <v>38</v>
      </c>
      <c r="G4189" t="s">
        <v>39</v>
      </c>
      <c r="H4189" t="s">
        <v>36</v>
      </c>
      <c r="I4189" t="s">
        <v>40</v>
      </c>
      <c r="J4189" t="s">
        <v>27</v>
      </c>
      <c r="K4189" t="s">
        <v>28</v>
      </c>
      <c r="L4189" s="2">
        <v>190.3</v>
      </c>
      <c r="M4189" s="3">
        <v>256</v>
      </c>
      <c r="N4189">
        <v>1</v>
      </c>
      <c r="O4189">
        <v>1</v>
      </c>
      <c r="P4189">
        <v>1</v>
      </c>
      <c r="Q4189">
        <v>0</v>
      </c>
      <c r="R4189" s="4">
        <v>194.28</v>
      </c>
      <c r="S4189">
        <v>0</v>
      </c>
      <c r="T4189">
        <v>1</v>
      </c>
    </row>
    <row r="4190" spans="1:20" ht="16.5" x14ac:dyDescent="0.3">
      <c r="A4190" t="s">
        <v>4244</v>
      </c>
      <c r="B4190" s="1">
        <v>45875</v>
      </c>
      <c r="C4190">
        <v>2025</v>
      </c>
      <c r="D4190" t="s">
        <v>1261</v>
      </c>
      <c r="E4190" t="s">
        <v>1454</v>
      </c>
      <c r="F4190" t="s">
        <v>34</v>
      </c>
      <c r="G4190" t="s">
        <v>35</v>
      </c>
      <c r="H4190" t="s">
        <v>43</v>
      </c>
      <c r="I4190" t="s">
        <v>31</v>
      </c>
      <c r="J4190" t="s">
        <v>27</v>
      </c>
      <c r="K4190" t="s">
        <v>32</v>
      </c>
      <c r="L4190" s="2">
        <v>1.7</v>
      </c>
      <c r="M4190" s="3">
        <v>1037</v>
      </c>
      <c r="N4190">
        <v>7</v>
      </c>
      <c r="O4190">
        <v>6</v>
      </c>
      <c r="P4190">
        <v>1</v>
      </c>
      <c r="Q4190">
        <v>0</v>
      </c>
      <c r="R4190" s="4">
        <v>12.33</v>
      </c>
      <c r="S4190">
        <v>0</v>
      </c>
      <c r="T4190">
        <v>1</v>
      </c>
    </row>
    <row r="4191" spans="1:20" ht="16.5" x14ac:dyDescent="0.3">
      <c r="A4191" t="s">
        <v>4245</v>
      </c>
      <c r="B4191" s="1">
        <v>45875</v>
      </c>
      <c r="C4191">
        <v>2025</v>
      </c>
      <c r="D4191" t="s">
        <v>1261</v>
      </c>
      <c r="E4191" t="s">
        <v>1454</v>
      </c>
      <c r="F4191" t="s">
        <v>38</v>
      </c>
      <c r="G4191" t="s">
        <v>35</v>
      </c>
      <c r="H4191" t="s">
        <v>25</v>
      </c>
      <c r="I4191" t="s">
        <v>26</v>
      </c>
      <c r="J4191" t="s">
        <v>27</v>
      </c>
      <c r="K4191" t="s">
        <v>28</v>
      </c>
      <c r="L4191" s="2">
        <v>200.6</v>
      </c>
      <c r="M4191" s="3">
        <v>1031</v>
      </c>
      <c r="N4191">
        <v>4</v>
      </c>
      <c r="O4191">
        <v>4</v>
      </c>
      <c r="P4191">
        <v>1</v>
      </c>
      <c r="Q4191">
        <v>0</v>
      </c>
      <c r="R4191" s="4">
        <v>110.38</v>
      </c>
      <c r="S4191">
        <v>0</v>
      </c>
      <c r="T4191">
        <v>1</v>
      </c>
    </row>
    <row r="4192" spans="1:20" ht="16.5" x14ac:dyDescent="0.3">
      <c r="A4192" t="s">
        <v>4246</v>
      </c>
      <c r="B4192" s="1">
        <v>45875</v>
      </c>
      <c r="C4192">
        <v>2025</v>
      </c>
      <c r="D4192" t="s">
        <v>1261</v>
      </c>
      <c r="E4192" t="s">
        <v>1454</v>
      </c>
      <c r="F4192" t="s">
        <v>30</v>
      </c>
      <c r="G4192" t="s">
        <v>39</v>
      </c>
      <c r="H4192" t="s">
        <v>36</v>
      </c>
      <c r="I4192" t="s">
        <v>26</v>
      </c>
      <c r="J4192" t="s">
        <v>27</v>
      </c>
      <c r="K4192" t="s">
        <v>32</v>
      </c>
      <c r="L4192" s="2">
        <v>11</v>
      </c>
      <c r="M4192" s="3">
        <v>227</v>
      </c>
      <c r="N4192">
        <v>3</v>
      </c>
      <c r="O4192">
        <v>2</v>
      </c>
      <c r="P4192">
        <v>1</v>
      </c>
      <c r="Q4192">
        <v>0</v>
      </c>
      <c r="R4192" s="4">
        <v>16.48</v>
      </c>
      <c r="S4192">
        <v>0</v>
      </c>
      <c r="T4192">
        <v>1</v>
      </c>
    </row>
    <row r="4193" spans="1:20" ht="16.5" x14ac:dyDescent="0.3">
      <c r="A4193" t="s">
        <v>4247</v>
      </c>
      <c r="B4193" s="1">
        <v>45875</v>
      </c>
      <c r="C4193">
        <v>2025</v>
      </c>
      <c r="D4193" t="s">
        <v>1261</v>
      </c>
      <c r="E4193" t="s">
        <v>1454</v>
      </c>
      <c r="F4193" t="s">
        <v>38</v>
      </c>
      <c r="G4193" t="s">
        <v>39</v>
      </c>
      <c r="H4193" t="s">
        <v>36</v>
      </c>
      <c r="I4193" t="s">
        <v>31</v>
      </c>
      <c r="J4193" t="s">
        <v>27</v>
      </c>
      <c r="K4193" t="s">
        <v>28</v>
      </c>
      <c r="L4193" s="2">
        <v>62.1</v>
      </c>
      <c r="M4193" s="3">
        <v>270</v>
      </c>
      <c r="N4193">
        <v>5</v>
      </c>
      <c r="O4193">
        <v>4</v>
      </c>
      <c r="P4193">
        <v>1</v>
      </c>
      <c r="Q4193">
        <v>0</v>
      </c>
      <c r="R4193" s="4">
        <v>36.450000000000003</v>
      </c>
      <c r="S4193">
        <v>0</v>
      </c>
      <c r="T4193">
        <v>1</v>
      </c>
    </row>
    <row r="4194" spans="1:20" ht="16.5" x14ac:dyDescent="0.3">
      <c r="A4194" t="s">
        <v>4248</v>
      </c>
      <c r="B4194" s="1">
        <v>45876</v>
      </c>
      <c r="C4194">
        <v>2025</v>
      </c>
      <c r="D4194" t="s">
        <v>1261</v>
      </c>
      <c r="E4194" t="s">
        <v>1454</v>
      </c>
      <c r="F4194" t="s">
        <v>23</v>
      </c>
      <c r="G4194" t="s">
        <v>39</v>
      </c>
      <c r="H4194" t="s">
        <v>25</v>
      </c>
      <c r="I4194" t="s">
        <v>40</v>
      </c>
      <c r="J4194" t="s">
        <v>41</v>
      </c>
      <c r="K4194" t="s">
        <v>28</v>
      </c>
      <c r="L4194" s="2">
        <v>108.2</v>
      </c>
      <c r="M4194" s="3">
        <v>1043</v>
      </c>
      <c r="N4194">
        <v>2</v>
      </c>
      <c r="O4194">
        <v>2</v>
      </c>
      <c r="P4194">
        <v>1</v>
      </c>
      <c r="Q4194">
        <v>0</v>
      </c>
      <c r="R4194" s="4">
        <v>207.09</v>
      </c>
      <c r="S4194">
        <v>0</v>
      </c>
      <c r="T4194">
        <v>1</v>
      </c>
    </row>
    <row r="4195" spans="1:20" ht="16.5" x14ac:dyDescent="0.3">
      <c r="A4195" t="s">
        <v>4249</v>
      </c>
      <c r="B4195" s="1">
        <v>45876</v>
      </c>
      <c r="C4195">
        <v>2025</v>
      </c>
      <c r="D4195" t="s">
        <v>1261</v>
      </c>
      <c r="E4195" t="s">
        <v>1454</v>
      </c>
      <c r="F4195" t="s">
        <v>30</v>
      </c>
      <c r="G4195" t="s">
        <v>24</v>
      </c>
      <c r="H4195" t="s">
        <v>43</v>
      </c>
      <c r="I4195" t="s">
        <v>40</v>
      </c>
      <c r="J4195" t="s">
        <v>41</v>
      </c>
      <c r="K4195" t="s">
        <v>32</v>
      </c>
      <c r="L4195" s="2">
        <v>15.2</v>
      </c>
      <c r="M4195" s="3">
        <v>1011</v>
      </c>
      <c r="N4195">
        <v>3</v>
      </c>
      <c r="O4195">
        <v>3</v>
      </c>
      <c r="P4195">
        <v>1</v>
      </c>
      <c r="Q4195">
        <v>0</v>
      </c>
      <c r="R4195" s="4">
        <v>88.85</v>
      </c>
      <c r="S4195">
        <v>0</v>
      </c>
      <c r="T4195">
        <v>1</v>
      </c>
    </row>
    <row r="4196" spans="1:20" ht="16.5" x14ac:dyDescent="0.3">
      <c r="A4196" t="s">
        <v>4250</v>
      </c>
      <c r="B4196" s="1">
        <v>45876</v>
      </c>
      <c r="C4196">
        <v>2025</v>
      </c>
      <c r="D4196" t="s">
        <v>1261</v>
      </c>
      <c r="E4196" t="s">
        <v>1454</v>
      </c>
      <c r="F4196" t="s">
        <v>38</v>
      </c>
      <c r="G4196" t="s">
        <v>39</v>
      </c>
      <c r="H4196" t="s">
        <v>25</v>
      </c>
      <c r="I4196" t="s">
        <v>31</v>
      </c>
      <c r="J4196" t="s">
        <v>27</v>
      </c>
      <c r="K4196" t="s">
        <v>32</v>
      </c>
      <c r="L4196" s="2">
        <v>7.1</v>
      </c>
      <c r="M4196" s="3">
        <v>1005</v>
      </c>
      <c r="N4196">
        <v>6</v>
      </c>
      <c r="O4196">
        <v>5</v>
      </c>
      <c r="P4196">
        <v>1</v>
      </c>
      <c r="Q4196">
        <v>0</v>
      </c>
      <c r="R4196" s="4">
        <v>21.45</v>
      </c>
      <c r="S4196">
        <v>0</v>
      </c>
      <c r="T4196">
        <v>1</v>
      </c>
    </row>
    <row r="4197" spans="1:20" ht="16.5" x14ac:dyDescent="0.3">
      <c r="A4197" t="s">
        <v>4251</v>
      </c>
      <c r="B4197" s="1">
        <v>45876</v>
      </c>
      <c r="C4197">
        <v>2025</v>
      </c>
      <c r="D4197" t="s">
        <v>1261</v>
      </c>
      <c r="E4197" t="s">
        <v>1454</v>
      </c>
      <c r="F4197" t="s">
        <v>57</v>
      </c>
      <c r="G4197" t="s">
        <v>35</v>
      </c>
      <c r="H4197" t="s">
        <v>43</v>
      </c>
      <c r="I4197" t="s">
        <v>26</v>
      </c>
      <c r="J4197" t="s">
        <v>27</v>
      </c>
      <c r="K4197" t="s">
        <v>32</v>
      </c>
      <c r="L4197" s="2">
        <v>13.5</v>
      </c>
      <c r="M4197" s="3">
        <v>1068</v>
      </c>
      <c r="N4197">
        <v>5</v>
      </c>
      <c r="O4197">
        <v>4</v>
      </c>
      <c r="P4197">
        <v>1</v>
      </c>
      <c r="Q4197">
        <v>0</v>
      </c>
      <c r="R4197" s="4">
        <v>24.27</v>
      </c>
      <c r="S4197">
        <v>0</v>
      </c>
      <c r="T4197">
        <v>1</v>
      </c>
    </row>
    <row r="4198" spans="1:20" ht="16.5" x14ac:dyDescent="0.3">
      <c r="A4198" t="s">
        <v>4252</v>
      </c>
      <c r="B4198" s="1">
        <v>45876</v>
      </c>
      <c r="C4198">
        <v>2025</v>
      </c>
      <c r="D4198" t="s">
        <v>1261</v>
      </c>
      <c r="E4198" t="s">
        <v>1454</v>
      </c>
      <c r="F4198" t="s">
        <v>38</v>
      </c>
      <c r="G4198" t="s">
        <v>39</v>
      </c>
      <c r="H4198" t="s">
        <v>36</v>
      </c>
      <c r="I4198" t="s">
        <v>26</v>
      </c>
      <c r="J4198" t="s">
        <v>27</v>
      </c>
      <c r="K4198" t="s">
        <v>28</v>
      </c>
      <c r="L4198" s="2">
        <v>84.2</v>
      </c>
      <c r="M4198" s="3">
        <v>251</v>
      </c>
      <c r="N4198">
        <v>3</v>
      </c>
      <c r="O4198">
        <v>3</v>
      </c>
      <c r="P4198">
        <v>1</v>
      </c>
      <c r="Q4198">
        <v>0</v>
      </c>
      <c r="R4198" s="4">
        <v>61.59</v>
      </c>
      <c r="S4198">
        <v>0</v>
      </c>
      <c r="T4198">
        <v>1</v>
      </c>
    </row>
    <row r="4199" spans="1:20" ht="16.5" x14ac:dyDescent="0.3">
      <c r="A4199" t="s">
        <v>4253</v>
      </c>
      <c r="B4199" s="1">
        <v>45876</v>
      </c>
      <c r="C4199">
        <v>2025</v>
      </c>
      <c r="D4199" t="s">
        <v>1261</v>
      </c>
      <c r="E4199" t="s">
        <v>1454</v>
      </c>
      <c r="F4199" t="s">
        <v>30</v>
      </c>
      <c r="G4199" t="s">
        <v>35</v>
      </c>
      <c r="H4199" t="s">
        <v>51</v>
      </c>
      <c r="I4199" t="s">
        <v>31</v>
      </c>
      <c r="J4199" t="s">
        <v>27</v>
      </c>
      <c r="K4199" t="s">
        <v>28</v>
      </c>
      <c r="L4199" s="2">
        <v>50.2</v>
      </c>
      <c r="M4199" s="3">
        <v>1119</v>
      </c>
      <c r="N4199">
        <v>7</v>
      </c>
      <c r="O4199">
        <v>7</v>
      </c>
      <c r="P4199">
        <v>1</v>
      </c>
      <c r="Q4199">
        <v>0</v>
      </c>
      <c r="R4199" s="4">
        <v>36.92</v>
      </c>
      <c r="S4199">
        <v>0</v>
      </c>
      <c r="T4199">
        <v>1</v>
      </c>
    </row>
    <row r="4200" spans="1:20" ht="16.5" x14ac:dyDescent="0.3">
      <c r="A4200" t="s">
        <v>4254</v>
      </c>
      <c r="B4200" s="1">
        <v>45876</v>
      </c>
      <c r="C4200">
        <v>2025</v>
      </c>
      <c r="D4200" t="s">
        <v>1261</v>
      </c>
      <c r="E4200" t="s">
        <v>1454</v>
      </c>
      <c r="F4200" t="s">
        <v>57</v>
      </c>
      <c r="G4200" t="s">
        <v>39</v>
      </c>
      <c r="H4200" t="s">
        <v>48</v>
      </c>
      <c r="I4200" t="s">
        <v>26</v>
      </c>
      <c r="J4200" t="s">
        <v>27</v>
      </c>
      <c r="K4200" t="s">
        <v>32</v>
      </c>
      <c r="L4200" s="2">
        <v>13.5</v>
      </c>
      <c r="M4200" s="3">
        <v>462</v>
      </c>
      <c r="N4200">
        <v>4</v>
      </c>
      <c r="O4200">
        <v>4</v>
      </c>
      <c r="P4200">
        <v>1</v>
      </c>
      <c r="Q4200">
        <v>0</v>
      </c>
      <c r="R4200" s="4">
        <v>19.25</v>
      </c>
      <c r="S4200">
        <v>0</v>
      </c>
      <c r="T4200">
        <v>1</v>
      </c>
    </row>
    <row r="4201" spans="1:20" ht="16.5" x14ac:dyDescent="0.3">
      <c r="A4201" t="s">
        <v>4255</v>
      </c>
      <c r="B4201" s="1">
        <v>45876</v>
      </c>
      <c r="C4201">
        <v>2025</v>
      </c>
      <c r="D4201" t="s">
        <v>1261</v>
      </c>
      <c r="E4201" t="s">
        <v>1454</v>
      </c>
      <c r="F4201" t="s">
        <v>23</v>
      </c>
      <c r="G4201" t="s">
        <v>39</v>
      </c>
      <c r="H4201" t="s">
        <v>36</v>
      </c>
      <c r="I4201" t="s">
        <v>31</v>
      </c>
      <c r="J4201" t="s">
        <v>27</v>
      </c>
      <c r="K4201" t="s">
        <v>32</v>
      </c>
      <c r="L4201" s="2">
        <v>3.6</v>
      </c>
      <c r="M4201" s="3">
        <v>266</v>
      </c>
      <c r="N4201">
        <v>5</v>
      </c>
      <c r="O4201">
        <v>5</v>
      </c>
      <c r="P4201">
        <v>1</v>
      </c>
      <c r="Q4201">
        <v>0</v>
      </c>
      <c r="R4201" s="4">
        <v>7.41</v>
      </c>
      <c r="S4201">
        <v>0</v>
      </c>
      <c r="T4201">
        <v>1</v>
      </c>
    </row>
    <row r="4202" spans="1:20" ht="16.5" x14ac:dyDescent="0.3">
      <c r="A4202" t="s">
        <v>4256</v>
      </c>
      <c r="B4202" s="1">
        <v>45877</v>
      </c>
      <c r="C4202">
        <v>2025</v>
      </c>
      <c r="D4202" t="s">
        <v>1261</v>
      </c>
      <c r="E4202" t="s">
        <v>1454</v>
      </c>
      <c r="F4202" t="s">
        <v>23</v>
      </c>
      <c r="G4202" t="s">
        <v>39</v>
      </c>
      <c r="H4202" t="s">
        <v>43</v>
      </c>
      <c r="I4202" t="s">
        <v>31</v>
      </c>
      <c r="J4202" t="s">
        <v>27</v>
      </c>
      <c r="K4202" t="s">
        <v>28</v>
      </c>
      <c r="L4202" s="2">
        <v>67.900000000000006</v>
      </c>
      <c r="M4202" s="3">
        <v>1033</v>
      </c>
      <c r="N4202">
        <v>7</v>
      </c>
      <c r="O4202">
        <v>7</v>
      </c>
      <c r="P4202">
        <v>1</v>
      </c>
      <c r="Q4202">
        <v>0</v>
      </c>
      <c r="R4202" s="4">
        <v>35.56</v>
      </c>
      <c r="S4202">
        <v>0</v>
      </c>
      <c r="T4202">
        <v>1</v>
      </c>
    </row>
    <row r="4203" spans="1:20" ht="16.5" x14ac:dyDescent="0.3">
      <c r="A4203" t="s">
        <v>4257</v>
      </c>
      <c r="B4203" s="1">
        <v>45877</v>
      </c>
      <c r="C4203">
        <v>2025</v>
      </c>
      <c r="D4203" t="s">
        <v>1261</v>
      </c>
      <c r="E4203" t="s">
        <v>1454</v>
      </c>
      <c r="F4203" t="s">
        <v>23</v>
      </c>
      <c r="G4203" t="s">
        <v>39</v>
      </c>
      <c r="H4203" t="s">
        <v>36</v>
      </c>
      <c r="I4203" t="s">
        <v>26</v>
      </c>
      <c r="J4203" t="s">
        <v>27</v>
      </c>
      <c r="K4203" t="s">
        <v>28</v>
      </c>
      <c r="L4203" s="2">
        <v>170.2</v>
      </c>
      <c r="M4203" s="3">
        <v>235</v>
      </c>
      <c r="N4203">
        <v>3</v>
      </c>
      <c r="O4203">
        <v>2</v>
      </c>
      <c r="P4203">
        <v>1</v>
      </c>
      <c r="Q4203">
        <v>0</v>
      </c>
      <c r="R4203" s="4">
        <v>70.58</v>
      </c>
      <c r="S4203">
        <v>0</v>
      </c>
      <c r="T4203">
        <v>1</v>
      </c>
    </row>
    <row r="4204" spans="1:20" ht="16.5" x14ac:dyDescent="0.3">
      <c r="A4204" t="s">
        <v>4258</v>
      </c>
      <c r="B4204" s="1">
        <v>45877</v>
      </c>
      <c r="C4204">
        <v>2025</v>
      </c>
      <c r="D4204" t="s">
        <v>1261</v>
      </c>
      <c r="E4204" t="s">
        <v>1454</v>
      </c>
      <c r="F4204" t="s">
        <v>34</v>
      </c>
      <c r="G4204" t="s">
        <v>39</v>
      </c>
      <c r="H4204" t="s">
        <v>51</v>
      </c>
      <c r="I4204" t="s">
        <v>26</v>
      </c>
      <c r="J4204" t="s">
        <v>27</v>
      </c>
      <c r="K4204" t="s">
        <v>32</v>
      </c>
      <c r="L4204" s="2">
        <v>2.4</v>
      </c>
      <c r="M4204" s="3">
        <v>926</v>
      </c>
      <c r="N4204">
        <v>5</v>
      </c>
      <c r="O4204">
        <v>4</v>
      </c>
      <c r="P4204">
        <v>1</v>
      </c>
      <c r="Q4204">
        <v>0</v>
      </c>
      <c r="R4204" s="4">
        <v>14.48</v>
      </c>
      <c r="S4204">
        <v>0</v>
      </c>
      <c r="T4204">
        <v>1</v>
      </c>
    </row>
    <row r="4205" spans="1:20" ht="16.5" x14ac:dyDescent="0.3">
      <c r="A4205" t="s">
        <v>4259</v>
      </c>
      <c r="B4205" s="1">
        <v>45877</v>
      </c>
      <c r="C4205">
        <v>2025</v>
      </c>
      <c r="D4205" t="s">
        <v>1261</v>
      </c>
      <c r="E4205" t="s">
        <v>1454</v>
      </c>
      <c r="F4205" t="s">
        <v>38</v>
      </c>
      <c r="G4205" t="s">
        <v>35</v>
      </c>
      <c r="H4205" t="s">
        <v>25</v>
      </c>
      <c r="I4205" t="s">
        <v>26</v>
      </c>
      <c r="J4205" t="s">
        <v>27</v>
      </c>
      <c r="K4205" t="s">
        <v>32</v>
      </c>
      <c r="L4205" s="2">
        <v>4.4000000000000004</v>
      </c>
      <c r="M4205" s="3">
        <v>857</v>
      </c>
      <c r="N4205">
        <v>4</v>
      </c>
      <c r="O4205">
        <v>3</v>
      </c>
      <c r="P4205">
        <v>1</v>
      </c>
      <c r="Q4205">
        <v>0</v>
      </c>
      <c r="R4205" s="4">
        <v>22.21</v>
      </c>
      <c r="S4205">
        <v>0</v>
      </c>
      <c r="T4205">
        <v>1</v>
      </c>
    </row>
    <row r="4206" spans="1:20" ht="16.5" x14ac:dyDescent="0.3">
      <c r="A4206" t="s">
        <v>4260</v>
      </c>
      <c r="B4206" s="1">
        <v>45877</v>
      </c>
      <c r="C4206">
        <v>2025</v>
      </c>
      <c r="D4206" t="s">
        <v>1261</v>
      </c>
      <c r="E4206" t="s">
        <v>1454</v>
      </c>
      <c r="F4206" t="s">
        <v>57</v>
      </c>
      <c r="G4206" t="s">
        <v>24</v>
      </c>
      <c r="H4206" t="s">
        <v>43</v>
      </c>
      <c r="I4206" t="s">
        <v>31</v>
      </c>
      <c r="J4206" t="s">
        <v>27</v>
      </c>
      <c r="K4206" t="s">
        <v>32</v>
      </c>
      <c r="L4206" s="2">
        <v>15.3</v>
      </c>
      <c r="M4206" s="3">
        <v>1002</v>
      </c>
      <c r="N4206">
        <v>7</v>
      </c>
      <c r="O4206">
        <v>7</v>
      </c>
      <c r="P4206">
        <v>1</v>
      </c>
      <c r="Q4206">
        <v>0</v>
      </c>
      <c r="R4206" s="4">
        <v>19.149999999999999</v>
      </c>
      <c r="S4206">
        <v>1</v>
      </c>
      <c r="T4206">
        <v>1</v>
      </c>
    </row>
    <row r="4207" spans="1:20" ht="16.5" x14ac:dyDescent="0.3">
      <c r="A4207" t="s">
        <v>4261</v>
      </c>
      <c r="B4207" s="1">
        <v>45878</v>
      </c>
      <c r="C4207">
        <v>2025</v>
      </c>
      <c r="D4207" t="s">
        <v>1261</v>
      </c>
      <c r="E4207" t="s">
        <v>1454</v>
      </c>
      <c r="F4207" t="s">
        <v>57</v>
      </c>
      <c r="G4207" t="s">
        <v>39</v>
      </c>
      <c r="H4207" t="s">
        <v>36</v>
      </c>
      <c r="I4207" t="s">
        <v>26</v>
      </c>
      <c r="J4207" t="s">
        <v>27</v>
      </c>
      <c r="K4207" t="s">
        <v>28</v>
      </c>
      <c r="L4207" s="2">
        <v>68.099999999999994</v>
      </c>
      <c r="M4207" s="3">
        <v>273</v>
      </c>
      <c r="N4207">
        <v>3</v>
      </c>
      <c r="O4207">
        <v>3</v>
      </c>
      <c r="P4207">
        <v>1</v>
      </c>
      <c r="Q4207">
        <v>0</v>
      </c>
      <c r="R4207" s="4">
        <v>41.61</v>
      </c>
      <c r="S4207">
        <v>0</v>
      </c>
      <c r="T4207">
        <v>1</v>
      </c>
    </row>
    <row r="4208" spans="1:20" ht="16.5" x14ac:dyDescent="0.3">
      <c r="A4208" t="s">
        <v>4262</v>
      </c>
      <c r="B4208" s="1">
        <v>45878</v>
      </c>
      <c r="C4208">
        <v>2025</v>
      </c>
      <c r="D4208" t="s">
        <v>1261</v>
      </c>
      <c r="E4208" t="s">
        <v>1454</v>
      </c>
      <c r="F4208" t="s">
        <v>57</v>
      </c>
      <c r="G4208" t="s">
        <v>35</v>
      </c>
      <c r="H4208" t="s">
        <v>36</v>
      </c>
      <c r="I4208" t="s">
        <v>40</v>
      </c>
      <c r="J4208" t="s">
        <v>27</v>
      </c>
      <c r="K4208" t="s">
        <v>28</v>
      </c>
      <c r="L4208" s="2">
        <v>54.3</v>
      </c>
      <c r="M4208" s="3">
        <v>278</v>
      </c>
      <c r="N4208">
        <v>1</v>
      </c>
      <c r="O4208">
        <v>1</v>
      </c>
      <c r="P4208">
        <v>1</v>
      </c>
      <c r="Q4208">
        <v>0</v>
      </c>
      <c r="R4208" s="4">
        <v>68.08</v>
      </c>
      <c r="S4208">
        <v>0</v>
      </c>
      <c r="T4208">
        <v>1</v>
      </c>
    </row>
    <row r="4209" spans="1:20" ht="16.5" x14ac:dyDescent="0.3">
      <c r="A4209" t="s">
        <v>4263</v>
      </c>
      <c r="B4209" s="1">
        <v>45878</v>
      </c>
      <c r="C4209">
        <v>2025</v>
      </c>
      <c r="D4209" t="s">
        <v>1261</v>
      </c>
      <c r="E4209" t="s">
        <v>1454</v>
      </c>
      <c r="F4209" t="s">
        <v>38</v>
      </c>
      <c r="G4209" t="s">
        <v>39</v>
      </c>
      <c r="H4209" t="s">
        <v>48</v>
      </c>
      <c r="I4209" t="s">
        <v>31</v>
      </c>
      <c r="J4209" t="s">
        <v>27</v>
      </c>
      <c r="K4209" t="s">
        <v>32</v>
      </c>
      <c r="L4209" s="2">
        <v>3</v>
      </c>
      <c r="M4209" s="3">
        <v>616</v>
      </c>
      <c r="N4209">
        <v>6</v>
      </c>
      <c r="O4209">
        <v>8</v>
      </c>
      <c r="P4209">
        <v>0</v>
      </c>
      <c r="Q4209">
        <v>2</v>
      </c>
      <c r="R4209" s="4">
        <v>12.72</v>
      </c>
      <c r="S4209">
        <v>0</v>
      </c>
      <c r="T4209">
        <v>1</v>
      </c>
    </row>
    <row r="4210" spans="1:20" ht="16.5" x14ac:dyDescent="0.3">
      <c r="A4210" t="s">
        <v>4264</v>
      </c>
      <c r="B4210" s="1">
        <v>45879</v>
      </c>
      <c r="C4210">
        <v>2025</v>
      </c>
      <c r="D4210" t="s">
        <v>1261</v>
      </c>
      <c r="E4210" t="s">
        <v>1454</v>
      </c>
      <c r="F4210" t="s">
        <v>23</v>
      </c>
      <c r="G4210" t="s">
        <v>35</v>
      </c>
      <c r="H4210" t="s">
        <v>36</v>
      </c>
      <c r="I4210" t="s">
        <v>26</v>
      </c>
      <c r="J4210" t="s">
        <v>27</v>
      </c>
      <c r="K4210" t="s">
        <v>28</v>
      </c>
      <c r="L4210" s="2">
        <v>230.5</v>
      </c>
      <c r="M4210" s="3">
        <v>265</v>
      </c>
      <c r="N4210">
        <v>3</v>
      </c>
      <c r="O4210">
        <v>2</v>
      </c>
      <c r="P4210">
        <v>1</v>
      </c>
      <c r="Q4210">
        <v>0</v>
      </c>
      <c r="R4210" s="4">
        <v>106.55</v>
      </c>
      <c r="S4210">
        <v>0</v>
      </c>
      <c r="T4210">
        <v>1</v>
      </c>
    </row>
    <row r="4211" spans="1:20" ht="16.5" x14ac:dyDescent="0.3">
      <c r="A4211" t="s">
        <v>4265</v>
      </c>
      <c r="B4211" s="1">
        <v>45879</v>
      </c>
      <c r="C4211">
        <v>2025</v>
      </c>
      <c r="D4211" t="s">
        <v>1261</v>
      </c>
      <c r="E4211" t="s">
        <v>1454</v>
      </c>
      <c r="F4211" t="s">
        <v>30</v>
      </c>
      <c r="G4211" t="s">
        <v>35</v>
      </c>
      <c r="H4211" t="s">
        <v>43</v>
      </c>
      <c r="I4211" t="s">
        <v>40</v>
      </c>
      <c r="J4211" t="s">
        <v>41</v>
      </c>
      <c r="K4211" t="s">
        <v>32</v>
      </c>
      <c r="L4211" s="2">
        <v>1.9</v>
      </c>
      <c r="M4211" s="3">
        <v>1259</v>
      </c>
      <c r="N4211">
        <v>3</v>
      </c>
      <c r="O4211">
        <v>7</v>
      </c>
      <c r="P4211">
        <v>0</v>
      </c>
      <c r="Q4211">
        <v>4</v>
      </c>
      <c r="R4211" s="4">
        <v>74</v>
      </c>
      <c r="S4211">
        <v>0</v>
      </c>
      <c r="T4211">
        <v>1</v>
      </c>
    </row>
    <row r="4212" spans="1:20" ht="16.5" x14ac:dyDescent="0.3">
      <c r="A4212" t="s">
        <v>4266</v>
      </c>
      <c r="B4212" s="1">
        <v>45879</v>
      </c>
      <c r="C4212">
        <v>2025</v>
      </c>
      <c r="D4212" t="s">
        <v>1261</v>
      </c>
      <c r="E4212" t="s">
        <v>1454</v>
      </c>
      <c r="F4212" t="s">
        <v>23</v>
      </c>
      <c r="G4212" t="s">
        <v>39</v>
      </c>
      <c r="H4212" t="s">
        <v>43</v>
      </c>
      <c r="I4212" t="s">
        <v>26</v>
      </c>
      <c r="J4212" t="s">
        <v>27</v>
      </c>
      <c r="K4212" t="s">
        <v>32</v>
      </c>
      <c r="L4212" s="2">
        <v>2.4</v>
      </c>
      <c r="M4212" s="3">
        <v>1291</v>
      </c>
      <c r="N4212">
        <v>5</v>
      </c>
      <c r="O4212">
        <v>4</v>
      </c>
      <c r="P4212">
        <v>1</v>
      </c>
      <c r="Q4212">
        <v>0</v>
      </c>
      <c r="R4212" s="4">
        <v>22.25</v>
      </c>
      <c r="S4212">
        <v>0</v>
      </c>
      <c r="T4212">
        <v>1</v>
      </c>
    </row>
    <row r="4213" spans="1:20" ht="16.5" x14ac:dyDescent="0.3">
      <c r="A4213" t="s">
        <v>4267</v>
      </c>
      <c r="B4213" s="1">
        <v>45879</v>
      </c>
      <c r="C4213">
        <v>2025</v>
      </c>
      <c r="D4213" t="s">
        <v>1261</v>
      </c>
      <c r="E4213" t="s">
        <v>1454</v>
      </c>
      <c r="F4213" t="s">
        <v>57</v>
      </c>
      <c r="G4213" t="s">
        <v>35</v>
      </c>
      <c r="H4213" t="s">
        <v>48</v>
      </c>
      <c r="I4213" t="s">
        <v>26</v>
      </c>
      <c r="J4213" t="s">
        <v>27</v>
      </c>
      <c r="K4213" t="s">
        <v>32</v>
      </c>
      <c r="L4213" s="2">
        <v>3.4</v>
      </c>
      <c r="M4213" s="3">
        <v>485</v>
      </c>
      <c r="N4213">
        <v>4</v>
      </c>
      <c r="O4213">
        <v>4</v>
      </c>
      <c r="P4213">
        <v>1</v>
      </c>
      <c r="Q4213">
        <v>0</v>
      </c>
      <c r="R4213" s="4">
        <v>14.94</v>
      </c>
      <c r="S4213">
        <v>0</v>
      </c>
      <c r="T4213">
        <v>1</v>
      </c>
    </row>
    <row r="4214" spans="1:20" ht="16.5" x14ac:dyDescent="0.3">
      <c r="A4214" t="s">
        <v>4268</v>
      </c>
      <c r="B4214" s="1">
        <v>45879</v>
      </c>
      <c r="C4214">
        <v>2025</v>
      </c>
      <c r="D4214" t="s">
        <v>1261</v>
      </c>
      <c r="E4214" t="s">
        <v>1454</v>
      </c>
      <c r="F4214" t="s">
        <v>34</v>
      </c>
      <c r="G4214" t="s">
        <v>35</v>
      </c>
      <c r="H4214" t="s">
        <v>36</v>
      </c>
      <c r="I4214" t="s">
        <v>26</v>
      </c>
      <c r="J4214" t="s">
        <v>27</v>
      </c>
      <c r="K4214" t="s">
        <v>32</v>
      </c>
      <c r="L4214" s="2">
        <v>1.7</v>
      </c>
      <c r="M4214" s="3">
        <v>265</v>
      </c>
      <c r="N4214">
        <v>3</v>
      </c>
      <c r="O4214">
        <v>5</v>
      </c>
      <c r="P4214">
        <v>0</v>
      </c>
      <c r="Q4214">
        <v>2</v>
      </c>
      <c r="R4214" s="4">
        <v>10.33</v>
      </c>
      <c r="S4214">
        <v>1</v>
      </c>
      <c r="T4214">
        <v>1</v>
      </c>
    </row>
    <row r="4215" spans="1:20" ht="16.5" x14ac:dyDescent="0.3">
      <c r="A4215" t="s">
        <v>4269</v>
      </c>
      <c r="B4215" s="1">
        <v>45880</v>
      </c>
      <c r="C4215">
        <v>2025</v>
      </c>
      <c r="D4215" t="s">
        <v>1261</v>
      </c>
      <c r="E4215" t="s">
        <v>1454</v>
      </c>
      <c r="F4215" t="s">
        <v>34</v>
      </c>
      <c r="G4215" t="s">
        <v>35</v>
      </c>
      <c r="H4215" t="s">
        <v>25</v>
      </c>
      <c r="I4215" t="s">
        <v>40</v>
      </c>
      <c r="J4215" t="s">
        <v>41</v>
      </c>
      <c r="K4215" t="s">
        <v>28</v>
      </c>
      <c r="L4215" s="2">
        <v>155.6</v>
      </c>
      <c r="M4215" s="3">
        <v>1003</v>
      </c>
      <c r="N4215">
        <v>2</v>
      </c>
      <c r="O4215">
        <v>2</v>
      </c>
      <c r="P4215">
        <v>1</v>
      </c>
      <c r="Q4215">
        <v>0</v>
      </c>
      <c r="R4215" s="4">
        <v>224.24</v>
      </c>
      <c r="S4215">
        <v>0</v>
      </c>
      <c r="T4215">
        <v>1</v>
      </c>
    </row>
    <row r="4216" spans="1:20" ht="16.5" x14ac:dyDescent="0.3">
      <c r="A4216" t="s">
        <v>4270</v>
      </c>
      <c r="B4216" s="1">
        <v>45880</v>
      </c>
      <c r="C4216">
        <v>2025</v>
      </c>
      <c r="D4216" t="s">
        <v>1261</v>
      </c>
      <c r="E4216" t="s">
        <v>1454</v>
      </c>
      <c r="F4216" t="s">
        <v>34</v>
      </c>
      <c r="G4216" t="s">
        <v>24</v>
      </c>
      <c r="H4216" t="s">
        <v>25</v>
      </c>
      <c r="I4216" t="s">
        <v>40</v>
      </c>
      <c r="J4216" t="s">
        <v>41</v>
      </c>
      <c r="K4216" t="s">
        <v>28</v>
      </c>
      <c r="L4216" s="2">
        <v>196.6</v>
      </c>
      <c r="M4216" s="3">
        <v>793</v>
      </c>
      <c r="N4216">
        <v>2</v>
      </c>
      <c r="O4216">
        <v>2</v>
      </c>
      <c r="P4216">
        <v>1</v>
      </c>
      <c r="Q4216">
        <v>0</v>
      </c>
      <c r="R4216" s="4">
        <v>229.43</v>
      </c>
      <c r="S4216">
        <v>0</v>
      </c>
      <c r="T4216">
        <v>1</v>
      </c>
    </row>
    <row r="4217" spans="1:20" ht="16.5" x14ac:dyDescent="0.3">
      <c r="A4217" t="s">
        <v>4271</v>
      </c>
      <c r="B4217" s="1">
        <v>45880</v>
      </c>
      <c r="C4217">
        <v>2025</v>
      </c>
      <c r="D4217" t="s">
        <v>1261</v>
      </c>
      <c r="E4217" t="s">
        <v>1454</v>
      </c>
      <c r="F4217" t="s">
        <v>57</v>
      </c>
      <c r="G4217" t="s">
        <v>39</v>
      </c>
      <c r="H4217" t="s">
        <v>25</v>
      </c>
      <c r="I4217" t="s">
        <v>26</v>
      </c>
      <c r="J4217" t="s">
        <v>27</v>
      </c>
      <c r="K4217" t="s">
        <v>32</v>
      </c>
      <c r="L4217" s="2">
        <v>4.4000000000000004</v>
      </c>
      <c r="M4217" s="3">
        <v>975</v>
      </c>
      <c r="N4217">
        <v>4</v>
      </c>
      <c r="O4217">
        <v>4</v>
      </c>
      <c r="P4217">
        <v>1</v>
      </c>
      <c r="Q4217">
        <v>0</v>
      </c>
      <c r="R4217" s="4">
        <v>21.65</v>
      </c>
      <c r="S4217">
        <v>0</v>
      </c>
      <c r="T4217">
        <v>1</v>
      </c>
    </row>
    <row r="4218" spans="1:20" ht="16.5" x14ac:dyDescent="0.3">
      <c r="A4218" t="s">
        <v>4272</v>
      </c>
      <c r="B4218" s="1">
        <v>45880</v>
      </c>
      <c r="C4218">
        <v>2025</v>
      </c>
      <c r="D4218" t="s">
        <v>1261</v>
      </c>
      <c r="E4218" t="s">
        <v>1454</v>
      </c>
      <c r="F4218" t="s">
        <v>34</v>
      </c>
      <c r="G4218" t="s">
        <v>35</v>
      </c>
      <c r="H4218" t="s">
        <v>36</v>
      </c>
      <c r="I4218" t="s">
        <v>26</v>
      </c>
      <c r="J4218" t="s">
        <v>27</v>
      </c>
      <c r="K4218" t="s">
        <v>32</v>
      </c>
      <c r="L4218" s="2">
        <v>9.6999999999999993</v>
      </c>
      <c r="M4218" s="3">
        <v>337</v>
      </c>
      <c r="N4218">
        <v>3</v>
      </c>
      <c r="O4218">
        <v>2</v>
      </c>
      <c r="P4218">
        <v>1</v>
      </c>
      <c r="Q4218">
        <v>0</v>
      </c>
      <c r="R4218" s="4">
        <v>13.86</v>
      </c>
      <c r="S4218">
        <v>0</v>
      </c>
      <c r="T4218">
        <v>1</v>
      </c>
    </row>
    <row r="4219" spans="1:20" ht="16.5" x14ac:dyDescent="0.3">
      <c r="A4219" t="s">
        <v>4273</v>
      </c>
      <c r="B4219" s="1">
        <v>45880</v>
      </c>
      <c r="C4219">
        <v>2025</v>
      </c>
      <c r="D4219" t="s">
        <v>1261</v>
      </c>
      <c r="E4219" t="s">
        <v>1454</v>
      </c>
      <c r="F4219" t="s">
        <v>30</v>
      </c>
      <c r="G4219" t="s">
        <v>35</v>
      </c>
      <c r="H4219" t="s">
        <v>25</v>
      </c>
      <c r="I4219" t="s">
        <v>26</v>
      </c>
      <c r="J4219" t="s">
        <v>27</v>
      </c>
      <c r="K4219" t="s">
        <v>32</v>
      </c>
      <c r="L4219" s="2">
        <v>17</v>
      </c>
      <c r="M4219" s="3">
        <v>784</v>
      </c>
      <c r="N4219">
        <v>4</v>
      </c>
      <c r="O4219">
        <v>3</v>
      </c>
      <c r="P4219">
        <v>1</v>
      </c>
      <c r="Q4219">
        <v>0</v>
      </c>
      <c r="R4219" s="4">
        <v>27.79</v>
      </c>
      <c r="S4219">
        <v>0</v>
      </c>
      <c r="T4219">
        <v>1</v>
      </c>
    </row>
    <row r="4220" spans="1:20" ht="16.5" x14ac:dyDescent="0.3">
      <c r="A4220" t="s">
        <v>4274</v>
      </c>
      <c r="B4220" s="1">
        <v>45880</v>
      </c>
      <c r="C4220">
        <v>2025</v>
      </c>
      <c r="D4220" t="s">
        <v>1261</v>
      </c>
      <c r="E4220" t="s">
        <v>1454</v>
      </c>
      <c r="F4220" t="s">
        <v>38</v>
      </c>
      <c r="G4220" t="s">
        <v>24</v>
      </c>
      <c r="H4220" t="s">
        <v>51</v>
      </c>
      <c r="I4220" t="s">
        <v>26</v>
      </c>
      <c r="J4220" t="s">
        <v>27</v>
      </c>
      <c r="K4220" t="s">
        <v>32</v>
      </c>
      <c r="L4220" s="2">
        <v>4.0999999999999996</v>
      </c>
      <c r="M4220" s="3">
        <v>1044</v>
      </c>
      <c r="N4220">
        <v>5</v>
      </c>
      <c r="O4220">
        <v>5</v>
      </c>
      <c r="P4220">
        <v>1</v>
      </c>
      <c r="Q4220">
        <v>0</v>
      </c>
      <c r="R4220" s="4">
        <v>27.24</v>
      </c>
      <c r="S4220">
        <v>0</v>
      </c>
      <c r="T4220">
        <v>1</v>
      </c>
    </row>
    <row r="4221" spans="1:20" ht="16.5" x14ac:dyDescent="0.3">
      <c r="A4221" t="s">
        <v>4275</v>
      </c>
      <c r="B4221" s="1">
        <v>45880</v>
      </c>
      <c r="C4221">
        <v>2025</v>
      </c>
      <c r="D4221" t="s">
        <v>1261</v>
      </c>
      <c r="E4221" t="s">
        <v>1454</v>
      </c>
      <c r="F4221" t="s">
        <v>34</v>
      </c>
      <c r="G4221" t="s">
        <v>39</v>
      </c>
      <c r="H4221" t="s">
        <v>25</v>
      </c>
      <c r="I4221" t="s">
        <v>26</v>
      </c>
      <c r="J4221" t="s">
        <v>27</v>
      </c>
      <c r="K4221" t="s">
        <v>28</v>
      </c>
      <c r="L4221" s="2">
        <v>40.4</v>
      </c>
      <c r="M4221" s="3">
        <v>1027</v>
      </c>
      <c r="N4221">
        <v>4</v>
      </c>
      <c r="O4221">
        <v>4</v>
      </c>
      <c r="P4221">
        <v>1</v>
      </c>
      <c r="Q4221">
        <v>0</v>
      </c>
      <c r="R4221" s="4">
        <v>33.090000000000003</v>
      </c>
      <c r="S4221">
        <v>0</v>
      </c>
      <c r="T4221">
        <v>1</v>
      </c>
    </row>
    <row r="4222" spans="1:20" ht="16.5" x14ac:dyDescent="0.3">
      <c r="A4222" t="s">
        <v>4276</v>
      </c>
      <c r="B4222" s="1">
        <v>45880</v>
      </c>
      <c r="C4222">
        <v>2025</v>
      </c>
      <c r="D4222" t="s">
        <v>1261</v>
      </c>
      <c r="E4222" t="s">
        <v>1454</v>
      </c>
      <c r="F4222" t="s">
        <v>38</v>
      </c>
      <c r="G4222" t="s">
        <v>39</v>
      </c>
      <c r="H4222" t="s">
        <v>25</v>
      </c>
      <c r="I4222" t="s">
        <v>26</v>
      </c>
      <c r="J4222" t="s">
        <v>27</v>
      </c>
      <c r="K4222" t="s">
        <v>32</v>
      </c>
      <c r="L4222" s="2">
        <v>5.4</v>
      </c>
      <c r="M4222" s="3">
        <v>1035</v>
      </c>
      <c r="N4222">
        <v>4</v>
      </c>
      <c r="O4222">
        <v>3</v>
      </c>
      <c r="P4222">
        <v>1</v>
      </c>
      <c r="Q4222">
        <v>0</v>
      </c>
      <c r="R4222" s="4">
        <v>27.5</v>
      </c>
      <c r="S4222">
        <v>0</v>
      </c>
      <c r="T4222">
        <v>1</v>
      </c>
    </row>
    <row r="4223" spans="1:20" ht="16.5" x14ac:dyDescent="0.3">
      <c r="A4223" t="s">
        <v>4277</v>
      </c>
      <c r="B4223" s="1">
        <v>45880</v>
      </c>
      <c r="C4223">
        <v>2025</v>
      </c>
      <c r="D4223" t="s">
        <v>1261</v>
      </c>
      <c r="E4223" t="s">
        <v>1454</v>
      </c>
      <c r="F4223" t="s">
        <v>30</v>
      </c>
      <c r="G4223" t="s">
        <v>24</v>
      </c>
      <c r="H4223" t="s">
        <v>25</v>
      </c>
      <c r="I4223" t="s">
        <v>26</v>
      </c>
      <c r="J4223" t="s">
        <v>27</v>
      </c>
      <c r="K4223" t="s">
        <v>28</v>
      </c>
      <c r="L4223" s="2">
        <v>54.2</v>
      </c>
      <c r="M4223" s="3">
        <v>893</v>
      </c>
      <c r="N4223">
        <v>4</v>
      </c>
      <c r="O4223">
        <v>4</v>
      </c>
      <c r="P4223">
        <v>1</v>
      </c>
      <c r="Q4223">
        <v>0</v>
      </c>
      <c r="R4223" s="4">
        <v>47.87</v>
      </c>
      <c r="S4223">
        <v>0</v>
      </c>
      <c r="T4223">
        <v>1</v>
      </c>
    </row>
    <row r="4224" spans="1:20" ht="16.5" x14ac:dyDescent="0.3">
      <c r="A4224" t="s">
        <v>4278</v>
      </c>
      <c r="B4224" s="1">
        <v>45880</v>
      </c>
      <c r="C4224">
        <v>2025</v>
      </c>
      <c r="D4224" t="s">
        <v>1261</v>
      </c>
      <c r="E4224" t="s">
        <v>1454</v>
      </c>
      <c r="F4224" t="s">
        <v>30</v>
      </c>
      <c r="G4224" t="s">
        <v>24</v>
      </c>
      <c r="H4224" t="s">
        <v>48</v>
      </c>
      <c r="I4224" t="s">
        <v>26</v>
      </c>
      <c r="J4224" t="s">
        <v>27</v>
      </c>
      <c r="K4224" t="s">
        <v>32</v>
      </c>
      <c r="L4224" s="2">
        <v>9</v>
      </c>
      <c r="M4224" s="3">
        <v>461</v>
      </c>
      <c r="N4224">
        <v>4</v>
      </c>
      <c r="O4224">
        <v>3</v>
      </c>
      <c r="P4224">
        <v>1</v>
      </c>
      <c r="Q4224">
        <v>0</v>
      </c>
      <c r="R4224" s="4">
        <v>18.420000000000002</v>
      </c>
      <c r="S4224">
        <v>0</v>
      </c>
      <c r="T4224">
        <v>1</v>
      </c>
    </row>
    <row r="4225" spans="1:20" ht="16.5" x14ac:dyDescent="0.3">
      <c r="A4225" t="s">
        <v>4279</v>
      </c>
      <c r="B4225" s="1">
        <v>45880</v>
      </c>
      <c r="C4225">
        <v>2025</v>
      </c>
      <c r="D4225" t="s">
        <v>1261</v>
      </c>
      <c r="E4225" t="s">
        <v>1454</v>
      </c>
      <c r="F4225" t="s">
        <v>34</v>
      </c>
      <c r="G4225" t="s">
        <v>39</v>
      </c>
      <c r="H4225" t="s">
        <v>43</v>
      </c>
      <c r="I4225" t="s">
        <v>26</v>
      </c>
      <c r="J4225" t="s">
        <v>27</v>
      </c>
      <c r="K4225" t="s">
        <v>28</v>
      </c>
      <c r="L4225" s="2">
        <v>185</v>
      </c>
      <c r="M4225" s="3">
        <v>1284</v>
      </c>
      <c r="N4225">
        <v>5</v>
      </c>
      <c r="O4225">
        <v>6</v>
      </c>
      <c r="P4225">
        <v>0</v>
      </c>
      <c r="Q4225">
        <v>1</v>
      </c>
      <c r="R4225" s="4">
        <v>92.68</v>
      </c>
      <c r="S4225">
        <v>0</v>
      </c>
      <c r="T4225">
        <v>1</v>
      </c>
    </row>
    <row r="4226" spans="1:20" ht="16.5" x14ac:dyDescent="0.3">
      <c r="A4226" t="s">
        <v>4280</v>
      </c>
      <c r="B4226" s="1">
        <v>45881</v>
      </c>
      <c r="C4226">
        <v>2025</v>
      </c>
      <c r="D4226" t="s">
        <v>1261</v>
      </c>
      <c r="E4226" t="s">
        <v>1454</v>
      </c>
      <c r="F4226" t="s">
        <v>57</v>
      </c>
      <c r="G4226" t="s">
        <v>39</v>
      </c>
      <c r="H4226" t="s">
        <v>48</v>
      </c>
      <c r="I4226" t="s">
        <v>40</v>
      </c>
      <c r="J4226" t="s">
        <v>27</v>
      </c>
      <c r="K4226" t="s">
        <v>32</v>
      </c>
      <c r="L4226" s="2">
        <v>5.6</v>
      </c>
      <c r="M4226" s="3">
        <v>469</v>
      </c>
      <c r="N4226">
        <v>2</v>
      </c>
      <c r="O4226">
        <v>2</v>
      </c>
      <c r="P4226">
        <v>1</v>
      </c>
      <c r="Q4226">
        <v>0</v>
      </c>
      <c r="R4226" s="4">
        <v>27.18</v>
      </c>
      <c r="S4226">
        <v>0</v>
      </c>
      <c r="T4226">
        <v>1</v>
      </c>
    </row>
    <row r="4227" spans="1:20" ht="16.5" x14ac:dyDescent="0.3">
      <c r="A4227" t="s">
        <v>4281</v>
      </c>
      <c r="B4227" s="1">
        <v>45881</v>
      </c>
      <c r="C4227">
        <v>2025</v>
      </c>
      <c r="D4227" t="s">
        <v>1261</v>
      </c>
      <c r="E4227" t="s">
        <v>1454</v>
      </c>
      <c r="F4227" t="s">
        <v>30</v>
      </c>
      <c r="G4227" t="s">
        <v>35</v>
      </c>
      <c r="H4227" t="s">
        <v>48</v>
      </c>
      <c r="I4227" t="s">
        <v>26</v>
      </c>
      <c r="J4227" t="s">
        <v>27</v>
      </c>
      <c r="K4227" t="s">
        <v>28</v>
      </c>
      <c r="L4227" s="2">
        <v>107.3</v>
      </c>
      <c r="M4227" s="3">
        <v>442</v>
      </c>
      <c r="N4227">
        <v>4</v>
      </c>
      <c r="O4227">
        <v>4</v>
      </c>
      <c r="P4227">
        <v>1</v>
      </c>
      <c r="Q4227">
        <v>0</v>
      </c>
      <c r="R4227" s="4">
        <v>64.38</v>
      </c>
      <c r="S4227">
        <v>0</v>
      </c>
      <c r="T4227">
        <v>1</v>
      </c>
    </row>
    <row r="4228" spans="1:20" ht="16.5" x14ac:dyDescent="0.3">
      <c r="A4228" t="s">
        <v>4282</v>
      </c>
      <c r="B4228" s="1">
        <v>45881</v>
      </c>
      <c r="C4228">
        <v>2025</v>
      </c>
      <c r="D4228" t="s">
        <v>1261</v>
      </c>
      <c r="E4228" t="s">
        <v>1454</v>
      </c>
      <c r="F4228" t="s">
        <v>38</v>
      </c>
      <c r="G4228" t="s">
        <v>39</v>
      </c>
      <c r="H4228" t="s">
        <v>48</v>
      </c>
      <c r="I4228" t="s">
        <v>31</v>
      </c>
      <c r="J4228" t="s">
        <v>27</v>
      </c>
      <c r="K4228" t="s">
        <v>32</v>
      </c>
      <c r="L4228" s="2">
        <v>2</v>
      </c>
      <c r="M4228" s="3">
        <v>463</v>
      </c>
      <c r="N4228">
        <v>6</v>
      </c>
      <c r="O4228">
        <v>6</v>
      </c>
      <c r="P4228">
        <v>1</v>
      </c>
      <c r="Q4228">
        <v>0</v>
      </c>
      <c r="R4228" s="4">
        <v>12.15</v>
      </c>
      <c r="S4228">
        <v>0</v>
      </c>
      <c r="T4228">
        <v>1</v>
      </c>
    </row>
    <row r="4229" spans="1:20" ht="16.5" x14ac:dyDescent="0.3">
      <c r="A4229" t="s">
        <v>4283</v>
      </c>
      <c r="B4229" s="1">
        <v>45881</v>
      </c>
      <c r="C4229">
        <v>2025</v>
      </c>
      <c r="D4229" t="s">
        <v>1261</v>
      </c>
      <c r="E4229" t="s">
        <v>1454</v>
      </c>
      <c r="F4229" t="s">
        <v>23</v>
      </c>
      <c r="G4229" t="s">
        <v>24</v>
      </c>
      <c r="H4229" t="s">
        <v>43</v>
      </c>
      <c r="I4229" t="s">
        <v>26</v>
      </c>
      <c r="J4229" t="s">
        <v>27</v>
      </c>
      <c r="K4229" t="s">
        <v>32</v>
      </c>
      <c r="L4229" s="2">
        <v>5.6</v>
      </c>
      <c r="M4229" s="3">
        <v>1185</v>
      </c>
      <c r="N4229">
        <v>5</v>
      </c>
      <c r="O4229">
        <v>5</v>
      </c>
      <c r="P4229">
        <v>1</v>
      </c>
      <c r="Q4229">
        <v>0</v>
      </c>
      <c r="R4229" s="4">
        <v>21.98</v>
      </c>
      <c r="S4229">
        <v>0</v>
      </c>
      <c r="T4229">
        <v>1</v>
      </c>
    </row>
    <row r="4230" spans="1:20" ht="16.5" x14ac:dyDescent="0.3">
      <c r="A4230" t="s">
        <v>4284</v>
      </c>
      <c r="B4230" s="1">
        <v>45882</v>
      </c>
      <c r="C4230">
        <v>2025</v>
      </c>
      <c r="D4230" t="s">
        <v>1261</v>
      </c>
      <c r="E4230" t="s">
        <v>1454</v>
      </c>
      <c r="F4230" t="s">
        <v>57</v>
      </c>
      <c r="G4230" t="s">
        <v>35</v>
      </c>
      <c r="H4230" t="s">
        <v>25</v>
      </c>
      <c r="I4230" t="s">
        <v>26</v>
      </c>
      <c r="J4230" t="s">
        <v>27</v>
      </c>
      <c r="K4230" t="s">
        <v>32</v>
      </c>
      <c r="L4230" s="2">
        <v>15.8</v>
      </c>
      <c r="M4230" s="3">
        <v>1080</v>
      </c>
      <c r="N4230">
        <v>4</v>
      </c>
      <c r="O4230">
        <v>4</v>
      </c>
      <c r="P4230">
        <v>1</v>
      </c>
      <c r="Q4230">
        <v>0</v>
      </c>
      <c r="R4230" s="4">
        <v>29.5</v>
      </c>
      <c r="S4230">
        <v>0</v>
      </c>
      <c r="T4230">
        <v>1</v>
      </c>
    </row>
    <row r="4231" spans="1:20" ht="16.5" x14ac:dyDescent="0.3">
      <c r="A4231" t="s">
        <v>4285</v>
      </c>
      <c r="B4231" s="1">
        <v>45882</v>
      </c>
      <c r="C4231">
        <v>2025</v>
      </c>
      <c r="D4231" t="s">
        <v>1261</v>
      </c>
      <c r="E4231" t="s">
        <v>1454</v>
      </c>
      <c r="F4231" t="s">
        <v>38</v>
      </c>
      <c r="G4231" t="s">
        <v>24</v>
      </c>
      <c r="H4231" t="s">
        <v>43</v>
      </c>
      <c r="I4231" t="s">
        <v>40</v>
      </c>
      <c r="J4231" t="s">
        <v>41</v>
      </c>
      <c r="K4231" t="s">
        <v>32</v>
      </c>
      <c r="L4231" s="2">
        <v>9.6999999999999993</v>
      </c>
      <c r="M4231" s="3">
        <v>1486</v>
      </c>
      <c r="N4231">
        <v>3</v>
      </c>
      <c r="O4231">
        <v>3</v>
      </c>
      <c r="P4231">
        <v>1</v>
      </c>
      <c r="Q4231">
        <v>0</v>
      </c>
      <c r="R4231" s="4">
        <v>101.34</v>
      </c>
      <c r="S4231">
        <v>0</v>
      </c>
      <c r="T4231">
        <v>1</v>
      </c>
    </row>
    <row r="4232" spans="1:20" ht="16.5" x14ac:dyDescent="0.3">
      <c r="A4232" t="s">
        <v>4286</v>
      </c>
      <c r="B4232" s="1">
        <v>45882</v>
      </c>
      <c r="C4232">
        <v>2025</v>
      </c>
      <c r="D4232" t="s">
        <v>1261</v>
      </c>
      <c r="E4232" t="s">
        <v>1454</v>
      </c>
      <c r="F4232" t="s">
        <v>38</v>
      </c>
      <c r="G4232" t="s">
        <v>35</v>
      </c>
      <c r="H4232" t="s">
        <v>43</v>
      </c>
      <c r="I4232" t="s">
        <v>26</v>
      </c>
      <c r="J4232" t="s">
        <v>27</v>
      </c>
      <c r="K4232" t="s">
        <v>28</v>
      </c>
      <c r="L4232" s="2">
        <v>26.7</v>
      </c>
      <c r="M4232" s="3">
        <v>1116</v>
      </c>
      <c r="N4232">
        <v>5</v>
      </c>
      <c r="O4232">
        <v>7</v>
      </c>
      <c r="P4232">
        <v>0</v>
      </c>
      <c r="Q4232">
        <v>2</v>
      </c>
      <c r="R4232" s="4">
        <v>39.020000000000003</v>
      </c>
      <c r="S4232">
        <v>0</v>
      </c>
      <c r="T4232">
        <v>1</v>
      </c>
    </row>
    <row r="4233" spans="1:20" ht="16.5" x14ac:dyDescent="0.3">
      <c r="A4233" t="s">
        <v>4287</v>
      </c>
      <c r="B4233" s="1">
        <v>45882</v>
      </c>
      <c r="C4233">
        <v>2025</v>
      </c>
      <c r="D4233" t="s">
        <v>1261</v>
      </c>
      <c r="E4233" t="s">
        <v>1454</v>
      </c>
      <c r="F4233" t="s">
        <v>30</v>
      </c>
      <c r="G4233" t="s">
        <v>39</v>
      </c>
      <c r="H4233" t="s">
        <v>48</v>
      </c>
      <c r="I4233" t="s">
        <v>31</v>
      </c>
      <c r="J4233" t="s">
        <v>27</v>
      </c>
      <c r="K4233" t="s">
        <v>28</v>
      </c>
      <c r="L4233" s="2">
        <v>64.599999999999994</v>
      </c>
      <c r="M4233" s="3">
        <v>408</v>
      </c>
      <c r="N4233">
        <v>6</v>
      </c>
      <c r="O4233">
        <v>6</v>
      </c>
      <c r="P4233">
        <v>1</v>
      </c>
      <c r="Q4233">
        <v>0</v>
      </c>
      <c r="R4233" s="4">
        <v>32.14</v>
      </c>
      <c r="S4233">
        <v>0</v>
      </c>
      <c r="T4233">
        <v>1</v>
      </c>
    </row>
    <row r="4234" spans="1:20" ht="16.5" x14ac:dyDescent="0.3">
      <c r="A4234" t="s">
        <v>4288</v>
      </c>
      <c r="B4234" s="1">
        <v>45882</v>
      </c>
      <c r="C4234">
        <v>2025</v>
      </c>
      <c r="D4234" t="s">
        <v>1261</v>
      </c>
      <c r="E4234" t="s">
        <v>1454</v>
      </c>
      <c r="F4234" t="s">
        <v>34</v>
      </c>
      <c r="G4234" t="s">
        <v>35</v>
      </c>
      <c r="H4234" t="s">
        <v>36</v>
      </c>
      <c r="I4234" t="s">
        <v>31</v>
      </c>
      <c r="J4234" t="s">
        <v>27</v>
      </c>
      <c r="K4234" t="s">
        <v>28</v>
      </c>
      <c r="L4234" s="2">
        <v>187.6</v>
      </c>
      <c r="M4234" s="3">
        <v>229</v>
      </c>
      <c r="N4234">
        <v>5</v>
      </c>
      <c r="O4234">
        <v>5</v>
      </c>
      <c r="P4234">
        <v>1</v>
      </c>
      <c r="Q4234">
        <v>0</v>
      </c>
      <c r="R4234" s="4">
        <v>55.73</v>
      </c>
      <c r="S4234">
        <v>0</v>
      </c>
      <c r="T4234">
        <v>1</v>
      </c>
    </row>
    <row r="4235" spans="1:20" ht="16.5" x14ac:dyDescent="0.3">
      <c r="A4235" t="s">
        <v>4289</v>
      </c>
      <c r="B4235" s="1">
        <v>45882</v>
      </c>
      <c r="C4235">
        <v>2025</v>
      </c>
      <c r="D4235" t="s">
        <v>1261</v>
      </c>
      <c r="E4235" t="s">
        <v>1454</v>
      </c>
      <c r="F4235" t="s">
        <v>34</v>
      </c>
      <c r="G4235" t="s">
        <v>39</v>
      </c>
      <c r="H4235" t="s">
        <v>48</v>
      </c>
      <c r="I4235" t="s">
        <v>31</v>
      </c>
      <c r="J4235" t="s">
        <v>27</v>
      </c>
      <c r="K4235" t="s">
        <v>28</v>
      </c>
      <c r="L4235" s="2">
        <v>141.9</v>
      </c>
      <c r="M4235" s="3">
        <v>571</v>
      </c>
      <c r="N4235">
        <v>6</v>
      </c>
      <c r="O4235">
        <v>6</v>
      </c>
      <c r="P4235">
        <v>1</v>
      </c>
      <c r="Q4235">
        <v>0</v>
      </c>
      <c r="R4235" s="4">
        <v>44.33</v>
      </c>
      <c r="S4235">
        <v>0</v>
      </c>
      <c r="T4235">
        <v>1</v>
      </c>
    </row>
    <row r="4236" spans="1:20" ht="16.5" x14ac:dyDescent="0.3">
      <c r="A4236" t="s">
        <v>4290</v>
      </c>
      <c r="B4236" s="1">
        <v>45882</v>
      </c>
      <c r="C4236">
        <v>2025</v>
      </c>
      <c r="D4236" t="s">
        <v>1261</v>
      </c>
      <c r="E4236" t="s">
        <v>1454</v>
      </c>
      <c r="F4236" t="s">
        <v>38</v>
      </c>
      <c r="G4236" t="s">
        <v>39</v>
      </c>
      <c r="H4236" t="s">
        <v>36</v>
      </c>
      <c r="I4236" t="s">
        <v>31</v>
      </c>
      <c r="J4236" t="s">
        <v>27</v>
      </c>
      <c r="K4236" t="s">
        <v>32</v>
      </c>
      <c r="L4236" s="2">
        <v>1.4</v>
      </c>
      <c r="M4236" s="3">
        <v>247</v>
      </c>
      <c r="N4236">
        <v>5</v>
      </c>
      <c r="O4236">
        <v>4</v>
      </c>
      <c r="P4236">
        <v>1</v>
      </c>
      <c r="Q4236">
        <v>0</v>
      </c>
      <c r="R4236" s="4">
        <v>8.32</v>
      </c>
      <c r="S4236">
        <v>0</v>
      </c>
      <c r="T4236">
        <v>1</v>
      </c>
    </row>
    <row r="4237" spans="1:20" ht="16.5" x14ac:dyDescent="0.3">
      <c r="A4237" t="s">
        <v>4291</v>
      </c>
      <c r="B4237" s="1">
        <v>45882</v>
      </c>
      <c r="C4237">
        <v>2025</v>
      </c>
      <c r="D4237" t="s">
        <v>1261</v>
      </c>
      <c r="E4237" t="s">
        <v>1454</v>
      </c>
      <c r="F4237" t="s">
        <v>38</v>
      </c>
      <c r="G4237" t="s">
        <v>24</v>
      </c>
      <c r="H4237" t="s">
        <v>48</v>
      </c>
      <c r="I4237" t="s">
        <v>40</v>
      </c>
      <c r="J4237" t="s">
        <v>27</v>
      </c>
      <c r="K4237" t="s">
        <v>32</v>
      </c>
      <c r="L4237" s="2">
        <v>7.7</v>
      </c>
      <c r="M4237" s="3">
        <v>453</v>
      </c>
      <c r="N4237">
        <v>2</v>
      </c>
      <c r="O4237">
        <v>1</v>
      </c>
      <c r="P4237">
        <v>1</v>
      </c>
      <c r="Q4237">
        <v>0</v>
      </c>
      <c r="R4237" s="4">
        <v>31.05</v>
      </c>
      <c r="S4237">
        <v>0</v>
      </c>
      <c r="T4237">
        <v>1</v>
      </c>
    </row>
    <row r="4238" spans="1:20" ht="16.5" x14ac:dyDescent="0.3">
      <c r="A4238" t="s">
        <v>4292</v>
      </c>
      <c r="B4238" s="1">
        <v>45883</v>
      </c>
      <c r="C4238">
        <v>2025</v>
      </c>
      <c r="D4238" t="s">
        <v>1261</v>
      </c>
      <c r="E4238" t="s">
        <v>1454</v>
      </c>
      <c r="F4238" t="s">
        <v>30</v>
      </c>
      <c r="G4238" t="s">
        <v>35</v>
      </c>
      <c r="H4238" t="s">
        <v>25</v>
      </c>
      <c r="I4238" t="s">
        <v>31</v>
      </c>
      <c r="J4238" t="s">
        <v>27</v>
      </c>
      <c r="K4238" t="s">
        <v>28</v>
      </c>
      <c r="L4238" s="2">
        <v>79.5</v>
      </c>
      <c r="M4238" s="3">
        <v>646</v>
      </c>
      <c r="N4238">
        <v>6</v>
      </c>
      <c r="O4238">
        <v>6</v>
      </c>
      <c r="P4238">
        <v>1</v>
      </c>
      <c r="Q4238">
        <v>0</v>
      </c>
      <c r="R4238" s="4">
        <v>41.73</v>
      </c>
      <c r="S4238">
        <v>0</v>
      </c>
      <c r="T4238">
        <v>1</v>
      </c>
    </row>
    <row r="4239" spans="1:20" ht="16.5" x14ac:dyDescent="0.3">
      <c r="A4239" t="s">
        <v>4293</v>
      </c>
      <c r="B4239" s="1">
        <v>45883</v>
      </c>
      <c r="C4239">
        <v>2025</v>
      </c>
      <c r="D4239" t="s">
        <v>1261</v>
      </c>
      <c r="E4239" t="s">
        <v>1454</v>
      </c>
      <c r="F4239" t="s">
        <v>57</v>
      </c>
      <c r="G4239" t="s">
        <v>35</v>
      </c>
      <c r="H4239" t="s">
        <v>51</v>
      </c>
      <c r="I4239" t="s">
        <v>31</v>
      </c>
      <c r="J4239" t="s">
        <v>27</v>
      </c>
      <c r="K4239" t="s">
        <v>32</v>
      </c>
      <c r="L4239" s="2">
        <v>3.3</v>
      </c>
      <c r="M4239" s="3">
        <v>901</v>
      </c>
      <c r="N4239">
        <v>7</v>
      </c>
      <c r="O4239">
        <v>7</v>
      </c>
      <c r="P4239">
        <v>1</v>
      </c>
      <c r="Q4239">
        <v>0</v>
      </c>
      <c r="R4239" s="4">
        <v>13.49</v>
      </c>
      <c r="S4239">
        <v>0</v>
      </c>
      <c r="T4239">
        <v>1</v>
      </c>
    </row>
    <row r="4240" spans="1:20" ht="16.5" x14ac:dyDescent="0.3">
      <c r="A4240" t="s">
        <v>4294</v>
      </c>
      <c r="B4240" s="1">
        <v>45883</v>
      </c>
      <c r="C4240">
        <v>2025</v>
      </c>
      <c r="D4240" t="s">
        <v>1261</v>
      </c>
      <c r="E4240" t="s">
        <v>1454</v>
      </c>
      <c r="F4240" t="s">
        <v>57</v>
      </c>
      <c r="G4240" t="s">
        <v>24</v>
      </c>
      <c r="H4240" t="s">
        <v>43</v>
      </c>
      <c r="I4240" t="s">
        <v>40</v>
      </c>
      <c r="J4240" t="s">
        <v>41</v>
      </c>
      <c r="K4240" t="s">
        <v>32</v>
      </c>
      <c r="L4240" s="2">
        <v>8.3000000000000007</v>
      </c>
      <c r="M4240" s="3">
        <v>802</v>
      </c>
      <c r="N4240">
        <v>3</v>
      </c>
      <c r="O4240">
        <v>5</v>
      </c>
      <c r="P4240">
        <v>0</v>
      </c>
      <c r="Q4240">
        <v>2</v>
      </c>
      <c r="R4240" s="4">
        <v>65.099999999999994</v>
      </c>
      <c r="S4240">
        <v>0</v>
      </c>
      <c r="T4240">
        <v>1</v>
      </c>
    </row>
    <row r="4241" spans="1:20" ht="16.5" x14ac:dyDescent="0.3">
      <c r="A4241" t="s">
        <v>4295</v>
      </c>
      <c r="B4241" s="1">
        <v>45883</v>
      </c>
      <c r="C4241">
        <v>2025</v>
      </c>
      <c r="D4241" t="s">
        <v>1261</v>
      </c>
      <c r="E4241" t="s">
        <v>1454</v>
      </c>
      <c r="F4241" t="s">
        <v>38</v>
      </c>
      <c r="G4241" t="s">
        <v>39</v>
      </c>
      <c r="H4241" t="s">
        <v>51</v>
      </c>
      <c r="I4241" t="s">
        <v>31</v>
      </c>
      <c r="J4241" t="s">
        <v>27</v>
      </c>
      <c r="K4241" t="s">
        <v>28</v>
      </c>
      <c r="L4241" s="2">
        <v>114.1</v>
      </c>
      <c r="M4241" s="3">
        <v>1065</v>
      </c>
      <c r="N4241">
        <v>7</v>
      </c>
      <c r="O4241">
        <v>7</v>
      </c>
      <c r="P4241">
        <v>1</v>
      </c>
      <c r="Q4241">
        <v>0</v>
      </c>
      <c r="R4241" s="4">
        <v>50.44</v>
      </c>
      <c r="S4241">
        <v>0</v>
      </c>
      <c r="T4241">
        <v>1</v>
      </c>
    </row>
    <row r="4242" spans="1:20" ht="16.5" x14ac:dyDescent="0.3">
      <c r="A4242" t="s">
        <v>4296</v>
      </c>
      <c r="B4242" s="1">
        <v>45883</v>
      </c>
      <c r="C4242">
        <v>2025</v>
      </c>
      <c r="D4242" t="s">
        <v>1261</v>
      </c>
      <c r="E4242" t="s">
        <v>1454</v>
      </c>
      <c r="F4242" t="s">
        <v>38</v>
      </c>
      <c r="G4242" t="s">
        <v>39</v>
      </c>
      <c r="H4242" t="s">
        <v>25</v>
      </c>
      <c r="I4242" t="s">
        <v>26</v>
      </c>
      <c r="J4242" t="s">
        <v>27</v>
      </c>
      <c r="K4242" t="s">
        <v>32</v>
      </c>
      <c r="L4242" s="2">
        <v>7.7</v>
      </c>
      <c r="M4242" s="3">
        <v>870</v>
      </c>
      <c r="N4242">
        <v>4</v>
      </c>
      <c r="O4242">
        <v>4</v>
      </c>
      <c r="P4242">
        <v>1</v>
      </c>
      <c r="Q4242">
        <v>0</v>
      </c>
      <c r="R4242" s="4">
        <v>22.16</v>
      </c>
      <c r="S4242">
        <v>0</v>
      </c>
      <c r="T4242">
        <v>1</v>
      </c>
    </row>
    <row r="4243" spans="1:20" ht="16.5" x14ac:dyDescent="0.3">
      <c r="A4243" t="s">
        <v>4297</v>
      </c>
      <c r="B4243" s="1">
        <v>45883</v>
      </c>
      <c r="C4243">
        <v>2025</v>
      </c>
      <c r="D4243" t="s">
        <v>1261</v>
      </c>
      <c r="E4243" t="s">
        <v>1454</v>
      </c>
      <c r="F4243" t="s">
        <v>34</v>
      </c>
      <c r="G4243" t="s">
        <v>39</v>
      </c>
      <c r="H4243" t="s">
        <v>51</v>
      </c>
      <c r="I4243" t="s">
        <v>26</v>
      </c>
      <c r="J4243" t="s">
        <v>27</v>
      </c>
      <c r="K4243" t="s">
        <v>28</v>
      </c>
      <c r="L4243" s="2">
        <v>117.7</v>
      </c>
      <c r="M4243" s="3">
        <v>934</v>
      </c>
      <c r="N4243">
        <v>5</v>
      </c>
      <c r="O4243">
        <v>5</v>
      </c>
      <c r="P4243">
        <v>1</v>
      </c>
      <c r="Q4243">
        <v>0</v>
      </c>
      <c r="R4243" s="4">
        <v>57.38</v>
      </c>
      <c r="S4243">
        <v>0</v>
      </c>
      <c r="T4243">
        <v>1</v>
      </c>
    </row>
    <row r="4244" spans="1:20" ht="16.5" x14ac:dyDescent="0.3">
      <c r="A4244" t="s">
        <v>4298</v>
      </c>
      <c r="B4244" s="1">
        <v>45883</v>
      </c>
      <c r="C4244">
        <v>2025</v>
      </c>
      <c r="D4244" t="s">
        <v>1261</v>
      </c>
      <c r="E4244" t="s">
        <v>1454</v>
      </c>
      <c r="F4244" t="s">
        <v>34</v>
      </c>
      <c r="G4244" t="s">
        <v>24</v>
      </c>
      <c r="H4244" t="s">
        <v>48</v>
      </c>
      <c r="I4244" t="s">
        <v>31</v>
      </c>
      <c r="J4244" t="s">
        <v>27</v>
      </c>
      <c r="K4244" t="s">
        <v>28</v>
      </c>
      <c r="L4244" s="2">
        <v>138.4</v>
      </c>
      <c r="M4244" s="3">
        <v>538</v>
      </c>
      <c r="N4244">
        <v>6</v>
      </c>
      <c r="O4244">
        <v>5</v>
      </c>
      <c r="P4244">
        <v>1</v>
      </c>
      <c r="Q4244">
        <v>0</v>
      </c>
      <c r="R4244" s="4">
        <v>46.36</v>
      </c>
      <c r="S4244">
        <v>0</v>
      </c>
      <c r="T4244">
        <v>1</v>
      </c>
    </row>
    <row r="4245" spans="1:20" ht="16.5" x14ac:dyDescent="0.3">
      <c r="A4245" t="s">
        <v>4299</v>
      </c>
      <c r="B4245" s="1">
        <v>45884</v>
      </c>
      <c r="C4245">
        <v>2025</v>
      </c>
      <c r="D4245" t="s">
        <v>1261</v>
      </c>
      <c r="E4245" t="s">
        <v>1454</v>
      </c>
      <c r="F4245" t="s">
        <v>23</v>
      </c>
      <c r="G4245" t="s">
        <v>39</v>
      </c>
      <c r="H4245" t="s">
        <v>25</v>
      </c>
      <c r="I4245" t="s">
        <v>26</v>
      </c>
      <c r="J4245" t="s">
        <v>27</v>
      </c>
      <c r="K4245" t="s">
        <v>28</v>
      </c>
      <c r="L4245" s="2">
        <v>46.8</v>
      </c>
      <c r="M4245" s="3">
        <v>856</v>
      </c>
      <c r="N4245">
        <v>4</v>
      </c>
      <c r="O4245">
        <v>4</v>
      </c>
      <c r="P4245">
        <v>1</v>
      </c>
      <c r="Q4245">
        <v>0</v>
      </c>
      <c r="R4245" s="4">
        <v>39.090000000000003</v>
      </c>
      <c r="S4245">
        <v>0</v>
      </c>
      <c r="T4245">
        <v>1</v>
      </c>
    </row>
    <row r="4246" spans="1:20" ht="16.5" x14ac:dyDescent="0.3">
      <c r="A4246" t="s">
        <v>4300</v>
      </c>
      <c r="B4246" s="1">
        <v>45884</v>
      </c>
      <c r="C4246">
        <v>2025</v>
      </c>
      <c r="D4246" t="s">
        <v>1261</v>
      </c>
      <c r="E4246" t="s">
        <v>1454</v>
      </c>
      <c r="F4246" t="s">
        <v>38</v>
      </c>
      <c r="G4246" t="s">
        <v>35</v>
      </c>
      <c r="H4246" t="s">
        <v>25</v>
      </c>
      <c r="I4246" t="s">
        <v>26</v>
      </c>
      <c r="J4246" t="s">
        <v>27</v>
      </c>
      <c r="K4246" t="s">
        <v>32</v>
      </c>
      <c r="L4246" s="2">
        <v>4.2</v>
      </c>
      <c r="M4246" s="3">
        <v>729</v>
      </c>
      <c r="N4246">
        <v>4</v>
      </c>
      <c r="O4246">
        <v>4</v>
      </c>
      <c r="P4246">
        <v>1</v>
      </c>
      <c r="Q4246">
        <v>0</v>
      </c>
      <c r="R4246" s="4">
        <v>19.73</v>
      </c>
      <c r="S4246">
        <v>0</v>
      </c>
      <c r="T4246">
        <v>1</v>
      </c>
    </row>
    <row r="4247" spans="1:20" ht="16.5" x14ac:dyDescent="0.3">
      <c r="A4247" t="s">
        <v>4301</v>
      </c>
      <c r="B4247" s="1">
        <v>45884</v>
      </c>
      <c r="C4247">
        <v>2025</v>
      </c>
      <c r="D4247" t="s">
        <v>1261</v>
      </c>
      <c r="E4247" t="s">
        <v>1454</v>
      </c>
      <c r="F4247" t="s">
        <v>38</v>
      </c>
      <c r="G4247" t="s">
        <v>24</v>
      </c>
      <c r="H4247" t="s">
        <v>25</v>
      </c>
      <c r="I4247" t="s">
        <v>40</v>
      </c>
      <c r="J4247" t="s">
        <v>41</v>
      </c>
      <c r="K4247" t="s">
        <v>28</v>
      </c>
      <c r="L4247" s="2">
        <v>82.5</v>
      </c>
      <c r="M4247" s="3">
        <v>741</v>
      </c>
      <c r="N4247">
        <v>2</v>
      </c>
      <c r="O4247">
        <v>2</v>
      </c>
      <c r="P4247">
        <v>1</v>
      </c>
      <c r="Q4247">
        <v>0</v>
      </c>
      <c r="R4247" s="4">
        <v>190.61</v>
      </c>
      <c r="S4247">
        <v>0</v>
      </c>
      <c r="T4247">
        <v>1</v>
      </c>
    </row>
    <row r="4248" spans="1:20" ht="16.5" x14ac:dyDescent="0.3">
      <c r="A4248" t="s">
        <v>4302</v>
      </c>
      <c r="B4248" s="1">
        <v>45884</v>
      </c>
      <c r="C4248">
        <v>2025</v>
      </c>
      <c r="D4248" t="s">
        <v>1261</v>
      </c>
      <c r="E4248" t="s">
        <v>1454</v>
      </c>
      <c r="F4248" t="s">
        <v>23</v>
      </c>
      <c r="G4248" t="s">
        <v>39</v>
      </c>
      <c r="H4248" t="s">
        <v>36</v>
      </c>
      <c r="I4248" t="s">
        <v>26</v>
      </c>
      <c r="J4248" t="s">
        <v>27</v>
      </c>
      <c r="K4248" t="s">
        <v>28</v>
      </c>
      <c r="L4248" s="2">
        <v>127.1</v>
      </c>
      <c r="M4248" s="3">
        <v>259</v>
      </c>
      <c r="N4248">
        <v>3</v>
      </c>
      <c r="O4248">
        <v>3</v>
      </c>
      <c r="P4248">
        <v>1</v>
      </c>
      <c r="Q4248">
        <v>0</v>
      </c>
      <c r="R4248" s="4">
        <v>55.65</v>
      </c>
      <c r="S4248">
        <v>0</v>
      </c>
      <c r="T4248">
        <v>1</v>
      </c>
    </row>
    <row r="4249" spans="1:20" ht="16.5" x14ac:dyDescent="0.3">
      <c r="A4249" t="s">
        <v>4303</v>
      </c>
      <c r="B4249" s="1">
        <v>45884</v>
      </c>
      <c r="C4249">
        <v>2025</v>
      </c>
      <c r="D4249" t="s">
        <v>1261</v>
      </c>
      <c r="E4249" t="s">
        <v>1454</v>
      </c>
      <c r="F4249" t="s">
        <v>34</v>
      </c>
      <c r="G4249" t="s">
        <v>35</v>
      </c>
      <c r="H4249" t="s">
        <v>43</v>
      </c>
      <c r="I4249" t="s">
        <v>40</v>
      </c>
      <c r="J4249" t="s">
        <v>41</v>
      </c>
      <c r="K4249" t="s">
        <v>28</v>
      </c>
      <c r="L4249" s="2">
        <v>71.5</v>
      </c>
      <c r="M4249" s="3">
        <v>1083</v>
      </c>
      <c r="N4249">
        <v>3</v>
      </c>
      <c r="O4249">
        <v>3</v>
      </c>
      <c r="P4249">
        <v>1</v>
      </c>
      <c r="Q4249">
        <v>0</v>
      </c>
      <c r="R4249" s="4">
        <v>153.32</v>
      </c>
      <c r="S4249">
        <v>0</v>
      </c>
      <c r="T4249">
        <v>1</v>
      </c>
    </row>
    <row r="4250" spans="1:20" ht="16.5" x14ac:dyDescent="0.3">
      <c r="A4250" t="s">
        <v>4304</v>
      </c>
      <c r="B4250" s="1">
        <v>45884</v>
      </c>
      <c r="C4250">
        <v>2025</v>
      </c>
      <c r="D4250" t="s">
        <v>1261</v>
      </c>
      <c r="E4250" t="s">
        <v>1454</v>
      </c>
      <c r="F4250" t="s">
        <v>30</v>
      </c>
      <c r="G4250" t="s">
        <v>39</v>
      </c>
      <c r="H4250" t="s">
        <v>51</v>
      </c>
      <c r="I4250" t="s">
        <v>40</v>
      </c>
      <c r="J4250" t="s">
        <v>41</v>
      </c>
      <c r="K4250" t="s">
        <v>28</v>
      </c>
      <c r="L4250" s="2">
        <v>75.8</v>
      </c>
      <c r="M4250" s="3">
        <v>962</v>
      </c>
      <c r="N4250">
        <v>3</v>
      </c>
      <c r="O4250">
        <v>2</v>
      </c>
      <c r="P4250">
        <v>1</v>
      </c>
      <c r="Q4250">
        <v>0</v>
      </c>
      <c r="R4250" s="4">
        <v>178.57</v>
      </c>
      <c r="S4250">
        <v>0</v>
      </c>
      <c r="T4250">
        <v>1</v>
      </c>
    </row>
    <row r="4251" spans="1:20" ht="16.5" x14ac:dyDescent="0.3">
      <c r="A4251" t="s">
        <v>4305</v>
      </c>
      <c r="B4251" s="1">
        <v>45884</v>
      </c>
      <c r="C4251">
        <v>2025</v>
      </c>
      <c r="D4251" t="s">
        <v>1261</v>
      </c>
      <c r="E4251" t="s">
        <v>1454</v>
      </c>
      <c r="F4251" t="s">
        <v>34</v>
      </c>
      <c r="G4251" t="s">
        <v>35</v>
      </c>
      <c r="H4251" t="s">
        <v>48</v>
      </c>
      <c r="I4251" t="s">
        <v>31</v>
      </c>
      <c r="J4251" t="s">
        <v>27</v>
      </c>
      <c r="K4251" t="s">
        <v>32</v>
      </c>
      <c r="L4251" s="2">
        <v>3</v>
      </c>
      <c r="M4251" s="3">
        <v>428</v>
      </c>
      <c r="N4251">
        <v>6</v>
      </c>
      <c r="O4251">
        <v>6</v>
      </c>
      <c r="P4251">
        <v>1</v>
      </c>
      <c r="Q4251">
        <v>0</v>
      </c>
      <c r="R4251" s="4">
        <v>8.24</v>
      </c>
      <c r="S4251">
        <v>0</v>
      </c>
      <c r="T4251">
        <v>1</v>
      </c>
    </row>
    <row r="4252" spans="1:20" ht="16.5" x14ac:dyDescent="0.3">
      <c r="A4252" t="s">
        <v>4306</v>
      </c>
      <c r="B4252" s="1">
        <v>45884</v>
      </c>
      <c r="C4252">
        <v>2025</v>
      </c>
      <c r="D4252" t="s">
        <v>1261</v>
      </c>
      <c r="E4252" t="s">
        <v>1454</v>
      </c>
      <c r="F4252" t="s">
        <v>34</v>
      </c>
      <c r="G4252" t="s">
        <v>24</v>
      </c>
      <c r="H4252" t="s">
        <v>48</v>
      </c>
      <c r="I4252" t="s">
        <v>26</v>
      </c>
      <c r="J4252" t="s">
        <v>27</v>
      </c>
      <c r="K4252" t="s">
        <v>32</v>
      </c>
      <c r="L4252" s="2">
        <v>11.3</v>
      </c>
      <c r="M4252" s="3">
        <v>425</v>
      </c>
      <c r="N4252">
        <v>4</v>
      </c>
      <c r="O4252">
        <v>4</v>
      </c>
      <c r="P4252">
        <v>1</v>
      </c>
      <c r="Q4252">
        <v>0</v>
      </c>
      <c r="R4252" s="4">
        <v>14.28</v>
      </c>
      <c r="S4252">
        <v>0</v>
      </c>
      <c r="T4252">
        <v>1</v>
      </c>
    </row>
    <row r="4253" spans="1:20" ht="16.5" x14ac:dyDescent="0.3">
      <c r="A4253" t="s">
        <v>4307</v>
      </c>
      <c r="B4253" s="1">
        <v>45884</v>
      </c>
      <c r="C4253">
        <v>2025</v>
      </c>
      <c r="D4253" t="s">
        <v>1261</v>
      </c>
      <c r="E4253" t="s">
        <v>1454</v>
      </c>
      <c r="F4253" t="s">
        <v>23</v>
      </c>
      <c r="G4253" t="s">
        <v>39</v>
      </c>
      <c r="H4253" t="s">
        <v>48</v>
      </c>
      <c r="I4253" t="s">
        <v>31</v>
      </c>
      <c r="J4253" t="s">
        <v>27</v>
      </c>
      <c r="K4253" t="s">
        <v>28</v>
      </c>
      <c r="L4253" s="2">
        <v>40.1</v>
      </c>
      <c r="M4253" s="3">
        <v>377</v>
      </c>
      <c r="N4253">
        <v>6</v>
      </c>
      <c r="O4253">
        <v>5</v>
      </c>
      <c r="P4253">
        <v>1</v>
      </c>
      <c r="Q4253">
        <v>0</v>
      </c>
      <c r="R4253" s="4">
        <v>21.93</v>
      </c>
      <c r="S4253">
        <v>0</v>
      </c>
      <c r="T4253">
        <v>1</v>
      </c>
    </row>
    <row r="4254" spans="1:20" ht="16.5" x14ac:dyDescent="0.3">
      <c r="A4254" t="s">
        <v>4308</v>
      </c>
      <c r="B4254" s="1">
        <v>45884</v>
      </c>
      <c r="C4254">
        <v>2025</v>
      </c>
      <c r="D4254" t="s">
        <v>1261</v>
      </c>
      <c r="E4254" t="s">
        <v>1454</v>
      </c>
      <c r="F4254" t="s">
        <v>38</v>
      </c>
      <c r="G4254" t="s">
        <v>39</v>
      </c>
      <c r="H4254" t="s">
        <v>48</v>
      </c>
      <c r="I4254" t="s">
        <v>40</v>
      </c>
      <c r="J4254" t="s">
        <v>27</v>
      </c>
      <c r="K4254" t="s">
        <v>32</v>
      </c>
      <c r="L4254" s="2">
        <v>5.7</v>
      </c>
      <c r="M4254" s="3">
        <v>589</v>
      </c>
      <c r="N4254">
        <v>2</v>
      </c>
      <c r="O4254">
        <v>2</v>
      </c>
      <c r="P4254">
        <v>1</v>
      </c>
      <c r="Q4254">
        <v>0</v>
      </c>
      <c r="R4254" s="4">
        <v>35.67</v>
      </c>
      <c r="S4254">
        <v>0</v>
      </c>
      <c r="T4254">
        <v>1</v>
      </c>
    </row>
    <row r="4255" spans="1:20" ht="16.5" x14ac:dyDescent="0.3">
      <c r="A4255" t="s">
        <v>4309</v>
      </c>
      <c r="B4255" s="1">
        <v>45884</v>
      </c>
      <c r="C4255">
        <v>2025</v>
      </c>
      <c r="D4255" t="s">
        <v>1261</v>
      </c>
      <c r="E4255" t="s">
        <v>1454</v>
      </c>
      <c r="F4255" t="s">
        <v>57</v>
      </c>
      <c r="G4255" t="s">
        <v>39</v>
      </c>
      <c r="H4255" t="s">
        <v>36</v>
      </c>
      <c r="I4255" t="s">
        <v>26</v>
      </c>
      <c r="J4255" t="s">
        <v>27</v>
      </c>
      <c r="K4255" t="s">
        <v>28</v>
      </c>
      <c r="L4255" s="2">
        <v>32.6</v>
      </c>
      <c r="M4255" s="3">
        <v>308</v>
      </c>
      <c r="N4255">
        <v>3</v>
      </c>
      <c r="O4255">
        <v>3</v>
      </c>
      <c r="P4255">
        <v>1</v>
      </c>
      <c r="Q4255">
        <v>0</v>
      </c>
      <c r="R4255" s="4">
        <v>27.28</v>
      </c>
      <c r="S4255">
        <v>0</v>
      </c>
      <c r="T4255">
        <v>1</v>
      </c>
    </row>
    <row r="4256" spans="1:20" ht="16.5" x14ac:dyDescent="0.3">
      <c r="A4256" t="s">
        <v>4310</v>
      </c>
      <c r="B4256" s="1">
        <v>45885</v>
      </c>
      <c r="C4256">
        <v>2025</v>
      </c>
      <c r="D4256" t="s">
        <v>1261</v>
      </c>
      <c r="E4256" t="s">
        <v>1454</v>
      </c>
      <c r="F4256" t="s">
        <v>38</v>
      </c>
      <c r="G4256" t="s">
        <v>35</v>
      </c>
      <c r="H4256" t="s">
        <v>36</v>
      </c>
      <c r="I4256" t="s">
        <v>26</v>
      </c>
      <c r="J4256" t="s">
        <v>27</v>
      </c>
      <c r="K4256" t="s">
        <v>32</v>
      </c>
      <c r="L4256" s="2">
        <v>4.8</v>
      </c>
      <c r="M4256" s="3">
        <v>179</v>
      </c>
      <c r="N4256">
        <v>3</v>
      </c>
      <c r="O4256">
        <v>3</v>
      </c>
      <c r="P4256">
        <v>1</v>
      </c>
      <c r="Q4256">
        <v>0</v>
      </c>
      <c r="R4256" s="4">
        <v>11.92</v>
      </c>
      <c r="S4256">
        <v>0</v>
      </c>
      <c r="T4256">
        <v>1</v>
      </c>
    </row>
    <row r="4257" spans="1:20" ht="16.5" x14ac:dyDescent="0.3">
      <c r="A4257" t="s">
        <v>4311</v>
      </c>
      <c r="B4257" s="1">
        <v>45885</v>
      </c>
      <c r="C4257">
        <v>2025</v>
      </c>
      <c r="D4257" t="s">
        <v>1261</v>
      </c>
      <c r="E4257" t="s">
        <v>1454</v>
      </c>
      <c r="F4257" t="s">
        <v>38</v>
      </c>
      <c r="G4257" t="s">
        <v>39</v>
      </c>
      <c r="H4257" t="s">
        <v>48</v>
      </c>
      <c r="I4257" t="s">
        <v>26</v>
      </c>
      <c r="J4257" t="s">
        <v>27</v>
      </c>
      <c r="K4257" t="s">
        <v>32</v>
      </c>
      <c r="L4257" s="2">
        <v>3.1</v>
      </c>
      <c r="M4257" s="3">
        <v>496</v>
      </c>
      <c r="N4257">
        <v>4</v>
      </c>
      <c r="O4257">
        <v>4</v>
      </c>
      <c r="P4257">
        <v>1</v>
      </c>
      <c r="Q4257">
        <v>0</v>
      </c>
      <c r="R4257" s="4">
        <v>16.14</v>
      </c>
      <c r="S4257">
        <v>0</v>
      </c>
      <c r="T4257">
        <v>1</v>
      </c>
    </row>
    <row r="4258" spans="1:20" ht="16.5" x14ac:dyDescent="0.3">
      <c r="A4258" t="s">
        <v>4312</v>
      </c>
      <c r="B4258" s="1">
        <v>45885</v>
      </c>
      <c r="C4258">
        <v>2025</v>
      </c>
      <c r="D4258" t="s">
        <v>1261</v>
      </c>
      <c r="E4258" t="s">
        <v>1454</v>
      </c>
      <c r="F4258" t="s">
        <v>57</v>
      </c>
      <c r="G4258" t="s">
        <v>39</v>
      </c>
      <c r="H4258" t="s">
        <v>43</v>
      </c>
      <c r="I4258" t="s">
        <v>26</v>
      </c>
      <c r="J4258" t="s">
        <v>27</v>
      </c>
      <c r="K4258" t="s">
        <v>28</v>
      </c>
      <c r="L4258" s="2">
        <v>117.7</v>
      </c>
      <c r="M4258" s="3">
        <v>1038</v>
      </c>
      <c r="N4258">
        <v>5</v>
      </c>
      <c r="O4258">
        <v>5</v>
      </c>
      <c r="P4258">
        <v>1</v>
      </c>
      <c r="Q4258">
        <v>0</v>
      </c>
      <c r="R4258" s="4">
        <v>68.739999999999995</v>
      </c>
      <c r="S4258">
        <v>0</v>
      </c>
      <c r="T4258">
        <v>1</v>
      </c>
    </row>
    <row r="4259" spans="1:20" ht="16.5" x14ac:dyDescent="0.3">
      <c r="A4259" t="s">
        <v>4313</v>
      </c>
      <c r="B4259" s="1">
        <v>45885</v>
      </c>
      <c r="C4259">
        <v>2025</v>
      </c>
      <c r="D4259" t="s">
        <v>1261</v>
      </c>
      <c r="E4259" t="s">
        <v>1454</v>
      </c>
      <c r="F4259" t="s">
        <v>23</v>
      </c>
      <c r="G4259" t="s">
        <v>39</v>
      </c>
      <c r="H4259" t="s">
        <v>43</v>
      </c>
      <c r="I4259" t="s">
        <v>40</v>
      </c>
      <c r="J4259" t="s">
        <v>41</v>
      </c>
      <c r="K4259" t="s">
        <v>28</v>
      </c>
      <c r="L4259" s="2">
        <v>55.7</v>
      </c>
      <c r="M4259" s="3">
        <v>1237</v>
      </c>
      <c r="N4259">
        <v>3</v>
      </c>
      <c r="O4259">
        <v>3</v>
      </c>
      <c r="P4259">
        <v>1</v>
      </c>
      <c r="Q4259">
        <v>0</v>
      </c>
      <c r="R4259" s="4">
        <v>128.46</v>
      </c>
      <c r="S4259">
        <v>0</v>
      </c>
      <c r="T4259">
        <v>1</v>
      </c>
    </row>
    <row r="4260" spans="1:20" ht="16.5" x14ac:dyDescent="0.3">
      <c r="A4260" t="s">
        <v>4314</v>
      </c>
      <c r="B4260" s="1">
        <v>45885</v>
      </c>
      <c r="C4260">
        <v>2025</v>
      </c>
      <c r="D4260" t="s">
        <v>1261</v>
      </c>
      <c r="E4260" t="s">
        <v>1454</v>
      </c>
      <c r="F4260" t="s">
        <v>34</v>
      </c>
      <c r="G4260" t="s">
        <v>35</v>
      </c>
      <c r="H4260" t="s">
        <v>25</v>
      </c>
      <c r="I4260" t="s">
        <v>40</v>
      </c>
      <c r="J4260" t="s">
        <v>41</v>
      </c>
      <c r="K4260" t="s">
        <v>32</v>
      </c>
      <c r="L4260" s="2">
        <v>3</v>
      </c>
      <c r="M4260" s="3">
        <v>834</v>
      </c>
      <c r="N4260">
        <v>2</v>
      </c>
      <c r="O4260">
        <v>1</v>
      </c>
      <c r="P4260">
        <v>1</v>
      </c>
      <c r="Q4260">
        <v>0</v>
      </c>
      <c r="R4260" s="4">
        <v>49.37</v>
      </c>
      <c r="S4260">
        <v>0</v>
      </c>
      <c r="T4260">
        <v>1</v>
      </c>
    </row>
    <row r="4261" spans="1:20" ht="16.5" x14ac:dyDescent="0.3">
      <c r="A4261" t="s">
        <v>4315</v>
      </c>
      <c r="B4261" s="1">
        <v>45885</v>
      </c>
      <c r="C4261">
        <v>2025</v>
      </c>
      <c r="D4261" t="s">
        <v>1261</v>
      </c>
      <c r="E4261" t="s">
        <v>1454</v>
      </c>
      <c r="F4261" t="s">
        <v>34</v>
      </c>
      <c r="G4261" t="s">
        <v>35</v>
      </c>
      <c r="H4261" t="s">
        <v>36</v>
      </c>
      <c r="I4261" t="s">
        <v>40</v>
      </c>
      <c r="J4261" t="s">
        <v>27</v>
      </c>
      <c r="K4261" t="s">
        <v>32</v>
      </c>
      <c r="L4261" s="2">
        <v>4.8</v>
      </c>
      <c r="M4261" s="3">
        <v>239</v>
      </c>
      <c r="N4261">
        <v>1</v>
      </c>
      <c r="O4261">
        <v>1</v>
      </c>
      <c r="P4261">
        <v>1</v>
      </c>
      <c r="Q4261">
        <v>0</v>
      </c>
      <c r="R4261" s="4">
        <v>17.739999999999998</v>
      </c>
      <c r="S4261">
        <v>0</v>
      </c>
      <c r="T4261">
        <v>1</v>
      </c>
    </row>
    <row r="4262" spans="1:20" ht="16.5" x14ac:dyDescent="0.3">
      <c r="A4262" t="s">
        <v>4316</v>
      </c>
      <c r="B4262" s="1">
        <v>45885</v>
      </c>
      <c r="C4262">
        <v>2025</v>
      </c>
      <c r="D4262" t="s">
        <v>1261</v>
      </c>
      <c r="E4262" t="s">
        <v>1454</v>
      </c>
      <c r="F4262" t="s">
        <v>30</v>
      </c>
      <c r="G4262" t="s">
        <v>24</v>
      </c>
      <c r="H4262" t="s">
        <v>25</v>
      </c>
      <c r="I4262" t="s">
        <v>26</v>
      </c>
      <c r="J4262" t="s">
        <v>27</v>
      </c>
      <c r="K4262" t="s">
        <v>28</v>
      </c>
      <c r="L4262" s="2">
        <v>57</v>
      </c>
      <c r="M4262" s="3">
        <v>796</v>
      </c>
      <c r="N4262">
        <v>4</v>
      </c>
      <c r="O4262">
        <v>3</v>
      </c>
      <c r="P4262">
        <v>1</v>
      </c>
      <c r="Q4262">
        <v>0</v>
      </c>
      <c r="R4262" s="4">
        <v>42.92</v>
      </c>
      <c r="S4262">
        <v>0</v>
      </c>
      <c r="T4262">
        <v>1</v>
      </c>
    </row>
    <row r="4263" spans="1:20" ht="16.5" x14ac:dyDescent="0.3">
      <c r="A4263" t="s">
        <v>4317</v>
      </c>
      <c r="B4263" s="1">
        <v>45885</v>
      </c>
      <c r="C4263">
        <v>2025</v>
      </c>
      <c r="D4263" t="s">
        <v>1261</v>
      </c>
      <c r="E4263" t="s">
        <v>1454</v>
      </c>
      <c r="F4263" t="s">
        <v>38</v>
      </c>
      <c r="G4263" t="s">
        <v>39</v>
      </c>
      <c r="H4263" t="s">
        <v>51</v>
      </c>
      <c r="I4263" t="s">
        <v>40</v>
      </c>
      <c r="J4263" t="s">
        <v>41</v>
      </c>
      <c r="K4263" t="s">
        <v>32</v>
      </c>
      <c r="L4263" s="2">
        <v>4.8</v>
      </c>
      <c r="M4263" s="3">
        <v>1032</v>
      </c>
      <c r="N4263">
        <v>3</v>
      </c>
      <c r="O4263">
        <v>3</v>
      </c>
      <c r="P4263">
        <v>1</v>
      </c>
      <c r="Q4263">
        <v>0</v>
      </c>
      <c r="R4263" s="4">
        <v>71.31</v>
      </c>
      <c r="S4263">
        <v>0</v>
      </c>
      <c r="T4263">
        <v>1</v>
      </c>
    </row>
    <row r="4264" spans="1:20" ht="16.5" x14ac:dyDescent="0.3">
      <c r="A4264" t="s">
        <v>4318</v>
      </c>
      <c r="B4264" s="1">
        <v>45885</v>
      </c>
      <c r="C4264">
        <v>2025</v>
      </c>
      <c r="D4264" t="s">
        <v>1261</v>
      </c>
      <c r="E4264" t="s">
        <v>1454</v>
      </c>
      <c r="F4264" t="s">
        <v>30</v>
      </c>
      <c r="G4264" t="s">
        <v>35</v>
      </c>
      <c r="H4264" t="s">
        <v>51</v>
      </c>
      <c r="I4264" t="s">
        <v>31</v>
      </c>
      <c r="J4264" t="s">
        <v>27</v>
      </c>
      <c r="K4264" t="s">
        <v>28</v>
      </c>
      <c r="L4264" s="2">
        <v>217.1</v>
      </c>
      <c r="M4264" s="3">
        <v>1351</v>
      </c>
      <c r="N4264">
        <v>7</v>
      </c>
      <c r="O4264">
        <v>7</v>
      </c>
      <c r="P4264">
        <v>1</v>
      </c>
      <c r="Q4264">
        <v>0</v>
      </c>
      <c r="R4264" s="4">
        <v>86.37</v>
      </c>
      <c r="S4264">
        <v>0</v>
      </c>
      <c r="T4264">
        <v>1</v>
      </c>
    </row>
    <row r="4265" spans="1:20" ht="16.5" x14ac:dyDescent="0.3">
      <c r="A4265" t="s">
        <v>4319</v>
      </c>
      <c r="B4265" s="1">
        <v>45886</v>
      </c>
      <c r="C4265">
        <v>2025</v>
      </c>
      <c r="D4265" t="s">
        <v>1261</v>
      </c>
      <c r="E4265" t="s">
        <v>1454</v>
      </c>
      <c r="F4265" t="s">
        <v>38</v>
      </c>
      <c r="G4265" t="s">
        <v>39</v>
      </c>
      <c r="H4265" t="s">
        <v>25</v>
      </c>
      <c r="I4265" t="s">
        <v>26</v>
      </c>
      <c r="J4265" t="s">
        <v>27</v>
      </c>
      <c r="K4265" t="s">
        <v>32</v>
      </c>
      <c r="L4265" s="2">
        <v>16.3</v>
      </c>
      <c r="M4265" s="3">
        <v>942</v>
      </c>
      <c r="N4265">
        <v>4</v>
      </c>
      <c r="O4265">
        <v>4</v>
      </c>
      <c r="P4265">
        <v>1</v>
      </c>
      <c r="Q4265">
        <v>0</v>
      </c>
      <c r="R4265" s="4">
        <v>28.32</v>
      </c>
      <c r="S4265">
        <v>0</v>
      </c>
      <c r="T4265">
        <v>1</v>
      </c>
    </row>
    <row r="4266" spans="1:20" ht="16.5" x14ac:dyDescent="0.3">
      <c r="A4266" t="s">
        <v>4320</v>
      </c>
      <c r="B4266" s="1">
        <v>45886</v>
      </c>
      <c r="C4266">
        <v>2025</v>
      </c>
      <c r="D4266" t="s">
        <v>1261</v>
      </c>
      <c r="E4266" t="s">
        <v>1454</v>
      </c>
      <c r="F4266" t="s">
        <v>38</v>
      </c>
      <c r="G4266" t="s">
        <v>39</v>
      </c>
      <c r="H4266" t="s">
        <v>25</v>
      </c>
      <c r="I4266" t="s">
        <v>26</v>
      </c>
      <c r="J4266" t="s">
        <v>27</v>
      </c>
      <c r="K4266" t="s">
        <v>32</v>
      </c>
      <c r="L4266" s="2">
        <v>4.7</v>
      </c>
      <c r="M4266" s="3">
        <v>785</v>
      </c>
      <c r="N4266">
        <v>4</v>
      </c>
      <c r="O4266">
        <v>4</v>
      </c>
      <c r="P4266">
        <v>1</v>
      </c>
      <c r="Q4266">
        <v>0</v>
      </c>
      <c r="R4266" s="4">
        <v>23.71</v>
      </c>
      <c r="S4266">
        <v>0</v>
      </c>
      <c r="T4266">
        <v>1</v>
      </c>
    </row>
    <row r="4267" spans="1:20" ht="16.5" x14ac:dyDescent="0.3">
      <c r="A4267" t="s">
        <v>4321</v>
      </c>
      <c r="B4267" s="1">
        <v>45886</v>
      </c>
      <c r="C4267">
        <v>2025</v>
      </c>
      <c r="D4267" t="s">
        <v>1261</v>
      </c>
      <c r="E4267" t="s">
        <v>1454</v>
      </c>
      <c r="F4267" t="s">
        <v>23</v>
      </c>
      <c r="G4267" t="s">
        <v>39</v>
      </c>
      <c r="H4267" t="s">
        <v>36</v>
      </c>
      <c r="I4267" t="s">
        <v>26</v>
      </c>
      <c r="J4267" t="s">
        <v>27</v>
      </c>
      <c r="K4267" t="s">
        <v>32</v>
      </c>
      <c r="L4267" s="2">
        <v>11.7</v>
      </c>
      <c r="M4267" s="3">
        <v>252</v>
      </c>
      <c r="N4267">
        <v>3</v>
      </c>
      <c r="O4267">
        <v>2</v>
      </c>
      <c r="P4267">
        <v>1</v>
      </c>
      <c r="Q4267">
        <v>0</v>
      </c>
      <c r="R4267" s="4">
        <v>14.02</v>
      </c>
      <c r="S4267">
        <v>0</v>
      </c>
      <c r="T4267">
        <v>1</v>
      </c>
    </row>
    <row r="4268" spans="1:20" ht="16.5" x14ac:dyDescent="0.3">
      <c r="A4268" t="s">
        <v>4322</v>
      </c>
      <c r="B4268" s="1">
        <v>45886</v>
      </c>
      <c r="C4268">
        <v>2025</v>
      </c>
      <c r="D4268" t="s">
        <v>1261</v>
      </c>
      <c r="E4268" t="s">
        <v>1454</v>
      </c>
      <c r="F4268" t="s">
        <v>57</v>
      </c>
      <c r="G4268" t="s">
        <v>39</v>
      </c>
      <c r="H4268" t="s">
        <v>51</v>
      </c>
      <c r="I4268" t="s">
        <v>40</v>
      </c>
      <c r="J4268" t="s">
        <v>41</v>
      </c>
      <c r="K4268" t="s">
        <v>28</v>
      </c>
      <c r="L4268" s="2">
        <v>127.3</v>
      </c>
      <c r="M4268" s="3">
        <v>1056</v>
      </c>
      <c r="N4268">
        <v>3</v>
      </c>
      <c r="O4268">
        <v>2</v>
      </c>
      <c r="P4268">
        <v>1</v>
      </c>
      <c r="Q4268">
        <v>0</v>
      </c>
      <c r="R4268" s="4">
        <v>260.60000000000002</v>
      </c>
      <c r="S4268">
        <v>0</v>
      </c>
      <c r="T4268">
        <v>1</v>
      </c>
    </row>
    <row r="4269" spans="1:20" ht="16.5" x14ac:dyDescent="0.3">
      <c r="A4269" t="s">
        <v>4323</v>
      </c>
      <c r="B4269" s="1">
        <v>45887</v>
      </c>
      <c r="C4269">
        <v>2025</v>
      </c>
      <c r="D4269" t="s">
        <v>1261</v>
      </c>
      <c r="E4269" t="s">
        <v>1454</v>
      </c>
      <c r="F4269" t="s">
        <v>30</v>
      </c>
      <c r="G4269" t="s">
        <v>35</v>
      </c>
      <c r="H4269" t="s">
        <v>43</v>
      </c>
      <c r="I4269" t="s">
        <v>31</v>
      </c>
      <c r="J4269" t="s">
        <v>27</v>
      </c>
      <c r="K4269" t="s">
        <v>32</v>
      </c>
      <c r="L4269" s="2">
        <v>1.2</v>
      </c>
      <c r="M4269" s="3">
        <v>1355</v>
      </c>
      <c r="N4269">
        <v>7</v>
      </c>
      <c r="O4269">
        <v>6</v>
      </c>
      <c r="P4269">
        <v>1</v>
      </c>
      <c r="Q4269">
        <v>0</v>
      </c>
      <c r="R4269" s="4">
        <v>19</v>
      </c>
      <c r="S4269">
        <v>0</v>
      </c>
      <c r="T4269">
        <v>1</v>
      </c>
    </row>
    <row r="4270" spans="1:20" ht="16.5" x14ac:dyDescent="0.3">
      <c r="A4270" t="s">
        <v>4324</v>
      </c>
      <c r="B4270" s="1">
        <v>45887</v>
      </c>
      <c r="C4270">
        <v>2025</v>
      </c>
      <c r="D4270" t="s">
        <v>1261</v>
      </c>
      <c r="E4270" t="s">
        <v>1454</v>
      </c>
      <c r="F4270" t="s">
        <v>30</v>
      </c>
      <c r="G4270" t="s">
        <v>35</v>
      </c>
      <c r="H4270" t="s">
        <v>36</v>
      </c>
      <c r="I4270" t="s">
        <v>26</v>
      </c>
      <c r="J4270" t="s">
        <v>27</v>
      </c>
      <c r="K4270" t="s">
        <v>28</v>
      </c>
      <c r="L4270" s="2">
        <v>52.4</v>
      </c>
      <c r="M4270" s="3">
        <v>286</v>
      </c>
      <c r="N4270">
        <v>3</v>
      </c>
      <c r="O4270">
        <v>2</v>
      </c>
      <c r="P4270">
        <v>1</v>
      </c>
      <c r="Q4270">
        <v>0</v>
      </c>
      <c r="R4270" s="4">
        <v>32.74</v>
      </c>
      <c r="S4270">
        <v>0</v>
      </c>
      <c r="T4270">
        <v>1</v>
      </c>
    </row>
    <row r="4271" spans="1:20" ht="16.5" x14ac:dyDescent="0.3">
      <c r="A4271" t="s">
        <v>4325</v>
      </c>
      <c r="B4271" s="1">
        <v>45887</v>
      </c>
      <c r="C4271">
        <v>2025</v>
      </c>
      <c r="D4271" t="s">
        <v>1261</v>
      </c>
      <c r="E4271" t="s">
        <v>1454</v>
      </c>
      <c r="F4271" t="s">
        <v>23</v>
      </c>
      <c r="G4271" t="s">
        <v>39</v>
      </c>
      <c r="H4271" t="s">
        <v>25</v>
      </c>
      <c r="I4271" t="s">
        <v>26</v>
      </c>
      <c r="J4271" t="s">
        <v>27</v>
      </c>
      <c r="K4271" t="s">
        <v>28</v>
      </c>
      <c r="L4271" s="2">
        <v>135</v>
      </c>
      <c r="M4271" s="3">
        <v>858</v>
      </c>
      <c r="N4271">
        <v>4</v>
      </c>
      <c r="O4271">
        <v>4</v>
      </c>
      <c r="P4271">
        <v>1</v>
      </c>
      <c r="Q4271">
        <v>0</v>
      </c>
      <c r="R4271" s="4">
        <v>73.430000000000007</v>
      </c>
      <c r="S4271">
        <v>0</v>
      </c>
      <c r="T4271">
        <v>1</v>
      </c>
    </row>
    <row r="4272" spans="1:20" ht="16.5" x14ac:dyDescent="0.3">
      <c r="A4272" t="s">
        <v>4326</v>
      </c>
      <c r="B4272" s="1">
        <v>45887</v>
      </c>
      <c r="C4272">
        <v>2025</v>
      </c>
      <c r="D4272" t="s">
        <v>1261</v>
      </c>
      <c r="E4272" t="s">
        <v>1454</v>
      </c>
      <c r="F4272" t="s">
        <v>57</v>
      </c>
      <c r="G4272" t="s">
        <v>39</v>
      </c>
      <c r="H4272" t="s">
        <v>36</v>
      </c>
      <c r="I4272" t="s">
        <v>40</v>
      </c>
      <c r="J4272" t="s">
        <v>27</v>
      </c>
      <c r="K4272" t="s">
        <v>32</v>
      </c>
      <c r="L4272" s="2">
        <v>3.7</v>
      </c>
      <c r="M4272" s="3">
        <v>192</v>
      </c>
      <c r="N4272">
        <v>1</v>
      </c>
      <c r="O4272">
        <v>1</v>
      </c>
      <c r="P4272">
        <v>1</v>
      </c>
      <c r="Q4272">
        <v>0</v>
      </c>
      <c r="R4272" s="4">
        <v>21.68</v>
      </c>
      <c r="S4272">
        <v>0</v>
      </c>
      <c r="T4272">
        <v>1</v>
      </c>
    </row>
    <row r="4273" spans="1:20" ht="16.5" x14ac:dyDescent="0.3">
      <c r="A4273" t="s">
        <v>4327</v>
      </c>
      <c r="B4273" s="1">
        <v>45887</v>
      </c>
      <c r="C4273">
        <v>2025</v>
      </c>
      <c r="D4273" t="s">
        <v>1261</v>
      </c>
      <c r="E4273" t="s">
        <v>1454</v>
      </c>
      <c r="F4273" t="s">
        <v>38</v>
      </c>
      <c r="G4273" t="s">
        <v>39</v>
      </c>
      <c r="H4273" t="s">
        <v>36</v>
      </c>
      <c r="I4273" t="s">
        <v>26</v>
      </c>
      <c r="J4273" t="s">
        <v>27</v>
      </c>
      <c r="K4273" t="s">
        <v>28</v>
      </c>
      <c r="L4273" s="2">
        <v>70.099999999999994</v>
      </c>
      <c r="M4273" s="3">
        <v>228</v>
      </c>
      <c r="N4273">
        <v>3</v>
      </c>
      <c r="O4273">
        <v>3</v>
      </c>
      <c r="P4273">
        <v>1</v>
      </c>
      <c r="Q4273">
        <v>0</v>
      </c>
      <c r="R4273" s="4">
        <v>53.09</v>
      </c>
      <c r="S4273">
        <v>0</v>
      </c>
      <c r="T4273">
        <v>1</v>
      </c>
    </row>
    <row r="4274" spans="1:20" ht="16.5" x14ac:dyDescent="0.3">
      <c r="A4274" t="s">
        <v>4328</v>
      </c>
      <c r="B4274" s="1">
        <v>45887</v>
      </c>
      <c r="C4274">
        <v>2025</v>
      </c>
      <c r="D4274" t="s">
        <v>1261</v>
      </c>
      <c r="E4274" t="s">
        <v>1454</v>
      </c>
      <c r="F4274" t="s">
        <v>38</v>
      </c>
      <c r="G4274" t="s">
        <v>39</v>
      </c>
      <c r="H4274" t="s">
        <v>48</v>
      </c>
      <c r="I4274" t="s">
        <v>26</v>
      </c>
      <c r="J4274" t="s">
        <v>27</v>
      </c>
      <c r="K4274" t="s">
        <v>32</v>
      </c>
      <c r="L4274" s="2">
        <v>4.2</v>
      </c>
      <c r="M4274" s="3">
        <v>577</v>
      </c>
      <c r="N4274">
        <v>4</v>
      </c>
      <c r="O4274">
        <v>4</v>
      </c>
      <c r="P4274">
        <v>1</v>
      </c>
      <c r="Q4274">
        <v>0</v>
      </c>
      <c r="R4274" s="4">
        <v>18.489999999999998</v>
      </c>
      <c r="S4274">
        <v>0</v>
      </c>
      <c r="T4274">
        <v>1</v>
      </c>
    </row>
    <row r="4275" spans="1:20" ht="16.5" x14ac:dyDescent="0.3">
      <c r="A4275" t="s">
        <v>4329</v>
      </c>
      <c r="B4275" s="1">
        <v>45887</v>
      </c>
      <c r="C4275">
        <v>2025</v>
      </c>
      <c r="D4275" t="s">
        <v>1261</v>
      </c>
      <c r="E4275" t="s">
        <v>1454</v>
      </c>
      <c r="F4275" t="s">
        <v>34</v>
      </c>
      <c r="G4275" t="s">
        <v>35</v>
      </c>
      <c r="H4275" t="s">
        <v>36</v>
      </c>
      <c r="I4275" t="s">
        <v>31</v>
      </c>
      <c r="J4275" t="s">
        <v>27</v>
      </c>
      <c r="K4275" t="s">
        <v>28</v>
      </c>
      <c r="L4275" s="2">
        <v>94.3</v>
      </c>
      <c r="M4275" s="3">
        <v>239</v>
      </c>
      <c r="N4275">
        <v>5</v>
      </c>
      <c r="O4275">
        <v>4</v>
      </c>
      <c r="P4275">
        <v>1</v>
      </c>
      <c r="Q4275">
        <v>0</v>
      </c>
      <c r="R4275" s="4">
        <v>31.62</v>
      </c>
      <c r="S4275">
        <v>1</v>
      </c>
      <c r="T4275">
        <v>1</v>
      </c>
    </row>
    <row r="4276" spans="1:20" ht="16.5" x14ac:dyDescent="0.3">
      <c r="A4276" t="s">
        <v>4330</v>
      </c>
      <c r="B4276" s="1">
        <v>45887</v>
      </c>
      <c r="C4276">
        <v>2025</v>
      </c>
      <c r="D4276" t="s">
        <v>1261</v>
      </c>
      <c r="E4276" t="s">
        <v>1454</v>
      </c>
      <c r="F4276" t="s">
        <v>34</v>
      </c>
      <c r="G4276" t="s">
        <v>39</v>
      </c>
      <c r="H4276" t="s">
        <v>25</v>
      </c>
      <c r="I4276" t="s">
        <v>31</v>
      </c>
      <c r="J4276" t="s">
        <v>27</v>
      </c>
      <c r="K4276" t="s">
        <v>32</v>
      </c>
      <c r="L4276" s="2">
        <v>5.9</v>
      </c>
      <c r="M4276" s="3">
        <v>1056</v>
      </c>
      <c r="N4276">
        <v>6</v>
      </c>
      <c r="O4276">
        <v>6</v>
      </c>
      <c r="P4276">
        <v>1</v>
      </c>
      <c r="Q4276">
        <v>0</v>
      </c>
      <c r="R4276" s="4">
        <v>14.08</v>
      </c>
      <c r="S4276">
        <v>0</v>
      </c>
      <c r="T4276">
        <v>1</v>
      </c>
    </row>
    <row r="4277" spans="1:20" ht="16.5" x14ac:dyDescent="0.3">
      <c r="A4277" t="s">
        <v>4331</v>
      </c>
      <c r="B4277" s="1">
        <v>45887</v>
      </c>
      <c r="C4277">
        <v>2025</v>
      </c>
      <c r="D4277" t="s">
        <v>1261</v>
      </c>
      <c r="E4277" t="s">
        <v>1454</v>
      </c>
      <c r="F4277" t="s">
        <v>23</v>
      </c>
      <c r="G4277" t="s">
        <v>39</v>
      </c>
      <c r="H4277" t="s">
        <v>48</v>
      </c>
      <c r="I4277" t="s">
        <v>26</v>
      </c>
      <c r="J4277" t="s">
        <v>27</v>
      </c>
      <c r="K4277" t="s">
        <v>28</v>
      </c>
      <c r="L4277" s="2">
        <v>13.3</v>
      </c>
      <c r="M4277" s="3">
        <v>445</v>
      </c>
      <c r="N4277">
        <v>4</v>
      </c>
      <c r="O4277">
        <v>3</v>
      </c>
      <c r="P4277">
        <v>1</v>
      </c>
      <c r="Q4277">
        <v>0</v>
      </c>
      <c r="R4277" s="4">
        <v>18</v>
      </c>
      <c r="S4277">
        <v>0</v>
      </c>
      <c r="T4277">
        <v>1</v>
      </c>
    </row>
    <row r="4278" spans="1:20" ht="16.5" x14ac:dyDescent="0.3">
      <c r="A4278" t="s">
        <v>4332</v>
      </c>
      <c r="B4278" s="1">
        <v>45888</v>
      </c>
      <c r="C4278">
        <v>2025</v>
      </c>
      <c r="D4278" t="s">
        <v>1261</v>
      </c>
      <c r="E4278" t="s">
        <v>1454</v>
      </c>
      <c r="F4278" t="s">
        <v>34</v>
      </c>
      <c r="G4278" t="s">
        <v>39</v>
      </c>
      <c r="H4278" t="s">
        <v>48</v>
      </c>
      <c r="I4278" t="s">
        <v>31</v>
      </c>
      <c r="J4278" t="s">
        <v>27</v>
      </c>
      <c r="K4278" t="s">
        <v>28</v>
      </c>
      <c r="L4278" s="2">
        <v>205.1</v>
      </c>
      <c r="M4278" s="3">
        <v>418</v>
      </c>
      <c r="N4278">
        <v>6</v>
      </c>
      <c r="O4278">
        <v>6</v>
      </c>
      <c r="P4278">
        <v>1</v>
      </c>
      <c r="Q4278">
        <v>0</v>
      </c>
      <c r="R4278" s="4">
        <v>53.49</v>
      </c>
      <c r="S4278">
        <v>0</v>
      </c>
      <c r="T4278">
        <v>1</v>
      </c>
    </row>
    <row r="4279" spans="1:20" ht="16.5" x14ac:dyDescent="0.3">
      <c r="A4279" t="s">
        <v>4333</v>
      </c>
      <c r="B4279" s="1">
        <v>45888</v>
      </c>
      <c r="C4279">
        <v>2025</v>
      </c>
      <c r="D4279" t="s">
        <v>1261</v>
      </c>
      <c r="E4279" t="s">
        <v>1454</v>
      </c>
      <c r="F4279" t="s">
        <v>38</v>
      </c>
      <c r="G4279" t="s">
        <v>39</v>
      </c>
      <c r="H4279" t="s">
        <v>48</v>
      </c>
      <c r="I4279" t="s">
        <v>31</v>
      </c>
      <c r="J4279" t="s">
        <v>27</v>
      </c>
      <c r="K4279" t="s">
        <v>32</v>
      </c>
      <c r="L4279" s="2">
        <v>3.1</v>
      </c>
      <c r="M4279" s="3">
        <v>497</v>
      </c>
      <c r="N4279">
        <v>6</v>
      </c>
      <c r="O4279">
        <v>6</v>
      </c>
      <c r="P4279">
        <v>1</v>
      </c>
      <c r="Q4279">
        <v>0</v>
      </c>
      <c r="R4279" s="4">
        <v>11.69</v>
      </c>
      <c r="S4279">
        <v>0</v>
      </c>
      <c r="T4279">
        <v>1</v>
      </c>
    </row>
    <row r="4280" spans="1:20" ht="16.5" x14ac:dyDescent="0.3">
      <c r="A4280" t="s">
        <v>4334</v>
      </c>
      <c r="B4280" s="1">
        <v>45888</v>
      </c>
      <c r="C4280">
        <v>2025</v>
      </c>
      <c r="D4280" t="s">
        <v>1261</v>
      </c>
      <c r="E4280" t="s">
        <v>1454</v>
      </c>
      <c r="F4280" t="s">
        <v>34</v>
      </c>
      <c r="G4280" t="s">
        <v>35</v>
      </c>
      <c r="H4280" t="s">
        <v>36</v>
      </c>
      <c r="I4280" t="s">
        <v>26</v>
      </c>
      <c r="J4280" t="s">
        <v>27</v>
      </c>
      <c r="K4280" t="s">
        <v>32</v>
      </c>
      <c r="L4280" s="2">
        <v>12</v>
      </c>
      <c r="M4280" s="3">
        <v>220</v>
      </c>
      <c r="N4280">
        <v>3</v>
      </c>
      <c r="O4280">
        <v>4</v>
      </c>
      <c r="P4280">
        <v>0</v>
      </c>
      <c r="Q4280">
        <v>1</v>
      </c>
      <c r="R4280" s="4">
        <v>14.52</v>
      </c>
      <c r="S4280">
        <v>0</v>
      </c>
      <c r="T4280">
        <v>1</v>
      </c>
    </row>
    <row r="4281" spans="1:20" ht="16.5" x14ac:dyDescent="0.3">
      <c r="A4281" t="s">
        <v>4335</v>
      </c>
      <c r="B4281" s="1">
        <v>45888</v>
      </c>
      <c r="C4281">
        <v>2025</v>
      </c>
      <c r="D4281" t="s">
        <v>1261</v>
      </c>
      <c r="E4281" t="s">
        <v>1454</v>
      </c>
      <c r="F4281" t="s">
        <v>38</v>
      </c>
      <c r="G4281" t="s">
        <v>39</v>
      </c>
      <c r="H4281" t="s">
        <v>48</v>
      </c>
      <c r="I4281" t="s">
        <v>31</v>
      </c>
      <c r="J4281" t="s">
        <v>27</v>
      </c>
      <c r="K4281" t="s">
        <v>32</v>
      </c>
      <c r="L4281" s="2">
        <v>3.4</v>
      </c>
      <c r="M4281" s="3">
        <v>369</v>
      </c>
      <c r="N4281">
        <v>6</v>
      </c>
      <c r="O4281">
        <v>6</v>
      </c>
      <c r="P4281">
        <v>1</v>
      </c>
      <c r="Q4281">
        <v>0</v>
      </c>
      <c r="R4281" s="4">
        <v>9.68</v>
      </c>
      <c r="S4281">
        <v>0</v>
      </c>
      <c r="T4281">
        <v>1</v>
      </c>
    </row>
    <row r="4282" spans="1:20" ht="16.5" x14ac:dyDescent="0.3">
      <c r="A4282" t="s">
        <v>4336</v>
      </c>
      <c r="B4282" s="1">
        <v>45888</v>
      </c>
      <c r="C4282">
        <v>2025</v>
      </c>
      <c r="D4282" t="s">
        <v>1261</v>
      </c>
      <c r="E4282" t="s">
        <v>1454</v>
      </c>
      <c r="F4282" t="s">
        <v>34</v>
      </c>
      <c r="G4282" t="s">
        <v>39</v>
      </c>
      <c r="H4282" t="s">
        <v>48</v>
      </c>
      <c r="I4282" t="s">
        <v>31</v>
      </c>
      <c r="J4282" t="s">
        <v>27</v>
      </c>
      <c r="K4282" t="s">
        <v>28</v>
      </c>
      <c r="L4282" s="2">
        <v>60.1</v>
      </c>
      <c r="M4282" s="3">
        <v>467</v>
      </c>
      <c r="N4282">
        <v>6</v>
      </c>
      <c r="O4282">
        <v>6</v>
      </c>
      <c r="P4282">
        <v>1</v>
      </c>
      <c r="Q4282">
        <v>0</v>
      </c>
      <c r="R4282" s="4">
        <v>25.21</v>
      </c>
      <c r="S4282">
        <v>0</v>
      </c>
      <c r="T4282">
        <v>1</v>
      </c>
    </row>
    <row r="4283" spans="1:20" ht="16.5" x14ac:dyDescent="0.3">
      <c r="A4283" t="s">
        <v>4337</v>
      </c>
      <c r="B4283" s="1">
        <v>45888</v>
      </c>
      <c r="C4283">
        <v>2025</v>
      </c>
      <c r="D4283" t="s">
        <v>1261</v>
      </c>
      <c r="E4283" t="s">
        <v>1454</v>
      </c>
      <c r="F4283" t="s">
        <v>30</v>
      </c>
      <c r="G4283" t="s">
        <v>39</v>
      </c>
      <c r="H4283" t="s">
        <v>25</v>
      </c>
      <c r="I4283" t="s">
        <v>31</v>
      </c>
      <c r="J4283" t="s">
        <v>27</v>
      </c>
      <c r="K4283" t="s">
        <v>32</v>
      </c>
      <c r="L4283" s="2">
        <v>5.9</v>
      </c>
      <c r="M4283" s="3">
        <v>997</v>
      </c>
      <c r="N4283">
        <v>6</v>
      </c>
      <c r="O4283">
        <v>6</v>
      </c>
      <c r="P4283">
        <v>1</v>
      </c>
      <c r="Q4283">
        <v>0</v>
      </c>
      <c r="R4283" s="4">
        <v>17.7</v>
      </c>
      <c r="S4283">
        <v>0</v>
      </c>
      <c r="T4283">
        <v>1</v>
      </c>
    </row>
    <row r="4284" spans="1:20" ht="16.5" x14ac:dyDescent="0.3">
      <c r="A4284" t="s">
        <v>4338</v>
      </c>
      <c r="B4284" s="1">
        <v>45888</v>
      </c>
      <c r="C4284">
        <v>2025</v>
      </c>
      <c r="D4284" t="s">
        <v>1261</v>
      </c>
      <c r="E4284" t="s">
        <v>1454</v>
      </c>
      <c r="F4284" t="s">
        <v>57</v>
      </c>
      <c r="G4284" t="s">
        <v>35</v>
      </c>
      <c r="H4284" t="s">
        <v>36</v>
      </c>
      <c r="I4284" t="s">
        <v>26</v>
      </c>
      <c r="J4284" t="s">
        <v>27</v>
      </c>
      <c r="K4284" t="s">
        <v>32</v>
      </c>
      <c r="L4284" s="2">
        <v>5.0999999999999996</v>
      </c>
      <c r="M4284" s="3">
        <v>243</v>
      </c>
      <c r="N4284">
        <v>3</v>
      </c>
      <c r="O4284">
        <v>3</v>
      </c>
      <c r="P4284">
        <v>1</v>
      </c>
      <c r="Q4284">
        <v>0</v>
      </c>
      <c r="R4284" s="4">
        <v>12.28</v>
      </c>
      <c r="S4284">
        <v>0</v>
      </c>
      <c r="T4284">
        <v>1</v>
      </c>
    </row>
    <row r="4285" spans="1:20" ht="16.5" x14ac:dyDescent="0.3">
      <c r="A4285" t="s">
        <v>4339</v>
      </c>
      <c r="B4285" s="1">
        <v>45888</v>
      </c>
      <c r="C4285">
        <v>2025</v>
      </c>
      <c r="D4285" t="s">
        <v>1261</v>
      </c>
      <c r="E4285" t="s">
        <v>1454</v>
      </c>
      <c r="F4285" t="s">
        <v>38</v>
      </c>
      <c r="G4285" t="s">
        <v>39</v>
      </c>
      <c r="H4285" t="s">
        <v>25</v>
      </c>
      <c r="I4285" t="s">
        <v>26</v>
      </c>
      <c r="J4285" t="s">
        <v>27</v>
      </c>
      <c r="K4285" t="s">
        <v>28</v>
      </c>
      <c r="L4285" s="2">
        <v>81.5</v>
      </c>
      <c r="M4285" s="3">
        <v>826</v>
      </c>
      <c r="N4285">
        <v>4</v>
      </c>
      <c r="O4285">
        <v>4</v>
      </c>
      <c r="P4285">
        <v>1</v>
      </c>
      <c r="Q4285">
        <v>0</v>
      </c>
      <c r="R4285" s="4">
        <v>60.97</v>
      </c>
      <c r="S4285">
        <v>0</v>
      </c>
      <c r="T4285">
        <v>1</v>
      </c>
    </row>
    <row r="4286" spans="1:20" ht="16.5" x14ac:dyDescent="0.3">
      <c r="A4286" t="s">
        <v>4340</v>
      </c>
      <c r="B4286" s="1">
        <v>45888</v>
      </c>
      <c r="C4286">
        <v>2025</v>
      </c>
      <c r="D4286" t="s">
        <v>1261</v>
      </c>
      <c r="E4286" t="s">
        <v>1454</v>
      </c>
      <c r="F4286" t="s">
        <v>57</v>
      </c>
      <c r="G4286" t="s">
        <v>35</v>
      </c>
      <c r="H4286" t="s">
        <v>36</v>
      </c>
      <c r="I4286" t="s">
        <v>31</v>
      </c>
      <c r="J4286" t="s">
        <v>27</v>
      </c>
      <c r="K4286" t="s">
        <v>32</v>
      </c>
      <c r="L4286" s="2">
        <v>2.9</v>
      </c>
      <c r="M4286" s="3">
        <v>265</v>
      </c>
      <c r="N4286">
        <v>5</v>
      </c>
      <c r="O4286">
        <v>5</v>
      </c>
      <c r="P4286">
        <v>1</v>
      </c>
      <c r="Q4286">
        <v>0</v>
      </c>
      <c r="R4286" s="4">
        <v>7.55</v>
      </c>
      <c r="S4286">
        <v>0</v>
      </c>
      <c r="T4286">
        <v>1</v>
      </c>
    </row>
    <row r="4287" spans="1:20" ht="16.5" x14ac:dyDescent="0.3">
      <c r="A4287" t="s">
        <v>4341</v>
      </c>
      <c r="B4287" s="1">
        <v>45888</v>
      </c>
      <c r="C4287">
        <v>2025</v>
      </c>
      <c r="D4287" t="s">
        <v>1261</v>
      </c>
      <c r="E4287" t="s">
        <v>1454</v>
      </c>
      <c r="F4287" t="s">
        <v>23</v>
      </c>
      <c r="G4287" t="s">
        <v>35</v>
      </c>
      <c r="H4287" t="s">
        <v>36</v>
      </c>
      <c r="I4287" t="s">
        <v>40</v>
      </c>
      <c r="J4287" t="s">
        <v>27</v>
      </c>
      <c r="K4287" t="s">
        <v>32</v>
      </c>
      <c r="L4287" s="2">
        <v>10.1</v>
      </c>
      <c r="M4287" s="3">
        <v>219</v>
      </c>
      <c r="N4287">
        <v>1</v>
      </c>
      <c r="O4287">
        <v>1</v>
      </c>
      <c r="P4287">
        <v>1</v>
      </c>
      <c r="Q4287">
        <v>0</v>
      </c>
      <c r="R4287" s="4">
        <v>27.67</v>
      </c>
      <c r="S4287">
        <v>0</v>
      </c>
      <c r="T4287">
        <v>1</v>
      </c>
    </row>
    <row r="4288" spans="1:20" ht="16.5" x14ac:dyDescent="0.3">
      <c r="A4288" t="s">
        <v>4342</v>
      </c>
      <c r="B4288" s="1">
        <v>45888</v>
      </c>
      <c r="C4288">
        <v>2025</v>
      </c>
      <c r="D4288" t="s">
        <v>1261</v>
      </c>
      <c r="E4288" t="s">
        <v>1454</v>
      </c>
      <c r="F4288" t="s">
        <v>30</v>
      </c>
      <c r="G4288" t="s">
        <v>39</v>
      </c>
      <c r="H4288" t="s">
        <v>36</v>
      </c>
      <c r="I4288" t="s">
        <v>31</v>
      </c>
      <c r="J4288" t="s">
        <v>27</v>
      </c>
      <c r="K4288" t="s">
        <v>32</v>
      </c>
      <c r="L4288" s="2">
        <v>12.2</v>
      </c>
      <c r="M4288" s="3">
        <v>294</v>
      </c>
      <c r="N4288">
        <v>5</v>
      </c>
      <c r="O4288">
        <v>5</v>
      </c>
      <c r="P4288">
        <v>1</v>
      </c>
      <c r="Q4288">
        <v>0</v>
      </c>
      <c r="R4288" s="4">
        <v>13.53</v>
      </c>
      <c r="S4288">
        <v>0</v>
      </c>
      <c r="T4288">
        <v>1</v>
      </c>
    </row>
    <row r="4289" spans="1:20" ht="16.5" x14ac:dyDescent="0.3">
      <c r="A4289" t="s">
        <v>4343</v>
      </c>
      <c r="B4289" s="1">
        <v>45889</v>
      </c>
      <c r="C4289">
        <v>2025</v>
      </c>
      <c r="D4289" t="s">
        <v>1261</v>
      </c>
      <c r="E4289" t="s">
        <v>1454</v>
      </c>
      <c r="F4289" t="s">
        <v>34</v>
      </c>
      <c r="G4289" t="s">
        <v>39</v>
      </c>
      <c r="H4289" t="s">
        <v>36</v>
      </c>
      <c r="I4289" t="s">
        <v>31</v>
      </c>
      <c r="J4289" t="s">
        <v>27</v>
      </c>
      <c r="K4289" t="s">
        <v>28</v>
      </c>
      <c r="L4289" s="2">
        <v>139.19999999999999</v>
      </c>
      <c r="M4289" s="3">
        <v>247</v>
      </c>
      <c r="N4289">
        <v>5</v>
      </c>
      <c r="O4289">
        <v>5</v>
      </c>
      <c r="P4289">
        <v>1</v>
      </c>
      <c r="Q4289">
        <v>0</v>
      </c>
      <c r="R4289" s="4">
        <v>42.36</v>
      </c>
      <c r="S4289">
        <v>0</v>
      </c>
      <c r="T4289">
        <v>1</v>
      </c>
    </row>
    <row r="4290" spans="1:20" ht="16.5" x14ac:dyDescent="0.3">
      <c r="A4290" t="s">
        <v>4344</v>
      </c>
      <c r="B4290" s="1">
        <v>45889</v>
      </c>
      <c r="C4290">
        <v>2025</v>
      </c>
      <c r="D4290" t="s">
        <v>1261</v>
      </c>
      <c r="E4290" t="s">
        <v>1454</v>
      </c>
      <c r="F4290" t="s">
        <v>34</v>
      </c>
      <c r="G4290" t="s">
        <v>39</v>
      </c>
      <c r="H4290" t="s">
        <v>51</v>
      </c>
      <c r="I4290" t="s">
        <v>31</v>
      </c>
      <c r="J4290" t="s">
        <v>27</v>
      </c>
      <c r="K4290" t="s">
        <v>32</v>
      </c>
      <c r="L4290" s="2">
        <v>5.7</v>
      </c>
      <c r="M4290" s="3">
        <v>1148</v>
      </c>
      <c r="N4290">
        <v>7</v>
      </c>
      <c r="O4290">
        <v>8</v>
      </c>
      <c r="P4290">
        <v>0</v>
      </c>
      <c r="Q4290">
        <v>1</v>
      </c>
      <c r="R4290" s="4">
        <v>15.56</v>
      </c>
      <c r="S4290">
        <v>0</v>
      </c>
      <c r="T4290">
        <v>1</v>
      </c>
    </row>
    <row r="4291" spans="1:20" ht="16.5" x14ac:dyDescent="0.3">
      <c r="A4291" t="s">
        <v>4345</v>
      </c>
      <c r="B4291" s="1">
        <v>45889</v>
      </c>
      <c r="C4291">
        <v>2025</v>
      </c>
      <c r="D4291" t="s">
        <v>1261</v>
      </c>
      <c r="E4291" t="s">
        <v>1454</v>
      </c>
      <c r="F4291" t="s">
        <v>38</v>
      </c>
      <c r="G4291" t="s">
        <v>39</v>
      </c>
      <c r="H4291" t="s">
        <v>25</v>
      </c>
      <c r="I4291" t="s">
        <v>26</v>
      </c>
      <c r="J4291" t="s">
        <v>27</v>
      </c>
      <c r="K4291" t="s">
        <v>28</v>
      </c>
      <c r="L4291" s="2">
        <v>109</v>
      </c>
      <c r="M4291" s="3">
        <v>934</v>
      </c>
      <c r="N4291">
        <v>4</v>
      </c>
      <c r="O4291">
        <v>4</v>
      </c>
      <c r="P4291">
        <v>1</v>
      </c>
      <c r="Q4291">
        <v>0</v>
      </c>
      <c r="R4291" s="4">
        <v>71.52</v>
      </c>
      <c r="S4291">
        <v>0</v>
      </c>
      <c r="T4291">
        <v>1</v>
      </c>
    </row>
    <row r="4292" spans="1:20" ht="16.5" x14ac:dyDescent="0.3">
      <c r="A4292" t="s">
        <v>4346</v>
      </c>
      <c r="B4292" s="1">
        <v>45889</v>
      </c>
      <c r="C4292">
        <v>2025</v>
      </c>
      <c r="D4292" t="s">
        <v>1261</v>
      </c>
      <c r="E4292" t="s">
        <v>1454</v>
      </c>
      <c r="F4292" t="s">
        <v>57</v>
      </c>
      <c r="G4292" t="s">
        <v>35</v>
      </c>
      <c r="H4292" t="s">
        <v>36</v>
      </c>
      <c r="I4292" t="s">
        <v>40</v>
      </c>
      <c r="J4292" t="s">
        <v>27</v>
      </c>
      <c r="K4292" t="s">
        <v>32</v>
      </c>
      <c r="L4292" s="2">
        <v>1.3</v>
      </c>
      <c r="M4292" s="3">
        <v>281</v>
      </c>
      <c r="N4292">
        <v>1</v>
      </c>
      <c r="O4292">
        <v>1</v>
      </c>
      <c r="P4292">
        <v>1</v>
      </c>
      <c r="Q4292">
        <v>0</v>
      </c>
      <c r="R4292" s="4">
        <v>19.25</v>
      </c>
      <c r="S4292">
        <v>0</v>
      </c>
      <c r="T4292">
        <v>1</v>
      </c>
    </row>
    <row r="4293" spans="1:20" ht="16.5" x14ac:dyDescent="0.3">
      <c r="A4293" t="s">
        <v>4347</v>
      </c>
      <c r="B4293" s="1">
        <v>45889</v>
      </c>
      <c r="C4293">
        <v>2025</v>
      </c>
      <c r="D4293" t="s">
        <v>1261</v>
      </c>
      <c r="E4293" t="s">
        <v>1454</v>
      </c>
      <c r="F4293" t="s">
        <v>38</v>
      </c>
      <c r="G4293" t="s">
        <v>35</v>
      </c>
      <c r="H4293" t="s">
        <v>25</v>
      </c>
      <c r="I4293" t="s">
        <v>31</v>
      </c>
      <c r="J4293" t="s">
        <v>27</v>
      </c>
      <c r="K4293" t="s">
        <v>32</v>
      </c>
      <c r="L4293" s="2">
        <v>12.6</v>
      </c>
      <c r="M4293" s="3">
        <v>890</v>
      </c>
      <c r="N4293">
        <v>6</v>
      </c>
      <c r="O4293">
        <v>5</v>
      </c>
      <c r="P4293">
        <v>1</v>
      </c>
      <c r="Q4293">
        <v>0</v>
      </c>
      <c r="R4293" s="4">
        <v>21.28</v>
      </c>
      <c r="S4293">
        <v>0</v>
      </c>
      <c r="T4293">
        <v>1</v>
      </c>
    </row>
    <row r="4294" spans="1:20" ht="16.5" x14ac:dyDescent="0.3">
      <c r="A4294" t="s">
        <v>4348</v>
      </c>
      <c r="B4294" s="1">
        <v>45889</v>
      </c>
      <c r="C4294">
        <v>2025</v>
      </c>
      <c r="D4294" t="s">
        <v>1261</v>
      </c>
      <c r="E4294" t="s">
        <v>1454</v>
      </c>
      <c r="F4294" t="s">
        <v>23</v>
      </c>
      <c r="G4294" t="s">
        <v>39</v>
      </c>
      <c r="H4294" t="s">
        <v>48</v>
      </c>
      <c r="I4294" t="s">
        <v>31</v>
      </c>
      <c r="J4294" t="s">
        <v>27</v>
      </c>
      <c r="K4294" t="s">
        <v>28</v>
      </c>
      <c r="L4294" s="2">
        <v>228.3</v>
      </c>
      <c r="M4294" s="3">
        <v>562</v>
      </c>
      <c r="N4294">
        <v>6</v>
      </c>
      <c r="O4294">
        <v>6</v>
      </c>
      <c r="P4294">
        <v>1</v>
      </c>
      <c r="Q4294">
        <v>0</v>
      </c>
      <c r="R4294" s="4">
        <v>75.25</v>
      </c>
      <c r="S4294">
        <v>0</v>
      </c>
      <c r="T4294">
        <v>1</v>
      </c>
    </row>
    <row r="4295" spans="1:20" ht="16.5" x14ac:dyDescent="0.3">
      <c r="A4295" t="s">
        <v>4349</v>
      </c>
      <c r="B4295" s="1">
        <v>45889</v>
      </c>
      <c r="C4295">
        <v>2025</v>
      </c>
      <c r="D4295" t="s">
        <v>1261</v>
      </c>
      <c r="E4295" t="s">
        <v>1454</v>
      </c>
      <c r="F4295" t="s">
        <v>57</v>
      </c>
      <c r="G4295" t="s">
        <v>39</v>
      </c>
      <c r="H4295" t="s">
        <v>43</v>
      </c>
      <c r="I4295" t="s">
        <v>26</v>
      </c>
      <c r="J4295" t="s">
        <v>27</v>
      </c>
      <c r="K4295" t="s">
        <v>28</v>
      </c>
      <c r="L4295" s="2">
        <v>145.6</v>
      </c>
      <c r="M4295" s="3">
        <v>867</v>
      </c>
      <c r="N4295">
        <v>5</v>
      </c>
      <c r="O4295">
        <v>6</v>
      </c>
      <c r="P4295">
        <v>0</v>
      </c>
      <c r="Q4295">
        <v>1</v>
      </c>
      <c r="R4295" s="4">
        <v>75.37</v>
      </c>
      <c r="S4295">
        <v>0</v>
      </c>
      <c r="T4295">
        <v>1</v>
      </c>
    </row>
    <row r="4296" spans="1:20" ht="16.5" x14ac:dyDescent="0.3">
      <c r="A4296" t="s">
        <v>4350</v>
      </c>
      <c r="B4296" s="1">
        <v>45889</v>
      </c>
      <c r="C4296">
        <v>2025</v>
      </c>
      <c r="D4296" t="s">
        <v>1261</v>
      </c>
      <c r="E4296" t="s">
        <v>1454</v>
      </c>
      <c r="F4296" t="s">
        <v>57</v>
      </c>
      <c r="G4296" t="s">
        <v>35</v>
      </c>
      <c r="H4296" t="s">
        <v>48</v>
      </c>
      <c r="I4296" t="s">
        <v>31</v>
      </c>
      <c r="J4296" t="s">
        <v>27</v>
      </c>
      <c r="K4296" t="s">
        <v>32</v>
      </c>
      <c r="L4296" s="2">
        <v>3.6</v>
      </c>
      <c r="M4296" s="3">
        <v>467</v>
      </c>
      <c r="N4296">
        <v>6</v>
      </c>
      <c r="O4296">
        <v>5</v>
      </c>
      <c r="P4296">
        <v>1</v>
      </c>
      <c r="Q4296">
        <v>0</v>
      </c>
      <c r="R4296" s="4">
        <v>10.35</v>
      </c>
      <c r="S4296">
        <v>0</v>
      </c>
      <c r="T4296">
        <v>1</v>
      </c>
    </row>
    <row r="4297" spans="1:20" ht="16.5" x14ac:dyDescent="0.3">
      <c r="A4297" t="s">
        <v>4351</v>
      </c>
      <c r="B4297" s="1">
        <v>45889</v>
      </c>
      <c r="C4297">
        <v>2025</v>
      </c>
      <c r="D4297" t="s">
        <v>1261</v>
      </c>
      <c r="E4297" t="s">
        <v>1454</v>
      </c>
      <c r="F4297" t="s">
        <v>30</v>
      </c>
      <c r="G4297" t="s">
        <v>24</v>
      </c>
      <c r="H4297" t="s">
        <v>25</v>
      </c>
      <c r="I4297" t="s">
        <v>26</v>
      </c>
      <c r="J4297" t="s">
        <v>27</v>
      </c>
      <c r="K4297" t="s">
        <v>32</v>
      </c>
      <c r="L4297" s="2">
        <v>6.3</v>
      </c>
      <c r="M4297" s="3">
        <v>1037</v>
      </c>
      <c r="N4297">
        <v>4</v>
      </c>
      <c r="O4297">
        <v>3</v>
      </c>
      <c r="P4297">
        <v>1</v>
      </c>
      <c r="Q4297">
        <v>0</v>
      </c>
      <c r="R4297" s="4">
        <v>23.37</v>
      </c>
      <c r="S4297">
        <v>0</v>
      </c>
      <c r="T4297">
        <v>1</v>
      </c>
    </row>
    <row r="4298" spans="1:20" ht="16.5" x14ac:dyDescent="0.3">
      <c r="A4298" t="s">
        <v>4352</v>
      </c>
      <c r="B4298" s="1">
        <v>45889</v>
      </c>
      <c r="C4298">
        <v>2025</v>
      </c>
      <c r="D4298" t="s">
        <v>1261</v>
      </c>
      <c r="E4298" t="s">
        <v>1454</v>
      </c>
      <c r="F4298" t="s">
        <v>30</v>
      </c>
      <c r="G4298" t="s">
        <v>35</v>
      </c>
      <c r="H4298" t="s">
        <v>43</v>
      </c>
      <c r="I4298" t="s">
        <v>40</v>
      </c>
      <c r="J4298" t="s">
        <v>41</v>
      </c>
      <c r="K4298" t="s">
        <v>32</v>
      </c>
      <c r="L4298" s="2">
        <v>3.6</v>
      </c>
      <c r="M4298" s="3">
        <v>1391</v>
      </c>
      <c r="N4298">
        <v>3</v>
      </c>
      <c r="O4298">
        <v>3</v>
      </c>
      <c r="P4298">
        <v>1</v>
      </c>
      <c r="Q4298">
        <v>0</v>
      </c>
      <c r="R4298" s="4">
        <v>86.2</v>
      </c>
      <c r="S4298">
        <v>0</v>
      </c>
      <c r="T4298">
        <v>1</v>
      </c>
    </row>
    <row r="4299" spans="1:20" ht="16.5" x14ac:dyDescent="0.3">
      <c r="A4299" t="s">
        <v>4353</v>
      </c>
      <c r="B4299" s="1">
        <v>45889</v>
      </c>
      <c r="C4299">
        <v>2025</v>
      </c>
      <c r="D4299" t="s">
        <v>1261</v>
      </c>
      <c r="E4299" t="s">
        <v>1454</v>
      </c>
      <c r="F4299" t="s">
        <v>23</v>
      </c>
      <c r="G4299" t="s">
        <v>35</v>
      </c>
      <c r="H4299" t="s">
        <v>48</v>
      </c>
      <c r="I4299" t="s">
        <v>26</v>
      </c>
      <c r="J4299" t="s">
        <v>27</v>
      </c>
      <c r="K4299" t="s">
        <v>32</v>
      </c>
      <c r="L4299" s="2">
        <v>8.1</v>
      </c>
      <c r="M4299" s="3">
        <v>397</v>
      </c>
      <c r="N4299">
        <v>4</v>
      </c>
      <c r="O4299">
        <v>4</v>
      </c>
      <c r="P4299">
        <v>1</v>
      </c>
      <c r="Q4299">
        <v>0</v>
      </c>
      <c r="R4299" s="4">
        <v>15.47</v>
      </c>
      <c r="S4299">
        <v>0</v>
      </c>
      <c r="T4299">
        <v>1</v>
      </c>
    </row>
    <row r="4300" spans="1:20" ht="16.5" x14ac:dyDescent="0.3">
      <c r="A4300" t="s">
        <v>4354</v>
      </c>
      <c r="B4300" s="1">
        <v>45889</v>
      </c>
      <c r="C4300">
        <v>2025</v>
      </c>
      <c r="D4300" t="s">
        <v>1261</v>
      </c>
      <c r="E4300" t="s">
        <v>1454</v>
      </c>
      <c r="F4300" t="s">
        <v>34</v>
      </c>
      <c r="G4300" t="s">
        <v>39</v>
      </c>
      <c r="H4300" t="s">
        <v>36</v>
      </c>
      <c r="I4300" t="s">
        <v>40</v>
      </c>
      <c r="J4300" t="s">
        <v>27</v>
      </c>
      <c r="K4300" t="s">
        <v>32</v>
      </c>
      <c r="L4300" s="2">
        <v>4</v>
      </c>
      <c r="M4300" s="3">
        <v>338</v>
      </c>
      <c r="N4300">
        <v>1</v>
      </c>
      <c r="O4300">
        <v>1</v>
      </c>
      <c r="P4300">
        <v>1</v>
      </c>
      <c r="Q4300">
        <v>0</v>
      </c>
      <c r="R4300" s="4">
        <v>21.3</v>
      </c>
      <c r="S4300">
        <v>0</v>
      </c>
      <c r="T4300">
        <v>1</v>
      </c>
    </row>
    <row r="4301" spans="1:20" ht="16.5" x14ac:dyDescent="0.3">
      <c r="A4301" t="s">
        <v>4355</v>
      </c>
      <c r="B4301" s="1">
        <v>45890</v>
      </c>
      <c r="C4301">
        <v>2025</v>
      </c>
      <c r="D4301" t="s">
        <v>1261</v>
      </c>
      <c r="E4301" t="s">
        <v>1454</v>
      </c>
      <c r="F4301" t="s">
        <v>57</v>
      </c>
      <c r="G4301" t="s">
        <v>35</v>
      </c>
      <c r="H4301" t="s">
        <v>43</v>
      </c>
      <c r="I4301" t="s">
        <v>26</v>
      </c>
      <c r="J4301" t="s">
        <v>27</v>
      </c>
      <c r="K4301" t="s">
        <v>32</v>
      </c>
      <c r="L4301" s="2">
        <v>7.3</v>
      </c>
      <c r="M4301" s="3">
        <v>878</v>
      </c>
      <c r="N4301">
        <v>5</v>
      </c>
      <c r="O4301">
        <v>5</v>
      </c>
      <c r="P4301">
        <v>1</v>
      </c>
      <c r="Q4301">
        <v>0</v>
      </c>
      <c r="R4301" s="4">
        <v>18.420000000000002</v>
      </c>
      <c r="S4301">
        <v>0</v>
      </c>
      <c r="T4301">
        <v>1</v>
      </c>
    </row>
    <row r="4302" spans="1:20" ht="16.5" x14ac:dyDescent="0.3">
      <c r="A4302" t="s">
        <v>4356</v>
      </c>
      <c r="B4302" s="1">
        <v>45890</v>
      </c>
      <c r="C4302">
        <v>2025</v>
      </c>
      <c r="D4302" t="s">
        <v>1261</v>
      </c>
      <c r="E4302" t="s">
        <v>1454</v>
      </c>
      <c r="F4302" t="s">
        <v>30</v>
      </c>
      <c r="G4302" t="s">
        <v>35</v>
      </c>
      <c r="H4302" t="s">
        <v>36</v>
      </c>
      <c r="I4302" t="s">
        <v>26</v>
      </c>
      <c r="J4302" t="s">
        <v>27</v>
      </c>
      <c r="K4302" t="s">
        <v>32</v>
      </c>
      <c r="L4302" s="2">
        <v>1.6</v>
      </c>
      <c r="M4302" s="3">
        <v>258</v>
      </c>
      <c r="N4302">
        <v>3</v>
      </c>
      <c r="O4302">
        <v>2</v>
      </c>
      <c r="P4302">
        <v>1</v>
      </c>
      <c r="Q4302">
        <v>0</v>
      </c>
      <c r="R4302" s="4">
        <v>10.07</v>
      </c>
      <c r="S4302">
        <v>0</v>
      </c>
      <c r="T4302">
        <v>1</v>
      </c>
    </row>
    <row r="4303" spans="1:20" ht="16.5" x14ac:dyDescent="0.3">
      <c r="A4303" t="s">
        <v>4357</v>
      </c>
      <c r="B4303" s="1">
        <v>45890</v>
      </c>
      <c r="C4303">
        <v>2025</v>
      </c>
      <c r="D4303" t="s">
        <v>1261</v>
      </c>
      <c r="E4303" t="s">
        <v>1454</v>
      </c>
      <c r="F4303" t="s">
        <v>38</v>
      </c>
      <c r="G4303" t="s">
        <v>35</v>
      </c>
      <c r="H4303" t="s">
        <v>36</v>
      </c>
      <c r="I4303" t="s">
        <v>26</v>
      </c>
      <c r="J4303" t="s">
        <v>27</v>
      </c>
      <c r="K4303" t="s">
        <v>32</v>
      </c>
      <c r="L4303" s="2">
        <v>12.6</v>
      </c>
      <c r="M4303" s="3">
        <v>245</v>
      </c>
      <c r="N4303">
        <v>3</v>
      </c>
      <c r="O4303">
        <v>2</v>
      </c>
      <c r="P4303">
        <v>1</v>
      </c>
      <c r="Q4303">
        <v>0</v>
      </c>
      <c r="R4303" s="4">
        <v>19.100000000000001</v>
      </c>
      <c r="S4303">
        <v>0</v>
      </c>
      <c r="T4303">
        <v>1</v>
      </c>
    </row>
    <row r="4304" spans="1:20" ht="16.5" x14ac:dyDescent="0.3">
      <c r="A4304" t="s">
        <v>4358</v>
      </c>
      <c r="B4304" s="1">
        <v>45890</v>
      </c>
      <c r="C4304">
        <v>2025</v>
      </c>
      <c r="D4304" t="s">
        <v>1261</v>
      </c>
      <c r="E4304" t="s">
        <v>1454</v>
      </c>
      <c r="F4304" t="s">
        <v>38</v>
      </c>
      <c r="G4304" t="s">
        <v>39</v>
      </c>
      <c r="H4304" t="s">
        <v>25</v>
      </c>
      <c r="I4304" t="s">
        <v>31</v>
      </c>
      <c r="J4304" t="s">
        <v>27</v>
      </c>
      <c r="K4304" t="s">
        <v>32</v>
      </c>
      <c r="L4304" s="2">
        <v>2.1</v>
      </c>
      <c r="M4304" s="3">
        <v>841</v>
      </c>
      <c r="N4304">
        <v>6</v>
      </c>
      <c r="O4304">
        <v>6</v>
      </c>
      <c r="P4304">
        <v>1</v>
      </c>
      <c r="Q4304">
        <v>0</v>
      </c>
      <c r="R4304" s="4">
        <v>14.24</v>
      </c>
      <c r="S4304">
        <v>0</v>
      </c>
      <c r="T4304">
        <v>1</v>
      </c>
    </row>
    <row r="4305" spans="1:20" ht="16.5" x14ac:dyDescent="0.3">
      <c r="A4305" t="s">
        <v>4359</v>
      </c>
      <c r="B4305" s="1">
        <v>45890</v>
      </c>
      <c r="C4305">
        <v>2025</v>
      </c>
      <c r="D4305" t="s">
        <v>1261</v>
      </c>
      <c r="E4305" t="s">
        <v>1454</v>
      </c>
      <c r="F4305" t="s">
        <v>23</v>
      </c>
      <c r="G4305" t="s">
        <v>35</v>
      </c>
      <c r="H4305" t="s">
        <v>36</v>
      </c>
      <c r="I4305" t="s">
        <v>26</v>
      </c>
      <c r="J4305" t="s">
        <v>27</v>
      </c>
      <c r="K4305" t="s">
        <v>32</v>
      </c>
      <c r="L4305" s="2">
        <v>1.8</v>
      </c>
      <c r="M4305" s="3">
        <v>284</v>
      </c>
      <c r="N4305">
        <v>3</v>
      </c>
      <c r="O4305">
        <v>3</v>
      </c>
      <c r="P4305">
        <v>1</v>
      </c>
      <c r="Q4305">
        <v>0</v>
      </c>
      <c r="R4305" s="4">
        <v>9.99</v>
      </c>
      <c r="S4305">
        <v>0</v>
      </c>
      <c r="T4305">
        <v>1</v>
      </c>
    </row>
    <row r="4306" spans="1:20" ht="16.5" x14ac:dyDescent="0.3">
      <c r="A4306" t="s">
        <v>4360</v>
      </c>
      <c r="B4306" s="1">
        <v>45890</v>
      </c>
      <c r="C4306">
        <v>2025</v>
      </c>
      <c r="D4306" t="s">
        <v>1261</v>
      </c>
      <c r="E4306" t="s">
        <v>1454</v>
      </c>
      <c r="F4306" t="s">
        <v>34</v>
      </c>
      <c r="G4306" t="s">
        <v>39</v>
      </c>
      <c r="H4306" t="s">
        <v>43</v>
      </c>
      <c r="I4306" t="s">
        <v>26</v>
      </c>
      <c r="J4306" t="s">
        <v>27</v>
      </c>
      <c r="K4306" t="s">
        <v>28</v>
      </c>
      <c r="L4306" s="2">
        <v>18.7</v>
      </c>
      <c r="M4306" s="3">
        <v>976</v>
      </c>
      <c r="N4306">
        <v>5</v>
      </c>
      <c r="O4306">
        <v>4</v>
      </c>
      <c r="P4306">
        <v>1</v>
      </c>
      <c r="Q4306">
        <v>0</v>
      </c>
      <c r="R4306" s="4">
        <v>25</v>
      </c>
      <c r="S4306">
        <v>0</v>
      </c>
      <c r="T4306">
        <v>1</v>
      </c>
    </row>
    <row r="4307" spans="1:20" ht="16.5" x14ac:dyDescent="0.3">
      <c r="A4307" t="s">
        <v>4361</v>
      </c>
      <c r="B4307" s="1">
        <v>45890</v>
      </c>
      <c r="C4307">
        <v>2025</v>
      </c>
      <c r="D4307" t="s">
        <v>1261</v>
      </c>
      <c r="E4307" t="s">
        <v>1454</v>
      </c>
      <c r="F4307" t="s">
        <v>34</v>
      </c>
      <c r="G4307" t="s">
        <v>24</v>
      </c>
      <c r="H4307" t="s">
        <v>25</v>
      </c>
      <c r="I4307" t="s">
        <v>26</v>
      </c>
      <c r="J4307" t="s">
        <v>27</v>
      </c>
      <c r="K4307" t="s">
        <v>28</v>
      </c>
      <c r="L4307" s="2">
        <v>277.7</v>
      </c>
      <c r="M4307" s="3">
        <v>1033</v>
      </c>
      <c r="N4307">
        <v>4</v>
      </c>
      <c r="O4307">
        <v>4</v>
      </c>
      <c r="P4307">
        <v>1</v>
      </c>
      <c r="Q4307">
        <v>0</v>
      </c>
      <c r="R4307" s="4">
        <v>115.87</v>
      </c>
      <c r="S4307">
        <v>0</v>
      </c>
      <c r="T4307">
        <v>1</v>
      </c>
    </row>
    <row r="4308" spans="1:20" ht="16.5" x14ac:dyDescent="0.3">
      <c r="A4308" t="s">
        <v>4362</v>
      </c>
      <c r="B4308" s="1">
        <v>45891</v>
      </c>
      <c r="C4308">
        <v>2025</v>
      </c>
      <c r="D4308" t="s">
        <v>1261</v>
      </c>
      <c r="E4308" t="s">
        <v>1454</v>
      </c>
      <c r="F4308" t="s">
        <v>23</v>
      </c>
      <c r="G4308" t="s">
        <v>35</v>
      </c>
      <c r="H4308" t="s">
        <v>51</v>
      </c>
      <c r="I4308" t="s">
        <v>26</v>
      </c>
      <c r="J4308" t="s">
        <v>27</v>
      </c>
      <c r="K4308" t="s">
        <v>32</v>
      </c>
      <c r="L4308" s="2">
        <v>5.6</v>
      </c>
      <c r="M4308" s="3">
        <v>1179</v>
      </c>
      <c r="N4308">
        <v>5</v>
      </c>
      <c r="O4308">
        <v>5</v>
      </c>
      <c r="P4308">
        <v>1</v>
      </c>
      <c r="Q4308">
        <v>0</v>
      </c>
      <c r="R4308" s="4">
        <v>23.83</v>
      </c>
      <c r="S4308">
        <v>0</v>
      </c>
      <c r="T4308">
        <v>1</v>
      </c>
    </row>
    <row r="4309" spans="1:20" ht="16.5" x14ac:dyDescent="0.3">
      <c r="A4309" t="s">
        <v>4363</v>
      </c>
      <c r="B4309" s="1">
        <v>45891</v>
      </c>
      <c r="C4309">
        <v>2025</v>
      </c>
      <c r="D4309" t="s">
        <v>1261</v>
      </c>
      <c r="E4309" t="s">
        <v>1454</v>
      </c>
      <c r="F4309" t="s">
        <v>34</v>
      </c>
      <c r="G4309" t="s">
        <v>39</v>
      </c>
      <c r="H4309" t="s">
        <v>48</v>
      </c>
      <c r="I4309" t="s">
        <v>26</v>
      </c>
      <c r="J4309" t="s">
        <v>27</v>
      </c>
      <c r="K4309" t="s">
        <v>28</v>
      </c>
      <c r="L4309" s="2">
        <v>56.9</v>
      </c>
      <c r="M4309" s="3">
        <v>363</v>
      </c>
      <c r="N4309">
        <v>4</v>
      </c>
      <c r="O4309">
        <v>4</v>
      </c>
      <c r="P4309">
        <v>1</v>
      </c>
      <c r="Q4309">
        <v>0</v>
      </c>
      <c r="R4309" s="4">
        <v>34.65</v>
      </c>
      <c r="S4309">
        <v>0</v>
      </c>
      <c r="T4309">
        <v>1</v>
      </c>
    </row>
    <row r="4310" spans="1:20" ht="16.5" x14ac:dyDescent="0.3">
      <c r="A4310" t="s">
        <v>4364</v>
      </c>
      <c r="B4310" s="1">
        <v>45891</v>
      </c>
      <c r="C4310">
        <v>2025</v>
      </c>
      <c r="D4310" t="s">
        <v>1261</v>
      </c>
      <c r="E4310" t="s">
        <v>1454</v>
      </c>
      <c r="F4310" t="s">
        <v>23</v>
      </c>
      <c r="G4310" t="s">
        <v>39</v>
      </c>
      <c r="H4310" t="s">
        <v>51</v>
      </c>
      <c r="I4310" t="s">
        <v>26</v>
      </c>
      <c r="J4310" t="s">
        <v>27</v>
      </c>
      <c r="K4310" t="s">
        <v>28</v>
      </c>
      <c r="L4310" s="2">
        <v>109</v>
      </c>
      <c r="M4310" s="3">
        <v>705</v>
      </c>
      <c r="N4310">
        <v>5</v>
      </c>
      <c r="O4310">
        <v>5</v>
      </c>
      <c r="P4310">
        <v>1</v>
      </c>
      <c r="Q4310">
        <v>0</v>
      </c>
      <c r="R4310" s="4">
        <v>63.55</v>
      </c>
      <c r="S4310">
        <v>0</v>
      </c>
      <c r="T4310">
        <v>1</v>
      </c>
    </row>
    <row r="4311" spans="1:20" ht="16.5" x14ac:dyDescent="0.3">
      <c r="A4311" t="s">
        <v>4365</v>
      </c>
      <c r="B4311" s="1">
        <v>45891</v>
      </c>
      <c r="C4311">
        <v>2025</v>
      </c>
      <c r="D4311" t="s">
        <v>1261</v>
      </c>
      <c r="E4311" t="s">
        <v>1454</v>
      </c>
      <c r="F4311" t="s">
        <v>57</v>
      </c>
      <c r="G4311" t="s">
        <v>39</v>
      </c>
      <c r="H4311" t="s">
        <v>48</v>
      </c>
      <c r="I4311" t="s">
        <v>26</v>
      </c>
      <c r="J4311" t="s">
        <v>27</v>
      </c>
      <c r="K4311" t="s">
        <v>32</v>
      </c>
      <c r="L4311" s="2">
        <v>6</v>
      </c>
      <c r="M4311" s="3">
        <v>463</v>
      </c>
      <c r="N4311">
        <v>4</v>
      </c>
      <c r="O4311">
        <v>3</v>
      </c>
      <c r="P4311">
        <v>1</v>
      </c>
      <c r="Q4311">
        <v>0</v>
      </c>
      <c r="R4311" s="4">
        <v>17.16</v>
      </c>
      <c r="S4311">
        <v>0</v>
      </c>
      <c r="T4311">
        <v>1</v>
      </c>
    </row>
    <row r="4312" spans="1:20" ht="16.5" x14ac:dyDescent="0.3">
      <c r="A4312" t="s">
        <v>4366</v>
      </c>
      <c r="B4312" s="1">
        <v>45891</v>
      </c>
      <c r="C4312">
        <v>2025</v>
      </c>
      <c r="D4312" t="s">
        <v>1261</v>
      </c>
      <c r="E4312" t="s">
        <v>1454</v>
      </c>
      <c r="F4312" t="s">
        <v>23</v>
      </c>
      <c r="G4312" t="s">
        <v>35</v>
      </c>
      <c r="H4312" t="s">
        <v>36</v>
      </c>
      <c r="I4312" t="s">
        <v>26</v>
      </c>
      <c r="J4312" t="s">
        <v>27</v>
      </c>
      <c r="K4312" t="s">
        <v>28</v>
      </c>
      <c r="L4312" s="2">
        <v>10.4</v>
      </c>
      <c r="M4312" s="3">
        <v>203</v>
      </c>
      <c r="N4312">
        <v>3</v>
      </c>
      <c r="O4312">
        <v>2</v>
      </c>
      <c r="P4312">
        <v>1</v>
      </c>
      <c r="Q4312">
        <v>0</v>
      </c>
      <c r="R4312" s="4">
        <v>16.18</v>
      </c>
      <c r="S4312">
        <v>0</v>
      </c>
      <c r="T4312">
        <v>1</v>
      </c>
    </row>
    <row r="4313" spans="1:20" ht="16.5" x14ac:dyDescent="0.3">
      <c r="A4313" t="s">
        <v>4367</v>
      </c>
      <c r="B4313" s="1">
        <v>45891</v>
      </c>
      <c r="C4313">
        <v>2025</v>
      </c>
      <c r="D4313" t="s">
        <v>1261</v>
      </c>
      <c r="E4313" t="s">
        <v>1454</v>
      </c>
      <c r="F4313" t="s">
        <v>57</v>
      </c>
      <c r="G4313" t="s">
        <v>24</v>
      </c>
      <c r="H4313" t="s">
        <v>36</v>
      </c>
      <c r="I4313" t="s">
        <v>31</v>
      </c>
      <c r="J4313" t="s">
        <v>27</v>
      </c>
      <c r="K4313" t="s">
        <v>32</v>
      </c>
      <c r="L4313" s="2">
        <v>3.6</v>
      </c>
      <c r="M4313" s="3">
        <v>242</v>
      </c>
      <c r="N4313">
        <v>5</v>
      </c>
      <c r="O4313">
        <v>5</v>
      </c>
      <c r="P4313">
        <v>1</v>
      </c>
      <c r="Q4313">
        <v>0</v>
      </c>
      <c r="R4313" s="4">
        <v>8.69</v>
      </c>
      <c r="S4313">
        <v>0</v>
      </c>
      <c r="T4313">
        <v>1</v>
      </c>
    </row>
    <row r="4314" spans="1:20" ht="16.5" x14ac:dyDescent="0.3">
      <c r="A4314" t="s">
        <v>4368</v>
      </c>
      <c r="B4314" s="1">
        <v>45891</v>
      </c>
      <c r="C4314">
        <v>2025</v>
      </c>
      <c r="D4314" t="s">
        <v>1261</v>
      </c>
      <c r="E4314" t="s">
        <v>1454</v>
      </c>
      <c r="F4314" t="s">
        <v>57</v>
      </c>
      <c r="G4314" t="s">
        <v>24</v>
      </c>
      <c r="H4314" t="s">
        <v>51</v>
      </c>
      <c r="I4314" t="s">
        <v>31</v>
      </c>
      <c r="J4314" t="s">
        <v>27</v>
      </c>
      <c r="K4314" t="s">
        <v>28</v>
      </c>
      <c r="L4314" s="2">
        <v>86.1</v>
      </c>
      <c r="M4314" s="3">
        <v>1064</v>
      </c>
      <c r="N4314">
        <v>7</v>
      </c>
      <c r="O4314">
        <v>6</v>
      </c>
      <c r="P4314">
        <v>1</v>
      </c>
      <c r="Q4314">
        <v>0</v>
      </c>
      <c r="R4314" s="4">
        <v>41.12</v>
      </c>
      <c r="S4314">
        <v>0</v>
      </c>
      <c r="T4314">
        <v>1</v>
      </c>
    </row>
    <row r="4315" spans="1:20" ht="16.5" x14ac:dyDescent="0.3">
      <c r="A4315" t="s">
        <v>4369</v>
      </c>
      <c r="B4315" s="1">
        <v>45891</v>
      </c>
      <c r="C4315">
        <v>2025</v>
      </c>
      <c r="D4315" t="s">
        <v>1261</v>
      </c>
      <c r="E4315" t="s">
        <v>1454</v>
      </c>
      <c r="F4315" t="s">
        <v>38</v>
      </c>
      <c r="G4315" t="s">
        <v>35</v>
      </c>
      <c r="H4315" t="s">
        <v>25</v>
      </c>
      <c r="I4315" t="s">
        <v>31</v>
      </c>
      <c r="J4315" t="s">
        <v>27</v>
      </c>
      <c r="K4315" t="s">
        <v>28</v>
      </c>
      <c r="L4315" s="2">
        <v>87.5</v>
      </c>
      <c r="M4315" s="3">
        <v>940</v>
      </c>
      <c r="N4315">
        <v>6</v>
      </c>
      <c r="O4315">
        <v>5</v>
      </c>
      <c r="P4315">
        <v>1</v>
      </c>
      <c r="Q4315">
        <v>0</v>
      </c>
      <c r="R4315" s="4">
        <v>47.24</v>
      </c>
      <c r="S4315">
        <v>0</v>
      </c>
      <c r="T4315">
        <v>1</v>
      </c>
    </row>
    <row r="4316" spans="1:20" ht="16.5" x14ac:dyDescent="0.3">
      <c r="A4316" t="s">
        <v>4370</v>
      </c>
      <c r="B4316" s="1">
        <v>45891</v>
      </c>
      <c r="C4316">
        <v>2025</v>
      </c>
      <c r="D4316" t="s">
        <v>1261</v>
      </c>
      <c r="E4316" t="s">
        <v>1454</v>
      </c>
      <c r="F4316" t="s">
        <v>57</v>
      </c>
      <c r="G4316" t="s">
        <v>39</v>
      </c>
      <c r="H4316" t="s">
        <v>25</v>
      </c>
      <c r="I4316" t="s">
        <v>31</v>
      </c>
      <c r="J4316" t="s">
        <v>27</v>
      </c>
      <c r="K4316" t="s">
        <v>32</v>
      </c>
      <c r="L4316" s="2">
        <v>9.1999999999999993</v>
      </c>
      <c r="M4316" s="3">
        <v>893</v>
      </c>
      <c r="N4316">
        <v>6</v>
      </c>
      <c r="O4316">
        <v>5</v>
      </c>
      <c r="P4316">
        <v>1</v>
      </c>
      <c r="Q4316">
        <v>0</v>
      </c>
      <c r="R4316" s="4">
        <v>15.96</v>
      </c>
      <c r="S4316">
        <v>0</v>
      </c>
      <c r="T4316">
        <v>1</v>
      </c>
    </row>
    <row r="4317" spans="1:20" ht="16.5" x14ac:dyDescent="0.3">
      <c r="A4317" t="s">
        <v>4371</v>
      </c>
      <c r="B4317" s="1">
        <v>45891</v>
      </c>
      <c r="C4317">
        <v>2025</v>
      </c>
      <c r="D4317" t="s">
        <v>1261</v>
      </c>
      <c r="E4317" t="s">
        <v>1454</v>
      </c>
      <c r="F4317" t="s">
        <v>23</v>
      </c>
      <c r="G4317" t="s">
        <v>24</v>
      </c>
      <c r="H4317" t="s">
        <v>48</v>
      </c>
      <c r="I4317" t="s">
        <v>26</v>
      </c>
      <c r="J4317" t="s">
        <v>27</v>
      </c>
      <c r="K4317" t="s">
        <v>28</v>
      </c>
      <c r="L4317" s="2">
        <v>243.6</v>
      </c>
      <c r="M4317" s="3">
        <v>456</v>
      </c>
      <c r="N4317">
        <v>4</v>
      </c>
      <c r="O4317">
        <v>4</v>
      </c>
      <c r="P4317">
        <v>1</v>
      </c>
      <c r="Q4317">
        <v>0</v>
      </c>
      <c r="R4317" s="4">
        <v>98.93</v>
      </c>
      <c r="S4317">
        <v>0</v>
      </c>
      <c r="T4317">
        <v>1</v>
      </c>
    </row>
    <row r="4318" spans="1:20" ht="16.5" x14ac:dyDescent="0.3">
      <c r="A4318" t="s">
        <v>4372</v>
      </c>
      <c r="B4318" s="1">
        <v>45891</v>
      </c>
      <c r="C4318">
        <v>2025</v>
      </c>
      <c r="D4318" t="s">
        <v>1261</v>
      </c>
      <c r="E4318" t="s">
        <v>1454</v>
      </c>
      <c r="F4318" t="s">
        <v>57</v>
      </c>
      <c r="G4318" t="s">
        <v>24</v>
      </c>
      <c r="H4318" t="s">
        <v>51</v>
      </c>
      <c r="I4318" t="s">
        <v>26</v>
      </c>
      <c r="J4318" t="s">
        <v>27</v>
      </c>
      <c r="K4318" t="s">
        <v>32</v>
      </c>
      <c r="L4318" s="2">
        <v>7.2</v>
      </c>
      <c r="M4318" s="3">
        <v>856</v>
      </c>
      <c r="N4318">
        <v>5</v>
      </c>
      <c r="O4318">
        <v>5</v>
      </c>
      <c r="P4318">
        <v>1</v>
      </c>
      <c r="Q4318">
        <v>0</v>
      </c>
      <c r="R4318" s="4">
        <v>21.43</v>
      </c>
      <c r="S4318">
        <v>0</v>
      </c>
      <c r="T4318">
        <v>1</v>
      </c>
    </row>
    <row r="4319" spans="1:20" ht="16.5" x14ac:dyDescent="0.3">
      <c r="A4319" t="s">
        <v>4373</v>
      </c>
      <c r="B4319" s="1">
        <v>45892</v>
      </c>
      <c r="C4319">
        <v>2025</v>
      </c>
      <c r="D4319" t="s">
        <v>1261</v>
      </c>
      <c r="E4319" t="s">
        <v>1454</v>
      </c>
      <c r="F4319" t="s">
        <v>34</v>
      </c>
      <c r="G4319" t="s">
        <v>39</v>
      </c>
      <c r="H4319" t="s">
        <v>48</v>
      </c>
      <c r="I4319" t="s">
        <v>26</v>
      </c>
      <c r="J4319" t="s">
        <v>27</v>
      </c>
      <c r="K4319" t="s">
        <v>28</v>
      </c>
      <c r="L4319" s="2">
        <v>2.2999999999999998</v>
      </c>
      <c r="M4319" s="3">
        <v>492</v>
      </c>
      <c r="N4319">
        <v>4</v>
      </c>
      <c r="O4319">
        <v>3</v>
      </c>
      <c r="P4319">
        <v>1</v>
      </c>
      <c r="Q4319">
        <v>0</v>
      </c>
      <c r="R4319" s="4">
        <v>11.32</v>
      </c>
      <c r="S4319">
        <v>0</v>
      </c>
      <c r="T4319">
        <v>1</v>
      </c>
    </row>
    <row r="4320" spans="1:20" ht="16.5" x14ac:dyDescent="0.3">
      <c r="A4320" t="s">
        <v>4374</v>
      </c>
      <c r="B4320" s="1">
        <v>45892</v>
      </c>
      <c r="C4320">
        <v>2025</v>
      </c>
      <c r="D4320" t="s">
        <v>1261</v>
      </c>
      <c r="E4320" t="s">
        <v>1454</v>
      </c>
      <c r="F4320" t="s">
        <v>23</v>
      </c>
      <c r="G4320" t="s">
        <v>24</v>
      </c>
      <c r="H4320" t="s">
        <v>36</v>
      </c>
      <c r="I4320" t="s">
        <v>26</v>
      </c>
      <c r="J4320" t="s">
        <v>27</v>
      </c>
      <c r="K4320" t="s">
        <v>32</v>
      </c>
      <c r="L4320" s="2">
        <v>2.5</v>
      </c>
      <c r="M4320" s="3">
        <v>307</v>
      </c>
      <c r="N4320">
        <v>3</v>
      </c>
      <c r="O4320">
        <v>3</v>
      </c>
      <c r="P4320">
        <v>1</v>
      </c>
      <c r="Q4320">
        <v>0</v>
      </c>
      <c r="R4320" s="4">
        <v>12.3</v>
      </c>
      <c r="S4320">
        <v>0</v>
      </c>
      <c r="T4320">
        <v>1</v>
      </c>
    </row>
    <row r="4321" spans="1:20" ht="16.5" x14ac:dyDescent="0.3">
      <c r="A4321" t="s">
        <v>4375</v>
      </c>
      <c r="B4321" s="1">
        <v>45892</v>
      </c>
      <c r="C4321">
        <v>2025</v>
      </c>
      <c r="D4321" t="s">
        <v>1261</v>
      </c>
      <c r="E4321" t="s">
        <v>1454</v>
      </c>
      <c r="F4321" t="s">
        <v>23</v>
      </c>
      <c r="G4321" t="s">
        <v>39</v>
      </c>
      <c r="H4321" t="s">
        <v>48</v>
      </c>
      <c r="I4321" t="s">
        <v>26</v>
      </c>
      <c r="J4321" t="s">
        <v>27</v>
      </c>
      <c r="K4321" t="s">
        <v>32</v>
      </c>
      <c r="L4321" s="2">
        <v>0.8</v>
      </c>
      <c r="M4321" s="3">
        <v>444</v>
      </c>
      <c r="N4321">
        <v>4</v>
      </c>
      <c r="O4321">
        <v>4</v>
      </c>
      <c r="P4321">
        <v>1</v>
      </c>
      <c r="Q4321">
        <v>0</v>
      </c>
      <c r="R4321" s="4">
        <v>11.27</v>
      </c>
      <c r="S4321">
        <v>0</v>
      </c>
      <c r="T4321">
        <v>1</v>
      </c>
    </row>
    <row r="4322" spans="1:20" ht="16.5" x14ac:dyDescent="0.3">
      <c r="A4322" t="s">
        <v>4376</v>
      </c>
      <c r="B4322" s="1">
        <v>45892</v>
      </c>
      <c r="C4322">
        <v>2025</v>
      </c>
      <c r="D4322" t="s">
        <v>1261</v>
      </c>
      <c r="E4322" t="s">
        <v>1454</v>
      </c>
      <c r="F4322" t="s">
        <v>38</v>
      </c>
      <c r="G4322" t="s">
        <v>39</v>
      </c>
      <c r="H4322" t="s">
        <v>48</v>
      </c>
      <c r="I4322" t="s">
        <v>26</v>
      </c>
      <c r="J4322" t="s">
        <v>27</v>
      </c>
      <c r="K4322" t="s">
        <v>32</v>
      </c>
      <c r="L4322" s="2">
        <v>7.5</v>
      </c>
      <c r="M4322" s="3">
        <v>502</v>
      </c>
      <c r="N4322">
        <v>4</v>
      </c>
      <c r="O4322">
        <v>3</v>
      </c>
      <c r="P4322">
        <v>1</v>
      </c>
      <c r="Q4322">
        <v>0</v>
      </c>
      <c r="R4322" s="4">
        <v>16.62</v>
      </c>
      <c r="S4322">
        <v>0</v>
      </c>
      <c r="T4322">
        <v>1</v>
      </c>
    </row>
    <row r="4323" spans="1:20" ht="16.5" x14ac:dyDescent="0.3">
      <c r="A4323" t="s">
        <v>4377</v>
      </c>
      <c r="B4323" s="1">
        <v>45892</v>
      </c>
      <c r="C4323">
        <v>2025</v>
      </c>
      <c r="D4323" t="s">
        <v>1261</v>
      </c>
      <c r="E4323" t="s">
        <v>1454</v>
      </c>
      <c r="F4323" t="s">
        <v>34</v>
      </c>
      <c r="G4323" t="s">
        <v>39</v>
      </c>
      <c r="H4323" t="s">
        <v>48</v>
      </c>
      <c r="I4323" t="s">
        <v>40</v>
      </c>
      <c r="J4323" t="s">
        <v>27</v>
      </c>
      <c r="K4323" t="s">
        <v>28</v>
      </c>
      <c r="L4323" s="2">
        <v>306.5</v>
      </c>
      <c r="M4323" s="3">
        <v>542</v>
      </c>
      <c r="N4323">
        <v>2</v>
      </c>
      <c r="O4323">
        <v>2</v>
      </c>
      <c r="P4323">
        <v>1</v>
      </c>
      <c r="Q4323">
        <v>0</v>
      </c>
      <c r="R4323" s="4">
        <v>217.22</v>
      </c>
      <c r="S4323">
        <v>0</v>
      </c>
      <c r="T4323">
        <v>1</v>
      </c>
    </row>
    <row r="4324" spans="1:20" ht="16.5" x14ac:dyDescent="0.3">
      <c r="A4324" t="s">
        <v>4378</v>
      </c>
      <c r="B4324" s="1">
        <v>45893</v>
      </c>
      <c r="C4324">
        <v>2025</v>
      </c>
      <c r="D4324" t="s">
        <v>1261</v>
      </c>
      <c r="E4324" t="s">
        <v>1454</v>
      </c>
      <c r="F4324" t="s">
        <v>57</v>
      </c>
      <c r="G4324" t="s">
        <v>39</v>
      </c>
      <c r="H4324" t="s">
        <v>43</v>
      </c>
      <c r="I4324" t="s">
        <v>31</v>
      </c>
      <c r="J4324" t="s">
        <v>27</v>
      </c>
      <c r="K4324" t="s">
        <v>32</v>
      </c>
      <c r="L4324" s="2">
        <v>2.6</v>
      </c>
      <c r="M4324" s="3">
        <v>1191</v>
      </c>
      <c r="N4324">
        <v>7</v>
      </c>
      <c r="O4324">
        <v>7</v>
      </c>
      <c r="P4324">
        <v>1</v>
      </c>
      <c r="Q4324">
        <v>0</v>
      </c>
      <c r="R4324" s="4">
        <v>16.87</v>
      </c>
      <c r="S4324">
        <v>0</v>
      </c>
      <c r="T4324">
        <v>1</v>
      </c>
    </row>
    <row r="4325" spans="1:20" ht="16.5" x14ac:dyDescent="0.3">
      <c r="A4325" t="s">
        <v>4379</v>
      </c>
      <c r="B4325" s="1">
        <v>45893</v>
      </c>
      <c r="C4325">
        <v>2025</v>
      </c>
      <c r="D4325" t="s">
        <v>1261</v>
      </c>
      <c r="E4325" t="s">
        <v>1454</v>
      </c>
      <c r="F4325" t="s">
        <v>23</v>
      </c>
      <c r="G4325" t="s">
        <v>35</v>
      </c>
      <c r="H4325" t="s">
        <v>43</v>
      </c>
      <c r="I4325" t="s">
        <v>26</v>
      </c>
      <c r="J4325" t="s">
        <v>27</v>
      </c>
      <c r="K4325" t="s">
        <v>28</v>
      </c>
      <c r="L4325" s="2">
        <v>163.6</v>
      </c>
      <c r="M4325" s="3">
        <v>1553</v>
      </c>
      <c r="N4325">
        <v>5</v>
      </c>
      <c r="O4325">
        <v>4</v>
      </c>
      <c r="P4325">
        <v>1</v>
      </c>
      <c r="Q4325">
        <v>0</v>
      </c>
      <c r="R4325" s="4">
        <v>86.76</v>
      </c>
      <c r="S4325">
        <v>0</v>
      </c>
      <c r="T4325">
        <v>1</v>
      </c>
    </row>
    <row r="4326" spans="1:20" ht="16.5" x14ac:dyDescent="0.3">
      <c r="A4326" t="s">
        <v>4380</v>
      </c>
      <c r="B4326" s="1">
        <v>45893</v>
      </c>
      <c r="C4326">
        <v>2025</v>
      </c>
      <c r="D4326" t="s">
        <v>1261</v>
      </c>
      <c r="E4326" t="s">
        <v>1454</v>
      </c>
      <c r="F4326" t="s">
        <v>38</v>
      </c>
      <c r="G4326" t="s">
        <v>35</v>
      </c>
      <c r="H4326" t="s">
        <v>36</v>
      </c>
      <c r="I4326" t="s">
        <v>26</v>
      </c>
      <c r="J4326" t="s">
        <v>27</v>
      </c>
      <c r="K4326" t="s">
        <v>28</v>
      </c>
      <c r="L4326" s="2">
        <v>26.6</v>
      </c>
      <c r="M4326" s="3">
        <v>259</v>
      </c>
      <c r="N4326">
        <v>3</v>
      </c>
      <c r="O4326">
        <v>3</v>
      </c>
      <c r="P4326">
        <v>1</v>
      </c>
      <c r="Q4326">
        <v>0</v>
      </c>
      <c r="R4326" s="4">
        <v>29.05</v>
      </c>
      <c r="S4326">
        <v>0</v>
      </c>
      <c r="T4326">
        <v>1</v>
      </c>
    </row>
    <row r="4327" spans="1:20" ht="16.5" x14ac:dyDescent="0.3">
      <c r="A4327" t="s">
        <v>4381</v>
      </c>
      <c r="B4327" s="1">
        <v>45894</v>
      </c>
      <c r="C4327">
        <v>2025</v>
      </c>
      <c r="D4327" t="s">
        <v>1261</v>
      </c>
      <c r="E4327" t="s">
        <v>1454</v>
      </c>
      <c r="F4327" t="s">
        <v>57</v>
      </c>
      <c r="G4327" t="s">
        <v>39</v>
      </c>
      <c r="H4327" t="s">
        <v>51</v>
      </c>
      <c r="I4327" t="s">
        <v>26</v>
      </c>
      <c r="J4327" t="s">
        <v>27</v>
      </c>
      <c r="K4327" t="s">
        <v>32</v>
      </c>
      <c r="L4327" s="2">
        <v>14.9</v>
      </c>
      <c r="M4327" s="3">
        <v>1080</v>
      </c>
      <c r="N4327">
        <v>5</v>
      </c>
      <c r="O4327">
        <v>5</v>
      </c>
      <c r="P4327">
        <v>1</v>
      </c>
      <c r="Q4327">
        <v>0</v>
      </c>
      <c r="R4327" s="4">
        <v>29.96</v>
      </c>
      <c r="S4327">
        <v>0</v>
      </c>
      <c r="T4327">
        <v>1</v>
      </c>
    </row>
    <row r="4328" spans="1:20" ht="16.5" x14ac:dyDescent="0.3">
      <c r="A4328" t="s">
        <v>4382</v>
      </c>
      <c r="B4328" s="1">
        <v>45894</v>
      </c>
      <c r="C4328">
        <v>2025</v>
      </c>
      <c r="D4328" t="s">
        <v>1261</v>
      </c>
      <c r="E4328" t="s">
        <v>1454</v>
      </c>
      <c r="F4328" t="s">
        <v>57</v>
      </c>
      <c r="G4328" t="s">
        <v>39</v>
      </c>
      <c r="H4328" t="s">
        <v>51</v>
      </c>
      <c r="I4328" t="s">
        <v>40</v>
      </c>
      <c r="J4328" t="s">
        <v>41</v>
      </c>
      <c r="K4328" t="s">
        <v>28</v>
      </c>
      <c r="L4328" s="2">
        <v>103.6</v>
      </c>
      <c r="M4328" s="3">
        <v>891</v>
      </c>
      <c r="N4328">
        <v>3</v>
      </c>
      <c r="O4328">
        <v>2</v>
      </c>
      <c r="P4328">
        <v>1</v>
      </c>
      <c r="Q4328">
        <v>0</v>
      </c>
      <c r="R4328" s="4">
        <v>186.78</v>
      </c>
      <c r="S4328">
        <v>0</v>
      </c>
      <c r="T4328">
        <v>1</v>
      </c>
    </row>
    <row r="4329" spans="1:20" ht="16.5" x14ac:dyDescent="0.3">
      <c r="A4329" t="s">
        <v>4383</v>
      </c>
      <c r="B4329" s="1">
        <v>45894</v>
      </c>
      <c r="C4329">
        <v>2025</v>
      </c>
      <c r="D4329" t="s">
        <v>1261</v>
      </c>
      <c r="E4329" t="s">
        <v>1454</v>
      </c>
      <c r="F4329" t="s">
        <v>57</v>
      </c>
      <c r="G4329" t="s">
        <v>24</v>
      </c>
      <c r="H4329" t="s">
        <v>36</v>
      </c>
      <c r="I4329" t="s">
        <v>26</v>
      </c>
      <c r="J4329" t="s">
        <v>27</v>
      </c>
      <c r="K4329" t="s">
        <v>28</v>
      </c>
      <c r="L4329" s="2">
        <v>30</v>
      </c>
      <c r="M4329" s="3">
        <v>258</v>
      </c>
      <c r="N4329">
        <v>3</v>
      </c>
      <c r="O4329">
        <v>3</v>
      </c>
      <c r="P4329">
        <v>1</v>
      </c>
      <c r="Q4329">
        <v>0</v>
      </c>
      <c r="R4329" s="4">
        <v>25.11</v>
      </c>
      <c r="S4329">
        <v>0</v>
      </c>
      <c r="T4329">
        <v>1</v>
      </c>
    </row>
    <row r="4330" spans="1:20" ht="16.5" x14ac:dyDescent="0.3">
      <c r="A4330" t="s">
        <v>4384</v>
      </c>
      <c r="B4330" s="1">
        <v>45894</v>
      </c>
      <c r="C4330">
        <v>2025</v>
      </c>
      <c r="D4330" t="s">
        <v>1261</v>
      </c>
      <c r="E4330" t="s">
        <v>1454</v>
      </c>
      <c r="F4330" t="s">
        <v>57</v>
      </c>
      <c r="G4330" t="s">
        <v>39</v>
      </c>
      <c r="H4330" t="s">
        <v>25</v>
      </c>
      <c r="I4330" t="s">
        <v>26</v>
      </c>
      <c r="J4330" t="s">
        <v>27</v>
      </c>
      <c r="K4330" t="s">
        <v>28</v>
      </c>
      <c r="L4330" s="2">
        <v>242.9</v>
      </c>
      <c r="M4330" s="3">
        <v>1060</v>
      </c>
      <c r="N4330">
        <v>4</v>
      </c>
      <c r="O4330">
        <v>3</v>
      </c>
      <c r="P4330">
        <v>1</v>
      </c>
      <c r="Q4330">
        <v>0</v>
      </c>
      <c r="R4330" s="4">
        <v>113.9</v>
      </c>
      <c r="S4330">
        <v>0</v>
      </c>
      <c r="T4330">
        <v>1</v>
      </c>
    </row>
    <row r="4331" spans="1:20" ht="16.5" x14ac:dyDescent="0.3">
      <c r="A4331" t="s">
        <v>4385</v>
      </c>
      <c r="B4331" s="1">
        <v>45894</v>
      </c>
      <c r="C4331">
        <v>2025</v>
      </c>
      <c r="D4331" t="s">
        <v>1261</v>
      </c>
      <c r="E4331" t="s">
        <v>1454</v>
      </c>
      <c r="F4331" t="s">
        <v>34</v>
      </c>
      <c r="G4331" t="s">
        <v>39</v>
      </c>
      <c r="H4331" t="s">
        <v>36</v>
      </c>
      <c r="I4331" t="s">
        <v>26</v>
      </c>
      <c r="J4331" t="s">
        <v>27</v>
      </c>
      <c r="K4331" t="s">
        <v>32</v>
      </c>
      <c r="L4331" s="2">
        <v>5.2</v>
      </c>
      <c r="M4331" s="3">
        <v>250</v>
      </c>
      <c r="N4331">
        <v>3</v>
      </c>
      <c r="O4331">
        <v>3</v>
      </c>
      <c r="P4331">
        <v>1</v>
      </c>
      <c r="Q4331">
        <v>0</v>
      </c>
      <c r="R4331" s="4">
        <v>10.4</v>
      </c>
      <c r="S4331">
        <v>0</v>
      </c>
      <c r="T4331">
        <v>1</v>
      </c>
    </row>
    <row r="4332" spans="1:20" ht="16.5" x14ac:dyDescent="0.3">
      <c r="A4332" t="s">
        <v>4386</v>
      </c>
      <c r="B4332" s="1">
        <v>45894</v>
      </c>
      <c r="C4332">
        <v>2025</v>
      </c>
      <c r="D4332" t="s">
        <v>1261</v>
      </c>
      <c r="E4332" t="s">
        <v>1454</v>
      </c>
      <c r="F4332" t="s">
        <v>57</v>
      </c>
      <c r="G4332" t="s">
        <v>39</v>
      </c>
      <c r="H4332" t="s">
        <v>36</v>
      </c>
      <c r="I4332" t="s">
        <v>26</v>
      </c>
      <c r="J4332" t="s">
        <v>27</v>
      </c>
      <c r="K4332" t="s">
        <v>32</v>
      </c>
      <c r="L4332" s="2">
        <v>2.8</v>
      </c>
      <c r="M4332" s="3">
        <v>216</v>
      </c>
      <c r="N4332">
        <v>3</v>
      </c>
      <c r="O4332">
        <v>2</v>
      </c>
      <c r="P4332">
        <v>1</v>
      </c>
      <c r="Q4332">
        <v>0</v>
      </c>
      <c r="R4332" s="4">
        <v>10.57</v>
      </c>
      <c r="S4332">
        <v>0</v>
      </c>
      <c r="T4332">
        <v>1</v>
      </c>
    </row>
    <row r="4333" spans="1:20" ht="16.5" x14ac:dyDescent="0.3">
      <c r="A4333" t="s">
        <v>4387</v>
      </c>
      <c r="B4333" s="1">
        <v>45894</v>
      </c>
      <c r="C4333">
        <v>2025</v>
      </c>
      <c r="D4333" t="s">
        <v>1261</v>
      </c>
      <c r="E4333" t="s">
        <v>1454</v>
      </c>
      <c r="F4333" t="s">
        <v>23</v>
      </c>
      <c r="G4333" t="s">
        <v>35</v>
      </c>
      <c r="H4333" t="s">
        <v>36</v>
      </c>
      <c r="I4333" t="s">
        <v>26</v>
      </c>
      <c r="J4333" t="s">
        <v>27</v>
      </c>
      <c r="K4333" t="s">
        <v>28</v>
      </c>
      <c r="L4333" s="2">
        <v>321.3</v>
      </c>
      <c r="M4333" s="3">
        <v>145</v>
      </c>
      <c r="N4333">
        <v>3</v>
      </c>
      <c r="O4333">
        <v>2</v>
      </c>
      <c r="P4333">
        <v>1</v>
      </c>
      <c r="Q4333">
        <v>0</v>
      </c>
      <c r="R4333" s="4">
        <v>118.17</v>
      </c>
      <c r="S4333">
        <v>0</v>
      </c>
      <c r="T4333">
        <v>1</v>
      </c>
    </row>
    <row r="4334" spans="1:20" ht="16.5" x14ac:dyDescent="0.3">
      <c r="A4334" t="s">
        <v>4388</v>
      </c>
      <c r="B4334" s="1">
        <v>45894</v>
      </c>
      <c r="C4334">
        <v>2025</v>
      </c>
      <c r="D4334" t="s">
        <v>1261</v>
      </c>
      <c r="E4334" t="s">
        <v>1454</v>
      </c>
      <c r="F4334" t="s">
        <v>38</v>
      </c>
      <c r="G4334" t="s">
        <v>39</v>
      </c>
      <c r="H4334" t="s">
        <v>51</v>
      </c>
      <c r="I4334" t="s">
        <v>26</v>
      </c>
      <c r="J4334" t="s">
        <v>27</v>
      </c>
      <c r="K4334" t="s">
        <v>28</v>
      </c>
      <c r="L4334" s="2">
        <v>22.6</v>
      </c>
      <c r="M4334" s="3">
        <v>1002</v>
      </c>
      <c r="N4334">
        <v>5</v>
      </c>
      <c r="O4334">
        <v>5</v>
      </c>
      <c r="P4334">
        <v>1</v>
      </c>
      <c r="Q4334">
        <v>0</v>
      </c>
      <c r="R4334" s="4">
        <v>33.130000000000003</v>
      </c>
      <c r="S4334">
        <v>0</v>
      </c>
      <c r="T4334">
        <v>1</v>
      </c>
    </row>
    <row r="4335" spans="1:20" ht="16.5" x14ac:dyDescent="0.3">
      <c r="A4335" t="s">
        <v>4389</v>
      </c>
      <c r="B4335" s="1">
        <v>45895</v>
      </c>
      <c r="C4335">
        <v>2025</v>
      </c>
      <c r="D4335" t="s">
        <v>1261</v>
      </c>
      <c r="E4335" t="s">
        <v>1454</v>
      </c>
      <c r="F4335" t="s">
        <v>23</v>
      </c>
      <c r="G4335" t="s">
        <v>39</v>
      </c>
      <c r="H4335" t="s">
        <v>48</v>
      </c>
      <c r="I4335" t="s">
        <v>26</v>
      </c>
      <c r="J4335" t="s">
        <v>27</v>
      </c>
      <c r="K4335" t="s">
        <v>32</v>
      </c>
      <c r="L4335" s="2">
        <v>6.3</v>
      </c>
      <c r="M4335" s="3">
        <v>521</v>
      </c>
      <c r="N4335">
        <v>4</v>
      </c>
      <c r="O4335">
        <v>4</v>
      </c>
      <c r="P4335">
        <v>1</v>
      </c>
      <c r="Q4335">
        <v>0</v>
      </c>
      <c r="R4335" s="4">
        <v>15.48</v>
      </c>
      <c r="S4335">
        <v>0</v>
      </c>
      <c r="T4335">
        <v>1</v>
      </c>
    </row>
    <row r="4336" spans="1:20" ht="16.5" x14ac:dyDescent="0.3">
      <c r="A4336" t="s">
        <v>4390</v>
      </c>
      <c r="B4336" s="1">
        <v>45895</v>
      </c>
      <c r="C4336">
        <v>2025</v>
      </c>
      <c r="D4336" t="s">
        <v>1261</v>
      </c>
      <c r="E4336" t="s">
        <v>1454</v>
      </c>
      <c r="F4336" t="s">
        <v>38</v>
      </c>
      <c r="G4336" t="s">
        <v>39</v>
      </c>
      <c r="H4336" t="s">
        <v>25</v>
      </c>
      <c r="I4336" t="s">
        <v>40</v>
      </c>
      <c r="J4336" t="s">
        <v>41</v>
      </c>
      <c r="K4336" t="s">
        <v>32</v>
      </c>
      <c r="L4336" s="2">
        <v>8.3000000000000007</v>
      </c>
      <c r="M4336" s="3">
        <v>1190</v>
      </c>
      <c r="N4336">
        <v>2</v>
      </c>
      <c r="O4336">
        <v>2</v>
      </c>
      <c r="P4336">
        <v>1</v>
      </c>
      <c r="Q4336">
        <v>0</v>
      </c>
      <c r="R4336" s="4">
        <v>85.4</v>
      </c>
      <c r="S4336">
        <v>0</v>
      </c>
      <c r="T4336">
        <v>1</v>
      </c>
    </row>
    <row r="4337" spans="1:20" ht="16.5" x14ac:dyDescent="0.3">
      <c r="A4337" t="s">
        <v>4391</v>
      </c>
      <c r="B4337" s="1">
        <v>45895</v>
      </c>
      <c r="C4337">
        <v>2025</v>
      </c>
      <c r="D4337" t="s">
        <v>1261</v>
      </c>
      <c r="E4337" t="s">
        <v>1454</v>
      </c>
      <c r="F4337" t="s">
        <v>34</v>
      </c>
      <c r="G4337" t="s">
        <v>24</v>
      </c>
      <c r="H4337" t="s">
        <v>48</v>
      </c>
      <c r="I4337" t="s">
        <v>31</v>
      </c>
      <c r="J4337" t="s">
        <v>27</v>
      </c>
      <c r="K4337" t="s">
        <v>32</v>
      </c>
      <c r="L4337" s="2">
        <v>2.5</v>
      </c>
      <c r="M4337" s="3">
        <v>518</v>
      </c>
      <c r="N4337">
        <v>6</v>
      </c>
      <c r="O4337">
        <v>6</v>
      </c>
      <c r="P4337">
        <v>1</v>
      </c>
      <c r="Q4337">
        <v>0</v>
      </c>
      <c r="R4337" s="4">
        <v>9.0500000000000007</v>
      </c>
      <c r="S4337">
        <v>0</v>
      </c>
      <c r="T4337">
        <v>1</v>
      </c>
    </row>
    <row r="4338" spans="1:20" ht="16.5" x14ac:dyDescent="0.3">
      <c r="A4338" t="s">
        <v>4392</v>
      </c>
      <c r="B4338" s="1">
        <v>45895</v>
      </c>
      <c r="C4338">
        <v>2025</v>
      </c>
      <c r="D4338" t="s">
        <v>1261</v>
      </c>
      <c r="E4338" t="s">
        <v>1454</v>
      </c>
      <c r="F4338" t="s">
        <v>57</v>
      </c>
      <c r="G4338" t="s">
        <v>24</v>
      </c>
      <c r="H4338" t="s">
        <v>51</v>
      </c>
      <c r="I4338" t="s">
        <v>26</v>
      </c>
      <c r="J4338" t="s">
        <v>27</v>
      </c>
      <c r="K4338" t="s">
        <v>32</v>
      </c>
      <c r="L4338" s="2">
        <v>6</v>
      </c>
      <c r="M4338" s="3">
        <v>1056</v>
      </c>
      <c r="N4338">
        <v>5</v>
      </c>
      <c r="O4338">
        <v>4</v>
      </c>
      <c r="P4338">
        <v>1</v>
      </c>
      <c r="Q4338">
        <v>0</v>
      </c>
      <c r="R4338" s="4">
        <v>22.16</v>
      </c>
      <c r="S4338">
        <v>0</v>
      </c>
      <c r="T4338">
        <v>1</v>
      </c>
    </row>
    <row r="4339" spans="1:20" ht="16.5" x14ac:dyDescent="0.3">
      <c r="A4339" t="s">
        <v>4393</v>
      </c>
      <c r="B4339" s="1">
        <v>45895</v>
      </c>
      <c r="C4339">
        <v>2025</v>
      </c>
      <c r="D4339" t="s">
        <v>1261</v>
      </c>
      <c r="E4339" t="s">
        <v>1454</v>
      </c>
      <c r="F4339" t="s">
        <v>57</v>
      </c>
      <c r="G4339" t="s">
        <v>35</v>
      </c>
      <c r="H4339" t="s">
        <v>48</v>
      </c>
      <c r="I4339" t="s">
        <v>31</v>
      </c>
      <c r="J4339" t="s">
        <v>27</v>
      </c>
      <c r="K4339" t="s">
        <v>28</v>
      </c>
      <c r="L4339" s="2">
        <v>42.6</v>
      </c>
      <c r="M4339" s="3">
        <v>506</v>
      </c>
      <c r="N4339">
        <v>6</v>
      </c>
      <c r="O4339">
        <v>6</v>
      </c>
      <c r="P4339">
        <v>1</v>
      </c>
      <c r="Q4339">
        <v>0</v>
      </c>
      <c r="R4339" s="4">
        <v>24.76</v>
      </c>
      <c r="S4339">
        <v>0</v>
      </c>
      <c r="T4339">
        <v>1</v>
      </c>
    </row>
    <row r="4340" spans="1:20" ht="16.5" x14ac:dyDescent="0.3">
      <c r="A4340" t="s">
        <v>4394</v>
      </c>
      <c r="B4340" s="1">
        <v>45895</v>
      </c>
      <c r="C4340">
        <v>2025</v>
      </c>
      <c r="D4340" t="s">
        <v>1261</v>
      </c>
      <c r="E4340" t="s">
        <v>1454</v>
      </c>
      <c r="F4340" t="s">
        <v>23</v>
      </c>
      <c r="G4340" t="s">
        <v>39</v>
      </c>
      <c r="H4340" t="s">
        <v>43</v>
      </c>
      <c r="I4340" t="s">
        <v>40</v>
      </c>
      <c r="J4340" t="s">
        <v>41</v>
      </c>
      <c r="K4340" t="s">
        <v>32</v>
      </c>
      <c r="L4340" s="2">
        <v>7.1</v>
      </c>
      <c r="M4340" s="3">
        <v>960</v>
      </c>
      <c r="N4340">
        <v>3</v>
      </c>
      <c r="O4340">
        <v>2</v>
      </c>
      <c r="P4340">
        <v>1</v>
      </c>
      <c r="Q4340">
        <v>0</v>
      </c>
      <c r="R4340" s="4">
        <v>61.91</v>
      </c>
      <c r="S4340">
        <v>0</v>
      </c>
      <c r="T4340">
        <v>1</v>
      </c>
    </row>
    <row r="4341" spans="1:20" ht="16.5" x14ac:dyDescent="0.3">
      <c r="A4341" t="s">
        <v>4395</v>
      </c>
      <c r="B4341" s="1">
        <v>45895</v>
      </c>
      <c r="C4341">
        <v>2025</v>
      </c>
      <c r="D4341" t="s">
        <v>1261</v>
      </c>
      <c r="E4341" t="s">
        <v>1454</v>
      </c>
      <c r="F4341" t="s">
        <v>30</v>
      </c>
      <c r="G4341" t="s">
        <v>39</v>
      </c>
      <c r="H4341" t="s">
        <v>25</v>
      </c>
      <c r="I4341" t="s">
        <v>40</v>
      </c>
      <c r="J4341" t="s">
        <v>41</v>
      </c>
      <c r="K4341" t="s">
        <v>32</v>
      </c>
      <c r="L4341" s="2">
        <v>19.899999999999999</v>
      </c>
      <c r="M4341" s="3">
        <v>847</v>
      </c>
      <c r="N4341">
        <v>2</v>
      </c>
      <c r="O4341">
        <v>2</v>
      </c>
      <c r="P4341">
        <v>1</v>
      </c>
      <c r="Q4341">
        <v>0</v>
      </c>
      <c r="R4341" s="4">
        <v>84.34</v>
      </c>
      <c r="S4341">
        <v>0</v>
      </c>
      <c r="T4341">
        <v>1</v>
      </c>
    </row>
    <row r="4342" spans="1:20" ht="16.5" x14ac:dyDescent="0.3">
      <c r="A4342" t="s">
        <v>4396</v>
      </c>
      <c r="B4342" s="1">
        <v>45895</v>
      </c>
      <c r="C4342">
        <v>2025</v>
      </c>
      <c r="D4342" t="s">
        <v>1261</v>
      </c>
      <c r="E4342" t="s">
        <v>1454</v>
      </c>
      <c r="F4342" t="s">
        <v>57</v>
      </c>
      <c r="G4342" t="s">
        <v>35</v>
      </c>
      <c r="H4342" t="s">
        <v>51</v>
      </c>
      <c r="I4342" t="s">
        <v>26</v>
      </c>
      <c r="J4342" t="s">
        <v>27</v>
      </c>
      <c r="K4342" t="s">
        <v>28</v>
      </c>
      <c r="L4342" s="2">
        <v>31</v>
      </c>
      <c r="M4342" s="3">
        <v>968</v>
      </c>
      <c r="N4342">
        <v>5</v>
      </c>
      <c r="O4342">
        <v>5</v>
      </c>
      <c r="P4342">
        <v>1</v>
      </c>
      <c r="Q4342">
        <v>0</v>
      </c>
      <c r="R4342" s="4">
        <v>32.82</v>
      </c>
      <c r="S4342">
        <v>0</v>
      </c>
      <c r="T4342">
        <v>1</v>
      </c>
    </row>
    <row r="4343" spans="1:20" ht="16.5" x14ac:dyDescent="0.3">
      <c r="A4343" t="s">
        <v>4397</v>
      </c>
      <c r="B4343" s="1">
        <v>45895</v>
      </c>
      <c r="C4343">
        <v>2025</v>
      </c>
      <c r="D4343" t="s">
        <v>1261</v>
      </c>
      <c r="E4343" t="s">
        <v>1454</v>
      </c>
      <c r="F4343" t="s">
        <v>57</v>
      </c>
      <c r="G4343" t="s">
        <v>35</v>
      </c>
      <c r="H4343" t="s">
        <v>36</v>
      </c>
      <c r="I4343" t="s">
        <v>40</v>
      </c>
      <c r="J4343" t="s">
        <v>27</v>
      </c>
      <c r="K4343" t="s">
        <v>32</v>
      </c>
      <c r="L4343" s="2">
        <v>7.2</v>
      </c>
      <c r="M4343" s="3">
        <v>225</v>
      </c>
      <c r="N4343">
        <v>1</v>
      </c>
      <c r="O4343">
        <v>1</v>
      </c>
      <c r="P4343">
        <v>1</v>
      </c>
      <c r="Q4343">
        <v>0</v>
      </c>
      <c r="R4343" s="4">
        <v>29.71</v>
      </c>
      <c r="S4343">
        <v>0</v>
      </c>
      <c r="T4343">
        <v>1</v>
      </c>
    </row>
    <row r="4344" spans="1:20" ht="16.5" x14ac:dyDescent="0.3">
      <c r="A4344" t="s">
        <v>4398</v>
      </c>
      <c r="B4344" s="1">
        <v>45895</v>
      </c>
      <c r="C4344">
        <v>2025</v>
      </c>
      <c r="D4344" t="s">
        <v>1261</v>
      </c>
      <c r="E4344" t="s">
        <v>1454</v>
      </c>
      <c r="F4344" t="s">
        <v>57</v>
      </c>
      <c r="G4344" t="s">
        <v>35</v>
      </c>
      <c r="H4344" t="s">
        <v>51</v>
      </c>
      <c r="I4344" t="s">
        <v>26</v>
      </c>
      <c r="J4344" t="s">
        <v>27</v>
      </c>
      <c r="K4344" t="s">
        <v>32</v>
      </c>
      <c r="L4344" s="2">
        <v>2.7</v>
      </c>
      <c r="M4344" s="3">
        <v>1097</v>
      </c>
      <c r="N4344">
        <v>5</v>
      </c>
      <c r="O4344">
        <v>6</v>
      </c>
      <c r="P4344">
        <v>0</v>
      </c>
      <c r="Q4344">
        <v>1</v>
      </c>
      <c r="R4344" s="4">
        <v>21.68</v>
      </c>
      <c r="S4344">
        <v>0</v>
      </c>
      <c r="T4344">
        <v>1</v>
      </c>
    </row>
    <row r="4345" spans="1:20" ht="16.5" x14ac:dyDescent="0.3">
      <c r="A4345" t="s">
        <v>4399</v>
      </c>
      <c r="B4345" s="1">
        <v>45896</v>
      </c>
      <c r="C4345">
        <v>2025</v>
      </c>
      <c r="D4345" t="s">
        <v>1261</v>
      </c>
      <c r="E4345" t="s">
        <v>1454</v>
      </c>
      <c r="F4345" t="s">
        <v>57</v>
      </c>
      <c r="G4345" t="s">
        <v>35</v>
      </c>
      <c r="H4345" t="s">
        <v>43</v>
      </c>
      <c r="I4345" t="s">
        <v>26</v>
      </c>
      <c r="J4345" t="s">
        <v>27</v>
      </c>
      <c r="K4345" t="s">
        <v>32</v>
      </c>
      <c r="L4345" s="2">
        <v>7.7</v>
      </c>
      <c r="M4345" s="3">
        <v>1054</v>
      </c>
      <c r="N4345">
        <v>5</v>
      </c>
      <c r="O4345">
        <v>5</v>
      </c>
      <c r="P4345">
        <v>1</v>
      </c>
      <c r="Q4345">
        <v>0</v>
      </c>
      <c r="R4345" s="4">
        <v>23.39</v>
      </c>
      <c r="S4345">
        <v>0</v>
      </c>
      <c r="T4345">
        <v>1</v>
      </c>
    </row>
    <row r="4346" spans="1:20" ht="16.5" x14ac:dyDescent="0.3">
      <c r="A4346" t="s">
        <v>4400</v>
      </c>
      <c r="B4346" s="1">
        <v>45896</v>
      </c>
      <c r="C4346">
        <v>2025</v>
      </c>
      <c r="D4346" t="s">
        <v>1261</v>
      </c>
      <c r="E4346" t="s">
        <v>1454</v>
      </c>
      <c r="F4346" t="s">
        <v>38</v>
      </c>
      <c r="G4346" t="s">
        <v>35</v>
      </c>
      <c r="H4346" t="s">
        <v>43</v>
      </c>
      <c r="I4346" t="s">
        <v>26</v>
      </c>
      <c r="J4346" t="s">
        <v>27</v>
      </c>
      <c r="K4346" t="s">
        <v>32</v>
      </c>
      <c r="L4346" s="2">
        <v>2.4</v>
      </c>
      <c r="M4346" s="3">
        <v>999</v>
      </c>
      <c r="N4346">
        <v>5</v>
      </c>
      <c r="O4346">
        <v>5</v>
      </c>
      <c r="P4346">
        <v>1</v>
      </c>
      <c r="Q4346">
        <v>0</v>
      </c>
      <c r="R4346" s="4">
        <v>22.45</v>
      </c>
      <c r="S4346">
        <v>0</v>
      </c>
      <c r="T4346">
        <v>1</v>
      </c>
    </row>
    <row r="4347" spans="1:20" ht="16.5" x14ac:dyDescent="0.3">
      <c r="A4347" t="s">
        <v>4401</v>
      </c>
      <c r="B4347" s="1">
        <v>45896</v>
      </c>
      <c r="C4347">
        <v>2025</v>
      </c>
      <c r="D4347" t="s">
        <v>1261</v>
      </c>
      <c r="E4347" t="s">
        <v>1454</v>
      </c>
      <c r="F4347" t="s">
        <v>57</v>
      </c>
      <c r="G4347" t="s">
        <v>35</v>
      </c>
      <c r="H4347" t="s">
        <v>48</v>
      </c>
      <c r="I4347" t="s">
        <v>26</v>
      </c>
      <c r="J4347" t="s">
        <v>27</v>
      </c>
      <c r="K4347" t="s">
        <v>32</v>
      </c>
      <c r="L4347" s="2">
        <v>10</v>
      </c>
      <c r="M4347" s="3">
        <v>542</v>
      </c>
      <c r="N4347">
        <v>4</v>
      </c>
      <c r="O4347">
        <v>3</v>
      </c>
      <c r="P4347">
        <v>1</v>
      </c>
      <c r="Q4347">
        <v>0</v>
      </c>
      <c r="R4347" s="4">
        <v>19.309999999999999</v>
      </c>
      <c r="S4347">
        <v>0</v>
      </c>
      <c r="T4347">
        <v>1</v>
      </c>
    </row>
    <row r="4348" spans="1:20" ht="16.5" x14ac:dyDescent="0.3">
      <c r="A4348" t="s">
        <v>4402</v>
      </c>
      <c r="B4348" s="1">
        <v>45896</v>
      </c>
      <c r="C4348">
        <v>2025</v>
      </c>
      <c r="D4348" t="s">
        <v>1261</v>
      </c>
      <c r="E4348" t="s">
        <v>1454</v>
      </c>
      <c r="F4348" t="s">
        <v>30</v>
      </c>
      <c r="G4348" t="s">
        <v>35</v>
      </c>
      <c r="H4348" t="s">
        <v>36</v>
      </c>
      <c r="I4348" t="s">
        <v>26</v>
      </c>
      <c r="J4348" t="s">
        <v>27</v>
      </c>
      <c r="K4348" t="s">
        <v>28</v>
      </c>
      <c r="L4348" s="2">
        <v>61.8</v>
      </c>
      <c r="M4348" s="3">
        <v>238</v>
      </c>
      <c r="N4348">
        <v>3</v>
      </c>
      <c r="O4348">
        <v>3</v>
      </c>
      <c r="P4348">
        <v>1</v>
      </c>
      <c r="Q4348">
        <v>0</v>
      </c>
      <c r="R4348" s="4">
        <v>44.79</v>
      </c>
      <c r="S4348">
        <v>0</v>
      </c>
      <c r="T4348">
        <v>1</v>
      </c>
    </row>
    <row r="4349" spans="1:20" ht="16.5" x14ac:dyDescent="0.3">
      <c r="A4349" t="s">
        <v>4403</v>
      </c>
      <c r="B4349" s="1">
        <v>45896</v>
      </c>
      <c r="C4349">
        <v>2025</v>
      </c>
      <c r="D4349" t="s">
        <v>1261</v>
      </c>
      <c r="E4349" t="s">
        <v>1454</v>
      </c>
      <c r="F4349" t="s">
        <v>30</v>
      </c>
      <c r="G4349" t="s">
        <v>39</v>
      </c>
      <c r="H4349" t="s">
        <v>25</v>
      </c>
      <c r="I4349" t="s">
        <v>26</v>
      </c>
      <c r="J4349" t="s">
        <v>27</v>
      </c>
      <c r="K4349" t="s">
        <v>32</v>
      </c>
      <c r="L4349" s="2">
        <v>3.1</v>
      </c>
      <c r="M4349" s="3">
        <v>1048</v>
      </c>
      <c r="N4349">
        <v>4</v>
      </c>
      <c r="O4349">
        <v>4</v>
      </c>
      <c r="P4349">
        <v>1</v>
      </c>
      <c r="Q4349">
        <v>0</v>
      </c>
      <c r="R4349" s="4">
        <v>25.64</v>
      </c>
      <c r="S4349">
        <v>0</v>
      </c>
      <c r="T4349">
        <v>1</v>
      </c>
    </row>
    <row r="4350" spans="1:20" ht="16.5" x14ac:dyDescent="0.3">
      <c r="A4350" t="s">
        <v>4404</v>
      </c>
      <c r="B4350" s="1">
        <v>45896</v>
      </c>
      <c r="C4350">
        <v>2025</v>
      </c>
      <c r="D4350" t="s">
        <v>1261</v>
      </c>
      <c r="E4350" t="s">
        <v>1454</v>
      </c>
      <c r="F4350" t="s">
        <v>38</v>
      </c>
      <c r="G4350" t="s">
        <v>39</v>
      </c>
      <c r="H4350" t="s">
        <v>25</v>
      </c>
      <c r="I4350" t="s">
        <v>40</v>
      </c>
      <c r="J4350" t="s">
        <v>41</v>
      </c>
      <c r="K4350" t="s">
        <v>28</v>
      </c>
      <c r="L4350" s="2">
        <v>63.8</v>
      </c>
      <c r="M4350" s="3">
        <v>899</v>
      </c>
      <c r="N4350">
        <v>2</v>
      </c>
      <c r="O4350">
        <v>2</v>
      </c>
      <c r="P4350">
        <v>1</v>
      </c>
      <c r="Q4350">
        <v>0</v>
      </c>
      <c r="R4350" s="4">
        <v>160.16999999999999</v>
      </c>
      <c r="S4350">
        <v>0</v>
      </c>
      <c r="T4350">
        <v>1</v>
      </c>
    </row>
    <row r="4351" spans="1:20" ht="16.5" x14ac:dyDescent="0.3">
      <c r="A4351" t="s">
        <v>4405</v>
      </c>
      <c r="B4351" s="1">
        <v>45896</v>
      </c>
      <c r="C4351">
        <v>2025</v>
      </c>
      <c r="D4351" t="s">
        <v>1261</v>
      </c>
      <c r="E4351" t="s">
        <v>1454</v>
      </c>
      <c r="F4351" t="s">
        <v>30</v>
      </c>
      <c r="G4351" t="s">
        <v>39</v>
      </c>
      <c r="H4351" t="s">
        <v>48</v>
      </c>
      <c r="I4351" t="s">
        <v>26</v>
      </c>
      <c r="J4351" t="s">
        <v>27</v>
      </c>
      <c r="K4351" t="s">
        <v>28</v>
      </c>
      <c r="L4351" s="2">
        <v>134.9</v>
      </c>
      <c r="M4351" s="3">
        <v>502</v>
      </c>
      <c r="N4351">
        <v>4</v>
      </c>
      <c r="O4351">
        <v>4</v>
      </c>
      <c r="P4351">
        <v>1</v>
      </c>
      <c r="Q4351">
        <v>0</v>
      </c>
      <c r="R4351" s="4">
        <v>59.29</v>
      </c>
      <c r="S4351">
        <v>0</v>
      </c>
      <c r="T4351">
        <v>1</v>
      </c>
    </row>
    <row r="4352" spans="1:20" ht="16.5" x14ac:dyDescent="0.3">
      <c r="A4352" t="s">
        <v>4406</v>
      </c>
      <c r="B4352" s="1">
        <v>45896</v>
      </c>
      <c r="C4352">
        <v>2025</v>
      </c>
      <c r="D4352" t="s">
        <v>1261</v>
      </c>
      <c r="E4352" t="s">
        <v>1454</v>
      </c>
      <c r="F4352" t="s">
        <v>30</v>
      </c>
      <c r="G4352" t="s">
        <v>35</v>
      </c>
      <c r="H4352" t="s">
        <v>36</v>
      </c>
      <c r="I4352" t="s">
        <v>31</v>
      </c>
      <c r="J4352" t="s">
        <v>27</v>
      </c>
      <c r="K4352" t="s">
        <v>32</v>
      </c>
      <c r="L4352" s="2">
        <v>7.9</v>
      </c>
      <c r="M4352" s="3">
        <v>274</v>
      </c>
      <c r="N4352">
        <v>5</v>
      </c>
      <c r="O4352">
        <v>5</v>
      </c>
      <c r="P4352">
        <v>1</v>
      </c>
      <c r="Q4352">
        <v>0</v>
      </c>
      <c r="R4352" s="4">
        <v>11.82</v>
      </c>
      <c r="S4352">
        <v>0</v>
      </c>
      <c r="T4352">
        <v>1</v>
      </c>
    </row>
    <row r="4353" spans="1:20" ht="16.5" x14ac:dyDescent="0.3">
      <c r="A4353" t="s">
        <v>4407</v>
      </c>
      <c r="B4353" s="1">
        <v>45897</v>
      </c>
      <c r="C4353">
        <v>2025</v>
      </c>
      <c r="D4353" t="s">
        <v>1261</v>
      </c>
      <c r="E4353" t="s">
        <v>1454</v>
      </c>
      <c r="F4353" t="s">
        <v>38</v>
      </c>
      <c r="G4353" t="s">
        <v>39</v>
      </c>
      <c r="H4353" t="s">
        <v>36</v>
      </c>
      <c r="I4353" t="s">
        <v>26</v>
      </c>
      <c r="J4353" t="s">
        <v>27</v>
      </c>
      <c r="K4353" t="s">
        <v>32</v>
      </c>
      <c r="L4353" s="2">
        <v>7.4</v>
      </c>
      <c r="M4353" s="3">
        <v>295</v>
      </c>
      <c r="N4353">
        <v>3</v>
      </c>
      <c r="O4353">
        <v>3</v>
      </c>
      <c r="P4353">
        <v>1</v>
      </c>
      <c r="Q4353">
        <v>0</v>
      </c>
      <c r="R4353" s="4">
        <v>17.87</v>
      </c>
      <c r="S4353">
        <v>0</v>
      </c>
      <c r="T4353">
        <v>1</v>
      </c>
    </row>
    <row r="4354" spans="1:20" ht="16.5" x14ac:dyDescent="0.3">
      <c r="A4354" t="s">
        <v>4408</v>
      </c>
      <c r="B4354" s="1">
        <v>45897</v>
      </c>
      <c r="C4354">
        <v>2025</v>
      </c>
      <c r="D4354" t="s">
        <v>1261</v>
      </c>
      <c r="E4354" t="s">
        <v>1454</v>
      </c>
      <c r="F4354" t="s">
        <v>57</v>
      </c>
      <c r="G4354" t="s">
        <v>39</v>
      </c>
      <c r="H4354" t="s">
        <v>25</v>
      </c>
      <c r="I4354" t="s">
        <v>26</v>
      </c>
      <c r="J4354" t="s">
        <v>27</v>
      </c>
      <c r="K4354" t="s">
        <v>28</v>
      </c>
      <c r="L4354" s="2">
        <v>63.2</v>
      </c>
      <c r="M4354" s="3">
        <v>1016</v>
      </c>
      <c r="N4354">
        <v>4</v>
      </c>
      <c r="O4354">
        <v>4</v>
      </c>
      <c r="P4354">
        <v>1</v>
      </c>
      <c r="Q4354">
        <v>0</v>
      </c>
      <c r="R4354" s="4">
        <v>48.04</v>
      </c>
      <c r="S4354">
        <v>0</v>
      </c>
      <c r="T4354">
        <v>1</v>
      </c>
    </row>
    <row r="4355" spans="1:20" ht="16.5" x14ac:dyDescent="0.3">
      <c r="A4355" t="s">
        <v>4409</v>
      </c>
      <c r="B4355" s="1">
        <v>45897</v>
      </c>
      <c r="C4355">
        <v>2025</v>
      </c>
      <c r="D4355" t="s">
        <v>1261</v>
      </c>
      <c r="E4355" t="s">
        <v>1454</v>
      </c>
      <c r="F4355" t="s">
        <v>57</v>
      </c>
      <c r="G4355" t="s">
        <v>39</v>
      </c>
      <c r="H4355" t="s">
        <v>48</v>
      </c>
      <c r="I4355" t="s">
        <v>26</v>
      </c>
      <c r="J4355" t="s">
        <v>27</v>
      </c>
      <c r="K4355" t="s">
        <v>32</v>
      </c>
      <c r="L4355" s="2">
        <v>5.4</v>
      </c>
      <c r="M4355" s="3">
        <v>470</v>
      </c>
      <c r="N4355">
        <v>4</v>
      </c>
      <c r="O4355">
        <v>4</v>
      </c>
      <c r="P4355">
        <v>1</v>
      </c>
      <c r="Q4355">
        <v>0</v>
      </c>
      <c r="R4355" s="4">
        <v>17.39</v>
      </c>
      <c r="S4355">
        <v>0</v>
      </c>
      <c r="T4355">
        <v>1</v>
      </c>
    </row>
    <row r="4356" spans="1:20" ht="16.5" x14ac:dyDescent="0.3">
      <c r="A4356" t="s">
        <v>4410</v>
      </c>
      <c r="B4356" s="1">
        <v>45897</v>
      </c>
      <c r="C4356">
        <v>2025</v>
      </c>
      <c r="D4356" t="s">
        <v>1261</v>
      </c>
      <c r="E4356" t="s">
        <v>1454</v>
      </c>
      <c r="F4356" t="s">
        <v>30</v>
      </c>
      <c r="G4356" t="s">
        <v>35</v>
      </c>
      <c r="H4356" t="s">
        <v>36</v>
      </c>
      <c r="I4356" t="s">
        <v>40</v>
      </c>
      <c r="J4356" t="s">
        <v>27</v>
      </c>
      <c r="K4356" t="s">
        <v>28</v>
      </c>
      <c r="L4356" s="2">
        <v>74.7</v>
      </c>
      <c r="M4356" s="3">
        <v>251</v>
      </c>
      <c r="N4356">
        <v>1</v>
      </c>
      <c r="O4356">
        <v>1</v>
      </c>
      <c r="P4356">
        <v>1</v>
      </c>
      <c r="Q4356">
        <v>0</v>
      </c>
      <c r="R4356" s="4">
        <v>85.99</v>
      </c>
      <c r="S4356">
        <v>0</v>
      </c>
      <c r="T4356">
        <v>1</v>
      </c>
    </row>
    <row r="4357" spans="1:20" ht="16.5" x14ac:dyDescent="0.3">
      <c r="A4357" t="s">
        <v>4411</v>
      </c>
      <c r="B4357" s="1">
        <v>45897</v>
      </c>
      <c r="C4357">
        <v>2025</v>
      </c>
      <c r="D4357" t="s">
        <v>1261</v>
      </c>
      <c r="E4357" t="s">
        <v>1454</v>
      </c>
      <c r="F4357" t="s">
        <v>23</v>
      </c>
      <c r="G4357" t="s">
        <v>39</v>
      </c>
      <c r="H4357" t="s">
        <v>48</v>
      </c>
      <c r="I4357" t="s">
        <v>26</v>
      </c>
      <c r="J4357" t="s">
        <v>27</v>
      </c>
      <c r="K4357" t="s">
        <v>32</v>
      </c>
      <c r="L4357" s="2">
        <v>8.8000000000000007</v>
      </c>
      <c r="M4357" s="3">
        <v>437</v>
      </c>
      <c r="N4357">
        <v>4</v>
      </c>
      <c r="O4357">
        <v>4</v>
      </c>
      <c r="P4357">
        <v>1</v>
      </c>
      <c r="Q4357">
        <v>0</v>
      </c>
      <c r="R4357" s="4">
        <v>15.36</v>
      </c>
      <c r="S4357">
        <v>0</v>
      </c>
      <c r="T4357">
        <v>1</v>
      </c>
    </row>
    <row r="4358" spans="1:20" ht="16.5" x14ac:dyDescent="0.3">
      <c r="A4358" t="s">
        <v>4412</v>
      </c>
      <c r="B4358" s="1">
        <v>45897</v>
      </c>
      <c r="C4358">
        <v>2025</v>
      </c>
      <c r="D4358" t="s">
        <v>1261</v>
      </c>
      <c r="E4358" t="s">
        <v>1454</v>
      </c>
      <c r="F4358" t="s">
        <v>30</v>
      </c>
      <c r="G4358" t="s">
        <v>24</v>
      </c>
      <c r="H4358" t="s">
        <v>51</v>
      </c>
      <c r="I4358" t="s">
        <v>26</v>
      </c>
      <c r="J4358" t="s">
        <v>27</v>
      </c>
      <c r="K4358" t="s">
        <v>32</v>
      </c>
      <c r="L4358" s="2">
        <v>8.6</v>
      </c>
      <c r="M4358" s="3">
        <v>1280</v>
      </c>
      <c r="N4358">
        <v>5</v>
      </c>
      <c r="O4358">
        <v>5</v>
      </c>
      <c r="P4358">
        <v>1</v>
      </c>
      <c r="Q4358">
        <v>0</v>
      </c>
      <c r="R4358" s="4">
        <v>28.71</v>
      </c>
      <c r="S4358">
        <v>0</v>
      </c>
      <c r="T4358">
        <v>1</v>
      </c>
    </row>
    <row r="4359" spans="1:20" ht="16.5" x14ac:dyDescent="0.3">
      <c r="A4359" t="s">
        <v>4413</v>
      </c>
      <c r="B4359" s="1">
        <v>45897</v>
      </c>
      <c r="C4359">
        <v>2025</v>
      </c>
      <c r="D4359" t="s">
        <v>1261</v>
      </c>
      <c r="E4359" t="s">
        <v>1454</v>
      </c>
      <c r="F4359" t="s">
        <v>34</v>
      </c>
      <c r="G4359" t="s">
        <v>24</v>
      </c>
      <c r="H4359" t="s">
        <v>36</v>
      </c>
      <c r="I4359" t="s">
        <v>26</v>
      </c>
      <c r="J4359" t="s">
        <v>27</v>
      </c>
      <c r="K4359" t="s">
        <v>32</v>
      </c>
      <c r="L4359" s="2">
        <v>9.6</v>
      </c>
      <c r="M4359" s="3">
        <v>217</v>
      </c>
      <c r="N4359">
        <v>3</v>
      </c>
      <c r="O4359">
        <v>3</v>
      </c>
      <c r="P4359">
        <v>1</v>
      </c>
      <c r="Q4359">
        <v>0</v>
      </c>
      <c r="R4359" s="4">
        <v>12.5</v>
      </c>
      <c r="S4359">
        <v>0</v>
      </c>
      <c r="T4359">
        <v>1</v>
      </c>
    </row>
    <row r="4360" spans="1:20" ht="16.5" x14ac:dyDescent="0.3">
      <c r="A4360" t="s">
        <v>4414</v>
      </c>
      <c r="B4360" s="1">
        <v>45897</v>
      </c>
      <c r="C4360">
        <v>2025</v>
      </c>
      <c r="D4360" t="s">
        <v>1261</v>
      </c>
      <c r="E4360" t="s">
        <v>1454</v>
      </c>
      <c r="F4360" t="s">
        <v>34</v>
      </c>
      <c r="G4360" t="s">
        <v>35</v>
      </c>
      <c r="H4360" t="s">
        <v>48</v>
      </c>
      <c r="I4360" t="s">
        <v>40</v>
      </c>
      <c r="J4360" t="s">
        <v>27</v>
      </c>
      <c r="K4360" t="s">
        <v>32</v>
      </c>
      <c r="L4360" s="2">
        <v>10.9</v>
      </c>
      <c r="M4360" s="3">
        <v>396</v>
      </c>
      <c r="N4360">
        <v>2</v>
      </c>
      <c r="O4360">
        <v>1</v>
      </c>
      <c r="P4360">
        <v>1</v>
      </c>
      <c r="Q4360">
        <v>0</v>
      </c>
      <c r="R4360" s="4">
        <v>28.19</v>
      </c>
      <c r="S4360">
        <v>0</v>
      </c>
      <c r="T4360">
        <v>1</v>
      </c>
    </row>
    <row r="4361" spans="1:20" ht="16.5" x14ac:dyDescent="0.3">
      <c r="A4361" t="s">
        <v>4415</v>
      </c>
      <c r="B4361" s="1">
        <v>45898</v>
      </c>
      <c r="C4361">
        <v>2025</v>
      </c>
      <c r="D4361" t="s">
        <v>1261</v>
      </c>
      <c r="E4361" t="s">
        <v>1454</v>
      </c>
      <c r="F4361" t="s">
        <v>57</v>
      </c>
      <c r="G4361" t="s">
        <v>39</v>
      </c>
      <c r="H4361" t="s">
        <v>48</v>
      </c>
      <c r="I4361" t="s">
        <v>40</v>
      </c>
      <c r="J4361" t="s">
        <v>27</v>
      </c>
      <c r="K4361" t="s">
        <v>28</v>
      </c>
      <c r="L4361" s="2">
        <v>336.5</v>
      </c>
      <c r="M4361" s="3">
        <v>508</v>
      </c>
      <c r="N4361">
        <v>2</v>
      </c>
      <c r="O4361">
        <v>1</v>
      </c>
      <c r="P4361">
        <v>1</v>
      </c>
      <c r="Q4361">
        <v>0</v>
      </c>
      <c r="R4361" s="4">
        <v>243.59</v>
      </c>
      <c r="S4361">
        <v>0</v>
      </c>
      <c r="T4361">
        <v>1</v>
      </c>
    </row>
    <row r="4362" spans="1:20" ht="16.5" x14ac:dyDescent="0.3">
      <c r="A4362" t="s">
        <v>4416</v>
      </c>
      <c r="B4362" s="1">
        <v>45898</v>
      </c>
      <c r="C4362">
        <v>2025</v>
      </c>
      <c r="D4362" t="s">
        <v>1261</v>
      </c>
      <c r="E4362" t="s">
        <v>1454</v>
      </c>
      <c r="F4362" t="s">
        <v>30</v>
      </c>
      <c r="G4362" t="s">
        <v>24</v>
      </c>
      <c r="H4362" t="s">
        <v>25</v>
      </c>
      <c r="I4362" t="s">
        <v>31</v>
      </c>
      <c r="J4362" t="s">
        <v>27</v>
      </c>
      <c r="K4362" t="s">
        <v>28</v>
      </c>
      <c r="L4362" s="2">
        <v>14.2</v>
      </c>
      <c r="M4362" s="3">
        <v>1046</v>
      </c>
      <c r="N4362">
        <v>6</v>
      </c>
      <c r="O4362">
        <v>6</v>
      </c>
      <c r="P4362">
        <v>1</v>
      </c>
      <c r="Q4362">
        <v>0</v>
      </c>
      <c r="R4362" s="4">
        <v>19.04</v>
      </c>
      <c r="S4362">
        <v>0</v>
      </c>
      <c r="T4362">
        <v>1</v>
      </c>
    </row>
    <row r="4363" spans="1:20" ht="16.5" x14ac:dyDescent="0.3">
      <c r="A4363" t="s">
        <v>4417</v>
      </c>
      <c r="B4363" s="1">
        <v>45898</v>
      </c>
      <c r="C4363">
        <v>2025</v>
      </c>
      <c r="D4363" t="s">
        <v>1261</v>
      </c>
      <c r="E4363" t="s">
        <v>1454</v>
      </c>
      <c r="F4363" t="s">
        <v>57</v>
      </c>
      <c r="G4363" t="s">
        <v>24</v>
      </c>
      <c r="H4363" t="s">
        <v>36</v>
      </c>
      <c r="I4363" t="s">
        <v>26</v>
      </c>
      <c r="J4363" t="s">
        <v>27</v>
      </c>
      <c r="K4363" t="s">
        <v>28</v>
      </c>
      <c r="L4363" s="2">
        <v>132.9</v>
      </c>
      <c r="M4363" s="3">
        <v>234</v>
      </c>
      <c r="N4363">
        <v>3</v>
      </c>
      <c r="O4363">
        <v>3</v>
      </c>
      <c r="P4363">
        <v>1</v>
      </c>
      <c r="Q4363">
        <v>0</v>
      </c>
      <c r="R4363" s="4">
        <v>65.790000000000006</v>
      </c>
      <c r="S4363">
        <v>0</v>
      </c>
      <c r="T4363">
        <v>1</v>
      </c>
    </row>
    <row r="4364" spans="1:20" ht="16.5" x14ac:dyDescent="0.3">
      <c r="A4364" t="s">
        <v>4418</v>
      </c>
      <c r="B4364" s="1">
        <v>45898</v>
      </c>
      <c r="C4364">
        <v>2025</v>
      </c>
      <c r="D4364" t="s">
        <v>1261</v>
      </c>
      <c r="E4364" t="s">
        <v>1454</v>
      </c>
      <c r="F4364" t="s">
        <v>23</v>
      </c>
      <c r="G4364" t="s">
        <v>39</v>
      </c>
      <c r="H4364" t="s">
        <v>48</v>
      </c>
      <c r="I4364" t="s">
        <v>26</v>
      </c>
      <c r="J4364" t="s">
        <v>27</v>
      </c>
      <c r="K4364" t="s">
        <v>28</v>
      </c>
      <c r="L4364" s="2">
        <v>105.1</v>
      </c>
      <c r="M4364" s="3">
        <v>486</v>
      </c>
      <c r="N4364">
        <v>4</v>
      </c>
      <c r="O4364">
        <v>4</v>
      </c>
      <c r="P4364">
        <v>1</v>
      </c>
      <c r="Q4364">
        <v>0</v>
      </c>
      <c r="R4364" s="4">
        <v>59.18</v>
      </c>
      <c r="S4364">
        <v>0</v>
      </c>
      <c r="T4364">
        <v>1</v>
      </c>
    </row>
    <row r="4365" spans="1:20" ht="16.5" x14ac:dyDescent="0.3">
      <c r="A4365" t="s">
        <v>4419</v>
      </c>
      <c r="B4365" s="1">
        <v>45898</v>
      </c>
      <c r="C4365">
        <v>2025</v>
      </c>
      <c r="D4365" t="s">
        <v>1261</v>
      </c>
      <c r="E4365" t="s">
        <v>1454</v>
      </c>
      <c r="F4365" t="s">
        <v>57</v>
      </c>
      <c r="G4365" t="s">
        <v>24</v>
      </c>
      <c r="H4365" t="s">
        <v>48</v>
      </c>
      <c r="I4365" t="s">
        <v>26</v>
      </c>
      <c r="J4365" t="s">
        <v>27</v>
      </c>
      <c r="K4365" t="s">
        <v>28</v>
      </c>
      <c r="L4365" s="2">
        <v>39.5</v>
      </c>
      <c r="M4365" s="3">
        <v>521</v>
      </c>
      <c r="N4365">
        <v>4</v>
      </c>
      <c r="O4365">
        <v>4</v>
      </c>
      <c r="P4365">
        <v>1</v>
      </c>
      <c r="Q4365">
        <v>0</v>
      </c>
      <c r="R4365" s="4">
        <v>32.75</v>
      </c>
      <c r="S4365">
        <v>0</v>
      </c>
      <c r="T4365">
        <v>1</v>
      </c>
    </row>
    <row r="4366" spans="1:20" ht="16.5" x14ac:dyDescent="0.3">
      <c r="A4366" t="s">
        <v>4420</v>
      </c>
      <c r="B4366" s="1">
        <v>45899</v>
      </c>
      <c r="C4366">
        <v>2025</v>
      </c>
      <c r="D4366" t="s">
        <v>1261</v>
      </c>
      <c r="E4366" t="s">
        <v>1454</v>
      </c>
      <c r="F4366" t="s">
        <v>30</v>
      </c>
      <c r="G4366" t="s">
        <v>35</v>
      </c>
      <c r="H4366" t="s">
        <v>25</v>
      </c>
      <c r="I4366" t="s">
        <v>26</v>
      </c>
      <c r="J4366" t="s">
        <v>27</v>
      </c>
      <c r="K4366" t="s">
        <v>28</v>
      </c>
      <c r="L4366" s="2">
        <v>102.8</v>
      </c>
      <c r="M4366" s="3">
        <v>1042</v>
      </c>
      <c r="N4366">
        <v>4</v>
      </c>
      <c r="O4366">
        <v>4</v>
      </c>
      <c r="P4366">
        <v>1</v>
      </c>
      <c r="Q4366">
        <v>0</v>
      </c>
      <c r="R4366" s="4">
        <v>69.88</v>
      </c>
      <c r="S4366">
        <v>0</v>
      </c>
      <c r="T4366">
        <v>1</v>
      </c>
    </row>
    <row r="4367" spans="1:20" ht="16.5" x14ac:dyDescent="0.3">
      <c r="A4367" t="s">
        <v>4421</v>
      </c>
      <c r="B4367" s="1">
        <v>45899</v>
      </c>
      <c r="C4367">
        <v>2025</v>
      </c>
      <c r="D4367" t="s">
        <v>1261</v>
      </c>
      <c r="E4367" t="s">
        <v>1454</v>
      </c>
      <c r="F4367" t="s">
        <v>34</v>
      </c>
      <c r="G4367" t="s">
        <v>24</v>
      </c>
      <c r="H4367" t="s">
        <v>36</v>
      </c>
      <c r="I4367" t="s">
        <v>31</v>
      </c>
      <c r="J4367" t="s">
        <v>27</v>
      </c>
      <c r="K4367" t="s">
        <v>32</v>
      </c>
      <c r="L4367" s="2">
        <v>12.4</v>
      </c>
      <c r="M4367" s="3">
        <v>265</v>
      </c>
      <c r="N4367">
        <v>5</v>
      </c>
      <c r="O4367">
        <v>4</v>
      </c>
      <c r="P4367">
        <v>1</v>
      </c>
      <c r="Q4367">
        <v>0</v>
      </c>
      <c r="R4367" s="4">
        <v>10.86</v>
      </c>
      <c r="S4367">
        <v>0</v>
      </c>
      <c r="T4367">
        <v>1</v>
      </c>
    </row>
    <row r="4368" spans="1:20" ht="16.5" x14ac:dyDescent="0.3">
      <c r="A4368" t="s">
        <v>4422</v>
      </c>
      <c r="B4368" s="1">
        <v>45899</v>
      </c>
      <c r="C4368">
        <v>2025</v>
      </c>
      <c r="D4368" t="s">
        <v>1261</v>
      </c>
      <c r="E4368" t="s">
        <v>1454</v>
      </c>
      <c r="F4368" t="s">
        <v>57</v>
      </c>
      <c r="G4368" t="s">
        <v>39</v>
      </c>
      <c r="H4368" t="s">
        <v>51</v>
      </c>
      <c r="I4368" t="s">
        <v>26</v>
      </c>
      <c r="J4368" t="s">
        <v>27</v>
      </c>
      <c r="K4368" t="s">
        <v>32</v>
      </c>
      <c r="L4368" s="2">
        <v>2.1</v>
      </c>
      <c r="M4368" s="3">
        <v>981</v>
      </c>
      <c r="N4368">
        <v>5</v>
      </c>
      <c r="O4368">
        <v>5</v>
      </c>
      <c r="P4368">
        <v>1</v>
      </c>
      <c r="Q4368">
        <v>0</v>
      </c>
      <c r="R4368" s="4">
        <v>18.670000000000002</v>
      </c>
      <c r="S4368">
        <v>0</v>
      </c>
      <c r="T4368">
        <v>1</v>
      </c>
    </row>
    <row r="4369" spans="1:20" ht="16.5" x14ac:dyDescent="0.3">
      <c r="A4369" t="s">
        <v>4423</v>
      </c>
      <c r="B4369" s="1">
        <v>45899</v>
      </c>
      <c r="C4369">
        <v>2025</v>
      </c>
      <c r="D4369" t="s">
        <v>1261</v>
      </c>
      <c r="E4369" t="s">
        <v>1454</v>
      </c>
      <c r="F4369" t="s">
        <v>34</v>
      </c>
      <c r="G4369" t="s">
        <v>39</v>
      </c>
      <c r="H4369" t="s">
        <v>36</v>
      </c>
      <c r="I4369" t="s">
        <v>31</v>
      </c>
      <c r="J4369" t="s">
        <v>27</v>
      </c>
      <c r="K4369" t="s">
        <v>28</v>
      </c>
      <c r="L4369" s="2">
        <v>84.4</v>
      </c>
      <c r="M4369" s="3">
        <v>259</v>
      </c>
      <c r="N4369">
        <v>5</v>
      </c>
      <c r="O4369">
        <v>5</v>
      </c>
      <c r="P4369">
        <v>1</v>
      </c>
      <c r="Q4369">
        <v>0</v>
      </c>
      <c r="R4369" s="4">
        <v>28.1</v>
      </c>
      <c r="S4369">
        <v>0</v>
      </c>
      <c r="T4369">
        <v>1</v>
      </c>
    </row>
    <row r="4370" spans="1:20" ht="16.5" x14ac:dyDescent="0.3">
      <c r="A4370" t="s">
        <v>4424</v>
      </c>
      <c r="B4370" s="1">
        <v>45899</v>
      </c>
      <c r="C4370">
        <v>2025</v>
      </c>
      <c r="D4370" t="s">
        <v>1261</v>
      </c>
      <c r="E4370" t="s">
        <v>1454</v>
      </c>
      <c r="F4370" t="s">
        <v>23</v>
      </c>
      <c r="G4370" t="s">
        <v>39</v>
      </c>
      <c r="H4370" t="s">
        <v>48</v>
      </c>
      <c r="I4370" t="s">
        <v>26</v>
      </c>
      <c r="J4370" t="s">
        <v>27</v>
      </c>
      <c r="K4370" t="s">
        <v>28</v>
      </c>
      <c r="L4370" s="2">
        <v>118.6</v>
      </c>
      <c r="M4370" s="3">
        <v>525</v>
      </c>
      <c r="N4370">
        <v>4</v>
      </c>
      <c r="O4370">
        <v>4</v>
      </c>
      <c r="P4370">
        <v>1</v>
      </c>
      <c r="Q4370">
        <v>0</v>
      </c>
      <c r="R4370" s="4">
        <v>66.22</v>
      </c>
      <c r="S4370">
        <v>0</v>
      </c>
      <c r="T4370">
        <v>1</v>
      </c>
    </row>
    <row r="4371" spans="1:20" ht="16.5" x14ac:dyDescent="0.3">
      <c r="A4371" t="s">
        <v>4425</v>
      </c>
      <c r="B4371" s="1">
        <v>45899</v>
      </c>
      <c r="C4371">
        <v>2025</v>
      </c>
      <c r="D4371" t="s">
        <v>1261</v>
      </c>
      <c r="E4371" t="s">
        <v>1454</v>
      </c>
      <c r="F4371" t="s">
        <v>57</v>
      </c>
      <c r="G4371" t="s">
        <v>35</v>
      </c>
      <c r="H4371" t="s">
        <v>25</v>
      </c>
      <c r="I4371" t="s">
        <v>26</v>
      </c>
      <c r="J4371" t="s">
        <v>27</v>
      </c>
      <c r="K4371" t="s">
        <v>28</v>
      </c>
      <c r="L4371" s="2">
        <v>39.799999999999997</v>
      </c>
      <c r="M4371" s="3">
        <v>1003</v>
      </c>
      <c r="N4371">
        <v>4</v>
      </c>
      <c r="O4371">
        <v>7</v>
      </c>
      <c r="P4371">
        <v>0</v>
      </c>
      <c r="Q4371">
        <v>3</v>
      </c>
      <c r="R4371" s="4">
        <v>39.39</v>
      </c>
      <c r="S4371">
        <v>0</v>
      </c>
      <c r="T4371">
        <v>1</v>
      </c>
    </row>
    <row r="4372" spans="1:20" ht="16.5" x14ac:dyDescent="0.3">
      <c r="A4372" t="s">
        <v>4426</v>
      </c>
      <c r="B4372" s="1">
        <v>45899</v>
      </c>
      <c r="C4372">
        <v>2025</v>
      </c>
      <c r="D4372" t="s">
        <v>1261</v>
      </c>
      <c r="E4372" t="s">
        <v>1454</v>
      </c>
      <c r="F4372" t="s">
        <v>23</v>
      </c>
      <c r="G4372" t="s">
        <v>24</v>
      </c>
      <c r="H4372" t="s">
        <v>48</v>
      </c>
      <c r="I4372" t="s">
        <v>26</v>
      </c>
      <c r="J4372" t="s">
        <v>27</v>
      </c>
      <c r="K4372" t="s">
        <v>32</v>
      </c>
      <c r="L4372" s="2">
        <v>8.1</v>
      </c>
      <c r="M4372" s="3">
        <v>504</v>
      </c>
      <c r="N4372">
        <v>4</v>
      </c>
      <c r="O4372">
        <v>4</v>
      </c>
      <c r="P4372">
        <v>1</v>
      </c>
      <c r="Q4372">
        <v>0</v>
      </c>
      <c r="R4372" s="4">
        <v>14.74</v>
      </c>
      <c r="S4372">
        <v>0</v>
      </c>
      <c r="T4372">
        <v>1</v>
      </c>
    </row>
    <row r="4373" spans="1:20" ht="16.5" x14ac:dyDescent="0.3">
      <c r="A4373" t="s">
        <v>4427</v>
      </c>
      <c r="B4373" s="1">
        <v>45900</v>
      </c>
      <c r="C4373">
        <v>2025</v>
      </c>
      <c r="D4373" t="s">
        <v>1261</v>
      </c>
      <c r="E4373" t="s">
        <v>1454</v>
      </c>
      <c r="F4373" t="s">
        <v>23</v>
      </c>
      <c r="G4373" t="s">
        <v>39</v>
      </c>
      <c r="H4373" t="s">
        <v>43</v>
      </c>
      <c r="I4373" t="s">
        <v>26</v>
      </c>
      <c r="J4373" t="s">
        <v>27</v>
      </c>
      <c r="K4373" t="s">
        <v>32</v>
      </c>
      <c r="L4373" s="2">
        <v>4.7</v>
      </c>
      <c r="M4373" s="3">
        <v>1042</v>
      </c>
      <c r="N4373">
        <v>5</v>
      </c>
      <c r="O4373">
        <v>5</v>
      </c>
      <c r="P4373">
        <v>1</v>
      </c>
      <c r="Q4373">
        <v>0</v>
      </c>
      <c r="R4373" s="4">
        <v>22.16</v>
      </c>
      <c r="S4373">
        <v>0</v>
      </c>
      <c r="T4373">
        <v>1</v>
      </c>
    </row>
    <row r="4374" spans="1:20" ht="16.5" x14ac:dyDescent="0.3">
      <c r="A4374" t="s">
        <v>4428</v>
      </c>
      <c r="B4374" s="1">
        <v>45900</v>
      </c>
      <c r="C4374">
        <v>2025</v>
      </c>
      <c r="D4374" t="s">
        <v>1261</v>
      </c>
      <c r="E4374" t="s">
        <v>1454</v>
      </c>
      <c r="F4374" t="s">
        <v>30</v>
      </c>
      <c r="G4374" t="s">
        <v>24</v>
      </c>
      <c r="H4374" t="s">
        <v>36</v>
      </c>
      <c r="I4374" t="s">
        <v>31</v>
      </c>
      <c r="J4374" t="s">
        <v>27</v>
      </c>
      <c r="K4374" t="s">
        <v>32</v>
      </c>
      <c r="L4374" s="2">
        <v>3.5</v>
      </c>
      <c r="M4374" s="3">
        <v>210</v>
      </c>
      <c r="N4374">
        <v>5</v>
      </c>
      <c r="O4374">
        <v>5</v>
      </c>
      <c r="P4374">
        <v>1</v>
      </c>
      <c r="Q4374">
        <v>0</v>
      </c>
      <c r="R4374" s="4">
        <v>8.84</v>
      </c>
      <c r="S4374">
        <v>0</v>
      </c>
      <c r="T4374">
        <v>1</v>
      </c>
    </row>
    <row r="4375" spans="1:20" ht="16.5" x14ac:dyDescent="0.3">
      <c r="A4375" t="s">
        <v>4429</v>
      </c>
      <c r="B4375" s="1">
        <v>45900</v>
      </c>
      <c r="C4375">
        <v>2025</v>
      </c>
      <c r="D4375" t="s">
        <v>1261</v>
      </c>
      <c r="E4375" t="s">
        <v>1454</v>
      </c>
      <c r="F4375" t="s">
        <v>23</v>
      </c>
      <c r="G4375" t="s">
        <v>35</v>
      </c>
      <c r="H4375" t="s">
        <v>43</v>
      </c>
      <c r="I4375" t="s">
        <v>31</v>
      </c>
      <c r="J4375" t="s">
        <v>27</v>
      </c>
      <c r="K4375" t="s">
        <v>32</v>
      </c>
      <c r="L4375" s="2">
        <v>4.2</v>
      </c>
      <c r="M4375" s="3">
        <v>1330</v>
      </c>
      <c r="N4375">
        <v>7</v>
      </c>
      <c r="O4375">
        <v>6</v>
      </c>
      <c r="P4375">
        <v>1</v>
      </c>
      <c r="Q4375">
        <v>0</v>
      </c>
      <c r="R4375" s="4">
        <v>18.2</v>
      </c>
      <c r="S4375">
        <v>0</v>
      </c>
      <c r="T4375">
        <v>1</v>
      </c>
    </row>
    <row r="4376" spans="1:20" ht="16.5" x14ac:dyDescent="0.3">
      <c r="A4376" t="s">
        <v>4430</v>
      </c>
      <c r="B4376" s="1">
        <v>45900</v>
      </c>
      <c r="C4376">
        <v>2025</v>
      </c>
      <c r="D4376" t="s">
        <v>1261</v>
      </c>
      <c r="E4376" t="s">
        <v>1454</v>
      </c>
      <c r="F4376" t="s">
        <v>30</v>
      </c>
      <c r="G4376" t="s">
        <v>24</v>
      </c>
      <c r="H4376" t="s">
        <v>48</v>
      </c>
      <c r="I4376" t="s">
        <v>26</v>
      </c>
      <c r="J4376" t="s">
        <v>27</v>
      </c>
      <c r="K4376" t="s">
        <v>28</v>
      </c>
      <c r="L4376" s="2">
        <v>425</v>
      </c>
      <c r="M4376" s="3">
        <v>520</v>
      </c>
      <c r="N4376">
        <v>4</v>
      </c>
      <c r="O4376">
        <v>4</v>
      </c>
      <c r="P4376">
        <v>1</v>
      </c>
      <c r="Q4376">
        <v>0</v>
      </c>
      <c r="R4376" s="4">
        <v>180.95</v>
      </c>
      <c r="S4376">
        <v>0</v>
      </c>
      <c r="T4376">
        <v>1</v>
      </c>
    </row>
    <row r="4377" spans="1:20" ht="16.5" x14ac:dyDescent="0.3">
      <c r="A4377" t="s">
        <v>4431</v>
      </c>
      <c r="B4377" s="1">
        <v>45901</v>
      </c>
      <c r="C4377">
        <v>2025</v>
      </c>
      <c r="D4377" t="s">
        <v>1261</v>
      </c>
      <c r="E4377" t="s">
        <v>1651</v>
      </c>
      <c r="F4377" t="s">
        <v>34</v>
      </c>
      <c r="G4377" t="s">
        <v>24</v>
      </c>
      <c r="H4377" t="s">
        <v>43</v>
      </c>
      <c r="I4377" t="s">
        <v>40</v>
      </c>
      <c r="J4377" t="s">
        <v>41</v>
      </c>
      <c r="K4377" t="s">
        <v>28</v>
      </c>
      <c r="L4377" s="2">
        <v>211.7</v>
      </c>
      <c r="M4377" s="3">
        <v>1364</v>
      </c>
      <c r="N4377">
        <v>3</v>
      </c>
      <c r="O4377">
        <v>3</v>
      </c>
      <c r="P4377">
        <v>1</v>
      </c>
      <c r="Q4377">
        <v>0</v>
      </c>
      <c r="R4377" s="4">
        <v>259.54000000000002</v>
      </c>
      <c r="S4377">
        <v>0</v>
      </c>
      <c r="T4377">
        <v>1</v>
      </c>
    </row>
    <row r="4378" spans="1:20" ht="16.5" x14ac:dyDescent="0.3">
      <c r="A4378" t="s">
        <v>4432</v>
      </c>
      <c r="B4378" s="1">
        <v>45901</v>
      </c>
      <c r="C4378">
        <v>2025</v>
      </c>
      <c r="D4378" t="s">
        <v>1261</v>
      </c>
      <c r="E4378" t="s">
        <v>1651</v>
      </c>
      <c r="F4378" t="s">
        <v>38</v>
      </c>
      <c r="G4378" t="s">
        <v>39</v>
      </c>
      <c r="H4378" t="s">
        <v>25</v>
      </c>
      <c r="I4378" t="s">
        <v>40</v>
      </c>
      <c r="J4378" t="s">
        <v>41</v>
      </c>
      <c r="K4378" t="s">
        <v>28</v>
      </c>
      <c r="L4378" s="2">
        <v>96.1</v>
      </c>
      <c r="M4378" s="3">
        <v>850</v>
      </c>
      <c r="N4378">
        <v>2</v>
      </c>
      <c r="O4378">
        <v>4</v>
      </c>
      <c r="P4378">
        <v>0</v>
      </c>
      <c r="Q4378">
        <v>2</v>
      </c>
      <c r="R4378" s="4">
        <v>229.39</v>
      </c>
      <c r="S4378">
        <v>0</v>
      </c>
      <c r="T4378">
        <v>1</v>
      </c>
    </row>
    <row r="4379" spans="1:20" ht="16.5" x14ac:dyDescent="0.3">
      <c r="A4379" t="s">
        <v>4433</v>
      </c>
      <c r="B4379" s="1">
        <v>45901</v>
      </c>
      <c r="C4379">
        <v>2025</v>
      </c>
      <c r="D4379" t="s">
        <v>1261</v>
      </c>
      <c r="E4379" t="s">
        <v>1651</v>
      </c>
      <c r="F4379" t="s">
        <v>38</v>
      </c>
      <c r="G4379" t="s">
        <v>39</v>
      </c>
      <c r="H4379" t="s">
        <v>36</v>
      </c>
      <c r="I4379" t="s">
        <v>26</v>
      </c>
      <c r="J4379" t="s">
        <v>27</v>
      </c>
      <c r="K4379" t="s">
        <v>32</v>
      </c>
      <c r="L4379" s="2">
        <v>2.6</v>
      </c>
      <c r="M4379" s="3">
        <v>188</v>
      </c>
      <c r="N4379">
        <v>3</v>
      </c>
      <c r="O4379">
        <v>3</v>
      </c>
      <c r="P4379">
        <v>1</v>
      </c>
      <c r="Q4379">
        <v>0</v>
      </c>
      <c r="R4379" s="4">
        <v>11.71</v>
      </c>
      <c r="S4379">
        <v>0</v>
      </c>
      <c r="T4379">
        <v>1</v>
      </c>
    </row>
    <row r="4380" spans="1:20" ht="16.5" x14ac:dyDescent="0.3">
      <c r="A4380" t="s">
        <v>4434</v>
      </c>
      <c r="B4380" s="1">
        <v>45901</v>
      </c>
      <c r="C4380">
        <v>2025</v>
      </c>
      <c r="D4380" t="s">
        <v>1261</v>
      </c>
      <c r="E4380" t="s">
        <v>1651</v>
      </c>
      <c r="F4380" t="s">
        <v>38</v>
      </c>
      <c r="G4380" t="s">
        <v>39</v>
      </c>
      <c r="H4380" t="s">
        <v>36</v>
      </c>
      <c r="I4380" t="s">
        <v>26</v>
      </c>
      <c r="J4380" t="s">
        <v>27</v>
      </c>
      <c r="K4380" t="s">
        <v>32</v>
      </c>
      <c r="L4380" s="2">
        <v>7.8</v>
      </c>
      <c r="M4380" s="3">
        <v>243</v>
      </c>
      <c r="N4380">
        <v>3</v>
      </c>
      <c r="O4380">
        <v>2</v>
      </c>
      <c r="P4380">
        <v>1</v>
      </c>
      <c r="Q4380">
        <v>0</v>
      </c>
      <c r="R4380" s="4">
        <v>14.49</v>
      </c>
      <c r="S4380">
        <v>0</v>
      </c>
      <c r="T4380">
        <v>1</v>
      </c>
    </row>
    <row r="4381" spans="1:20" ht="16.5" x14ac:dyDescent="0.3">
      <c r="A4381" t="s">
        <v>4435</v>
      </c>
      <c r="B4381" s="1">
        <v>45901</v>
      </c>
      <c r="C4381">
        <v>2025</v>
      </c>
      <c r="D4381" t="s">
        <v>1261</v>
      </c>
      <c r="E4381" t="s">
        <v>1651</v>
      </c>
      <c r="F4381" t="s">
        <v>23</v>
      </c>
      <c r="G4381" t="s">
        <v>24</v>
      </c>
      <c r="H4381" t="s">
        <v>48</v>
      </c>
      <c r="I4381" t="s">
        <v>26</v>
      </c>
      <c r="J4381" t="s">
        <v>27</v>
      </c>
      <c r="K4381" t="s">
        <v>32</v>
      </c>
      <c r="L4381" s="2">
        <v>2.4</v>
      </c>
      <c r="M4381" s="3">
        <v>507</v>
      </c>
      <c r="N4381">
        <v>4</v>
      </c>
      <c r="O4381">
        <v>4</v>
      </c>
      <c r="P4381">
        <v>1</v>
      </c>
      <c r="Q4381">
        <v>0</v>
      </c>
      <c r="R4381" s="4">
        <v>14.78</v>
      </c>
      <c r="S4381">
        <v>0</v>
      </c>
      <c r="T4381">
        <v>1</v>
      </c>
    </row>
    <row r="4382" spans="1:20" ht="16.5" x14ac:dyDescent="0.3">
      <c r="A4382" t="s">
        <v>4436</v>
      </c>
      <c r="B4382" s="1">
        <v>45901</v>
      </c>
      <c r="C4382">
        <v>2025</v>
      </c>
      <c r="D4382" t="s">
        <v>1261</v>
      </c>
      <c r="E4382" t="s">
        <v>1651</v>
      </c>
      <c r="F4382" t="s">
        <v>57</v>
      </c>
      <c r="G4382" t="s">
        <v>35</v>
      </c>
      <c r="H4382" t="s">
        <v>25</v>
      </c>
      <c r="I4382" t="s">
        <v>26</v>
      </c>
      <c r="J4382" t="s">
        <v>27</v>
      </c>
      <c r="K4382" t="s">
        <v>28</v>
      </c>
      <c r="L4382" s="2">
        <v>113.5</v>
      </c>
      <c r="M4382" s="3">
        <v>811</v>
      </c>
      <c r="N4382">
        <v>4</v>
      </c>
      <c r="O4382">
        <v>8</v>
      </c>
      <c r="P4382">
        <v>0</v>
      </c>
      <c r="Q4382">
        <v>4</v>
      </c>
      <c r="R4382" s="4">
        <v>70.36</v>
      </c>
      <c r="S4382">
        <v>0</v>
      </c>
      <c r="T4382">
        <v>1</v>
      </c>
    </row>
    <row r="4383" spans="1:20" ht="16.5" x14ac:dyDescent="0.3">
      <c r="A4383" t="s">
        <v>4437</v>
      </c>
      <c r="B4383" s="1">
        <v>45901</v>
      </c>
      <c r="C4383">
        <v>2025</v>
      </c>
      <c r="D4383" t="s">
        <v>1261</v>
      </c>
      <c r="E4383" t="s">
        <v>1651</v>
      </c>
      <c r="F4383" t="s">
        <v>23</v>
      </c>
      <c r="G4383" t="s">
        <v>35</v>
      </c>
      <c r="H4383" t="s">
        <v>51</v>
      </c>
      <c r="I4383" t="s">
        <v>26</v>
      </c>
      <c r="J4383" t="s">
        <v>27</v>
      </c>
      <c r="K4383" t="s">
        <v>28</v>
      </c>
      <c r="L4383" s="2">
        <v>15</v>
      </c>
      <c r="M4383" s="3">
        <v>1138</v>
      </c>
      <c r="N4383">
        <v>5</v>
      </c>
      <c r="O4383">
        <v>5</v>
      </c>
      <c r="P4383">
        <v>1</v>
      </c>
      <c r="Q4383">
        <v>0</v>
      </c>
      <c r="R4383" s="4">
        <v>30.7</v>
      </c>
      <c r="S4383">
        <v>0</v>
      </c>
      <c r="T4383">
        <v>1</v>
      </c>
    </row>
    <row r="4384" spans="1:20" ht="16.5" x14ac:dyDescent="0.3">
      <c r="A4384" t="s">
        <v>4438</v>
      </c>
      <c r="B4384" s="1">
        <v>45901</v>
      </c>
      <c r="C4384">
        <v>2025</v>
      </c>
      <c r="D4384" t="s">
        <v>1261</v>
      </c>
      <c r="E4384" t="s">
        <v>1651</v>
      </c>
      <c r="F4384" t="s">
        <v>23</v>
      </c>
      <c r="G4384" t="s">
        <v>35</v>
      </c>
      <c r="H4384" t="s">
        <v>48</v>
      </c>
      <c r="I4384" t="s">
        <v>26</v>
      </c>
      <c r="J4384" t="s">
        <v>27</v>
      </c>
      <c r="K4384" t="s">
        <v>28</v>
      </c>
      <c r="L4384" s="2">
        <v>77.3</v>
      </c>
      <c r="M4384" s="3">
        <v>522</v>
      </c>
      <c r="N4384">
        <v>4</v>
      </c>
      <c r="O4384">
        <v>4</v>
      </c>
      <c r="P4384">
        <v>1</v>
      </c>
      <c r="Q4384">
        <v>0</v>
      </c>
      <c r="R4384" s="4">
        <v>48.47</v>
      </c>
      <c r="S4384">
        <v>0</v>
      </c>
      <c r="T4384">
        <v>1</v>
      </c>
    </row>
    <row r="4385" spans="1:20" ht="16.5" x14ac:dyDescent="0.3">
      <c r="A4385" t="s">
        <v>4439</v>
      </c>
      <c r="B4385" s="1">
        <v>45901</v>
      </c>
      <c r="C4385">
        <v>2025</v>
      </c>
      <c r="D4385" t="s">
        <v>1261</v>
      </c>
      <c r="E4385" t="s">
        <v>1651</v>
      </c>
      <c r="F4385" t="s">
        <v>38</v>
      </c>
      <c r="G4385" t="s">
        <v>35</v>
      </c>
      <c r="H4385" t="s">
        <v>48</v>
      </c>
      <c r="I4385" t="s">
        <v>31</v>
      </c>
      <c r="J4385" t="s">
        <v>27</v>
      </c>
      <c r="K4385" t="s">
        <v>28</v>
      </c>
      <c r="L4385" s="2">
        <v>88.7</v>
      </c>
      <c r="M4385" s="3">
        <v>433</v>
      </c>
      <c r="N4385">
        <v>6</v>
      </c>
      <c r="O4385">
        <v>6</v>
      </c>
      <c r="P4385">
        <v>1</v>
      </c>
      <c r="Q4385">
        <v>0</v>
      </c>
      <c r="R4385" s="4">
        <v>40</v>
      </c>
      <c r="S4385">
        <v>0</v>
      </c>
      <c r="T4385">
        <v>1</v>
      </c>
    </row>
    <row r="4386" spans="1:20" ht="16.5" x14ac:dyDescent="0.3">
      <c r="A4386" t="s">
        <v>4440</v>
      </c>
      <c r="B4386" s="1">
        <v>45901</v>
      </c>
      <c r="C4386">
        <v>2025</v>
      </c>
      <c r="D4386" t="s">
        <v>1261</v>
      </c>
      <c r="E4386" t="s">
        <v>1651</v>
      </c>
      <c r="F4386" t="s">
        <v>57</v>
      </c>
      <c r="G4386" t="s">
        <v>39</v>
      </c>
      <c r="H4386" t="s">
        <v>48</v>
      </c>
      <c r="I4386" t="s">
        <v>40</v>
      </c>
      <c r="J4386" t="s">
        <v>27</v>
      </c>
      <c r="K4386" t="s">
        <v>28</v>
      </c>
      <c r="L4386" s="2">
        <v>186.7</v>
      </c>
      <c r="M4386" s="3">
        <v>400</v>
      </c>
      <c r="N4386">
        <v>2</v>
      </c>
      <c r="O4386">
        <v>2</v>
      </c>
      <c r="P4386">
        <v>1</v>
      </c>
      <c r="Q4386">
        <v>0</v>
      </c>
      <c r="R4386" s="4">
        <v>175.02</v>
      </c>
      <c r="S4386">
        <v>0</v>
      </c>
      <c r="T4386">
        <v>1</v>
      </c>
    </row>
    <row r="4387" spans="1:20" ht="16.5" x14ac:dyDescent="0.3">
      <c r="A4387" t="s">
        <v>4441</v>
      </c>
      <c r="B4387" s="1">
        <v>45902</v>
      </c>
      <c r="C4387">
        <v>2025</v>
      </c>
      <c r="D4387" t="s">
        <v>1261</v>
      </c>
      <c r="E4387" t="s">
        <v>1651</v>
      </c>
      <c r="F4387" t="s">
        <v>38</v>
      </c>
      <c r="G4387" t="s">
        <v>35</v>
      </c>
      <c r="H4387" t="s">
        <v>36</v>
      </c>
      <c r="I4387" t="s">
        <v>31</v>
      </c>
      <c r="J4387" t="s">
        <v>27</v>
      </c>
      <c r="K4387" t="s">
        <v>32</v>
      </c>
      <c r="L4387" s="2">
        <v>3.1</v>
      </c>
      <c r="M4387" s="3">
        <v>216</v>
      </c>
      <c r="N4387">
        <v>5</v>
      </c>
      <c r="O4387">
        <v>5</v>
      </c>
      <c r="P4387">
        <v>1</v>
      </c>
      <c r="Q4387">
        <v>0</v>
      </c>
      <c r="R4387" s="4">
        <v>7.95</v>
      </c>
      <c r="S4387">
        <v>0</v>
      </c>
      <c r="T4387">
        <v>1</v>
      </c>
    </row>
    <row r="4388" spans="1:20" ht="16.5" x14ac:dyDescent="0.3">
      <c r="A4388" t="s">
        <v>4442</v>
      </c>
      <c r="B4388" s="1">
        <v>45902</v>
      </c>
      <c r="C4388">
        <v>2025</v>
      </c>
      <c r="D4388" t="s">
        <v>1261</v>
      </c>
      <c r="E4388" t="s">
        <v>1651</v>
      </c>
      <c r="F4388" t="s">
        <v>57</v>
      </c>
      <c r="G4388" t="s">
        <v>24</v>
      </c>
      <c r="H4388" t="s">
        <v>25</v>
      </c>
      <c r="I4388" t="s">
        <v>26</v>
      </c>
      <c r="J4388" t="s">
        <v>27</v>
      </c>
      <c r="K4388" t="s">
        <v>32</v>
      </c>
      <c r="L4388" s="2">
        <v>0.7</v>
      </c>
      <c r="M4388" s="3">
        <v>922</v>
      </c>
      <c r="N4388">
        <v>4</v>
      </c>
      <c r="O4388">
        <v>3</v>
      </c>
      <c r="P4388">
        <v>1</v>
      </c>
      <c r="Q4388">
        <v>0</v>
      </c>
      <c r="R4388" s="4">
        <v>18.11</v>
      </c>
      <c r="S4388">
        <v>0</v>
      </c>
      <c r="T4388">
        <v>1</v>
      </c>
    </row>
    <row r="4389" spans="1:20" ht="16.5" x14ac:dyDescent="0.3">
      <c r="A4389" t="s">
        <v>4443</v>
      </c>
      <c r="B4389" s="1">
        <v>45902</v>
      </c>
      <c r="C4389">
        <v>2025</v>
      </c>
      <c r="D4389" t="s">
        <v>1261</v>
      </c>
      <c r="E4389" t="s">
        <v>1651</v>
      </c>
      <c r="F4389" t="s">
        <v>23</v>
      </c>
      <c r="G4389" t="s">
        <v>35</v>
      </c>
      <c r="H4389" t="s">
        <v>48</v>
      </c>
      <c r="I4389" t="s">
        <v>26</v>
      </c>
      <c r="J4389" t="s">
        <v>27</v>
      </c>
      <c r="K4389" t="s">
        <v>32</v>
      </c>
      <c r="L4389" s="2">
        <v>4.5999999999999996</v>
      </c>
      <c r="M4389" s="3">
        <v>418</v>
      </c>
      <c r="N4389">
        <v>4</v>
      </c>
      <c r="O4389">
        <v>4</v>
      </c>
      <c r="P4389">
        <v>1</v>
      </c>
      <c r="Q4389">
        <v>0</v>
      </c>
      <c r="R4389" s="4">
        <v>12.77</v>
      </c>
      <c r="S4389">
        <v>0</v>
      </c>
      <c r="T4389">
        <v>1</v>
      </c>
    </row>
    <row r="4390" spans="1:20" ht="16.5" x14ac:dyDescent="0.3">
      <c r="A4390" t="s">
        <v>4444</v>
      </c>
      <c r="B4390" s="1">
        <v>45902</v>
      </c>
      <c r="C4390">
        <v>2025</v>
      </c>
      <c r="D4390" t="s">
        <v>1261</v>
      </c>
      <c r="E4390" t="s">
        <v>1651</v>
      </c>
      <c r="F4390" t="s">
        <v>38</v>
      </c>
      <c r="G4390" t="s">
        <v>39</v>
      </c>
      <c r="H4390" t="s">
        <v>36</v>
      </c>
      <c r="I4390" t="s">
        <v>31</v>
      </c>
      <c r="J4390" t="s">
        <v>27</v>
      </c>
      <c r="K4390" t="s">
        <v>32</v>
      </c>
      <c r="L4390" s="2">
        <v>7.4</v>
      </c>
      <c r="M4390" s="3">
        <v>214</v>
      </c>
      <c r="N4390">
        <v>5</v>
      </c>
      <c r="O4390">
        <v>5</v>
      </c>
      <c r="P4390">
        <v>1</v>
      </c>
      <c r="Q4390">
        <v>0</v>
      </c>
      <c r="R4390" s="4">
        <v>11.01</v>
      </c>
      <c r="S4390">
        <v>0</v>
      </c>
      <c r="T4390">
        <v>1</v>
      </c>
    </row>
    <row r="4391" spans="1:20" ht="16.5" x14ac:dyDescent="0.3">
      <c r="A4391" t="s">
        <v>4445</v>
      </c>
      <c r="B4391" s="1">
        <v>45902</v>
      </c>
      <c r="C4391">
        <v>2025</v>
      </c>
      <c r="D4391" t="s">
        <v>1261</v>
      </c>
      <c r="E4391" t="s">
        <v>1651</v>
      </c>
      <c r="F4391" t="s">
        <v>38</v>
      </c>
      <c r="G4391" t="s">
        <v>35</v>
      </c>
      <c r="H4391" t="s">
        <v>36</v>
      </c>
      <c r="I4391" t="s">
        <v>40</v>
      </c>
      <c r="J4391" t="s">
        <v>27</v>
      </c>
      <c r="K4391" t="s">
        <v>32</v>
      </c>
      <c r="L4391" s="2">
        <v>15.3</v>
      </c>
      <c r="M4391" s="3">
        <v>252</v>
      </c>
      <c r="N4391">
        <v>1</v>
      </c>
      <c r="O4391">
        <v>1</v>
      </c>
      <c r="P4391">
        <v>1</v>
      </c>
      <c r="Q4391">
        <v>0</v>
      </c>
      <c r="R4391" s="4">
        <v>40.46</v>
      </c>
      <c r="S4391">
        <v>0</v>
      </c>
      <c r="T4391">
        <v>1</v>
      </c>
    </row>
    <row r="4392" spans="1:20" ht="16.5" x14ac:dyDescent="0.3">
      <c r="A4392" t="s">
        <v>4446</v>
      </c>
      <c r="B4392" s="1">
        <v>45902</v>
      </c>
      <c r="C4392">
        <v>2025</v>
      </c>
      <c r="D4392" t="s">
        <v>1261</v>
      </c>
      <c r="E4392" t="s">
        <v>1651</v>
      </c>
      <c r="F4392" t="s">
        <v>34</v>
      </c>
      <c r="G4392" t="s">
        <v>24</v>
      </c>
      <c r="H4392" t="s">
        <v>36</v>
      </c>
      <c r="I4392" t="s">
        <v>26</v>
      </c>
      <c r="J4392" t="s">
        <v>27</v>
      </c>
      <c r="K4392" t="s">
        <v>32</v>
      </c>
      <c r="L4392" s="2">
        <v>17.7</v>
      </c>
      <c r="M4392" s="3">
        <v>214</v>
      </c>
      <c r="N4392">
        <v>3</v>
      </c>
      <c r="O4392">
        <v>2</v>
      </c>
      <c r="P4392">
        <v>1</v>
      </c>
      <c r="Q4392">
        <v>0</v>
      </c>
      <c r="R4392" s="4">
        <v>16.11</v>
      </c>
      <c r="S4392">
        <v>0</v>
      </c>
      <c r="T4392">
        <v>1</v>
      </c>
    </row>
    <row r="4393" spans="1:20" ht="16.5" x14ac:dyDescent="0.3">
      <c r="A4393" t="s">
        <v>4447</v>
      </c>
      <c r="B4393" s="1">
        <v>45902</v>
      </c>
      <c r="C4393">
        <v>2025</v>
      </c>
      <c r="D4393" t="s">
        <v>1261</v>
      </c>
      <c r="E4393" t="s">
        <v>1651</v>
      </c>
      <c r="F4393" t="s">
        <v>57</v>
      </c>
      <c r="G4393" t="s">
        <v>39</v>
      </c>
      <c r="H4393" t="s">
        <v>36</v>
      </c>
      <c r="I4393" t="s">
        <v>31</v>
      </c>
      <c r="J4393" t="s">
        <v>27</v>
      </c>
      <c r="K4393" t="s">
        <v>28</v>
      </c>
      <c r="L4393" s="2">
        <v>15.3</v>
      </c>
      <c r="M4393" s="3">
        <v>234</v>
      </c>
      <c r="N4393">
        <v>5</v>
      </c>
      <c r="O4393">
        <v>5</v>
      </c>
      <c r="P4393">
        <v>1</v>
      </c>
      <c r="Q4393">
        <v>0</v>
      </c>
      <c r="R4393" s="4">
        <v>12.49</v>
      </c>
      <c r="S4393">
        <v>0</v>
      </c>
      <c r="T4393">
        <v>1</v>
      </c>
    </row>
    <row r="4394" spans="1:20" ht="16.5" x14ac:dyDescent="0.3">
      <c r="A4394" t="s">
        <v>4448</v>
      </c>
      <c r="B4394" s="1">
        <v>45902</v>
      </c>
      <c r="C4394">
        <v>2025</v>
      </c>
      <c r="D4394" t="s">
        <v>1261</v>
      </c>
      <c r="E4394" t="s">
        <v>1651</v>
      </c>
      <c r="F4394" t="s">
        <v>34</v>
      </c>
      <c r="G4394" t="s">
        <v>39</v>
      </c>
      <c r="H4394" t="s">
        <v>43</v>
      </c>
      <c r="I4394" t="s">
        <v>40</v>
      </c>
      <c r="J4394" t="s">
        <v>41</v>
      </c>
      <c r="K4394" t="s">
        <v>28</v>
      </c>
      <c r="L4394" s="2">
        <v>419</v>
      </c>
      <c r="M4394" s="3">
        <v>972</v>
      </c>
      <c r="N4394">
        <v>3</v>
      </c>
      <c r="O4394">
        <v>3</v>
      </c>
      <c r="P4394">
        <v>1</v>
      </c>
      <c r="Q4394">
        <v>0</v>
      </c>
      <c r="R4394" s="4">
        <v>376.99</v>
      </c>
      <c r="S4394">
        <v>0</v>
      </c>
      <c r="T4394">
        <v>1</v>
      </c>
    </row>
    <row r="4395" spans="1:20" ht="16.5" x14ac:dyDescent="0.3">
      <c r="A4395" t="s">
        <v>4449</v>
      </c>
      <c r="B4395" s="1">
        <v>45902</v>
      </c>
      <c r="C4395">
        <v>2025</v>
      </c>
      <c r="D4395" t="s">
        <v>1261</v>
      </c>
      <c r="E4395" t="s">
        <v>1651</v>
      </c>
      <c r="F4395" t="s">
        <v>34</v>
      </c>
      <c r="G4395" t="s">
        <v>35</v>
      </c>
      <c r="H4395" t="s">
        <v>36</v>
      </c>
      <c r="I4395" t="s">
        <v>26</v>
      </c>
      <c r="J4395" t="s">
        <v>27</v>
      </c>
      <c r="K4395" t="s">
        <v>32</v>
      </c>
      <c r="L4395" s="2">
        <v>3.5</v>
      </c>
      <c r="M4395" s="3">
        <v>258</v>
      </c>
      <c r="N4395">
        <v>3</v>
      </c>
      <c r="O4395">
        <v>2</v>
      </c>
      <c r="P4395">
        <v>1</v>
      </c>
      <c r="Q4395">
        <v>0</v>
      </c>
      <c r="R4395" s="4">
        <v>10.23</v>
      </c>
      <c r="S4395">
        <v>0</v>
      </c>
      <c r="T4395">
        <v>1</v>
      </c>
    </row>
    <row r="4396" spans="1:20" ht="16.5" x14ac:dyDescent="0.3">
      <c r="A4396" t="s">
        <v>4450</v>
      </c>
      <c r="B4396" s="1">
        <v>45902</v>
      </c>
      <c r="C4396">
        <v>2025</v>
      </c>
      <c r="D4396" t="s">
        <v>1261</v>
      </c>
      <c r="E4396" t="s">
        <v>1651</v>
      </c>
      <c r="F4396" t="s">
        <v>30</v>
      </c>
      <c r="G4396" t="s">
        <v>35</v>
      </c>
      <c r="H4396" t="s">
        <v>25</v>
      </c>
      <c r="I4396" t="s">
        <v>40</v>
      </c>
      <c r="J4396" t="s">
        <v>41</v>
      </c>
      <c r="K4396" t="s">
        <v>28</v>
      </c>
      <c r="L4396" s="2">
        <v>114.7</v>
      </c>
      <c r="M4396" s="3">
        <v>827</v>
      </c>
      <c r="N4396">
        <v>2</v>
      </c>
      <c r="O4396">
        <v>1</v>
      </c>
      <c r="P4396">
        <v>1</v>
      </c>
      <c r="Q4396">
        <v>0</v>
      </c>
      <c r="R4396" s="4">
        <v>203.72</v>
      </c>
      <c r="S4396">
        <v>0</v>
      </c>
      <c r="T4396">
        <v>1</v>
      </c>
    </row>
    <row r="4397" spans="1:20" ht="16.5" x14ac:dyDescent="0.3">
      <c r="A4397" t="s">
        <v>4451</v>
      </c>
      <c r="B4397" s="1">
        <v>45902</v>
      </c>
      <c r="C4397">
        <v>2025</v>
      </c>
      <c r="D4397" t="s">
        <v>1261</v>
      </c>
      <c r="E4397" t="s">
        <v>1651</v>
      </c>
      <c r="F4397" t="s">
        <v>23</v>
      </c>
      <c r="G4397" t="s">
        <v>39</v>
      </c>
      <c r="H4397" t="s">
        <v>48</v>
      </c>
      <c r="I4397" t="s">
        <v>26</v>
      </c>
      <c r="J4397" t="s">
        <v>27</v>
      </c>
      <c r="K4397" t="s">
        <v>32</v>
      </c>
      <c r="L4397" s="2">
        <v>5.2</v>
      </c>
      <c r="M4397" s="3">
        <v>484</v>
      </c>
      <c r="N4397">
        <v>4</v>
      </c>
      <c r="O4397">
        <v>3</v>
      </c>
      <c r="P4397">
        <v>1</v>
      </c>
      <c r="Q4397">
        <v>0</v>
      </c>
      <c r="R4397" s="4">
        <v>15.46</v>
      </c>
      <c r="S4397">
        <v>0</v>
      </c>
      <c r="T4397">
        <v>1</v>
      </c>
    </row>
    <row r="4398" spans="1:20" ht="16.5" x14ac:dyDescent="0.3">
      <c r="A4398" t="s">
        <v>4452</v>
      </c>
      <c r="B4398" s="1">
        <v>45902</v>
      </c>
      <c r="C4398">
        <v>2025</v>
      </c>
      <c r="D4398" t="s">
        <v>1261</v>
      </c>
      <c r="E4398" t="s">
        <v>1651</v>
      </c>
      <c r="F4398" t="s">
        <v>57</v>
      </c>
      <c r="G4398" t="s">
        <v>39</v>
      </c>
      <c r="H4398" t="s">
        <v>36</v>
      </c>
      <c r="I4398" t="s">
        <v>40</v>
      </c>
      <c r="J4398" t="s">
        <v>27</v>
      </c>
      <c r="K4398" t="s">
        <v>28</v>
      </c>
      <c r="L4398" s="2">
        <v>119.8</v>
      </c>
      <c r="M4398" s="3">
        <v>281</v>
      </c>
      <c r="N4398">
        <v>1</v>
      </c>
      <c r="O4398">
        <v>1</v>
      </c>
      <c r="P4398">
        <v>1</v>
      </c>
      <c r="Q4398">
        <v>0</v>
      </c>
      <c r="R4398" s="4">
        <v>122.88</v>
      </c>
      <c r="S4398">
        <v>0</v>
      </c>
      <c r="T4398">
        <v>1</v>
      </c>
    </row>
    <row r="4399" spans="1:20" ht="16.5" x14ac:dyDescent="0.3">
      <c r="A4399" t="s">
        <v>4453</v>
      </c>
      <c r="B4399" s="1">
        <v>45903</v>
      </c>
      <c r="C4399">
        <v>2025</v>
      </c>
      <c r="D4399" t="s">
        <v>1261</v>
      </c>
      <c r="E4399" t="s">
        <v>1651</v>
      </c>
      <c r="F4399" t="s">
        <v>23</v>
      </c>
      <c r="G4399" t="s">
        <v>39</v>
      </c>
      <c r="H4399" t="s">
        <v>43</v>
      </c>
      <c r="I4399" t="s">
        <v>26</v>
      </c>
      <c r="J4399" t="s">
        <v>27</v>
      </c>
      <c r="K4399" t="s">
        <v>28</v>
      </c>
      <c r="L4399" s="2">
        <v>239.5</v>
      </c>
      <c r="M4399" s="3">
        <v>1202</v>
      </c>
      <c r="N4399">
        <v>5</v>
      </c>
      <c r="O4399">
        <v>5</v>
      </c>
      <c r="P4399">
        <v>1</v>
      </c>
      <c r="Q4399">
        <v>0</v>
      </c>
      <c r="R4399" s="4">
        <v>121.24</v>
      </c>
      <c r="S4399">
        <v>0</v>
      </c>
      <c r="T4399">
        <v>1</v>
      </c>
    </row>
    <row r="4400" spans="1:20" ht="16.5" x14ac:dyDescent="0.3">
      <c r="A4400" t="s">
        <v>4454</v>
      </c>
      <c r="B4400" s="1">
        <v>45903</v>
      </c>
      <c r="C4400">
        <v>2025</v>
      </c>
      <c r="D4400" t="s">
        <v>1261</v>
      </c>
      <c r="E4400" t="s">
        <v>1651</v>
      </c>
      <c r="F4400" t="s">
        <v>34</v>
      </c>
      <c r="G4400" t="s">
        <v>39</v>
      </c>
      <c r="H4400" t="s">
        <v>48</v>
      </c>
      <c r="I4400" t="s">
        <v>26</v>
      </c>
      <c r="J4400" t="s">
        <v>27</v>
      </c>
      <c r="K4400" t="s">
        <v>28</v>
      </c>
      <c r="L4400" s="2">
        <v>161.4</v>
      </c>
      <c r="M4400" s="3">
        <v>480</v>
      </c>
      <c r="N4400">
        <v>4</v>
      </c>
      <c r="O4400">
        <v>4</v>
      </c>
      <c r="P4400">
        <v>1</v>
      </c>
      <c r="Q4400">
        <v>0</v>
      </c>
      <c r="R4400" s="4">
        <v>64.19</v>
      </c>
      <c r="S4400">
        <v>0</v>
      </c>
      <c r="T4400">
        <v>1</v>
      </c>
    </row>
    <row r="4401" spans="1:20" ht="16.5" x14ac:dyDescent="0.3">
      <c r="A4401" t="s">
        <v>4455</v>
      </c>
      <c r="B4401" s="1">
        <v>45903</v>
      </c>
      <c r="C4401">
        <v>2025</v>
      </c>
      <c r="D4401" t="s">
        <v>1261</v>
      </c>
      <c r="E4401" t="s">
        <v>1651</v>
      </c>
      <c r="F4401" t="s">
        <v>38</v>
      </c>
      <c r="G4401" t="s">
        <v>39</v>
      </c>
      <c r="H4401" t="s">
        <v>36</v>
      </c>
      <c r="I4401" t="s">
        <v>26</v>
      </c>
      <c r="J4401" t="s">
        <v>27</v>
      </c>
      <c r="K4401" t="s">
        <v>32</v>
      </c>
      <c r="L4401" s="2">
        <v>0.8</v>
      </c>
      <c r="M4401" s="3">
        <v>236</v>
      </c>
      <c r="N4401">
        <v>3</v>
      </c>
      <c r="O4401">
        <v>2</v>
      </c>
      <c r="P4401">
        <v>1</v>
      </c>
      <c r="Q4401">
        <v>0</v>
      </c>
      <c r="R4401" s="4">
        <v>10.029999999999999</v>
      </c>
      <c r="S4401">
        <v>0</v>
      </c>
      <c r="T4401">
        <v>1</v>
      </c>
    </row>
    <row r="4402" spans="1:20" ht="16.5" x14ac:dyDescent="0.3">
      <c r="A4402" t="s">
        <v>4456</v>
      </c>
      <c r="B4402" s="1">
        <v>45903</v>
      </c>
      <c r="C4402">
        <v>2025</v>
      </c>
      <c r="D4402" t="s">
        <v>1261</v>
      </c>
      <c r="E4402" t="s">
        <v>1651</v>
      </c>
      <c r="F4402" t="s">
        <v>57</v>
      </c>
      <c r="G4402" t="s">
        <v>35</v>
      </c>
      <c r="H4402" t="s">
        <v>36</v>
      </c>
      <c r="I4402" t="s">
        <v>31</v>
      </c>
      <c r="J4402" t="s">
        <v>27</v>
      </c>
      <c r="K4402" t="s">
        <v>28</v>
      </c>
      <c r="L4402" s="2">
        <v>17</v>
      </c>
      <c r="M4402" s="3">
        <v>306</v>
      </c>
      <c r="N4402">
        <v>5</v>
      </c>
      <c r="O4402">
        <v>5</v>
      </c>
      <c r="P4402">
        <v>1</v>
      </c>
      <c r="Q4402">
        <v>0</v>
      </c>
      <c r="R4402" s="4">
        <v>14.68</v>
      </c>
      <c r="S4402">
        <v>0</v>
      </c>
      <c r="T4402">
        <v>1</v>
      </c>
    </row>
    <row r="4403" spans="1:20" ht="16.5" x14ac:dyDescent="0.3">
      <c r="A4403" t="s">
        <v>4457</v>
      </c>
      <c r="B4403" s="1">
        <v>45903</v>
      </c>
      <c r="C4403">
        <v>2025</v>
      </c>
      <c r="D4403" t="s">
        <v>1261</v>
      </c>
      <c r="E4403" t="s">
        <v>1651</v>
      </c>
      <c r="F4403" t="s">
        <v>34</v>
      </c>
      <c r="G4403" t="s">
        <v>35</v>
      </c>
      <c r="H4403" t="s">
        <v>25</v>
      </c>
      <c r="I4403" t="s">
        <v>26</v>
      </c>
      <c r="J4403" t="s">
        <v>27</v>
      </c>
      <c r="K4403" t="s">
        <v>32</v>
      </c>
      <c r="L4403" s="2">
        <v>2.5</v>
      </c>
      <c r="M4403" s="3">
        <v>799</v>
      </c>
      <c r="N4403">
        <v>4</v>
      </c>
      <c r="O4403">
        <v>7</v>
      </c>
      <c r="P4403">
        <v>0</v>
      </c>
      <c r="Q4403">
        <v>3</v>
      </c>
      <c r="R4403" s="4">
        <v>14.44</v>
      </c>
      <c r="S4403">
        <v>0</v>
      </c>
      <c r="T4403">
        <v>1</v>
      </c>
    </row>
    <row r="4404" spans="1:20" ht="16.5" x14ac:dyDescent="0.3">
      <c r="A4404" t="s">
        <v>4458</v>
      </c>
      <c r="B4404" s="1">
        <v>45903</v>
      </c>
      <c r="C4404">
        <v>2025</v>
      </c>
      <c r="D4404" t="s">
        <v>1261</v>
      </c>
      <c r="E4404" t="s">
        <v>1651</v>
      </c>
      <c r="F4404" t="s">
        <v>30</v>
      </c>
      <c r="G4404" t="s">
        <v>39</v>
      </c>
      <c r="H4404" t="s">
        <v>48</v>
      </c>
      <c r="I4404" t="s">
        <v>31</v>
      </c>
      <c r="J4404" t="s">
        <v>27</v>
      </c>
      <c r="K4404" t="s">
        <v>32</v>
      </c>
      <c r="L4404" s="2">
        <v>9</v>
      </c>
      <c r="M4404" s="3">
        <v>710</v>
      </c>
      <c r="N4404">
        <v>6</v>
      </c>
      <c r="O4404">
        <v>6</v>
      </c>
      <c r="P4404">
        <v>1</v>
      </c>
      <c r="Q4404">
        <v>0</v>
      </c>
      <c r="R4404" s="4">
        <v>13.99</v>
      </c>
      <c r="S4404">
        <v>0</v>
      </c>
      <c r="T4404">
        <v>1</v>
      </c>
    </row>
    <row r="4405" spans="1:20" ht="16.5" x14ac:dyDescent="0.3">
      <c r="A4405" t="s">
        <v>4459</v>
      </c>
      <c r="B4405" s="1">
        <v>45903</v>
      </c>
      <c r="C4405">
        <v>2025</v>
      </c>
      <c r="D4405" t="s">
        <v>1261</v>
      </c>
      <c r="E4405" t="s">
        <v>1651</v>
      </c>
      <c r="F4405" t="s">
        <v>57</v>
      </c>
      <c r="G4405" t="s">
        <v>35</v>
      </c>
      <c r="H4405" t="s">
        <v>43</v>
      </c>
      <c r="I4405" t="s">
        <v>31</v>
      </c>
      <c r="J4405" t="s">
        <v>27</v>
      </c>
      <c r="K4405" t="s">
        <v>32</v>
      </c>
      <c r="L4405" s="2">
        <v>7.9</v>
      </c>
      <c r="M4405" s="3">
        <v>1035</v>
      </c>
      <c r="N4405">
        <v>7</v>
      </c>
      <c r="O4405">
        <v>8</v>
      </c>
      <c r="P4405">
        <v>0</v>
      </c>
      <c r="Q4405">
        <v>1</v>
      </c>
      <c r="R4405" s="4">
        <v>17.71</v>
      </c>
      <c r="S4405">
        <v>0</v>
      </c>
      <c r="T4405">
        <v>1</v>
      </c>
    </row>
    <row r="4406" spans="1:20" ht="16.5" x14ac:dyDescent="0.3">
      <c r="A4406" t="s">
        <v>4460</v>
      </c>
      <c r="B4406" s="1">
        <v>45903</v>
      </c>
      <c r="C4406">
        <v>2025</v>
      </c>
      <c r="D4406" t="s">
        <v>1261</v>
      </c>
      <c r="E4406" t="s">
        <v>1651</v>
      </c>
      <c r="F4406" t="s">
        <v>34</v>
      </c>
      <c r="G4406" t="s">
        <v>39</v>
      </c>
      <c r="H4406" t="s">
        <v>36</v>
      </c>
      <c r="I4406" t="s">
        <v>31</v>
      </c>
      <c r="J4406" t="s">
        <v>27</v>
      </c>
      <c r="K4406" t="s">
        <v>32</v>
      </c>
      <c r="L4406" s="2">
        <v>7.8</v>
      </c>
      <c r="M4406" s="3">
        <v>286</v>
      </c>
      <c r="N4406">
        <v>5</v>
      </c>
      <c r="O4406">
        <v>5</v>
      </c>
      <c r="P4406">
        <v>1</v>
      </c>
      <c r="Q4406">
        <v>0</v>
      </c>
      <c r="R4406" s="4">
        <v>8.16</v>
      </c>
      <c r="S4406">
        <v>0</v>
      </c>
      <c r="T4406">
        <v>1</v>
      </c>
    </row>
    <row r="4407" spans="1:20" ht="16.5" x14ac:dyDescent="0.3">
      <c r="A4407" t="s">
        <v>4461</v>
      </c>
      <c r="B4407" s="1">
        <v>45904</v>
      </c>
      <c r="C4407">
        <v>2025</v>
      </c>
      <c r="D4407" t="s">
        <v>1261</v>
      </c>
      <c r="E4407" t="s">
        <v>1651</v>
      </c>
      <c r="F4407" t="s">
        <v>57</v>
      </c>
      <c r="G4407" t="s">
        <v>39</v>
      </c>
      <c r="H4407" t="s">
        <v>36</v>
      </c>
      <c r="I4407" t="s">
        <v>26</v>
      </c>
      <c r="J4407" t="s">
        <v>27</v>
      </c>
      <c r="K4407" t="s">
        <v>28</v>
      </c>
      <c r="L4407" s="2">
        <v>34.6</v>
      </c>
      <c r="M4407" s="3">
        <v>257</v>
      </c>
      <c r="N4407">
        <v>3</v>
      </c>
      <c r="O4407">
        <v>3</v>
      </c>
      <c r="P4407">
        <v>1</v>
      </c>
      <c r="Q4407">
        <v>0</v>
      </c>
      <c r="R4407" s="4">
        <v>30.24</v>
      </c>
      <c r="S4407">
        <v>0</v>
      </c>
      <c r="T4407">
        <v>1</v>
      </c>
    </row>
    <row r="4408" spans="1:20" ht="16.5" x14ac:dyDescent="0.3">
      <c r="A4408" t="s">
        <v>4462</v>
      </c>
      <c r="B4408" s="1">
        <v>45904</v>
      </c>
      <c r="C4408">
        <v>2025</v>
      </c>
      <c r="D4408" t="s">
        <v>1261</v>
      </c>
      <c r="E4408" t="s">
        <v>1651</v>
      </c>
      <c r="F4408" t="s">
        <v>57</v>
      </c>
      <c r="G4408" t="s">
        <v>39</v>
      </c>
      <c r="H4408" t="s">
        <v>25</v>
      </c>
      <c r="I4408" t="s">
        <v>40</v>
      </c>
      <c r="J4408" t="s">
        <v>41</v>
      </c>
      <c r="K4408" t="s">
        <v>32</v>
      </c>
      <c r="L4408" s="2">
        <v>1.2</v>
      </c>
      <c r="M4408" s="3">
        <v>959</v>
      </c>
      <c r="N4408">
        <v>2</v>
      </c>
      <c r="O4408">
        <v>1</v>
      </c>
      <c r="P4408">
        <v>1</v>
      </c>
      <c r="Q4408">
        <v>0</v>
      </c>
      <c r="R4408" s="4">
        <v>56.48</v>
      </c>
      <c r="S4408">
        <v>0</v>
      </c>
      <c r="T4408">
        <v>1</v>
      </c>
    </row>
    <row r="4409" spans="1:20" ht="16.5" x14ac:dyDescent="0.3">
      <c r="A4409" t="s">
        <v>4463</v>
      </c>
      <c r="B4409" s="1">
        <v>45904</v>
      </c>
      <c r="C4409">
        <v>2025</v>
      </c>
      <c r="D4409" t="s">
        <v>1261</v>
      </c>
      <c r="E4409" t="s">
        <v>1651</v>
      </c>
      <c r="F4409" t="s">
        <v>38</v>
      </c>
      <c r="G4409" t="s">
        <v>39</v>
      </c>
      <c r="H4409" t="s">
        <v>36</v>
      </c>
      <c r="I4409" t="s">
        <v>31</v>
      </c>
      <c r="J4409" t="s">
        <v>27</v>
      </c>
      <c r="K4409" t="s">
        <v>28</v>
      </c>
      <c r="L4409" s="2">
        <v>120.8</v>
      </c>
      <c r="M4409" s="3">
        <v>233</v>
      </c>
      <c r="N4409">
        <v>5</v>
      </c>
      <c r="O4409">
        <v>5</v>
      </c>
      <c r="P4409">
        <v>1</v>
      </c>
      <c r="Q4409">
        <v>0</v>
      </c>
      <c r="R4409" s="4">
        <v>50.75</v>
      </c>
      <c r="S4409">
        <v>0</v>
      </c>
      <c r="T4409">
        <v>1</v>
      </c>
    </row>
    <row r="4410" spans="1:20" ht="16.5" x14ac:dyDescent="0.3">
      <c r="A4410" t="s">
        <v>4464</v>
      </c>
      <c r="B4410" s="1">
        <v>45904</v>
      </c>
      <c r="C4410">
        <v>2025</v>
      </c>
      <c r="D4410" t="s">
        <v>1261</v>
      </c>
      <c r="E4410" t="s">
        <v>1651</v>
      </c>
      <c r="F4410" t="s">
        <v>38</v>
      </c>
      <c r="G4410" t="s">
        <v>39</v>
      </c>
      <c r="H4410" t="s">
        <v>25</v>
      </c>
      <c r="I4410" t="s">
        <v>26</v>
      </c>
      <c r="J4410" t="s">
        <v>27</v>
      </c>
      <c r="K4410" t="s">
        <v>32</v>
      </c>
      <c r="L4410" s="2">
        <v>10.199999999999999</v>
      </c>
      <c r="M4410" s="3">
        <v>930</v>
      </c>
      <c r="N4410">
        <v>4</v>
      </c>
      <c r="O4410">
        <v>4</v>
      </c>
      <c r="P4410">
        <v>1</v>
      </c>
      <c r="Q4410">
        <v>0</v>
      </c>
      <c r="R4410" s="4">
        <v>25.06</v>
      </c>
      <c r="S4410">
        <v>0</v>
      </c>
      <c r="T4410">
        <v>1</v>
      </c>
    </row>
    <row r="4411" spans="1:20" ht="16.5" x14ac:dyDescent="0.3">
      <c r="A4411" t="s">
        <v>4465</v>
      </c>
      <c r="B4411" s="1">
        <v>45904</v>
      </c>
      <c r="C4411">
        <v>2025</v>
      </c>
      <c r="D4411" t="s">
        <v>1261</v>
      </c>
      <c r="E4411" t="s">
        <v>1651</v>
      </c>
      <c r="F4411" t="s">
        <v>38</v>
      </c>
      <c r="G4411" t="s">
        <v>35</v>
      </c>
      <c r="H4411" t="s">
        <v>48</v>
      </c>
      <c r="I4411" t="s">
        <v>26</v>
      </c>
      <c r="J4411" t="s">
        <v>27</v>
      </c>
      <c r="K4411" t="s">
        <v>28</v>
      </c>
      <c r="L4411" s="2">
        <v>237.9</v>
      </c>
      <c r="M4411" s="3">
        <v>399</v>
      </c>
      <c r="N4411">
        <v>4</v>
      </c>
      <c r="O4411">
        <v>3</v>
      </c>
      <c r="P4411">
        <v>1</v>
      </c>
      <c r="Q4411">
        <v>0</v>
      </c>
      <c r="R4411" s="4">
        <v>120.25</v>
      </c>
      <c r="S4411">
        <v>0</v>
      </c>
      <c r="T4411">
        <v>1</v>
      </c>
    </row>
    <row r="4412" spans="1:20" ht="16.5" x14ac:dyDescent="0.3">
      <c r="A4412" t="s">
        <v>4466</v>
      </c>
      <c r="B4412" s="1">
        <v>45904</v>
      </c>
      <c r="C4412">
        <v>2025</v>
      </c>
      <c r="D4412" t="s">
        <v>1261</v>
      </c>
      <c r="E4412" t="s">
        <v>1651</v>
      </c>
      <c r="F4412" t="s">
        <v>34</v>
      </c>
      <c r="G4412" t="s">
        <v>39</v>
      </c>
      <c r="H4412" t="s">
        <v>25</v>
      </c>
      <c r="I4412" t="s">
        <v>26</v>
      </c>
      <c r="J4412" t="s">
        <v>27</v>
      </c>
      <c r="K4412" t="s">
        <v>28</v>
      </c>
      <c r="L4412" s="2">
        <v>39</v>
      </c>
      <c r="M4412" s="3">
        <v>821</v>
      </c>
      <c r="N4412">
        <v>4</v>
      </c>
      <c r="O4412">
        <v>4</v>
      </c>
      <c r="P4412">
        <v>1</v>
      </c>
      <c r="Q4412">
        <v>0</v>
      </c>
      <c r="R4412" s="4">
        <v>32.229999999999997</v>
      </c>
      <c r="S4412">
        <v>0</v>
      </c>
      <c r="T4412">
        <v>1</v>
      </c>
    </row>
    <row r="4413" spans="1:20" ht="16.5" x14ac:dyDescent="0.3">
      <c r="A4413" t="s">
        <v>4467</v>
      </c>
      <c r="B4413" s="1">
        <v>45904</v>
      </c>
      <c r="C4413">
        <v>2025</v>
      </c>
      <c r="D4413" t="s">
        <v>1261</v>
      </c>
      <c r="E4413" t="s">
        <v>1651</v>
      </c>
      <c r="F4413" t="s">
        <v>57</v>
      </c>
      <c r="G4413" t="s">
        <v>35</v>
      </c>
      <c r="H4413" t="s">
        <v>25</v>
      </c>
      <c r="I4413" t="s">
        <v>40</v>
      </c>
      <c r="J4413" t="s">
        <v>41</v>
      </c>
      <c r="K4413" t="s">
        <v>32</v>
      </c>
      <c r="L4413" s="2">
        <v>12.3</v>
      </c>
      <c r="M4413" s="3">
        <v>931</v>
      </c>
      <c r="N4413">
        <v>2</v>
      </c>
      <c r="O4413">
        <v>2</v>
      </c>
      <c r="P4413">
        <v>1</v>
      </c>
      <c r="Q4413">
        <v>0</v>
      </c>
      <c r="R4413" s="4">
        <v>64.739999999999995</v>
      </c>
      <c r="S4413">
        <v>0</v>
      </c>
      <c r="T4413">
        <v>1</v>
      </c>
    </row>
    <row r="4414" spans="1:20" ht="16.5" x14ac:dyDescent="0.3">
      <c r="A4414" t="s">
        <v>4468</v>
      </c>
      <c r="B4414" s="1">
        <v>45905</v>
      </c>
      <c r="C4414">
        <v>2025</v>
      </c>
      <c r="D4414" t="s">
        <v>1261</v>
      </c>
      <c r="E4414" t="s">
        <v>1651</v>
      </c>
      <c r="F4414" t="s">
        <v>30</v>
      </c>
      <c r="G4414" t="s">
        <v>39</v>
      </c>
      <c r="H4414" t="s">
        <v>25</v>
      </c>
      <c r="I4414" t="s">
        <v>26</v>
      </c>
      <c r="J4414" t="s">
        <v>27</v>
      </c>
      <c r="K4414" t="s">
        <v>32</v>
      </c>
      <c r="L4414" s="2">
        <v>6</v>
      </c>
      <c r="M4414" s="3">
        <v>811</v>
      </c>
      <c r="N4414">
        <v>4</v>
      </c>
      <c r="O4414">
        <v>7</v>
      </c>
      <c r="P4414">
        <v>0</v>
      </c>
      <c r="Q4414">
        <v>3</v>
      </c>
      <c r="R4414" s="4">
        <v>21.5</v>
      </c>
      <c r="S4414">
        <v>0</v>
      </c>
      <c r="T4414">
        <v>1</v>
      </c>
    </row>
    <row r="4415" spans="1:20" ht="16.5" x14ac:dyDescent="0.3">
      <c r="A4415" t="s">
        <v>4469</v>
      </c>
      <c r="B4415" s="1">
        <v>45905</v>
      </c>
      <c r="C4415">
        <v>2025</v>
      </c>
      <c r="D4415" t="s">
        <v>1261</v>
      </c>
      <c r="E4415" t="s">
        <v>1651</v>
      </c>
      <c r="F4415" t="s">
        <v>30</v>
      </c>
      <c r="G4415" t="s">
        <v>35</v>
      </c>
      <c r="H4415" t="s">
        <v>43</v>
      </c>
      <c r="I4415" t="s">
        <v>26</v>
      </c>
      <c r="J4415" t="s">
        <v>27</v>
      </c>
      <c r="K4415" t="s">
        <v>32</v>
      </c>
      <c r="L4415" s="2">
        <v>5</v>
      </c>
      <c r="M4415" s="3">
        <v>1493</v>
      </c>
      <c r="N4415">
        <v>5</v>
      </c>
      <c r="O4415">
        <v>5</v>
      </c>
      <c r="P4415">
        <v>1</v>
      </c>
      <c r="Q4415">
        <v>0</v>
      </c>
      <c r="R4415" s="4">
        <v>28.9</v>
      </c>
      <c r="S4415">
        <v>0</v>
      </c>
      <c r="T4415">
        <v>1</v>
      </c>
    </row>
    <row r="4416" spans="1:20" ht="16.5" x14ac:dyDescent="0.3">
      <c r="A4416" t="s">
        <v>4470</v>
      </c>
      <c r="B4416" s="1">
        <v>45905</v>
      </c>
      <c r="C4416">
        <v>2025</v>
      </c>
      <c r="D4416" t="s">
        <v>1261</v>
      </c>
      <c r="E4416" t="s">
        <v>1651</v>
      </c>
      <c r="F4416" t="s">
        <v>57</v>
      </c>
      <c r="G4416" t="s">
        <v>35</v>
      </c>
      <c r="H4416" t="s">
        <v>51</v>
      </c>
      <c r="I4416" t="s">
        <v>26</v>
      </c>
      <c r="J4416" t="s">
        <v>27</v>
      </c>
      <c r="K4416" t="s">
        <v>28</v>
      </c>
      <c r="L4416" s="2">
        <v>190.2</v>
      </c>
      <c r="M4416" s="3">
        <v>1175</v>
      </c>
      <c r="N4416">
        <v>5</v>
      </c>
      <c r="O4416">
        <v>5</v>
      </c>
      <c r="P4416">
        <v>1</v>
      </c>
      <c r="Q4416">
        <v>0</v>
      </c>
      <c r="R4416" s="4">
        <v>91.91</v>
      </c>
      <c r="S4416">
        <v>0</v>
      </c>
      <c r="T4416">
        <v>1</v>
      </c>
    </row>
    <row r="4417" spans="1:20" ht="16.5" x14ac:dyDescent="0.3">
      <c r="A4417" t="s">
        <v>4471</v>
      </c>
      <c r="B4417" s="1">
        <v>45905</v>
      </c>
      <c r="C4417">
        <v>2025</v>
      </c>
      <c r="D4417" t="s">
        <v>1261</v>
      </c>
      <c r="E4417" t="s">
        <v>1651</v>
      </c>
      <c r="F4417" t="s">
        <v>38</v>
      </c>
      <c r="G4417" t="s">
        <v>35</v>
      </c>
      <c r="H4417" t="s">
        <v>51</v>
      </c>
      <c r="I4417" t="s">
        <v>31</v>
      </c>
      <c r="J4417" t="s">
        <v>27</v>
      </c>
      <c r="K4417" t="s">
        <v>28</v>
      </c>
      <c r="L4417" s="2">
        <v>261.89999999999998</v>
      </c>
      <c r="M4417" s="3">
        <v>1308</v>
      </c>
      <c r="N4417">
        <v>7</v>
      </c>
      <c r="O4417">
        <v>6</v>
      </c>
      <c r="P4417">
        <v>1</v>
      </c>
      <c r="Q4417">
        <v>0</v>
      </c>
      <c r="R4417" s="4">
        <v>99.18</v>
      </c>
      <c r="S4417">
        <v>0</v>
      </c>
      <c r="T4417">
        <v>1</v>
      </c>
    </row>
    <row r="4418" spans="1:20" ht="16.5" x14ac:dyDescent="0.3">
      <c r="A4418" t="s">
        <v>4472</v>
      </c>
      <c r="B4418" s="1">
        <v>45905</v>
      </c>
      <c r="C4418">
        <v>2025</v>
      </c>
      <c r="D4418" t="s">
        <v>1261</v>
      </c>
      <c r="E4418" t="s">
        <v>1651</v>
      </c>
      <c r="F4418" t="s">
        <v>23</v>
      </c>
      <c r="G4418" t="s">
        <v>39</v>
      </c>
      <c r="H4418" t="s">
        <v>36</v>
      </c>
      <c r="I4418" t="s">
        <v>40</v>
      </c>
      <c r="J4418" t="s">
        <v>27</v>
      </c>
      <c r="K4418" t="s">
        <v>28</v>
      </c>
      <c r="L4418" s="2">
        <v>125.6</v>
      </c>
      <c r="M4418" s="3">
        <v>259</v>
      </c>
      <c r="N4418">
        <v>1</v>
      </c>
      <c r="O4418">
        <v>1</v>
      </c>
      <c r="P4418">
        <v>1</v>
      </c>
      <c r="Q4418">
        <v>0</v>
      </c>
      <c r="R4418" s="4">
        <v>129.25</v>
      </c>
      <c r="S4418">
        <v>0</v>
      </c>
      <c r="T4418">
        <v>1</v>
      </c>
    </row>
    <row r="4419" spans="1:20" ht="16.5" x14ac:dyDescent="0.3">
      <c r="A4419" t="s">
        <v>4473</v>
      </c>
      <c r="B4419" s="1">
        <v>45905</v>
      </c>
      <c r="C4419">
        <v>2025</v>
      </c>
      <c r="D4419" t="s">
        <v>1261</v>
      </c>
      <c r="E4419" t="s">
        <v>1651</v>
      </c>
      <c r="F4419" t="s">
        <v>34</v>
      </c>
      <c r="G4419" t="s">
        <v>39</v>
      </c>
      <c r="H4419" t="s">
        <v>51</v>
      </c>
      <c r="I4419" t="s">
        <v>31</v>
      </c>
      <c r="J4419" t="s">
        <v>27</v>
      </c>
      <c r="K4419" t="s">
        <v>32</v>
      </c>
      <c r="L4419" s="2">
        <v>3.2</v>
      </c>
      <c r="M4419" s="3">
        <v>813</v>
      </c>
      <c r="N4419">
        <v>7</v>
      </c>
      <c r="O4419">
        <v>7</v>
      </c>
      <c r="P4419">
        <v>1</v>
      </c>
      <c r="Q4419">
        <v>0</v>
      </c>
      <c r="R4419" s="4">
        <v>12.12</v>
      </c>
      <c r="S4419">
        <v>0</v>
      </c>
      <c r="T4419">
        <v>1</v>
      </c>
    </row>
    <row r="4420" spans="1:20" ht="16.5" x14ac:dyDescent="0.3">
      <c r="A4420" t="s">
        <v>4474</v>
      </c>
      <c r="B4420" s="1">
        <v>45905</v>
      </c>
      <c r="C4420">
        <v>2025</v>
      </c>
      <c r="D4420" t="s">
        <v>1261</v>
      </c>
      <c r="E4420" t="s">
        <v>1651</v>
      </c>
      <c r="F4420" t="s">
        <v>23</v>
      </c>
      <c r="G4420" t="s">
        <v>39</v>
      </c>
      <c r="H4420" t="s">
        <v>25</v>
      </c>
      <c r="I4420" t="s">
        <v>26</v>
      </c>
      <c r="J4420" t="s">
        <v>27</v>
      </c>
      <c r="K4420" t="s">
        <v>28</v>
      </c>
      <c r="L4420" s="2">
        <v>42.4</v>
      </c>
      <c r="M4420" s="3">
        <v>785</v>
      </c>
      <c r="N4420">
        <v>4</v>
      </c>
      <c r="O4420">
        <v>4</v>
      </c>
      <c r="P4420">
        <v>1</v>
      </c>
      <c r="Q4420">
        <v>0</v>
      </c>
      <c r="R4420" s="4">
        <v>33.47</v>
      </c>
      <c r="S4420">
        <v>0</v>
      </c>
      <c r="T4420">
        <v>1</v>
      </c>
    </row>
    <row r="4421" spans="1:20" ht="16.5" x14ac:dyDescent="0.3">
      <c r="A4421" t="s">
        <v>4475</v>
      </c>
      <c r="B4421" s="1">
        <v>45905</v>
      </c>
      <c r="C4421">
        <v>2025</v>
      </c>
      <c r="D4421" t="s">
        <v>1261</v>
      </c>
      <c r="E4421" t="s">
        <v>1651</v>
      </c>
      <c r="F4421" t="s">
        <v>38</v>
      </c>
      <c r="G4421" t="s">
        <v>24</v>
      </c>
      <c r="H4421" t="s">
        <v>25</v>
      </c>
      <c r="I4421" t="s">
        <v>40</v>
      </c>
      <c r="J4421" t="s">
        <v>41</v>
      </c>
      <c r="K4421" t="s">
        <v>28</v>
      </c>
      <c r="L4421" s="2">
        <v>82</v>
      </c>
      <c r="M4421" s="3">
        <v>1015</v>
      </c>
      <c r="N4421">
        <v>2</v>
      </c>
      <c r="O4421">
        <v>1</v>
      </c>
      <c r="P4421">
        <v>1</v>
      </c>
      <c r="Q4421">
        <v>0</v>
      </c>
      <c r="R4421" s="4">
        <v>180.04</v>
      </c>
      <c r="S4421">
        <v>0</v>
      </c>
      <c r="T4421">
        <v>1</v>
      </c>
    </row>
    <row r="4422" spans="1:20" ht="16.5" x14ac:dyDescent="0.3">
      <c r="A4422" t="s">
        <v>4476</v>
      </c>
      <c r="B4422" s="1">
        <v>45905</v>
      </c>
      <c r="C4422">
        <v>2025</v>
      </c>
      <c r="D4422" t="s">
        <v>1261</v>
      </c>
      <c r="E4422" t="s">
        <v>1651</v>
      </c>
      <c r="F4422" t="s">
        <v>38</v>
      </c>
      <c r="G4422" t="s">
        <v>39</v>
      </c>
      <c r="H4422" t="s">
        <v>51</v>
      </c>
      <c r="I4422" t="s">
        <v>26</v>
      </c>
      <c r="J4422" t="s">
        <v>27</v>
      </c>
      <c r="K4422" t="s">
        <v>32</v>
      </c>
      <c r="L4422" s="2">
        <v>4.5</v>
      </c>
      <c r="M4422" s="3">
        <v>1348</v>
      </c>
      <c r="N4422">
        <v>5</v>
      </c>
      <c r="O4422">
        <v>5</v>
      </c>
      <c r="P4422">
        <v>1</v>
      </c>
      <c r="Q4422">
        <v>0</v>
      </c>
      <c r="R4422" s="4">
        <v>27.52</v>
      </c>
      <c r="S4422">
        <v>0</v>
      </c>
      <c r="T4422">
        <v>1</v>
      </c>
    </row>
    <row r="4423" spans="1:20" ht="16.5" x14ac:dyDescent="0.3">
      <c r="A4423" t="s">
        <v>4477</v>
      </c>
      <c r="B4423" s="1">
        <v>45905</v>
      </c>
      <c r="C4423">
        <v>2025</v>
      </c>
      <c r="D4423" t="s">
        <v>1261</v>
      </c>
      <c r="E4423" t="s">
        <v>1651</v>
      </c>
      <c r="F4423" t="s">
        <v>23</v>
      </c>
      <c r="G4423" t="s">
        <v>24</v>
      </c>
      <c r="H4423" t="s">
        <v>36</v>
      </c>
      <c r="I4423" t="s">
        <v>26</v>
      </c>
      <c r="J4423" t="s">
        <v>27</v>
      </c>
      <c r="K4423" t="s">
        <v>28</v>
      </c>
      <c r="L4423" s="2">
        <v>27.9</v>
      </c>
      <c r="M4423" s="3">
        <v>218</v>
      </c>
      <c r="N4423">
        <v>3</v>
      </c>
      <c r="O4423">
        <v>3</v>
      </c>
      <c r="P4423">
        <v>1</v>
      </c>
      <c r="Q4423">
        <v>0</v>
      </c>
      <c r="R4423" s="4">
        <v>25.03</v>
      </c>
      <c r="S4423">
        <v>0</v>
      </c>
      <c r="T4423">
        <v>1</v>
      </c>
    </row>
    <row r="4424" spans="1:20" ht="16.5" x14ac:dyDescent="0.3">
      <c r="A4424" t="s">
        <v>4478</v>
      </c>
      <c r="B4424" s="1">
        <v>45906</v>
      </c>
      <c r="C4424">
        <v>2025</v>
      </c>
      <c r="D4424" t="s">
        <v>1261</v>
      </c>
      <c r="E4424" t="s">
        <v>1651</v>
      </c>
      <c r="F4424" t="s">
        <v>34</v>
      </c>
      <c r="G4424" t="s">
        <v>39</v>
      </c>
      <c r="H4424" t="s">
        <v>43</v>
      </c>
      <c r="I4424" t="s">
        <v>26</v>
      </c>
      <c r="J4424" t="s">
        <v>27</v>
      </c>
      <c r="K4424" t="s">
        <v>28</v>
      </c>
      <c r="L4424" s="2">
        <v>60.4</v>
      </c>
      <c r="M4424" s="3">
        <v>1505</v>
      </c>
      <c r="N4424">
        <v>5</v>
      </c>
      <c r="O4424">
        <v>7</v>
      </c>
      <c r="P4424">
        <v>0</v>
      </c>
      <c r="Q4424">
        <v>2</v>
      </c>
      <c r="R4424" s="4">
        <v>48.6</v>
      </c>
      <c r="S4424">
        <v>0</v>
      </c>
      <c r="T4424">
        <v>1</v>
      </c>
    </row>
    <row r="4425" spans="1:20" ht="16.5" x14ac:dyDescent="0.3">
      <c r="A4425" t="s">
        <v>4479</v>
      </c>
      <c r="B4425" s="1">
        <v>45906</v>
      </c>
      <c r="C4425">
        <v>2025</v>
      </c>
      <c r="D4425" t="s">
        <v>1261</v>
      </c>
      <c r="E4425" t="s">
        <v>1651</v>
      </c>
      <c r="F4425" t="s">
        <v>38</v>
      </c>
      <c r="G4425" t="s">
        <v>24</v>
      </c>
      <c r="H4425" t="s">
        <v>43</v>
      </c>
      <c r="I4425" t="s">
        <v>26</v>
      </c>
      <c r="J4425" t="s">
        <v>27</v>
      </c>
      <c r="K4425" t="s">
        <v>32</v>
      </c>
      <c r="L4425" s="2">
        <v>5.0999999999999996</v>
      </c>
      <c r="M4425" s="3">
        <v>1161</v>
      </c>
      <c r="N4425">
        <v>5</v>
      </c>
      <c r="O4425">
        <v>4</v>
      </c>
      <c r="P4425">
        <v>1</v>
      </c>
      <c r="Q4425">
        <v>0</v>
      </c>
      <c r="R4425" s="4">
        <v>26.71</v>
      </c>
      <c r="S4425">
        <v>0</v>
      </c>
      <c r="T4425">
        <v>1</v>
      </c>
    </row>
    <row r="4426" spans="1:20" ht="16.5" x14ac:dyDescent="0.3">
      <c r="A4426" t="s">
        <v>4480</v>
      </c>
      <c r="B4426" s="1">
        <v>45906</v>
      </c>
      <c r="C4426">
        <v>2025</v>
      </c>
      <c r="D4426" t="s">
        <v>1261</v>
      </c>
      <c r="E4426" t="s">
        <v>1651</v>
      </c>
      <c r="F4426" t="s">
        <v>57</v>
      </c>
      <c r="G4426" t="s">
        <v>35</v>
      </c>
      <c r="H4426" t="s">
        <v>48</v>
      </c>
      <c r="I4426" t="s">
        <v>26</v>
      </c>
      <c r="J4426" t="s">
        <v>27</v>
      </c>
      <c r="K4426" t="s">
        <v>32</v>
      </c>
      <c r="L4426" s="2">
        <v>4.7</v>
      </c>
      <c r="M4426" s="3">
        <v>539</v>
      </c>
      <c r="N4426">
        <v>4</v>
      </c>
      <c r="O4426">
        <v>4</v>
      </c>
      <c r="P4426">
        <v>1</v>
      </c>
      <c r="Q4426">
        <v>0</v>
      </c>
      <c r="R4426" s="4">
        <v>16.53</v>
      </c>
      <c r="S4426">
        <v>0</v>
      </c>
      <c r="T4426">
        <v>1</v>
      </c>
    </row>
    <row r="4427" spans="1:20" ht="16.5" x14ac:dyDescent="0.3">
      <c r="A4427" t="s">
        <v>4481</v>
      </c>
      <c r="B4427" s="1">
        <v>45906</v>
      </c>
      <c r="C4427">
        <v>2025</v>
      </c>
      <c r="D4427" t="s">
        <v>1261</v>
      </c>
      <c r="E4427" t="s">
        <v>1651</v>
      </c>
      <c r="F4427" t="s">
        <v>57</v>
      </c>
      <c r="G4427" t="s">
        <v>35</v>
      </c>
      <c r="H4427" t="s">
        <v>43</v>
      </c>
      <c r="I4427" t="s">
        <v>26</v>
      </c>
      <c r="J4427" t="s">
        <v>27</v>
      </c>
      <c r="K4427" t="s">
        <v>32</v>
      </c>
      <c r="L4427" s="2">
        <v>4.2</v>
      </c>
      <c r="M4427" s="3">
        <v>795</v>
      </c>
      <c r="N4427">
        <v>5</v>
      </c>
      <c r="O4427">
        <v>5</v>
      </c>
      <c r="P4427">
        <v>1</v>
      </c>
      <c r="Q4427">
        <v>0</v>
      </c>
      <c r="R4427" s="4">
        <v>17.96</v>
      </c>
      <c r="S4427">
        <v>0</v>
      </c>
      <c r="T4427">
        <v>1</v>
      </c>
    </row>
    <row r="4428" spans="1:20" ht="16.5" x14ac:dyDescent="0.3">
      <c r="A4428" t="s">
        <v>4482</v>
      </c>
      <c r="B4428" s="1">
        <v>45906</v>
      </c>
      <c r="C4428">
        <v>2025</v>
      </c>
      <c r="D4428" t="s">
        <v>1261</v>
      </c>
      <c r="E4428" t="s">
        <v>1651</v>
      </c>
      <c r="F4428" t="s">
        <v>30</v>
      </c>
      <c r="G4428" t="s">
        <v>39</v>
      </c>
      <c r="H4428" t="s">
        <v>36</v>
      </c>
      <c r="I4428" t="s">
        <v>31</v>
      </c>
      <c r="J4428" t="s">
        <v>27</v>
      </c>
      <c r="K4428" t="s">
        <v>32</v>
      </c>
      <c r="L4428" s="2">
        <v>6.8</v>
      </c>
      <c r="M4428" s="3">
        <v>294</v>
      </c>
      <c r="N4428">
        <v>5</v>
      </c>
      <c r="O4428">
        <v>7</v>
      </c>
      <c r="P4428">
        <v>0</v>
      </c>
      <c r="Q4428">
        <v>2</v>
      </c>
      <c r="R4428" s="4">
        <v>10.79</v>
      </c>
      <c r="S4428">
        <v>0</v>
      </c>
      <c r="T4428">
        <v>1</v>
      </c>
    </row>
    <row r="4429" spans="1:20" ht="16.5" x14ac:dyDescent="0.3">
      <c r="A4429" t="s">
        <v>4483</v>
      </c>
      <c r="B4429" s="1">
        <v>45906</v>
      </c>
      <c r="C4429">
        <v>2025</v>
      </c>
      <c r="D4429" t="s">
        <v>1261</v>
      </c>
      <c r="E4429" t="s">
        <v>1651</v>
      </c>
      <c r="F4429" t="s">
        <v>30</v>
      </c>
      <c r="G4429" t="s">
        <v>24</v>
      </c>
      <c r="H4429" t="s">
        <v>48</v>
      </c>
      <c r="I4429" t="s">
        <v>40</v>
      </c>
      <c r="J4429" t="s">
        <v>27</v>
      </c>
      <c r="K4429" t="s">
        <v>32</v>
      </c>
      <c r="L4429" s="2">
        <v>4.8</v>
      </c>
      <c r="M4429" s="3">
        <v>427</v>
      </c>
      <c r="N4429">
        <v>2</v>
      </c>
      <c r="O4429">
        <v>3</v>
      </c>
      <c r="P4429">
        <v>0</v>
      </c>
      <c r="Q4429">
        <v>1</v>
      </c>
      <c r="R4429" s="4">
        <v>27.5</v>
      </c>
      <c r="S4429">
        <v>0</v>
      </c>
      <c r="T4429">
        <v>1</v>
      </c>
    </row>
    <row r="4430" spans="1:20" ht="16.5" x14ac:dyDescent="0.3">
      <c r="A4430" t="s">
        <v>4484</v>
      </c>
      <c r="B4430" s="1">
        <v>45906</v>
      </c>
      <c r="C4430">
        <v>2025</v>
      </c>
      <c r="D4430" t="s">
        <v>1261</v>
      </c>
      <c r="E4430" t="s">
        <v>1651</v>
      </c>
      <c r="F4430" t="s">
        <v>34</v>
      </c>
      <c r="G4430" t="s">
        <v>24</v>
      </c>
      <c r="H4430" t="s">
        <v>36</v>
      </c>
      <c r="I4430" t="s">
        <v>31</v>
      </c>
      <c r="J4430" t="s">
        <v>27</v>
      </c>
      <c r="K4430" t="s">
        <v>32</v>
      </c>
      <c r="L4430" s="2">
        <v>6.7</v>
      </c>
      <c r="M4430" s="3">
        <v>214</v>
      </c>
      <c r="N4430">
        <v>5</v>
      </c>
      <c r="O4430">
        <v>5</v>
      </c>
      <c r="P4430">
        <v>1</v>
      </c>
      <c r="Q4430">
        <v>0</v>
      </c>
      <c r="R4430" s="4">
        <v>7.76</v>
      </c>
      <c r="S4430">
        <v>0</v>
      </c>
      <c r="T4430">
        <v>1</v>
      </c>
    </row>
    <row r="4431" spans="1:20" ht="16.5" x14ac:dyDescent="0.3">
      <c r="A4431" t="s">
        <v>4485</v>
      </c>
      <c r="B4431" s="1">
        <v>45906</v>
      </c>
      <c r="C4431">
        <v>2025</v>
      </c>
      <c r="D4431" t="s">
        <v>1261</v>
      </c>
      <c r="E4431" t="s">
        <v>1651</v>
      </c>
      <c r="F4431" t="s">
        <v>34</v>
      </c>
      <c r="G4431" t="s">
        <v>35</v>
      </c>
      <c r="H4431" t="s">
        <v>36</v>
      </c>
      <c r="I4431" t="s">
        <v>26</v>
      </c>
      <c r="J4431" t="s">
        <v>27</v>
      </c>
      <c r="K4431" t="s">
        <v>32</v>
      </c>
      <c r="L4431" s="2">
        <v>8.6</v>
      </c>
      <c r="M4431" s="3">
        <v>269</v>
      </c>
      <c r="N4431">
        <v>3</v>
      </c>
      <c r="O4431">
        <v>4</v>
      </c>
      <c r="P4431">
        <v>0</v>
      </c>
      <c r="Q4431">
        <v>1</v>
      </c>
      <c r="R4431" s="4">
        <v>13.55</v>
      </c>
      <c r="S4431">
        <v>0</v>
      </c>
      <c r="T4431">
        <v>1</v>
      </c>
    </row>
    <row r="4432" spans="1:20" ht="16.5" x14ac:dyDescent="0.3">
      <c r="A4432" t="s">
        <v>4486</v>
      </c>
      <c r="B4432" s="1">
        <v>45907</v>
      </c>
      <c r="C4432">
        <v>2025</v>
      </c>
      <c r="D4432" t="s">
        <v>1261</v>
      </c>
      <c r="E4432" t="s">
        <v>1651</v>
      </c>
      <c r="F4432" t="s">
        <v>34</v>
      </c>
      <c r="G4432" t="s">
        <v>39</v>
      </c>
      <c r="H4432" t="s">
        <v>48</v>
      </c>
      <c r="I4432" t="s">
        <v>31</v>
      </c>
      <c r="J4432" t="s">
        <v>27</v>
      </c>
      <c r="K4432" t="s">
        <v>32</v>
      </c>
      <c r="L4432" s="2">
        <v>1.9</v>
      </c>
      <c r="M4432" s="3">
        <v>490</v>
      </c>
      <c r="N4432">
        <v>6</v>
      </c>
      <c r="O4432">
        <v>6</v>
      </c>
      <c r="P4432">
        <v>1</v>
      </c>
      <c r="Q4432">
        <v>0</v>
      </c>
      <c r="R4432" s="4">
        <v>8.3800000000000008</v>
      </c>
      <c r="S4432">
        <v>0</v>
      </c>
      <c r="T4432">
        <v>1</v>
      </c>
    </row>
    <row r="4433" spans="1:20" ht="16.5" x14ac:dyDescent="0.3">
      <c r="A4433" t="s">
        <v>4487</v>
      </c>
      <c r="B4433" s="1">
        <v>45907</v>
      </c>
      <c r="C4433">
        <v>2025</v>
      </c>
      <c r="D4433" t="s">
        <v>1261</v>
      </c>
      <c r="E4433" t="s">
        <v>1651</v>
      </c>
      <c r="F4433" t="s">
        <v>57</v>
      </c>
      <c r="G4433" t="s">
        <v>39</v>
      </c>
      <c r="H4433" t="s">
        <v>43</v>
      </c>
      <c r="I4433" t="s">
        <v>40</v>
      </c>
      <c r="J4433" t="s">
        <v>41</v>
      </c>
      <c r="K4433" t="s">
        <v>32</v>
      </c>
      <c r="L4433" s="2">
        <v>6.5</v>
      </c>
      <c r="M4433" s="3">
        <v>1066</v>
      </c>
      <c r="N4433">
        <v>3</v>
      </c>
      <c r="O4433">
        <v>3</v>
      </c>
      <c r="P4433">
        <v>1</v>
      </c>
      <c r="Q4433">
        <v>0</v>
      </c>
      <c r="R4433" s="4">
        <v>67.39</v>
      </c>
      <c r="S4433">
        <v>0</v>
      </c>
      <c r="T4433">
        <v>1</v>
      </c>
    </row>
    <row r="4434" spans="1:20" ht="16.5" x14ac:dyDescent="0.3">
      <c r="A4434" t="s">
        <v>4488</v>
      </c>
      <c r="B4434" s="1">
        <v>45907</v>
      </c>
      <c r="C4434">
        <v>2025</v>
      </c>
      <c r="D4434" t="s">
        <v>1261</v>
      </c>
      <c r="E4434" t="s">
        <v>1651</v>
      </c>
      <c r="F4434" t="s">
        <v>38</v>
      </c>
      <c r="G4434" t="s">
        <v>39</v>
      </c>
      <c r="H4434" t="s">
        <v>43</v>
      </c>
      <c r="I4434" t="s">
        <v>31</v>
      </c>
      <c r="J4434" t="s">
        <v>27</v>
      </c>
      <c r="K4434" t="s">
        <v>32</v>
      </c>
      <c r="L4434" s="2">
        <v>9.8000000000000007</v>
      </c>
      <c r="M4434" s="3">
        <v>1394</v>
      </c>
      <c r="N4434">
        <v>7</v>
      </c>
      <c r="O4434">
        <v>11</v>
      </c>
      <c r="P4434">
        <v>0</v>
      </c>
      <c r="Q4434">
        <v>4</v>
      </c>
      <c r="R4434" s="4">
        <v>22.29</v>
      </c>
      <c r="S4434">
        <v>0</v>
      </c>
      <c r="T4434">
        <v>1</v>
      </c>
    </row>
    <row r="4435" spans="1:20" ht="16.5" x14ac:dyDescent="0.3">
      <c r="A4435" t="s">
        <v>4489</v>
      </c>
      <c r="B4435" s="1">
        <v>45907</v>
      </c>
      <c r="C4435">
        <v>2025</v>
      </c>
      <c r="D4435" t="s">
        <v>1261</v>
      </c>
      <c r="E4435" t="s">
        <v>1651</v>
      </c>
      <c r="F4435" t="s">
        <v>23</v>
      </c>
      <c r="G4435" t="s">
        <v>39</v>
      </c>
      <c r="H4435" t="s">
        <v>36</v>
      </c>
      <c r="I4435" t="s">
        <v>26</v>
      </c>
      <c r="J4435" t="s">
        <v>27</v>
      </c>
      <c r="K4435" t="s">
        <v>28</v>
      </c>
      <c r="L4435" s="2">
        <v>97.5</v>
      </c>
      <c r="M4435" s="3">
        <v>234</v>
      </c>
      <c r="N4435">
        <v>3</v>
      </c>
      <c r="O4435">
        <v>3</v>
      </c>
      <c r="P4435">
        <v>1</v>
      </c>
      <c r="Q4435">
        <v>0</v>
      </c>
      <c r="R4435" s="4">
        <v>53.79</v>
      </c>
      <c r="S4435">
        <v>0</v>
      </c>
      <c r="T4435">
        <v>1</v>
      </c>
    </row>
    <row r="4436" spans="1:20" ht="16.5" x14ac:dyDescent="0.3">
      <c r="A4436" t="s">
        <v>4490</v>
      </c>
      <c r="B4436" s="1">
        <v>45908</v>
      </c>
      <c r="C4436">
        <v>2025</v>
      </c>
      <c r="D4436" t="s">
        <v>1261</v>
      </c>
      <c r="E4436" t="s">
        <v>1651</v>
      </c>
      <c r="F4436" t="s">
        <v>23</v>
      </c>
      <c r="G4436" t="s">
        <v>39</v>
      </c>
      <c r="H4436" t="s">
        <v>36</v>
      </c>
      <c r="I4436" t="s">
        <v>26</v>
      </c>
      <c r="J4436" t="s">
        <v>27</v>
      </c>
      <c r="K4436" t="s">
        <v>32</v>
      </c>
      <c r="L4436" s="2">
        <v>1</v>
      </c>
      <c r="M4436" s="3">
        <v>199</v>
      </c>
      <c r="N4436">
        <v>3</v>
      </c>
      <c r="O4436">
        <v>5</v>
      </c>
      <c r="P4436">
        <v>0</v>
      </c>
      <c r="Q4436">
        <v>2</v>
      </c>
      <c r="R4436" s="4">
        <v>9.06</v>
      </c>
      <c r="S4436">
        <v>0</v>
      </c>
      <c r="T4436">
        <v>1</v>
      </c>
    </row>
    <row r="4437" spans="1:20" ht="16.5" x14ac:dyDescent="0.3">
      <c r="A4437" t="s">
        <v>4491</v>
      </c>
      <c r="B4437" s="1">
        <v>45908</v>
      </c>
      <c r="C4437">
        <v>2025</v>
      </c>
      <c r="D4437" t="s">
        <v>1261</v>
      </c>
      <c r="E4437" t="s">
        <v>1651</v>
      </c>
      <c r="F4437" t="s">
        <v>57</v>
      </c>
      <c r="G4437" t="s">
        <v>39</v>
      </c>
      <c r="H4437" t="s">
        <v>43</v>
      </c>
      <c r="I4437" t="s">
        <v>26</v>
      </c>
      <c r="J4437" t="s">
        <v>27</v>
      </c>
      <c r="K4437" t="s">
        <v>28</v>
      </c>
      <c r="L4437" s="2">
        <v>181.1</v>
      </c>
      <c r="M4437" s="3">
        <v>1324</v>
      </c>
      <c r="N4437">
        <v>5</v>
      </c>
      <c r="O4437">
        <v>5</v>
      </c>
      <c r="P4437">
        <v>1</v>
      </c>
      <c r="Q4437">
        <v>0</v>
      </c>
      <c r="R4437" s="4">
        <v>100.39</v>
      </c>
      <c r="S4437">
        <v>0</v>
      </c>
      <c r="T4437">
        <v>1</v>
      </c>
    </row>
    <row r="4438" spans="1:20" ht="16.5" x14ac:dyDescent="0.3">
      <c r="A4438" t="s">
        <v>4492</v>
      </c>
      <c r="B4438" s="1">
        <v>45908</v>
      </c>
      <c r="C4438">
        <v>2025</v>
      </c>
      <c r="D4438" t="s">
        <v>1261</v>
      </c>
      <c r="E4438" t="s">
        <v>1651</v>
      </c>
      <c r="F4438" t="s">
        <v>38</v>
      </c>
      <c r="G4438" t="s">
        <v>35</v>
      </c>
      <c r="H4438" t="s">
        <v>48</v>
      </c>
      <c r="I4438" t="s">
        <v>26</v>
      </c>
      <c r="J4438" t="s">
        <v>27</v>
      </c>
      <c r="K4438" t="s">
        <v>32</v>
      </c>
      <c r="L4438" s="2">
        <v>7.7</v>
      </c>
      <c r="M4438" s="3">
        <v>462</v>
      </c>
      <c r="N4438">
        <v>4</v>
      </c>
      <c r="O4438">
        <v>4</v>
      </c>
      <c r="P4438">
        <v>1</v>
      </c>
      <c r="Q4438">
        <v>0</v>
      </c>
      <c r="R4438" s="4">
        <v>18.91</v>
      </c>
      <c r="S4438">
        <v>0</v>
      </c>
      <c r="T4438">
        <v>1</v>
      </c>
    </row>
    <row r="4439" spans="1:20" ht="16.5" x14ac:dyDescent="0.3">
      <c r="A4439" t="s">
        <v>4493</v>
      </c>
      <c r="B4439" s="1">
        <v>45908</v>
      </c>
      <c r="C4439">
        <v>2025</v>
      </c>
      <c r="D4439" t="s">
        <v>1261</v>
      </c>
      <c r="E4439" t="s">
        <v>1651</v>
      </c>
      <c r="F4439" t="s">
        <v>38</v>
      </c>
      <c r="G4439" t="s">
        <v>35</v>
      </c>
      <c r="H4439" t="s">
        <v>25</v>
      </c>
      <c r="I4439" t="s">
        <v>26</v>
      </c>
      <c r="J4439" t="s">
        <v>27</v>
      </c>
      <c r="K4439" t="s">
        <v>28</v>
      </c>
      <c r="L4439" s="2">
        <v>289.5</v>
      </c>
      <c r="M4439" s="3">
        <v>847</v>
      </c>
      <c r="N4439">
        <v>4</v>
      </c>
      <c r="O4439">
        <v>4</v>
      </c>
      <c r="P4439">
        <v>1</v>
      </c>
      <c r="Q4439">
        <v>0</v>
      </c>
      <c r="R4439" s="4">
        <v>141.01</v>
      </c>
      <c r="S4439">
        <v>0</v>
      </c>
      <c r="T4439">
        <v>1</v>
      </c>
    </row>
    <row r="4440" spans="1:20" ht="16.5" x14ac:dyDescent="0.3">
      <c r="A4440" t="s">
        <v>4494</v>
      </c>
      <c r="B4440" s="1">
        <v>45908</v>
      </c>
      <c r="C4440">
        <v>2025</v>
      </c>
      <c r="D4440" t="s">
        <v>1261</v>
      </c>
      <c r="E4440" t="s">
        <v>1651</v>
      </c>
      <c r="F4440" t="s">
        <v>23</v>
      </c>
      <c r="G4440" t="s">
        <v>39</v>
      </c>
      <c r="H4440" t="s">
        <v>36</v>
      </c>
      <c r="I4440" t="s">
        <v>31</v>
      </c>
      <c r="J4440" t="s">
        <v>27</v>
      </c>
      <c r="K4440" t="s">
        <v>32</v>
      </c>
      <c r="L4440" s="2">
        <v>5.9</v>
      </c>
      <c r="M4440" s="3">
        <v>246</v>
      </c>
      <c r="N4440">
        <v>5</v>
      </c>
      <c r="O4440">
        <v>5</v>
      </c>
      <c r="P4440">
        <v>1</v>
      </c>
      <c r="Q4440">
        <v>0</v>
      </c>
      <c r="R4440" s="4">
        <v>8.99</v>
      </c>
      <c r="S4440">
        <v>0</v>
      </c>
      <c r="T4440">
        <v>1</v>
      </c>
    </row>
    <row r="4441" spans="1:20" ht="16.5" x14ac:dyDescent="0.3">
      <c r="A4441" t="s">
        <v>4495</v>
      </c>
      <c r="B4441" s="1">
        <v>45908</v>
      </c>
      <c r="C4441">
        <v>2025</v>
      </c>
      <c r="D4441" t="s">
        <v>1261</v>
      </c>
      <c r="E4441" t="s">
        <v>1651</v>
      </c>
      <c r="F4441" t="s">
        <v>30</v>
      </c>
      <c r="G4441" t="s">
        <v>39</v>
      </c>
      <c r="H4441" t="s">
        <v>48</v>
      </c>
      <c r="I4441" t="s">
        <v>40</v>
      </c>
      <c r="J4441" t="s">
        <v>27</v>
      </c>
      <c r="K4441" t="s">
        <v>28</v>
      </c>
      <c r="L4441" s="2">
        <v>148.4</v>
      </c>
      <c r="M4441" s="3">
        <v>491</v>
      </c>
      <c r="N4441">
        <v>2</v>
      </c>
      <c r="O4441">
        <v>1</v>
      </c>
      <c r="P4441">
        <v>1</v>
      </c>
      <c r="Q4441">
        <v>0</v>
      </c>
      <c r="R4441" s="4">
        <v>153.13</v>
      </c>
      <c r="S4441">
        <v>0</v>
      </c>
      <c r="T4441">
        <v>1</v>
      </c>
    </row>
    <row r="4442" spans="1:20" ht="16.5" x14ac:dyDescent="0.3">
      <c r="A4442" t="s">
        <v>4496</v>
      </c>
      <c r="B4442" s="1">
        <v>45908</v>
      </c>
      <c r="C4442">
        <v>2025</v>
      </c>
      <c r="D4442" t="s">
        <v>1261</v>
      </c>
      <c r="E4442" t="s">
        <v>1651</v>
      </c>
      <c r="F4442" t="s">
        <v>30</v>
      </c>
      <c r="G4442" t="s">
        <v>39</v>
      </c>
      <c r="H4442" t="s">
        <v>36</v>
      </c>
      <c r="I4442" t="s">
        <v>26</v>
      </c>
      <c r="J4442" t="s">
        <v>27</v>
      </c>
      <c r="K4442" t="s">
        <v>32</v>
      </c>
      <c r="L4442" s="2">
        <v>5.4</v>
      </c>
      <c r="M4442" s="3">
        <v>252</v>
      </c>
      <c r="N4442">
        <v>3</v>
      </c>
      <c r="O4442">
        <v>3</v>
      </c>
      <c r="P4442">
        <v>1</v>
      </c>
      <c r="Q4442">
        <v>0</v>
      </c>
      <c r="R4442" s="4">
        <v>14.37</v>
      </c>
      <c r="S4442">
        <v>0</v>
      </c>
      <c r="T4442">
        <v>1</v>
      </c>
    </row>
    <row r="4443" spans="1:20" ht="16.5" x14ac:dyDescent="0.3">
      <c r="A4443" t="s">
        <v>4497</v>
      </c>
      <c r="B4443" s="1">
        <v>45908</v>
      </c>
      <c r="C4443">
        <v>2025</v>
      </c>
      <c r="D4443" t="s">
        <v>1261</v>
      </c>
      <c r="E4443" t="s">
        <v>1651</v>
      </c>
      <c r="F4443" t="s">
        <v>23</v>
      </c>
      <c r="G4443" t="s">
        <v>35</v>
      </c>
      <c r="H4443" t="s">
        <v>36</v>
      </c>
      <c r="I4443" t="s">
        <v>31</v>
      </c>
      <c r="J4443" t="s">
        <v>27</v>
      </c>
      <c r="K4443" t="s">
        <v>28</v>
      </c>
      <c r="L4443" s="2">
        <v>23.5</v>
      </c>
      <c r="M4443" s="3">
        <v>370</v>
      </c>
      <c r="N4443">
        <v>5</v>
      </c>
      <c r="O4443">
        <v>5</v>
      </c>
      <c r="P4443">
        <v>1</v>
      </c>
      <c r="Q4443">
        <v>0</v>
      </c>
      <c r="R4443" s="4">
        <v>15.15</v>
      </c>
      <c r="S4443">
        <v>0</v>
      </c>
      <c r="T4443">
        <v>1</v>
      </c>
    </row>
    <row r="4444" spans="1:20" ht="16.5" x14ac:dyDescent="0.3">
      <c r="A4444" t="s">
        <v>4498</v>
      </c>
      <c r="B4444" s="1">
        <v>45908</v>
      </c>
      <c r="C4444">
        <v>2025</v>
      </c>
      <c r="D4444" t="s">
        <v>1261</v>
      </c>
      <c r="E4444" t="s">
        <v>1651</v>
      </c>
      <c r="F4444" t="s">
        <v>57</v>
      </c>
      <c r="G4444" t="s">
        <v>39</v>
      </c>
      <c r="H4444" t="s">
        <v>36</v>
      </c>
      <c r="I4444" t="s">
        <v>31</v>
      </c>
      <c r="J4444" t="s">
        <v>27</v>
      </c>
      <c r="K4444" t="s">
        <v>32</v>
      </c>
      <c r="L4444" s="2">
        <v>2</v>
      </c>
      <c r="M4444" s="3">
        <v>319</v>
      </c>
      <c r="N4444">
        <v>5</v>
      </c>
      <c r="O4444">
        <v>5</v>
      </c>
      <c r="P4444">
        <v>1</v>
      </c>
      <c r="Q4444">
        <v>0</v>
      </c>
      <c r="R4444" s="4">
        <v>7.59</v>
      </c>
      <c r="S4444">
        <v>0</v>
      </c>
      <c r="T4444">
        <v>1</v>
      </c>
    </row>
    <row r="4445" spans="1:20" ht="16.5" x14ac:dyDescent="0.3">
      <c r="A4445" t="s">
        <v>4499</v>
      </c>
      <c r="B4445" s="1">
        <v>45908</v>
      </c>
      <c r="C4445">
        <v>2025</v>
      </c>
      <c r="D4445" t="s">
        <v>1261</v>
      </c>
      <c r="E4445" t="s">
        <v>1651</v>
      </c>
      <c r="F4445" t="s">
        <v>34</v>
      </c>
      <c r="G4445" t="s">
        <v>35</v>
      </c>
      <c r="H4445" t="s">
        <v>36</v>
      </c>
      <c r="I4445" t="s">
        <v>26</v>
      </c>
      <c r="J4445" t="s">
        <v>27</v>
      </c>
      <c r="K4445" t="s">
        <v>32</v>
      </c>
      <c r="L4445" s="2">
        <v>2.4</v>
      </c>
      <c r="M4445" s="3">
        <v>286</v>
      </c>
      <c r="N4445">
        <v>3</v>
      </c>
      <c r="O4445">
        <v>3</v>
      </c>
      <c r="P4445">
        <v>1</v>
      </c>
      <c r="Q4445">
        <v>0</v>
      </c>
      <c r="R4445" s="4">
        <v>8.91</v>
      </c>
      <c r="S4445">
        <v>0</v>
      </c>
      <c r="T4445">
        <v>1</v>
      </c>
    </row>
    <row r="4446" spans="1:20" ht="16.5" x14ac:dyDescent="0.3">
      <c r="A4446" t="s">
        <v>4500</v>
      </c>
      <c r="B4446" s="1">
        <v>45908</v>
      </c>
      <c r="C4446">
        <v>2025</v>
      </c>
      <c r="D4446" t="s">
        <v>1261</v>
      </c>
      <c r="E4446" t="s">
        <v>1651</v>
      </c>
      <c r="F4446" t="s">
        <v>57</v>
      </c>
      <c r="G4446" t="s">
        <v>24</v>
      </c>
      <c r="H4446" t="s">
        <v>43</v>
      </c>
      <c r="I4446" t="s">
        <v>26</v>
      </c>
      <c r="J4446" t="s">
        <v>27</v>
      </c>
      <c r="K4446" t="s">
        <v>28</v>
      </c>
      <c r="L4446" s="2">
        <v>114.9</v>
      </c>
      <c r="M4446" s="3">
        <v>947</v>
      </c>
      <c r="N4446">
        <v>5</v>
      </c>
      <c r="O4446">
        <v>4</v>
      </c>
      <c r="P4446">
        <v>1</v>
      </c>
      <c r="Q4446">
        <v>0</v>
      </c>
      <c r="R4446" s="4">
        <v>71.92</v>
      </c>
      <c r="S4446">
        <v>0</v>
      </c>
      <c r="T4446">
        <v>1</v>
      </c>
    </row>
    <row r="4447" spans="1:20" ht="16.5" x14ac:dyDescent="0.3">
      <c r="A4447" t="s">
        <v>4501</v>
      </c>
      <c r="B4447" s="1">
        <v>45908</v>
      </c>
      <c r="C4447">
        <v>2025</v>
      </c>
      <c r="D4447" t="s">
        <v>1261</v>
      </c>
      <c r="E4447" t="s">
        <v>1651</v>
      </c>
      <c r="F4447" t="s">
        <v>34</v>
      </c>
      <c r="G4447" t="s">
        <v>35</v>
      </c>
      <c r="H4447" t="s">
        <v>25</v>
      </c>
      <c r="I4447" t="s">
        <v>26</v>
      </c>
      <c r="J4447" t="s">
        <v>27</v>
      </c>
      <c r="K4447" t="s">
        <v>28</v>
      </c>
      <c r="L4447" s="2">
        <v>42.6</v>
      </c>
      <c r="M4447" s="3">
        <v>1073</v>
      </c>
      <c r="N4447">
        <v>4</v>
      </c>
      <c r="O4447">
        <v>6</v>
      </c>
      <c r="P4447">
        <v>0</v>
      </c>
      <c r="Q4447">
        <v>2</v>
      </c>
      <c r="R4447" s="4">
        <v>32.090000000000003</v>
      </c>
      <c r="S4447">
        <v>0</v>
      </c>
      <c r="T4447">
        <v>1</v>
      </c>
    </row>
    <row r="4448" spans="1:20" ht="16.5" x14ac:dyDescent="0.3">
      <c r="A4448" t="s">
        <v>4502</v>
      </c>
      <c r="B4448" s="1">
        <v>45908</v>
      </c>
      <c r="C4448">
        <v>2025</v>
      </c>
      <c r="D4448" t="s">
        <v>1261</v>
      </c>
      <c r="E4448" t="s">
        <v>1651</v>
      </c>
      <c r="F4448" t="s">
        <v>34</v>
      </c>
      <c r="G4448" t="s">
        <v>35</v>
      </c>
      <c r="H4448" t="s">
        <v>48</v>
      </c>
      <c r="I4448" t="s">
        <v>31</v>
      </c>
      <c r="J4448" t="s">
        <v>27</v>
      </c>
      <c r="K4448" t="s">
        <v>32</v>
      </c>
      <c r="L4448" s="2">
        <v>2</v>
      </c>
      <c r="M4448" s="3">
        <v>586</v>
      </c>
      <c r="N4448">
        <v>6</v>
      </c>
      <c r="O4448">
        <v>5</v>
      </c>
      <c r="P4448">
        <v>1</v>
      </c>
      <c r="Q4448">
        <v>0</v>
      </c>
      <c r="R4448" s="4">
        <v>9.2899999999999991</v>
      </c>
      <c r="S4448">
        <v>0</v>
      </c>
      <c r="T4448">
        <v>1</v>
      </c>
    </row>
    <row r="4449" spans="1:20" ht="16.5" x14ac:dyDescent="0.3">
      <c r="A4449" t="s">
        <v>4503</v>
      </c>
      <c r="B4449" s="1">
        <v>45908</v>
      </c>
      <c r="C4449">
        <v>2025</v>
      </c>
      <c r="D4449" t="s">
        <v>1261</v>
      </c>
      <c r="E4449" t="s">
        <v>1651</v>
      </c>
      <c r="F4449" t="s">
        <v>57</v>
      </c>
      <c r="G4449" t="s">
        <v>39</v>
      </c>
      <c r="H4449" t="s">
        <v>48</v>
      </c>
      <c r="I4449" t="s">
        <v>26</v>
      </c>
      <c r="J4449" t="s">
        <v>27</v>
      </c>
      <c r="K4449" t="s">
        <v>28</v>
      </c>
      <c r="L4449" s="2">
        <v>56.1</v>
      </c>
      <c r="M4449" s="3">
        <v>544</v>
      </c>
      <c r="N4449">
        <v>4</v>
      </c>
      <c r="O4449">
        <v>4</v>
      </c>
      <c r="P4449">
        <v>1</v>
      </c>
      <c r="Q4449">
        <v>0</v>
      </c>
      <c r="R4449" s="4">
        <v>40.75</v>
      </c>
      <c r="S4449">
        <v>0</v>
      </c>
      <c r="T4449">
        <v>1</v>
      </c>
    </row>
    <row r="4450" spans="1:20" ht="16.5" x14ac:dyDescent="0.3">
      <c r="A4450" t="s">
        <v>4504</v>
      </c>
      <c r="B4450" s="1">
        <v>45908</v>
      </c>
      <c r="C4450">
        <v>2025</v>
      </c>
      <c r="D4450" t="s">
        <v>1261</v>
      </c>
      <c r="E4450" t="s">
        <v>1651</v>
      </c>
      <c r="F4450" t="s">
        <v>38</v>
      </c>
      <c r="G4450" t="s">
        <v>35</v>
      </c>
      <c r="H4450" t="s">
        <v>36</v>
      </c>
      <c r="I4450" t="s">
        <v>26</v>
      </c>
      <c r="J4450" t="s">
        <v>27</v>
      </c>
      <c r="K4450" t="s">
        <v>32</v>
      </c>
      <c r="L4450" s="2">
        <v>4.9000000000000004</v>
      </c>
      <c r="M4450" s="3">
        <v>233</v>
      </c>
      <c r="N4450">
        <v>3</v>
      </c>
      <c r="O4450">
        <v>3</v>
      </c>
      <c r="P4450">
        <v>1</v>
      </c>
      <c r="Q4450">
        <v>0</v>
      </c>
      <c r="R4450" s="4">
        <v>14.62</v>
      </c>
      <c r="S4450">
        <v>0</v>
      </c>
      <c r="T4450">
        <v>1</v>
      </c>
    </row>
    <row r="4451" spans="1:20" ht="16.5" x14ac:dyDescent="0.3">
      <c r="A4451" t="s">
        <v>4505</v>
      </c>
      <c r="B4451" s="1">
        <v>45909</v>
      </c>
      <c r="C4451">
        <v>2025</v>
      </c>
      <c r="D4451" t="s">
        <v>1261</v>
      </c>
      <c r="E4451" t="s">
        <v>1651</v>
      </c>
      <c r="F4451" t="s">
        <v>38</v>
      </c>
      <c r="G4451" t="s">
        <v>39</v>
      </c>
      <c r="H4451" t="s">
        <v>25</v>
      </c>
      <c r="I4451" t="s">
        <v>31</v>
      </c>
      <c r="J4451" t="s">
        <v>27</v>
      </c>
      <c r="K4451" t="s">
        <v>28</v>
      </c>
      <c r="L4451" s="2">
        <v>115.1</v>
      </c>
      <c r="M4451" s="3">
        <v>845</v>
      </c>
      <c r="N4451">
        <v>6</v>
      </c>
      <c r="O4451">
        <v>5</v>
      </c>
      <c r="P4451">
        <v>1</v>
      </c>
      <c r="Q4451">
        <v>0</v>
      </c>
      <c r="R4451" s="4">
        <v>51.48</v>
      </c>
      <c r="S4451">
        <v>0</v>
      </c>
      <c r="T4451">
        <v>1</v>
      </c>
    </row>
    <row r="4452" spans="1:20" ht="16.5" x14ac:dyDescent="0.3">
      <c r="A4452" t="s">
        <v>4506</v>
      </c>
      <c r="B4452" s="1">
        <v>45909</v>
      </c>
      <c r="C4452">
        <v>2025</v>
      </c>
      <c r="D4452" t="s">
        <v>1261</v>
      </c>
      <c r="E4452" t="s">
        <v>1651</v>
      </c>
      <c r="F4452" t="s">
        <v>57</v>
      </c>
      <c r="G4452" t="s">
        <v>24</v>
      </c>
      <c r="H4452" t="s">
        <v>36</v>
      </c>
      <c r="I4452" t="s">
        <v>40</v>
      </c>
      <c r="J4452" t="s">
        <v>27</v>
      </c>
      <c r="K4452" t="s">
        <v>28</v>
      </c>
      <c r="L4452" s="2">
        <v>92</v>
      </c>
      <c r="M4452" s="3">
        <v>258</v>
      </c>
      <c r="N4452">
        <v>1</v>
      </c>
      <c r="O4452">
        <v>1</v>
      </c>
      <c r="P4452">
        <v>1</v>
      </c>
      <c r="Q4452">
        <v>0</v>
      </c>
      <c r="R4452" s="4">
        <v>93.96</v>
      </c>
      <c r="S4452">
        <v>0</v>
      </c>
      <c r="T4452">
        <v>1</v>
      </c>
    </row>
    <row r="4453" spans="1:20" ht="16.5" x14ac:dyDescent="0.3">
      <c r="A4453" t="s">
        <v>4507</v>
      </c>
      <c r="B4453" s="1">
        <v>45909</v>
      </c>
      <c r="C4453">
        <v>2025</v>
      </c>
      <c r="D4453" t="s">
        <v>1261</v>
      </c>
      <c r="E4453" t="s">
        <v>1651</v>
      </c>
      <c r="F4453" t="s">
        <v>34</v>
      </c>
      <c r="G4453" t="s">
        <v>35</v>
      </c>
      <c r="H4453" t="s">
        <v>43</v>
      </c>
      <c r="I4453" t="s">
        <v>31</v>
      </c>
      <c r="J4453" t="s">
        <v>27</v>
      </c>
      <c r="K4453" t="s">
        <v>32</v>
      </c>
      <c r="L4453" s="2">
        <v>2.4</v>
      </c>
      <c r="M4453" s="3">
        <v>1301</v>
      </c>
      <c r="N4453">
        <v>7</v>
      </c>
      <c r="O4453">
        <v>7</v>
      </c>
      <c r="P4453">
        <v>1</v>
      </c>
      <c r="Q4453">
        <v>0</v>
      </c>
      <c r="R4453" s="4">
        <v>14.14</v>
      </c>
      <c r="S4453">
        <v>0</v>
      </c>
      <c r="T4453">
        <v>1</v>
      </c>
    </row>
    <row r="4454" spans="1:20" ht="16.5" x14ac:dyDescent="0.3">
      <c r="A4454" t="s">
        <v>4508</v>
      </c>
      <c r="B4454" s="1">
        <v>45909</v>
      </c>
      <c r="C4454">
        <v>2025</v>
      </c>
      <c r="D4454" t="s">
        <v>1261</v>
      </c>
      <c r="E4454" t="s">
        <v>1651</v>
      </c>
      <c r="F4454" t="s">
        <v>34</v>
      </c>
      <c r="G4454" t="s">
        <v>35</v>
      </c>
      <c r="H4454" t="s">
        <v>51</v>
      </c>
      <c r="I4454" t="s">
        <v>26</v>
      </c>
      <c r="J4454" t="s">
        <v>27</v>
      </c>
      <c r="K4454" t="s">
        <v>32</v>
      </c>
      <c r="L4454" s="2">
        <v>5.4</v>
      </c>
      <c r="M4454" s="3">
        <v>1037</v>
      </c>
      <c r="N4454">
        <v>5</v>
      </c>
      <c r="O4454">
        <v>5</v>
      </c>
      <c r="P4454">
        <v>1</v>
      </c>
      <c r="Q4454">
        <v>0</v>
      </c>
      <c r="R4454" s="4">
        <v>19.96</v>
      </c>
      <c r="S4454">
        <v>0</v>
      </c>
      <c r="T4454">
        <v>1</v>
      </c>
    </row>
    <row r="4455" spans="1:20" ht="16.5" x14ac:dyDescent="0.3">
      <c r="A4455" t="s">
        <v>4509</v>
      </c>
      <c r="B4455" s="1">
        <v>45909</v>
      </c>
      <c r="C4455">
        <v>2025</v>
      </c>
      <c r="D4455" t="s">
        <v>1261</v>
      </c>
      <c r="E4455" t="s">
        <v>1651</v>
      </c>
      <c r="F4455" t="s">
        <v>30</v>
      </c>
      <c r="G4455" t="s">
        <v>35</v>
      </c>
      <c r="H4455" t="s">
        <v>25</v>
      </c>
      <c r="I4455" t="s">
        <v>40</v>
      </c>
      <c r="J4455" t="s">
        <v>41</v>
      </c>
      <c r="K4455" t="s">
        <v>32</v>
      </c>
      <c r="L4455" s="2">
        <v>8.6999999999999993</v>
      </c>
      <c r="M4455" s="3">
        <v>854</v>
      </c>
      <c r="N4455">
        <v>2</v>
      </c>
      <c r="O4455">
        <v>2</v>
      </c>
      <c r="P4455">
        <v>1</v>
      </c>
      <c r="Q4455">
        <v>0</v>
      </c>
      <c r="R4455" s="4">
        <v>76.349999999999994</v>
      </c>
      <c r="S4455">
        <v>0</v>
      </c>
      <c r="T4455">
        <v>1</v>
      </c>
    </row>
    <row r="4456" spans="1:20" ht="16.5" x14ac:dyDescent="0.3">
      <c r="A4456" t="s">
        <v>4510</v>
      </c>
      <c r="B4456" s="1">
        <v>45909</v>
      </c>
      <c r="C4456">
        <v>2025</v>
      </c>
      <c r="D4456" t="s">
        <v>1261</v>
      </c>
      <c r="E4456" t="s">
        <v>1651</v>
      </c>
      <c r="F4456" t="s">
        <v>34</v>
      </c>
      <c r="G4456" t="s">
        <v>35</v>
      </c>
      <c r="H4456" t="s">
        <v>36</v>
      </c>
      <c r="I4456" t="s">
        <v>31</v>
      </c>
      <c r="J4456" t="s">
        <v>27</v>
      </c>
      <c r="K4456" t="s">
        <v>32</v>
      </c>
      <c r="L4456" s="2">
        <v>21</v>
      </c>
      <c r="M4456" s="3">
        <v>254</v>
      </c>
      <c r="N4456">
        <v>5</v>
      </c>
      <c r="O4456">
        <v>5</v>
      </c>
      <c r="P4456">
        <v>1</v>
      </c>
      <c r="Q4456">
        <v>0</v>
      </c>
      <c r="R4456" s="4">
        <v>13.48</v>
      </c>
      <c r="S4456">
        <v>0</v>
      </c>
      <c r="T4456">
        <v>1</v>
      </c>
    </row>
    <row r="4457" spans="1:20" ht="16.5" x14ac:dyDescent="0.3">
      <c r="A4457" t="s">
        <v>4511</v>
      </c>
      <c r="B4457" s="1">
        <v>45909</v>
      </c>
      <c r="C4457">
        <v>2025</v>
      </c>
      <c r="D4457" t="s">
        <v>1261</v>
      </c>
      <c r="E4457" t="s">
        <v>1651</v>
      </c>
      <c r="F4457" t="s">
        <v>34</v>
      </c>
      <c r="G4457" t="s">
        <v>39</v>
      </c>
      <c r="H4457" t="s">
        <v>51</v>
      </c>
      <c r="I4457" t="s">
        <v>31</v>
      </c>
      <c r="J4457" t="s">
        <v>27</v>
      </c>
      <c r="K4457" t="s">
        <v>32</v>
      </c>
      <c r="L4457" s="2">
        <v>6.8</v>
      </c>
      <c r="M4457" s="3">
        <v>944</v>
      </c>
      <c r="N4457">
        <v>7</v>
      </c>
      <c r="O4457">
        <v>7</v>
      </c>
      <c r="P4457">
        <v>1</v>
      </c>
      <c r="Q4457">
        <v>0</v>
      </c>
      <c r="R4457" s="4">
        <v>12.46</v>
      </c>
      <c r="S4457">
        <v>0</v>
      </c>
      <c r="T4457">
        <v>1</v>
      </c>
    </row>
    <row r="4458" spans="1:20" ht="16.5" x14ac:dyDescent="0.3">
      <c r="A4458" t="s">
        <v>4512</v>
      </c>
      <c r="B4458" s="1">
        <v>45909</v>
      </c>
      <c r="C4458">
        <v>2025</v>
      </c>
      <c r="D4458" t="s">
        <v>1261</v>
      </c>
      <c r="E4458" t="s">
        <v>1651</v>
      </c>
      <c r="F4458" t="s">
        <v>38</v>
      </c>
      <c r="G4458" t="s">
        <v>39</v>
      </c>
      <c r="H4458" t="s">
        <v>25</v>
      </c>
      <c r="I4458" t="s">
        <v>40</v>
      </c>
      <c r="J4458" t="s">
        <v>41</v>
      </c>
      <c r="K4458" t="s">
        <v>32</v>
      </c>
      <c r="L4458" s="2">
        <v>4.7</v>
      </c>
      <c r="M4458" s="3">
        <v>939</v>
      </c>
      <c r="N4458">
        <v>2</v>
      </c>
      <c r="O4458">
        <v>2</v>
      </c>
      <c r="P4458">
        <v>1</v>
      </c>
      <c r="Q4458">
        <v>0</v>
      </c>
      <c r="R4458" s="4">
        <v>60.08</v>
      </c>
      <c r="S4458">
        <v>0</v>
      </c>
      <c r="T4458">
        <v>1</v>
      </c>
    </row>
    <row r="4459" spans="1:20" ht="16.5" x14ac:dyDescent="0.3">
      <c r="A4459" t="s">
        <v>4513</v>
      </c>
      <c r="B4459" s="1">
        <v>45909</v>
      </c>
      <c r="C4459">
        <v>2025</v>
      </c>
      <c r="D4459" t="s">
        <v>1261</v>
      </c>
      <c r="E4459" t="s">
        <v>1651</v>
      </c>
      <c r="F4459" t="s">
        <v>23</v>
      </c>
      <c r="G4459" t="s">
        <v>39</v>
      </c>
      <c r="H4459" t="s">
        <v>36</v>
      </c>
      <c r="I4459" t="s">
        <v>31</v>
      </c>
      <c r="J4459" t="s">
        <v>27</v>
      </c>
      <c r="K4459" t="s">
        <v>28</v>
      </c>
      <c r="L4459" s="2">
        <v>94.2</v>
      </c>
      <c r="M4459" s="3">
        <v>201</v>
      </c>
      <c r="N4459">
        <v>5</v>
      </c>
      <c r="O4459">
        <v>5</v>
      </c>
      <c r="P4459">
        <v>1</v>
      </c>
      <c r="Q4459">
        <v>0</v>
      </c>
      <c r="R4459" s="4">
        <v>39.78</v>
      </c>
      <c r="S4459">
        <v>0</v>
      </c>
      <c r="T4459">
        <v>1</v>
      </c>
    </row>
    <row r="4460" spans="1:20" ht="16.5" x14ac:dyDescent="0.3">
      <c r="A4460" t="s">
        <v>4514</v>
      </c>
      <c r="B4460" s="1">
        <v>45910</v>
      </c>
      <c r="C4460">
        <v>2025</v>
      </c>
      <c r="D4460" t="s">
        <v>1261</v>
      </c>
      <c r="E4460" t="s">
        <v>1651</v>
      </c>
      <c r="F4460" t="s">
        <v>57</v>
      </c>
      <c r="G4460" t="s">
        <v>39</v>
      </c>
      <c r="H4460" t="s">
        <v>25</v>
      </c>
      <c r="I4460" t="s">
        <v>40</v>
      </c>
      <c r="J4460" t="s">
        <v>41</v>
      </c>
      <c r="K4460" t="s">
        <v>32</v>
      </c>
      <c r="L4460" s="2">
        <v>7.8</v>
      </c>
      <c r="M4460" s="3">
        <v>942</v>
      </c>
      <c r="N4460">
        <v>2</v>
      </c>
      <c r="O4460">
        <v>2</v>
      </c>
      <c r="P4460">
        <v>1</v>
      </c>
      <c r="Q4460">
        <v>0</v>
      </c>
      <c r="R4460" s="4">
        <v>57.41</v>
      </c>
      <c r="S4460">
        <v>0</v>
      </c>
      <c r="T4460">
        <v>1</v>
      </c>
    </row>
    <row r="4461" spans="1:20" ht="16.5" x14ac:dyDescent="0.3">
      <c r="A4461" t="s">
        <v>4515</v>
      </c>
      <c r="B4461" s="1">
        <v>45910</v>
      </c>
      <c r="C4461">
        <v>2025</v>
      </c>
      <c r="D4461" t="s">
        <v>1261</v>
      </c>
      <c r="E4461" t="s">
        <v>1651</v>
      </c>
      <c r="F4461" t="s">
        <v>23</v>
      </c>
      <c r="G4461" t="s">
        <v>35</v>
      </c>
      <c r="H4461" t="s">
        <v>36</v>
      </c>
      <c r="I4461" t="s">
        <v>31</v>
      </c>
      <c r="J4461" t="s">
        <v>27</v>
      </c>
      <c r="K4461" t="s">
        <v>28</v>
      </c>
      <c r="L4461" s="2">
        <v>73.5</v>
      </c>
      <c r="M4461" s="3">
        <v>252</v>
      </c>
      <c r="N4461">
        <v>5</v>
      </c>
      <c r="O4461">
        <v>5</v>
      </c>
      <c r="P4461">
        <v>1</v>
      </c>
      <c r="Q4461">
        <v>0</v>
      </c>
      <c r="R4461" s="4">
        <v>29.78</v>
      </c>
      <c r="S4461">
        <v>0</v>
      </c>
      <c r="T4461">
        <v>1</v>
      </c>
    </row>
    <row r="4462" spans="1:20" ht="16.5" x14ac:dyDescent="0.3">
      <c r="A4462" t="s">
        <v>4516</v>
      </c>
      <c r="B4462" s="1">
        <v>45910</v>
      </c>
      <c r="C4462">
        <v>2025</v>
      </c>
      <c r="D4462" t="s">
        <v>1261</v>
      </c>
      <c r="E4462" t="s">
        <v>1651</v>
      </c>
      <c r="F4462" t="s">
        <v>30</v>
      </c>
      <c r="G4462" t="s">
        <v>35</v>
      </c>
      <c r="H4462" t="s">
        <v>48</v>
      </c>
      <c r="I4462" t="s">
        <v>26</v>
      </c>
      <c r="J4462" t="s">
        <v>27</v>
      </c>
      <c r="K4462" t="s">
        <v>32</v>
      </c>
      <c r="L4462" s="2">
        <v>6.6</v>
      </c>
      <c r="M4462" s="3">
        <v>385</v>
      </c>
      <c r="N4462">
        <v>4</v>
      </c>
      <c r="O4462">
        <v>3</v>
      </c>
      <c r="P4462">
        <v>1</v>
      </c>
      <c r="Q4462">
        <v>0</v>
      </c>
      <c r="R4462" s="4">
        <v>15.99</v>
      </c>
      <c r="S4462">
        <v>0</v>
      </c>
      <c r="T4462">
        <v>1</v>
      </c>
    </row>
    <row r="4463" spans="1:20" ht="16.5" x14ac:dyDescent="0.3">
      <c r="A4463" t="s">
        <v>4517</v>
      </c>
      <c r="B4463" s="1">
        <v>45910</v>
      </c>
      <c r="C4463">
        <v>2025</v>
      </c>
      <c r="D4463" t="s">
        <v>1261</v>
      </c>
      <c r="E4463" t="s">
        <v>1651</v>
      </c>
      <c r="F4463" t="s">
        <v>34</v>
      </c>
      <c r="G4463" t="s">
        <v>39</v>
      </c>
      <c r="H4463" t="s">
        <v>25</v>
      </c>
      <c r="I4463" t="s">
        <v>26</v>
      </c>
      <c r="J4463" t="s">
        <v>27</v>
      </c>
      <c r="K4463" t="s">
        <v>32</v>
      </c>
      <c r="L4463" s="2">
        <v>4</v>
      </c>
      <c r="M4463" s="3">
        <v>826</v>
      </c>
      <c r="N4463">
        <v>4</v>
      </c>
      <c r="O4463">
        <v>4</v>
      </c>
      <c r="P4463">
        <v>1</v>
      </c>
      <c r="Q4463">
        <v>0</v>
      </c>
      <c r="R4463" s="4">
        <v>15.8</v>
      </c>
      <c r="S4463">
        <v>0</v>
      </c>
      <c r="T4463">
        <v>1</v>
      </c>
    </row>
    <row r="4464" spans="1:20" ht="16.5" x14ac:dyDescent="0.3">
      <c r="A4464" t="s">
        <v>4518</v>
      </c>
      <c r="B4464" s="1">
        <v>45910</v>
      </c>
      <c r="C4464">
        <v>2025</v>
      </c>
      <c r="D4464" t="s">
        <v>1261</v>
      </c>
      <c r="E4464" t="s">
        <v>1651</v>
      </c>
      <c r="F4464" t="s">
        <v>23</v>
      </c>
      <c r="G4464" t="s">
        <v>39</v>
      </c>
      <c r="H4464" t="s">
        <v>36</v>
      </c>
      <c r="I4464" t="s">
        <v>26</v>
      </c>
      <c r="J4464" t="s">
        <v>27</v>
      </c>
      <c r="K4464" t="s">
        <v>28</v>
      </c>
      <c r="L4464" s="2">
        <v>175.3</v>
      </c>
      <c r="M4464" s="3">
        <v>244</v>
      </c>
      <c r="N4464">
        <v>3</v>
      </c>
      <c r="O4464">
        <v>3</v>
      </c>
      <c r="P4464">
        <v>1</v>
      </c>
      <c r="Q4464">
        <v>0</v>
      </c>
      <c r="R4464" s="4">
        <v>84.13</v>
      </c>
      <c r="S4464">
        <v>0</v>
      </c>
      <c r="T4464">
        <v>1</v>
      </c>
    </row>
    <row r="4465" spans="1:20" ht="16.5" x14ac:dyDescent="0.3">
      <c r="A4465" t="s">
        <v>4519</v>
      </c>
      <c r="B4465" s="1">
        <v>45910</v>
      </c>
      <c r="C4465">
        <v>2025</v>
      </c>
      <c r="D4465" t="s">
        <v>1261</v>
      </c>
      <c r="E4465" t="s">
        <v>1651</v>
      </c>
      <c r="F4465" t="s">
        <v>38</v>
      </c>
      <c r="G4465" t="s">
        <v>39</v>
      </c>
      <c r="H4465" t="s">
        <v>43</v>
      </c>
      <c r="I4465" t="s">
        <v>31</v>
      </c>
      <c r="J4465" t="s">
        <v>27</v>
      </c>
      <c r="K4465" t="s">
        <v>32</v>
      </c>
      <c r="L4465" s="2">
        <v>7.4</v>
      </c>
      <c r="M4465" s="3">
        <v>1239</v>
      </c>
      <c r="N4465">
        <v>7</v>
      </c>
      <c r="O4465">
        <v>7</v>
      </c>
      <c r="P4465">
        <v>1</v>
      </c>
      <c r="Q4465">
        <v>0</v>
      </c>
      <c r="R4465" s="4">
        <v>19.28</v>
      </c>
      <c r="S4465">
        <v>0</v>
      </c>
      <c r="T4465">
        <v>1</v>
      </c>
    </row>
    <row r="4466" spans="1:20" ht="16.5" x14ac:dyDescent="0.3">
      <c r="A4466" t="s">
        <v>4520</v>
      </c>
      <c r="B4466" s="1">
        <v>45910</v>
      </c>
      <c r="C4466">
        <v>2025</v>
      </c>
      <c r="D4466" t="s">
        <v>1261</v>
      </c>
      <c r="E4466" t="s">
        <v>1651</v>
      </c>
      <c r="F4466" t="s">
        <v>57</v>
      </c>
      <c r="G4466" t="s">
        <v>24</v>
      </c>
      <c r="H4466" t="s">
        <v>43</v>
      </c>
      <c r="I4466" t="s">
        <v>26</v>
      </c>
      <c r="J4466" t="s">
        <v>27</v>
      </c>
      <c r="K4466" t="s">
        <v>28</v>
      </c>
      <c r="L4466" s="2">
        <v>154.19999999999999</v>
      </c>
      <c r="M4466" s="3">
        <v>1261</v>
      </c>
      <c r="N4466">
        <v>5</v>
      </c>
      <c r="O4466">
        <v>4</v>
      </c>
      <c r="P4466">
        <v>1</v>
      </c>
      <c r="Q4466">
        <v>0</v>
      </c>
      <c r="R4466" s="4">
        <v>88.06</v>
      </c>
      <c r="S4466">
        <v>0</v>
      </c>
      <c r="T4466">
        <v>1</v>
      </c>
    </row>
    <row r="4467" spans="1:20" ht="16.5" x14ac:dyDescent="0.3">
      <c r="A4467" t="s">
        <v>4521</v>
      </c>
      <c r="B4467" s="1">
        <v>45910</v>
      </c>
      <c r="C4467">
        <v>2025</v>
      </c>
      <c r="D4467" t="s">
        <v>1261</v>
      </c>
      <c r="E4467" t="s">
        <v>1651</v>
      </c>
      <c r="F4467" t="s">
        <v>57</v>
      </c>
      <c r="G4467" t="s">
        <v>35</v>
      </c>
      <c r="H4467" t="s">
        <v>25</v>
      </c>
      <c r="I4467" t="s">
        <v>26</v>
      </c>
      <c r="J4467" t="s">
        <v>27</v>
      </c>
      <c r="K4467" t="s">
        <v>28</v>
      </c>
      <c r="L4467" s="2">
        <v>275.8</v>
      </c>
      <c r="M4467" s="3">
        <v>1220</v>
      </c>
      <c r="N4467">
        <v>4</v>
      </c>
      <c r="O4467">
        <v>4</v>
      </c>
      <c r="P4467">
        <v>1</v>
      </c>
      <c r="Q4467">
        <v>0</v>
      </c>
      <c r="R4467" s="4">
        <v>145</v>
      </c>
      <c r="S4467">
        <v>0</v>
      </c>
      <c r="T4467">
        <v>1</v>
      </c>
    </row>
    <row r="4468" spans="1:20" ht="16.5" x14ac:dyDescent="0.3">
      <c r="A4468" t="s">
        <v>4522</v>
      </c>
      <c r="B4468" s="1">
        <v>45910</v>
      </c>
      <c r="C4468">
        <v>2025</v>
      </c>
      <c r="D4468" t="s">
        <v>1261</v>
      </c>
      <c r="E4468" t="s">
        <v>1651</v>
      </c>
      <c r="F4468" t="s">
        <v>34</v>
      </c>
      <c r="G4468" t="s">
        <v>35</v>
      </c>
      <c r="H4468" t="s">
        <v>36</v>
      </c>
      <c r="I4468" t="s">
        <v>40</v>
      </c>
      <c r="J4468" t="s">
        <v>27</v>
      </c>
      <c r="K4468" t="s">
        <v>32</v>
      </c>
      <c r="L4468" s="2">
        <v>5.2</v>
      </c>
      <c r="M4468" s="3">
        <v>329</v>
      </c>
      <c r="N4468">
        <v>1</v>
      </c>
      <c r="O4468">
        <v>1</v>
      </c>
      <c r="P4468">
        <v>1</v>
      </c>
      <c r="Q4468">
        <v>0</v>
      </c>
      <c r="R4468" s="4">
        <v>21.17</v>
      </c>
      <c r="S4468">
        <v>0</v>
      </c>
      <c r="T4468">
        <v>1</v>
      </c>
    </row>
    <row r="4469" spans="1:20" ht="16.5" x14ac:dyDescent="0.3">
      <c r="A4469" t="s">
        <v>4523</v>
      </c>
      <c r="B4469" s="1">
        <v>45910</v>
      </c>
      <c r="C4469">
        <v>2025</v>
      </c>
      <c r="D4469" t="s">
        <v>1261</v>
      </c>
      <c r="E4469" t="s">
        <v>1651</v>
      </c>
      <c r="F4469" t="s">
        <v>30</v>
      </c>
      <c r="G4469" t="s">
        <v>35</v>
      </c>
      <c r="H4469" t="s">
        <v>36</v>
      </c>
      <c r="I4469" t="s">
        <v>40</v>
      </c>
      <c r="J4469" t="s">
        <v>27</v>
      </c>
      <c r="K4469" t="s">
        <v>32</v>
      </c>
      <c r="L4469" s="2">
        <v>1.7</v>
      </c>
      <c r="M4469" s="3">
        <v>192</v>
      </c>
      <c r="N4469">
        <v>1</v>
      </c>
      <c r="O4469">
        <v>1</v>
      </c>
      <c r="P4469">
        <v>1</v>
      </c>
      <c r="Q4469">
        <v>0</v>
      </c>
      <c r="R4469" s="4">
        <v>19.579999999999998</v>
      </c>
      <c r="S4469">
        <v>0</v>
      </c>
      <c r="T4469">
        <v>1</v>
      </c>
    </row>
    <row r="4470" spans="1:20" ht="16.5" x14ac:dyDescent="0.3">
      <c r="A4470" t="s">
        <v>4524</v>
      </c>
      <c r="B4470" s="1">
        <v>45910</v>
      </c>
      <c r="C4470">
        <v>2025</v>
      </c>
      <c r="D4470" t="s">
        <v>1261</v>
      </c>
      <c r="E4470" t="s">
        <v>1651</v>
      </c>
      <c r="F4470" t="s">
        <v>30</v>
      </c>
      <c r="G4470" t="s">
        <v>24</v>
      </c>
      <c r="H4470" t="s">
        <v>48</v>
      </c>
      <c r="I4470" t="s">
        <v>40</v>
      </c>
      <c r="J4470" t="s">
        <v>27</v>
      </c>
      <c r="K4470" t="s">
        <v>28</v>
      </c>
      <c r="L4470" s="2">
        <v>237.5</v>
      </c>
      <c r="M4470" s="3">
        <v>636</v>
      </c>
      <c r="N4470">
        <v>2</v>
      </c>
      <c r="O4470">
        <v>1</v>
      </c>
      <c r="P4470">
        <v>1</v>
      </c>
      <c r="Q4470">
        <v>0</v>
      </c>
      <c r="R4470" s="4">
        <v>213.03</v>
      </c>
      <c r="S4470">
        <v>0</v>
      </c>
      <c r="T4470">
        <v>1</v>
      </c>
    </row>
    <row r="4471" spans="1:20" ht="16.5" x14ac:dyDescent="0.3">
      <c r="A4471" t="s">
        <v>4525</v>
      </c>
      <c r="B4471" s="1">
        <v>45910</v>
      </c>
      <c r="C4471">
        <v>2025</v>
      </c>
      <c r="D4471" t="s">
        <v>1261</v>
      </c>
      <c r="E4471" t="s">
        <v>1651</v>
      </c>
      <c r="F4471" t="s">
        <v>30</v>
      </c>
      <c r="G4471" t="s">
        <v>39</v>
      </c>
      <c r="H4471" t="s">
        <v>25</v>
      </c>
      <c r="I4471" t="s">
        <v>31</v>
      </c>
      <c r="J4471" t="s">
        <v>27</v>
      </c>
      <c r="K4471" t="s">
        <v>32</v>
      </c>
      <c r="L4471" s="2">
        <v>5.3</v>
      </c>
      <c r="M4471" s="3">
        <v>845</v>
      </c>
      <c r="N4471">
        <v>6</v>
      </c>
      <c r="O4471">
        <v>6</v>
      </c>
      <c r="P4471">
        <v>1</v>
      </c>
      <c r="Q4471">
        <v>0</v>
      </c>
      <c r="R4471" s="4">
        <v>15.29</v>
      </c>
      <c r="S4471">
        <v>0</v>
      </c>
      <c r="T4471">
        <v>1</v>
      </c>
    </row>
    <row r="4472" spans="1:20" ht="16.5" x14ac:dyDescent="0.3">
      <c r="A4472" t="s">
        <v>4526</v>
      </c>
      <c r="B4472" s="1">
        <v>45911</v>
      </c>
      <c r="C4472">
        <v>2025</v>
      </c>
      <c r="D4472" t="s">
        <v>1261</v>
      </c>
      <c r="E4472" t="s">
        <v>1651</v>
      </c>
      <c r="F4472" t="s">
        <v>57</v>
      </c>
      <c r="G4472" t="s">
        <v>39</v>
      </c>
      <c r="H4472" t="s">
        <v>48</v>
      </c>
      <c r="I4472" t="s">
        <v>26</v>
      </c>
      <c r="J4472" t="s">
        <v>27</v>
      </c>
      <c r="K4472" t="s">
        <v>28</v>
      </c>
      <c r="L4472" s="2">
        <v>97.9</v>
      </c>
      <c r="M4472" s="3">
        <v>439</v>
      </c>
      <c r="N4472">
        <v>4</v>
      </c>
      <c r="O4472">
        <v>4</v>
      </c>
      <c r="P4472">
        <v>1</v>
      </c>
      <c r="Q4472">
        <v>0</v>
      </c>
      <c r="R4472" s="4">
        <v>57.78</v>
      </c>
      <c r="S4472">
        <v>0</v>
      </c>
      <c r="T4472">
        <v>1</v>
      </c>
    </row>
    <row r="4473" spans="1:20" ht="16.5" x14ac:dyDescent="0.3">
      <c r="A4473" t="s">
        <v>4527</v>
      </c>
      <c r="B4473" s="1">
        <v>45911</v>
      </c>
      <c r="C4473">
        <v>2025</v>
      </c>
      <c r="D4473" t="s">
        <v>1261</v>
      </c>
      <c r="E4473" t="s">
        <v>1651</v>
      </c>
      <c r="F4473" t="s">
        <v>34</v>
      </c>
      <c r="G4473" t="s">
        <v>35</v>
      </c>
      <c r="H4473" t="s">
        <v>36</v>
      </c>
      <c r="I4473" t="s">
        <v>26</v>
      </c>
      <c r="J4473" t="s">
        <v>27</v>
      </c>
      <c r="K4473" t="s">
        <v>28</v>
      </c>
      <c r="L4473" s="2">
        <v>107.1</v>
      </c>
      <c r="M4473" s="3">
        <v>321</v>
      </c>
      <c r="N4473">
        <v>3</v>
      </c>
      <c r="O4473">
        <v>4</v>
      </c>
      <c r="P4473">
        <v>0</v>
      </c>
      <c r="Q4473">
        <v>1</v>
      </c>
      <c r="R4473" s="4">
        <v>49.98</v>
      </c>
      <c r="S4473">
        <v>0</v>
      </c>
      <c r="T4473">
        <v>1</v>
      </c>
    </row>
    <row r="4474" spans="1:20" ht="16.5" x14ac:dyDescent="0.3">
      <c r="A4474" t="s">
        <v>4528</v>
      </c>
      <c r="B4474" s="1">
        <v>45911</v>
      </c>
      <c r="C4474">
        <v>2025</v>
      </c>
      <c r="D4474" t="s">
        <v>1261</v>
      </c>
      <c r="E4474" t="s">
        <v>1651</v>
      </c>
      <c r="F4474" t="s">
        <v>30</v>
      </c>
      <c r="G4474" t="s">
        <v>35</v>
      </c>
      <c r="H4474" t="s">
        <v>48</v>
      </c>
      <c r="I4474" t="s">
        <v>31</v>
      </c>
      <c r="J4474" t="s">
        <v>27</v>
      </c>
      <c r="K4474" t="s">
        <v>32</v>
      </c>
      <c r="L4474" s="2">
        <v>4.5</v>
      </c>
      <c r="M4474" s="3">
        <v>459</v>
      </c>
      <c r="N4474">
        <v>6</v>
      </c>
      <c r="O4474">
        <v>6</v>
      </c>
      <c r="P4474">
        <v>1</v>
      </c>
      <c r="Q4474">
        <v>0</v>
      </c>
      <c r="R4474" s="4">
        <v>11.78</v>
      </c>
      <c r="S4474">
        <v>0</v>
      </c>
      <c r="T4474">
        <v>1</v>
      </c>
    </row>
    <row r="4475" spans="1:20" ht="16.5" x14ac:dyDescent="0.3">
      <c r="A4475" t="s">
        <v>4529</v>
      </c>
      <c r="B4475" s="1">
        <v>45911</v>
      </c>
      <c r="C4475">
        <v>2025</v>
      </c>
      <c r="D4475" t="s">
        <v>1261</v>
      </c>
      <c r="E4475" t="s">
        <v>1651</v>
      </c>
      <c r="F4475" t="s">
        <v>38</v>
      </c>
      <c r="G4475" t="s">
        <v>24</v>
      </c>
      <c r="H4475" t="s">
        <v>25</v>
      </c>
      <c r="I4475" t="s">
        <v>26</v>
      </c>
      <c r="J4475" t="s">
        <v>27</v>
      </c>
      <c r="K4475" t="s">
        <v>32</v>
      </c>
      <c r="L4475" s="2">
        <v>15.5</v>
      </c>
      <c r="M4475" s="3">
        <v>1066</v>
      </c>
      <c r="N4475">
        <v>4</v>
      </c>
      <c r="O4475">
        <v>4</v>
      </c>
      <c r="P4475">
        <v>1</v>
      </c>
      <c r="Q4475">
        <v>0</v>
      </c>
      <c r="R4475" s="4">
        <v>31.11</v>
      </c>
      <c r="S4475">
        <v>0</v>
      </c>
      <c r="T4475">
        <v>1</v>
      </c>
    </row>
    <row r="4476" spans="1:20" ht="16.5" x14ac:dyDescent="0.3">
      <c r="A4476" t="s">
        <v>4530</v>
      </c>
      <c r="B4476" s="1">
        <v>45911</v>
      </c>
      <c r="C4476">
        <v>2025</v>
      </c>
      <c r="D4476" t="s">
        <v>1261</v>
      </c>
      <c r="E4476" t="s">
        <v>1651</v>
      </c>
      <c r="F4476" t="s">
        <v>38</v>
      </c>
      <c r="G4476" t="s">
        <v>39</v>
      </c>
      <c r="H4476" t="s">
        <v>48</v>
      </c>
      <c r="I4476" t="s">
        <v>26</v>
      </c>
      <c r="J4476" t="s">
        <v>27</v>
      </c>
      <c r="K4476" t="s">
        <v>32</v>
      </c>
      <c r="L4476" s="2">
        <v>2.7</v>
      </c>
      <c r="M4476" s="3">
        <v>441</v>
      </c>
      <c r="N4476">
        <v>4</v>
      </c>
      <c r="O4476">
        <v>4</v>
      </c>
      <c r="P4476">
        <v>1</v>
      </c>
      <c r="Q4476">
        <v>0</v>
      </c>
      <c r="R4476" s="4">
        <v>14.06</v>
      </c>
      <c r="S4476">
        <v>0</v>
      </c>
      <c r="T4476">
        <v>1</v>
      </c>
    </row>
    <row r="4477" spans="1:20" ht="16.5" x14ac:dyDescent="0.3">
      <c r="A4477" t="s">
        <v>4531</v>
      </c>
      <c r="B4477" s="1">
        <v>45911</v>
      </c>
      <c r="C4477">
        <v>2025</v>
      </c>
      <c r="D4477" t="s">
        <v>1261</v>
      </c>
      <c r="E4477" t="s">
        <v>1651</v>
      </c>
      <c r="F4477" t="s">
        <v>57</v>
      </c>
      <c r="G4477" t="s">
        <v>35</v>
      </c>
      <c r="H4477" t="s">
        <v>48</v>
      </c>
      <c r="I4477" t="s">
        <v>31</v>
      </c>
      <c r="J4477" t="s">
        <v>27</v>
      </c>
      <c r="K4477" t="s">
        <v>32</v>
      </c>
      <c r="L4477" s="2">
        <v>6.3</v>
      </c>
      <c r="M4477" s="3">
        <v>561</v>
      </c>
      <c r="N4477">
        <v>6</v>
      </c>
      <c r="O4477">
        <v>6</v>
      </c>
      <c r="P4477">
        <v>1</v>
      </c>
      <c r="Q4477">
        <v>0</v>
      </c>
      <c r="R4477" s="4">
        <v>11.41</v>
      </c>
      <c r="S4477">
        <v>0</v>
      </c>
      <c r="T4477">
        <v>1</v>
      </c>
    </row>
    <row r="4478" spans="1:20" ht="16.5" x14ac:dyDescent="0.3">
      <c r="A4478" t="s">
        <v>4532</v>
      </c>
      <c r="B4478" s="1">
        <v>45912</v>
      </c>
      <c r="C4478">
        <v>2025</v>
      </c>
      <c r="D4478" t="s">
        <v>1261</v>
      </c>
      <c r="E4478" t="s">
        <v>1651</v>
      </c>
      <c r="F4478" t="s">
        <v>38</v>
      </c>
      <c r="G4478" t="s">
        <v>35</v>
      </c>
      <c r="H4478" t="s">
        <v>43</v>
      </c>
      <c r="I4478" t="s">
        <v>40</v>
      </c>
      <c r="J4478" t="s">
        <v>41</v>
      </c>
      <c r="K4478" t="s">
        <v>32</v>
      </c>
      <c r="L4478" s="2">
        <v>10.5</v>
      </c>
      <c r="M4478" s="3">
        <v>1208</v>
      </c>
      <c r="N4478">
        <v>3</v>
      </c>
      <c r="O4478">
        <v>2</v>
      </c>
      <c r="P4478">
        <v>1</v>
      </c>
      <c r="Q4478">
        <v>0</v>
      </c>
      <c r="R4478" s="4">
        <v>97.58</v>
      </c>
      <c r="S4478">
        <v>0</v>
      </c>
      <c r="T4478">
        <v>1</v>
      </c>
    </row>
    <row r="4479" spans="1:20" ht="16.5" x14ac:dyDescent="0.3">
      <c r="A4479" t="s">
        <v>4533</v>
      </c>
      <c r="B4479" s="1">
        <v>45912</v>
      </c>
      <c r="C4479">
        <v>2025</v>
      </c>
      <c r="D4479" t="s">
        <v>1261</v>
      </c>
      <c r="E4479" t="s">
        <v>1651</v>
      </c>
      <c r="F4479" t="s">
        <v>23</v>
      </c>
      <c r="G4479" t="s">
        <v>39</v>
      </c>
      <c r="H4479" t="s">
        <v>48</v>
      </c>
      <c r="I4479" t="s">
        <v>26</v>
      </c>
      <c r="J4479" t="s">
        <v>27</v>
      </c>
      <c r="K4479" t="s">
        <v>32</v>
      </c>
      <c r="L4479" s="2">
        <v>6.3</v>
      </c>
      <c r="M4479" s="3">
        <v>534</v>
      </c>
      <c r="N4479">
        <v>4</v>
      </c>
      <c r="O4479">
        <v>3</v>
      </c>
      <c r="P4479">
        <v>1</v>
      </c>
      <c r="Q4479">
        <v>0</v>
      </c>
      <c r="R4479" s="4">
        <v>16.38</v>
      </c>
      <c r="S4479">
        <v>0</v>
      </c>
      <c r="T4479">
        <v>1</v>
      </c>
    </row>
    <row r="4480" spans="1:20" ht="16.5" x14ac:dyDescent="0.3">
      <c r="A4480" t="s">
        <v>4534</v>
      </c>
      <c r="B4480" s="1">
        <v>45912</v>
      </c>
      <c r="C4480">
        <v>2025</v>
      </c>
      <c r="D4480" t="s">
        <v>1261</v>
      </c>
      <c r="E4480" t="s">
        <v>1651</v>
      </c>
      <c r="F4480" t="s">
        <v>38</v>
      </c>
      <c r="G4480" t="s">
        <v>24</v>
      </c>
      <c r="H4480" t="s">
        <v>51</v>
      </c>
      <c r="I4480" t="s">
        <v>26</v>
      </c>
      <c r="J4480" t="s">
        <v>27</v>
      </c>
      <c r="K4480" t="s">
        <v>32</v>
      </c>
      <c r="L4480" s="2">
        <v>9.9</v>
      </c>
      <c r="M4480" s="3">
        <v>966</v>
      </c>
      <c r="N4480">
        <v>5</v>
      </c>
      <c r="O4480">
        <v>5</v>
      </c>
      <c r="P4480">
        <v>1</v>
      </c>
      <c r="Q4480">
        <v>0</v>
      </c>
      <c r="R4480" s="4">
        <v>27.06</v>
      </c>
      <c r="S4480">
        <v>0</v>
      </c>
      <c r="T4480">
        <v>1</v>
      </c>
    </row>
    <row r="4481" spans="1:20" ht="16.5" x14ac:dyDescent="0.3">
      <c r="A4481" t="s">
        <v>4535</v>
      </c>
      <c r="B4481" s="1">
        <v>45912</v>
      </c>
      <c r="C4481">
        <v>2025</v>
      </c>
      <c r="D4481" t="s">
        <v>1261</v>
      </c>
      <c r="E4481" t="s">
        <v>1651</v>
      </c>
      <c r="F4481" t="s">
        <v>23</v>
      </c>
      <c r="G4481" t="s">
        <v>35</v>
      </c>
      <c r="H4481" t="s">
        <v>48</v>
      </c>
      <c r="I4481" t="s">
        <v>31</v>
      </c>
      <c r="J4481" t="s">
        <v>27</v>
      </c>
      <c r="K4481" t="s">
        <v>28</v>
      </c>
      <c r="L4481" s="2">
        <v>183.7</v>
      </c>
      <c r="M4481" s="3">
        <v>496</v>
      </c>
      <c r="N4481">
        <v>6</v>
      </c>
      <c r="O4481">
        <v>7</v>
      </c>
      <c r="P4481">
        <v>0</v>
      </c>
      <c r="Q4481">
        <v>1</v>
      </c>
      <c r="R4481" s="4">
        <v>59.82</v>
      </c>
      <c r="S4481">
        <v>0</v>
      </c>
      <c r="T4481">
        <v>1</v>
      </c>
    </row>
    <row r="4482" spans="1:20" ht="16.5" x14ac:dyDescent="0.3">
      <c r="A4482" t="s">
        <v>4536</v>
      </c>
      <c r="B4482" s="1">
        <v>45912</v>
      </c>
      <c r="C4482">
        <v>2025</v>
      </c>
      <c r="D4482" t="s">
        <v>1261</v>
      </c>
      <c r="E4482" t="s">
        <v>1651</v>
      </c>
      <c r="F4482" t="s">
        <v>38</v>
      </c>
      <c r="G4482" t="s">
        <v>35</v>
      </c>
      <c r="H4482" t="s">
        <v>48</v>
      </c>
      <c r="I4482" t="s">
        <v>26</v>
      </c>
      <c r="J4482" t="s">
        <v>27</v>
      </c>
      <c r="K4482" t="s">
        <v>28</v>
      </c>
      <c r="L4482" s="2">
        <v>36.299999999999997</v>
      </c>
      <c r="M4482" s="3">
        <v>477</v>
      </c>
      <c r="N4482">
        <v>4</v>
      </c>
      <c r="O4482">
        <v>3</v>
      </c>
      <c r="P4482">
        <v>1</v>
      </c>
      <c r="Q4482">
        <v>0</v>
      </c>
      <c r="R4482" s="4">
        <v>31.42</v>
      </c>
      <c r="S4482">
        <v>0</v>
      </c>
      <c r="T4482">
        <v>1</v>
      </c>
    </row>
    <row r="4483" spans="1:20" ht="16.5" x14ac:dyDescent="0.3">
      <c r="A4483" t="s">
        <v>4537</v>
      </c>
      <c r="B4483" s="1">
        <v>45912</v>
      </c>
      <c r="C4483">
        <v>2025</v>
      </c>
      <c r="D4483" t="s">
        <v>1261</v>
      </c>
      <c r="E4483" t="s">
        <v>1651</v>
      </c>
      <c r="F4483" t="s">
        <v>57</v>
      </c>
      <c r="G4483" t="s">
        <v>24</v>
      </c>
      <c r="H4483" t="s">
        <v>36</v>
      </c>
      <c r="I4483" t="s">
        <v>26</v>
      </c>
      <c r="J4483" t="s">
        <v>27</v>
      </c>
      <c r="K4483" t="s">
        <v>32</v>
      </c>
      <c r="L4483" s="2">
        <v>21.2</v>
      </c>
      <c r="M4483" s="3">
        <v>204</v>
      </c>
      <c r="N4483">
        <v>3</v>
      </c>
      <c r="O4483">
        <v>3</v>
      </c>
      <c r="P4483">
        <v>1</v>
      </c>
      <c r="Q4483">
        <v>0</v>
      </c>
      <c r="R4483" s="4">
        <v>19.399999999999999</v>
      </c>
      <c r="S4483">
        <v>0</v>
      </c>
      <c r="T4483">
        <v>1</v>
      </c>
    </row>
    <row r="4484" spans="1:20" ht="16.5" x14ac:dyDescent="0.3">
      <c r="A4484" t="s">
        <v>4538</v>
      </c>
      <c r="B4484" s="1">
        <v>45912</v>
      </c>
      <c r="C4484">
        <v>2025</v>
      </c>
      <c r="D4484" t="s">
        <v>1261</v>
      </c>
      <c r="E4484" t="s">
        <v>1651</v>
      </c>
      <c r="F4484" t="s">
        <v>57</v>
      </c>
      <c r="G4484" t="s">
        <v>24</v>
      </c>
      <c r="H4484" t="s">
        <v>36</v>
      </c>
      <c r="I4484" t="s">
        <v>26</v>
      </c>
      <c r="J4484" t="s">
        <v>27</v>
      </c>
      <c r="K4484" t="s">
        <v>32</v>
      </c>
      <c r="L4484" s="2">
        <v>16.2</v>
      </c>
      <c r="M4484" s="3">
        <v>262</v>
      </c>
      <c r="N4484">
        <v>3</v>
      </c>
      <c r="O4484">
        <v>3</v>
      </c>
      <c r="P4484">
        <v>1</v>
      </c>
      <c r="Q4484">
        <v>0</v>
      </c>
      <c r="R4484" s="4">
        <v>18.86</v>
      </c>
      <c r="S4484">
        <v>0</v>
      </c>
      <c r="T4484">
        <v>1</v>
      </c>
    </row>
    <row r="4485" spans="1:20" ht="16.5" x14ac:dyDescent="0.3">
      <c r="A4485" t="s">
        <v>4539</v>
      </c>
      <c r="B4485" s="1">
        <v>45912</v>
      </c>
      <c r="C4485">
        <v>2025</v>
      </c>
      <c r="D4485" t="s">
        <v>1261</v>
      </c>
      <c r="E4485" t="s">
        <v>1651</v>
      </c>
      <c r="F4485" t="s">
        <v>38</v>
      </c>
      <c r="G4485" t="s">
        <v>39</v>
      </c>
      <c r="H4485" t="s">
        <v>36</v>
      </c>
      <c r="I4485" t="s">
        <v>31</v>
      </c>
      <c r="J4485" t="s">
        <v>27</v>
      </c>
      <c r="K4485" t="s">
        <v>28</v>
      </c>
      <c r="L4485" s="2">
        <v>76.2</v>
      </c>
      <c r="M4485" s="3">
        <v>296</v>
      </c>
      <c r="N4485">
        <v>5</v>
      </c>
      <c r="O4485">
        <v>5</v>
      </c>
      <c r="P4485">
        <v>1</v>
      </c>
      <c r="Q4485">
        <v>0</v>
      </c>
      <c r="R4485" s="4">
        <v>33.340000000000003</v>
      </c>
      <c r="S4485">
        <v>0</v>
      </c>
      <c r="T4485">
        <v>1</v>
      </c>
    </row>
    <row r="4486" spans="1:20" ht="16.5" x14ac:dyDescent="0.3">
      <c r="A4486" t="s">
        <v>4540</v>
      </c>
      <c r="B4486" s="1">
        <v>45912</v>
      </c>
      <c r="C4486">
        <v>2025</v>
      </c>
      <c r="D4486" t="s">
        <v>1261</v>
      </c>
      <c r="E4486" t="s">
        <v>1651</v>
      </c>
      <c r="F4486" t="s">
        <v>34</v>
      </c>
      <c r="G4486" t="s">
        <v>39</v>
      </c>
      <c r="H4486" t="s">
        <v>36</v>
      </c>
      <c r="I4486" t="s">
        <v>40</v>
      </c>
      <c r="J4486" t="s">
        <v>27</v>
      </c>
      <c r="K4486" t="s">
        <v>32</v>
      </c>
      <c r="L4486" s="2">
        <v>6.9</v>
      </c>
      <c r="M4486" s="3">
        <v>281</v>
      </c>
      <c r="N4486">
        <v>1</v>
      </c>
      <c r="O4486">
        <v>1</v>
      </c>
      <c r="P4486">
        <v>1</v>
      </c>
      <c r="Q4486">
        <v>0</v>
      </c>
      <c r="R4486" s="4">
        <v>23.8</v>
      </c>
      <c r="S4486">
        <v>0</v>
      </c>
      <c r="T4486">
        <v>1</v>
      </c>
    </row>
    <row r="4487" spans="1:20" ht="16.5" x14ac:dyDescent="0.3">
      <c r="A4487" t="s">
        <v>4541</v>
      </c>
      <c r="B4487" s="1">
        <v>45912</v>
      </c>
      <c r="C4487">
        <v>2025</v>
      </c>
      <c r="D4487" t="s">
        <v>1261</v>
      </c>
      <c r="E4487" t="s">
        <v>1651</v>
      </c>
      <c r="F4487" t="s">
        <v>34</v>
      </c>
      <c r="G4487" t="s">
        <v>35</v>
      </c>
      <c r="H4487" t="s">
        <v>25</v>
      </c>
      <c r="I4487" t="s">
        <v>26</v>
      </c>
      <c r="J4487" t="s">
        <v>27</v>
      </c>
      <c r="K4487" t="s">
        <v>28</v>
      </c>
      <c r="L4487" s="2">
        <v>92.8</v>
      </c>
      <c r="M4487" s="3">
        <v>749</v>
      </c>
      <c r="N4487">
        <v>4</v>
      </c>
      <c r="O4487">
        <v>4</v>
      </c>
      <c r="P4487">
        <v>1</v>
      </c>
      <c r="Q4487">
        <v>0</v>
      </c>
      <c r="R4487" s="4">
        <v>55.42</v>
      </c>
      <c r="S4487">
        <v>0</v>
      </c>
      <c r="T4487">
        <v>1</v>
      </c>
    </row>
    <row r="4488" spans="1:20" ht="16.5" x14ac:dyDescent="0.3">
      <c r="A4488" t="s">
        <v>4542</v>
      </c>
      <c r="B4488" s="1">
        <v>45912</v>
      </c>
      <c r="C4488">
        <v>2025</v>
      </c>
      <c r="D4488" t="s">
        <v>1261</v>
      </c>
      <c r="E4488" t="s">
        <v>1651</v>
      </c>
      <c r="F4488" t="s">
        <v>57</v>
      </c>
      <c r="G4488" t="s">
        <v>39</v>
      </c>
      <c r="H4488" t="s">
        <v>43</v>
      </c>
      <c r="I4488" t="s">
        <v>26</v>
      </c>
      <c r="J4488" t="s">
        <v>27</v>
      </c>
      <c r="K4488" t="s">
        <v>32</v>
      </c>
      <c r="L4488" s="2">
        <v>5.0999999999999996</v>
      </c>
      <c r="M4488" s="3">
        <v>1210</v>
      </c>
      <c r="N4488">
        <v>5</v>
      </c>
      <c r="O4488">
        <v>5</v>
      </c>
      <c r="P4488">
        <v>1</v>
      </c>
      <c r="Q4488">
        <v>0</v>
      </c>
      <c r="R4488" s="4">
        <v>23.67</v>
      </c>
      <c r="S4488">
        <v>0</v>
      </c>
      <c r="T4488">
        <v>1</v>
      </c>
    </row>
    <row r="4489" spans="1:20" ht="16.5" x14ac:dyDescent="0.3">
      <c r="A4489" t="s">
        <v>4543</v>
      </c>
      <c r="B4489" s="1">
        <v>45912</v>
      </c>
      <c r="C4489">
        <v>2025</v>
      </c>
      <c r="D4489" t="s">
        <v>1261</v>
      </c>
      <c r="E4489" t="s">
        <v>1651</v>
      </c>
      <c r="F4489" t="s">
        <v>57</v>
      </c>
      <c r="G4489" t="s">
        <v>35</v>
      </c>
      <c r="H4489" t="s">
        <v>25</v>
      </c>
      <c r="I4489" t="s">
        <v>26</v>
      </c>
      <c r="J4489" t="s">
        <v>27</v>
      </c>
      <c r="K4489" t="s">
        <v>28</v>
      </c>
      <c r="L4489" s="2">
        <v>140.9</v>
      </c>
      <c r="M4489" s="3">
        <v>935</v>
      </c>
      <c r="N4489">
        <v>4</v>
      </c>
      <c r="O4489">
        <v>7</v>
      </c>
      <c r="P4489">
        <v>0</v>
      </c>
      <c r="Q4489">
        <v>3</v>
      </c>
      <c r="R4489" s="4">
        <v>73.760000000000005</v>
      </c>
      <c r="S4489">
        <v>0</v>
      </c>
      <c r="T4489">
        <v>1</v>
      </c>
    </row>
    <row r="4490" spans="1:20" ht="16.5" x14ac:dyDescent="0.3">
      <c r="A4490" t="s">
        <v>4544</v>
      </c>
      <c r="B4490" s="1">
        <v>45913</v>
      </c>
      <c r="C4490">
        <v>2025</v>
      </c>
      <c r="D4490" t="s">
        <v>1261</v>
      </c>
      <c r="E4490" t="s">
        <v>1651</v>
      </c>
      <c r="F4490" t="s">
        <v>30</v>
      </c>
      <c r="G4490" t="s">
        <v>24</v>
      </c>
      <c r="H4490" t="s">
        <v>43</v>
      </c>
      <c r="I4490" t="s">
        <v>31</v>
      </c>
      <c r="J4490" t="s">
        <v>27</v>
      </c>
      <c r="K4490" t="s">
        <v>28</v>
      </c>
      <c r="L4490" s="2">
        <v>22.7</v>
      </c>
      <c r="M4490" s="3">
        <v>787</v>
      </c>
      <c r="N4490">
        <v>7</v>
      </c>
      <c r="O4490">
        <v>7</v>
      </c>
      <c r="P4490">
        <v>1</v>
      </c>
      <c r="Q4490">
        <v>0</v>
      </c>
      <c r="R4490" s="4">
        <v>22.85</v>
      </c>
      <c r="S4490">
        <v>0</v>
      </c>
      <c r="T4490">
        <v>1</v>
      </c>
    </row>
    <row r="4491" spans="1:20" ht="16.5" x14ac:dyDescent="0.3">
      <c r="A4491" t="s">
        <v>4545</v>
      </c>
      <c r="B4491" s="1">
        <v>45913</v>
      </c>
      <c r="C4491">
        <v>2025</v>
      </c>
      <c r="D4491" t="s">
        <v>1261</v>
      </c>
      <c r="E4491" t="s">
        <v>1651</v>
      </c>
      <c r="F4491" t="s">
        <v>57</v>
      </c>
      <c r="G4491" t="s">
        <v>35</v>
      </c>
      <c r="H4491" t="s">
        <v>43</v>
      </c>
      <c r="I4491" t="s">
        <v>26</v>
      </c>
      <c r="J4491" t="s">
        <v>27</v>
      </c>
      <c r="K4491" t="s">
        <v>32</v>
      </c>
      <c r="L4491" s="2">
        <v>0.9</v>
      </c>
      <c r="M4491" s="3">
        <v>909</v>
      </c>
      <c r="N4491">
        <v>5</v>
      </c>
      <c r="O4491">
        <v>5</v>
      </c>
      <c r="P4491">
        <v>1</v>
      </c>
      <c r="Q4491">
        <v>0</v>
      </c>
      <c r="R4491" s="4">
        <v>17.93</v>
      </c>
      <c r="S4491">
        <v>0</v>
      </c>
      <c r="T4491">
        <v>1</v>
      </c>
    </row>
    <row r="4492" spans="1:20" ht="16.5" x14ac:dyDescent="0.3">
      <c r="A4492" t="s">
        <v>4546</v>
      </c>
      <c r="B4492" s="1">
        <v>45913</v>
      </c>
      <c r="C4492">
        <v>2025</v>
      </c>
      <c r="D4492" t="s">
        <v>1261</v>
      </c>
      <c r="E4492" t="s">
        <v>1651</v>
      </c>
      <c r="F4492" t="s">
        <v>38</v>
      </c>
      <c r="G4492" t="s">
        <v>24</v>
      </c>
      <c r="H4492" t="s">
        <v>36</v>
      </c>
      <c r="I4492" t="s">
        <v>26</v>
      </c>
      <c r="J4492" t="s">
        <v>27</v>
      </c>
      <c r="K4492" t="s">
        <v>32</v>
      </c>
      <c r="L4492" s="2">
        <v>5.6</v>
      </c>
      <c r="M4492" s="3">
        <v>309</v>
      </c>
      <c r="N4492">
        <v>3</v>
      </c>
      <c r="O4492">
        <v>3</v>
      </c>
      <c r="P4492">
        <v>1</v>
      </c>
      <c r="Q4492">
        <v>0</v>
      </c>
      <c r="R4492" s="4">
        <v>15.05</v>
      </c>
      <c r="S4492">
        <v>0</v>
      </c>
      <c r="T4492">
        <v>1</v>
      </c>
    </row>
    <row r="4493" spans="1:20" ht="16.5" x14ac:dyDescent="0.3">
      <c r="A4493" t="s">
        <v>4547</v>
      </c>
      <c r="B4493" s="1">
        <v>45914</v>
      </c>
      <c r="C4493">
        <v>2025</v>
      </c>
      <c r="D4493" t="s">
        <v>1261</v>
      </c>
      <c r="E4493" t="s">
        <v>1651</v>
      </c>
      <c r="F4493" t="s">
        <v>23</v>
      </c>
      <c r="G4493" t="s">
        <v>39</v>
      </c>
      <c r="H4493" t="s">
        <v>48</v>
      </c>
      <c r="I4493" t="s">
        <v>26</v>
      </c>
      <c r="J4493" t="s">
        <v>27</v>
      </c>
      <c r="K4493" t="s">
        <v>28</v>
      </c>
      <c r="L4493" s="2">
        <v>79.2</v>
      </c>
      <c r="M4493" s="3">
        <v>509</v>
      </c>
      <c r="N4493">
        <v>4</v>
      </c>
      <c r="O4493">
        <v>4</v>
      </c>
      <c r="P4493">
        <v>1</v>
      </c>
      <c r="Q4493">
        <v>0</v>
      </c>
      <c r="R4493" s="4">
        <v>45.73</v>
      </c>
      <c r="S4493">
        <v>0</v>
      </c>
      <c r="T4493">
        <v>1</v>
      </c>
    </row>
    <row r="4494" spans="1:20" ht="16.5" x14ac:dyDescent="0.3">
      <c r="A4494" t="s">
        <v>4548</v>
      </c>
      <c r="B4494" s="1">
        <v>45914</v>
      </c>
      <c r="C4494">
        <v>2025</v>
      </c>
      <c r="D4494" t="s">
        <v>1261</v>
      </c>
      <c r="E4494" t="s">
        <v>1651</v>
      </c>
      <c r="F4494" t="s">
        <v>57</v>
      </c>
      <c r="G4494" t="s">
        <v>24</v>
      </c>
      <c r="H4494" t="s">
        <v>36</v>
      </c>
      <c r="I4494" t="s">
        <v>26</v>
      </c>
      <c r="J4494" t="s">
        <v>27</v>
      </c>
      <c r="K4494" t="s">
        <v>32</v>
      </c>
      <c r="L4494" s="2">
        <v>2.2999999999999998</v>
      </c>
      <c r="M4494" s="3">
        <v>290</v>
      </c>
      <c r="N4494">
        <v>3</v>
      </c>
      <c r="O4494">
        <v>3</v>
      </c>
      <c r="P4494">
        <v>1</v>
      </c>
      <c r="Q4494">
        <v>0</v>
      </c>
      <c r="R4494" s="4">
        <v>11.56</v>
      </c>
      <c r="S4494">
        <v>0</v>
      </c>
      <c r="T4494">
        <v>1</v>
      </c>
    </row>
    <row r="4495" spans="1:20" ht="16.5" x14ac:dyDescent="0.3">
      <c r="A4495" t="s">
        <v>4549</v>
      </c>
      <c r="B4495" s="1">
        <v>45914</v>
      </c>
      <c r="C4495">
        <v>2025</v>
      </c>
      <c r="D4495" t="s">
        <v>1261</v>
      </c>
      <c r="E4495" t="s">
        <v>1651</v>
      </c>
      <c r="F4495" t="s">
        <v>30</v>
      </c>
      <c r="G4495" t="s">
        <v>35</v>
      </c>
      <c r="H4495" t="s">
        <v>48</v>
      </c>
      <c r="I4495" t="s">
        <v>26</v>
      </c>
      <c r="J4495" t="s">
        <v>27</v>
      </c>
      <c r="K4495" t="s">
        <v>32</v>
      </c>
      <c r="L4495" s="2">
        <v>1.4</v>
      </c>
      <c r="M4495" s="3">
        <v>649</v>
      </c>
      <c r="N4495">
        <v>4</v>
      </c>
      <c r="O4495">
        <v>4</v>
      </c>
      <c r="P4495">
        <v>1</v>
      </c>
      <c r="Q4495">
        <v>0</v>
      </c>
      <c r="R4495" s="4">
        <v>15.88</v>
      </c>
      <c r="S4495">
        <v>0</v>
      </c>
      <c r="T4495">
        <v>1</v>
      </c>
    </row>
    <row r="4496" spans="1:20" ht="16.5" x14ac:dyDescent="0.3">
      <c r="A4496" t="s">
        <v>4550</v>
      </c>
      <c r="B4496" s="1">
        <v>45915</v>
      </c>
      <c r="C4496">
        <v>2025</v>
      </c>
      <c r="D4496" t="s">
        <v>1261</v>
      </c>
      <c r="E4496" t="s">
        <v>1651</v>
      </c>
      <c r="F4496" t="s">
        <v>34</v>
      </c>
      <c r="G4496" t="s">
        <v>24</v>
      </c>
      <c r="H4496" t="s">
        <v>51</v>
      </c>
      <c r="I4496" t="s">
        <v>40</v>
      </c>
      <c r="J4496" t="s">
        <v>41</v>
      </c>
      <c r="K4496" t="s">
        <v>32</v>
      </c>
      <c r="L4496" s="2">
        <v>3</v>
      </c>
      <c r="M4496" s="3">
        <v>1046</v>
      </c>
      <c r="N4496">
        <v>3</v>
      </c>
      <c r="O4496">
        <v>2</v>
      </c>
      <c r="P4496">
        <v>1</v>
      </c>
      <c r="Q4496">
        <v>0</v>
      </c>
      <c r="R4496" s="4">
        <v>53.78</v>
      </c>
      <c r="S4496">
        <v>0</v>
      </c>
      <c r="T4496">
        <v>1</v>
      </c>
    </row>
    <row r="4497" spans="1:20" ht="16.5" x14ac:dyDescent="0.3">
      <c r="A4497" t="s">
        <v>4551</v>
      </c>
      <c r="B4497" s="1">
        <v>45915</v>
      </c>
      <c r="C4497">
        <v>2025</v>
      </c>
      <c r="D4497" t="s">
        <v>1261</v>
      </c>
      <c r="E4497" t="s">
        <v>1651</v>
      </c>
      <c r="F4497" t="s">
        <v>38</v>
      </c>
      <c r="G4497" t="s">
        <v>24</v>
      </c>
      <c r="H4497" t="s">
        <v>48</v>
      </c>
      <c r="I4497" t="s">
        <v>31</v>
      </c>
      <c r="J4497" t="s">
        <v>27</v>
      </c>
      <c r="K4497" t="s">
        <v>32</v>
      </c>
      <c r="L4497" s="2">
        <v>9.5</v>
      </c>
      <c r="M4497" s="3">
        <v>491</v>
      </c>
      <c r="N4497">
        <v>6</v>
      </c>
      <c r="O4497">
        <v>6</v>
      </c>
      <c r="P4497">
        <v>1</v>
      </c>
      <c r="Q4497">
        <v>0</v>
      </c>
      <c r="R4497" s="4">
        <v>14.17</v>
      </c>
      <c r="S4497">
        <v>0</v>
      </c>
      <c r="T4497">
        <v>1</v>
      </c>
    </row>
    <row r="4498" spans="1:20" ht="16.5" x14ac:dyDescent="0.3">
      <c r="A4498" t="s">
        <v>4552</v>
      </c>
      <c r="B4498" s="1">
        <v>45915</v>
      </c>
      <c r="C4498">
        <v>2025</v>
      </c>
      <c r="D4498" t="s">
        <v>1261</v>
      </c>
      <c r="E4498" t="s">
        <v>1651</v>
      </c>
      <c r="F4498" t="s">
        <v>57</v>
      </c>
      <c r="G4498" t="s">
        <v>35</v>
      </c>
      <c r="H4498" t="s">
        <v>48</v>
      </c>
      <c r="I4498" t="s">
        <v>31</v>
      </c>
      <c r="J4498" t="s">
        <v>27</v>
      </c>
      <c r="K4498" t="s">
        <v>28</v>
      </c>
      <c r="L4498" s="2">
        <v>190.6</v>
      </c>
      <c r="M4498" s="3">
        <v>435</v>
      </c>
      <c r="N4498">
        <v>6</v>
      </c>
      <c r="O4498">
        <v>8</v>
      </c>
      <c r="P4498">
        <v>0</v>
      </c>
      <c r="Q4498">
        <v>2</v>
      </c>
      <c r="R4498" s="4">
        <v>70.13</v>
      </c>
      <c r="S4498">
        <v>0</v>
      </c>
      <c r="T4498">
        <v>1</v>
      </c>
    </row>
    <row r="4499" spans="1:20" ht="16.5" x14ac:dyDescent="0.3">
      <c r="A4499" t="s">
        <v>4553</v>
      </c>
      <c r="B4499" s="1">
        <v>45915</v>
      </c>
      <c r="C4499">
        <v>2025</v>
      </c>
      <c r="D4499" t="s">
        <v>1261</v>
      </c>
      <c r="E4499" t="s">
        <v>1651</v>
      </c>
      <c r="F4499" t="s">
        <v>34</v>
      </c>
      <c r="G4499" t="s">
        <v>39</v>
      </c>
      <c r="H4499" t="s">
        <v>36</v>
      </c>
      <c r="I4499" t="s">
        <v>26</v>
      </c>
      <c r="J4499" t="s">
        <v>27</v>
      </c>
      <c r="K4499" t="s">
        <v>32</v>
      </c>
      <c r="L4499" s="2">
        <v>14.1</v>
      </c>
      <c r="M4499" s="3">
        <v>215</v>
      </c>
      <c r="N4499">
        <v>3</v>
      </c>
      <c r="O4499">
        <v>3</v>
      </c>
      <c r="P4499">
        <v>1</v>
      </c>
      <c r="Q4499">
        <v>0</v>
      </c>
      <c r="R4499" s="4">
        <v>14.16</v>
      </c>
      <c r="S4499">
        <v>0</v>
      </c>
      <c r="T4499">
        <v>1</v>
      </c>
    </row>
    <row r="4500" spans="1:20" ht="16.5" x14ac:dyDescent="0.3">
      <c r="A4500" t="s">
        <v>4554</v>
      </c>
      <c r="B4500" s="1">
        <v>45915</v>
      </c>
      <c r="C4500">
        <v>2025</v>
      </c>
      <c r="D4500" t="s">
        <v>1261</v>
      </c>
      <c r="E4500" t="s">
        <v>1651</v>
      </c>
      <c r="F4500" t="s">
        <v>57</v>
      </c>
      <c r="G4500" t="s">
        <v>39</v>
      </c>
      <c r="H4500" t="s">
        <v>25</v>
      </c>
      <c r="I4500" t="s">
        <v>26</v>
      </c>
      <c r="J4500" t="s">
        <v>27</v>
      </c>
      <c r="K4500" t="s">
        <v>32</v>
      </c>
      <c r="L4500" s="2">
        <v>7.6</v>
      </c>
      <c r="M4500" s="3">
        <v>903</v>
      </c>
      <c r="N4500">
        <v>4</v>
      </c>
      <c r="O4500">
        <v>6</v>
      </c>
      <c r="P4500">
        <v>0</v>
      </c>
      <c r="Q4500">
        <v>2</v>
      </c>
      <c r="R4500" s="4">
        <v>22.8</v>
      </c>
      <c r="S4500">
        <v>0</v>
      </c>
      <c r="T4500">
        <v>1</v>
      </c>
    </row>
    <row r="4501" spans="1:20" ht="16.5" x14ac:dyDescent="0.3">
      <c r="A4501" t="s">
        <v>4555</v>
      </c>
      <c r="B4501" s="1">
        <v>45916</v>
      </c>
      <c r="C4501">
        <v>2025</v>
      </c>
      <c r="D4501" t="s">
        <v>1261</v>
      </c>
      <c r="E4501" t="s">
        <v>1651</v>
      </c>
      <c r="F4501" t="s">
        <v>34</v>
      </c>
      <c r="G4501" t="s">
        <v>35</v>
      </c>
      <c r="H4501" t="s">
        <v>36</v>
      </c>
      <c r="I4501" t="s">
        <v>26</v>
      </c>
      <c r="J4501" t="s">
        <v>27</v>
      </c>
      <c r="K4501" t="s">
        <v>32</v>
      </c>
      <c r="L4501" s="2">
        <v>5.9</v>
      </c>
      <c r="M4501" s="3">
        <v>293</v>
      </c>
      <c r="N4501">
        <v>3</v>
      </c>
      <c r="O4501">
        <v>2</v>
      </c>
      <c r="P4501">
        <v>1</v>
      </c>
      <c r="Q4501">
        <v>0</v>
      </c>
      <c r="R4501" s="4">
        <v>13.05</v>
      </c>
      <c r="S4501">
        <v>0</v>
      </c>
      <c r="T4501">
        <v>1</v>
      </c>
    </row>
    <row r="4502" spans="1:20" ht="16.5" x14ac:dyDescent="0.3">
      <c r="A4502" t="s">
        <v>4556</v>
      </c>
      <c r="B4502" s="1">
        <v>45916</v>
      </c>
      <c r="C4502">
        <v>2025</v>
      </c>
      <c r="D4502" t="s">
        <v>1261</v>
      </c>
      <c r="E4502" t="s">
        <v>1651</v>
      </c>
      <c r="F4502" t="s">
        <v>30</v>
      </c>
      <c r="G4502" t="s">
        <v>35</v>
      </c>
      <c r="H4502" t="s">
        <v>48</v>
      </c>
      <c r="I4502" t="s">
        <v>26</v>
      </c>
      <c r="J4502" t="s">
        <v>27</v>
      </c>
      <c r="K4502" t="s">
        <v>28</v>
      </c>
      <c r="L4502" s="2">
        <v>12.8</v>
      </c>
      <c r="M4502" s="3">
        <v>466</v>
      </c>
      <c r="N4502">
        <v>4</v>
      </c>
      <c r="O4502">
        <v>4</v>
      </c>
      <c r="P4502">
        <v>1</v>
      </c>
      <c r="Q4502">
        <v>0</v>
      </c>
      <c r="R4502" s="4">
        <v>20.93</v>
      </c>
      <c r="S4502">
        <v>0</v>
      </c>
      <c r="T4502">
        <v>1</v>
      </c>
    </row>
    <row r="4503" spans="1:20" ht="16.5" x14ac:dyDescent="0.3">
      <c r="A4503" t="s">
        <v>4557</v>
      </c>
      <c r="B4503" s="1">
        <v>45916</v>
      </c>
      <c r="C4503">
        <v>2025</v>
      </c>
      <c r="D4503" t="s">
        <v>1261</v>
      </c>
      <c r="E4503" t="s">
        <v>1651</v>
      </c>
      <c r="F4503" t="s">
        <v>57</v>
      </c>
      <c r="G4503" t="s">
        <v>35</v>
      </c>
      <c r="H4503" t="s">
        <v>25</v>
      </c>
      <c r="I4503" t="s">
        <v>26</v>
      </c>
      <c r="J4503" t="s">
        <v>27</v>
      </c>
      <c r="K4503" t="s">
        <v>28</v>
      </c>
      <c r="L4503" s="2">
        <v>24</v>
      </c>
      <c r="M4503" s="3">
        <v>793</v>
      </c>
      <c r="N4503">
        <v>4</v>
      </c>
      <c r="O4503">
        <v>4</v>
      </c>
      <c r="P4503">
        <v>1</v>
      </c>
      <c r="Q4503">
        <v>0</v>
      </c>
      <c r="R4503" s="4">
        <v>28.7</v>
      </c>
      <c r="S4503">
        <v>0</v>
      </c>
      <c r="T4503">
        <v>1</v>
      </c>
    </row>
    <row r="4504" spans="1:20" ht="16.5" x14ac:dyDescent="0.3">
      <c r="A4504" t="s">
        <v>4558</v>
      </c>
      <c r="B4504" s="1">
        <v>45916</v>
      </c>
      <c r="C4504">
        <v>2025</v>
      </c>
      <c r="D4504" t="s">
        <v>1261</v>
      </c>
      <c r="E4504" t="s">
        <v>1651</v>
      </c>
      <c r="F4504" t="s">
        <v>38</v>
      </c>
      <c r="G4504" t="s">
        <v>39</v>
      </c>
      <c r="H4504" t="s">
        <v>36</v>
      </c>
      <c r="I4504" t="s">
        <v>31</v>
      </c>
      <c r="J4504" t="s">
        <v>27</v>
      </c>
      <c r="K4504" t="s">
        <v>28</v>
      </c>
      <c r="L4504" s="2">
        <v>116.7</v>
      </c>
      <c r="M4504" s="3">
        <v>238</v>
      </c>
      <c r="N4504">
        <v>5</v>
      </c>
      <c r="O4504">
        <v>5</v>
      </c>
      <c r="P4504">
        <v>1</v>
      </c>
      <c r="Q4504">
        <v>0</v>
      </c>
      <c r="R4504" s="4">
        <v>50.39</v>
      </c>
      <c r="S4504">
        <v>0</v>
      </c>
      <c r="T4504">
        <v>1</v>
      </c>
    </row>
    <row r="4505" spans="1:20" ht="16.5" x14ac:dyDescent="0.3">
      <c r="A4505" t="s">
        <v>4559</v>
      </c>
      <c r="B4505" s="1">
        <v>45916</v>
      </c>
      <c r="C4505">
        <v>2025</v>
      </c>
      <c r="D4505" t="s">
        <v>1261</v>
      </c>
      <c r="E4505" t="s">
        <v>1651</v>
      </c>
      <c r="F4505" t="s">
        <v>57</v>
      </c>
      <c r="G4505" t="s">
        <v>39</v>
      </c>
      <c r="H4505" t="s">
        <v>48</v>
      </c>
      <c r="I4505" t="s">
        <v>40</v>
      </c>
      <c r="J4505" t="s">
        <v>27</v>
      </c>
      <c r="K4505" t="s">
        <v>32</v>
      </c>
      <c r="L4505" s="2">
        <v>7.4</v>
      </c>
      <c r="M4505" s="3">
        <v>485</v>
      </c>
      <c r="N4505">
        <v>2</v>
      </c>
      <c r="O4505">
        <v>1</v>
      </c>
      <c r="P4505">
        <v>1</v>
      </c>
      <c r="Q4505">
        <v>0</v>
      </c>
      <c r="R4505" s="4">
        <v>33.14</v>
      </c>
      <c r="S4505">
        <v>0</v>
      </c>
      <c r="T4505">
        <v>1</v>
      </c>
    </row>
    <row r="4506" spans="1:20" ht="16.5" x14ac:dyDescent="0.3">
      <c r="A4506" t="s">
        <v>4560</v>
      </c>
      <c r="B4506" s="1">
        <v>45916</v>
      </c>
      <c r="C4506">
        <v>2025</v>
      </c>
      <c r="D4506" t="s">
        <v>1261</v>
      </c>
      <c r="E4506" t="s">
        <v>1651</v>
      </c>
      <c r="F4506" t="s">
        <v>38</v>
      </c>
      <c r="G4506" t="s">
        <v>35</v>
      </c>
      <c r="H4506" t="s">
        <v>48</v>
      </c>
      <c r="I4506" t="s">
        <v>26</v>
      </c>
      <c r="J4506" t="s">
        <v>27</v>
      </c>
      <c r="K4506" t="s">
        <v>28</v>
      </c>
      <c r="L4506" s="2">
        <v>49.7</v>
      </c>
      <c r="M4506" s="3">
        <v>473</v>
      </c>
      <c r="N4506">
        <v>4</v>
      </c>
      <c r="O4506">
        <v>4</v>
      </c>
      <c r="P4506">
        <v>1</v>
      </c>
      <c r="Q4506">
        <v>0</v>
      </c>
      <c r="R4506" s="4">
        <v>41.24</v>
      </c>
      <c r="S4506">
        <v>0</v>
      </c>
      <c r="T4506">
        <v>1</v>
      </c>
    </row>
    <row r="4507" spans="1:20" ht="16.5" x14ac:dyDescent="0.3">
      <c r="A4507" t="s">
        <v>4561</v>
      </c>
      <c r="B4507" s="1">
        <v>45916</v>
      </c>
      <c r="C4507">
        <v>2025</v>
      </c>
      <c r="D4507" t="s">
        <v>1261</v>
      </c>
      <c r="E4507" t="s">
        <v>1651</v>
      </c>
      <c r="F4507" t="s">
        <v>38</v>
      </c>
      <c r="G4507" t="s">
        <v>35</v>
      </c>
      <c r="H4507" t="s">
        <v>51</v>
      </c>
      <c r="I4507" t="s">
        <v>31</v>
      </c>
      <c r="J4507" t="s">
        <v>27</v>
      </c>
      <c r="K4507" t="s">
        <v>32</v>
      </c>
      <c r="L4507" s="2">
        <v>10.1</v>
      </c>
      <c r="M4507" s="3">
        <v>1024</v>
      </c>
      <c r="N4507">
        <v>7</v>
      </c>
      <c r="O4507">
        <v>8</v>
      </c>
      <c r="P4507">
        <v>0</v>
      </c>
      <c r="Q4507">
        <v>1</v>
      </c>
      <c r="R4507" s="4">
        <v>20.43</v>
      </c>
      <c r="S4507">
        <v>0</v>
      </c>
      <c r="T4507">
        <v>1</v>
      </c>
    </row>
    <row r="4508" spans="1:20" ht="16.5" x14ac:dyDescent="0.3">
      <c r="A4508" t="s">
        <v>4562</v>
      </c>
      <c r="B4508" s="1">
        <v>45917</v>
      </c>
      <c r="C4508">
        <v>2025</v>
      </c>
      <c r="D4508" t="s">
        <v>1261</v>
      </c>
      <c r="E4508" t="s">
        <v>1651</v>
      </c>
      <c r="F4508" t="s">
        <v>30</v>
      </c>
      <c r="G4508" t="s">
        <v>35</v>
      </c>
      <c r="H4508" t="s">
        <v>25</v>
      </c>
      <c r="I4508" t="s">
        <v>26</v>
      </c>
      <c r="J4508" t="s">
        <v>27</v>
      </c>
      <c r="K4508" t="s">
        <v>32</v>
      </c>
      <c r="L4508" s="2">
        <v>5.9</v>
      </c>
      <c r="M4508" s="3">
        <v>811</v>
      </c>
      <c r="N4508">
        <v>4</v>
      </c>
      <c r="O4508">
        <v>3</v>
      </c>
      <c r="P4508">
        <v>1</v>
      </c>
      <c r="Q4508">
        <v>0</v>
      </c>
      <c r="R4508" s="4">
        <v>20.21</v>
      </c>
      <c r="S4508">
        <v>0</v>
      </c>
      <c r="T4508">
        <v>1</v>
      </c>
    </row>
    <row r="4509" spans="1:20" ht="16.5" x14ac:dyDescent="0.3">
      <c r="A4509" t="s">
        <v>4563</v>
      </c>
      <c r="B4509" s="1">
        <v>45917</v>
      </c>
      <c r="C4509">
        <v>2025</v>
      </c>
      <c r="D4509" t="s">
        <v>1261</v>
      </c>
      <c r="E4509" t="s">
        <v>1651</v>
      </c>
      <c r="F4509" t="s">
        <v>57</v>
      </c>
      <c r="G4509" t="s">
        <v>35</v>
      </c>
      <c r="H4509" t="s">
        <v>36</v>
      </c>
      <c r="I4509" t="s">
        <v>26</v>
      </c>
      <c r="J4509" t="s">
        <v>27</v>
      </c>
      <c r="K4509" t="s">
        <v>32</v>
      </c>
      <c r="L4509" s="2">
        <v>1.7</v>
      </c>
      <c r="M4509" s="3">
        <v>225</v>
      </c>
      <c r="N4509">
        <v>3</v>
      </c>
      <c r="O4509">
        <v>6</v>
      </c>
      <c r="P4509">
        <v>0</v>
      </c>
      <c r="Q4509">
        <v>3</v>
      </c>
      <c r="R4509" s="4">
        <v>9.73</v>
      </c>
      <c r="S4509">
        <v>0</v>
      </c>
      <c r="T4509">
        <v>1</v>
      </c>
    </row>
    <row r="4510" spans="1:20" ht="16.5" x14ac:dyDescent="0.3">
      <c r="A4510" t="s">
        <v>4564</v>
      </c>
      <c r="B4510" s="1">
        <v>45917</v>
      </c>
      <c r="C4510">
        <v>2025</v>
      </c>
      <c r="D4510" t="s">
        <v>1261</v>
      </c>
      <c r="E4510" t="s">
        <v>1651</v>
      </c>
      <c r="F4510" t="s">
        <v>34</v>
      </c>
      <c r="G4510" t="s">
        <v>39</v>
      </c>
      <c r="H4510" t="s">
        <v>36</v>
      </c>
      <c r="I4510" t="s">
        <v>26</v>
      </c>
      <c r="J4510" t="s">
        <v>27</v>
      </c>
      <c r="K4510" t="s">
        <v>28</v>
      </c>
      <c r="L4510" s="2">
        <v>61.8</v>
      </c>
      <c r="M4510" s="3">
        <v>263</v>
      </c>
      <c r="N4510">
        <v>3</v>
      </c>
      <c r="O4510">
        <v>8</v>
      </c>
      <c r="P4510">
        <v>0</v>
      </c>
      <c r="Q4510">
        <v>5</v>
      </c>
      <c r="R4510" s="4">
        <v>30.74</v>
      </c>
      <c r="S4510">
        <v>0</v>
      </c>
      <c r="T4510">
        <v>1</v>
      </c>
    </row>
    <row r="4511" spans="1:20" ht="16.5" x14ac:dyDescent="0.3">
      <c r="A4511" t="s">
        <v>4565</v>
      </c>
      <c r="B4511" s="1">
        <v>45917</v>
      </c>
      <c r="C4511">
        <v>2025</v>
      </c>
      <c r="D4511" t="s">
        <v>1261</v>
      </c>
      <c r="E4511" t="s">
        <v>1651</v>
      </c>
      <c r="F4511" t="s">
        <v>38</v>
      </c>
      <c r="G4511" t="s">
        <v>24</v>
      </c>
      <c r="H4511" t="s">
        <v>36</v>
      </c>
      <c r="I4511" t="s">
        <v>26</v>
      </c>
      <c r="J4511" t="s">
        <v>27</v>
      </c>
      <c r="K4511" t="s">
        <v>32</v>
      </c>
      <c r="L4511" s="2">
        <v>7.3</v>
      </c>
      <c r="M4511" s="3">
        <v>245</v>
      </c>
      <c r="N4511">
        <v>3</v>
      </c>
      <c r="O4511">
        <v>3</v>
      </c>
      <c r="P4511">
        <v>1</v>
      </c>
      <c r="Q4511">
        <v>0</v>
      </c>
      <c r="R4511" s="4">
        <v>14.48</v>
      </c>
      <c r="S4511">
        <v>0</v>
      </c>
      <c r="T4511">
        <v>1</v>
      </c>
    </row>
    <row r="4512" spans="1:20" ht="16.5" x14ac:dyDescent="0.3">
      <c r="A4512" t="s">
        <v>4566</v>
      </c>
      <c r="B4512" s="1">
        <v>45918</v>
      </c>
      <c r="C4512">
        <v>2025</v>
      </c>
      <c r="D4512" t="s">
        <v>1261</v>
      </c>
      <c r="E4512" t="s">
        <v>1651</v>
      </c>
      <c r="F4512" t="s">
        <v>38</v>
      </c>
      <c r="G4512" t="s">
        <v>35</v>
      </c>
      <c r="H4512" t="s">
        <v>36</v>
      </c>
      <c r="I4512" t="s">
        <v>26</v>
      </c>
      <c r="J4512" t="s">
        <v>27</v>
      </c>
      <c r="K4512" t="s">
        <v>32</v>
      </c>
      <c r="L4512" s="2">
        <v>9.5</v>
      </c>
      <c r="M4512" s="3">
        <v>315</v>
      </c>
      <c r="N4512">
        <v>3</v>
      </c>
      <c r="O4512">
        <v>3</v>
      </c>
      <c r="P4512">
        <v>1</v>
      </c>
      <c r="Q4512">
        <v>0</v>
      </c>
      <c r="R4512" s="4">
        <v>18.37</v>
      </c>
      <c r="S4512">
        <v>0</v>
      </c>
      <c r="T4512">
        <v>1</v>
      </c>
    </row>
    <row r="4513" spans="1:20" ht="16.5" x14ac:dyDescent="0.3">
      <c r="A4513" t="s">
        <v>4567</v>
      </c>
      <c r="B4513" s="1">
        <v>45918</v>
      </c>
      <c r="C4513">
        <v>2025</v>
      </c>
      <c r="D4513" t="s">
        <v>1261</v>
      </c>
      <c r="E4513" t="s">
        <v>1651</v>
      </c>
      <c r="F4513" t="s">
        <v>23</v>
      </c>
      <c r="G4513" t="s">
        <v>39</v>
      </c>
      <c r="H4513" t="s">
        <v>36</v>
      </c>
      <c r="I4513" t="s">
        <v>40</v>
      </c>
      <c r="J4513" t="s">
        <v>27</v>
      </c>
      <c r="K4513" t="s">
        <v>28</v>
      </c>
      <c r="L4513" s="2">
        <v>29.8</v>
      </c>
      <c r="M4513" s="3">
        <v>303</v>
      </c>
      <c r="N4513">
        <v>1</v>
      </c>
      <c r="O4513">
        <v>1</v>
      </c>
      <c r="P4513">
        <v>1</v>
      </c>
      <c r="Q4513">
        <v>0</v>
      </c>
      <c r="R4513" s="4">
        <v>47.11</v>
      </c>
      <c r="S4513">
        <v>0</v>
      </c>
      <c r="T4513">
        <v>1</v>
      </c>
    </row>
    <row r="4514" spans="1:20" ht="16.5" x14ac:dyDescent="0.3">
      <c r="A4514" t="s">
        <v>4568</v>
      </c>
      <c r="B4514" s="1">
        <v>45918</v>
      </c>
      <c r="C4514">
        <v>2025</v>
      </c>
      <c r="D4514" t="s">
        <v>1261</v>
      </c>
      <c r="E4514" t="s">
        <v>1651</v>
      </c>
      <c r="F4514" t="s">
        <v>30</v>
      </c>
      <c r="G4514" t="s">
        <v>35</v>
      </c>
      <c r="H4514" t="s">
        <v>48</v>
      </c>
      <c r="I4514" t="s">
        <v>31</v>
      </c>
      <c r="J4514" t="s">
        <v>27</v>
      </c>
      <c r="K4514" t="s">
        <v>28</v>
      </c>
      <c r="L4514" s="2">
        <v>70.099999999999994</v>
      </c>
      <c r="M4514" s="3">
        <v>554</v>
      </c>
      <c r="N4514">
        <v>6</v>
      </c>
      <c r="O4514">
        <v>6</v>
      </c>
      <c r="P4514">
        <v>1</v>
      </c>
      <c r="Q4514">
        <v>0</v>
      </c>
      <c r="R4514" s="4">
        <v>34.340000000000003</v>
      </c>
      <c r="S4514">
        <v>0</v>
      </c>
      <c r="T4514">
        <v>1</v>
      </c>
    </row>
    <row r="4515" spans="1:20" ht="16.5" x14ac:dyDescent="0.3">
      <c r="A4515" t="s">
        <v>4569</v>
      </c>
      <c r="B4515" s="1">
        <v>45918</v>
      </c>
      <c r="C4515">
        <v>2025</v>
      </c>
      <c r="D4515" t="s">
        <v>1261</v>
      </c>
      <c r="E4515" t="s">
        <v>1651</v>
      </c>
      <c r="F4515" t="s">
        <v>23</v>
      </c>
      <c r="G4515" t="s">
        <v>35</v>
      </c>
      <c r="H4515" t="s">
        <v>25</v>
      </c>
      <c r="I4515" t="s">
        <v>26</v>
      </c>
      <c r="J4515" t="s">
        <v>27</v>
      </c>
      <c r="K4515" t="s">
        <v>28</v>
      </c>
      <c r="L4515" s="2">
        <v>25</v>
      </c>
      <c r="M4515" s="3">
        <v>803</v>
      </c>
      <c r="N4515">
        <v>4</v>
      </c>
      <c r="O4515">
        <v>3</v>
      </c>
      <c r="P4515">
        <v>1</v>
      </c>
      <c r="Q4515">
        <v>0</v>
      </c>
      <c r="R4515" s="4">
        <v>26.96</v>
      </c>
      <c r="S4515">
        <v>0</v>
      </c>
      <c r="T4515">
        <v>1</v>
      </c>
    </row>
    <row r="4516" spans="1:20" ht="16.5" x14ac:dyDescent="0.3">
      <c r="A4516" t="s">
        <v>4570</v>
      </c>
      <c r="B4516" s="1">
        <v>45919</v>
      </c>
      <c r="C4516">
        <v>2025</v>
      </c>
      <c r="D4516" t="s">
        <v>1261</v>
      </c>
      <c r="E4516" t="s">
        <v>1651</v>
      </c>
      <c r="F4516" t="s">
        <v>34</v>
      </c>
      <c r="G4516" t="s">
        <v>35</v>
      </c>
      <c r="H4516" t="s">
        <v>48</v>
      </c>
      <c r="I4516" t="s">
        <v>31</v>
      </c>
      <c r="J4516" t="s">
        <v>27</v>
      </c>
      <c r="K4516" t="s">
        <v>32</v>
      </c>
      <c r="L4516" s="2">
        <v>14</v>
      </c>
      <c r="M4516" s="3">
        <v>567</v>
      </c>
      <c r="N4516">
        <v>6</v>
      </c>
      <c r="O4516">
        <v>6</v>
      </c>
      <c r="P4516">
        <v>1</v>
      </c>
      <c r="Q4516">
        <v>0</v>
      </c>
      <c r="R4516" s="4">
        <v>13.1</v>
      </c>
      <c r="S4516">
        <v>0</v>
      </c>
      <c r="T4516">
        <v>1</v>
      </c>
    </row>
    <row r="4517" spans="1:20" ht="16.5" x14ac:dyDescent="0.3">
      <c r="A4517" t="s">
        <v>4571</v>
      </c>
      <c r="B4517" s="1">
        <v>45919</v>
      </c>
      <c r="C4517">
        <v>2025</v>
      </c>
      <c r="D4517" t="s">
        <v>1261</v>
      </c>
      <c r="E4517" t="s">
        <v>1651</v>
      </c>
      <c r="F4517" t="s">
        <v>57</v>
      </c>
      <c r="G4517" t="s">
        <v>39</v>
      </c>
      <c r="H4517" t="s">
        <v>43</v>
      </c>
      <c r="I4517" t="s">
        <v>26</v>
      </c>
      <c r="J4517" t="s">
        <v>27</v>
      </c>
      <c r="K4517" t="s">
        <v>32</v>
      </c>
      <c r="L4517" s="2">
        <v>18.8</v>
      </c>
      <c r="M4517" s="3">
        <v>1649</v>
      </c>
      <c r="N4517">
        <v>5</v>
      </c>
      <c r="O4517">
        <v>5</v>
      </c>
      <c r="P4517">
        <v>1</v>
      </c>
      <c r="Q4517">
        <v>0</v>
      </c>
      <c r="R4517" s="4">
        <v>37.21</v>
      </c>
      <c r="S4517">
        <v>0</v>
      </c>
      <c r="T4517">
        <v>1</v>
      </c>
    </row>
    <row r="4518" spans="1:20" ht="16.5" x14ac:dyDescent="0.3">
      <c r="A4518" t="s">
        <v>4572</v>
      </c>
      <c r="B4518" s="1">
        <v>45919</v>
      </c>
      <c r="C4518">
        <v>2025</v>
      </c>
      <c r="D4518" t="s">
        <v>1261</v>
      </c>
      <c r="E4518" t="s">
        <v>1651</v>
      </c>
      <c r="F4518" t="s">
        <v>38</v>
      </c>
      <c r="G4518" t="s">
        <v>24</v>
      </c>
      <c r="H4518" t="s">
        <v>48</v>
      </c>
      <c r="I4518" t="s">
        <v>26</v>
      </c>
      <c r="J4518" t="s">
        <v>27</v>
      </c>
      <c r="K4518" t="s">
        <v>32</v>
      </c>
      <c r="L4518" s="2">
        <v>4.3</v>
      </c>
      <c r="M4518" s="3">
        <v>604</v>
      </c>
      <c r="N4518">
        <v>4</v>
      </c>
      <c r="O4518">
        <v>3</v>
      </c>
      <c r="P4518">
        <v>1</v>
      </c>
      <c r="Q4518">
        <v>0</v>
      </c>
      <c r="R4518" s="4">
        <v>16.87</v>
      </c>
      <c r="S4518">
        <v>0</v>
      </c>
      <c r="T4518">
        <v>1</v>
      </c>
    </row>
    <row r="4519" spans="1:20" ht="16.5" x14ac:dyDescent="0.3">
      <c r="A4519" t="s">
        <v>4573</v>
      </c>
      <c r="B4519" s="1">
        <v>45919</v>
      </c>
      <c r="C4519">
        <v>2025</v>
      </c>
      <c r="D4519" t="s">
        <v>1261</v>
      </c>
      <c r="E4519" t="s">
        <v>1651</v>
      </c>
      <c r="F4519" t="s">
        <v>30</v>
      </c>
      <c r="G4519" t="s">
        <v>35</v>
      </c>
      <c r="H4519" t="s">
        <v>36</v>
      </c>
      <c r="I4519" t="s">
        <v>31</v>
      </c>
      <c r="J4519" t="s">
        <v>27</v>
      </c>
      <c r="K4519" t="s">
        <v>32</v>
      </c>
      <c r="L4519" s="2">
        <v>1.8</v>
      </c>
      <c r="M4519" s="3">
        <v>267</v>
      </c>
      <c r="N4519">
        <v>5</v>
      </c>
      <c r="O4519">
        <v>5</v>
      </c>
      <c r="P4519">
        <v>1</v>
      </c>
      <c r="Q4519">
        <v>0</v>
      </c>
      <c r="R4519" s="4">
        <v>7.12</v>
      </c>
      <c r="S4519">
        <v>0</v>
      </c>
      <c r="T4519">
        <v>1</v>
      </c>
    </row>
    <row r="4520" spans="1:20" ht="16.5" x14ac:dyDescent="0.3">
      <c r="A4520" t="s">
        <v>4574</v>
      </c>
      <c r="B4520" s="1">
        <v>45919</v>
      </c>
      <c r="C4520">
        <v>2025</v>
      </c>
      <c r="D4520" t="s">
        <v>1261</v>
      </c>
      <c r="E4520" t="s">
        <v>1651</v>
      </c>
      <c r="F4520" t="s">
        <v>38</v>
      </c>
      <c r="G4520" t="s">
        <v>24</v>
      </c>
      <c r="H4520" t="s">
        <v>43</v>
      </c>
      <c r="I4520" t="s">
        <v>26</v>
      </c>
      <c r="J4520" t="s">
        <v>27</v>
      </c>
      <c r="K4520" t="s">
        <v>28</v>
      </c>
      <c r="L4520" s="2">
        <v>213.5</v>
      </c>
      <c r="M4520" s="3">
        <v>1335</v>
      </c>
      <c r="N4520">
        <v>5</v>
      </c>
      <c r="O4520">
        <v>4</v>
      </c>
      <c r="P4520">
        <v>1</v>
      </c>
      <c r="Q4520">
        <v>0</v>
      </c>
      <c r="R4520" s="4">
        <v>122.1</v>
      </c>
      <c r="S4520">
        <v>0</v>
      </c>
      <c r="T4520">
        <v>1</v>
      </c>
    </row>
    <row r="4521" spans="1:20" ht="16.5" x14ac:dyDescent="0.3">
      <c r="A4521" t="s">
        <v>4575</v>
      </c>
      <c r="B4521" s="1">
        <v>45919</v>
      </c>
      <c r="C4521">
        <v>2025</v>
      </c>
      <c r="D4521" t="s">
        <v>1261</v>
      </c>
      <c r="E4521" t="s">
        <v>1651</v>
      </c>
      <c r="F4521" t="s">
        <v>30</v>
      </c>
      <c r="G4521" t="s">
        <v>35</v>
      </c>
      <c r="H4521" t="s">
        <v>43</v>
      </c>
      <c r="I4521" t="s">
        <v>40</v>
      </c>
      <c r="J4521" t="s">
        <v>41</v>
      </c>
      <c r="K4521" t="s">
        <v>32</v>
      </c>
      <c r="L4521" s="2">
        <v>1.9</v>
      </c>
      <c r="M4521" s="3">
        <v>924</v>
      </c>
      <c r="N4521">
        <v>3</v>
      </c>
      <c r="O4521">
        <v>8</v>
      </c>
      <c r="P4521">
        <v>0</v>
      </c>
      <c r="Q4521">
        <v>5</v>
      </c>
      <c r="R4521" s="4">
        <v>54.71</v>
      </c>
      <c r="S4521">
        <v>1</v>
      </c>
      <c r="T4521">
        <v>1</v>
      </c>
    </row>
    <row r="4522" spans="1:20" ht="16.5" x14ac:dyDescent="0.3">
      <c r="A4522" t="s">
        <v>4576</v>
      </c>
      <c r="B4522" s="1">
        <v>45919</v>
      </c>
      <c r="C4522">
        <v>2025</v>
      </c>
      <c r="D4522" t="s">
        <v>1261</v>
      </c>
      <c r="E4522" t="s">
        <v>1651</v>
      </c>
      <c r="F4522" t="s">
        <v>34</v>
      </c>
      <c r="G4522" t="s">
        <v>39</v>
      </c>
      <c r="H4522" t="s">
        <v>36</v>
      </c>
      <c r="I4522" t="s">
        <v>26</v>
      </c>
      <c r="J4522" t="s">
        <v>27</v>
      </c>
      <c r="K4522" t="s">
        <v>28</v>
      </c>
      <c r="L4522" s="2">
        <v>168.8</v>
      </c>
      <c r="M4522" s="3">
        <v>221</v>
      </c>
      <c r="N4522">
        <v>3</v>
      </c>
      <c r="O4522">
        <v>3</v>
      </c>
      <c r="P4522">
        <v>1</v>
      </c>
      <c r="Q4522">
        <v>0</v>
      </c>
      <c r="R4522" s="4">
        <v>67.290000000000006</v>
      </c>
      <c r="S4522">
        <v>0</v>
      </c>
      <c r="T4522">
        <v>1</v>
      </c>
    </row>
    <row r="4523" spans="1:20" ht="16.5" x14ac:dyDescent="0.3">
      <c r="A4523" t="s">
        <v>4577</v>
      </c>
      <c r="B4523" s="1">
        <v>45919</v>
      </c>
      <c r="C4523">
        <v>2025</v>
      </c>
      <c r="D4523" t="s">
        <v>1261</v>
      </c>
      <c r="E4523" t="s">
        <v>1651</v>
      </c>
      <c r="F4523" t="s">
        <v>30</v>
      </c>
      <c r="G4523" t="s">
        <v>39</v>
      </c>
      <c r="H4523" t="s">
        <v>25</v>
      </c>
      <c r="I4523" t="s">
        <v>31</v>
      </c>
      <c r="J4523" t="s">
        <v>27</v>
      </c>
      <c r="K4523" t="s">
        <v>28</v>
      </c>
      <c r="L4523" s="2">
        <v>54.6</v>
      </c>
      <c r="M4523" s="3">
        <v>1100</v>
      </c>
      <c r="N4523">
        <v>6</v>
      </c>
      <c r="O4523">
        <v>6</v>
      </c>
      <c r="P4523">
        <v>1</v>
      </c>
      <c r="Q4523">
        <v>0</v>
      </c>
      <c r="R4523" s="4">
        <v>35.340000000000003</v>
      </c>
      <c r="S4523">
        <v>0</v>
      </c>
      <c r="T4523">
        <v>1</v>
      </c>
    </row>
    <row r="4524" spans="1:20" ht="16.5" x14ac:dyDescent="0.3">
      <c r="A4524" t="s">
        <v>4578</v>
      </c>
      <c r="B4524" s="1">
        <v>45919</v>
      </c>
      <c r="C4524">
        <v>2025</v>
      </c>
      <c r="D4524" t="s">
        <v>1261</v>
      </c>
      <c r="E4524" t="s">
        <v>1651</v>
      </c>
      <c r="F4524" t="s">
        <v>38</v>
      </c>
      <c r="G4524" t="s">
        <v>39</v>
      </c>
      <c r="H4524" t="s">
        <v>25</v>
      </c>
      <c r="I4524" t="s">
        <v>26</v>
      </c>
      <c r="J4524" t="s">
        <v>27</v>
      </c>
      <c r="K4524" t="s">
        <v>32</v>
      </c>
      <c r="L4524" s="2">
        <v>6.6</v>
      </c>
      <c r="M4524" s="3">
        <v>962</v>
      </c>
      <c r="N4524">
        <v>4</v>
      </c>
      <c r="O4524">
        <v>3</v>
      </c>
      <c r="P4524">
        <v>1</v>
      </c>
      <c r="Q4524">
        <v>0</v>
      </c>
      <c r="R4524" s="4">
        <v>24.3</v>
      </c>
      <c r="S4524">
        <v>0</v>
      </c>
      <c r="T4524">
        <v>1</v>
      </c>
    </row>
    <row r="4525" spans="1:20" ht="16.5" x14ac:dyDescent="0.3">
      <c r="A4525" t="s">
        <v>4579</v>
      </c>
      <c r="B4525" s="1">
        <v>45919</v>
      </c>
      <c r="C4525">
        <v>2025</v>
      </c>
      <c r="D4525" t="s">
        <v>1261</v>
      </c>
      <c r="E4525" t="s">
        <v>1651</v>
      </c>
      <c r="F4525" t="s">
        <v>57</v>
      </c>
      <c r="G4525" t="s">
        <v>39</v>
      </c>
      <c r="H4525" t="s">
        <v>48</v>
      </c>
      <c r="I4525" t="s">
        <v>31</v>
      </c>
      <c r="J4525" t="s">
        <v>27</v>
      </c>
      <c r="K4525" t="s">
        <v>32</v>
      </c>
      <c r="L4525" s="2">
        <v>3.6</v>
      </c>
      <c r="M4525" s="3">
        <v>547</v>
      </c>
      <c r="N4525">
        <v>6</v>
      </c>
      <c r="O4525">
        <v>6</v>
      </c>
      <c r="P4525">
        <v>1</v>
      </c>
      <c r="Q4525">
        <v>0</v>
      </c>
      <c r="R4525" s="4">
        <v>11.46</v>
      </c>
      <c r="S4525">
        <v>0</v>
      </c>
      <c r="T4525">
        <v>1</v>
      </c>
    </row>
    <row r="4526" spans="1:20" ht="16.5" x14ac:dyDescent="0.3">
      <c r="A4526" t="s">
        <v>4580</v>
      </c>
      <c r="B4526" s="1">
        <v>45919</v>
      </c>
      <c r="C4526">
        <v>2025</v>
      </c>
      <c r="D4526" t="s">
        <v>1261</v>
      </c>
      <c r="E4526" t="s">
        <v>1651</v>
      </c>
      <c r="F4526" t="s">
        <v>57</v>
      </c>
      <c r="G4526" t="s">
        <v>24</v>
      </c>
      <c r="H4526" t="s">
        <v>48</v>
      </c>
      <c r="I4526" t="s">
        <v>40</v>
      </c>
      <c r="J4526" t="s">
        <v>27</v>
      </c>
      <c r="K4526" t="s">
        <v>28</v>
      </c>
      <c r="L4526" s="2">
        <v>37.799999999999997</v>
      </c>
      <c r="M4526" s="3">
        <v>505</v>
      </c>
      <c r="N4526">
        <v>2</v>
      </c>
      <c r="O4526">
        <v>3</v>
      </c>
      <c r="P4526">
        <v>0</v>
      </c>
      <c r="Q4526">
        <v>1</v>
      </c>
      <c r="R4526" s="4">
        <v>59.54</v>
      </c>
      <c r="S4526">
        <v>0</v>
      </c>
      <c r="T4526">
        <v>1</v>
      </c>
    </row>
    <row r="4527" spans="1:20" ht="16.5" x14ac:dyDescent="0.3">
      <c r="A4527" t="s">
        <v>4581</v>
      </c>
      <c r="B4527" s="1">
        <v>45920</v>
      </c>
      <c r="C4527">
        <v>2025</v>
      </c>
      <c r="D4527" t="s">
        <v>1261</v>
      </c>
      <c r="E4527" t="s">
        <v>1651</v>
      </c>
      <c r="F4527" t="s">
        <v>30</v>
      </c>
      <c r="G4527" t="s">
        <v>24</v>
      </c>
      <c r="H4527" t="s">
        <v>36</v>
      </c>
      <c r="I4527" t="s">
        <v>31</v>
      </c>
      <c r="J4527" t="s">
        <v>27</v>
      </c>
      <c r="K4527" t="s">
        <v>28</v>
      </c>
      <c r="L4527" s="2">
        <v>82</v>
      </c>
      <c r="M4527" s="3">
        <v>288</v>
      </c>
      <c r="N4527">
        <v>5</v>
      </c>
      <c r="O4527">
        <v>7</v>
      </c>
      <c r="P4527">
        <v>0</v>
      </c>
      <c r="Q4527">
        <v>2</v>
      </c>
      <c r="R4527" s="4">
        <v>38.94</v>
      </c>
      <c r="S4527">
        <v>0</v>
      </c>
      <c r="T4527">
        <v>1</v>
      </c>
    </row>
    <row r="4528" spans="1:20" ht="16.5" x14ac:dyDescent="0.3">
      <c r="A4528" t="s">
        <v>4582</v>
      </c>
      <c r="B4528" s="1">
        <v>45920</v>
      </c>
      <c r="C4528">
        <v>2025</v>
      </c>
      <c r="D4528" t="s">
        <v>1261</v>
      </c>
      <c r="E4528" t="s">
        <v>1651</v>
      </c>
      <c r="F4528" t="s">
        <v>57</v>
      </c>
      <c r="G4528" t="s">
        <v>39</v>
      </c>
      <c r="H4528" t="s">
        <v>36</v>
      </c>
      <c r="I4528" t="s">
        <v>26</v>
      </c>
      <c r="J4528" t="s">
        <v>27</v>
      </c>
      <c r="K4528" t="s">
        <v>28</v>
      </c>
      <c r="L4528" s="2">
        <v>82.3</v>
      </c>
      <c r="M4528" s="3">
        <v>261</v>
      </c>
      <c r="N4528">
        <v>3</v>
      </c>
      <c r="O4528">
        <v>3</v>
      </c>
      <c r="P4528">
        <v>1</v>
      </c>
      <c r="Q4528">
        <v>0</v>
      </c>
      <c r="R4528" s="4">
        <v>46.23</v>
      </c>
      <c r="S4528">
        <v>0</v>
      </c>
      <c r="T4528">
        <v>1</v>
      </c>
    </row>
    <row r="4529" spans="1:20" ht="16.5" x14ac:dyDescent="0.3">
      <c r="A4529" t="s">
        <v>4583</v>
      </c>
      <c r="B4529" s="1">
        <v>45920</v>
      </c>
      <c r="C4529">
        <v>2025</v>
      </c>
      <c r="D4529" t="s">
        <v>1261</v>
      </c>
      <c r="E4529" t="s">
        <v>1651</v>
      </c>
      <c r="F4529" t="s">
        <v>57</v>
      </c>
      <c r="G4529" t="s">
        <v>39</v>
      </c>
      <c r="H4529" t="s">
        <v>36</v>
      </c>
      <c r="I4529" t="s">
        <v>26</v>
      </c>
      <c r="J4529" t="s">
        <v>27</v>
      </c>
      <c r="K4529" t="s">
        <v>32</v>
      </c>
      <c r="L4529" s="2">
        <v>8.1</v>
      </c>
      <c r="M4529" s="3">
        <v>278</v>
      </c>
      <c r="N4529">
        <v>3</v>
      </c>
      <c r="O4529">
        <v>2</v>
      </c>
      <c r="P4529">
        <v>1</v>
      </c>
      <c r="Q4529">
        <v>0</v>
      </c>
      <c r="R4529" s="4">
        <v>14.52</v>
      </c>
      <c r="S4529">
        <v>0</v>
      </c>
      <c r="T4529">
        <v>1</v>
      </c>
    </row>
    <row r="4530" spans="1:20" ht="16.5" x14ac:dyDescent="0.3">
      <c r="A4530" t="s">
        <v>4584</v>
      </c>
      <c r="B4530" s="1">
        <v>45920</v>
      </c>
      <c r="C4530">
        <v>2025</v>
      </c>
      <c r="D4530" t="s">
        <v>1261</v>
      </c>
      <c r="E4530" t="s">
        <v>1651</v>
      </c>
      <c r="F4530" t="s">
        <v>57</v>
      </c>
      <c r="G4530" t="s">
        <v>39</v>
      </c>
      <c r="H4530" t="s">
        <v>48</v>
      </c>
      <c r="I4530" t="s">
        <v>26</v>
      </c>
      <c r="J4530" t="s">
        <v>27</v>
      </c>
      <c r="K4530" t="s">
        <v>28</v>
      </c>
      <c r="L4530" s="2">
        <v>131.69999999999999</v>
      </c>
      <c r="M4530" s="3">
        <v>468</v>
      </c>
      <c r="N4530">
        <v>4</v>
      </c>
      <c r="O4530">
        <v>4</v>
      </c>
      <c r="P4530">
        <v>1</v>
      </c>
      <c r="Q4530">
        <v>0</v>
      </c>
      <c r="R4530" s="4">
        <v>61.14</v>
      </c>
      <c r="S4530">
        <v>0</v>
      </c>
      <c r="T4530">
        <v>1</v>
      </c>
    </row>
    <row r="4531" spans="1:20" ht="16.5" x14ac:dyDescent="0.3">
      <c r="A4531" t="s">
        <v>4585</v>
      </c>
      <c r="B4531" s="1">
        <v>45920</v>
      </c>
      <c r="C4531">
        <v>2025</v>
      </c>
      <c r="D4531" t="s">
        <v>1261</v>
      </c>
      <c r="E4531" t="s">
        <v>1651</v>
      </c>
      <c r="F4531" t="s">
        <v>23</v>
      </c>
      <c r="G4531" t="s">
        <v>35</v>
      </c>
      <c r="H4531" t="s">
        <v>25</v>
      </c>
      <c r="I4531" t="s">
        <v>40</v>
      </c>
      <c r="J4531" t="s">
        <v>41</v>
      </c>
      <c r="K4531" t="s">
        <v>28</v>
      </c>
      <c r="L4531" s="2">
        <v>104</v>
      </c>
      <c r="M4531" s="3">
        <v>805</v>
      </c>
      <c r="N4531">
        <v>2</v>
      </c>
      <c r="O4531">
        <v>1</v>
      </c>
      <c r="P4531">
        <v>1</v>
      </c>
      <c r="Q4531">
        <v>0</v>
      </c>
      <c r="R4531" s="4">
        <v>179.36</v>
      </c>
      <c r="S4531">
        <v>0</v>
      </c>
      <c r="T4531">
        <v>1</v>
      </c>
    </row>
    <row r="4532" spans="1:20" ht="16.5" x14ac:dyDescent="0.3">
      <c r="A4532" t="s">
        <v>4586</v>
      </c>
      <c r="B4532" s="1">
        <v>45920</v>
      </c>
      <c r="C4532">
        <v>2025</v>
      </c>
      <c r="D4532" t="s">
        <v>1261</v>
      </c>
      <c r="E4532" t="s">
        <v>1651</v>
      </c>
      <c r="F4532" t="s">
        <v>57</v>
      </c>
      <c r="G4532" t="s">
        <v>35</v>
      </c>
      <c r="H4532" t="s">
        <v>51</v>
      </c>
      <c r="I4532" t="s">
        <v>26</v>
      </c>
      <c r="J4532" t="s">
        <v>27</v>
      </c>
      <c r="K4532" t="s">
        <v>32</v>
      </c>
      <c r="L4532" s="2">
        <v>5.0999999999999996</v>
      </c>
      <c r="M4532" s="3">
        <v>854</v>
      </c>
      <c r="N4532">
        <v>5</v>
      </c>
      <c r="O4532">
        <v>5</v>
      </c>
      <c r="P4532">
        <v>1</v>
      </c>
      <c r="Q4532">
        <v>0</v>
      </c>
      <c r="R4532" s="4">
        <v>19.47</v>
      </c>
      <c r="S4532">
        <v>0</v>
      </c>
      <c r="T4532">
        <v>1</v>
      </c>
    </row>
    <row r="4533" spans="1:20" ht="16.5" x14ac:dyDescent="0.3">
      <c r="A4533" t="s">
        <v>4587</v>
      </c>
      <c r="B4533" s="1">
        <v>45920</v>
      </c>
      <c r="C4533">
        <v>2025</v>
      </c>
      <c r="D4533" t="s">
        <v>1261</v>
      </c>
      <c r="E4533" t="s">
        <v>1651</v>
      </c>
      <c r="F4533" t="s">
        <v>57</v>
      </c>
      <c r="G4533" t="s">
        <v>35</v>
      </c>
      <c r="H4533" t="s">
        <v>48</v>
      </c>
      <c r="I4533" t="s">
        <v>40</v>
      </c>
      <c r="J4533" t="s">
        <v>27</v>
      </c>
      <c r="K4533" t="s">
        <v>28</v>
      </c>
      <c r="L4533" s="2">
        <v>88.8</v>
      </c>
      <c r="M4533" s="3">
        <v>539</v>
      </c>
      <c r="N4533">
        <v>2</v>
      </c>
      <c r="O4533">
        <v>1</v>
      </c>
      <c r="P4533">
        <v>1</v>
      </c>
      <c r="Q4533">
        <v>0</v>
      </c>
      <c r="R4533" s="4">
        <v>87.6</v>
      </c>
      <c r="S4533">
        <v>0</v>
      </c>
      <c r="T4533">
        <v>1</v>
      </c>
    </row>
    <row r="4534" spans="1:20" ht="16.5" x14ac:dyDescent="0.3">
      <c r="A4534" t="s">
        <v>4588</v>
      </c>
      <c r="B4534" s="1">
        <v>45920</v>
      </c>
      <c r="C4534">
        <v>2025</v>
      </c>
      <c r="D4534" t="s">
        <v>1261</v>
      </c>
      <c r="E4534" t="s">
        <v>1651</v>
      </c>
      <c r="F4534" t="s">
        <v>57</v>
      </c>
      <c r="G4534" t="s">
        <v>35</v>
      </c>
      <c r="H4534" t="s">
        <v>48</v>
      </c>
      <c r="I4534" t="s">
        <v>31</v>
      </c>
      <c r="J4534" t="s">
        <v>27</v>
      </c>
      <c r="K4534" t="s">
        <v>28</v>
      </c>
      <c r="L4534" s="2">
        <v>119.5</v>
      </c>
      <c r="M4534" s="3">
        <v>447</v>
      </c>
      <c r="N4534">
        <v>6</v>
      </c>
      <c r="O4534">
        <v>6</v>
      </c>
      <c r="P4534">
        <v>1</v>
      </c>
      <c r="Q4534">
        <v>0</v>
      </c>
      <c r="R4534" s="4">
        <v>45.07</v>
      </c>
      <c r="S4534">
        <v>0</v>
      </c>
      <c r="T4534">
        <v>1</v>
      </c>
    </row>
    <row r="4535" spans="1:20" ht="16.5" x14ac:dyDescent="0.3">
      <c r="A4535" t="s">
        <v>4589</v>
      </c>
      <c r="B4535" s="1">
        <v>45920</v>
      </c>
      <c r="C4535">
        <v>2025</v>
      </c>
      <c r="D4535" t="s">
        <v>1261</v>
      </c>
      <c r="E4535" t="s">
        <v>1651</v>
      </c>
      <c r="F4535" t="s">
        <v>38</v>
      </c>
      <c r="G4535" t="s">
        <v>39</v>
      </c>
      <c r="H4535" t="s">
        <v>36</v>
      </c>
      <c r="I4535" t="s">
        <v>26</v>
      </c>
      <c r="J4535" t="s">
        <v>27</v>
      </c>
      <c r="K4535" t="s">
        <v>28</v>
      </c>
      <c r="L4535" s="2">
        <v>162.9</v>
      </c>
      <c r="M4535" s="3">
        <v>230</v>
      </c>
      <c r="N4535">
        <v>3</v>
      </c>
      <c r="O4535">
        <v>6</v>
      </c>
      <c r="P4535">
        <v>0</v>
      </c>
      <c r="Q4535">
        <v>3</v>
      </c>
      <c r="R4535" s="4">
        <v>90.48</v>
      </c>
      <c r="S4535">
        <v>0</v>
      </c>
      <c r="T4535">
        <v>1</v>
      </c>
    </row>
    <row r="4536" spans="1:20" ht="16.5" x14ac:dyDescent="0.3">
      <c r="A4536" t="s">
        <v>4590</v>
      </c>
      <c r="B4536" s="1">
        <v>45921</v>
      </c>
      <c r="C4536">
        <v>2025</v>
      </c>
      <c r="D4536" t="s">
        <v>1261</v>
      </c>
      <c r="E4536" t="s">
        <v>1651</v>
      </c>
      <c r="F4536" t="s">
        <v>38</v>
      </c>
      <c r="G4536" t="s">
        <v>24</v>
      </c>
      <c r="H4536" t="s">
        <v>48</v>
      </c>
      <c r="I4536" t="s">
        <v>26</v>
      </c>
      <c r="J4536" t="s">
        <v>27</v>
      </c>
      <c r="K4536" t="s">
        <v>32</v>
      </c>
      <c r="L4536" s="2">
        <v>9.1</v>
      </c>
      <c r="M4536" s="3">
        <v>460</v>
      </c>
      <c r="N4536">
        <v>4</v>
      </c>
      <c r="O4536">
        <v>3</v>
      </c>
      <c r="P4536">
        <v>1</v>
      </c>
      <c r="Q4536">
        <v>0</v>
      </c>
      <c r="R4536" s="4">
        <v>19.850000000000001</v>
      </c>
      <c r="S4536">
        <v>0</v>
      </c>
      <c r="T4536">
        <v>1</v>
      </c>
    </row>
    <row r="4537" spans="1:20" ht="16.5" x14ac:dyDescent="0.3">
      <c r="A4537" t="s">
        <v>4591</v>
      </c>
      <c r="B4537" s="1">
        <v>45921</v>
      </c>
      <c r="C4537">
        <v>2025</v>
      </c>
      <c r="D4537" t="s">
        <v>1261</v>
      </c>
      <c r="E4537" t="s">
        <v>1651</v>
      </c>
      <c r="F4537" t="s">
        <v>23</v>
      </c>
      <c r="G4537" t="s">
        <v>35</v>
      </c>
      <c r="H4537" t="s">
        <v>36</v>
      </c>
      <c r="I4537" t="s">
        <v>40</v>
      </c>
      <c r="J4537" t="s">
        <v>27</v>
      </c>
      <c r="K4537" t="s">
        <v>32</v>
      </c>
      <c r="L4537" s="2">
        <v>2</v>
      </c>
      <c r="M4537" s="3">
        <v>197</v>
      </c>
      <c r="N4537">
        <v>1</v>
      </c>
      <c r="O4537">
        <v>1</v>
      </c>
      <c r="P4537">
        <v>1</v>
      </c>
      <c r="Q4537">
        <v>0</v>
      </c>
      <c r="R4537" s="4">
        <v>18.55</v>
      </c>
      <c r="S4537">
        <v>1</v>
      </c>
      <c r="T4537">
        <v>1</v>
      </c>
    </row>
    <row r="4538" spans="1:20" ht="16.5" x14ac:dyDescent="0.3">
      <c r="A4538" t="s">
        <v>4592</v>
      </c>
      <c r="B4538" s="1">
        <v>45922</v>
      </c>
      <c r="C4538">
        <v>2025</v>
      </c>
      <c r="D4538" t="s">
        <v>1261</v>
      </c>
      <c r="E4538" t="s">
        <v>1651</v>
      </c>
      <c r="F4538" t="s">
        <v>23</v>
      </c>
      <c r="G4538" t="s">
        <v>39</v>
      </c>
      <c r="H4538" t="s">
        <v>36</v>
      </c>
      <c r="I4538" t="s">
        <v>26</v>
      </c>
      <c r="J4538" t="s">
        <v>27</v>
      </c>
      <c r="K4538" t="s">
        <v>32</v>
      </c>
      <c r="L4538" s="2">
        <v>10.1</v>
      </c>
      <c r="M4538" s="3">
        <v>218</v>
      </c>
      <c r="N4538">
        <v>3</v>
      </c>
      <c r="O4538">
        <v>3</v>
      </c>
      <c r="P4538">
        <v>1</v>
      </c>
      <c r="Q4538">
        <v>0</v>
      </c>
      <c r="R4538" s="4">
        <v>15.93</v>
      </c>
      <c r="S4538">
        <v>0</v>
      </c>
      <c r="T4538">
        <v>1</v>
      </c>
    </row>
    <row r="4539" spans="1:20" ht="16.5" x14ac:dyDescent="0.3">
      <c r="A4539" t="s">
        <v>4593</v>
      </c>
      <c r="B4539" s="1">
        <v>45922</v>
      </c>
      <c r="C4539">
        <v>2025</v>
      </c>
      <c r="D4539" t="s">
        <v>1261</v>
      </c>
      <c r="E4539" t="s">
        <v>1651</v>
      </c>
      <c r="F4539" t="s">
        <v>57</v>
      </c>
      <c r="G4539" t="s">
        <v>39</v>
      </c>
      <c r="H4539" t="s">
        <v>36</v>
      </c>
      <c r="I4539" t="s">
        <v>26</v>
      </c>
      <c r="J4539" t="s">
        <v>27</v>
      </c>
      <c r="K4539" t="s">
        <v>28</v>
      </c>
      <c r="L4539" s="2">
        <v>92.3</v>
      </c>
      <c r="M4539" s="3">
        <v>219</v>
      </c>
      <c r="N4539">
        <v>3</v>
      </c>
      <c r="O4539">
        <v>2</v>
      </c>
      <c r="P4539">
        <v>1</v>
      </c>
      <c r="Q4539">
        <v>0</v>
      </c>
      <c r="R4539" s="4">
        <v>50.45</v>
      </c>
      <c r="S4539">
        <v>0</v>
      </c>
      <c r="T4539">
        <v>1</v>
      </c>
    </row>
    <row r="4540" spans="1:20" ht="16.5" x14ac:dyDescent="0.3">
      <c r="A4540" t="s">
        <v>4594</v>
      </c>
      <c r="B4540" s="1">
        <v>45922</v>
      </c>
      <c r="C4540">
        <v>2025</v>
      </c>
      <c r="D4540" t="s">
        <v>1261</v>
      </c>
      <c r="E4540" t="s">
        <v>1651</v>
      </c>
      <c r="F4540" t="s">
        <v>38</v>
      </c>
      <c r="G4540" t="s">
        <v>24</v>
      </c>
      <c r="H4540" t="s">
        <v>36</v>
      </c>
      <c r="I4540" t="s">
        <v>31</v>
      </c>
      <c r="J4540" t="s">
        <v>27</v>
      </c>
      <c r="K4540" t="s">
        <v>28</v>
      </c>
      <c r="L4540" s="2">
        <v>163.69999999999999</v>
      </c>
      <c r="M4540" s="3">
        <v>264</v>
      </c>
      <c r="N4540">
        <v>5</v>
      </c>
      <c r="O4540">
        <v>4</v>
      </c>
      <c r="P4540">
        <v>1</v>
      </c>
      <c r="Q4540">
        <v>0</v>
      </c>
      <c r="R4540" s="4">
        <v>57.51</v>
      </c>
      <c r="S4540">
        <v>0</v>
      </c>
      <c r="T4540">
        <v>1</v>
      </c>
    </row>
    <row r="4541" spans="1:20" ht="16.5" x14ac:dyDescent="0.3">
      <c r="A4541" t="s">
        <v>4595</v>
      </c>
      <c r="B4541" s="1">
        <v>45922</v>
      </c>
      <c r="C4541">
        <v>2025</v>
      </c>
      <c r="D4541" t="s">
        <v>1261</v>
      </c>
      <c r="E4541" t="s">
        <v>1651</v>
      </c>
      <c r="F4541" t="s">
        <v>34</v>
      </c>
      <c r="G4541" t="s">
        <v>24</v>
      </c>
      <c r="H4541" t="s">
        <v>25</v>
      </c>
      <c r="I4541" t="s">
        <v>26</v>
      </c>
      <c r="J4541" t="s">
        <v>27</v>
      </c>
      <c r="K4541" t="s">
        <v>32</v>
      </c>
      <c r="L4541" s="2">
        <v>1.9</v>
      </c>
      <c r="M4541" s="3">
        <v>832</v>
      </c>
      <c r="N4541">
        <v>4</v>
      </c>
      <c r="O4541">
        <v>4</v>
      </c>
      <c r="P4541">
        <v>1</v>
      </c>
      <c r="Q4541">
        <v>0</v>
      </c>
      <c r="R4541" s="4">
        <v>14.53</v>
      </c>
      <c r="S4541">
        <v>0</v>
      </c>
      <c r="T4541">
        <v>1</v>
      </c>
    </row>
    <row r="4542" spans="1:20" ht="16.5" x14ac:dyDescent="0.3">
      <c r="A4542" t="s">
        <v>4596</v>
      </c>
      <c r="B4542" s="1">
        <v>45922</v>
      </c>
      <c r="C4542">
        <v>2025</v>
      </c>
      <c r="D4542" t="s">
        <v>1261</v>
      </c>
      <c r="E4542" t="s">
        <v>1651</v>
      </c>
      <c r="F4542" t="s">
        <v>34</v>
      </c>
      <c r="G4542" t="s">
        <v>35</v>
      </c>
      <c r="H4542" t="s">
        <v>51</v>
      </c>
      <c r="I4542" t="s">
        <v>26</v>
      </c>
      <c r="J4542" t="s">
        <v>27</v>
      </c>
      <c r="K4542" t="s">
        <v>28</v>
      </c>
      <c r="L4542" s="2">
        <v>181.2</v>
      </c>
      <c r="M4542" s="3">
        <v>840</v>
      </c>
      <c r="N4542">
        <v>5</v>
      </c>
      <c r="O4542">
        <v>5</v>
      </c>
      <c r="P4542">
        <v>1</v>
      </c>
      <c r="Q4542">
        <v>0</v>
      </c>
      <c r="R4542" s="4">
        <v>84.06</v>
      </c>
      <c r="S4542">
        <v>0</v>
      </c>
      <c r="T4542">
        <v>1</v>
      </c>
    </row>
    <row r="4543" spans="1:20" ht="16.5" x14ac:dyDescent="0.3">
      <c r="A4543" t="s">
        <v>4597</v>
      </c>
      <c r="B4543" s="1">
        <v>45922</v>
      </c>
      <c r="C4543">
        <v>2025</v>
      </c>
      <c r="D4543" t="s">
        <v>1261</v>
      </c>
      <c r="E4543" t="s">
        <v>1651</v>
      </c>
      <c r="F4543" t="s">
        <v>23</v>
      </c>
      <c r="G4543" t="s">
        <v>35</v>
      </c>
      <c r="H4543" t="s">
        <v>25</v>
      </c>
      <c r="I4543" t="s">
        <v>26</v>
      </c>
      <c r="J4543" t="s">
        <v>27</v>
      </c>
      <c r="K4543" t="s">
        <v>28</v>
      </c>
      <c r="L4543" s="2">
        <v>94</v>
      </c>
      <c r="M4543" s="3">
        <v>760</v>
      </c>
      <c r="N4543">
        <v>4</v>
      </c>
      <c r="O4543">
        <v>4</v>
      </c>
      <c r="P4543">
        <v>1</v>
      </c>
      <c r="Q4543">
        <v>0</v>
      </c>
      <c r="R4543" s="4">
        <v>53.98</v>
      </c>
      <c r="S4543">
        <v>0</v>
      </c>
      <c r="T4543">
        <v>1</v>
      </c>
    </row>
    <row r="4544" spans="1:20" ht="16.5" x14ac:dyDescent="0.3">
      <c r="A4544" t="s">
        <v>4598</v>
      </c>
      <c r="B4544" s="1">
        <v>45922</v>
      </c>
      <c r="C4544">
        <v>2025</v>
      </c>
      <c r="D4544" t="s">
        <v>1261</v>
      </c>
      <c r="E4544" t="s">
        <v>1651</v>
      </c>
      <c r="F4544" t="s">
        <v>57</v>
      </c>
      <c r="G4544" t="s">
        <v>39</v>
      </c>
      <c r="H4544" t="s">
        <v>36</v>
      </c>
      <c r="I4544" t="s">
        <v>40</v>
      </c>
      <c r="J4544" t="s">
        <v>27</v>
      </c>
      <c r="K4544" t="s">
        <v>28</v>
      </c>
      <c r="L4544" s="2">
        <v>128.6</v>
      </c>
      <c r="M4544" s="3">
        <v>283</v>
      </c>
      <c r="N4544">
        <v>1</v>
      </c>
      <c r="O4544">
        <v>1</v>
      </c>
      <c r="P4544">
        <v>1</v>
      </c>
      <c r="Q4544">
        <v>0</v>
      </c>
      <c r="R4544" s="4">
        <v>115.1</v>
      </c>
      <c r="S4544">
        <v>0</v>
      </c>
      <c r="T4544">
        <v>1</v>
      </c>
    </row>
    <row r="4545" spans="1:20" ht="16.5" x14ac:dyDescent="0.3">
      <c r="A4545" t="s">
        <v>4599</v>
      </c>
      <c r="B4545" s="1">
        <v>45922</v>
      </c>
      <c r="C4545">
        <v>2025</v>
      </c>
      <c r="D4545" t="s">
        <v>1261</v>
      </c>
      <c r="E4545" t="s">
        <v>1651</v>
      </c>
      <c r="F4545" t="s">
        <v>38</v>
      </c>
      <c r="G4545" t="s">
        <v>39</v>
      </c>
      <c r="H4545" t="s">
        <v>48</v>
      </c>
      <c r="I4545" t="s">
        <v>26</v>
      </c>
      <c r="J4545" t="s">
        <v>27</v>
      </c>
      <c r="K4545" t="s">
        <v>28</v>
      </c>
      <c r="L4545" s="2">
        <v>78</v>
      </c>
      <c r="M4545" s="3">
        <v>486</v>
      </c>
      <c r="N4545">
        <v>4</v>
      </c>
      <c r="O4545">
        <v>4</v>
      </c>
      <c r="P4545">
        <v>1</v>
      </c>
      <c r="Q4545">
        <v>0</v>
      </c>
      <c r="R4545" s="4">
        <v>56.67</v>
      </c>
      <c r="S4545">
        <v>0</v>
      </c>
      <c r="T4545">
        <v>1</v>
      </c>
    </row>
    <row r="4546" spans="1:20" ht="16.5" x14ac:dyDescent="0.3">
      <c r="A4546" t="s">
        <v>4600</v>
      </c>
      <c r="B4546" s="1">
        <v>45922</v>
      </c>
      <c r="C4546">
        <v>2025</v>
      </c>
      <c r="D4546" t="s">
        <v>1261</v>
      </c>
      <c r="E4546" t="s">
        <v>1651</v>
      </c>
      <c r="F4546" t="s">
        <v>34</v>
      </c>
      <c r="G4546" t="s">
        <v>35</v>
      </c>
      <c r="H4546" t="s">
        <v>51</v>
      </c>
      <c r="I4546" t="s">
        <v>40</v>
      </c>
      <c r="J4546" t="s">
        <v>41</v>
      </c>
      <c r="K4546" t="s">
        <v>32</v>
      </c>
      <c r="L4546" s="2">
        <v>5.5</v>
      </c>
      <c r="M4546" s="3">
        <v>1560</v>
      </c>
      <c r="N4546">
        <v>3</v>
      </c>
      <c r="O4546">
        <v>3</v>
      </c>
      <c r="P4546">
        <v>1</v>
      </c>
      <c r="Q4546">
        <v>0</v>
      </c>
      <c r="R4546" s="4">
        <v>76.12</v>
      </c>
      <c r="S4546">
        <v>0</v>
      </c>
      <c r="T4546">
        <v>1</v>
      </c>
    </row>
    <row r="4547" spans="1:20" ht="16.5" x14ac:dyDescent="0.3">
      <c r="A4547" t="s">
        <v>4601</v>
      </c>
      <c r="B4547" s="1">
        <v>45922</v>
      </c>
      <c r="C4547">
        <v>2025</v>
      </c>
      <c r="D4547" t="s">
        <v>1261</v>
      </c>
      <c r="E4547" t="s">
        <v>1651</v>
      </c>
      <c r="F4547" t="s">
        <v>57</v>
      </c>
      <c r="G4547" t="s">
        <v>39</v>
      </c>
      <c r="H4547" t="s">
        <v>48</v>
      </c>
      <c r="I4547" t="s">
        <v>40</v>
      </c>
      <c r="J4547" t="s">
        <v>27</v>
      </c>
      <c r="K4547" t="s">
        <v>32</v>
      </c>
      <c r="L4547" s="2">
        <v>12.9</v>
      </c>
      <c r="M4547" s="3">
        <v>374</v>
      </c>
      <c r="N4547">
        <v>2</v>
      </c>
      <c r="O4547">
        <v>4</v>
      </c>
      <c r="P4547">
        <v>0</v>
      </c>
      <c r="Q4547">
        <v>2</v>
      </c>
      <c r="R4547" s="4">
        <v>35.74</v>
      </c>
      <c r="S4547">
        <v>0</v>
      </c>
      <c r="T4547">
        <v>1</v>
      </c>
    </row>
    <row r="4548" spans="1:20" ht="16.5" x14ac:dyDescent="0.3">
      <c r="A4548" t="s">
        <v>4602</v>
      </c>
      <c r="B4548" s="1">
        <v>45922</v>
      </c>
      <c r="C4548">
        <v>2025</v>
      </c>
      <c r="D4548" t="s">
        <v>1261</v>
      </c>
      <c r="E4548" t="s">
        <v>1651</v>
      </c>
      <c r="F4548" t="s">
        <v>34</v>
      </c>
      <c r="G4548" t="s">
        <v>39</v>
      </c>
      <c r="H4548" t="s">
        <v>48</v>
      </c>
      <c r="I4548" t="s">
        <v>26</v>
      </c>
      <c r="J4548" t="s">
        <v>27</v>
      </c>
      <c r="K4548" t="s">
        <v>32</v>
      </c>
      <c r="L4548" s="2">
        <v>6</v>
      </c>
      <c r="M4548" s="3">
        <v>418</v>
      </c>
      <c r="N4548">
        <v>4</v>
      </c>
      <c r="O4548">
        <v>4</v>
      </c>
      <c r="P4548">
        <v>1</v>
      </c>
      <c r="Q4548">
        <v>0</v>
      </c>
      <c r="R4548" s="4">
        <v>12.47</v>
      </c>
      <c r="S4548">
        <v>0</v>
      </c>
      <c r="T4548">
        <v>1</v>
      </c>
    </row>
    <row r="4549" spans="1:20" ht="16.5" x14ac:dyDescent="0.3">
      <c r="A4549" t="s">
        <v>4603</v>
      </c>
      <c r="B4549" s="1">
        <v>45923</v>
      </c>
      <c r="C4549">
        <v>2025</v>
      </c>
      <c r="D4549" t="s">
        <v>1261</v>
      </c>
      <c r="E4549" t="s">
        <v>1651</v>
      </c>
      <c r="F4549" t="s">
        <v>30</v>
      </c>
      <c r="G4549" t="s">
        <v>39</v>
      </c>
      <c r="H4549" t="s">
        <v>36</v>
      </c>
      <c r="I4549" t="s">
        <v>31</v>
      </c>
      <c r="J4549" t="s">
        <v>27</v>
      </c>
      <c r="K4549" t="s">
        <v>28</v>
      </c>
      <c r="L4549" s="2">
        <v>43.9</v>
      </c>
      <c r="M4549" s="3">
        <v>272</v>
      </c>
      <c r="N4549">
        <v>5</v>
      </c>
      <c r="O4549">
        <v>5</v>
      </c>
      <c r="P4549">
        <v>1</v>
      </c>
      <c r="Q4549">
        <v>0</v>
      </c>
      <c r="R4549" s="4">
        <v>21.25</v>
      </c>
      <c r="S4549">
        <v>0</v>
      </c>
      <c r="T4549">
        <v>1</v>
      </c>
    </row>
    <row r="4550" spans="1:20" ht="16.5" x14ac:dyDescent="0.3">
      <c r="A4550" t="s">
        <v>4604</v>
      </c>
      <c r="B4550" s="1">
        <v>45923</v>
      </c>
      <c r="C4550">
        <v>2025</v>
      </c>
      <c r="D4550" t="s">
        <v>1261</v>
      </c>
      <c r="E4550" t="s">
        <v>1651</v>
      </c>
      <c r="F4550" t="s">
        <v>38</v>
      </c>
      <c r="G4550" t="s">
        <v>35</v>
      </c>
      <c r="H4550" t="s">
        <v>36</v>
      </c>
      <c r="I4550" t="s">
        <v>26</v>
      </c>
      <c r="J4550" t="s">
        <v>27</v>
      </c>
      <c r="K4550" t="s">
        <v>32</v>
      </c>
      <c r="L4550" s="2">
        <v>2.6</v>
      </c>
      <c r="M4550" s="3">
        <v>311</v>
      </c>
      <c r="N4550">
        <v>3</v>
      </c>
      <c r="O4550">
        <v>2</v>
      </c>
      <c r="P4550">
        <v>1</v>
      </c>
      <c r="Q4550">
        <v>0</v>
      </c>
      <c r="R4550" s="4">
        <v>14.19</v>
      </c>
      <c r="S4550">
        <v>0</v>
      </c>
      <c r="T4550">
        <v>1</v>
      </c>
    </row>
    <row r="4551" spans="1:20" ht="16.5" x14ac:dyDescent="0.3">
      <c r="A4551" t="s">
        <v>4605</v>
      </c>
      <c r="B4551" s="1">
        <v>45923</v>
      </c>
      <c r="C4551">
        <v>2025</v>
      </c>
      <c r="D4551" t="s">
        <v>1261</v>
      </c>
      <c r="E4551" t="s">
        <v>1651</v>
      </c>
      <c r="F4551" t="s">
        <v>57</v>
      </c>
      <c r="G4551" t="s">
        <v>35</v>
      </c>
      <c r="H4551" t="s">
        <v>36</v>
      </c>
      <c r="I4551" t="s">
        <v>26</v>
      </c>
      <c r="J4551" t="s">
        <v>27</v>
      </c>
      <c r="K4551" t="s">
        <v>28</v>
      </c>
      <c r="L4551" s="2">
        <v>80.3</v>
      </c>
      <c r="M4551" s="3">
        <v>251</v>
      </c>
      <c r="N4551">
        <v>3</v>
      </c>
      <c r="O4551">
        <v>3</v>
      </c>
      <c r="P4551">
        <v>1</v>
      </c>
      <c r="Q4551">
        <v>0</v>
      </c>
      <c r="R4551" s="4">
        <v>47.01</v>
      </c>
      <c r="S4551">
        <v>0</v>
      </c>
      <c r="T4551">
        <v>1</v>
      </c>
    </row>
    <row r="4552" spans="1:20" ht="16.5" x14ac:dyDescent="0.3">
      <c r="A4552" t="s">
        <v>4606</v>
      </c>
      <c r="B4552" s="1">
        <v>45923</v>
      </c>
      <c r="C4552">
        <v>2025</v>
      </c>
      <c r="D4552" t="s">
        <v>1261</v>
      </c>
      <c r="E4552" t="s">
        <v>1651</v>
      </c>
      <c r="F4552" t="s">
        <v>23</v>
      </c>
      <c r="G4552" t="s">
        <v>35</v>
      </c>
      <c r="H4552" t="s">
        <v>48</v>
      </c>
      <c r="I4552" t="s">
        <v>26</v>
      </c>
      <c r="J4552" t="s">
        <v>27</v>
      </c>
      <c r="K4552" t="s">
        <v>32</v>
      </c>
      <c r="L4552" s="2">
        <v>2.9</v>
      </c>
      <c r="M4552" s="3">
        <v>573</v>
      </c>
      <c r="N4552">
        <v>4</v>
      </c>
      <c r="O4552">
        <v>3</v>
      </c>
      <c r="P4552">
        <v>1</v>
      </c>
      <c r="Q4552">
        <v>0</v>
      </c>
      <c r="R4552" s="4">
        <v>13.67</v>
      </c>
      <c r="S4552">
        <v>0</v>
      </c>
      <c r="T4552">
        <v>1</v>
      </c>
    </row>
    <row r="4553" spans="1:20" ht="16.5" x14ac:dyDescent="0.3">
      <c r="A4553" t="s">
        <v>4607</v>
      </c>
      <c r="B4553" s="1">
        <v>45923</v>
      </c>
      <c r="C4553">
        <v>2025</v>
      </c>
      <c r="D4553" t="s">
        <v>1261</v>
      </c>
      <c r="E4553" t="s">
        <v>1651</v>
      </c>
      <c r="F4553" t="s">
        <v>30</v>
      </c>
      <c r="G4553" t="s">
        <v>39</v>
      </c>
      <c r="H4553" t="s">
        <v>48</v>
      </c>
      <c r="I4553" t="s">
        <v>26</v>
      </c>
      <c r="J4553" t="s">
        <v>27</v>
      </c>
      <c r="K4553" t="s">
        <v>28</v>
      </c>
      <c r="L4553" s="2">
        <v>39.9</v>
      </c>
      <c r="M4553" s="3">
        <v>578</v>
      </c>
      <c r="N4553">
        <v>4</v>
      </c>
      <c r="O4553">
        <v>4</v>
      </c>
      <c r="P4553">
        <v>1</v>
      </c>
      <c r="Q4553">
        <v>0</v>
      </c>
      <c r="R4553" s="4">
        <v>35.04</v>
      </c>
      <c r="S4553">
        <v>0</v>
      </c>
      <c r="T4553">
        <v>1</v>
      </c>
    </row>
    <row r="4554" spans="1:20" ht="16.5" x14ac:dyDescent="0.3">
      <c r="A4554" t="s">
        <v>4608</v>
      </c>
      <c r="B4554" s="1">
        <v>45923</v>
      </c>
      <c r="C4554">
        <v>2025</v>
      </c>
      <c r="D4554" t="s">
        <v>1261</v>
      </c>
      <c r="E4554" t="s">
        <v>1651</v>
      </c>
      <c r="F4554" t="s">
        <v>30</v>
      </c>
      <c r="G4554" t="s">
        <v>39</v>
      </c>
      <c r="H4554" t="s">
        <v>43</v>
      </c>
      <c r="I4554" t="s">
        <v>26</v>
      </c>
      <c r="J4554" t="s">
        <v>27</v>
      </c>
      <c r="K4554" t="s">
        <v>32</v>
      </c>
      <c r="L4554" s="2">
        <v>1.9</v>
      </c>
      <c r="M4554" s="3">
        <v>1011</v>
      </c>
      <c r="N4554">
        <v>5</v>
      </c>
      <c r="O4554">
        <v>5</v>
      </c>
      <c r="P4554">
        <v>1</v>
      </c>
      <c r="Q4554">
        <v>0</v>
      </c>
      <c r="R4554" s="4">
        <v>21.89</v>
      </c>
      <c r="S4554">
        <v>0</v>
      </c>
      <c r="T4554">
        <v>1</v>
      </c>
    </row>
    <row r="4555" spans="1:20" ht="16.5" x14ac:dyDescent="0.3">
      <c r="A4555" t="s">
        <v>4609</v>
      </c>
      <c r="B4555" s="1">
        <v>45924</v>
      </c>
      <c r="C4555">
        <v>2025</v>
      </c>
      <c r="D4555" t="s">
        <v>1261</v>
      </c>
      <c r="E4555" t="s">
        <v>1651</v>
      </c>
      <c r="F4555" t="s">
        <v>30</v>
      </c>
      <c r="G4555" t="s">
        <v>35</v>
      </c>
      <c r="H4555" t="s">
        <v>25</v>
      </c>
      <c r="I4555" t="s">
        <v>31</v>
      </c>
      <c r="J4555" t="s">
        <v>27</v>
      </c>
      <c r="K4555" t="s">
        <v>32</v>
      </c>
      <c r="L4555" s="2">
        <v>5.0999999999999996</v>
      </c>
      <c r="M4555" s="3">
        <v>1061</v>
      </c>
      <c r="N4555">
        <v>6</v>
      </c>
      <c r="O4555">
        <v>6</v>
      </c>
      <c r="P4555">
        <v>1</v>
      </c>
      <c r="Q4555">
        <v>0</v>
      </c>
      <c r="R4555" s="4">
        <v>16.440000000000001</v>
      </c>
      <c r="S4555">
        <v>0</v>
      </c>
      <c r="T4555">
        <v>1</v>
      </c>
    </row>
    <row r="4556" spans="1:20" ht="16.5" x14ac:dyDescent="0.3">
      <c r="A4556" t="s">
        <v>4610</v>
      </c>
      <c r="B4556" s="1">
        <v>45924</v>
      </c>
      <c r="C4556">
        <v>2025</v>
      </c>
      <c r="D4556" t="s">
        <v>1261</v>
      </c>
      <c r="E4556" t="s">
        <v>1651</v>
      </c>
      <c r="F4556" t="s">
        <v>34</v>
      </c>
      <c r="G4556" t="s">
        <v>24</v>
      </c>
      <c r="H4556" t="s">
        <v>48</v>
      </c>
      <c r="I4556" t="s">
        <v>40</v>
      </c>
      <c r="J4556" t="s">
        <v>27</v>
      </c>
      <c r="K4556" t="s">
        <v>28</v>
      </c>
      <c r="L4556" s="2">
        <v>157.19999999999999</v>
      </c>
      <c r="M4556" s="3">
        <v>490</v>
      </c>
      <c r="N4556">
        <v>2</v>
      </c>
      <c r="O4556">
        <v>2</v>
      </c>
      <c r="P4556">
        <v>1</v>
      </c>
      <c r="Q4556">
        <v>0</v>
      </c>
      <c r="R4556" s="4">
        <v>120.19</v>
      </c>
      <c r="S4556">
        <v>0</v>
      </c>
      <c r="T4556">
        <v>1</v>
      </c>
    </row>
    <row r="4557" spans="1:20" ht="16.5" x14ac:dyDescent="0.3">
      <c r="A4557" t="s">
        <v>4611</v>
      </c>
      <c r="B4557" s="1">
        <v>45924</v>
      </c>
      <c r="C4557">
        <v>2025</v>
      </c>
      <c r="D4557" t="s">
        <v>1261</v>
      </c>
      <c r="E4557" t="s">
        <v>1651</v>
      </c>
      <c r="F4557" t="s">
        <v>23</v>
      </c>
      <c r="G4557" t="s">
        <v>39</v>
      </c>
      <c r="H4557" t="s">
        <v>51</v>
      </c>
      <c r="I4557" t="s">
        <v>26</v>
      </c>
      <c r="J4557" t="s">
        <v>27</v>
      </c>
      <c r="K4557" t="s">
        <v>32</v>
      </c>
      <c r="L4557" s="2">
        <v>3.1</v>
      </c>
      <c r="M4557" s="3">
        <v>848</v>
      </c>
      <c r="N4557">
        <v>5</v>
      </c>
      <c r="O4557">
        <v>6</v>
      </c>
      <c r="P4557">
        <v>0</v>
      </c>
      <c r="Q4557">
        <v>1</v>
      </c>
      <c r="R4557" s="4">
        <v>17.09</v>
      </c>
      <c r="S4557">
        <v>0</v>
      </c>
      <c r="T4557">
        <v>1</v>
      </c>
    </row>
    <row r="4558" spans="1:20" ht="16.5" x14ac:dyDescent="0.3">
      <c r="A4558" t="s">
        <v>4612</v>
      </c>
      <c r="B4558" s="1">
        <v>45924</v>
      </c>
      <c r="C4558">
        <v>2025</v>
      </c>
      <c r="D4558" t="s">
        <v>1261</v>
      </c>
      <c r="E4558" t="s">
        <v>1651</v>
      </c>
      <c r="F4558" t="s">
        <v>30</v>
      </c>
      <c r="G4558" t="s">
        <v>35</v>
      </c>
      <c r="H4558" t="s">
        <v>25</v>
      </c>
      <c r="I4558" t="s">
        <v>31</v>
      </c>
      <c r="J4558" t="s">
        <v>27</v>
      </c>
      <c r="K4558" t="s">
        <v>28</v>
      </c>
      <c r="L4558" s="2">
        <v>114</v>
      </c>
      <c r="M4558" s="3">
        <v>589</v>
      </c>
      <c r="N4558">
        <v>6</v>
      </c>
      <c r="O4558">
        <v>6</v>
      </c>
      <c r="P4558">
        <v>1</v>
      </c>
      <c r="Q4558">
        <v>0</v>
      </c>
      <c r="R4558" s="4">
        <v>46.79</v>
      </c>
      <c r="S4558">
        <v>0</v>
      </c>
      <c r="T4558">
        <v>1</v>
      </c>
    </row>
    <row r="4559" spans="1:20" ht="16.5" x14ac:dyDescent="0.3">
      <c r="A4559" t="s">
        <v>4613</v>
      </c>
      <c r="B4559" s="1">
        <v>45924</v>
      </c>
      <c r="C4559">
        <v>2025</v>
      </c>
      <c r="D4559" t="s">
        <v>1261</v>
      </c>
      <c r="E4559" t="s">
        <v>1651</v>
      </c>
      <c r="F4559" t="s">
        <v>30</v>
      </c>
      <c r="G4559" t="s">
        <v>39</v>
      </c>
      <c r="H4559" t="s">
        <v>43</v>
      </c>
      <c r="I4559" t="s">
        <v>26</v>
      </c>
      <c r="J4559" t="s">
        <v>27</v>
      </c>
      <c r="K4559" t="s">
        <v>28</v>
      </c>
      <c r="L4559" s="2">
        <v>84.1</v>
      </c>
      <c r="M4559" s="3">
        <v>1116</v>
      </c>
      <c r="N4559">
        <v>5</v>
      </c>
      <c r="O4559">
        <v>5</v>
      </c>
      <c r="P4559">
        <v>1</v>
      </c>
      <c r="Q4559">
        <v>0</v>
      </c>
      <c r="R4559" s="4">
        <v>62.94</v>
      </c>
      <c r="S4559">
        <v>0</v>
      </c>
      <c r="T4559">
        <v>1</v>
      </c>
    </row>
    <row r="4560" spans="1:20" ht="16.5" x14ac:dyDescent="0.3">
      <c r="A4560" t="s">
        <v>4614</v>
      </c>
      <c r="B4560" s="1">
        <v>45924</v>
      </c>
      <c r="C4560">
        <v>2025</v>
      </c>
      <c r="D4560" t="s">
        <v>1261</v>
      </c>
      <c r="E4560" t="s">
        <v>1651</v>
      </c>
      <c r="F4560" t="s">
        <v>38</v>
      </c>
      <c r="G4560" t="s">
        <v>39</v>
      </c>
      <c r="H4560" t="s">
        <v>48</v>
      </c>
      <c r="I4560" t="s">
        <v>26</v>
      </c>
      <c r="J4560" t="s">
        <v>27</v>
      </c>
      <c r="K4560" t="s">
        <v>32</v>
      </c>
      <c r="L4560" s="2">
        <v>12.3</v>
      </c>
      <c r="M4560" s="3">
        <v>556</v>
      </c>
      <c r="N4560">
        <v>4</v>
      </c>
      <c r="O4560">
        <v>4</v>
      </c>
      <c r="P4560">
        <v>1</v>
      </c>
      <c r="Q4560">
        <v>0</v>
      </c>
      <c r="R4560" s="4">
        <v>23.44</v>
      </c>
      <c r="S4560">
        <v>0</v>
      </c>
      <c r="T4560">
        <v>1</v>
      </c>
    </row>
    <row r="4561" spans="1:20" ht="16.5" x14ac:dyDescent="0.3">
      <c r="A4561" t="s">
        <v>4615</v>
      </c>
      <c r="B4561" s="1">
        <v>45924</v>
      </c>
      <c r="C4561">
        <v>2025</v>
      </c>
      <c r="D4561" t="s">
        <v>1261</v>
      </c>
      <c r="E4561" t="s">
        <v>1651</v>
      </c>
      <c r="F4561" t="s">
        <v>57</v>
      </c>
      <c r="G4561" t="s">
        <v>39</v>
      </c>
      <c r="H4561" t="s">
        <v>36</v>
      </c>
      <c r="I4561" t="s">
        <v>26</v>
      </c>
      <c r="J4561" t="s">
        <v>27</v>
      </c>
      <c r="K4561" t="s">
        <v>32</v>
      </c>
      <c r="L4561" s="2">
        <v>3.9</v>
      </c>
      <c r="M4561" s="3">
        <v>237</v>
      </c>
      <c r="N4561">
        <v>3</v>
      </c>
      <c r="O4561">
        <v>3</v>
      </c>
      <c r="P4561">
        <v>1</v>
      </c>
      <c r="Q4561">
        <v>0</v>
      </c>
      <c r="R4561" s="4">
        <v>10.93</v>
      </c>
      <c r="S4561">
        <v>0</v>
      </c>
      <c r="T4561">
        <v>1</v>
      </c>
    </row>
    <row r="4562" spans="1:20" ht="16.5" x14ac:dyDescent="0.3">
      <c r="A4562" t="s">
        <v>4616</v>
      </c>
      <c r="B4562" s="1">
        <v>45924</v>
      </c>
      <c r="C4562">
        <v>2025</v>
      </c>
      <c r="D4562" t="s">
        <v>1261</v>
      </c>
      <c r="E4562" t="s">
        <v>1651</v>
      </c>
      <c r="F4562" t="s">
        <v>34</v>
      </c>
      <c r="G4562" t="s">
        <v>35</v>
      </c>
      <c r="H4562" t="s">
        <v>25</v>
      </c>
      <c r="I4562" t="s">
        <v>31</v>
      </c>
      <c r="J4562" t="s">
        <v>27</v>
      </c>
      <c r="K4562" t="s">
        <v>28</v>
      </c>
      <c r="L4562" s="2">
        <v>125.2</v>
      </c>
      <c r="M4562" s="3">
        <v>609</v>
      </c>
      <c r="N4562">
        <v>6</v>
      </c>
      <c r="O4562">
        <v>6</v>
      </c>
      <c r="P4562">
        <v>1</v>
      </c>
      <c r="Q4562">
        <v>0</v>
      </c>
      <c r="R4562" s="4">
        <v>41.79</v>
      </c>
      <c r="S4562">
        <v>0</v>
      </c>
      <c r="T4562">
        <v>1</v>
      </c>
    </row>
    <row r="4563" spans="1:20" ht="16.5" x14ac:dyDescent="0.3">
      <c r="A4563" t="s">
        <v>4617</v>
      </c>
      <c r="B4563" s="1">
        <v>45924</v>
      </c>
      <c r="C4563">
        <v>2025</v>
      </c>
      <c r="D4563" t="s">
        <v>1261</v>
      </c>
      <c r="E4563" t="s">
        <v>1651</v>
      </c>
      <c r="F4563" t="s">
        <v>34</v>
      </c>
      <c r="G4563" t="s">
        <v>24</v>
      </c>
      <c r="H4563" t="s">
        <v>36</v>
      </c>
      <c r="I4563" t="s">
        <v>26</v>
      </c>
      <c r="J4563" t="s">
        <v>27</v>
      </c>
      <c r="K4563" t="s">
        <v>28</v>
      </c>
      <c r="L4563" s="2">
        <v>47.2</v>
      </c>
      <c r="M4563" s="3">
        <v>240</v>
      </c>
      <c r="N4563">
        <v>3</v>
      </c>
      <c r="O4563">
        <v>3</v>
      </c>
      <c r="P4563">
        <v>1</v>
      </c>
      <c r="Q4563">
        <v>0</v>
      </c>
      <c r="R4563" s="4">
        <v>29.71</v>
      </c>
      <c r="S4563">
        <v>0</v>
      </c>
      <c r="T4563">
        <v>1</v>
      </c>
    </row>
    <row r="4564" spans="1:20" ht="16.5" x14ac:dyDescent="0.3">
      <c r="A4564" t="s">
        <v>4618</v>
      </c>
      <c r="B4564" s="1">
        <v>45924</v>
      </c>
      <c r="C4564">
        <v>2025</v>
      </c>
      <c r="D4564" t="s">
        <v>1261</v>
      </c>
      <c r="E4564" t="s">
        <v>1651</v>
      </c>
      <c r="F4564" t="s">
        <v>57</v>
      </c>
      <c r="G4564" t="s">
        <v>24</v>
      </c>
      <c r="H4564" t="s">
        <v>48</v>
      </c>
      <c r="I4564" t="s">
        <v>26</v>
      </c>
      <c r="J4564" t="s">
        <v>27</v>
      </c>
      <c r="K4564" t="s">
        <v>28</v>
      </c>
      <c r="L4564" s="2">
        <v>35.6</v>
      </c>
      <c r="M4564" s="3">
        <v>421</v>
      </c>
      <c r="N4564">
        <v>4</v>
      </c>
      <c r="O4564">
        <v>4</v>
      </c>
      <c r="P4564">
        <v>1</v>
      </c>
      <c r="Q4564">
        <v>0</v>
      </c>
      <c r="R4564" s="4">
        <v>31.85</v>
      </c>
      <c r="S4564">
        <v>0</v>
      </c>
      <c r="T4564">
        <v>1</v>
      </c>
    </row>
    <row r="4565" spans="1:20" ht="16.5" x14ac:dyDescent="0.3">
      <c r="A4565" t="s">
        <v>4619</v>
      </c>
      <c r="B4565" s="1">
        <v>45924</v>
      </c>
      <c r="C4565">
        <v>2025</v>
      </c>
      <c r="D4565" t="s">
        <v>1261</v>
      </c>
      <c r="E4565" t="s">
        <v>1651</v>
      </c>
      <c r="F4565" t="s">
        <v>23</v>
      </c>
      <c r="G4565" t="s">
        <v>35</v>
      </c>
      <c r="H4565" t="s">
        <v>25</v>
      </c>
      <c r="I4565" t="s">
        <v>40</v>
      </c>
      <c r="J4565" t="s">
        <v>41</v>
      </c>
      <c r="K4565" t="s">
        <v>32</v>
      </c>
      <c r="L4565" s="2">
        <v>3.3</v>
      </c>
      <c r="M4565" s="3">
        <v>763</v>
      </c>
      <c r="N4565">
        <v>2</v>
      </c>
      <c r="O4565">
        <v>2</v>
      </c>
      <c r="P4565">
        <v>1</v>
      </c>
      <c r="Q4565">
        <v>0</v>
      </c>
      <c r="R4565" s="4">
        <v>54.35</v>
      </c>
      <c r="S4565">
        <v>0</v>
      </c>
      <c r="T4565">
        <v>1</v>
      </c>
    </row>
    <row r="4566" spans="1:20" ht="16.5" x14ac:dyDescent="0.3">
      <c r="A4566" t="s">
        <v>4620</v>
      </c>
      <c r="B4566" s="1">
        <v>45924</v>
      </c>
      <c r="C4566">
        <v>2025</v>
      </c>
      <c r="D4566" t="s">
        <v>1261</v>
      </c>
      <c r="E4566" t="s">
        <v>1651</v>
      </c>
      <c r="F4566" t="s">
        <v>38</v>
      </c>
      <c r="G4566" t="s">
        <v>24</v>
      </c>
      <c r="H4566" t="s">
        <v>43</v>
      </c>
      <c r="I4566" t="s">
        <v>31</v>
      </c>
      <c r="J4566" t="s">
        <v>27</v>
      </c>
      <c r="K4566" t="s">
        <v>32</v>
      </c>
      <c r="L4566" s="2">
        <v>2.2000000000000002</v>
      </c>
      <c r="M4566" s="3">
        <v>1051</v>
      </c>
      <c r="N4566">
        <v>7</v>
      </c>
      <c r="O4566">
        <v>7</v>
      </c>
      <c r="P4566">
        <v>1</v>
      </c>
      <c r="Q4566">
        <v>0</v>
      </c>
      <c r="R4566" s="4">
        <v>16.8</v>
      </c>
      <c r="S4566">
        <v>0</v>
      </c>
      <c r="T4566">
        <v>1</v>
      </c>
    </row>
    <row r="4567" spans="1:20" ht="16.5" x14ac:dyDescent="0.3">
      <c r="A4567" t="s">
        <v>4621</v>
      </c>
      <c r="B4567" s="1">
        <v>45924</v>
      </c>
      <c r="C4567">
        <v>2025</v>
      </c>
      <c r="D4567" t="s">
        <v>1261</v>
      </c>
      <c r="E4567" t="s">
        <v>1651</v>
      </c>
      <c r="F4567" t="s">
        <v>30</v>
      </c>
      <c r="G4567" t="s">
        <v>39</v>
      </c>
      <c r="H4567" t="s">
        <v>25</v>
      </c>
      <c r="I4567" t="s">
        <v>40</v>
      </c>
      <c r="J4567" t="s">
        <v>41</v>
      </c>
      <c r="K4567" t="s">
        <v>28</v>
      </c>
      <c r="L4567" s="2">
        <v>33.200000000000003</v>
      </c>
      <c r="M4567" s="3">
        <v>1086</v>
      </c>
      <c r="N4567">
        <v>2</v>
      </c>
      <c r="O4567">
        <v>2</v>
      </c>
      <c r="P4567">
        <v>1</v>
      </c>
      <c r="Q4567">
        <v>0</v>
      </c>
      <c r="R4567" s="4">
        <v>120.1</v>
      </c>
      <c r="S4567">
        <v>0</v>
      </c>
      <c r="T4567">
        <v>1</v>
      </c>
    </row>
    <row r="4568" spans="1:20" ht="16.5" x14ac:dyDescent="0.3">
      <c r="A4568" t="s">
        <v>4622</v>
      </c>
      <c r="B4568" s="1">
        <v>45924</v>
      </c>
      <c r="C4568">
        <v>2025</v>
      </c>
      <c r="D4568" t="s">
        <v>1261</v>
      </c>
      <c r="E4568" t="s">
        <v>1651</v>
      </c>
      <c r="F4568" t="s">
        <v>57</v>
      </c>
      <c r="G4568" t="s">
        <v>35</v>
      </c>
      <c r="H4568" t="s">
        <v>25</v>
      </c>
      <c r="I4568" t="s">
        <v>26</v>
      </c>
      <c r="J4568" t="s">
        <v>27</v>
      </c>
      <c r="K4568" t="s">
        <v>32</v>
      </c>
      <c r="L4568" s="2">
        <v>6.4</v>
      </c>
      <c r="M4568" s="3">
        <v>892</v>
      </c>
      <c r="N4568">
        <v>4</v>
      </c>
      <c r="O4568">
        <v>4</v>
      </c>
      <c r="P4568">
        <v>1</v>
      </c>
      <c r="Q4568">
        <v>0</v>
      </c>
      <c r="R4568" s="4">
        <v>21.16</v>
      </c>
      <c r="S4568">
        <v>0</v>
      </c>
      <c r="T4568">
        <v>1</v>
      </c>
    </row>
    <row r="4569" spans="1:20" ht="16.5" x14ac:dyDescent="0.3">
      <c r="A4569" t="s">
        <v>4623</v>
      </c>
      <c r="B4569" s="1">
        <v>45925</v>
      </c>
      <c r="C4569">
        <v>2025</v>
      </c>
      <c r="D4569" t="s">
        <v>1261</v>
      </c>
      <c r="E4569" t="s">
        <v>1651</v>
      </c>
      <c r="F4569" t="s">
        <v>34</v>
      </c>
      <c r="G4569" t="s">
        <v>24</v>
      </c>
      <c r="H4569" t="s">
        <v>36</v>
      </c>
      <c r="I4569" t="s">
        <v>26</v>
      </c>
      <c r="J4569" t="s">
        <v>27</v>
      </c>
      <c r="K4569" t="s">
        <v>28</v>
      </c>
      <c r="L4569" s="2">
        <v>99.2</v>
      </c>
      <c r="M4569" s="3">
        <v>264</v>
      </c>
      <c r="N4569">
        <v>3</v>
      </c>
      <c r="O4569">
        <v>6</v>
      </c>
      <c r="P4569">
        <v>0</v>
      </c>
      <c r="Q4569">
        <v>3</v>
      </c>
      <c r="R4569" s="4">
        <v>48.32</v>
      </c>
      <c r="S4569">
        <v>0</v>
      </c>
      <c r="T4569">
        <v>1</v>
      </c>
    </row>
    <row r="4570" spans="1:20" ht="16.5" x14ac:dyDescent="0.3">
      <c r="A4570" t="s">
        <v>4624</v>
      </c>
      <c r="B4570" s="1">
        <v>45925</v>
      </c>
      <c r="C4570">
        <v>2025</v>
      </c>
      <c r="D4570" t="s">
        <v>1261</v>
      </c>
      <c r="E4570" t="s">
        <v>1651</v>
      </c>
      <c r="F4570" t="s">
        <v>23</v>
      </c>
      <c r="G4570" t="s">
        <v>35</v>
      </c>
      <c r="H4570" t="s">
        <v>51</v>
      </c>
      <c r="I4570" t="s">
        <v>26</v>
      </c>
      <c r="J4570" t="s">
        <v>27</v>
      </c>
      <c r="K4570" t="s">
        <v>32</v>
      </c>
      <c r="L4570" s="2">
        <v>1.2</v>
      </c>
      <c r="M4570" s="3">
        <v>869</v>
      </c>
      <c r="N4570">
        <v>5</v>
      </c>
      <c r="O4570">
        <v>5</v>
      </c>
      <c r="P4570">
        <v>1</v>
      </c>
      <c r="Q4570">
        <v>0</v>
      </c>
      <c r="R4570" s="4">
        <v>16.77</v>
      </c>
      <c r="S4570">
        <v>0</v>
      </c>
      <c r="T4570">
        <v>1</v>
      </c>
    </row>
    <row r="4571" spans="1:20" ht="16.5" x14ac:dyDescent="0.3">
      <c r="A4571" t="s">
        <v>4625</v>
      </c>
      <c r="B4571" s="1">
        <v>45925</v>
      </c>
      <c r="C4571">
        <v>2025</v>
      </c>
      <c r="D4571" t="s">
        <v>1261</v>
      </c>
      <c r="E4571" t="s">
        <v>1651</v>
      </c>
      <c r="F4571" t="s">
        <v>23</v>
      </c>
      <c r="G4571" t="s">
        <v>24</v>
      </c>
      <c r="H4571" t="s">
        <v>48</v>
      </c>
      <c r="I4571" t="s">
        <v>40</v>
      </c>
      <c r="J4571" t="s">
        <v>27</v>
      </c>
      <c r="K4571" t="s">
        <v>32</v>
      </c>
      <c r="L4571" s="2">
        <v>1.5</v>
      </c>
      <c r="M4571" s="3">
        <v>541</v>
      </c>
      <c r="N4571">
        <v>2</v>
      </c>
      <c r="O4571">
        <v>1</v>
      </c>
      <c r="P4571">
        <v>1</v>
      </c>
      <c r="Q4571">
        <v>0</v>
      </c>
      <c r="R4571" s="4">
        <v>25.69</v>
      </c>
      <c r="S4571">
        <v>0</v>
      </c>
      <c r="T4571">
        <v>1</v>
      </c>
    </row>
    <row r="4572" spans="1:20" ht="16.5" x14ac:dyDescent="0.3">
      <c r="A4572" t="s">
        <v>4626</v>
      </c>
      <c r="B4572" s="1">
        <v>45925</v>
      </c>
      <c r="C4572">
        <v>2025</v>
      </c>
      <c r="D4572" t="s">
        <v>1261</v>
      </c>
      <c r="E4572" t="s">
        <v>1651</v>
      </c>
      <c r="F4572" t="s">
        <v>57</v>
      </c>
      <c r="G4572" t="s">
        <v>24</v>
      </c>
      <c r="H4572" t="s">
        <v>36</v>
      </c>
      <c r="I4572" t="s">
        <v>26</v>
      </c>
      <c r="J4572" t="s">
        <v>27</v>
      </c>
      <c r="K4572" t="s">
        <v>32</v>
      </c>
      <c r="L4572" s="2">
        <v>6</v>
      </c>
      <c r="M4572" s="3">
        <v>349</v>
      </c>
      <c r="N4572">
        <v>3</v>
      </c>
      <c r="O4572">
        <v>3</v>
      </c>
      <c r="P4572">
        <v>1</v>
      </c>
      <c r="Q4572">
        <v>0</v>
      </c>
      <c r="R4572" s="4">
        <v>13.62</v>
      </c>
      <c r="S4572">
        <v>0</v>
      </c>
      <c r="T4572">
        <v>1</v>
      </c>
    </row>
    <row r="4573" spans="1:20" ht="16.5" x14ac:dyDescent="0.3">
      <c r="A4573" t="s">
        <v>4627</v>
      </c>
      <c r="B4573" s="1">
        <v>45925</v>
      </c>
      <c r="C4573">
        <v>2025</v>
      </c>
      <c r="D4573" t="s">
        <v>1261</v>
      </c>
      <c r="E4573" t="s">
        <v>1651</v>
      </c>
      <c r="F4573" t="s">
        <v>38</v>
      </c>
      <c r="G4573" t="s">
        <v>35</v>
      </c>
      <c r="H4573" t="s">
        <v>48</v>
      </c>
      <c r="I4573" t="s">
        <v>26</v>
      </c>
      <c r="J4573" t="s">
        <v>27</v>
      </c>
      <c r="K4573" t="s">
        <v>32</v>
      </c>
      <c r="L4573" s="2">
        <v>8.6999999999999993</v>
      </c>
      <c r="M4573" s="3">
        <v>424</v>
      </c>
      <c r="N4573">
        <v>4</v>
      </c>
      <c r="O4573">
        <v>3</v>
      </c>
      <c r="P4573">
        <v>1</v>
      </c>
      <c r="Q4573">
        <v>0</v>
      </c>
      <c r="R4573" s="4">
        <v>20.63</v>
      </c>
      <c r="S4573">
        <v>0</v>
      </c>
      <c r="T4573">
        <v>1</v>
      </c>
    </row>
    <row r="4574" spans="1:20" ht="16.5" x14ac:dyDescent="0.3">
      <c r="A4574" t="s">
        <v>4628</v>
      </c>
      <c r="B4574" s="1">
        <v>45926</v>
      </c>
      <c r="C4574">
        <v>2025</v>
      </c>
      <c r="D4574" t="s">
        <v>1261</v>
      </c>
      <c r="E4574" t="s">
        <v>1651</v>
      </c>
      <c r="F4574" t="s">
        <v>57</v>
      </c>
      <c r="G4574" t="s">
        <v>39</v>
      </c>
      <c r="H4574" t="s">
        <v>36</v>
      </c>
      <c r="I4574" t="s">
        <v>26</v>
      </c>
      <c r="J4574" t="s">
        <v>27</v>
      </c>
      <c r="K4574" t="s">
        <v>32</v>
      </c>
      <c r="L4574" s="2">
        <v>12.6</v>
      </c>
      <c r="M4574" s="3">
        <v>261</v>
      </c>
      <c r="N4574">
        <v>3</v>
      </c>
      <c r="O4574">
        <v>3</v>
      </c>
      <c r="P4574">
        <v>1</v>
      </c>
      <c r="Q4574">
        <v>0</v>
      </c>
      <c r="R4574" s="4">
        <v>18.18</v>
      </c>
      <c r="S4574">
        <v>0</v>
      </c>
      <c r="T4574">
        <v>1</v>
      </c>
    </row>
    <row r="4575" spans="1:20" ht="16.5" x14ac:dyDescent="0.3">
      <c r="A4575" t="s">
        <v>4629</v>
      </c>
      <c r="B4575" s="1">
        <v>45926</v>
      </c>
      <c r="C4575">
        <v>2025</v>
      </c>
      <c r="D4575" t="s">
        <v>1261</v>
      </c>
      <c r="E4575" t="s">
        <v>1651</v>
      </c>
      <c r="F4575" t="s">
        <v>34</v>
      </c>
      <c r="G4575" t="s">
        <v>35</v>
      </c>
      <c r="H4575" t="s">
        <v>43</v>
      </c>
      <c r="I4575" t="s">
        <v>40</v>
      </c>
      <c r="J4575" t="s">
        <v>41</v>
      </c>
      <c r="K4575" t="s">
        <v>32</v>
      </c>
      <c r="L4575" s="2">
        <v>5.2</v>
      </c>
      <c r="M4575" s="3">
        <v>1251</v>
      </c>
      <c r="N4575">
        <v>3</v>
      </c>
      <c r="O4575">
        <v>3</v>
      </c>
      <c r="P4575">
        <v>1</v>
      </c>
      <c r="Q4575">
        <v>0</v>
      </c>
      <c r="R4575" s="4">
        <v>57.9</v>
      </c>
      <c r="S4575">
        <v>0</v>
      </c>
      <c r="T4575">
        <v>1</v>
      </c>
    </row>
    <row r="4576" spans="1:20" ht="16.5" x14ac:dyDescent="0.3">
      <c r="A4576" t="s">
        <v>4630</v>
      </c>
      <c r="B4576" s="1">
        <v>45926</v>
      </c>
      <c r="C4576">
        <v>2025</v>
      </c>
      <c r="D4576" t="s">
        <v>1261</v>
      </c>
      <c r="E4576" t="s">
        <v>1651</v>
      </c>
      <c r="F4576" t="s">
        <v>34</v>
      </c>
      <c r="G4576" t="s">
        <v>24</v>
      </c>
      <c r="H4576" t="s">
        <v>36</v>
      </c>
      <c r="I4576" t="s">
        <v>26</v>
      </c>
      <c r="J4576" t="s">
        <v>27</v>
      </c>
      <c r="K4576" t="s">
        <v>32</v>
      </c>
      <c r="L4576" s="2">
        <v>13.9</v>
      </c>
      <c r="M4576" s="3">
        <v>213</v>
      </c>
      <c r="N4576">
        <v>3</v>
      </c>
      <c r="O4576">
        <v>3</v>
      </c>
      <c r="P4576">
        <v>1</v>
      </c>
      <c r="Q4576">
        <v>0</v>
      </c>
      <c r="R4576" s="4">
        <v>14.34</v>
      </c>
      <c r="S4576">
        <v>0</v>
      </c>
      <c r="T4576">
        <v>1</v>
      </c>
    </row>
    <row r="4577" spans="1:20" ht="16.5" x14ac:dyDescent="0.3">
      <c r="A4577" t="s">
        <v>4631</v>
      </c>
      <c r="B4577" s="1">
        <v>45926</v>
      </c>
      <c r="C4577">
        <v>2025</v>
      </c>
      <c r="D4577" t="s">
        <v>1261</v>
      </c>
      <c r="E4577" t="s">
        <v>1651</v>
      </c>
      <c r="F4577" t="s">
        <v>57</v>
      </c>
      <c r="G4577" t="s">
        <v>39</v>
      </c>
      <c r="H4577" t="s">
        <v>36</v>
      </c>
      <c r="I4577" t="s">
        <v>26</v>
      </c>
      <c r="J4577" t="s">
        <v>27</v>
      </c>
      <c r="K4577" t="s">
        <v>28</v>
      </c>
      <c r="L4577" s="2">
        <v>199.5</v>
      </c>
      <c r="M4577" s="3">
        <v>304</v>
      </c>
      <c r="N4577">
        <v>3</v>
      </c>
      <c r="O4577">
        <v>3</v>
      </c>
      <c r="P4577">
        <v>1</v>
      </c>
      <c r="Q4577">
        <v>0</v>
      </c>
      <c r="R4577" s="4">
        <v>90.35</v>
      </c>
      <c r="S4577">
        <v>0</v>
      </c>
      <c r="T4577">
        <v>1</v>
      </c>
    </row>
    <row r="4578" spans="1:20" ht="16.5" x14ac:dyDescent="0.3">
      <c r="A4578" t="s">
        <v>4632</v>
      </c>
      <c r="B4578" s="1">
        <v>45926</v>
      </c>
      <c r="C4578">
        <v>2025</v>
      </c>
      <c r="D4578" t="s">
        <v>1261</v>
      </c>
      <c r="E4578" t="s">
        <v>1651</v>
      </c>
      <c r="F4578" t="s">
        <v>30</v>
      </c>
      <c r="G4578" t="s">
        <v>24</v>
      </c>
      <c r="H4578" t="s">
        <v>51</v>
      </c>
      <c r="I4578" t="s">
        <v>40</v>
      </c>
      <c r="J4578" t="s">
        <v>41</v>
      </c>
      <c r="K4578" t="s">
        <v>32</v>
      </c>
      <c r="L4578" s="2">
        <v>2.1</v>
      </c>
      <c r="M4578" s="3">
        <v>1071</v>
      </c>
      <c r="N4578">
        <v>3</v>
      </c>
      <c r="O4578">
        <v>2</v>
      </c>
      <c r="P4578">
        <v>1</v>
      </c>
      <c r="Q4578">
        <v>0</v>
      </c>
      <c r="R4578" s="4">
        <v>69.45</v>
      </c>
      <c r="S4578">
        <v>0</v>
      </c>
      <c r="T4578">
        <v>1</v>
      </c>
    </row>
    <row r="4579" spans="1:20" ht="16.5" x14ac:dyDescent="0.3">
      <c r="A4579" t="s">
        <v>4633</v>
      </c>
      <c r="B4579" s="1">
        <v>45926</v>
      </c>
      <c r="C4579">
        <v>2025</v>
      </c>
      <c r="D4579" t="s">
        <v>1261</v>
      </c>
      <c r="E4579" t="s">
        <v>1651</v>
      </c>
      <c r="F4579" t="s">
        <v>30</v>
      </c>
      <c r="G4579" t="s">
        <v>35</v>
      </c>
      <c r="H4579" t="s">
        <v>25</v>
      </c>
      <c r="I4579" t="s">
        <v>31</v>
      </c>
      <c r="J4579" t="s">
        <v>27</v>
      </c>
      <c r="K4579" t="s">
        <v>32</v>
      </c>
      <c r="L4579" s="2">
        <v>7.1</v>
      </c>
      <c r="M4579" s="3">
        <v>849</v>
      </c>
      <c r="N4579">
        <v>6</v>
      </c>
      <c r="O4579">
        <v>6</v>
      </c>
      <c r="P4579">
        <v>1</v>
      </c>
      <c r="Q4579">
        <v>0</v>
      </c>
      <c r="R4579" s="4">
        <v>16.850000000000001</v>
      </c>
      <c r="S4579">
        <v>0</v>
      </c>
      <c r="T4579">
        <v>1</v>
      </c>
    </row>
    <row r="4580" spans="1:20" ht="16.5" x14ac:dyDescent="0.3">
      <c r="A4580" t="s">
        <v>4634</v>
      </c>
      <c r="B4580" s="1">
        <v>45926</v>
      </c>
      <c r="C4580">
        <v>2025</v>
      </c>
      <c r="D4580" t="s">
        <v>1261</v>
      </c>
      <c r="E4580" t="s">
        <v>1651</v>
      </c>
      <c r="F4580" t="s">
        <v>23</v>
      </c>
      <c r="G4580" t="s">
        <v>24</v>
      </c>
      <c r="H4580" t="s">
        <v>48</v>
      </c>
      <c r="I4580" t="s">
        <v>26</v>
      </c>
      <c r="J4580" t="s">
        <v>27</v>
      </c>
      <c r="K4580" t="s">
        <v>32</v>
      </c>
      <c r="L4580" s="2">
        <v>2.2999999999999998</v>
      </c>
      <c r="M4580" s="3">
        <v>386</v>
      </c>
      <c r="N4580">
        <v>4</v>
      </c>
      <c r="O4580">
        <v>4</v>
      </c>
      <c r="P4580">
        <v>1</v>
      </c>
      <c r="Q4580">
        <v>0</v>
      </c>
      <c r="R4580" s="4">
        <v>10.87</v>
      </c>
      <c r="S4580">
        <v>0</v>
      </c>
      <c r="T4580">
        <v>1</v>
      </c>
    </row>
    <row r="4581" spans="1:20" ht="16.5" x14ac:dyDescent="0.3">
      <c r="A4581" t="s">
        <v>4635</v>
      </c>
      <c r="B4581" s="1">
        <v>45926</v>
      </c>
      <c r="C4581">
        <v>2025</v>
      </c>
      <c r="D4581" t="s">
        <v>1261</v>
      </c>
      <c r="E4581" t="s">
        <v>1651</v>
      </c>
      <c r="F4581" t="s">
        <v>34</v>
      </c>
      <c r="G4581" t="s">
        <v>35</v>
      </c>
      <c r="H4581" t="s">
        <v>36</v>
      </c>
      <c r="I4581" t="s">
        <v>26</v>
      </c>
      <c r="J4581" t="s">
        <v>27</v>
      </c>
      <c r="K4581" t="s">
        <v>32</v>
      </c>
      <c r="L4581" s="2">
        <v>11.3</v>
      </c>
      <c r="M4581" s="3">
        <v>272</v>
      </c>
      <c r="N4581">
        <v>3</v>
      </c>
      <c r="O4581">
        <v>2</v>
      </c>
      <c r="P4581">
        <v>1</v>
      </c>
      <c r="Q4581">
        <v>0</v>
      </c>
      <c r="R4581" s="4">
        <v>14.62</v>
      </c>
      <c r="S4581">
        <v>0</v>
      </c>
      <c r="T4581">
        <v>1</v>
      </c>
    </row>
    <row r="4582" spans="1:20" ht="16.5" x14ac:dyDescent="0.3">
      <c r="A4582" t="s">
        <v>4636</v>
      </c>
      <c r="B4582" s="1">
        <v>45926</v>
      </c>
      <c r="C4582">
        <v>2025</v>
      </c>
      <c r="D4582" t="s">
        <v>1261</v>
      </c>
      <c r="E4582" t="s">
        <v>1651</v>
      </c>
      <c r="F4582" t="s">
        <v>38</v>
      </c>
      <c r="G4582" t="s">
        <v>24</v>
      </c>
      <c r="H4582" t="s">
        <v>43</v>
      </c>
      <c r="I4582" t="s">
        <v>31</v>
      </c>
      <c r="J4582" t="s">
        <v>27</v>
      </c>
      <c r="K4582" t="s">
        <v>28</v>
      </c>
      <c r="L4582" s="2">
        <v>83.6</v>
      </c>
      <c r="M4582" s="3">
        <v>1227</v>
      </c>
      <c r="N4582">
        <v>7</v>
      </c>
      <c r="O4582">
        <v>6</v>
      </c>
      <c r="P4582">
        <v>1</v>
      </c>
      <c r="Q4582">
        <v>0</v>
      </c>
      <c r="R4582" s="4">
        <v>44.78</v>
      </c>
      <c r="S4582">
        <v>0</v>
      </c>
      <c r="T4582">
        <v>1</v>
      </c>
    </row>
    <row r="4583" spans="1:20" ht="16.5" x14ac:dyDescent="0.3">
      <c r="A4583" t="s">
        <v>4637</v>
      </c>
      <c r="B4583" s="1">
        <v>45926</v>
      </c>
      <c r="C4583">
        <v>2025</v>
      </c>
      <c r="D4583" t="s">
        <v>1261</v>
      </c>
      <c r="E4583" t="s">
        <v>1651</v>
      </c>
      <c r="F4583" t="s">
        <v>34</v>
      </c>
      <c r="G4583" t="s">
        <v>35</v>
      </c>
      <c r="H4583" t="s">
        <v>36</v>
      </c>
      <c r="I4583" t="s">
        <v>26</v>
      </c>
      <c r="J4583" t="s">
        <v>27</v>
      </c>
      <c r="K4583" t="s">
        <v>32</v>
      </c>
      <c r="L4583" s="2">
        <v>9.1</v>
      </c>
      <c r="M4583" s="3">
        <v>223</v>
      </c>
      <c r="N4583">
        <v>3</v>
      </c>
      <c r="O4583">
        <v>5</v>
      </c>
      <c r="P4583">
        <v>0</v>
      </c>
      <c r="Q4583">
        <v>2</v>
      </c>
      <c r="R4583" s="4">
        <v>12.47</v>
      </c>
      <c r="S4583">
        <v>0</v>
      </c>
      <c r="T4583">
        <v>1</v>
      </c>
    </row>
    <row r="4584" spans="1:20" ht="16.5" x14ac:dyDescent="0.3">
      <c r="A4584" t="s">
        <v>4638</v>
      </c>
      <c r="B4584" s="1">
        <v>45927</v>
      </c>
      <c r="C4584">
        <v>2025</v>
      </c>
      <c r="D4584" t="s">
        <v>1261</v>
      </c>
      <c r="E4584" t="s">
        <v>1651</v>
      </c>
      <c r="F4584" t="s">
        <v>34</v>
      </c>
      <c r="G4584" t="s">
        <v>35</v>
      </c>
      <c r="H4584" t="s">
        <v>48</v>
      </c>
      <c r="I4584" t="s">
        <v>40</v>
      </c>
      <c r="J4584" t="s">
        <v>27</v>
      </c>
      <c r="K4584" t="s">
        <v>32</v>
      </c>
      <c r="L4584" s="2">
        <v>6.8</v>
      </c>
      <c r="M4584" s="3">
        <v>407</v>
      </c>
      <c r="N4584">
        <v>2</v>
      </c>
      <c r="O4584">
        <v>2</v>
      </c>
      <c r="P4584">
        <v>1</v>
      </c>
      <c r="Q4584">
        <v>0</v>
      </c>
      <c r="R4584" s="4">
        <v>23.48</v>
      </c>
      <c r="S4584">
        <v>0</v>
      </c>
      <c r="T4584">
        <v>1</v>
      </c>
    </row>
    <row r="4585" spans="1:20" ht="16.5" x14ac:dyDescent="0.3">
      <c r="A4585" t="s">
        <v>4639</v>
      </c>
      <c r="B4585" s="1">
        <v>45927</v>
      </c>
      <c r="C4585">
        <v>2025</v>
      </c>
      <c r="D4585" t="s">
        <v>1261</v>
      </c>
      <c r="E4585" t="s">
        <v>1651</v>
      </c>
      <c r="F4585" t="s">
        <v>57</v>
      </c>
      <c r="G4585" t="s">
        <v>39</v>
      </c>
      <c r="H4585" t="s">
        <v>48</v>
      </c>
      <c r="I4585" t="s">
        <v>31</v>
      </c>
      <c r="J4585" t="s">
        <v>27</v>
      </c>
      <c r="K4585" t="s">
        <v>28</v>
      </c>
      <c r="L4585" s="2">
        <v>57.1</v>
      </c>
      <c r="M4585" s="3">
        <v>506</v>
      </c>
      <c r="N4585">
        <v>6</v>
      </c>
      <c r="O4585">
        <v>6</v>
      </c>
      <c r="P4585">
        <v>1</v>
      </c>
      <c r="Q4585">
        <v>0</v>
      </c>
      <c r="R4585" s="4">
        <v>27.59</v>
      </c>
      <c r="S4585">
        <v>0</v>
      </c>
      <c r="T4585">
        <v>1</v>
      </c>
    </row>
    <row r="4586" spans="1:20" ht="16.5" x14ac:dyDescent="0.3">
      <c r="A4586" t="s">
        <v>4640</v>
      </c>
      <c r="B4586" s="1">
        <v>45927</v>
      </c>
      <c r="C4586">
        <v>2025</v>
      </c>
      <c r="D4586" t="s">
        <v>1261</v>
      </c>
      <c r="E4586" t="s">
        <v>1651</v>
      </c>
      <c r="F4586" t="s">
        <v>57</v>
      </c>
      <c r="G4586" t="s">
        <v>24</v>
      </c>
      <c r="H4586" t="s">
        <v>48</v>
      </c>
      <c r="I4586" t="s">
        <v>26</v>
      </c>
      <c r="J4586" t="s">
        <v>27</v>
      </c>
      <c r="K4586" t="s">
        <v>28</v>
      </c>
      <c r="L4586" s="2">
        <v>98.7</v>
      </c>
      <c r="M4586" s="3">
        <v>433</v>
      </c>
      <c r="N4586">
        <v>4</v>
      </c>
      <c r="O4586">
        <v>4</v>
      </c>
      <c r="P4586">
        <v>1</v>
      </c>
      <c r="Q4586">
        <v>0</v>
      </c>
      <c r="R4586" s="4">
        <v>60.2</v>
      </c>
      <c r="S4586">
        <v>0</v>
      </c>
      <c r="T4586">
        <v>1</v>
      </c>
    </row>
    <row r="4587" spans="1:20" ht="16.5" x14ac:dyDescent="0.3">
      <c r="A4587" t="s">
        <v>4641</v>
      </c>
      <c r="B4587" s="1">
        <v>45927</v>
      </c>
      <c r="C4587">
        <v>2025</v>
      </c>
      <c r="D4587" t="s">
        <v>1261</v>
      </c>
      <c r="E4587" t="s">
        <v>1651</v>
      </c>
      <c r="F4587" t="s">
        <v>34</v>
      </c>
      <c r="G4587" t="s">
        <v>39</v>
      </c>
      <c r="H4587" t="s">
        <v>36</v>
      </c>
      <c r="I4587" t="s">
        <v>26</v>
      </c>
      <c r="J4587" t="s">
        <v>27</v>
      </c>
      <c r="K4587" t="s">
        <v>32</v>
      </c>
      <c r="L4587" s="2">
        <v>1.3</v>
      </c>
      <c r="M4587" s="3">
        <v>266</v>
      </c>
      <c r="N4587">
        <v>3</v>
      </c>
      <c r="O4587">
        <v>6</v>
      </c>
      <c r="P4587">
        <v>0</v>
      </c>
      <c r="Q4587">
        <v>3</v>
      </c>
      <c r="R4587" s="4">
        <v>9.32</v>
      </c>
      <c r="S4587">
        <v>0</v>
      </c>
      <c r="T4587">
        <v>1</v>
      </c>
    </row>
    <row r="4588" spans="1:20" ht="16.5" x14ac:dyDescent="0.3">
      <c r="A4588" t="s">
        <v>4642</v>
      </c>
      <c r="B4588" s="1">
        <v>45927</v>
      </c>
      <c r="C4588">
        <v>2025</v>
      </c>
      <c r="D4588" t="s">
        <v>1261</v>
      </c>
      <c r="E4588" t="s">
        <v>1651</v>
      </c>
      <c r="F4588" t="s">
        <v>23</v>
      </c>
      <c r="G4588" t="s">
        <v>35</v>
      </c>
      <c r="H4588" t="s">
        <v>36</v>
      </c>
      <c r="I4588" t="s">
        <v>26</v>
      </c>
      <c r="J4588" t="s">
        <v>27</v>
      </c>
      <c r="K4588" t="s">
        <v>32</v>
      </c>
      <c r="L4588" s="2">
        <v>5.0999999999999996</v>
      </c>
      <c r="M4588" s="3">
        <v>191</v>
      </c>
      <c r="N4588">
        <v>3</v>
      </c>
      <c r="O4588">
        <v>6</v>
      </c>
      <c r="P4588">
        <v>0</v>
      </c>
      <c r="Q4588">
        <v>3</v>
      </c>
      <c r="R4588" s="4">
        <v>10.98</v>
      </c>
      <c r="S4588">
        <v>0</v>
      </c>
      <c r="T4588">
        <v>1</v>
      </c>
    </row>
    <row r="4589" spans="1:20" ht="16.5" x14ac:dyDescent="0.3">
      <c r="A4589" t="s">
        <v>4643</v>
      </c>
      <c r="B4589" s="1">
        <v>45927</v>
      </c>
      <c r="C4589">
        <v>2025</v>
      </c>
      <c r="D4589" t="s">
        <v>1261</v>
      </c>
      <c r="E4589" t="s">
        <v>1651</v>
      </c>
      <c r="F4589" t="s">
        <v>30</v>
      </c>
      <c r="G4589" t="s">
        <v>39</v>
      </c>
      <c r="H4589" t="s">
        <v>51</v>
      </c>
      <c r="I4589" t="s">
        <v>26</v>
      </c>
      <c r="J4589" t="s">
        <v>27</v>
      </c>
      <c r="K4589" t="s">
        <v>28</v>
      </c>
      <c r="L4589" s="2">
        <v>58.1</v>
      </c>
      <c r="M4589" s="3">
        <v>1081</v>
      </c>
      <c r="N4589">
        <v>5</v>
      </c>
      <c r="O4589">
        <v>5</v>
      </c>
      <c r="P4589">
        <v>1</v>
      </c>
      <c r="Q4589">
        <v>0</v>
      </c>
      <c r="R4589" s="4">
        <v>51.21</v>
      </c>
      <c r="S4589">
        <v>0</v>
      </c>
      <c r="T4589">
        <v>1</v>
      </c>
    </row>
    <row r="4590" spans="1:20" ht="16.5" x14ac:dyDescent="0.3">
      <c r="A4590" t="s">
        <v>4644</v>
      </c>
      <c r="B4590" s="1">
        <v>45927</v>
      </c>
      <c r="C4590">
        <v>2025</v>
      </c>
      <c r="D4590" t="s">
        <v>1261</v>
      </c>
      <c r="E4590" t="s">
        <v>1651</v>
      </c>
      <c r="F4590" t="s">
        <v>38</v>
      </c>
      <c r="G4590" t="s">
        <v>24</v>
      </c>
      <c r="H4590" t="s">
        <v>25</v>
      </c>
      <c r="I4590" t="s">
        <v>31</v>
      </c>
      <c r="J4590" t="s">
        <v>27</v>
      </c>
      <c r="K4590" t="s">
        <v>32</v>
      </c>
      <c r="L4590" s="2">
        <v>7</v>
      </c>
      <c r="M4590" s="3">
        <v>1091</v>
      </c>
      <c r="N4590">
        <v>6</v>
      </c>
      <c r="O4590">
        <v>8</v>
      </c>
      <c r="P4590">
        <v>0</v>
      </c>
      <c r="Q4590">
        <v>2</v>
      </c>
      <c r="R4590" s="4">
        <v>19.86</v>
      </c>
      <c r="S4590">
        <v>0</v>
      </c>
      <c r="T4590">
        <v>1</v>
      </c>
    </row>
    <row r="4591" spans="1:20" ht="16.5" x14ac:dyDescent="0.3">
      <c r="A4591" t="s">
        <v>4645</v>
      </c>
      <c r="B4591" s="1">
        <v>45927</v>
      </c>
      <c r="C4591">
        <v>2025</v>
      </c>
      <c r="D4591" t="s">
        <v>1261</v>
      </c>
      <c r="E4591" t="s">
        <v>1651</v>
      </c>
      <c r="F4591" t="s">
        <v>57</v>
      </c>
      <c r="G4591" t="s">
        <v>35</v>
      </c>
      <c r="H4591" t="s">
        <v>36</v>
      </c>
      <c r="I4591" t="s">
        <v>26</v>
      </c>
      <c r="J4591" t="s">
        <v>27</v>
      </c>
      <c r="K4591" t="s">
        <v>32</v>
      </c>
      <c r="L4591" s="2">
        <v>9.8000000000000007</v>
      </c>
      <c r="M4591" s="3">
        <v>186</v>
      </c>
      <c r="N4591">
        <v>3</v>
      </c>
      <c r="O4591">
        <v>2</v>
      </c>
      <c r="P4591">
        <v>1</v>
      </c>
      <c r="Q4591">
        <v>0</v>
      </c>
      <c r="R4591" s="4">
        <v>14.81</v>
      </c>
      <c r="S4591">
        <v>0</v>
      </c>
      <c r="T4591">
        <v>1</v>
      </c>
    </row>
    <row r="4592" spans="1:20" ht="16.5" x14ac:dyDescent="0.3">
      <c r="A4592" t="s">
        <v>4646</v>
      </c>
      <c r="B4592" s="1">
        <v>45928</v>
      </c>
      <c r="C4592">
        <v>2025</v>
      </c>
      <c r="D4592" t="s">
        <v>1261</v>
      </c>
      <c r="E4592" t="s">
        <v>1651</v>
      </c>
      <c r="F4592" t="s">
        <v>34</v>
      </c>
      <c r="G4592" t="s">
        <v>35</v>
      </c>
      <c r="H4592" t="s">
        <v>43</v>
      </c>
      <c r="I4592" t="s">
        <v>26</v>
      </c>
      <c r="J4592" t="s">
        <v>27</v>
      </c>
      <c r="K4592" t="s">
        <v>28</v>
      </c>
      <c r="L4592" s="2">
        <v>67.5</v>
      </c>
      <c r="M4592" s="3">
        <v>1153</v>
      </c>
      <c r="N4592">
        <v>5</v>
      </c>
      <c r="O4592">
        <v>5</v>
      </c>
      <c r="P4592">
        <v>1</v>
      </c>
      <c r="Q4592">
        <v>0</v>
      </c>
      <c r="R4592" s="4">
        <v>45.76</v>
      </c>
      <c r="S4592">
        <v>0</v>
      </c>
      <c r="T4592">
        <v>1</v>
      </c>
    </row>
    <row r="4593" spans="1:20" ht="16.5" x14ac:dyDescent="0.3">
      <c r="A4593" t="s">
        <v>4647</v>
      </c>
      <c r="B4593" s="1">
        <v>45928</v>
      </c>
      <c r="C4593">
        <v>2025</v>
      </c>
      <c r="D4593" t="s">
        <v>1261</v>
      </c>
      <c r="E4593" t="s">
        <v>1651</v>
      </c>
      <c r="F4593" t="s">
        <v>38</v>
      </c>
      <c r="G4593" t="s">
        <v>35</v>
      </c>
      <c r="H4593" t="s">
        <v>48</v>
      </c>
      <c r="I4593" t="s">
        <v>26</v>
      </c>
      <c r="J4593" t="s">
        <v>27</v>
      </c>
      <c r="K4593" t="s">
        <v>32</v>
      </c>
      <c r="L4593" s="2">
        <v>4.2</v>
      </c>
      <c r="M4593" s="3">
        <v>519</v>
      </c>
      <c r="N4593">
        <v>4</v>
      </c>
      <c r="O4593">
        <v>4</v>
      </c>
      <c r="P4593">
        <v>1</v>
      </c>
      <c r="Q4593">
        <v>0</v>
      </c>
      <c r="R4593" s="4">
        <v>16.600000000000001</v>
      </c>
      <c r="S4593">
        <v>0</v>
      </c>
      <c r="T4593">
        <v>1</v>
      </c>
    </row>
    <row r="4594" spans="1:20" ht="16.5" x14ac:dyDescent="0.3">
      <c r="A4594" t="s">
        <v>4648</v>
      </c>
      <c r="B4594" s="1">
        <v>45928</v>
      </c>
      <c r="C4594">
        <v>2025</v>
      </c>
      <c r="D4594" t="s">
        <v>1261</v>
      </c>
      <c r="E4594" t="s">
        <v>1651</v>
      </c>
      <c r="F4594" t="s">
        <v>57</v>
      </c>
      <c r="G4594" t="s">
        <v>39</v>
      </c>
      <c r="H4594" t="s">
        <v>51</v>
      </c>
      <c r="I4594" t="s">
        <v>26</v>
      </c>
      <c r="J4594" t="s">
        <v>27</v>
      </c>
      <c r="K4594" t="s">
        <v>32</v>
      </c>
      <c r="L4594" s="2">
        <v>7.7</v>
      </c>
      <c r="M4594" s="3">
        <v>1006</v>
      </c>
      <c r="N4594">
        <v>5</v>
      </c>
      <c r="O4594">
        <v>4</v>
      </c>
      <c r="P4594">
        <v>1</v>
      </c>
      <c r="Q4594">
        <v>0</v>
      </c>
      <c r="R4594" s="4">
        <v>21.02</v>
      </c>
      <c r="S4594">
        <v>0</v>
      </c>
      <c r="T4594">
        <v>1</v>
      </c>
    </row>
    <row r="4595" spans="1:20" ht="16.5" x14ac:dyDescent="0.3">
      <c r="A4595" t="s">
        <v>4649</v>
      </c>
      <c r="B4595" s="1">
        <v>45928</v>
      </c>
      <c r="C4595">
        <v>2025</v>
      </c>
      <c r="D4595" t="s">
        <v>1261</v>
      </c>
      <c r="E4595" t="s">
        <v>1651</v>
      </c>
      <c r="F4595" t="s">
        <v>34</v>
      </c>
      <c r="G4595" t="s">
        <v>39</v>
      </c>
      <c r="H4595" t="s">
        <v>43</v>
      </c>
      <c r="I4595" t="s">
        <v>26</v>
      </c>
      <c r="J4595" t="s">
        <v>27</v>
      </c>
      <c r="K4595" t="s">
        <v>28</v>
      </c>
      <c r="L4595" s="2">
        <v>188.7</v>
      </c>
      <c r="M4595" s="3">
        <v>1316</v>
      </c>
      <c r="N4595">
        <v>5</v>
      </c>
      <c r="O4595">
        <v>5</v>
      </c>
      <c r="P4595">
        <v>1</v>
      </c>
      <c r="Q4595">
        <v>0</v>
      </c>
      <c r="R4595" s="4">
        <v>76.790000000000006</v>
      </c>
      <c r="S4595">
        <v>0</v>
      </c>
      <c r="T4595">
        <v>1</v>
      </c>
    </row>
    <row r="4596" spans="1:20" ht="16.5" x14ac:dyDescent="0.3">
      <c r="A4596" t="s">
        <v>4650</v>
      </c>
      <c r="B4596" s="1">
        <v>45929</v>
      </c>
      <c r="C4596">
        <v>2025</v>
      </c>
      <c r="D4596" t="s">
        <v>1261</v>
      </c>
      <c r="E4596" t="s">
        <v>1651</v>
      </c>
      <c r="F4596" t="s">
        <v>34</v>
      </c>
      <c r="G4596" t="s">
        <v>35</v>
      </c>
      <c r="H4596" t="s">
        <v>48</v>
      </c>
      <c r="I4596" t="s">
        <v>26</v>
      </c>
      <c r="J4596" t="s">
        <v>27</v>
      </c>
      <c r="K4596" t="s">
        <v>28</v>
      </c>
      <c r="L4596" s="2">
        <v>103.2</v>
      </c>
      <c r="M4596" s="3">
        <v>468</v>
      </c>
      <c r="N4596">
        <v>4</v>
      </c>
      <c r="O4596">
        <v>8</v>
      </c>
      <c r="P4596">
        <v>0</v>
      </c>
      <c r="Q4596">
        <v>4</v>
      </c>
      <c r="R4596" s="4">
        <v>48.79</v>
      </c>
      <c r="S4596">
        <v>0</v>
      </c>
      <c r="T4596">
        <v>1</v>
      </c>
    </row>
    <row r="4597" spans="1:20" ht="16.5" x14ac:dyDescent="0.3">
      <c r="A4597" t="s">
        <v>4651</v>
      </c>
      <c r="B4597" s="1">
        <v>45929</v>
      </c>
      <c r="C4597">
        <v>2025</v>
      </c>
      <c r="D4597" t="s">
        <v>1261</v>
      </c>
      <c r="E4597" t="s">
        <v>1651</v>
      </c>
      <c r="F4597" t="s">
        <v>38</v>
      </c>
      <c r="G4597" t="s">
        <v>24</v>
      </c>
      <c r="H4597" t="s">
        <v>48</v>
      </c>
      <c r="I4597" t="s">
        <v>26</v>
      </c>
      <c r="J4597" t="s">
        <v>27</v>
      </c>
      <c r="K4597" t="s">
        <v>32</v>
      </c>
      <c r="L4597" s="2">
        <v>5.6</v>
      </c>
      <c r="M4597" s="3">
        <v>501</v>
      </c>
      <c r="N4597">
        <v>4</v>
      </c>
      <c r="O4597">
        <v>3</v>
      </c>
      <c r="P4597">
        <v>1</v>
      </c>
      <c r="Q4597">
        <v>0</v>
      </c>
      <c r="R4597" s="4">
        <v>17.34</v>
      </c>
      <c r="S4597">
        <v>0</v>
      </c>
      <c r="T4597">
        <v>1</v>
      </c>
    </row>
    <row r="4598" spans="1:20" ht="16.5" x14ac:dyDescent="0.3">
      <c r="A4598" t="s">
        <v>4652</v>
      </c>
      <c r="B4598" s="1">
        <v>45929</v>
      </c>
      <c r="C4598">
        <v>2025</v>
      </c>
      <c r="D4598" t="s">
        <v>1261</v>
      </c>
      <c r="E4598" t="s">
        <v>1651</v>
      </c>
      <c r="F4598" t="s">
        <v>23</v>
      </c>
      <c r="G4598" t="s">
        <v>24</v>
      </c>
      <c r="H4598" t="s">
        <v>25</v>
      </c>
      <c r="I4598" t="s">
        <v>40</v>
      </c>
      <c r="J4598" t="s">
        <v>41</v>
      </c>
      <c r="K4598" t="s">
        <v>28</v>
      </c>
      <c r="L4598" s="2">
        <v>73.400000000000006</v>
      </c>
      <c r="M4598" s="3">
        <v>890</v>
      </c>
      <c r="N4598">
        <v>2</v>
      </c>
      <c r="O4598">
        <v>2</v>
      </c>
      <c r="P4598">
        <v>1</v>
      </c>
      <c r="Q4598">
        <v>0</v>
      </c>
      <c r="R4598" s="4">
        <v>148.88999999999999</v>
      </c>
      <c r="S4598">
        <v>0</v>
      </c>
      <c r="T4598">
        <v>1</v>
      </c>
    </row>
    <row r="4599" spans="1:20" ht="16.5" x14ac:dyDescent="0.3">
      <c r="A4599" t="s">
        <v>4653</v>
      </c>
      <c r="B4599" s="1">
        <v>45929</v>
      </c>
      <c r="C4599">
        <v>2025</v>
      </c>
      <c r="D4599" t="s">
        <v>1261</v>
      </c>
      <c r="E4599" t="s">
        <v>1651</v>
      </c>
      <c r="F4599" t="s">
        <v>38</v>
      </c>
      <c r="G4599" t="s">
        <v>35</v>
      </c>
      <c r="H4599" t="s">
        <v>48</v>
      </c>
      <c r="I4599" t="s">
        <v>40</v>
      </c>
      <c r="J4599" t="s">
        <v>27</v>
      </c>
      <c r="K4599" t="s">
        <v>32</v>
      </c>
      <c r="L4599" s="2">
        <v>4.8</v>
      </c>
      <c r="M4599" s="3">
        <v>459</v>
      </c>
      <c r="N4599">
        <v>2</v>
      </c>
      <c r="O4599">
        <v>2</v>
      </c>
      <c r="P4599">
        <v>1</v>
      </c>
      <c r="Q4599">
        <v>0</v>
      </c>
      <c r="R4599" s="4">
        <v>29.49</v>
      </c>
      <c r="S4599">
        <v>0</v>
      </c>
      <c r="T4599">
        <v>1</v>
      </c>
    </row>
    <row r="4600" spans="1:20" ht="16.5" x14ac:dyDescent="0.3">
      <c r="A4600" t="s">
        <v>4654</v>
      </c>
      <c r="B4600" s="1">
        <v>45929</v>
      </c>
      <c r="C4600">
        <v>2025</v>
      </c>
      <c r="D4600" t="s">
        <v>1261</v>
      </c>
      <c r="E4600" t="s">
        <v>1651</v>
      </c>
      <c r="F4600" t="s">
        <v>23</v>
      </c>
      <c r="G4600" t="s">
        <v>24</v>
      </c>
      <c r="H4600" t="s">
        <v>43</v>
      </c>
      <c r="I4600" t="s">
        <v>26</v>
      </c>
      <c r="J4600" t="s">
        <v>27</v>
      </c>
      <c r="K4600" t="s">
        <v>32</v>
      </c>
      <c r="L4600" s="2">
        <v>6.9</v>
      </c>
      <c r="M4600" s="3">
        <v>1266</v>
      </c>
      <c r="N4600">
        <v>5</v>
      </c>
      <c r="O4600">
        <v>7</v>
      </c>
      <c r="P4600">
        <v>0</v>
      </c>
      <c r="Q4600">
        <v>2</v>
      </c>
      <c r="R4600" s="4">
        <v>25.52</v>
      </c>
      <c r="S4600">
        <v>0</v>
      </c>
      <c r="T4600">
        <v>1</v>
      </c>
    </row>
    <row r="4601" spans="1:20" ht="16.5" x14ac:dyDescent="0.3">
      <c r="A4601" t="s">
        <v>4655</v>
      </c>
      <c r="B4601" s="1">
        <v>45929</v>
      </c>
      <c r="C4601">
        <v>2025</v>
      </c>
      <c r="D4601" t="s">
        <v>1261</v>
      </c>
      <c r="E4601" t="s">
        <v>1651</v>
      </c>
      <c r="F4601" t="s">
        <v>38</v>
      </c>
      <c r="G4601" t="s">
        <v>35</v>
      </c>
      <c r="H4601" t="s">
        <v>36</v>
      </c>
      <c r="I4601" t="s">
        <v>40</v>
      </c>
      <c r="J4601" t="s">
        <v>27</v>
      </c>
      <c r="K4601" t="s">
        <v>32</v>
      </c>
      <c r="L4601" s="2">
        <v>17.100000000000001</v>
      </c>
      <c r="M4601" s="3">
        <v>233</v>
      </c>
      <c r="N4601">
        <v>1</v>
      </c>
      <c r="O4601">
        <v>1</v>
      </c>
      <c r="P4601">
        <v>1</v>
      </c>
      <c r="Q4601">
        <v>0</v>
      </c>
      <c r="R4601" s="4">
        <v>44.37</v>
      </c>
      <c r="S4601">
        <v>0</v>
      </c>
      <c r="T4601">
        <v>1</v>
      </c>
    </row>
    <row r="4602" spans="1:20" ht="16.5" x14ac:dyDescent="0.3">
      <c r="A4602" t="s">
        <v>4656</v>
      </c>
      <c r="B4602" s="1">
        <v>45929</v>
      </c>
      <c r="C4602">
        <v>2025</v>
      </c>
      <c r="D4602" t="s">
        <v>1261</v>
      </c>
      <c r="E4602" t="s">
        <v>1651</v>
      </c>
      <c r="F4602" t="s">
        <v>30</v>
      </c>
      <c r="G4602" t="s">
        <v>24</v>
      </c>
      <c r="H4602" t="s">
        <v>36</v>
      </c>
      <c r="I4602" t="s">
        <v>40</v>
      </c>
      <c r="J4602" t="s">
        <v>27</v>
      </c>
      <c r="K4602" t="s">
        <v>32</v>
      </c>
      <c r="L4602" s="2">
        <v>5.4</v>
      </c>
      <c r="M4602" s="3">
        <v>285</v>
      </c>
      <c r="N4602">
        <v>1</v>
      </c>
      <c r="O4602">
        <v>1</v>
      </c>
      <c r="P4602">
        <v>1</v>
      </c>
      <c r="Q4602">
        <v>0</v>
      </c>
      <c r="R4602" s="4">
        <v>28.25</v>
      </c>
      <c r="S4602">
        <v>0</v>
      </c>
      <c r="T4602">
        <v>1</v>
      </c>
    </row>
    <row r="4603" spans="1:20" ht="16.5" x14ac:dyDescent="0.3">
      <c r="A4603" t="s">
        <v>4657</v>
      </c>
      <c r="B4603" s="1">
        <v>45929</v>
      </c>
      <c r="C4603">
        <v>2025</v>
      </c>
      <c r="D4603" t="s">
        <v>1261</v>
      </c>
      <c r="E4603" t="s">
        <v>1651</v>
      </c>
      <c r="F4603" t="s">
        <v>30</v>
      </c>
      <c r="G4603" t="s">
        <v>39</v>
      </c>
      <c r="H4603" t="s">
        <v>43</v>
      </c>
      <c r="I4603" t="s">
        <v>26</v>
      </c>
      <c r="J4603" t="s">
        <v>27</v>
      </c>
      <c r="K4603" t="s">
        <v>32</v>
      </c>
      <c r="L4603" s="2">
        <v>4</v>
      </c>
      <c r="M4603" s="3">
        <v>1018</v>
      </c>
      <c r="N4603">
        <v>5</v>
      </c>
      <c r="O4603">
        <v>6</v>
      </c>
      <c r="P4603">
        <v>0</v>
      </c>
      <c r="Q4603">
        <v>1</v>
      </c>
      <c r="R4603" s="4">
        <v>24.45</v>
      </c>
      <c r="S4603">
        <v>0</v>
      </c>
      <c r="T4603">
        <v>1</v>
      </c>
    </row>
    <row r="4604" spans="1:20" ht="16.5" x14ac:dyDescent="0.3">
      <c r="A4604" t="s">
        <v>4658</v>
      </c>
      <c r="B4604" s="1">
        <v>45929</v>
      </c>
      <c r="C4604">
        <v>2025</v>
      </c>
      <c r="D4604" t="s">
        <v>1261</v>
      </c>
      <c r="E4604" t="s">
        <v>1651</v>
      </c>
      <c r="F4604" t="s">
        <v>23</v>
      </c>
      <c r="G4604" t="s">
        <v>35</v>
      </c>
      <c r="H4604" t="s">
        <v>36</v>
      </c>
      <c r="I4604" t="s">
        <v>31</v>
      </c>
      <c r="J4604" t="s">
        <v>27</v>
      </c>
      <c r="K4604" t="s">
        <v>32</v>
      </c>
      <c r="L4604" s="2">
        <v>2.1</v>
      </c>
      <c r="M4604" s="3">
        <v>234</v>
      </c>
      <c r="N4604">
        <v>5</v>
      </c>
      <c r="O4604">
        <v>4</v>
      </c>
      <c r="P4604">
        <v>1</v>
      </c>
      <c r="Q4604">
        <v>0</v>
      </c>
      <c r="R4604" s="4">
        <v>7.86</v>
      </c>
      <c r="S4604">
        <v>0</v>
      </c>
      <c r="T4604">
        <v>1</v>
      </c>
    </row>
    <row r="4605" spans="1:20" ht="16.5" x14ac:dyDescent="0.3">
      <c r="A4605" t="s">
        <v>4659</v>
      </c>
      <c r="B4605" s="1">
        <v>45929</v>
      </c>
      <c r="C4605">
        <v>2025</v>
      </c>
      <c r="D4605" t="s">
        <v>1261</v>
      </c>
      <c r="E4605" t="s">
        <v>1651</v>
      </c>
      <c r="F4605" t="s">
        <v>34</v>
      </c>
      <c r="G4605" t="s">
        <v>39</v>
      </c>
      <c r="H4605" t="s">
        <v>25</v>
      </c>
      <c r="I4605" t="s">
        <v>31</v>
      </c>
      <c r="J4605" t="s">
        <v>27</v>
      </c>
      <c r="K4605" t="s">
        <v>28</v>
      </c>
      <c r="L4605" s="2">
        <v>202.5</v>
      </c>
      <c r="M4605" s="3">
        <v>1081</v>
      </c>
      <c r="N4605">
        <v>6</v>
      </c>
      <c r="O4605">
        <v>6</v>
      </c>
      <c r="P4605">
        <v>1</v>
      </c>
      <c r="Q4605">
        <v>0</v>
      </c>
      <c r="R4605" s="4">
        <v>67.03</v>
      </c>
      <c r="S4605">
        <v>0</v>
      </c>
      <c r="T4605">
        <v>1</v>
      </c>
    </row>
    <row r="4606" spans="1:20" ht="16.5" x14ac:dyDescent="0.3">
      <c r="A4606" t="s">
        <v>4660</v>
      </c>
      <c r="B4606" s="1">
        <v>45930</v>
      </c>
      <c r="C4606">
        <v>2025</v>
      </c>
      <c r="D4606" t="s">
        <v>1261</v>
      </c>
      <c r="E4606" t="s">
        <v>1651</v>
      </c>
      <c r="F4606" t="s">
        <v>38</v>
      </c>
      <c r="G4606" t="s">
        <v>39</v>
      </c>
      <c r="H4606" t="s">
        <v>36</v>
      </c>
      <c r="I4606" t="s">
        <v>40</v>
      </c>
      <c r="J4606" t="s">
        <v>27</v>
      </c>
      <c r="K4606" t="s">
        <v>32</v>
      </c>
      <c r="L4606" s="2">
        <v>5.6</v>
      </c>
      <c r="M4606" s="3">
        <v>213</v>
      </c>
      <c r="N4606">
        <v>1</v>
      </c>
      <c r="O4606">
        <v>4</v>
      </c>
      <c r="P4606">
        <v>0</v>
      </c>
      <c r="Q4606">
        <v>3</v>
      </c>
      <c r="R4606" s="4">
        <v>28.74</v>
      </c>
      <c r="S4606">
        <v>0</v>
      </c>
      <c r="T4606">
        <v>1</v>
      </c>
    </row>
    <row r="4607" spans="1:20" ht="16.5" x14ac:dyDescent="0.3">
      <c r="A4607" t="s">
        <v>4661</v>
      </c>
      <c r="B4607" s="1">
        <v>45930</v>
      </c>
      <c r="C4607">
        <v>2025</v>
      </c>
      <c r="D4607" t="s">
        <v>1261</v>
      </c>
      <c r="E4607" t="s">
        <v>1651</v>
      </c>
      <c r="F4607" t="s">
        <v>23</v>
      </c>
      <c r="G4607" t="s">
        <v>24</v>
      </c>
      <c r="H4607" t="s">
        <v>36</v>
      </c>
      <c r="I4607" t="s">
        <v>26</v>
      </c>
      <c r="J4607" t="s">
        <v>27</v>
      </c>
      <c r="K4607" t="s">
        <v>28</v>
      </c>
      <c r="L4607" s="2">
        <v>38.5</v>
      </c>
      <c r="M4607" s="3">
        <v>195</v>
      </c>
      <c r="N4607">
        <v>3</v>
      </c>
      <c r="O4607">
        <v>3</v>
      </c>
      <c r="P4607">
        <v>1</v>
      </c>
      <c r="Q4607">
        <v>0</v>
      </c>
      <c r="R4607" s="4">
        <v>27.32</v>
      </c>
      <c r="S4607">
        <v>0</v>
      </c>
      <c r="T4607">
        <v>1</v>
      </c>
    </row>
    <row r="4608" spans="1:20" ht="16.5" x14ac:dyDescent="0.3">
      <c r="A4608" t="s">
        <v>4662</v>
      </c>
      <c r="B4608" s="1">
        <v>45930</v>
      </c>
      <c r="C4608">
        <v>2025</v>
      </c>
      <c r="D4608" t="s">
        <v>1261</v>
      </c>
      <c r="E4608" t="s">
        <v>1651</v>
      </c>
      <c r="F4608" t="s">
        <v>57</v>
      </c>
      <c r="G4608" t="s">
        <v>35</v>
      </c>
      <c r="H4608" t="s">
        <v>36</v>
      </c>
      <c r="I4608" t="s">
        <v>31</v>
      </c>
      <c r="J4608" t="s">
        <v>27</v>
      </c>
      <c r="K4608" t="s">
        <v>32</v>
      </c>
      <c r="L4608" s="2">
        <v>8.6</v>
      </c>
      <c r="M4608" s="3">
        <v>248</v>
      </c>
      <c r="N4608">
        <v>5</v>
      </c>
      <c r="O4608">
        <v>4</v>
      </c>
      <c r="P4608">
        <v>1</v>
      </c>
      <c r="Q4608">
        <v>0</v>
      </c>
      <c r="R4608" s="4">
        <v>10.26</v>
      </c>
      <c r="S4608">
        <v>0</v>
      </c>
      <c r="T4608">
        <v>1</v>
      </c>
    </row>
    <row r="4609" spans="1:20" ht="16.5" x14ac:dyDescent="0.3">
      <c r="A4609" t="s">
        <v>4663</v>
      </c>
      <c r="B4609" s="1">
        <v>45930</v>
      </c>
      <c r="C4609">
        <v>2025</v>
      </c>
      <c r="D4609" t="s">
        <v>1261</v>
      </c>
      <c r="E4609" t="s">
        <v>1651</v>
      </c>
      <c r="F4609" t="s">
        <v>30</v>
      </c>
      <c r="G4609" t="s">
        <v>39</v>
      </c>
      <c r="H4609" t="s">
        <v>51</v>
      </c>
      <c r="I4609" t="s">
        <v>31</v>
      </c>
      <c r="J4609" t="s">
        <v>27</v>
      </c>
      <c r="K4609" t="s">
        <v>32</v>
      </c>
      <c r="L4609" s="2">
        <v>1.2</v>
      </c>
      <c r="M4609" s="3">
        <v>984</v>
      </c>
      <c r="N4609">
        <v>7</v>
      </c>
      <c r="O4609">
        <v>7</v>
      </c>
      <c r="P4609">
        <v>1</v>
      </c>
      <c r="Q4609">
        <v>0</v>
      </c>
      <c r="R4609" s="4">
        <v>13.8</v>
      </c>
      <c r="S4609">
        <v>0</v>
      </c>
      <c r="T4609">
        <v>1</v>
      </c>
    </row>
    <row r="4610" spans="1:20" ht="16.5" x14ac:dyDescent="0.3">
      <c r="A4610" t="s">
        <v>4664</v>
      </c>
      <c r="B4610" s="1">
        <v>45930</v>
      </c>
      <c r="C4610">
        <v>2025</v>
      </c>
      <c r="D4610" t="s">
        <v>1261</v>
      </c>
      <c r="E4610" t="s">
        <v>1651</v>
      </c>
      <c r="F4610" t="s">
        <v>34</v>
      </c>
      <c r="G4610" t="s">
        <v>35</v>
      </c>
      <c r="H4610" t="s">
        <v>51</v>
      </c>
      <c r="I4610" t="s">
        <v>26</v>
      </c>
      <c r="J4610" t="s">
        <v>27</v>
      </c>
      <c r="K4610" t="s">
        <v>28</v>
      </c>
      <c r="L4610" s="2">
        <v>136.9</v>
      </c>
      <c r="M4610" s="3">
        <v>1226</v>
      </c>
      <c r="N4610">
        <v>5</v>
      </c>
      <c r="O4610">
        <v>6</v>
      </c>
      <c r="P4610">
        <v>0</v>
      </c>
      <c r="Q4610">
        <v>1</v>
      </c>
      <c r="R4610" s="4">
        <v>68.53</v>
      </c>
      <c r="S4610">
        <v>0</v>
      </c>
      <c r="T4610">
        <v>1</v>
      </c>
    </row>
    <row r="4611" spans="1:20" ht="16.5" x14ac:dyDescent="0.3">
      <c r="A4611" t="s">
        <v>4665</v>
      </c>
      <c r="B4611" s="1">
        <v>45930</v>
      </c>
      <c r="C4611">
        <v>2025</v>
      </c>
      <c r="D4611" t="s">
        <v>1261</v>
      </c>
      <c r="E4611" t="s">
        <v>1651</v>
      </c>
      <c r="F4611" t="s">
        <v>30</v>
      </c>
      <c r="G4611" t="s">
        <v>35</v>
      </c>
      <c r="H4611" t="s">
        <v>43</v>
      </c>
      <c r="I4611" t="s">
        <v>26</v>
      </c>
      <c r="J4611" t="s">
        <v>27</v>
      </c>
      <c r="K4611" t="s">
        <v>32</v>
      </c>
      <c r="L4611" s="2">
        <v>8.5</v>
      </c>
      <c r="M4611" s="3">
        <v>1141</v>
      </c>
      <c r="N4611">
        <v>5</v>
      </c>
      <c r="O4611">
        <v>7</v>
      </c>
      <c r="P4611">
        <v>0</v>
      </c>
      <c r="Q4611">
        <v>2</v>
      </c>
      <c r="R4611" s="4">
        <v>25.35</v>
      </c>
      <c r="S4611">
        <v>0</v>
      </c>
      <c r="T4611">
        <v>1</v>
      </c>
    </row>
    <row r="4612" spans="1:20" ht="16.5" x14ac:dyDescent="0.3">
      <c r="A4612" t="s">
        <v>4666</v>
      </c>
      <c r="B4612" s="1">
        <v>45930</v>
      </c>
      <c r="C4612">
        <v>2025</v>
      </c>
      <c r="D4612" t="s">
        <v>1261</v>
      </c>
      <c r="E4612" t="s">
        <v>1651</v>
      </c>
      <c r="F4612" t="s">
        <v>30</v>
      </c>
      <c r="G4612" t="s">
        <v>39</v>
      </c>
      <c r="H4612" t="s">
        <v>25</v>
      </c>
      <c r="I4612" t="s">
        <v>26</v>
      </c>
      <c r="J4612" t="s">
        <v>27</v>
      </c>
      <c r="K4612" t="s">
        <v>32</v>
      </c>
      <c r="L4612" s="2">
        <v>14.7</v>
      </c>
      <c r="M4612" s="3">
        <v>995</v>
      </c>
      <c r="N4612">
        <v>4</v>
      </c>
      <c r="O4612">
        <v>4</v>
      </c>
      <c r="P4612">
        <v>1</v>
      </c>
      <c r="Q4612">
        <v>0</v>
      </c>
      <c r="R4612" s="4">
        <v>28.35</v>
      </c>
      <c r="S4612">
        <v>0</v>
      </c>
      <c r="T4612">
        <v>1</v>
      </c>
    </row>
    <row r="4613" spans="1:20" ht="16.5" x14ac:dyDescent="0.3">
      <c r="A4613" t="s">
        <v>4667</v>
      </c>
      <c r="B4613" s="1">
        <v>45930</v>
      </c>
      <c r="C4613">
        <v>2025</v>
      </c>
      <c r="D4613" t="s">
        <v>1261</v>
      </c>
      <c r="E4613" t="s">
        <v>1651</v>
      </c>
      <c r="F4613" t="s">
        <v>38</v>
      </c>
      <c r="G4613" t="s">
        <v>39</v>
      </c>
      <c r="H4613" t="s">
        <v>51</v>
      </c>
      <c r="I4613" t="s">
        <v>40</v>
      </c>
      <c r="J4613" t="s">
        <v>41</v>
      </c>
      <c r="K4613" t="s">
        <v>28</v>
      </c>
      <c r="L4613" s="2">
        <v>48.3</v>
      </c>
      <c r="M4613" s="3">
        <v>993</v>
      </c>
      <c r="N4613">
        <v>3</v>
      </c>
      <c r="O4613">
        <v>3</v>
      </c>
      <c r="P4613">
        <v>1</v>
      </c>
      <c r="Q4613">
        <v>0</v>
      </c>
      <c r="R4613" s="4">
        <v>134.13</v>
      </c>
      <c r="S4613">
        <v>0</v>
      </c>
      <c r="T4613">
        <v>1</v>
      </c>
    </row>
    <row r="4614" spans="1:20" ht="16.5" x14ac:dyDescent="0.3">
      <c r="A4614" t="s">
        <v>4668</v>
      </c>
      <c r="B4614" s="1">
        <v>45930</v>
      </c>
      <c r="C4614">
        <v>2025</v>
      </c>
      <c r="D4614" t="s">
        <v>1261</v>
      </c>
      <c r="E4614" t="s">
        <v>1651</v>
      </c>
      <c r="F4614" t="s">
        <v>34</v>
      </c>
      <c r="G4614" t="s">
        <v>39</v>
      </c>
      <c r="H4614" t="s">
        <v>36</v>
      </c>
      <c r="I4614" t="s">
        <v>26</v>
      </c>
      <c r="J4614" t="s">
        <v>27</v>
      </c>
      <c r="K4614" t="s">
        <v>32</v>
      </c>
      <c r="L4614" s="2">
        <v>12.2</v>
      </c>
      <c r="M4614" s="3">
        <v>259</v>
      </c>
      <c r="N4614">
        <v>3</v>
      </c>
      <c r="O4614">
        <v>3</v>
      </c>
      <c r="P4614">
        <v>1</v>
      </c>
      <c r="Q4614">
        <v>0</v>
      </c>
      <c r="R4614" s="4">
        <v>14.73</v>
      </c>
      <c r="S4614">
        <v>0</v>
      </c>
      <c r="T4614">
        <v>1</v>
      </c>
    </row>
    <row r="4615" spans="1:20" ht="16.5" x14ac:dyDescent="0.3">
      <c r="A4615" t="s">
        <v>4669</v>
      </c>
      <c r="B4615" s="1">
        <v>45930</v>
      </c>
      <c r="C4615">
        <v>2025</v>
      </c>
      <c r="D4615" t="s">
        <v>1261</v>
      </c>
      <c r="E4615" t="s">
        <v>1651</v>
      </c>
      <c r="F4615" t="s">
        <v>57</v>
      </c>
      <c r="G4615" t="s">
        <v>39</v>
      </c>
      <c r="H4615" t="s">
        <v>36</v>
      </c>
      <c r="I4615" t="s">
        <v>40</v>
      </c>
      <c r="J4615" t="s">
        <v>27</v>
      </c>
      <c r="K4615" t="s">
        <v>32</v>
      </c>
      <c r="L4615" s="2">
        <v>6.4</v>
      </c>
      <c r="M4615" s="3">
        <v>270</v>
      </c>
      <c r="N4615">
        <v>1</v>
      </c>
      <c r="O4615">
        <v>1</v>
      </c>
      <c r="P4615">
        <v>1</v>
      </c>
      <c r="Q4615">
        <v>0</v>
      </c>
      <c r="R4615" s="4">
        <v>25.52</v>
      </c>
      <c r="S4615">
        <v>0</v>
      </c>
      <c r="T4615">
        <v>1</v>
      </c>
    </row>
    <row r="4616" spans="1:20" ht="16.5" x14ac:dyDescent="0.3">
      <c r="A4616" t="s">
        <v>4670</v>
      </c>
      <c r="B4616" s="1">
        <v>45930</v>
      </c>
      <c r="C4616">
        <v>2025</v>
      </c>
      <c r="D4616" t="s">
        <v>1261</v>
      </c>
      <c r="E4616" t="s">
        <v>1651</v>
      </c>
      <c r="F4616" t="s">
        <v>38</v>
      </c>
      <c r="G4616" t="s">
        <v>39</v>
      </c>
      <c r="H4616" t="s">
        <v>51</v>
      </c>
      <c r="I4616" t="s">
        <v>26</v>
      </c>
      <c r="J4616" t="s">
        <v>27</v>
      </c>
      <c r="K4616" t="s">
        <v>32</v>
      </c>
      <c r="L4616" s="2">
        <v>10</v>
      </c>
      <c r="M4616" s="3">
        <v>1183</v>
      </c>
      <c r="N4616">
        <v>5</v>
      </c>
      <c r="O4616">
        <v>5</v>
      </c>
      <c r="P4616">
        <v>1</v>
      </c>
      <c r="Q4616">
        <v>0</v>
      </c>
      <c r="R4616" s="4">
        <v>29.8</v>
      </c>
      <c r="S4616">
        <v>0</v>
      </c>
      <c r="T4616">
        <v>1</v>
      </c>
    </row>
    <row r="4617" spans="1:20" ht="16.5" x14ac:dyDescent="0.3">
      <c r="A4617" t="s">
        <v>4671</v>
      </c>
      <c r="B4617" s="1">
        <v>45930</v>
      </c>
      <c r="C4617">
        <v>2025</v>
      </c>
      <c r="D4617" t="s">
        <v>1261</v>
      </c>
      <c r="E4617" t="s">
        <v>1651</v>
      </c>
      <c r="F4617" t="s">
        <v>34</v>
      </c>
      <c r="G4617" t="s">
        <v>35</v>
      </c>
      <c r="H4617" t="s">
        <v>48</v>
      </c>
      <c r="I4617" t="s">
        <v>40</v>
      </c>
      <c r="J4617" t="s">
        <v>27</v>
      </c>
      <c r="K4617" t="s">
        <v>28</v>
      </c>
      <c r="L4617" s="2">
        <v>108.8</v>
      </c>
      <c r="M4617" s="3">
        <v>571</v>
      </c>
      <c r="N4617">
        <v>2</v>
      </c>
      <c r="O4617">
        <v>3</v>
      </c>
      <c r="P4617">
        <v>0</v>
      </c>
      <c r="Q4617">
        <v>1</v>
      </c>
      <c r="R4617" s="4">
        <v>92.33</v>
      </c>
      <c r="S4617">
        <v>0</v>
      </c>
      <c r="T4617">
        <v>1</v>
      </c>
    </row>
    <row r="4618" spans="1:20" ht="16.5" x14ac:dyDescent="0.3">
      <c r="A4618" t="s">
        <v>4672</v>
      </c>
      <c r="B4618" s="1">
        <v>45930</v>
      </c>
      <c r="C4618">
        <v>2025</v>
      </c>
      <c r="D4618" t="s">
        <v>1261</v>
      </c>
      <c r="E4618" t="s">
        <v>1651</v>
      </c>
      <c r="F4618" t="s">
        <v>57</v>
      </c>
      <c r="G4618" t="s">
        <v>39</v>
      </c>
      <c r="H4618" t="s">
        <v>36</v>
      </c>
      <c r="I4618" t="s">
        <v>26</v>
      </c>
      <c r="J4618" t="s">
        <v>27</v>
      </c>
      <c r="K4618" t="s">
        <v>28</v>
      </c>
      <c r="L4618" s="2">
        <v>34.9</v>
      </c>
      <c r="M4618" s="3">
        <v>263</v>
      </c>
      <c r="N4618">
        <v>3</v>
      </c>
      <c r="O4618">
        <v>3</v>
      </c>
      <c r="P4618">
        <v>1</v>
      </c>
      <c r="Q4618">
        <v>0</v>
      </c>
      <c r="R4618" s="4">
        <v>27.98</v>
      </c>
      <c r="S4618">
        <v>0</v>
      </c>
      <c r="T4618">
        <v>1</v>
      </c>
    </row>
    <row r="4619" spans="1:20" ht="16.5" x14ac:dyDescent="0.3">
      <c r="A4619" t="s">
        <v>4673</v>
      </c>
      <c r="B4619" s="1">
        <v>45931</v>
      </c>
      <c r="C4619">
        <v>2025</v>
      </c>
      <c r="D4619" t="s">
        <v>1873</v>
      </c>
      <c r="E4619" t="s">
        <v>1874</v>
      </c>
      <c r="F4619" t="s">
        <v>30</v>
      </c>
      <c r="G4619" t="s">
        <v>35</v>
      </c>
      <c r="H4619" t="s">
        <v>48</v>
      </c>
      <c r="I4619" t="s">
        <v>31</v>
      </c>
      <c r="J4619" t="s">
        <v>27</v>
      </c>
      <c r="K4619" t="s">
        <v>32</v>
      </c>
      <c r="L4619" s="2">
        <v>3.6</v>
      </c>
      <c r="M4619" s="3">
        <v>455</v>
      </c>
      <c r="N4619">
        <v>6</v>
      </c>
      <c r="O4619">
        <v>6</v>
      </c>
      <c r="P4619">
        <v>1</v>
      </c>
      <c r="Q4619">
        <v>0</v>
      </c>
      <c r="R4619" s="4">
        <v>12</v>
      </c>
      <c r="S4619">
        <v>0</v>
      </c>
      <c r="T4619">
        <v>1</v>
      </c>
    </row>
    <row r="4620" spans="1:20" ht="16.5" x14ac:dyDescent="0.3">
      <c r="A4620" t="s">
        <v>4674</v>
      </c>
      <c r="B4620" s="1">
        <v>45931</v>
      </c>
      <c r="C4620">
        <v>2025</v>
      </c>
      <c r="D4620" t="s">
        <v>1873</v>
      </c>
      <c r="E4620" t="s">
        <v>1874</v>
      </c>
      <c r="F4620" t="s">
        <v>38</v>
      </c>
      <c r="G4620" t="s">
        <v>35</v>
      </c>
      <c r="H4620" t="s">
        <v>36</v>
      </c>
      <c r="I4620" t="s">
        <v>31</v>
      </c>
      <c r="J4620" t="s">
        <v>27</v>
      </c>
      <c r="K4620" t="s">
        <v>28</v>
      </c>
      <c r="L4620" s="2">
        <v>144.5</v>
      </c>
      <c r="M4620" s="3">
        <v>283</v>
      </c>
      <c r="N4620">
        <v>5</v>
      </c>
      <c r="O4620">
        <v>5</v>
      </c>
      <c r="P4620">
        <v>1</v>
      </c>
      <c r="Q4620">
        <v>0</v>
      </c>
      <c r="R4620" s="4">
        <v>58.87</v>
      </c>
      <c r="S4620">
        <v>0</v>
      </c>
      <c r="T4620">
        <v>1</v>
      </c>
    </row>
    <row r="4621" spans="1:20" ht="16.5" x14ac:dyDescent="0.3">
      <c r="A4621" t="s">
        <v>4675</v>
      </c>
      <c r="B4621" s="1">
        <v>45931</v>
      </c>
      <c r="C4621">
        <v>2025</v>
      </c>
      <c r="D4621" t="s">
        <v>1873</v>
      </c>
      <c r="E4621" t="s">
        <v>1874</v>
      </c>
      <c r="F4621" t="s">
        <v>34</v>
      </c>
      <c r="G4621" t="s">
        <v>39</v>
      </c>
      <c r="H4621" t="s">
        <v>48</v>
      </c>
      <c r="I4621" t="s">
        <v>31</v>
      </c>
      <c r="J4621" t="s">
        <v>27</v>
      </c>
      <c r="K4621" t="s">
        <v>28</v>
      </c>
      <c r="L4621" s="2">
        <v>84.7</v>
      </c>
      <c r="M4621" s="3">
        <v>432</v>
      </c>
      <c r="N4621">
        <v>6</v>
      </c>
      <c r="O4621">
        <v>6</v>
      </c>
      <c r="P4621">
        <v>1</v>
      </c>
      <c r="Q4621">
        <v>0</v>
      </c>
      <c r="R4621" s="4">
        <v>29.77</v>
      </c>
      <c r="S4621">
        <v>0</v>
      </c>
      <c r="T4621">
        <v>1</v>
      </c>
    </row>
    <row r="4622" spans="1:20" ht="16.5" x14ac:dyDescent="0.3">
      <c r="A4622" t="s">
        <v>4676</v>
      </c>
      <c r="B4622" s="1">
        <v>45931</v>
      </c>
      <c r="C4622">
        <v>2025</v>
      </c>
      <c r="D4622" t="s">
        <v>1873</v>
      </c>
      <c r="E4622" t="s">
        <v>1874</v>
      </c>
      <c r="F4622" t="s">
        <v>34</v>
      </c>
      <c r="G4622" t="s">
        <v>24</v>
      </c>
      <c r="H4622" t="s">
        <v>25</v>
      </c>
      <c r="I4622" t="s">
        <v>31</v>
      </c>
      <c r="J4622" t="s">
        <v>27</v>
      </c>
      <c r="K4622" t="s">
        <v>32</v>
      </c>
      <c r="L4622" s="2">
        <v>2.1</v>
      </c>
      <c r="M4622" s="3">
        <v>879</v>
      </c>
      <c r="N4622">
        <v>6</v>
      </c>
      <c r="O4622">
        <v>6</v>
      </c>
      <c r="P4622">
        <v>1</v>
      </c>
      <c r="Q4622">
        <v>0</v>
      </c>
      <c r="R4622" s="4">
        <v>10.8</v>
      </c>
      <c r="S4622">
        <v>0</v>
      </c>
      <c r="T4622">
        <v>1</v>
      </c>
    </row>
    <row r="4623" spans="1:20" ht="16.5" x14ac:dyDescent="0.3">
      <c r="A4623" t="s">
        <v>4677</v>
      </c>
      <c r="B4623" s="1">
        <v>45931</v>
      </c>
      <c r="C4623">
        <v>2025</v>
      </c>
      <c r="D4623" t="s">
        <v>1873</v>
      </c>
      <c r="E4623" t="s">
        <v>1874</v>
      </c>
      <c r="F4623" t="s">
        <v>38</v>
      </c>
      <c r="G4623" t="s">
        <v>24</v>
      </c>
      <c r="H4623" t="s">
        <v>51</v>
      </c>
      <c r="I4623" t="s">
        <v>31</v>
      </c>
      <c r="J4623" t="s">
        <v>27</v>
      </c>
      <c r="K4623" t="s">
        <v>32</v>
      </c>
      <c r="L4623" s="2">
        <v>8.3000000000000007</v>
      </c>
      <c r="M4623" s="3">
        <v>884</v>
      </c>
      <c r="N4623">
        <v>7</v>
      </c>
      <c r="O4623">
        <v>7</v>
      </c>
      <c r="P4623">
        <v>1</v>
      </c>
      <c r="Q4623">
        <v>0</v>
      </c>
      <c r="R4623" s="4">
        <v>18.489999999999998</v>
      </c>
      <c r="S4623">
        <v>0</v>
      </c>
      <c r="T4623">
        <v>1</v>
      </c>
    </row>
    <row r="4624" spans="1:20" ht="16.5" x14ac:dyDescent="0.3">
      <c r="A4624" t="s">
        <v>4678</v>
      </c>
      <c r="B4624" s="1">
        <v>45931</v>
      </c>
      <c r="C4624">
        <v>2025</v>
      </c>
      <c r="D4624" t="s">
        <v>1873</v>
      </c>
      <c r="E4624" t="s">
        <v>1874</v>
      </c>
      <c r="F4624" t="s">
        <v>30</v>
      </c>
      <c r="G4624" t="s">
        <v>39</v>
      </c>
      <c r="H4624" t="s">
        <v>25</v>
      </c>
      <c r="I4624" t="s">
        <v>40</v>
      </c>
      <c r="J4624" t="s">
        <v>41</v>
      </c>
      <c r="K4624" t="s">
        <v>32</v>
      </c>
      <c r="L4624" s="2">
        <v>3.5</v>
      </c>
      <c r="M4624" s="3">
        <v>1050</v>
      </c>
      <c r="N4624">
        <v>2</v>
      </c>
      <c r="O4624">
        <v>2</v>
      </c>
      <c r="P4624">
        <v>1</v>
      </c>
      <c r="Q4624">
        <v>0</v>
      </c>
      <c r="R4624" s="4">
        <v>72.599999999999994</v>
      </c>
      <c r="S4624">
        <v>0</v>
      </c>
      <c r="T4624">
        <v>1</v>
      </c>
    </row>
    <row r="4625" spans="1:20" ht="16.5" x14ac:dyDescent="0.3">
      <c r="A4625" t="s">
        <v>4679</v>
      </c>
      <c r="B4625" s="1">
        <v>45931</v>
      </c>
      <c r="C4625">
        <v>2025</v>
      </c>
      <c r="D4625" t="s">
        <v>1873</v>
      </c>
      <c r="E4625" t="s">
        <v>1874</v>
      </c>
      <c r="F4625" t="s">
        <v>30</v>
      </c>
      <c r="G4625" t="s">
        <v>35</v>
      </c>
      <c r="H4625" t="s">
        <v>48</v>
      </c>
      <c r="I4625" t="s">
        <v>26</v>
      </c>
      <c r="J4625" t="s">
        <v>27</v>
      </c>
      <c r="K4625" t="s">
        <v>28</v>
      </c>
      <c r="L4625" s="2">
        <v>177.1</v>
      </c>
      <c r="M4625" s="3">
        <v>402</v>
      </c>
      <c r="N4625">
        <v>4</v>
      </c>
      <c r="O4625">
        <v>4</v>
      </c>
      <c r="P4625">
        <v>1</v>
      </c>
      <c r="Q4625">
        <v>0</v>
      </c>
      <c r="R4625" s="4">
        <v>84.88</v>
      </c>
      <c r="S4625">
        <v>0</v>
      </c>
      <c r="T4625">
        <v>1</v>
      </c>
    </row>
    <row r="4626" spans="1:20" ht="16.5" x14ac:dyDescent="0.3">
      <c r="A4626" t="s">
        <v>4680</v>
      </c>
      <c r="B4626" s="1">
        <v>45931</v>
      </c>
      <c r="C4626">
        <v>2025</v>
      </c>
      <c r="D4626" t="s">
        <v>1873</v>
      </c>
      <c r="E4626" t="s">
        <v>1874</v>
      </c>
      <c r="F4626" t="s">
        <v>30</v>
      </c>
      <c r="G4626" t="s">
        <v>39</v>
      </c>
      <c r="H4626" t="s">
        <v>25</v>
      </c>
      <c r="I4626" t="s">
        <v>26</v>
      </c>
      <c r="J4626" t="s">
        <v>27</v>
      </c>
      <c r="K4626" t="s">
        <v>28</v>
      </c>
      <c r="L4626" s="2">
        <v>82.3</v>
      </c>
      <c r="M4626" s="3">
        <v>799</v>
      </c>
      <c r="N4626">
        <v>4</v>
      </c>
      <c r="O4626">
        <v>5</v>
      </c>
      <c r="P4626">
        <v>0</v>
      </c>
      <c r="Q4626">
        <v>1</v>
      </c>
      <c r="R4626" s="4">
        <v>61.61</v>
      </c>
      <c r="S4626">
        <v>0</v>
      </c>
      <c r="T4626">
        <v>1</v>
      </c>
    </row>
    <row r="4627" spans="1:20" ht="16.5" x14ac:dyDescent="0.3">
      <c r="A4627" t="s">
        <v>4681</v>
      </c>
      <c r="B4627" s="1">
        <v>45931</v>
      </c>
      <c r="C4627">
        <v>2025</v>
      </c>
      <c r="D4627" t="s">
        <v>1873</v>
      </c>
      <c r="E4627" t="s">
        <v>1874</v>
      </c>
      <c r="F4627" t="s">
        <v>23</v>
      </c>
      <c r="G4627" t="s">
        <v>35</v>
      </c>
      <c r="H4627" t="s">
        <v>25</v>
      </c>
      <c r="I4627" t="s">
        <v>26</v>
      </c>
      <c r="J4627" t="s">
        <v>27</v>
      </c>
      <c r="K4627" t="s">
        <v>32</v>
      </c>
      <c r="L4627" s="2">
        <v>17.399999999999999</v>
      </c>
      <c r="M4627" s="3">
        <v>905</v>
      </c>
      <c r="N4627">
        <v>4</v>
      </c>
      <c r="O4627">
        <v>3</v>
      </c>
      <c r="P4627">
        <v>1</v>
      </c>
      <c r="Q4627">
        <v>0</v>
      </c>
      <c r="R4627" s="4">
        <v>26.01</v>
      </c>
      <c r="S4627">
        <v>0</v>
      </c>
      <c r="T4627">
        <v>1</v>
      </c>
    </row>
    <row r="4628" spans="1:20" ht="16.5" x14ac:dyDescent="0.3">
      <c r="A4628" t="s">
        <v>4682</v>
      </c>
      <c r="B4628" s="1">
        <v>45932</v>
      </c>
      <c r="C4628">
        <v>2025</v>
      </c>
      <c r="D4628" t="s">
        <v>1873</v>
      </c>
      <c r="E4628" t="s">
        <v>1874</v>
      </c>
      <c r="F4628" t="s">
        <v>23</v>
      </c>
      <c r="G4628" t="s">
        <v>35</v>
      </c>
      <c r="H4628" t="s">
        <v>25</v>
      </c>
      <c r="I4628" t="s">
        <v>31</v>
      </c>
      <c r="J4628" t="s">
        <v>27</v>
      </c>
      <c r="K4628" t="s">
        <v>32</v>
      </c>
      <c r="L4628" s="2">
        <v>3.6</v>
      </c>
      <c r="M4628" s="3">
        <v>728</v>
      </c>
      <c r="N4628">
        <v>6</v>
      </c>
      <c r="O4628">
        <v>6</v>
      </c>
      <c r="P4628">
        <v>1</v>
      </c>
      <c r="Q4628">
        <v>0</v>
      </c>
      <c r="R4628" s="4">
        <v>11.47</v>
      </c>
      <c r="S4628">
        <v>0</v>
      </c>
      <c r="T4628">
        <v>1</v>
      </c>
    </row>
    <row r="4629" spans="1:20" ht="16.5" x14ac:dyDescent="0.3">
      <c r="A4629" t="s">
        <v>4683</v>
      </c>
      <c r="B4629" s="1">
        <v>45932</v>
      </c>
      <c r="C4629">
        <v>2025</v>
      </c>
      <c r="D4629" t="s">
        <v>1873</v>
      </c>
      <c r="E4629" t="s">
        <v>1874</v>
      </c>
      <c r="F4629" t="s">
        <v>57</v>
      </c>
      <c r="G4629" t="s">
        <v>35</v>
      </c>
      <c r="H4629" t="s">
        <v>25</v>
      </c>
      <c r="I4629" t="s">
        <v>26</v>
      </c>
      <c r="J4629" t="s">
        <v>27</v>
      </c>
      <c r="K4629" t="s">
        <v>32</v>
      </c>
      <c r="L4629" s="2">
        <v>1.6</v>
      </c>
      <c r="M4629" s="3">
        <v>891</v>
      </c>
      <c r="N4629">
        <v>4</v>
      </c>
      <c r="O4629">
        <v>4</v>
      </c>
      <c r="P4629">
        <v>1</v>
      </c>
      <c r="Q4629">
        <v>0</v>
      </c>
      <c r="R4629" s="4">
        <v>17.96</v>
      </c>
      <c r="S4629">
        <v>0</v>
      </c>
      <c r="T4629">
        <v>1</v>
      </c>
    </row>
    <row r="4630" spans="1:20" ht="16.5" x14ac:dyDescent="0.3">
      <c r="A4630" t="s">
        <v>4684</v>
      </c>
      <c r="B4630" s="1">
        <v>45932</v>
      </c>
      <c r="C4630">
        <v>2025</v>
      </c>
      <c r="D4630" t="s">
        <v>1873</v>
      </c>
      <c r="E4630" t="s">
        <v>1874</v>
      </c>
      <c r="F4630" t="s">
        <v>38</v>
      </c>
      <c r="G4630" t="s">
        <v>39</v>
      </c>
      <c r="H4630" t="s">
        <v>43</v>
      </c>
      <c r="I4630" t="s">
        <v>26</v>
      </c>
      <c r="J4630" t="s">
        <v>27</v>
      </c>
      <c r="K4630" t="s">
        <v>32</v>
      </c>
      <c r="L4630" s="2">
        <v>25</v>
      </c>
      <c r="M4630" s="3">
        <v>1408</v>
      </c>
      <c r="N4630">
        <v>5</v>
      </c>
      <c r="O4630">
        <v>4</v>
      </c>
      <c r="P4630">
        <v>1</v>
      </c>
      <c r="Q4630">
        <v>0</v>
      </c>
      <c r="R4630" s="4">
        <v>41.5</v>
      </c>
      <c r="S4630">
        <v>0</v>
      </c>
      <c r="T4630">
        <v>1</v>
      </c>
    </row>
    <row r="4631" spans="1:20" ht="16.5" x14ac:dyDescent="0.3">
      <c r="A4631" t="s">
        <v>4685</v>
      </c>
      <c r="B4631" s="1">
        <v>45932</v>
      </c>
      <c r="C4631">
        <v>2025</v>
      </c>
      <c r="D4631" t="s">
        <v>1873</v>
      </c>
      <c r="E4631" t="s">
        <v>1874</v>
      </c>
      <c r="F4631" t="s">
        <v>38</v>
      </c>
      <c r="G4631" t="s">
        <v>39</v>
      </c>
      <c r="H4631" t="s">
        <v>36</v>
      </c>
      <c r="I4631" t="s">
        <v>31</v>
      </c>
      <c r="J4631" t="s">
        <v>27</v>
      </c>
      <c r="K4631" t="s">
        <v>32</v>
      </c>
      <c r="L4631" s="2">
        <v>3.8</v>
      </c>
      <c r="M4631" s="3">
        <v>260</v>
      </c>
      <c r="N4631">
        <v>5</v>
      </c>
      <c r="O4631">
        <v>7</v>
      </c>
      <c r="P4631">
        <v>0</v>
      </c>
      <c r="Q4631">
        <v>2</v>
      </c>
      <c r="R4631" s="4">
        <v>10.56</v>
      </c>
      <c r="S4631">
        <v>0</v>
      </c>
      <c r="T4631">
        <v>1</v>
      </c>
    </row>
    <row r="4632" spans="1:20" ht="16.5" x14ac:dyDescent="0.3">
      <c r="A4632" t="s">
        <v>4686</v>
      </c>
      <c r="B4632" s="1">
        <v>45932</v>
      </c>
      <c r="C4632">
        <v>2025</v>
      </c>
      <c r="D4632" t="s">
        <v>1873</v>
      </c>
      <c r="E4632" t="s">
        <v>1874</v>
      </c>
      <c r="F4632" t="s">
        <v>38</v>
      </c>
      <c r="G4632" t="s">
        <v>35</v>
      </c>
      <c r="H4632" t="s">
        <v>48</v>
      </c>
      <c r="I4632" t="s">
        <v>26</v>
      </c>
      <c r="J4632" t="s">
        <v>27</v>
      </c>
      <c r="K4632" t="s">
        <v>32</v>
      </c>
      <c r="L4632" s="2">
        <v>7.8</v>
      </c>
      <c r="M4632" s="3">
        <v>457</v>
      </c>
      <c r="N4632">
        <v>4</v>
      </c>
      <c r="O4632">
        <v>3</v>
      </c>
      <c r="P4632">
        <v>1</v>
      </c>
      <c r="Q4632">
        <v>0</v>
      </c>
      <c r="R4632" s="4">
        <v>16.399999999999999</v>
      </c>
      <c r="S4632">
        <v>0</v>
      </c>
      <c r="T4632">
        <v>1</v>
      </c>
    </row>
    <row r="4633" spans="1:20" ht="16.5" x14ac:dyDescent="0.3">
      <c r="A4633" t="s">
        <v>4687</v>
      </c>
      <c r="B4633" s="1">
        <v>45932</v>
      </c>
      <c r="C4633">
        <v>2025</v>
      </c>
      <c r="D4633" t="s">
        <v>1873</v>
      </c>
      <c r="E4633" t="s">
        <v>1874</v>
      </c>
      <c r="F4633" t="s">
        <v>23</v>
      </c>
      <c r="G4633" t="s">
        <v>35</v>
      </c>
      <c r="H4633" t="s">
        <v>25</v>
      </c>
      <c r="I4633" t="s">
        <v>26</v>
      </c>
      <c r="J4633" t="s">
        <v>27</v>
      </c>
      <c r="K4633" t="s">
        <v>32</v>
      </c>
      <c r="L4633" s="2">
        <v>12.6</v>
      </c>
      <c r="M4633" s="3">
        <v>1008</v>
      </c>
      <c r="N4633">
        <v>4</v>
      </c>
      <c r="O4633">
        <v>6</v>
      </c>
      <c r="P4633">
        <v>0</v>
      </c>
      <c r="Q4633">
        <v>2</v>
      </c>
      <c r="R4633" s="4">
        <v>27.13</v>
      </c>
      <c r="S4633">
        <v>0</v>
      </c>
      <c r="T4633">
        <v>1</v>
      </c>
    </row>
    <row r="4634" spans="1:20" ht="16.5" x14ac:dyDescent="0.3">
      <c r="A4634" t="s">
        <v>4688</v>
      </c>
      <c r="B4634" s="1">
        <v>45932</v>
      </c>
      <c r="C4634">
        <v>2025</v>
      </c>
      <c r="D4634" t="s">
        <v>1873</v>
      </c>
      <c r="E4634" t="s">
        <v>1874</v>
      </c>
      <c r="F4634" t="s">
        <v>23</v>
      </c>
      <c r="G4634" t="s">
        <v>35</v>
      </c>
      <c r="H4634" t="s">
        <v>25</v>
      </c>
      <c r="I4634" t="s">
        <v>31</v>
      </c>
      <c r="J4634" t="s">
        <v>27</v>
      </c>
      <c r="K4634" t="s">
        <v>32</v>
      </c>
      <c r="L4634" s="2">
        <v>9.4</v>
      </c>
      <c r="M4634" s="3">
        <v>1054</v>
      </c>
      <c r="N4634">
        <v>6</v>
      </c>
      <c r="O4634">
        <v>6</v>
      </c>
      <c r="P4634">
        <v>1</v>
      </c>
      <c r="Q4634">
        <v>0</v>
      </c>
      <c r="R4634" s="4">
        <v>15.36</v>
      </c>
      <c r="S4634">
        <v>0</v>
      </c>
      <c r="T4634">
        <v>1</v>
      </c>
    </row>
    <row r="4635" spans="1:20" ht="16.5" x14ac:dyDescent="0.3">
      <c r="A4635" t="s">
        <v>4689</v>
      </c>
      <c r="B4635" s="1">
        <v>45932</v>
      </c>
      <c r="C4635">
        <v>2025</v>
      </c>
      <c r="D4635" t="s">
        <v>1873</v>
      </c>
      <c r="E4635" t="s">
        <v>1874</v>
      </c>
      <c r="F4635" t="s">
        <v>38</v>
      </c>
      <c r="G4635" t="s">
        <v>35</v>
      </c>
      <c r="H4635" t="s">
        <v>48</v>
      </c>
      <c r="I4635" t="s">
        <v>26</v>
      </c>
      <c r="J4635" t="s">
        <v>27</v>
      </c>
      <c r="K4635" t="s">
        <v>32</v>
      </c>
      <c r="L4635" s="2">
        <v>9.4</v>
      </c>
      <c r="M4635" s="3">
        <v>447</v>
      </c>
      <c r="N4635">
        <v>4</v>
      </c>
      <c r="O4635">
        <v>4</v>
      </c>
      <c r="P4635">
        <v>1</v>
      </c>
      <c r="Q4635">
        <v>0</v>
      </c>
      <c r="R4635" s="4">
        <v>21.17</v>
      </c>
      <c r="S4635">
        <v>0</v>
      </c>
      <c r="T4635">
        <v>1</v>
      </c>
    </row>
    <row r="4636" spans="1:20" ht="16.5" x14ac:dyDescent="0.3">
      <c r="A4636" t="s">
        <v>4690</v>
      </c>
      <c r="B4636" s="1">
        <v>45932</v>
      </c>
      <c r="C4636">
        <v>2025</v>
      </c>
      <c r="D4636" t="s">
        <v>1873</v>
      </c>
      <c r="E4636" t="s">
        <v>1874</v>
      </c>
      <c r="F4636" t="s">
        <v>38</v>
      </c>
      <c r="G4636" t="s">
        <v>35</v>
      </c>
      <c r="H4636" t="s">
        <v>48</v>
      </c>
      <c r="I4636" t="s">
        <v>26</v>
      </c>
      <c r="J4636" t="s">
        <v>27</v>
      </c>
      <c r="K4636" t="s">
        <v>28</v>
      </c>
      <c r="L4636" s="2">
        <v>148.69999999999999</v>
      </c>
      <c r="M4636" s="3">
        <v>537</v>
      </c>
      <c r="N4636">
        <v>4</v>
      </c>
      <c r="O4636">
        <v>3</v>
      </c>
      <c r="P4636">
        <v>1</v>
      </c>
      <c r="Q4636">
        <v>0</v>
      </c>
      <c r="R4636" s="4">
        <v>77.569999999999993</v>
      </c>
      <c r="S4636">
        <v>0</v>
      </c>
      <c r="T4636">
        <v>1</v>
      </c>
    </row>
    <row r="4637" spans="1:20" ht="16.5" x14ac:dyDescent="0.3">
      <c r="A4637" t="s">
        <v>4691</v>
      </c>
      <c r="B4637" s="1">
        <v>45933</v>
      </c>
      <c r="C4637">
        <v>2025</v>
      </c>
      <c r="D4637" t="s">
        <v>1873</v>
      </c>
      <c r="E4637" t="s">
        <v>1874</v>
      </c>
      <c r="F4637" t="s">
        <v>23</v>
      </c>
      <c r="G4637" t="s">
        <v>39</v>
      </c>
      <c r="H4637" t="s">
        <v>25</v>
      </c>
      <c r="I4637" t="s">
        <v>26</v>
      </c>
      <c r="J4637" t="s">
        <v>27</v>
      </c>
      <c r="K4637" t="s">
        <v>32</v>
      </c>
      <c r="L4637" s="2">
        <v>7.2</v>
      </c>
      <c r="M4637" s="3">
        <v>1164</v>
      </c>
      <c r="N4637">
        <v>4</v>
      </c>
      <c r="O4637">
        <v>4</v>
      </c>
      <c r="P4637">
        <v>1</v>
      </c>
      <c r="Q4637">
        <v>0</v>
      </c>
      <c r="R4637" s="4">
        <v>23.31</v>
      </c>
      <c r="S4637">
        <v>0</v>
      </c>
      <c r="T4637">
        <v>1</v>
      </c>
    </row>
    <row r="4638" spans="1:20" ht="16.5" x14ac:dyDescent="0.3">
      <c r="A4638" t="s">
        <v>4692</v>
      </c>
      <c r="B4638" s="1">
        <v>45933</v>
      </c>
      <c r="C4638">
        <v>2025</v>
      </c>
      <c r="D4638" t="s">
        <v>1873</v>
      </c>
      <c r="E4638" t="s">
        <v>1874</v>
      </c>
      <c r="F4638" t="s">
        <v>57</v>
      </c>
      <c r="G4638" t="s">
        <v>39</v>
      </c>
      <c r="H4638" t="s">
        <v>25</v>
      </c>
      <c r="I4638" t="s">
        <v>26</v>
      </c>
      <c r="J4638" t="s">
        <v>27</v>
      </c>
      <c r="K4638" t="s">
        <v>28</v>
      </c>
      <c r="L4638" s="2">
        <v>247.8</v>
      </c>
      <c r="M4638" s="3">
        <v>851</v>
      </c>
      <c r="N4638">
        <v>4</v>
      </c>
      <c r="O4638">
        <v>4</v>
      </c>
      <c r="P4638">
        <v>1</v>
      </c>
      <c r="Q4638">
        <v>0</v>
      </c>
      <c r="R4638" s="4">
        <v>112.78</v>
      </c>
      <c r="S4638">
        <v>0</v>
      </c>
      <c r="T4638">
        <v>1</v>
      </c>
    </row>
    <row r="4639" spans="1:20" ht="16.5" x14ac:dyDescent="0.3">
      <c r="A4639" t="s">
        <v>4693</v>
      </c>
      <c r="B4639" s="1">
        <v>45933</v>
      </c>
      <c r="C4639">
        <v>2025</v>
      </c>
      <c r="D4639" t="s">
        <v>1873</v>
      </c>
      <c r="E4639" t="s">
        <v>1874</v>
      </c>
      <c r="F4639" t="s">
        <v>34</v>
      </c>
      <c r="G4639" t="s">
        <v>35</v>
      </c>
      <c r="H4639" t="s">
        <v>36</v>
      </c>
      <c r="I4639" t="s">
        <v>31</v>
      </c>
      <c r="J4639" t="s">
        <v>27</v>
      </c>
      <c r="K4639" t="s">
        <v>32</v>
      </c>
      <c r="L4639" s="2">
        <v>0.5</v>
      </c>
      <c r="M4639" s="3">
        <v>180</v>
      </c>
      <c r="N4639">
        <v>5</v>
      </c>
      <c r="O4639">
        <v>7</v>
      </c>
      <c r="P4639">
        <v>0</v>
      </c>
      <c r="Q4639">
        <v>2</v>
      </c>
      <c r="R4639" s="4">
        <v>4.83</v>
      </c>
      <c r="S4639">
        <v>0</v>
      </c>
      <c r="T4639">
        <v>1</v>
      </c>
    </row>
    <row r="4640" spans="1:20" ht="16.5" x14ac:dyDescent="0.3">
      <c r="A4640" t="s">
        <v>4694</v>
      </c>
      <c r="B4640" s="1">
        <v>45933</v>
      </c>
      <c r="C4640">
        <v>2025</v>
      </c>
      <c r="D4640" t="s">
        <v>1873</v>
      </c>
      <c r="E4640" t="s">
        <v>1874</v>
      </c>
      <c r="F4640" t="s">
        <v>38</v>
      </c>
      <c r="G4640" t="s">
        <v>39</v>
      </c>
      <c r="H4640" t="s">
        <v>36</v>
      </c>
      <c r="I4640" t="s">
        <v>31</v>
      </c>
      <c r="J4640" t="s">
        <v>27</v>
      </c>
      <c r="K4640" t="s">
        <v>32</v>
      </c>
      <c r="L4640" s="2">
        <v>9</v>
      </c>
      <c r="M4640" s="3">
        <v>180</v>
      </c>
      <c r="N4640">
        <v>5</v>
      </c>
      <c r="O4640">
        <v>5</v>
      </c>
      <c r="P4640">
        <v>1</v>
      </c>
      <c r="Q4640">
        <v>0</v>
      </c>
      <c r="R4640" s="4">
        <v>12.08</v>
      </c>
      <c r="S4640">
        <v>0</v>
      </c>
      <c r="T4640">
        <v>1</v>
      </c>
    </row>
    <row r="4641" spans="1:20" ht="16.5" x14ac:dyDescent="0.3">
      <c r="A4641" t="s">
        <v>4695</v>
      </c>
      <c r="B4641" s="1">
        <v>45933</v>
      </c>
      <c r="C4641">
        <v>2025</v>
      </c>
      <c r="D4641" t="s">
        <v>1873</v>
      </c>
      <c r="E4641" t="s">
        <v>1874</v>
      </c>
      <c r="F4641" t="s">
        <v>57</v>
      </c>
      <c r="G4641" t="s">
        <v>39</v>
      </c>
      <c r="H4641" t="s">
        <v>51</v>
      </c>
      <c r="I4641" t="s">
        <v>40</v>
      </c>
      <c r="J4641" t="s">
        <v>41</v>
      </c>
      <c r="K4641" t="s">
        <v>32</v>
      </c>
      <c r="L4641" s="2">
        <v>9.6999999999999993</v>
      </c>
      <c r="M4641" s="3">
        <v>1129</v>
      </c>
      <c r="N4641">
        <v>3</v>
      </c>
      <c r="O4641">
        <v>3</v>
      </c>
      <c r="P4641">
        <v>1</v>
      </c>
      <c r="Q4641">
        <v>0</v>
      </c>
      <c r="R4641" s="4">
        <v>82.01</v>
      </c>
      <c r="S4641">
        <v>0</v>
      </c>
      <c r="T4641">
        <v>1</v>
      </c>
    </row>
    <row r="4642" spans="1:20" ht="16.5" x14ac:dyDescent="0.3">
      <c r="A4642" t="s">
        <v>4696</v>
      </c>
      <c r="B4642" s="1">
        <v>45933</v>
      </c>
      <c r="C4642">
        <v>2025</v>
      </c>
      <c r="D4642" t="s">
        <v>1873</v>
      </c>
      <c r="E4642" t="s">
        <v>1874</v>
      </c>
      <c r="F4642" t="s">
        <v>38</v>
      </c>
      <c r="G4642" t="s">
        <v>39</v>
      </c>
      <c r="H4642" t="s">
        <v>36</v>
      </c>
      <c r="I4642" t="s">
        <v>26</v>
      </c>
      <c r="J4642" t="s">
        <v>27</v>
      </c>
      <c r="K4642" t="s">
        <v>32</v>
      </c>
      <c r="L4642" s="2">
        <v>2</v>
      </c>
      <c r="M4642" s="3">
        <v>246</v>
      </c>
      <c r="N4642">
        <v>3</v>
      </c>
      <c r="O4642">
        <v>3</v>
      </c>
      <c r="P4642">
        <v>1</v>
      </c>
      <c r="Q4642">
        <v>0</v>
      </c>
      <c r="R4642" s="4">
        <v>12.27</v>
      </c>
      <c r="S4642">
        <v>0</v>
      </c>
      <c r="T4642">
        <v>1</v>
      </c>
    </row>
    <row r="4643" spans="1:20" ht="16.5" x14ac:dyDescent="0.3">
      <c r="A4643" t="s">
        <v>4697</v>
      </c>
      <c r="B4643" s="1">
        <v>45934</v>
      </c>
      <c r="C4643">
        <v>2025</v>
      </c>
      <c r="D4643" t="s">
        <v>1873</v>
      </c>
      <c r="E4643" t="s">
        <v>1874</v>
      </c>
      <c r="F4643" t="s">
        <v>34</v>
      </c>
      <c r="G4643" t="s">
        <v>24</v>
      </c>
      <c r="H4643" t="s">
        <v>48</v>
      </c>
      <c r="I4643" t="s">
        <v>40</v>
      </c>
      <c r="J4643" t="s">
        <v>27</v>
      </c>
      <c r="K4643" t="s">
        <v>28</v>
      </c>
      <c r="L4643" s="2">
        <v>108.2</v>
      </c>
      <c r="M4643" s="3">
        <v>518</v>
      </c>
      <c r="N4643">
        <v>2</v>
      </c>
      <c r="O4643">
        <v>2</v>
      </c>
      <c r="P4643">
        <v>1</v>
      </c>
      <c r="Q4643">
        <v>0</v>
      </c>
      <c r="R4643" s="4">
        <v>100.5</v>
      </c>
      <c r="S4643">
        <v>0</v>
      </c>
      <c r="T4643">
        <v>1</v>
      </c>
    </row>
    <row r="4644" spans="1:20" ht="16.5" x14ac:dyDescent="0.3">
      <c r="A4644" t="s">
        <v>4698</v>
      </c>
      <c r="B4644" s="1">
        <v>45934</v>
      </c>
      <c r="C4644">
        <v>2025</v>
      </c>
      <c r="D4644" t="s">
        <v>1873</v>
      </c>
      <c r="E4644" t="s">
        <v>1874</v>
      </c>
      <c r="F4644" t="s">
        <v>23</v>
      </c>
      <c r="G4644" t="s">
        <v>35</v>
      </c>
      <c r="H4644" t="s">
        <v>25</v>
      </c>
      <c r="I4644" t="s">
        <v>26</v>
      </c>
      <c r="J4644" t="s">
        <v>27</v>
      </c>
      <c r="K4644" t="s">
        <v>32</v>
      </c>
      <c r="L4644" s="2">
        <v>7.1</v>
      </c>
      <c r="M4644" s="3">
        <v>924</v>
      </c>
      <c r="N4644">
        <v>4</v>
      </c>
      <c r="O4644">
        <v>4</v>
      </c>
      <c r="P4644">
        <v>1</v>
      </c>
      <c r="Q4644">
        <v>0</v>
      </c>
      <c r="R4644" s="4">
        <v>21.48</v>
      </c>
      <c r="S4644">
        <v>0</v>
      </c>
      <c r="T4644">
        <v>1</v>
      </c>
    </row>
    <row r="4645" spans="1:20" ht="16.5" x14ac:dyDescent="0.3">
      <c r="A4645" t="s">
        <v>4699</v>
      </c>
      <c r="B4645" s="1">
        <v>45934</v>
      </c>
      <c r="C4645">
        <v>2025</v>
      </c>
      <c r="D4645" t="s">
        <v>1873</v>
      </c>
      <c r="E4645" t="s">
        <v>1874</v>
      </c>
      <c r="F4645" t="s">
        <v>30</v>
      </c>
      <c r="G4645" t="s">
        <v>35</v>
      </c>
      <c r="H4645" t="s">
        <v>25</v>
      </c>
      <c r="I4645" t="s">
        <v>26</v>
      </c>
      <c r="J4645" t="s">
        <v>27</v>
      </c>
      <c r="K4645" t="s">
        <v>32</v>
      </c>
      <c r="L4645" s="2">
        <v>9.8000000000000007</v>
      </c>
      <c r="M4645" s="3">
        <v>847</v>
      </c>
      <c r="N4645">
        <v>4</v>
      </c>
      <c r="O4645">
        <v>4</v>
      </c>
      <c r="P4645">
        <v>1</v>
      </c>
      <c r="Q4645">
        <v>0</v>
      </c>
      <c r="R4645" s="4">
        <v>23.73</v>
      </c>
      <c r="S4645">
        <v>0</v>
      </c>
      <c r="T4645">
        <v>1</v>
      </c>
    </row>
    <row r="4646" spans="1:20" ht="16.5" x14ac:dyDescent="0.3">
      <c r="A4646" t="s">
        <v>4700</v>
      </c>
      <c r="B4646" s="1">
        <v>45934</v>
      </c>
      <c r="C4646">
        <v>2025</v>
      </c>
      <c r="D4646" t="s">
        <v>1873</v>
      </c>
      <c r="E4646" t="s">
        <v>1874</v>
      </c>
      <c r="F4646" t="s">
        <v>23</v>
      </c>
      <c r="G4646" t="s">
        <v>35</v>
      </c>
      <c r="H4646" t="s">
        <v>25</v>
      </c>
      <c r="I4646" t="s">
        <v>31</v>
      </c>
      <c r="J4646" t="s">
        <v>27</v>
      </c>
      <c r="K4646" t="s">
        <v>32</v>
      </c>
      <c r="L4646" s="2">
        <v>6.5</v>
      </c>
      <c r="M4646" s="3">
        <v>877</v>
      </c>
      <c r="N4646">
        <v>6</v>
      </c>
      <c r="O4646">
        <v>6</v>
      </c>
      <c r="P4646">
        <v>1</v>
      </c>
      <c r="Q4646">
        <v>0</v>
      </c>
      <c r="R4646" s="4">
        <v>13.94</v>
      </c>
      <c r="S4646">
        <v>0</v>
      </c>
      <c r="T4646">
        <v>1</v>
      </c>
    </row>
    <row r="4647" spans="1:20" ht="16.5" x14ac:dyDescent="0.3">
      <c r="A4647" t="s">
        <v>4701</v>
      </c>
      <c r="B4647" s="1">
        <v>45934</v>
      </c>
      <c r="C4647">
        <v>2025</v>
      </c>
      <c r="D4647" t="s">
        <v>1873</v>
      </c>
      <c r="E4647" t="s">
        <v>1874</v>
      </c>
      <c r="F4647" t="s">
        <v>57</v>
      </c>
      <c r="G4647" t="s">
        <v>39</v>
      </c>
      <c r="H4647" t="s">
        <v>25</v>
      </c>
      <c r="I4647" t="s">
        <v>26</v>
      </c>
      <c r="J4647" t="s">
        <v>27</v>
      </c>
      <c r="K4647" t="s">
        <v>28</v>
      </c>
      <c r="L4647" s="2">
        <v>15.1</v>
      </c>
      <c r="M4647" s="3">
        <v>912</v>
      </c>
      <c r="N4647">
        <v>4</v>
      </c>
      <c r="O4647">
        <v>4</v>
      </c>
      <c r="P4647">
        <v>1</v>
      </c>
      <c r="Q4647">
        <v>0</v>
      </c>
      <c r="R4647" s="4">
        <v>24.93</v>
      </c>
      <c r="S4647">
        <v>0</v>
      </c>
      <c r="T4647">
        <v>1</v>
      </c>
    </row>
    <row r="4648" spans="1:20" ht="16.5" x14ac:dyDescent="0.3">
      <c r="A4648" t="s">
        <v>4702</v>
      </c>
      <c r="B4648" s="1">
        <v>45934</v>
      </c>
      <c r="C4648">
        <v>2025</v>
      </c>
      <c r="D4648" t="s">
        <v>1873</v>
      </c>
      <c r="E4648" t="s">
        <v>1874</v>
      </c>
      <c r="F4648" t="s">
        <v>57</v>
      </c>
      <c r="G4648" t="s">
        <v>35</v>
      </c>
      <c r="H4648" t="s">
        <v>48</v>
      </c>
      <c r="I4648" t="s">
        <v>26</v>
      </c>
      <c r="J4648" t="s">
        <v>27</v>
      </c>
      <c r="K4648" t="s">
        <v>32</v>
      </c>
      <c r="L4648" s="2">
        <v>19.8</v>
      </c>
      <c r="M4648" s="3">
        <v>610</v>
      </c>
      <c r="N4648">
        <v>4</v>
      </c>
      <c r="O4648">
        <v>4</v>
      </c>
      <c r="P4648">
        <v>1</v>
      </c>
      <c r="Q4648">
        <v>0</v>
      </c>
      <c r="R4648" s="4">
        <v>26.7</v>
      </c>
      <c r="S4648">
        <v>0</v>
      </c>
      <c r="T4648">
        <v>1</v>
      </c>
    </row>
    <row r="4649" spans="1:20" ht="16.5" x14ac:dyDescent="0.3">
      <c r="A4649" t="s">
        <v>4703</v>
      </c>
      <c r="B4649" s="1">
        <v>45934</v>
      </c>
      <c r="C4649">
        <v>2025</v>
      </c>
      <c r="D4649" t="s">
        <v>1873</v>
      </c>
      <c r="E4649" t="s">
        <v>1874</v>
      </c>
      <c r="F4649" t="s">
        <v>34</v>
      </c>
      <c r="G4649" t="s">
        <v>35</v>
      </c>
      <c r="H4649" t="s">
        <v>25</v>
      </c>
      <c r="I4649" t="s">
        <v>26</v>
      </c>
      <c r="J4649" t="s">
        <v>27</v>
      </c>
      <c r="K4649" t="s">
        <v>32</v>
      </c>
      <c r="L4649" s="2">
        <v>1.5</v>
      </c>
      <c r="M4649" s="3">
        <v>941</v>
      </c>
      <c r="N4649">
        <v>4</v>
      </c>
      <c r="O4649">
        <v>3</v>
      </c>
      <c r="P4649">
        <v>1</v>
      </c>
      <c r="Q4649">
        <v>0</v>
      </c>
      <c r="R4649" s="4">
        <v>16.34</v>
      </c>
      <c r="S4649">
        <v>0</v>
      </c>
      <c r="T4649">
        <v>1</v>
      </c>
    </row>
    <row r="4650" spans="1:20" ht="16.5" x14ac:dyDescent="0.3">
      <c r="A4650" t="s">
        <v>4704</v>
      </c>
      <c r="B4650" s="1">
        <v>45935</v>
      </c>
      <c r="C4650">
        <v>2025</v>
      </c>
      <c r="D4650" t="s">
        <v>1873</v>
      </c>
      <c r="E4650" t="s">
        <v>1874</v>
      </c>
      <c r="F4650" t="s">
        <v>23</v>
      </c>
      <c r="G4650" t="s">
        <v>35</v>
      </c>
      <c r="H4650" t="s">
        <v>25</v>
      </c>
      <c r="I4650" t="s">
        <v>26</v>
      </c>
      <c r="J4650" t="s">
        <v>27</v>
      </c>
      <c r="K4650" t="s">
        <v>32</v>
      </c>
      <c r="L4650" s="2">
        <v>4.8</v>
      </c>
      <c r="M4650" s="3">
        <v>776</v>
      </c>
      <c r="N4650">
        <v>4</v>
      </c>
      <c r="O4650">
        <v>4</v>
      </c>
      <c r="P4650">
        <v>1</v>
      </c>
      <c r="Q4650">
        <v>0</v>
      </c>
      <c r="R4650" s="4">
        <v>18.77</v>
      </c>
      <c r="S4650">
        <v>0</v>
      </c>
      <c r="T4650">
        <v>1</v>
      </c>
    </row>
    <row r="4651" spans="1:20" ht="16.5" x14ac:dyDescent="0.3">
      <c r="A4651" t="s">
        <v>4705</v>
      </c>
      <c r="B4651" s="1">
        <v>45935</v>
      </c>
      <c r="C4651">
        <v>2025</v>
      </c>
      <c r="D4651" t="s">
        <v>1873</v>
      </c>
      <c r="E4651" t="s">
        <v>1874</v>
      </c>
      <c r="F4651" t="s">
        <v>57</v>
      </c>
      <c r="G4651" t="s">
        <v>39</v>
      </c>
      <c r="H4651" t="s">
        <v>51</v>
      </c>
      <c r="I4651" t="s">
        <v>31</v>
      </c>
      <c r="J4651" t="s">
        <v>27</v>
      </c>
      <c r="K4651" t="s">
        <v>32</v>
      </c>
      <c r="L4651" s="2">
        <v>14.3</v>
      </c>
      <c r="M4651" s="3">
        <v>904</v>
      </c>
      <c r="N4651">
        <v>7</v>
      </c>
      <c r="O4651">
        <v>6</v>
      </c>
      <c r="P4651">
        <v>1</v>
      </c>
      <c r="Q4651">
        <v>0</v>
      </c>
      <c r="R4651" s="4">
        <v>19.52</v>
      </c>
      <c r="S4651">
        <v>0</v>
      </c>
      <c r="T4651">
        <v>1</v>
      </c>
    </row>
    <row r="4652" spans="1:20" ht="16.5" x14ac:dyDescent="0.3">
      <c r="A4652" t="s">
        <v>4706</v>
      </c>
      <c r="B4652" s="1">
        <v>45935</v>
      </c>
      <c r="C4652">
        <v>2025</v>
      </c>
      <c r="D4652" t="s">
        <v>1873</v>
      </c>
      <c r="E4652" t="s">
        <v>1874</v>
      </c>
      <c r="F4652" t="s">
        <v>34</v>
      </c>
      <c r="G4652" t="s">
        <v>24</v>
      </c>
      <c r="H4652" t="s">
        <v>36</v>
      </c>
      <c r="I4652" t="s">
        <v>26</v>
      </c>
      <c r="J4652" t="s">
        <v>27</v>
      </c>
      <c r="K4652" t="s">
        <v>32</v>
      </c>
      <c r="L4652" s="2">
        <v>1.3</v>
      </c>
      <c r="M4652" s="3">
        <v>220</v>
      </c>
      <c r="N4652">
        <v>3</v>
      </c>
      <c r="O4652">
        <v>3</v>
      </c>
      <c r="P4652">
        <v>1</v>
      </c>
      <c r="Q4652">
        <v>0</v>
      </c>
      <c r="R4652" s="4">
        <v>7.33</v>
      </c>
      <c r="S4652">
        <v>0</v>
      </c>
      <c r="T4652">
        <v>1</v>
      </c>
    </row>
    <row r="4653" spans="1:20" ht="16.5" x14ac:dyDescent="0.3">
      <c r="A4653" t="s">
        <v>4707</v>
      </c>
      <c r="B4653" s="1">
        <v>45935</v>
      </c>
      <c r="C4653">
        <v>2025</v>
      </c>
      <c r="D4653" t="s">
        <v>1873</v>
      </c>
      <c r="E4653" t="s">
        <v>1874</v>
      </c>
      <c r="F4653" t="s">
        <v>38</v>
      </c>
      <c r="G4653" t="s">
        <v>35</v>
      </c>
      <c r="H4653" t="s">
        <v>36</v>
      </c>
      <c r="I4653" t="s">
        <v>26</v>
      </c>
      <c r="J4653" t="s">
        <v>27</v>
      </c>
      <c r="K4653" t="s">
        <v>28</v>
      </c>
      <c r="L4653" s="2">
        <v>69</v>
      </c>
      <c r="M4653" s="3">
        <v>265</v>
      </c>
      <c r="N4653">
        <v>3</v>
      </c>
      <c r="O4653">
        <v>3</v>
      </c>
      <c r="P4653">
        <v>1</v>
      </c>
      <c r="Q4653">
        <v>0</v>
      </c>
      <c r="R4653" s="4">
        <v>46.02</v>
      </c>
      <c r="S4653">
        <v>0</v>
      </c>
      <c r="T4653">
        <v>1</v>
      </c>
    </row>
    <row r="4654" spans="1:20" ht="16.5" x14ac:dyDescent="0.3">
      <c r="A4654" t="s">
        <v>4708</v>
      </c>
      <c r="B4654" s="1">
        <v>45935</v>
      </c>
      <c r="C4654">
        <v>2025</v>
      </c>
      <c r="D4654" t="s">
        <v>1873</v>
      </c>
      <c r="E4654" t="s">
        <v>1874</v>
      </c>
      <c r="F4654" t="s">
        <v>34</v>
      </c>
      <c r="G4654" t="s">
        <v>39</v>
      </c>
      <c r="H4654" t="s">
        <v>25</v>
      </c>
      <c r="I4654" t="s">
        <v>26</v>
      </c>
      <c r="J4654" t="s">
        <v>27</v>
      </c>
      <c r="K4654" t="s">
        <v>28</v>
      </c>
      <c r="L4654" s="2">
        <v>245.3</v>
      </c>
      <c r="M4654" s="3">
        <v>750</v>
      </c>
      <c r="N4654">
        <v>4</v>
      </c>
      <c r="O4654">
        <v>3</v>
      </c>
      <c r="P4654">
        <v>1</v>
      </c>
      <c r="Q4654">
        <v>0</v>
      </c>
      <c r="R4654" s="4">
        <v>99.7</v>
      </c>
      <c r="S4654">
        <v>0</v>
      </c>
      <c r="T4654">
        <v>1</v>
      </c>
    </row>
    <row r="4655" spans="1:20" ht="16.5" x14ac:dyDescent="0.3">
      <c r="A4655" t="s">
        <v>4709</v>
      </c>
      <c r="B4655" s="1">
        <v>45936</v>
      </c>
      <c r="C4655">
        <v>2025</v>
      </c>
      <c r="D4655" t="s">
        <v>1873</v>
      </c>
      <c r="E4655" t="s">
        <v>1874</v>
      </c>
      <c r="F4655" t="s">
        <v>57</v>
      </c>
      <c r="G4655" t="s">
        <v>35</v>
      </c>
      <c r="H4655" t="s">
        <v>36</v>
      </c>
      <c r="I4655" t="s">
        <v>26</v>
      </c>
      <c r="J4655" t="s">
        <v>27</v>
      </c>
      <c r="K4655" t="s">
        <v>32</v>
      </c>
      <c r="L4655" s="2">
        <v>5.6</v>
      </c>
      <c r="M4655" s="3">
        <v>284</v>
      </c>
      <c r="N4655">
        <v>3</v>
      </c>
      <c r="O4655">
        <v>3</v>
      </c>
      <c r="P4655">
        <v>1</v>
      </c>
      <c r="Q4655">
        <v>0</v>
      </c>
      <c r="R4655" s="4">
        <v>13.72</v>
      </c>
      <c r="S4655">
        <v>0</v>
      </c>
      <c r="T4655">
        <v>1</v>
      </c>
    </row>
    <row r="4656" spans="1:20" ht="16.5" x14ac:dyDescent="0.3">
      <c r="A4656" t="s">
        <v>4710</v>
      </c>
      <c r="B4656" s="1">
        <v>45936</v>
      </c>
      <c r="C4656">
        <v>2025</v>
      </c>
      <c r="D4656" t="s">
        <v>1873</v>
      </c>
      <c r="E4656" t="s">
        <v>1874</v>
      </c>
      <c r="F4656" t="s">
        <v>30</v>
      </c>
      <c r="G4656" t="s">
        <v>35</v>
      </c>
      <c r="H4656" t="s">
        <v>36</v>
      </c>
      <c r="I4656" t="s">
        <v>26</v>
      </c>
      <c r="J4656" t="s">
        <v>27</v>
      </c>
      <c r="K4656" t="s">
        <v>28</v>
      </c>
      <c r="L4656" s="2">
        <v>81.900000000000006</v>
      </c>
      <c r="M4656" s="3">
        <v>239</v>
      </c>
      <c r="N4656">
        <v>3</v>
      </c>
      <c r="O4656">
        <v>3</v>
      </c>
      <c r="P4656">
        <v>1</v>
      </c>
      <c r="Q4656">
        <v>0</v>
      </c>
      <c r="R4656" s="4">
        <v>50.7</v>
      </c>
      <c r="S4656">
        <v>0</v>
      </c>
      <c r="T4656">
        <v>1</v>
      </c>
    </row>
    <row r="4657" spans="1:20" ht="16.5" x14ac:dyDescent="0.3">
      <c r="A4657" t="s">
        <v>4711</v>
      </c>
      <c r="B4657" s="1">
        <v>45936</v>
      </c>
      <c r="C4657">
        <v>2025</v>
      </c>
      <c r="D4657" t="s">
        <v>1873</v>
      </c>
      <c r="E4657" t="s">
        <v>1874</v>
      </c>
      <c r="F4657" t="s">
        <v>38</v>
      </c>
      <c r="G4657" t="s">
        <v>35</v>
      </c>
      <c r="H4657" t="s">
        <v>36</v>
      </c>
      <c r="I4657" t="s">
        <v>26</v>
      </c>
      <c r="J4657" t="s">
        <v>27</v>
      </c>
      <c r="K4657" t="s">
        <v>28</v>
      </c>
      <c r="L4657" s="2">
        <v>85.5</v>
      </c>
      <c r="M4657" s="3">
        <v>251</v>
      </c>
      <c r="N4657">
        <v>3</v>
      </c>
      <c r="O4657">
        <v>2</v>
      </c>
      <c r="P4657">
        <v>1</v>
      </c>
      <c r="Q4657">
        <v>0</v>
      </c>
      <c r="R4657" s="4">
        <v>56.27</v>
      </c>
      <c r="S4657">
        <v>0</v>
      </c>
      <c r="T4657">
        <v>1</v>
      </c>
    </row>
    <row r="4658" spans="1:20" ht="16.5" x14ac:dyDescent="0.3">
      <c r="A4658" t="s">
        <v>4712</v>
      </c>
      <c r="B4658" s="1">
        <v>45936</v>
      </c>
      <c r="C4658">
        <v>2025</v>
      </c>
      <c r="D4658" t="s">
        <v>1873</v>
      </c>
      <c r="E4658" t="s">
        <v>1874</v>
      </c>
      <c r="F4658" t="s">
        <v>23</v>
      </c>
      <c r="G4658" t="s">
        <v>39</v>
      </c>
      <c r="H4658" t="s">
        <v>25</v>
      </c>
      <c r="I4658" t="s">
        <v>40</v>
      </c>
      <c r="J4658" t="s">
        <v>41</v>
      </c>
      <c r="K4658" t="s">
        <v>32</v>
      </c>
      <c r="L4658" s="2">
        <v>5.9</v>
      </c>
      <c r="M4658" s="3">
        <v>1050</v>
      </c>
      <c r="N4658">
        <v>2</v>
      </c>
      <c r="O4658">
        <v>2</v>
      </c>
      <c r="P4658">
        <v>1</v>
      </c>
      <c r="Q4658">
        <v>0</v>
      </c>
      <c r="R4658" s="4">
        <v>69.31</v>
      </c>
      <c r="S4658">
        <v>0</v>
      </c>
      <c r="T4658">
        <v>1</v>
      </c>
    </row>
    <row r="4659" spans="1:20" ht="16.5" x14ac:dyDescent="0.3">
      <c r="A4659" t="s">
        <v>4713</v>
      </c>
      <c r="B4659" s="1">
        <v>45936</v>
      </c>
      <c r="C4659">
        <v>2025</v>
      </c>
      <c r="D4659" t="s">
        <v>1873</v>
      </c>
      <c r="E4659" t="s">
        <v>1874</v>
      </c>
      <c r="F4659" t="s">
        <v>34</v>
      </c>
      <c r="G4659" t="s">
        <v>39</v>
      </c>
      <c r="H4659" t="s">
        <v>36</v>
      </c>
      <c r="I4659" t="s">
        <v>26</v>
      </c>
      <c r="J4659" t="s">
        <v>27</v>
      </c>
      <c r="K4659" t="s">
        <v>28</v>
      </c>
      <c r="L4659" s="2">
        <v>194.6</v>
      </c>
      <c r="M4659" s="3">
        <v>273</v>
      </c>
      <c r="N4659">
        <v>3</v>
      </c>
      <c r="O4659">
        <v>2</v>
      </c>
      <c r="P4659">
        <v>1</v>
      </c>
      <c r="Q4659">
        <v>0</v>
      </c>
      <c r="R4659" s="4">
        <v>62.55</v>
      </c>
      <c r="S4659">
        <v>0</v>
      </c>
      <c r="T4659">
        <v>1</v>
      </c>
    </row>
    <row r="4660" spans="1:20" ht="16.5" x14ac:dyDescent="0.3">
      <c r="A4660" t="s">
        <v>4714</v>
      </c>
      <c r="B4660" s="1">
        <v>45936</v>
      </c>
      <c r="C4660">
        <v>2025</v>
      </c>
      <c r="D4660" t="s">
        <v>1873</v>
      </c>
      <c r="E4660" t="s">
        <v>1874</v>
      </c>
      <c r="F4660" t="s">
        <v>57</v>
      </c>
      <c r="G4660" t="s">
        <v>24</v>
      </c>
      <c r="H4660" t="s">
        <v>48</v>
      </c>
      <c r="I4660" t="s">
        <v>31</v>
      </c>
      <c r="J4660" t="s">
        <v>27</v>
      </c>
      <c r="K4660" t="s">
        <v>32</v>
      </c>
      <c r="L4660" s="2">
        <v>4.0999999999999996</v>
      </c>
      <c r="M4660" s="3">
        <v>626</v>
      </c>
      <c r="N4660">
        <v>6</v>
      </c>
      <c r="O4660">
        <v>6</v>
      </c>
      <c r="P4660">
        <v>1</v>
      </c>
      <c r="Q4660">
        <v>0</v>
      </c>
      <c r="R4660" s="4">
        <v>13.11</v>
      </c>
      <c r="S4660">
        <v>0</v>
      </c>
      <c r="T4660">
        <v>1</v>
      </c>
    </row>
    <row r="4661" spans="1:20" ht="16.5" x14ac:dyDescent="0.3">
      <c r="A4661" t="s">
        <v>4715</v>
      </c>
      <c r="B4661" s="1">
        <v>45936</v>
      </c>
      <c r="C4661">
        <v>2025</v>
      </c>
      <c r="D4661" t="s">
        <v>1873</v>
      </c>
      <c r="E4661" t="s">
        <v>1874</v>
      </c>
      <c r="F4661" t="s">
        <v>23</v>
      </c>
      <c r="G4661" t="s">
        <v>24</v>
      </c>
      <c r="H4661" t="s">
        <v>36</v>
      </c>
      <c r="I4661" t="s">
        <v>26</v>
      </c>
      <c r="J4661" t="s">
        <v>27</v>
      </c>
      <c r="K4661" t="s">
        <v>32</v>
      </c>
      <c r="L4661" s="2">
        <v>11.6</v>
      </c>
      <c r="M4661" s="3">
        <v>191</v>
      </c>
      <c r="N4661">
        <v>3</v>
      </c>
      <c r="O4661">
        <v>3</v>
      </c>
      <c r="P4661">
        <v>1</v>
      </c>
      <c r="Q4661">
        <v>0</v>
      </c>
      <c r="R4661" s="4">
        <v>14.79</v>
      </c>
      <c r="S4661">
        <v>0</v>
      </c>
      <c r="T4661">
        <v>1</v>
      </c>
    </row>
    <row r="4662" spans="1:20" ht="16.5" x14ac:dyDescent="0.3">
      <c r="A4662" t="s">
        <v>4716</v>
      </c>
      <c r="B4662" s="1">
        <v>45936</v>
      </c>
      <c r="C4662">
        <v>2025</v>
      </c>
      <c r="D4662" t="s">
        <v>1873</v>
      </c>
      <c r="E4662" t="s">
        <v>1874</v>
      </c>
      <c r="F4662" t="s">
        <v>30</v>
      </c>
      <c r="G4662" t="s">
        <v>39</v>
      </c>
      <c r="H4662" t="s">
        <v>48</v>
      </c>
      <c r="I4662" t="s">
        <v>26</v>
      </c>
      <c r="J4662" t="s">
        <v>27</v>
      </c>
      <c r="K4662" t="s">
        <v>32</v>
      </c>
      <c r="L4662" s="2">
        <v>4.7</v>
      </c>
      <c r="M4662" s="3">
        <v>517</v>
      </c>
      <c r="N4662">
        <v>4</v>
      </c>
      <c r="O4662">
        <v>4</v>
      </c>
      <c r="P4662">
        <v>1</v>
      </c>
      <c r="Q4662">
        <v>0</v>
      </c>
      <c r="R4662" s="4">
        <v>16.66</v>
      </c>
      <c r="S4662">
        <v>0</v>
      </c>
      <c r="T4662">
        <v>1</v>
      </c>
    </row>
    <row r="4663" spans="1:20" ht="16.5" x14ac:dyDescent="0.3">
      <c r="A4663" t="s">
        <v>4717</v>
      </c>
      <c r="B4663" s="1">
        <v>45936</v>
      </c>
      <c r="C4663">
        <v>2025</v>
      </c>
      <c r="D4663" t="s">
        <v>1873</v>
      </c>
      <c r="E4663" t="s">
        <v>1874</v>
      </c>
      <c r="F4663" t="s">
        <v>57</v>
      </c>
      <c r="G4663" t="s">
        <v>35</v>
      </c>
      <c r="H4663" t="s">
        <v>43</v>
      </c>
      <c r="I4663" t="s">
        <v>26</v>
      </c>
      <c r="J4663" t="s">
        <v>27</v>
      </c>
      <c r="K4663" t="s">
        <v>28</v>
      </c>
      <c r="L4663" s="2">
        <v>161</v>
      </c>
      <c r="M4663" s="3">
        <v>1085</v>
      </c>
      <c r="N4663">
        <v>5</v>
      </c>
      <c r="O4663">
        <v>8</v>
      </c>
      <c r="P4663">
        <v>0</v>
      </c>
      <c r="Q4663">
        <v>3</v>
      </c>
      <c r="R4663" s="4">
        <v>91.73</v>
      </c>
      <c r="S4663">
        <v>0</v>
      </c>
      <c r="T4663">
        <v>1</v>
      </c>
    </row>
    <row r="4664" spans="1:20" ht="16.5" x14ac:dyDescent="0.3">
      <c r="A4664" t="s">
        <v>4718</v>
      </c>
      <c r="B4664" s="1">
        <v>45937</v>
      </c>
      <c r="C4664">
        <v>2025</v>
      </c>
      <c r="D4664" t="s">
        <v>1873</v>
      </c>
      <c r="E4664" t="s">
        <v>1874</v>
      </c>
      <c r="F4664" t="s">
        <v>30</v>
      </c>
      <c r="G4664" t="s">
        <v>39</v>
      </c>
      <c r="H4664" t="s">
        <v>48</v>
      </c>
      <c r="I4664" t="s">
        <v>26</v>
      </c>
      <c r="J4664" t="s">
        <v>27</v>
      </c>
      <c r="K4664" t="s">
        <v>28</v>
      </c>
      <c r="L4664" s="2">
        <v>71.3</v>
      </c>
      <c r="M4664" s="3">
        <v>516</v>
      </c>
      <c r="N4664">
        <v>4</v>
      </c>
      <c r="O4664">
        <v>4</v>
      </c>
      <c r="P4664">
        <v>1</v>
      </c>
      <c r="Q4664">
        <v>0</v>
      </c>
      <c r="R4664" s="4">
        <v>51.69</v>
      </c>
      <c r="S4664">
        <v>0</v>
      </c>
      <c r="T4664">
        <v>1</v>
      </c>
    </row>
    <row r="4665" spans="1:20" ht="16.5" x14ac:dyDescent="0.3">
      <c r="A4665" t="s">
        <v>4719</v>
      </c>
      <c r="B4665" s="1">
        <v>45937</v>
      </c>
      <c r="C4665">
        <v>2025</v>
      </c>
      <c r="D4665" t="s">
        <v>1873</v>
      </c>
      <c r="E4665" t="s">
        <v>1874</v>
      </c>
      <c r="F4665" t="s">
        <v>23</v>
      </c>
      <c r="G4665" t="s">
        <v>39</v>
      </c>
      <c r="H4665" t="s">
        <v>25</v>
      </c>
      <c r="I4665" t="s">
        <v>40</v>
      </c>
      <c r="J4665" t="s">
        <v>41</v>
      </c>
      <c r="K4665" t="s">
        <v>28</v>
      </c>
      <c r="L4665" s="2">
        <v>116.8</v>
      </c>
      <c r="M4665" s="3">
        <v>916</v>
      </c>
      <c r="N4665">
        <v>2</v>
      </c>
      <c r="O4665">
        <v>2</v>
      </c>
      <c r="P4665">
        <v>1</v>
      </c>
      <c r="Q4665">
        <v>0</v>
      </c>
      <c r="R4665" s="4">
        <v>208.36</v>
      </c>
      <c r="S4665">
        <v>0</v>
      </c>
      <c r="T4665">
        <v>1</v>
      </c>
    </row>
    <row r="4666" spans="1:20" ht="16.5" x14ac:dyDescent="0.3">
      <c r="A4666" t="s">
        <v>4720</v>
      </c>
      <c r="B4666" s="1">
        <v>45937</v>
      </c>
      <c r="C4666">
        <v>2025</v>
      </c>
      <c r="D4666" t="s">
        <v>1873</v>
      </c>
      <c r="E4666" t="s">
        <v>1874</v>
      </c>
      <c r="F4666" t="s">
        <v>30</v>
      </c>
      <c r="G4666" t="s">
        <v>39</v>
      </c>
      <c r="H4666" t="s">
        <v>43</v>
      </c>
      <c r="I4666" t="s">
        <v>31</v>
      </c>
      <c r="J4666" t="s">
        <v>27</v>
      </c>
      <c r="K4666" t="s">
        <v>28</v>
      </c>
      <c r="L4666" s="2">
        <v>48.5</v>
      </c>
      <c r="M4666" s="3">
        <v>1183</v>
      </c>
      <c r="N4666">
        <v>7</v>
      </c>
      <c r="O4666">
        <v>9</v>
      </c>
      <c r="P4666">
        <v>0</v>
      </c>
      <c r="Q4666">
        <v>2</v>
      </c>
      <c r="R4666" s="4">
        <v>34.69</v>
      </c>
      <c r="S4666">
        <v>0</v>
      </c>
      <c r="T4666">
        <v>1</v>
      </c>
    </row>
    <row r="4667" spans="1:20" ht="16.5" x14ac:dyDescent="0.3">
      <c r="A4667" t="s">
        <v>4721</v>
      </c>
      <c r="B4667" s="1">
        <v>45937</v>
      </c>
      <c r="C4667">
        <v>2025</v>
      </c>
      <c r="D4667" t="s">
        <v>1873</v>
      </c>
      <c r="E4667" t="s">
        <v>1874</v>
      </c>
      <c r="F4667" t="s">
        <v>38</v>
      </c>
      <c r="G4667" t="s">
        <v>39</v>
      </c>
      <c r="H4667" t="s">
        <v>48</v>
      </c>
      <c r="I4667" t="s">
        <v>26</v>
      </c>
      <c r="J4667" t="s">
        <v>27</v>
      </c>
      <c r="K4667" t="s">
        <v>28</v>
      </c>
      <c r="L4667" s="2">
        <v>37.799999999999997</v>
      </c>
      <c r="M4667" s="3">
        <v>516</v>
      </c>
      <c r="N4667">
        <v>4</v>
      </c>
      <c r="O4667">
        <v>4</v>
      </c>
      <c r="P4667">
        <v>1</v>
      </c>
      <c r="Q4667">
        <v>0</v>
      </c>
      <c r="R4667" s="4">
        <v>34.51</v>
      </c>
      <c r="S4667">
        <v>0</v>
      </c>
      <c r="T4667">
        <v>1</v>
      </c>
    </row>
    <row r="4668" spans="1:20" ht="16.5" x14ac:dyDescent="0.3">
      <c r="A4668" t="s">
        <v>4722</v>
      </c>
      <c r="B4668" s="1">
        <v>45937</v>
      </c>
      <c r="C4668">
        <v>2025</v>
      </c>
      <c r="D4668" t="s">
        <v>1873</v>
      </c>
      <c r="E4668" t="s">
        <v>1874</v>
      </c>
      <c r="F4668" t="s">
        <v>57</v>
      </c>
      <c r="G4668" t="s">
        <v>39</v>
      </c>
      <c r="H4668" t="s">
        <v>25</v>
      </c>
      <c r="I4668" t="s">
        <v>26</v>
      </c>
      <c r="J4668" t="s">
        <v>27</v>
      </c>
      <c r="K4668" t="s">
        <v>32</v>
      </c>
      <c r="L4668" s="2">
        <v>7</v>
      </c>
      <c r="M4668" s="3">
        <v>1043</v>
      </c>
      <c r="N4668">
        <v>4</v>
      </c>
      <c r="O4668">
        <v>7</v>
      </c>
      <c r="P4668">
        <v>0</v>
      </c>
      <c r="Q4668">
        <v>3</v>
      </c>
      <c r="R4668" s="4">
        <v>24.8</v>
      </c>
      <c r="S4668">
        <v>0</v>
      </c>
      <c r="T4668">
        <v>1</v>
      </c>
    </row>
    <row r="4669" spans="1:20" ht="16.5" x14ac:dyDescent="0.3">
      <c r="A4669" t="s">
        <v>4723</v>
      </c>
      <c r="B4669" s="1">
        <v>45937</v>
      </c>
      <c r="C4669">
        <v>2025</v>
      </c>
      <c r="D4669" t="s">
        <v>1873</v>
      </c>
      <c r="E4669" t="s">
        <v>1874</v>
      </c>
      <c r="F4669" t="s">
        <v>34</v>
      </c>
      <c r="G4669" t="s">
        <v>24</v>
      </c>
      <c r="H4669" t="s">
        <v>36</v>
      </c>
      <c r="I4669" t="s">
        <v>26</v>
      </c>
      <c r="J4669" t="s">
        <v>27</v>
      </c>
      <c r="K4669" t="s">
        <v>32</v>
      </c>
      <c r="L4669" s="2">
        <v>3.3</v>
      </c>
      <c r="M4669" s="3">
        <v>259</v>
      </c>
      <c r="N4669">
        <v>3</v>
      </c>
      <c r="O4669">
        <v>3</v>
      </c>
      <c r="P4669">
        <v>1</v>
      </c>
      <c r="Q4669">
        <v>0</v>
      </c>
      <c r="R4669" s="4">
        <v>10.29</v>
      </c>
      <c r="S4669">
        <v>0</v>
      </c>
      <c r="T4669">
        <v>1</v>
      </c>
    </row>
    <row r="4670" spans="1:20" ht="16.5" x14ac:dyDescent="0.3">
      <c r="A4670" t="s">
        <v>4724</v>
      </c>
      <c r="B4670" s="1">
        <v>45937</v>
      </c>
      <c r="C4670">
        <v>2025</v>
      </c>
      <c r="D4670" t="s">
        <v>1873</v>
      </c>
      <c r="E4670" t="s">
        <v>1874</v>
      </c>
      <c r="F4670" t="s">
        <v>30</v>
      </c>
      <c r="G4670" t="s">
        <v>35</v>
      </c>
      <c r="H4670" t="s">
        <v>43</v>
      </c>
      <c r="I4670" t="s">
        <v>26</v>
      </c>
      <c r="J4670" t="s">
        <v>27</v>
      </c>
      <c r="K4670" t="s">
        <v>32</v>
      </c>
      <c r="L4670" s="2">
        <v>7.1</v>
      </c>
      <c r="M4670" s="3">
        <v>1006</v>
      </c>
      <c r="N4670">
        <v>5</v>
      </c>
      <c r="O4670">
        <v>4</v>
      </c>
      <c r="P4670">
        <v>1</v>
      </c>
      <c r="Q4670">
        <v>0</v>
      </c>
      <c r="R4670" s="4">
        <v>25.38</v>
      </c>
      <c r="S4670">
        <v>0</v>
      </c>
      <c r="T4670">
        <v>1</v>
      </c>
    </row>
    <row r="4671" spans="1:20" ht="16.5" x14ac:dyDescent="0.3">
      <c r="A4671" t="s">
        <v>4725</v>
      </c>
      <c r="B4671" s="1">
        <v>45937</v>
      </c>
      <c r="C4671">
        <v>2025</v>
      </c>
      <c r="D4671" t="s">
        <v>1873</v>
      </c>
      <c r="E4671" t="s">
        <v>1874</v>
      </c>
      <c r="F4671" t="s">
        <v>38</v>
      </c>
      <c r="G4671" t="s">
        <v>24</v>
      </c>
      <c r="H4671" t="s">
        <v>43</v>
      </c>
      <c r="I4671" t="s">
        <v>26</v>
      </c>
      <c r="J4671" t="s">
        <v>27</v>
      </c>
      <c r="K4671" t="s">
        <v>32</v>
      </c>
      <c r="L4671" s="2">
        <v>11.5</v>
      </c>
      <c r="M4671" s="3">
        <v>1690</v>
      </c>
      <c r="N4671">
        <v>5</v>
      </c>
      <c r="O4671">
        <v>5</v>
      </c>
      <c r="P4671">
        <v>1</v>
      </c>
      <c r="Q4671">
        <v>0</v>
      </c>
      <c r="R4671" s="4">
        <v>39.380000000000003</v>
      </c>
      <c r="S4671">
        <v>0</v>
      </c>
      <c r="T4671">
        <v>1</v>
      </c>
    </row>
    <row r="4672" spans="1:20" ht="16.5" x14ac:dyDescent="0.3">
      <c r="A4672" t="s">
        <v>4726</v>
      </c>
      <c r="B4672" s="1">
        <v>45937</v>
      </c>
      <c r="C4672">
        <v>2025</v>
      </c>
      <c r="D4672" t="s">
        <v>1873</v>
      </c>
      <c r="E4672" t="s">
        <v>1874</v>
      </c>
      <c r="F4672" t="s">
        <v>38</v>
      </c>
      <c r="G4672" t="s">
        <v>39</v>
      </c>
      <c r="H4672" t="s">
        <v>36</v>
      </c>
      <c r="I4672" t="s">
        <v>26</v>
      </c>
      <c r="J4672" t="s">
        <v>27</v>
      </c>
      <c r="K4672" t="s">
        <v>32</v>
      </c>
      <c r="L4672" s="2">
        <v>2.7</v>
      </c>
      <c r="M4672" s="3">
        <v>293</v>
      </c>
      <c r="N4672">
        <v>3</v>
      </c>
      <c r="O4672">
        <v>3</v>
      </c>
      <c r="P4672">
        <v>1</v>
      </c>
      <c r="Q4672">
        <v>0</v>
      </c>
      <c r="R4672" s="4">
        <v>13.46</v>
      </c>
      <c r="S4672">
        <v>0</v>
      </c>
      <c r="T4672">
        <v>1</v>
      </c>
    </row>
    <row r="4673" spans="1:20" ht="16.5" x14ac:dyDescent="0.3">
      <c r="A4673" t="s">
        <v>4727</v>
      </c>
      <c r="B4673" s="1">
        <v>45937</v>
      </c>
      <c r="C4673">
        <v>2025</v>
      </c>
      <c r="D4673" t="s">
        <v>1873</v>
      </c>
      <c r="E4673" t="s">
        <v>1874</v>
      </c>
      <c r="F4673" t="s">
        <v>57</v>
      </c>
      <c r="G4673" t="s">
        <v>35</v>
      </c>
      <c r="H4673" t="s">
        <v>43</v>
      </c>
      <c r="I4673" t="s">
        <v>26</v>
      </c>
      <c r="J4673" t="s">
        <v>27</v>
      </c>
      <c r="K4673" t="s">
        <v>28</v>
      </c>
      <c r="L4673" s="2">
        <v>44</v>
      </c>
      <c r="M4673" s="3">
        <v>1378</v>
      </c>
      <c r="N4673">
        <v>5</v>
      </c>
      <c r="O4673">
        <v>5</v>
      </c>
      <c r="P4673">
        <v>1</v>
      </c>
      <c r="Q4673">
        <v>0</v>
      </c>
      <c r="R4673" s="4">
        <v>47.41</v>
      </c>
      <c r="S4673">
        <v>0</v>
      </c>
      <c r="T4673">
        <v>1</v>
      </c>
    </row>
    <row r="4674" spans="1:20" ht="16.5" x14ac:dyDescent="0.3">
      <c r="A4674" t="s">
        <v>4728</v>
      </c>
      <c r="B4674" s="1">
        <v>45937</v>
      </c>
      <c r="C4674">
        <v>2025</v>
      </c>
      <c r="D4674" t="s">
        <v>1873</v>
      </c>
      <c r="E4674" t="s">
        <v>1874</v>
      </c>
      <c r="F4674" t="s">
        <v>30</v>
      </c>
      <c r="G4674" t="s">
        <v>39</v>
      </c>
      <c r="H4674" t="s">
        <v>51</v>
      </c>
      <c r="I4674" t="s">
        <v>26</v>
      </c>
      <c r="J4674" t="s">
        <v>27</v>
      </c>
      <c r="K4674" t="s">
        <v>32</v>
      </c>
      <c r="L4674" s="2">
        <v>1.1000000000000001</v>
      </c>
      <c r="M4674" s="3">
        <v>1158</v>
      </c>
      <c r="N4674">
        <v>5</v>
      </c>
      <c r="O4674">
        <v>7</v>
      </c>
      <c r="P4674">
        <v>0</v>
      </c>
      <c r="Q4674">
        <v>2</v>
      </c>
      <c r="R4674" s="4">
        <v>22.7</v>
      </c>
      <c r="S4674">
        <v>0</v>
      </c>
      <c r="T4674">
        <v>1</v>
      </c>
    </row>
    <row r="4675" spans="1:20" ht="16.5" x14ac:dyDescent="0.3">
      <c r="A4675" t="s">
        <v>4729</v>
      </c>
      <c r="B4675" s="1">
        <v>45937</v>
      </c>
      <c r="C4675">
        <v>2025</v>
      </c>
      <c r="D4675" t="s">
        <v>1873</v>
      </c>
      <c r="E4675" t="s">
        <v>1874</v>
      </c>
      <c r="F4675" t="s">
        <v>38</v>
      </c>
      <c r="G4675" t="s">
        <v>39</v>
      </c>
      <c r="H4675" t="s">
        <v>48</v>
      </c>
      <c r="I4675" t="s">
        <v>26</v>
      </c>
      <c r="J4675" t="s">
        <v>27</v>
      </c>
      <c r="K4675" t="s">
        <v>28</v>
      </c>
      <c r="L4675" s="2">
        <v>81.2</v>
      </c>
      <c r="M4675" s="3">
        <v>399</v>
      </c>
      <c r="N4675">
        <v>4</v>
      </c>
      <c r="O4675">
        <v>4</v>
      </c>
      <c r="P4675">
        <v>1</v>
      </c>
      <c r="Q4675">
        <v>0</v>
      </c>
      <c r="R4675" s="4">
        <v>50.81</v>
      </c>
      <c r="S4675">
        <v>0</v>
      </c>
      <c r="T4675">
        <v>1</v>
      </c>
    </row>
    <row r="4676" spans="1:20" ht="16.5" x14ac:dyDescent="0.3">
      <c r="A4676" t="s">
        <v>4730</v>
      </c>
      <c r="B4676" s="1">
        <v>45937</v>
      </c>
      <c r="C4676">
        <v>2025</v>
      </c>
      <c r="D4676" t="s">
        <v>1873</v>
      </c>
      <c r="E4676" t="s">
        <v>1874</v>
      </c>
      <c r="F4676" t="s">
        <v>57</v>
      </c>
      <c r="G4676" t="s">
        <v>39</v>
      </c>
      <c r="H4676" t="s">
        <v>25</v>
      </c>
      <c r="I4676" t="s">
        <v>26</v>
      </c>
      <c r="J4676" t="s">
        <v>27</v>
      </c>
      <c r="K4676" t="s">
        <v>28</v>
      </c>
      <c r="L4676" s="2">
        <v>109.1</v>
      </c>
      <c r="M4676" s="3">
        <v>913</v>
      </c>
      <c r="N4676">
        <v>4</v>
      </c>
      <c r="O4676">
        <v>3</v>
      </c>
      <c r="P4676">
        <v>1</v>
      </c>
      <c r="Q4676">
        <v>0</v>
      </c>
      <c r="R4676" s="4">
        <v>64.98</v>
      </c>
      <c r="S4676">
        <v>0</v>
      </c>
      <c r="T4676">
        <v>1</v>
      </c>
    </row>
    <row r="4677" spans="1:20" ht="16.5" x14ac:dyDescent="0.3">
      <c r="A4677" t="s">
        <v>4731</v>
      </c>
      <c r="B4677" s="1">
        <v>45938</v>
      </c>
      <c r="C4677">
        <v>2025</v>
      </c>
      <c r="D4677" t="s">
        <v>1873</v>
      </c>
      <c r="E4677" t="s">
        <v>1874</v>
      </c>
      <c r="F4677" t="s">
        <v>34</v>
      </c>
      <c r="G4677" t="s">
        <v>35</v>
      </c>
      <c r="H4677" t="s">
        <v>48</v>
      </c>
      <c r="I4677" t="s">
        <v>40</v>
      </c>
      <c r="J4677" t="s">
        <v>27</v>
      </c>
      <c r="K4677" t="s">
        <v>28</v>
      </c>
      <c r="L4677" s="2">
        <v>122.1</v>
      </c>
      <c r="M4677" s="3">
        <v>380</v>
      </c>
      <c r="N4677">
        <v>2</v>
      </c>
      <c r="O4677">
        <v>3</v>
      </c>
      <c r="P4677">
        <v>0</v>
      </c>
      <c r="Q4677">
        <v>1</v>
      </c>
      <c r="R4677" s="4">
        <v>102.01</v>
      </c>
      <c r="S4677">
        <v>1</v>
      </c>
      <c r="T4677">
        <v>1</v>
      </c>
    </row>
    <row r="4678" spans="1:20" ht="16.5" x14ac:dyDescent="0.3">
      <c r="A4678" t="s">
        <v>4732</v>
      </c>
      <c r="B4678" s="1">
        <v>45938</v>
      </c>
      <c r="C4678">
        <v>2025</v>
      </c>
      <c r="D4678" t="s">
        <v>1873</v>
      </c>
      <c r="E4678" t="s">
        <v>1874</v>
      </c>
      <c r="F4678" t="s">
        <v>23</v>
      </c>
      <c r="G4678" t="s">
        <v>24</v>
      </c>
      <c r="H4678" t="s">
        <v>43</v>
      </c>
      <c r="I4678" t="s">
        <v>26</v>
      </c>
      <c r="J4678" t="s">
        <v>27</v>
      </c>
      <c r="K4678" t="s">
        <v>32</v>
      </c>
      <c r="L4678" s="2">
        <v>24.5</v>
      </c>
      <c r="M4678" s="3">
        <v>1250</v>
      </c>
      <c r="N4678">
        <v>5</v>
      </c>
      <c r="O4678">
        <v>4</v>
      </c>
      <c r="P4678">
        <v>1</v>
      </c>
      <c r="Q4678">
        <v>0</v>
      </c>
      <c r="R4678" s="4">
        <v>34.619999999999997</v>
      </c>
      <c r="S4678">
        <v>1</v>
      </c>
      <c r="T4678">
        <v>1</v>
      </c>
    </row>
    <row r="4679" spans="1:20" ht="16.5" x14ac:dyDescent="0.3">
      <c r="A4679" t="s">
        <v>4733</v>
      </c>
      <c r="B4679" s="1">
        <v>45938</v>
      </c>
      <c r="C4679">
        <v>2025</v>
      </c>
      <c r="D4679" t="s">
        <v>1873</v>
      </c>
      <c r="E4679" t="s">
        <v>1874</v>
      </c>
      <c r="F4679" t="s">
        <v>57</v>
      </c>
      <c r="G4679" t="s">
        <v>24</v>
      </c>
      <c r="H4679" t="s">
        <v>51</v>
      </c>
      <c r="I4679" t="s">
        <v>26</v>
      </c>
      <c r="J4679" t="s">
        <v>27</v>
      </c>
      <c r="K4679" t="s">
        <v>28</v>
      </c>
      <c r="L4679" s="2">
        <v>214.8</v>
      </c>
      <c r="M4679" s="3">
        <v>905</v>
      </c>
      <c r="N4679">
        <v>5</v>
      </c>
      <c r="O4679">
        <v>5</v>
      </c>
      <c r="P4679">
        <v>1</v>
      </c>
      <c r="Q4679">
        <v>0</v>
      </c>
      <c r="R4679" s="4">
        <v>114.31</v>
      </c>
      <c r="S4679">
        <v>0</v>
      </c>
      <c r="T4679">
        <v>1</v>
      </c>
    </row>
    <row r="4680" spans="1:20" ht="16.5" x14ac:dyDescent="0.3">
      <c r="A4680" t="s">
        <v>4734</v>
      </c>
      <c r="B4680" s="1">
        <v>45938</v>
      </c>
      <c r="C4680">
        <v>2025</v>
      </c>
      <c r="D4680" t="s">
        <v>1873</v>
      </c>
      <c r="E4680" t="s">
        <v>1874</v>
      </c>
      <c r="F4680" t="s">
        <v>34</v>
      </c>
      <c r="G4680" t="s">
        <v>35</v>
      </c>
      <c r="H4680" t="s">
        <v>51</v>
      </c>
      <c r="I4680" t="s">
        <v>31</v>
      </c>
      <c r="J4680" t="s">
        <v>27</v>
      </c>
      <c r="K4680" t="s">
        <v>28</v>
      </c>
      <c r="L4680" s="2">
        <v>85.5</v>
      </c>
      <c r="M4680" s="3">
        <v>912</v>
      </c>
      <c r="N4680">
        <v>7</v>
      </c>
      <c r="O4680">
        <v>9</v>
      </c>
      <c r="P4680">
        <v>0</v>
      </c>
      <c r="Q4680">
        <v>2</v>
      </c>
      <c r="R4680" s="4">
        <v>36.42</v>
      </c>
      <c r="S4680">
        <v>0</v>
      </c>
      <c r="T4680">
        <v>1</v>
      </c>
    </row>
    <row r="4681" spans="1:20" ht="16.5" x14ac:dyDescent="0.3">
      <c r="A4681" t="s">
        <v>4735</v>
      </c>
      <c r="B4681" s="1">
        <v>45938</v>
      </c>
      <c r="C4681">
        <v>2025</v>
      </c>
      <c r="D4681" t="s">
        <v>1873</v>
      </c>
      <c r="E4681" t="s">
        <v>1874</v>
      </c>
      <c r="F4681" t="s">
        <v>57</v>
      </c>
      <c r="G4681" t="s">
        <v>24</v>
      </c>
      <c r="H4681" t="s">
        <v>43</v>
      </c>
      <c r="I4681" t="s">
        <v>26</v>
      </c>
      <c r="J4681" t="s">
        <v>27</v>
      </c>
      <c r="K4681" t="s">
        <v>28</v>
      </c>
      <c r="L4681" s="2">
        <v>76.8</v>
      </c>
      <c r="M4681" s="3">
        <v>867</v>
      </c>
      <c r="N4681">
        <v>5</v>
      </c>
      <c r="O4681">
        <v>5</v>
      </c>
      <c r="P4681">
        <v>1</v>
      </c>
      <c r="Q4681">
        <v>0</v>
      </c>
      <c r="R4681" s="4">
        <v>50.91</v>
      </c>
      <c r="S4681">
        <v>0</v>
      </c>
      <c r="T4681">
        <v>1</v>
      </c>
    </row>
    <row r="4682" spans="1:20" ht="16.5" x14ac:dyDescent="0.3">
      <c r="A4682" t="s">
        <v>4736</v>
      </c>
      <c r="B4682" s="1">
        <v>45938</v>
      </c>
      <c r="C4682">
        <v>2025</v>
      </c>
      <c r="D4682" t="s">
        <v>1873</v>
      </c>
      <c r="E4682" t="s">
        <v>1874</v>
      </c>
      <c r="F4682" t="s">
        <v>30</v>
      </c>
      <c r="G4682" t="s">
        <v>35</v>
      </c>
      <c r="H4682" t="s">
        <v>51</v>
      </c>
      <c r="I4682" t="s">
        <v>26</v>
      </c>
      <c r="J4682" t="s">
        <v>27</v>
      </c>
      <c r="K4682" t="s">
        <v>32</v>
      </c>
      <c r="L4682" s="2">
        <v>11.2</v>
      </c>
      <c r="M4682" s="3">
        <v>1106</v>
      </c>
      <c r="N4682">
        <v>5</v>
      </c>
      <c r="O4682">
        <v>5</v>
      </c>
      <c r="P4682">
        <v>1</v>
      </c>
      <c r="Q4682">
        <v>0</v>
      </c>
      <c r="R4682" s="4">
        <v>26.85</v>
      </c>
      <c r="S4682">
        <v>0</v>
      </c>
      <c r="T4682">
        <v>1</v>
      </c>
    </row>
    <row r="4683" spans="1:20" ht="16.5" x14ac:dyDescent="0.3">
      <c r="A4683" t="s">
        <v>4737</v>
      </c>
      <c r="B4683" s="1">
        <v>45938</v>
      </c>
      <c r="C4683">
        <v>2025</v>
      </c>
      <c r="D4683" t="s">
        <v>1873</v>
      </c>
      <c r="E4683" t="s">
        <v>1874</v>
      </c>
      <c r="F4683" t="s">
        <v>38</v>
      </c>
      <c r="G4683" t="s">
        <v>35</v>
      </c>
      <c r="H4683" t="s">
        <v>25</v>
      </c>
      <c r="I4683" t="s">
        <v>26</v>
      </c>
      <c r="J4683" t="s">
        <v>27</v>
      </c>
      <c r="K4683" t="s">
        <v>32</v>
      </c>
      <c r="L4683" s="2">
        <v>6.2</v>
      </c>
      <c r="M4683" s="3">
        <v>1051</v>
      </c>
      <c r="N4683">
        <v>4</v>
      </c>
      <c r="O4683">
        <v>3</v>
      </c>
      <c r="P4683">
        <v>1</v>
      </c>
      <c r="Q4683">
        <v>0</v>
      </c>
      <c r="R4683" s="4">
        <v>24.28</v>
      </c>
      <c r="S4683">
        <v>0</v>
      </c>
      <c r="T4683">
        <v>1</v>
      </c>
    </row>
    <row r="4684" spans="1:20" ht="16.5" x14ac:dyDescent="0.3">
      <c r="A4684" t="s">
        <v>4738</v>
      </c>
      <c r="B4684" s="1">
        <v>45938</v>
      </c>
      <c r="C4684">
        <v>2025</v>
      </c>
      <c r="D4684" t="s">
        <v>1873</v>
      </c>
      <c r="E4684" t="s">
        <v>1874</v>
      </c>
      <c r="F4684" t="s">
        <v>23</v>
      </c>
      <c r="G4684" t="s">
        <v>35</v>
      </c>
      <c r="H4684" t="s">
        <v>25</v>
      </c>
      <c r="I4684" t="s">
        <v>31</v>
      </c>
      <c r="J4684" t="s">
        <v>27</v>
      </c>
      <c r="K4684" t="s">
        <v>32</v>
      </c>
      <c r="L4684" s="2">
        <v>4.2</v>
      </c>
      <c r="M4684" s="3">
        <v>693</v>
      </c>
      <c r="N4684">
        <v>6</v>
      </c>
      <c r="O4684">
        <v>6</v>
      </c>
      <c r="P4684">
        <v>1</v>
      </c>
      <c r="Q4684">
        <v>0</v>
      </c>
      <c r="R4684" s="4">
        <v>12.68</v>
      </c>
      <c r="S4684">
        <v>0</v>
      </c>
      <c r="T4684">
        <v>1</v>
      </c>
    </row>
    <row r="4685" spans="1:20" ht="16.5" x14ac:dyDescent="0.3">
      <c r="A4685" t="s">
        <v>4739</v>
      </c>
      <c r="B4685" s="1">
        <v>45938</v>
      </c>
      <c r="C4685">
        <v>2025</v>
      </c>
      <c r="D4685" t="s">
        <v>1873</v>
      </c>
      <c r="E4685" t="s">
        <v>1874</v>
      </c>
      <c r="F4685" t="s">
        <v>30</v>
      </c>
      <c r="G4685" t="s">
        <v>35</v>
      </c>
      <c r="H4685" t="s">
        <v>25</v>
      </c>
      <c r="I4685" t="s">
        <v>40</v>
      </c>
      <c r="J4685" t="s">
        <v>41</v>
      </c>
      <c r="K4685" t="s">
        <v>32</v>
      </c>
      <c r="L4685" s="2">
        <v>8.1</v>
      </c>
      <c r="M4685" s="3">
        <v>900</v>
      </c>
      <c r="N4685">
        <v>2</v>
      </c>
      <c r="O4685">
        <v>1</v>
      </c>
      <c r="P4685">
        <v>1</v>
      </c>
      <c r="Q4685">
        <v>0</v>
      </c>
      <c r="R4685" s="4">
        <v>77.37</v>
      </c>
      <c r="S4685">
        <v>0</v>
      </c>
      <c r="T4685">
        <v>1</v>
      </c>
    </row>
    <row r="4686" spans="1:20" ht="16.5" x14ac:dyDescent="0.3">
      <c r="A4686" t="s">
        <v>4740</v>
      </c>
      <c r="B4686" s="1">
        <v>45938</v>
      </c>
      <c r="C4686">
        <v>2025</v>
      </c>
      <c r="D4686" t="s">
        <v>1873</v>
      </c>
      <c r="E4686" t="s">
        <v>1874</v>
      </c>
      <c r="F4686" t="s">
        <v>23</v>
      </c>
      <c r="G4686" t="s">
        <v>35</v>
      </c>
      <c r="H4686" t="s">
        <v>51</v>
      </c>
      <c r="I4686" t="s">
        <v>26</v>
      </c>
      <c r="J4686" t="s">
        <v>27</v>
      </c>
      <c r="K4686" t="s">
        <v>28</v>
      </c>
      <c r="L4686" s="2">
        <v>93.2</v>
      </c>
      <c r="M4686" s="3">
        <v>914</v>
      </c>
      <c r="N4686">
        <v>5</v>
      </c>
      <c r="O4686">
        <v>5</v>
      </c>
      <c r="P4686">
        <v>1</v>
      </c>
      <c r="Q4686">
        <v>0</v>
      </c>
      <c r="R4686" s="4">
        <v>57.3</v>
      </c>
      <c r="S4686">
        <v>0</v>
      </c>
      <c r="T4686">
        <v>1</v>
      </c>
    </row>
    <row r="4687" spans="1:20" ht="16.5" x14ac:dyDescent="0.3">
      <c r="A4687" t="s">
        <v>4741</v>
      </c>
      <c r="B4687" s="1">
        <v>45938</v>
      </c>
      <c r="C4687">
        <v>2025</v>
      </c>
      <c r="D4687" t="s">
        <v>1873</v>
      </c>
      <c r="E4687" t="s">
        <v>1874</v>
      </c>
      <c r="F4687" t="s">
        <v>38</v>
      </c>
      <c r="G4687" t="s">
        <v>39</v>
      </c>
      <c r="H4687" t="s">
        <v>48</v>
      </c>
      <c r="I4687" t="s">
        <v>26</v>
      </c>
      <c r="J4687" t="s">
        <v>27</v>
      </c>
      <c r="K4687" t="s">
        <v>28</v>
      </c>
      <c r="L4687" s="2">
        <v>119.8</v>
      </c>
      <c r="M4687" s="3">
        <v>474</v>
      </c>
      <c r="N4687">
        <v>4</v>
      </c>
      <c r="O4687">
        <v>4</v>
      </c>
      <c r="P4687">
        <v>1</v>
      </c>
      <c r="Q4687">
        <v>0</v>
      </c>
      <c r="R4687" s="4">
        <v>68.48</v>
      </c>
      <c r="S4687">
        <v>0</v>
      </c>
      <c r="T4687">
        <v>1</v>
      </c>
    </row>
    <row r="4688" spans="1:20" ht="16.5" x14ac:dyDescent="0.3">
      <c r="A4688" t="s">
        <v>4742</v>
      </c>
      <c r="B4688" s="1">
        <v>45938</v>
      </c>
      <c r="C4688">
        <v>2025</v>
      </c>
      <c r="D4688" t="s">
        <v>1873</v>
      </c>
      <c r="E4688" t="s">
        <v>1874</v>
      </c>
      <c r="F4688" t="s">
        <v>38</v>
      </c>
      <c r="G4688" t="s">
        <v>35</v>
      </c>
      <c r="H4688" t="s">
        <v>25</v>
      </c>
      <c r="I4688" t="s">
        <v>31</v>
      </c>
      <c r="J4688" t="s">
        <v>27</v>
      </c>
      <c r="K4688" t="s">
        <v>28</v>
      </c>
      <c r="L4688" s="2">
        <v>45.4</v>
      </c>
      <c r="M4688" s="3">
        <v>950</v>
      </c>
      <c r="N4688">
        <v>6</v>
      </c>
      <c r="O4688">
        <v>6</v>
      </c>
      <c r="P4688">
        <v>1</v>
      </c>
      <c r="Q4688">
        <v>0</v>
      </c>
      <c r="R4688" s="4">
        <v>32.909999999999997</v>
      </c>
      <c r="S4688">
        <v>0</v>
      </c>
      <c r="T4688">
        <v>1</v>
      </c>
    </row>
    <row r="4689" spans="1:20" ht="16.5" x14ac:dyDescent="0.3">
      <c r="A4689" t="s">
        <v>4743</v>
      </c>
      <c r="B4689" s="1">
        <v>45938</v>
      </c>
      <c r="C4689">
        <v>2025</v>
      </c>
      <c r="D4689" t="s">
        <v>1873</v>
      </c>
      <c r="E4689" t="s">
        <v>1874</v>
      </c>
      <c r="F4689" t="s">
        <v>57</v>
      </c>
      <c r="G4689" t="s">
        <v>39</v>
      </c>
      <c r="H4689" t="s">
        <v>25</v>
      </c>
      <c r="I4689" t="s">
        <v>26</v>
      </c>
      <c r="J4689" t="s">
        <v>27</v>
      </c>
      <c r="K4689" t="s">
        <v>32</v>
      </c>
      <c r="L4689" s="2">
        <v>4</v>
      </c>
      <c r="M4689" s="3">
        <v>1083</v>
      </c>
      <c r="N4689">
        <v>4</v>
      </c>
      <c r="O4689">
        <v>4</v>
      </c>
      <c r="P4689">
        <v>1</v>
      </c>
      <c r="Q4689">
        <v>0</v>
      </c>
      <c r="R4689" s="4">
        <v>22.53</v>
      </c>
      <c r="S4689">
        <v>0</v>
      </c>
      <c r="T4689">
        <v>1</v>
      </c>
    </row>
    <row r="4690" spans="1:20" ht="16.5" x14ac:dyDescent="0.3">
      <c r="A4690" t="s">
        <v>4744</v>
      </c>
      <c r="B4690" s="1">
        <v>45938</v>
      </c>
      <c r="C4690">
        <v>2025</v>
      </c>
      <c r="D4690" t="s">
        <v>1873</v>
      </c>
      <c r="E4690" t="s">
        <v>1874</v>
      </c>
      <c r="F4690" t="s">
        <v>57</v>
      </c>
      <c r="G4690" t="s">
        <v>35</v>
      </c>
      <c r="H4690" t="s">
        <v>51</v>
      </c>
      <c r="I4690" t="s">
        <v>26</v>
      </c>
      <c r="J4690" t="s">
        <v>27</v>
      </c>
      <c r="K4690" t="s">
        <v>28</v>
      </c>
      <c r="L4690" s="2">
        <v>37.200000000000003</v>
      </c>
      <c r="M4690" s="3">
        <v>874</v>
      </c>
      <c r="N4690">
        <v>5</v>
      </c>
      <c r="O4690">
        <v>5</v>
      </c>
      <c r="P4690">
        <v>1</v>
      </c>
      <c r="Q4690">
        <v>0</v>
      </c>
      <c r="R4690" s="4">
        <v>34.520000000000003</v>
      </c>
      <c r="S4690">
        <v>0</v>
      </c>
      <c r="T4690">
        <v>1</v>
      </c>
    </row>
    <row r="4691" spans="1:20" ht="16.5" x14ac:dyDescent="0.3">
      <c r="A4691" t="s">
        <v>4745</v>
      </c>
      <c r="B4691" s="1">
        <v>45938</v>
      </c>
      <c r="C4691">
        <v>2025</v>
      </c>
      <c r="D4691" t="s">
        <v>1873</v>
      </c>
      <c r="E4691" t="s">
        <v>1874</v>
      </c>
      <c r="F4691" t="s">
        <v>34</v>
      </c>
      <c r="G4691" t="s">
        <v>39</v>
      </c>
      <c r="H4691" t="s">
        <v>43</v>
      </c>
      <c r="I4691" t="s">
        <v>31</v>
      </c>
      <c r="J4691" t="s">
        <v>27</v>
      </c>
      <c r="K4691" t="s">
        <v>28</v>
      </c>
      <c r="L4691" s="2">
        <v>179.4</v>
      </c>
      <c r="M4691" s="3">
        <v>1389</v>
      </c>
      <c r="N4691">
        <v>7</v>
      </c>
      <c r="O4691">
        <v>10</v>
      </c>
      <c r="P4691">
        <v>0</v>
      </c>
      <c r="Q4691">
        <v>3</v>
      </c>
      <c r="R4691" s="4">
        <v>62.08</v>
      </c>
      <c r="S4691">
        <v>0</v>
      </c>
      <c r="T4691">
        <v>1</v>
      </c>
    </row>
    <row r="4692" spans="1:20" ht="16.5" x14ac:dyDescent="0.3">
      <c r="A4692" t="s">
        <v>4746</v>
      </c>
      <c r="B4692" s="1">
        <v>45938</v>
      </c>
      <c r="C4692">
        <v>2025</v>
      </c>
      <c r="D4692" t="s">
        <v>1873</v>
      </c>
      <c r="E4692" t="s">
        <v>1874</v>
      </c>
      <c r="F4692" t="s">
        <v>57</v>
      </c>
      <c r="G4692" t="s">
        <v>39</v>
      </c>
      <c r="H4692" t="s">
        <v>25</v>
      </c>
      <c r="I4692" t="s">
        <v>40</v>
      </c>
      <c r="J4692" t="s">
        <v>41</v>
      </c>
      <c r="K4692" t="s">
        <v>32</v>
      </c>
      <c r="L4692" s="2">
        <v>9.3000000000000007</v>
      </c>
      <c r="M4692" s="3">
        <v>904</v>
      </c>
      <c r="N4692">
        <v>2</v>
      </c>
      <c r="O4692">
        <v>1</v>
      </c>
      <c r="P4692">
        <v>1</v>
      </c>
      <c r="Q4692">
        <v>0</v>
      </c>
      <c r="R4692" s="4">
        <v>70.95</v>
      </c>
      <c r="S4692">
        <v>0</v>
      </c>
      <c r="T4692">
        <v>1</v>
      </c>
    </row>
    <row r="4693" spans="1:20" ht="16.5" x14ac:dyDescent="0.3">
      <c r="A4693" t="s">
        <v>4747</v>
      </c>
      <c r="B4693" s="1">
        <v>45938</v>
      </c>
      <c r="C4693">
        <v>2025</v>
      </c>
      <c r="D4693" t="s">
        <v>1873</v>
      </c>
      <c r="E4693" t="s">
        <v>1874</v>
      </c>
      <c r="F4693" t="s">
        <v>38</v>
      </c>
      <c r="G4693" t="s">
        <v>39</v>
      </c>
      <c r="H4693" t="s">
        <v>48</v>
      </c>
      <c r="I4693" t="s">
        <v>26</v>
      </c>
      <c r="J4693" t="s">
        <v>27</v>
      </c>
      <c r="K4693" t="s">
        <v>32</v>
      </c>
      <c r="L4693" s="2">
        <v>7.6</v>
      </c>
      <c r="M4693" s="3">
        <v>525</v>
      </c>
      <c r="N4693">
        <v>4</v>
      </c>
      <c r="O4693">
        <v>3</v>
      </c>
      <c r="P4693">
        <v>1</v>
      </c>
      <c r="Q4693">
        <v>0</v>
      </c>
      <c r="R4693" s="4">
        <v>20.85</v>
      </c>
      <c r="S4693">
        <v>0</v>
      </c>
      <c r="T4693">
        <v>1</v>
      </c>
    </row>
    <row r="4694" spans="1:20" ht="16.5" x14ac:dyDescent="0.3">
      <c r="A4694" t="s">
        <v>4748</v>
      </c>
      <c r="B4694" s="1">
        <v>45938</v>
      </c>
      <c r="C4694">
        <v>2025</v>
      </c>
      <c r="D4694" t="s">
        <v>1873</v>
      </c>
      <c r="E4694" t="s">
        <v>1874</v>
      </c>
      <c r="F4694" t="s">
        <v>23</v>
      </c>
      <c r="G4694" t="s">
        <v>35</v>
      </c>
      <c r="H4694" t="s">
        <v>25</v>
      </c>
      <c r="I4694" t="s">
        <v>26</v>
      </c>
      <c r="J4694" t="s">
        <v>27</v>
      </c>
      <c r="K4694" t="s">
        <v>32</v>
      </c>
      <c r="L4694" s="2">
        <v>5.5</v>
      </c>
      <c r="M4694" s="3">
        <v>519</v>
      </c>
      <c r="N4694">
        <v>4</v>
      </c>
      <c r="O4694">
        <v>4</v>
      </c>
      <c r="P4694">
        <v>1</v>
      </c>
      <c r="Q4694">
        <v>0</v>
      </c>
      <c r="R4694" s="4">
        <v>14.8</v>
      </c>
      <c r="S4694">
        <v>0</v>
      </c>
      <c r="T4694">
        <v>1</v>
      </c>
    </row>
    <row r="4695" spans="1:20" ht="16.5" x14ac:dyDescent="0.3">
      <c r="A4695" t="s">
        <v>4749</v>
      </c>
      <c r="B4695" s="1">
        <v>45938</v>
      </c>
      <c r="C4695">
        <v>2025</v>
      </c>
      <c r="D4695" t="s">
        <v>1873</v>
      </c>
      <c r="E4695" t="s">
        <v>1874</v>
      </c>
      <c r="F4695" t="s">
        <v>23</v>
      </c>
      <c r="G4695" t="s">
        <v>35</v>
      </c>
      <c r="H4695" t="s">
        <v>51</v>
      </c>
      <c r="I4695" t="s">
        <v>26</v>
      </c>
      <c r="J4695" t="s">
        <v>27</v>
      </c>
      <c r="K4695" t="s">
        <v>28</v>
      </c>
      <c r="L4695" s="2">
        <v>207.6</v>
      </c>
      <c r="M4695" s="3">
        <v>1262</v>
      </c>
      <c r="N4695">
        <v>5</v>
      </c>
      <c r="O4695">
        <v>4</v>
      </c>
      <c r="P4695">
        <v>1</v>
      </c>
      <c r="Q4695">
        <v>0</v>
      </c>
      <c r="R4695" s="4">
        <v>101.83</v>
      </c>
      <c r="S4695">
        <v>0</v>
      </c>
      <c r="T4695">
        <v>1</v>
      </c>
    </row>
    <row r="4696" spans="1:20" ht="16.5" x14ac:dyDescent="0.3">
      <c r="A4696" t="s">
        <v>4750</v>
      </c>
      <c r="B4696" s="1">
        <v>45939</v>
      </c>
      <c r="C4696">
        <v>2025</v>
      </c>
      <c r="D4696" t="s">
        <v>1873</v>
      </c>
      <c r="E4696" t="s">
        <v>1874</v>
      </c>
      <c r="F4696" t="s">
        <v>23</v>
      </c>
      <c r="G4696" t="s">
        <v>24</v>
      </c>
      <c r="H4696" t="s">
        <v>36</v>
      </c>
      <c r="I4696" t="s">
        <v>26</v>
      </c>
      <c r="J4696" t="s">
        <v>27</v>
      </c>
      <c r="K4696" t="s">
        <v>32</v>
      </c>
      <c r="L4696" s="2">
        <v>7.1</v>
      </c>
      <c r="M4696" s="3">
        <v>332</v>
      </c>
      <c r="N4696">
        <v>3</v>
      </c>
      <c r="O4696">
        <v>3</v>
      </c>
      <c r="P4696">
        <v>1</v>
      </c>
      <c r="Q4696">
        <v>0</v>
      </c>
      <c r="R4696" s="4">
        <v>12.58</v>
      </c>
      <c r="S4696">
        <v>0</v>
      </c>
      <c r="T4696">
        <v>1</v>
      </c>
    </row>
    <row r="4697" spans="1:20" ht="16.5" x14ac:dyDescent="0.3">
      <c r="A4697" t="s">
        <v>4751</v>
      </c>
      <c r="B4697" s="1">
        <v>45939</v>
      </c>
      <c r="C4697">
        <v>2025</v>
      </c>
      <c r="D4697" t="s">
        <v>1873</v>
      </c>
      <c r="E4697" t="s">
        <v>1874</v>
      </c>
      <c r="F4697" t="s">
        <v>38</v>
      </c>
      <c r="G4697" t="s">
        <v>39</v>
      </c>
      <c r="H4697" t="s">
        <v>25</v>
      </c>
      <c r="I4697" t="s">
        <v>26</v>
      </c>
      <c r="J4697" t="s">
        <v>27</v>
      </c>
      <c r="K4697" t="s">
        <v>28</v>
      </c>
      <c r="L4697" s="2">
        <v>113.3</v>
      </c>
      <c r="M4697" s="3">
        <v>857</v>
      </c>
      <c r="N4697">
        <v>4</v>
      </c>
      <c r="O4697">
        <v>4</v>
      </c>
      <c r="P4697">
        <v>1</v>
      </c>
      <c r="Q4697">
        <v>0</v>
      </c>
      <c r="R4697" s="4">
        <v>76.849999999999994</v>
      </c>
      <c r="S4697">
        <v>0</v>
      </c>
      <c r="T4697">
        <v>1</v>
      </c>
    </row>
    <row r="4698" spans="1:20" ht="16.5" x14ac:dyDescent="0.3">
      <c r="A4698" t="s">
        <v>4752</v>
      </c>
      <c r="B4698" s="1">
        <v>45939</v>
      </c>
      <c r="C4698">
        <v>2025</v>
      </c>
      <c r="D4698" t="s">
        <v>1873</v>
      </c>
      <c r="E4698" t="s">
        <v>1874</v>
      </c>
      <c r="F4698" t="s">
        <v>23</v>
      </c>
      <c r="G4698" t="s">
        <v>24</v>
      </c>
      <c r="H4698" t="s">
        <v>36</v>
      </c>
      <c r="I4698" t="s">
        <v>40</v>
      </c>
      <c r="J4698" t="s">
        <v>27</v>
      </c>
      <c r="K4698" t="s">
        <v>32</v>
      </c>
      <c r="L4698" s="2">
        <v>16</v>
      </c>
      <c r="M4698" s="3">
        <v>253</v>
      </c>
      <c r="N4698">
        <v>1</v>
      </c>
      <c r="O4698">
        <v>2</v>
      </c>
      <c r="P4698">
        <v>0</v>
      </c>
      <c r="Q4698">
        <v>1</v>
      </c>
      <c r="R4698" s="4">
        <v>33.29</v>
      </c>
      <c r="S4698">
        <v>0</v>
      </c>
      <c r="T4698">
        <v>1</v>
      </c>
    </row>
    <row r="4699" spans="1:20" ht="16.5" x14ac:dyDescent="0.3">
      <c r="A4699" t="s">
        <v>4753</v>
      </c>
      <c r="B4699" s="1">
        <v>45939</v>
      </c>
      <c r="C4699">
        <v>2025</v>
      </c>
      <c r="D4699" t="s">
        <v>1873</v>
      </c>
      <c r="E4699" t="s">
        <v>1874</v>
      </c>
      <c r="F4699" t="s">
        <v>57</v>
      </c>
      <c r="G4699" t="s">
        <v>35</v>
      </c>
      <c r="H4699" t="s">
        <v>43</v>
      </c>
      <c r="I4699" t="s">
        <v>40</v>
      </c>
      <c r="J4699" t="s">
        <v>41</v>
      </c>
      <c r="K4699" t="s">
        <v>32</v>
      </c>
      <c r="L4699" s="2">
        <v>8.8000000000000007</v>
      </c>
      <c r="M4699" s="3">
        <v>964</v>
      </c>
      <c r="N4699">
        <v>3</v>
      </c>
      <c r="O4699">
        <v>3</v>
      </c>
      <c r="P4699">
        <v>1</v>
      </c>
      <c r="Q4699">
        <v>0</v>
      </c>
      <c r="R4699" s="4">
        <v>72.849999999999994</v>
      </c>
      <c r="S4699">
        <v>0</v>
      </c>
      <c r="T4699">
        <v>1</v>
      </c>
    </row>
    <row r="4700" spans="1:20" ht="16.5" x14ac:dyDescent="0.3">
      <c r="A4700" t="s">
        <v>4754</v>
      </c>
      <c r="B4700" s="1">
        <v>45939</v>
      </c>
      <c r="C4700">
        <v>2025</v>
      </c>
      <c r="D4700" t="s">
        <v>1873</v>
      </c>
      <c r="E4700" t="s">
        <v>1874</v>
      </c>
      <c r="F4700" t="s">
        <v>23</v>
      </c>
      <c r="G4700" t="s">
        <v>35</v>
      </c>
      <c r="H4700" t="s">
        <v>51</v>
      </c>
      <c r="I4700" t="s">
        <v>31</v>
      </c>
      <c r="J4700" t="s">
        <v>27</v>
      </c>
      <c r="K4700" t="s">
        <v>32</v>
      </c>
      <c r="L4700" s="2">
        <v>3.1</v>
      </c>
      <c r="M4700" s="3">
        <v>1065</v>
      </c>
      <c r="N4700">
        <v>7</v>
      </c>
      <c r="O4700">
        <v>7</v>
      </c>
      <c r="P4700">
        <v>1</v>
      </c>
      <c r="Q4700">
        <v>0</v>
      </c>
      <c r="R4700" s="4">
        <v>14.6</v>
      </c>
      <c r="S4700">
        <v>0</v>
      </c>
      <c r="T4700">
        <v>1</v>
      </c>
    </row>
    <row r="4701" spans="1:20" ht="16.5" x14ac:dyDescent="0.3">
      <c r="A4701" t="s">
        <v>4755</v>
      </c>
      <c r="B4701" s="1">
        <v>45939</v>
      </c>
      <c r="C4701">
        <v>2025</v>
      </c>
      <c r="D4701" t="s">
        <v>1873</v>
      </c>
      <c r="E4701" t="s">
        <v>1874</v>
      </c>
      <c r="F4701" t="s">
        <v>57</v>
      </c>
      <c r="G4701" t="s">
        <v>24</v>
      </c>
      <c r="H4701" t="s">
        <v>36</v>
      </c>
      <c r="I4701" t="s">
        <v>40</v>
      </c>
      <c r="J4701" t="s">
        <v>27</v>
      </c>
      <c r="K4701" t="s">
        <v>28</v>
      </c>
      <c r="L4701" s="2">
        <v>132.69999999999999</v>
      </c>
      <c r="M4701" s="3">
        <v>261</v>
      </c>
      <c r="N4701">
        <v>1</v>
      </c>
      <c r="O4701">
        <v>1</v>
      </c>
      <c r="P4701">
        <v>1</v>
      </c>
      <c r="Q4701">
        <v>0</v>
      </c>
      <c r="R4701" s="4">
        <v>121.14</v>
      </c>
      <c r="S4701">
        <v>0</v>
      </c>
      <c r="T4701">
        <v>1</v>
      </c>
    </row>
    <row r="4702" spans="1:20" ht="16.5" x14ac:dyDescent="0.3">
      <c r="A4702" t="s">
        <v>4756</v>
      </c>
      <c r="B4702" s="1">
        <v>45939</v>
      </c>
      <c r="C4702">
        <v>2025</v>
      </c>
      <c r="D4702" t="s">
        <v>1873</v>
      </c>
      <c r="E4702" t="s">
        <v>1874</v>
      </c>
      <c r="F4702" t="s">
        <v>23</v>
      </c>
      <c r="G4702" t="s">
        <v>39</v>
      </c>
      <c r="H4702" t="s">
        <v>48</v>
      </c>
      <c r="I4702" t="s">
        <v>40</v>
      </c>
      <c r="J4702" t="s">
        <v>27</v>
      </c>
      <c r="K4702" t="s">
        <v>32</v>
      </c>
      <c r="L4702" s="2">
        <v>10.6</v>
      </c>
      <c r="M4702" s="3">
        <v>579</v>
      </c>
      <c r="N4702">
        <v>2</v>
      </c>
      <c r="O4702">
        <v>1</v>
      </c>
      <c r="P4702">
        <v>1</v>
      </c>
      <c r="Q4702">
        <v>0</v>
      </c>
      <c r="R4702" s="4">
        <v>39.479999999999997</v>
      </c>
      <c r="S4702">
        <v>0</v>
      </c>
      <c r="T4702">
        <v>1</v>
      </c>
    </row>
    <row r="4703" spans="1:20" ht="16.5" x14ac:dyDescent="0.3">
      <c r="A4703" t="s">
        <v>4757</v>
      </c>
      <c r="B4703" s="1">
        <v>45939</v>
      </c>
      <c r="C4703">
        <v>2025</v>
      </c>
      <c r="D4703" t="s">
        <v>1873</v>
      </c>
      <c r="E4703" t="s">
        <v>1874</v>
      </c>
      <c r="F4703" t="s">
        <v>30</v>
      </c>
      <c r="G4703" t="s">
        <v>39</v>
      </c>
      <c r="H4703" t="s">
        <v>48</v>
      </c>
      <c r="I4703" t="s">
        <v>31</v>
      </c>
      <c r="J4703" t="s">
        <v>27</v>
      </c>
      <c r="K4703" t="s">
        <v>32</v>
      </c>
      <c r="L4703" s="2">
        <v>23</v>
      </c>
      <c r="M4703" s="3">
        <v>393</v>
      </c>
      <c r="N4703">
        <v>6</v>
      </c>
      <c r="O4703">
        <v>5</v>
      </c>
      <c r="P4703">
        <v>1</v>
      </c>
      <c r="Q4703">
        <v>0</v>
      </c>
      <c r="R4703" s="4">
        <v>17.55</v>
      </c>
      <c r="S4703">
        <v>0</v>
      </c>
      <c r="T4703">
        <v>1</v>
      </c>
    </row>
    <row r="4704" spans="1:20" ht="16.5" x14ac:dyDescent="0.3">
      <c r="A4704" t="s">
        <v>4758</v>
      </c>
      <c r="B4704" s="1">
        <v>45939</v>
      </c>
      <c r="C4704">
        <v>2025</v>
      </c>
      <c r="D4704" t="s">
        <v>1873</v>
      </c>
      <c r="E4704" t="s">
        <v>1874</v>
      </c>
      <c r="F4704" t="s">
        <v>57</v>
      </c>
      <c r="G4704" t="s">
        <v>39</v>
      </c>
      <c r="H4704" t="s">
        <v>36</v>
      </c>
      <c r="I4704" t="s">
        <v>40</v>
      </c>
      <c r="J4704" t="s">
        <v>27</v>
      </c>
      <c r="K4704" t="s">
        <v>32</v>
      </c>
      <c r="L4704" s="2">
        <v>5.4</v>
      </c>
      <c r="M4704" s="3">
        <v>268</v>
      </c>
      <c r="N4704">
        <v>1</v>
      </c>
      <c r="O4704">
        <v>1</v>
      </c>
      <c r="P4704">
        <v>1</v>
      </c>
      <c r="Q4704">
        <v>0</v>
      </c>
      <c r="R4704" s="4">
        <v>25.04</v>
      </c>
      <c r="S4704">
        <v>0</v>
      </c>
      <c r="T4704">
        <v>1</v>
      </c>
    </row>
    <row r="4705" spans="1:20" ht="16.5" x14ac:dyDescent="0.3">
      <c r="A4705" t="s">
        <v>4759</v>
      </c>
      <c r="B4705" s="1">
        <v>45940</v>
      </c>
      <c r="C4705">
        <v>2025</v>
      </c>
      <c r="D4705" t="s">
        <v>1873</v>
      </c>
      <c r="E4705" t="s">
        <v>1874</v>
      </c>
      <c r="F4705" t="s">
        <v>38</v>
      </c>
      <c r="G4705" t="s">
        <v>35</v>
      </c>
      <c r="H4705" t="s">
        <v>25</v>
      </c>
      <c r="I4705" t="s">
        <v>26</v>
      </c>
      <c r="J4705" t="s">
        <v>27</v>
      </c>
      <c r="K4705" t="s">
        <v>32</v>
      </c>
      <c r="L4705" s="2">
        <v>20.5</v>
      </c>
      <c r="M4705" s="3">
        <v>865</v>
      </c>
      <c r="N4705">
        <v>4</v>
      </c>
      <c r="O4705">
        <v>3</v>
      </c>
      <c r="P4705">
        <v>1</v>
      </c>
      <c r="Q4705">
        <v>0</v>
      </c>
      <c r="R4705" s="4">
        <v>29.57</v>
      </c>
      <c r="S4705">
        <v>0</v>
      </c>
      <c r="T4705">
        <v>1</v>
      </c>
    </row>
    <row r="4706" spans="1:20" ht="16.5" x14ac:dyDescent="0.3">
      <c r="A4706" t="s">
        <v>4760</v>
      </c>
      <c r="B4706" s="1">
        <v>45940</v>
      </c>
      <c r="C4706">
        <v>2025</v>
      </c>
      <c r="D4706" t="s">
        <v>1873</v>
      </c>
      <c r="E4706" t="s">
        <v>1874</v>
      </c>
      <c r="F4706" t="s">
        <v>23</v>
      </c>
      <c r="G4706" t="s">
        <v>39</v>
      </c>
      <c r="H4706" t="s">
        <v>25</v>
      </c>
      <c r="I4706" t="s">
        <v>31</v>
      </c>
      <c r="J4706" t="s">
        <v>27</v>
      </c>
      <c r="K4706" t="s">
        <v>28</v>
      </c>
      <c r="L4706" s="2">
        <v>32.700000000000003</v>
      </c>
      <c r="M4706" s="3">
        <v>1108</v>
      </c>
      <c r="N4706">
        <v>6</v>
      </c>
      <c r="O4706">
        <v>5</v>
      </c>
      <c r="P4706">
        <v>1</v>
      </c>
      <c r="Q4706">
        <v>0</v>
      </c>
      <c r="R4706" s="4">
        <v>24.92</v>
      </c>
      <c r="S4706">
        <v>0</v>
      </c>
      <c r="T4706">
        <v>1</v>
      </c>
    </row>
    <row r="4707" spans="1:20" ht="16.5" x14ac:dyDescent="0.3">
      <c r="A4707" t="s">
        <v>4761</v>
      </c>
      <c r="B4707" s="1">
        <v>45940</v>
      </c>
      <c r="C4707">
        <v>2025</v>
      </c>
      <c r="D4707" t="s">
        <v>1873</v>
      </c>
      <c r="E4707" t="s">
        <v>1874</v>
      </c>
      <c r="F4707" t="s">
        <v>57</v>
      </c>
      <c r="G4707" t="s">
        <v>24</v>
      </c>
      <c r="H4707" t="s">
        <v>48</v>
      </c>
      <c r="I4707" t="s">
        <v>26</v>
      </c>
      <c r="J4707" t="s">
        <v>27</v>
      </c>
      <c r="K4707" t="s">
        <v>32</v>
      </c>
      <c r="L4707" s="2">
        <v>2.7</v>
      </c>
      <c r="M4707" s="3">
        <v>542</v>
      </c>
      <c r="N4707">
        <v>4</v>
      </c>
      <c r="O4707">
        <v>4</v>
      </c>
      <c r="P4707">
        <v>1</v>
      </c>
      <c r="Q4707">
        <v>0</v>
      </c>
      <c r="R4707" s="4">
        <v>14.55</v>
      </c>
      <c r="S4707">
        <v>0</v>
      </c>
      <c r="T4707">
        <v>1</v>
      </c>
    </row>
    <row r="4708" spans="1:20" ht="16.5" x14ac:dyDescent="0.3">
      <c r="A4708" t="s">
        <v>4762</v>
      </c>
      <c r="B4708" s="1">
        <v>45940</v>
      </c>
      <c r="C4708">
        <v>2025</v>
      </c>
      <c r="D4708" t="s">
        <v>1873</v>
      </c>
      <c r="E4708" t="s">
        <v>1874</v>
      </c>
      <c r="F4708" t="s">
        <v>34</v>
      </c>
      <c r="G4708" t="s">
        <v>24</v>
      </c>
      <c r="H4708" t="s">
        <v>51</v>
      </c>
      <c r="I4708" t="s">
        <v>40</v>
      </c>
      <c r="J4708" t="s">
        <v>41</v>
      </c>
      <c r="K4708" t="s">
        <v>32</v>
      </c>
      <c r="L4708" s="2">
        <v>1.8</v>
      </c>
      <c r="M4708" s="3">
        <v>1157</v>
      </c>
      <c r="N4708">
        <v>3</v>
      </c>
      <c r="O4708">
        <v>2</v>
      </c>
      <c r="P4708">
        <v>1</v>
      </c>
      <c r="Q4708">
        <v>0</v>
      </c>
      <c r="R4708" s="4">
        <v>54.5</v>
      </c>
      <c r="S4708">
        <v>1</v>
      </c>
      <c r="T4708">
        <v>1</v>
      </c>
    </row>
    <row r="4709" spans="1:20" ht="16.5" x14ac:dyDescent="0.3">
      <c r="A4709" t="s">
        <v>4763</v>
      </c>
      <c r="B4709" s="1">
        <v>45940</v>
      </c>
      <c r="C4709">
        <v>2025</v>
      </c>
      <c r="D4709" t="s">
        <v>1873</v>
      </c>
      <c r="E4709" t="s">
        <v>1874</v>
      </c>
      <c r="F4709" t="s">
        <v>57</v>
      </c>
      <c r="G4709" t="s">
        <v>39</v>
      </c>
      <c r="H4709" t="s">
        <v>43</v>
      </c>
      <c r="I4709" t="s">
        <v>31</v>
      </c>
      <c r="J4709" t="s">
        <v>27</v>
      </c>
      <c r="K4709" t="s">
        <v>28</v>
      </c>
      <c r="L4709" s="2">
        <v>173.6</v>
      </c>
      <c r="M4709" s="3">
        <v>1286</v>
      </c>
      <c r="N4709">
        <v>7</v>
      </c>
      <c r="O4709">
        <v>7</v>
      </c>
      <c r="P4709">
        <v>1</v>
      </c>
      <c r="Q4709">
        <v>0</v>
      </c>
      <c r="R4709" s="4">
        <v>74.739999999999995</v>
      </c>
      <c r="S4709">
        <v>0</v>
      </c>
      <c r="T4709">
        <v>1</v>
      </c>
    </row>
    <row r="4710" spans="1:20" ht="16.5" x14ac:dyDescent="0.3">
      <c r="A4710" t="s">
        <v>4764</v>
      </c>
      <c r="B4710" s="1">
        <v>45940</v>
      </c>
      <c r="C4710">
        <v>2025</v>
      </c>
      <c r="D4710" t="s">
        <v>1873</v>
      </c>
      <c r="E4710" t="s">
        <v>1874</v>
      </c>
      <c r="F4710" t="s">
        <v>57</v>
      </c>
      <c r="G4710" t="s">
        <v>39</v>
      </c>
      <c r="H4710" t="s">
        <v>36</v>
      </c>
      <c r="I4710" t="s">
        <v>31</v>
      </c>
      <c r="J4710" t="s">
        <v>27</v>
      </c>
      <c r="K4710" t="s">
        <v>32</v>
      </c>
      <c r="L4710" s="2">
        <v>2</v>
      </c>
      <c r="M4710" s="3">
        <v>285</v>
      </c>
      <c r="N4710">
        <v>5</v>
      </c>
      <c r="O4710">
        <v>5</v>
      </c>
      <c r="P4710">
        <v>1</v>
      </c>
      <c r="Q4710">
        <v>0</v>
      </c>
      <c r="R4710" s="4">
        <v>8.39</v>
      </c>
      <c r="S4710">
        <v>0</v>
      </c>
      <c r="T4710">
        <v>1</v>
      </c>
    </row>
    <row r="4711" spans="1:20" ht="16.5" x14ac:dyDescent="0.3">
      <c r="A4711" t="s">
        <v>4765</v>
      </c>
      <c r="B4711" s="1">
        <v>45940</v>
      </c>
      <c r="C4711">
        <v>2025</v>
      </c>
      <c r="D4711" t="s">
        <v>1873</v>
      </c>
      <c r="E4711" t="s">
        <v>1874</v>
      </c>
      <c r="F4711" t="s">
        <v>34</v>
      </c>
      <c r="G4711" t="s">
        <v>35</v>
      </c>
      <c r="H4711" t="s">
        <v>36</v>
      </c>
      <c r="I4711" t="s">
        <v>26</v>
      </c>
      <c r="J4711" t="s">
        <v>27</v>
      </c>
      <c r="K4711" t="s">
        <v>28</v>
      </c>
      <c r="L4711" s="2">
        <v>282.39999999999998</v>
      </c>
      <c r="M4711" s="3">
        <v>221</v>
      </c>
      <c r="N4711">
        <v>3</v>
      </c>
      <c r="O4711">
        <v>5</v>
      </c>
      <c r="P4711">
        <v>0</v>
      </c>
      <c r="Q4711">
        <v>2</v>
      </c>
      <c r="R4711" s="4">
        <v>103.55</v>
      </c>
      <c r="S4711">
        <v>0</v>
      </c>
      <c r="T4711">
        <v>1</v>
      </c>
    </row>
    <row r="4712" spans="1:20" ht="16.5" x14ac:dyDescent="0.3">
      <c r="A4712" t="s">
        <v>4766</v>
      </c>
      <c r="B4712" s="1">
        <v>45940</v>
      </c>
      <c r="C4712">
        <v>2025</v>
      </c>
      <c r="D4712" t="s">
        <v>1873</v>
      </c>
      <c r="E4712" t="s">
        <v>1874</v>
      </c>
      <c r="F4712" t="s">
        <v>30</v>
      </c>
      <c r="G4712" t="s">
        <v>24</v>
      </c>
      <c r="H4712" t="s">
        <v>36</v>
      </c>
      <c r="I4712" t="s">
        <v>26</v>
      </c>
      <c r="J4712" t="s">
        <v>27</v>
      </c>
      <c r="K4712" t="s">
        <v>28</v>
      </c>
      <c r="L4712" s="2">
        <v>181.6</v>
      </c>
      <c r="M4712" s="3">
        <v>281</v>
      </c>
      <c r="N4712">
        <v>3</v>
      </c>
      <c r="O4712">
        <v>5</v>
      </c>
      <c r="P4712">
        <v>0</v>
      </c>
      <c r="Q4712">
        <v>2</v>
      </c>
      <c r="R4712" s="4">
        <v>81.98</v>
      </c>
      <c r="S4712">
        <v>0</v>
      </c>
      <c r="T4712">
        <v>1</v>
      </c>
    </row>
    <row r="4713" spans="1:20" ht="16.5" x14ac:dyDescent="0.3">
      <c r="A4713" t="s">
        <v>4767</v>
      </c>
      <c r="B4713" s="1">
        <v>45940</v>
      </c>
      <c r="C4713">
        <v>2025</v>
      </c>
      <c r="D4713" t="s">
        <v>1873</v>
      </c>
      <c r="E4713" t="s">
        <v>1874</v>
      </c>
      <c r="F4713" t="s">
        <v>38</v>
      </c>
      <c r="G4713" t="s">
        <v>35</v>
      </c>
      <c r="H4713" t="s">
        <v>51</v>
      </c>
      <c r="I4713" t="s">
        <v>40</v>
      </c>
      <c r="J4713" t="s">
        <v>41</v>
      </c>
      <c r="K4713" t="s">
        <v>32</v>
      </c>
      <c r="L4713" s="2">
        <v>4</v>
      </c>
      <c r="M4713" s="3">
        <v>861</v>
      </c>
      <c r="N4713">
        <v>3</v>
      </c>
      <c r="O4713">
        <v>3</v>
      </c>
      <c r="P4713">
        <v>1</v>
      </c>
      <c r="Q4713">
        <v>0</v>
      </c>
      <c r="R4713" s="4">
        <v>63.83</v>
      </c>
      <c r="S4713">
        <v>0</v>
      </c>
      <c r="T4713">
        <v>1</v>
      </c>
    </row>
    <row r="4714" spans="1:20" ht="16.5" x14ac:dyDescent="0.3">
      <c r="A4714" t="s">
        <v>4768</v>
      </c>
      <c r="B4714" s="1">
        <v>45940</v>
      </c>
      <c r="C4714">
        <v>2025</v>
      </c>
      <c r="D4714" t="s">
        <v>1873</v>
      </c>
      <c r="E4714" t="s">
        <v>1874</v>
      </c>
      <c r="F4714" t="s">
        <v>38</v>
      </c>
      <c r="G4714" t="s">
        <v>39</v>
      </c>
      <c r="H4714" t="s">
        <v>43</v>
      </c>
      <c r="I4714" t="s">
        <v>26</v>
      </c>
      <c r="J4714" t="s">
        <v>27</v>
      </c>
      <c r="K4714" t="s">
        <v>28</v>
      </c>
      <c r="L4714" s="2">
        <v>174.1</v>
      </c>
      <c r="M4714" s="3">
        <v>1165</v>
      </c>
      <c r="N4714">
        <v>5</v>
      </c>
      <c r="O4714">
        <v>5</v>
      </c>
      <c r="P4714">
        <v>1</v>
      </c>
      <c r="Q4714">
        <v>0</v>
      </c>
      <c r="R4714" s="4">
        <v>104.32</v>
      </c>
      <c r="S4714">
        <v>0</v>
      </c>
      <c r="T4714">
        <v>1</v>
      </c>
    </row>
    <row r="4715" spans="1:20" ht="16.5" x14ac:dyDescent="0.3">
      <c r="A4715" t="s">
        <v>4769</v>
      </c>
      <c r="B4715" s="1">
        <v>45940</v>
      </c>
      <c r="C4715">
        <v>2025</v>
      </c>
      <c r="D4715" t="s">
        <v>1873</v>
      </c>
      <c r="E4715" t="s">
        <v>1874</v>
      </c>
      <c r="F4715" t="s">
        <v>34</v>
      </c>
      <c r="G4715" t="s">
        <v>39</v>
      </c>
      <c r="H4715" t="s">
        <v>36</v>
      </c>
      <c r="I4715" t="s">
        <v>26</v>
      </c>
      <c r="J4715" t="s">
        <v>27</v>
      </c>
      <c r="K4715" t="s">
        <v>32</v>
      </c>
      <c r="L4715" s="2">
        <v>4.7</v>
      </c>
      <c r="M4715" s="3">
        <v>236</v>
      </c>
      <c r="N4715">
        <v>3</v>
      </c>
      <c r="O4715">
        <v>3</v>
      </c>
      <c r="P4715">
        <v>1</v>
      </c>
      <c r="Q4715">
        <v>0</v>
      </c>
      <c r="R4715" s="4">
        <v>10.84</v>
      </c>
      <c r="S4715">
        <v>0</v>
      </c>
      <c r="T4715">
        <v>1</v>
      </c>
    </row>
    <row r="4716" spans="1:20" ht="16.5" x14ac:dyDescent="0.3">
      <c r="A4716" t="s">
        <v>4770</v>
      </c>
      <c r="B4716" s="1">
        <v>45941</v>
      </c>
      <c r="C4716">
        <v>2025</v>
      </c>
      <c r="D4716" t="s">
        <v>1873</v>
      </c>
      <c r="E4716" t="s">
        <v>1874</v>
      </c>
      <c r="F4716" t="s">
        <v>57</v>
      </c>
      <c r="G4716" t="s">
        <v>35</v>
      </c>
      <c r="H4716" t="s">
        <v>25</v>
      </c>
      <c r="I4716" t="s">
        <v>31</v>
      </c>
      <c r="J4716" t="s">
        <v>27</v>
      </c>
      <c r="K4716" t="s">
        <v>32</v>
      </c>
      <c r="L4716" s="2">
        <v>10.6</v>
      </c>
      <c r="M4716" s="3">
        <v>950</v>
      </c>
      <c r="N4716">
        <v>6</v>
      </c>
      <c r="O4716">
        <v>6</v>
      </c>
      <c r="P4716">
        <v>1</v>
      </c>
      <c r="Q4716">
        <v>0</v>
      </c>
      <c r="R4716" s="4">
        <v>15.51</v>
      </c>
      <c r="S4716">
        <v>0</v>
      </c>
      <c r="T4716">
        <v>1</v>
      </c>
    </row>
    <row r="4717" spans="1:20" ht="16.5" x14ac:dyDescent="0.3">
      <c r="A4717" t="s">
        <v>4771</v>
      </c>
      <c r="B4717" s="1">
        <v>45941</v>
      </c>
      <c r="C4717">
        <v>2025</v>
      </c>
      <c r="D4717" t="s">
        <v>1873</v>
      </c>
      <c r="E4717" t="s">
        <v>1874</v>
      </c>
      <c r="F4717" t="s">
        <v>57</v>
      </c>
      <c r="G4717" t="s">
        <v>39</v>
      </c>
      <c r="H4717" t="s">
        <v>43</v>
      </c>
      <c r="I4717" t="s">
        <v>26</v>
      </c>
      <c r="J4717" t="s">
        <v>27</v>
      </c>
      <c r="K4717" t="s">
        <v>32</v>
      </c>
      <c r="L4717" s="2">
        <v>3.6</v>
      </c>
      <c r="M4717" s="3">
        <v>1086</v>
      </c>
      <c r="N4717">
        <v>5</v>
      </c>
      <c r="O4717">
        <v>7</v>
      </c>
      <c r="P4717">
        <v>0</v>
      </c>
      <c r="Q4717">
        <v>2</v>
      </c>
      <c r="R4717" s="4">
        <v>21.08</v>
      </c>
      <c r="S4717">
        <v>0</v>
      </c>
      <c r="T4717">
        <v>1</v>
      </c>
    </row>
    <row r="4718" spans="1:20" ht="16.5" x14ac:dyDescent="0.3">
      <c r="A4718" t="s">
        <v>4772</v>
      </c>
      <c r="B4718" s="1">
        <v>45941</v>
      </c>
      <c r="C4718">
        <v>2025</v>
      </c>
      <c r="D4718" t="s">
        <v>1873</v>
      </c>
      <c r="E4718" t="s">
        <v>1874</v>
      </c>
      <c r="F4718" t="s">
        <v>38</v>
      </c>
      <c r="G4718" t="s">
        <v>24</v>
      </c>
      <c r="H4718" t="s">
        <v>36</v>
      </c>
      <c r="I4718" t="s">
        <v>26</v>
      </c>
      <c r="J4718" t="s">
        <v>27</v>
      </c>
      <c r="K4718" t="s">
        <v>32</v>
      </c>
      <c r="L4718" s="2">
        <v>10.1</v>
      </c>
      <c r="M4718" s="3">
        <v>279</v>
      </c>
      <c r="N4718">
        <v>3</v>
      </c>
      <c r="O4718">
        <v>2</v>
      </c>
      <c r="P4718">
        <v>1</v>
      </c>
      <c r="Q4718">
        <v>0</v>
      </c>
      <c r="R4718" s="4">
        <v>17.690000000000001</v>
      </c>
      <c r="S4718">
        <v>0</v>
      </c>
      <c r="T4718">
        <v>1</v>
      </c>
    </row>
    <row r="4719" spans="1:20" ht="16.5" x14ac:dyDescent="0.3">
      <c r="A4719" t="s">
        <v>4773</v>
      </c>
      <c r="B4719" s="1">
        <v>45941</v>
      </c>
      <c r="C4719">
        <v>2025</v>
      </c>
      <c r="D4719" t="s">
        <v>1873</v>
      </c>
      <c r="E4719" t="s">
        <v>1874</v>
      </c>
      <c r="F4719" t="s">
        <v>57</v>
      </c>
      <c r="G4719" t="s">
        <v>39</v>
      </c>
      <c r="H4719" t="s">
        <v>48</v>
      </c>
      <c r="I4719" t="s">
        <v>26</v>
      </c>
      <c r="J4719" t="s">
        <v>27</v>
      </c>
      <c r="K4719" t="s">
        <v>32</v>
      </c>
      <c r="L4719" s="2">
        <v>5.2</v>
      </c>
      <c r="M4719" s="3">
        <v>555</v>
      </c>
      <c r="N4719">
        <v>4</v>
      </c>
      <c r="O4719">
        <v>4</v>
      </c>
      <c r="P4719">
        <v>1</v>
      </c>
      <c r="Q4719">
        <v>0</v>
      </c>
      <c r="R4719" s="4">
        <v>16.829999999999998</v>
      </c>
      <c r="S4719">
        <v>0</v>
      </c>
      <c r="T4719">
        <v>1</v>
      </c>
    </row>
    <row r="4720" spans="1:20" ht="16.5" x14ac:dyDescent="0.3">
      <c r="A4720" t="s">
        <v>4774</v>
      </c>
      <c r="B4720" s="1">
        <v>45941</v>
      </c>
      <c r="C4720">
        <v>2025</v>
      </c>
      <c r="D4720" t="s">
        <v>1873</v>
      </c>
      <c r="E4720" t="s">
        <v>1874</v>
      </c>
      <c r="F4720" t="s">
        <v>23</v>
      </c>
      <c r="G4720" t="s">
        <v>39</v>
      </c>
      <c r="H4720" t="s">
        <v>36</v>
      </c>
      <c r="I4720" t="s">
        <v>26</v>
      </c>
      <c r="J4720" t="s">
        <v>27</v>
      </c>
      <c r="K4720" t="s">
        <v>28</v>
      </c>
      <c r="L4720" s="2">
        <v>48.5</v>
      </c>
      <c r="M4720" s="3">
        <v>215</v>
      </c>
      <c r="N4720">
        <v>3</v>
      </c>
      <c r="O4720">
        <v>3</v>
      </c>
      <c r="P4720">
        <v>1</v>
      </c>
      <c r="Q4720">
        <v>0</v>
      </c>
      <c r="R4720" s="4">
        <v>32.36</v>
      </c>
      <c r="S4720">
        <v>0</v>
      </c>
      <c r="T4720">
        <v>1</v>
      </c>
    </row>
    <row r="4721" spans="1:20" ht="16.5" x14ac:dyDescent="0.3">
      <c r="A4721" t="s">
        <v>4775</v>
      </c>
      <c r="B4721" s="1">
        <v>45941</v>
      </c>
      <c r="C4721">
        <v>2025</v>
      </c>
      <c r="D4721" t="s">
        <v>1873</v>
      </c>
      <c r="E4721" t="s">
        <v>1874</v>
      </c>
      <c r="F4721" t="s">
        <v>57</v>
      </c>
      <c r="G4721" t="s">
        <v>39</v>
      </c>
      <c r="H4721" t="s">
        <v>25</v>
      </c>
      <c r="I4721" t="s">
        <v>31</v>
      </c>
      <c r="J4721" t="s">
        <v>27</v>
      </c>
      <c r="K4721" t="s">
        <v>32</v>
      </c>
      <c r="L4721" s="2">
        <v>15.7</v>
      </c>
      <c r="M4721" s="3">
        <v>999</v>
      </c>
      <c r="N4721">
        <v>6</v>
      </c>
      <c r="O4721">
        <v>6</v>
      </c>
      <c r="P4721">
        <v>1</v>
      </c>
      <c r="Q4721">
        <v>0</v>
      </c>
      <c r="R4721" s="4">
        <v>20.84</v>
      </c>
      <c r="S4721">
        <v>0</v>
      </c>
      <c r="T4721">
        <v>1</v>
      </c>
    </row>
    <row r="4722" spans="1:20" ht="16.5" x14ac:dyDescent="0.3">
      <c r="A4722" t="s">
        <v>4776</v>
      </c>
      <c r="B4722" s="1">
        <v>45941</v>
      </c>
      <c r="C4722">
        <v>2025</v>
      </c>
      <c r="D4722" t="s">
        <v>1873</v>
      </c>
      <c r="E4722" t="s">
        <v>1874</v>
      </c>
      <c r="F4722" t="s">
        <v>23</v>
      </c>
      <c r="G4722" t="s">
        <v>35</v>
      </c>
      <c r="H4722" t="s">
        <v>48</v>
      </c>
      <c r="I4722" t="s">
        <v>40</v>
      </c>
      <c r="J4722" t="s">
        <v>27</v>
      </c>
      <c r="K4722" t="s">
        <v>28</v>
      </c>
      <c r="L4722" s="2">
        <v>173.6</v>
      </c>
      <c r="M4722" s="3">
        <v>476</v>
      </c>
      <c r="N4722">
        <v>2</v>
      </c>
      <c r="O4722">
        <v>2</v>
      </c>
      <c r="P4722">
        <v>1</v>
      </c>
      <c r="Q4722">
        <v>0</v>
      </c>
      <c r="R4722" s="4">
        <v>155.61000000000001</v>
      </c>
      <c r="S4722">
        <v>0</v>
      </c>
      <c r="T4722">
        <v>1</v>
      </c>
    </row>
    <row r="4723" spans="1:20" ht="16.5" x14ac:dyDescent="0.3">
      <c r="A4723" t="s">
        <v>4777</v>
      </c>
      <c r="B4723" s="1">
        <v>45942</v>
      </c>
      <c r="C4723">
        <v>2025</v>
      </c>
      <c r="D4723" t="s">
        <v>1873</v>
      </c>
      <c r="E4723" t="s">
        <v>1874</v>
      </c>
      <c r="F4723" t="s">
        <v>30</v>
      </c>
      <c r="G4723" t="s">
        <v>24</v>
      </c>
      <c r="H4723" t="s">
        <v>25</v>
      </c>
      <c r="I4723" t="s">
        <v>26</v>
      </c>
      <c r="J4723" t="s">
        <v>27</v>
      </c>
      <c r="K4723" t="s">
        <v>28</v>
      </c>
      <c r="L4723" s="2">
        <v>135.19999999999999</v>
      </c>
      <c r="M4723" s="3">
        <v>768</v>
      </c>
      <c r="N4723">
        <v>4</v>
      </c>
      <c r="O4723">
        <v>4</v>
      </c>
      <c r="P4723">
        <v>1</v>
      </c>
      <c r="Q4723">
        <v>0</v>
      </c>
      <c r="R4723" s="4">
        <v>76.97</v>
      </c>
      <c r="S4723">
        <v>0</v>
      </c>
      <c r="T4723">
        <v>1</v>
      </c>
    </row>
    <row r="4724" spans="1:20" ht="16.5" x14ac:dyDescent="0.3">
      <c r="A4724" t="s">
        <v>4778</v>
      </c>
      <c r="B4724" s="1">
        <v>45942</v>
      </c>
      <c r="C4724">
        <v>2025</v>
      </c>
      <c r="D4724" t="s">
        <v>1873</v>
      </c>
      <c r="E4724" t="s">
        <v>1874</v>
      </c>
      <c r="F4724" t="s">
        <v>23</v>
      </c>
      <c r="G4724" t="s">
        <v>39</v>
      </c>
      <c r="H4724" t="s">
        <v>25</v>
      </c>
      <c r="I4724" t="s">
        <v>26</v>
      </c>
      <c r="J4724" t="s">
        <v>27</v>
      </c>
      <c r="K4724" t="s">
        <v>28</v>
      </c>
      <c r="L4724" s="2">
        <v>367.2</v>
      </c>
      <c r="M4724" s="3">
        <v>1112</v>
      </c>
      <c r="N4724">
        <v>4</v>
      </c>
      <c r="O4724">
        <v>4</v>
      </c>
      <c r="P4724">
        <v>1</v>
      </c>
      <c r="Q4724">
        <v>0</v>
      </c>
      <c r="R4724" s="4">
        <v>157.03</v>
      </c>
      <c r="S4724">
        <v>0</v>
      </c>
      <c r="T4724">
        <v>1</v>
      </c>
    </row>
    <row r="4725" spans="1:20" ht="16.5" x14ac:dyDescent="0.3">
      <c r="A4725" t="s">
        <v>4779</v>
      </c>
      <c r="B4725" s="1">
        <v>45942</v>
      </c>
      <c r="C4725">
        <v>2025</v>
      </c>
      <c r="D4725" t="s">
        <v>1873</v>
      </c>
      <c r="E4725" t="s">
        <v>1874</v>
      </c>
      <c r="F4725" t="s">
        <v>57</v>
      </c>
      <c r="G4725" t="s">
        <v>39</v>
      </c>
      <c r="H4725" t="s">
        <v>43</v>
      </c>
      <c r="I4725" t="s">
        <v>26</v>
      </c>
      <c r="J4725" t="s">
        <v>27</v>
      </c>
      <c r="K4725" t="s">
        <v>28</v>
      </c>
      <c r="L4725" s="2">
        <v>168.8</v>
      </c>
      <c r="M4725" s="3">
        <v>1451</v>
      </c>
      <c r="N4725">
        <v>5</v>
      </c>
      <c r="O4725">
        <v>6</v>
      </c>
      <c r="P4725">
        <v>0</v>
      </c>
      <c r="Q4725">
        <v>1</v>
      </c>
      <c r="R4725" s="4">
        <v>88.91</v>
      </c>
      <c r="S4725">
        <v>0</v>
      </c>
      <c r="T4725">
        <v>1</v>
      </c>
    </row>
    <row r="4726" spans="1:20" ht="16.5" x14ac:dyDescent="0.3">
      <c r="A4726" t="s">
        <v>4780</v>
      </c>
      <c r="B4726" s="1">
        <v>45942</v>
      </c>
      <c r="C4726">
        <v>2025</v>
      </c>
      <c r="D4726" t="s">
        <v>1873</v>
      </c>
      <c r="E4726" t="s">
        <v>1874</v>
      </c>
      <c r="F4726" t="s">
        <v>23</v>
      </c>
      <c r="G4726" t="s">
        <v>39</v>
      </c>
      <c r="H4726" t="s">
        <v>48</v>
      </c>
      <c r="I4726" t="s">
        <v>26</v>
      </c>
      <c r="J4726" t="s">
        <v>27</v>
      </c>
      <c r="K4726" t="s">
        <v>32</v>
      </c>
      <c r="L4726" s="2">
        <v>5.0999999999999996</v>
      </c>
      <c r="M4726" s="3">
        <v>506</v>
      </c>
      <c r="N4726">
        <v>4</v>
      </c>
      <c r="O4726">
        <v>4</v>
      </c>
      <c r="P4726">
        <v>1</v>
      </c>
      <c r="Q4726">
        <v>0</v>
      </c>
      <c r="R4726" s="4">
        <v>14.45</v>
      </c>
      <c r="S4726">
        <v>0</v>
      </c>
      <c r="T4726">
        <v>1</v>
      </c>
    </row>
    <row r="4727" spans="1:20" ht="16.5" x14ac:dyDescent="0.3">
      <c r="A4727" t="s">
        <v>4781</v>
      </c>
      <c r="B4727" s="1">
        <v>45942</v>
      </c>
      <c r="C4727">
        <v>2025</v>
      </c>
      <c r="D4727" t="s">
        <v>1873</v>
      </c>
      <c r="E4727" t="s">
        <v>1874</v>
      </c>
      <c r="F4727" t="s">
        <v>23</v>
      </c>
      <c r="G4727" t="s">
        <v>24</v>
      </c>
      <c r="H4727" t="s">
        <v>48</v>
      </c>
      <c r="I4727" t="s">
        <v>31</v>
      </c>
      <c r="J4727" t="s">
        <v>27</v>
      </c>
      <c r="K4727" t="s">
        <v>32</v>
      </c>
      <c r="L4727" s="2">
        <v>2.8</v>
      </c>
      <c r="M4727" s="3">
        <v>525</v>
      </c>
      <c r="N4727">
        <v>6</v>
      </c>
      <c r="O4727">
        <v>6</v>
      </c>
      <c r="P4727">
        <v>1</v>
      </c>
      <c r="Q4727">
        <v>0</v>
      </c>
      <c r="R4727" s="4">
        <v>10.95</v>
      </c>
      <c r="S4727">
        <v>0</v>
      </c>
      <c r="T4727">
        <v>1</v>
      </c>
    </row>
    <row r="4728" spans="1:20" ht="16.5" x14ac:dyDescent="0.3">
      <c r="A4728" t="s">
        <v>4782</v>
      </c>
      <c r="B4728" s="1">
        <v>45942</v>
      </c>
      <c r="C4728">
        <v>2025</v>
      </c>
      <c r="D4728" t="s">
        <v>1873</v>
      </c>
      <c r="E4728" t="s">
        <v>1874</v>
      </c>
      <c r="F4728" t="s">
        <v>34</v>
      </c>
      <c r="G4728" t="s">
        <v>24</v>
      </c>
      <c r="H4728" t="s">
        <v>51</v>
      </c>
      <c r="I4728" t="s">
        <v>26</v>
      </c>
      <c r="J4728" t="s">
        <v>27</v>
      </c>
      <c r="K4728" t="s">
        <v>28</v>
      </c>
      <c r="L4728" s="2">
        <v>42.7</v>
      </c>
      <c r="M4728" s="3">
        <v>1036</v>
      </c>
      <c r="N4728">
        <v>5</v>
      </c>
      <c r="O4728">
        <v>4</v>
      </c>
      <c r="P4728">
        <v>1</v>
      </c>
      <c r="Q4728">
        <v>0</v>
      </c>
      <c r="R4728" s="4">
        <v>33.57</v>
      </c>
      <c r="S4728">
        <v>0</v>
      </c>
      <c r="T4728">
        <v>1</v>
      </c>
    </row>
    <row r="4729" spans="1:20" ht="16.5" x14ac:dyDescent="0.3">
      <c r="A4729" t="s">
        <v>4783</v>
      </c>
      <c r="B4729" s="1">
        <v>45942</v>
      </c>
      <c r="C4729">
        <v>2025</v>
      </c>
      <c r="D4729" t="s">
        <v>1873</v>
      </c>
      <c r="E4729" t="s">
        <v>1874</v>
      </c>
      <c r="F4729" t="s">
        <v>57</v>
      </c>
      <c r="G4729" t="s">
        <v>35</v>
      </c>
      <c r="H4729" t="s">
        <v>48</v>
      </c>
      <c r="I4729" t="s">
        <v>26</v>
      </c>
      <c r="J4729" t="s">
        <v>27</v>
      </c>
      <c r="K4729" t="s">
        <v>32</v>
      </c>
      <c r="L4729" s="2">
        <v>7.7</v>
      </c>
      <c r="M4729" s="3">
        <v>490</v>
      </c>
      <c r="N4729">
        <v>4</v>
      </c>
      <c r="O4729">
        <v>3</v>
      </c>
      <c r="P4729">
        <v>1</v>
      </c>
      <c r="Q4729">
        <v>0</v>
      </c>
      <c r="R4729" s="4">
        <v>18.46</v>
      </c>
      <c r="S4729">
        <v>0</v>
      </c>
      <c r="T4729">
        <v>1</v>
      </c>
    </row>
    <row r="4730" spans="1:20" ht="16.5" x14ac:dyDescent="0.3">
      <c r="A4730" t="s">
        <v>4784</v>
      </c>
      <c r="B4730" s="1">
        <v>45943</v>
      </c>
      <c r="C4730">
        <v>2025</v>
      </c>
      <c r="D4730" t="s">
        <v>1873</v>
      </c>
      <c r="E4730" t="s">
        <v>1874</v>
      </c>
      <c r="F4730" t="s">
        <v>34</v>
      </c>
      <c r="G4730" t="s">
        <v>24</v>
      </c>
      <c r="H4730" t="s">
        <v>36</v>
      </c>
      <c r="I4730" t="s">
        <v>26</v>
      </c>
      <c r="J4730" t="s">
        <v>27</v>
      </c>
      <c r="K4730" t="s">
        <v>28</v>
      </c>
      <c r="L4730" s="2">
        <v>156.9</v>
      </c>
      <c r="M4730" s="3">
        <v>288</v>
      </c>
      <c r="N4730">
        <v>3</v>
      </c>
      <c r="O4730">
        <v>3</v>
      </c>
      <c r="P4730">
        <v>1</v>
      </c>
      <c r="Q4730">
        <v>0</v>
      </c>
      <c r="R4730" s="4">
        <v>65.430000000000007</v>
      </c>
      <c r="S4730">
        <v>0</v>
      </c>
      <c r="T4730">
        <v>1</v>
      </c>
    </row>
    <row r="4731" spans="1:20" ht="16.5" x14ac:dyDescent="0.3">
      <c r="A4731" t="s">
        <v>4785</v>
      </c>
      <c r="B4731" s="1">
        <v>45943</v>
      </c>
      <c r="C4731">
        <v>2025</v>
      </c>
      <c r="D4731" t="s">
        <v>1873</v>
      </c>
      <c r="E4731" t="s">
        <v>1874</v>
      </c>
      <c r="F4731" t="s">
        <v>57</v>
      </c>
      <c r="G4731" t="s">
        <v>39</v>
      </c>
      <c r="H4731" t="s">
        <v>48</v>
      </c>
      <c r="I4731" t="s">
        <v>26</v>
      </c>
      <c r="J4731" t="s">
        <v>27</v>
      </c>
      <c r="K4731" t="s">
        <v>32</v>
      </c>
      <c r="L4731" s="2">
        <v>2.4</v>
      </c>
      <c r="M4731" s="3">
        <v>545</v>
      </c>
      <c r="N4731">
        <v>4</v>
      </c>
      <c r="O4731">
        <v>4</v>
      </c>
      <c r="P4731">
        <v>1</v>
      </c>
      <c r="Q4731">
        <v>0</v>
      </c>
      <c r="R4731" s="4">
        <v>14.57</v>
      </c>
      <c r="S4731">
        <v>0</v>
      </c>
      <c r="T4731">
        <v>1</v>
      </c>
    </row>
    <row r="4732" spans="1:20" ht="16.5" x14ac:dyDescent="0.3">
      <c r="A4732" t="s">
        <v>4786</v>
      </c>
      <c r="B4732" s="1">
        <v>45943</v>
      </c>
      <c r="C4732">
        <v>2025</v>
      </c>
      <c r="D4732" t="s">
        <v>1873</v>
      </c>
      <c r="E4732" t="s">
        <v>1874</v>
      </c>
      <c r="F4732" t="s">
        <v>34</v>
      </c>
      <c r="G4732" t="s">
        <v>35</v>
      </c>
      <c r="H4732" t="s">
        <v>36</v>
      </c>
      <c r="I4732" t="s">
        <v>26</v>
      </c>
      <c r="J4732" t="s">
        <v>27</v>
      </c>
      <c r="K4732" t="s">
        <v>32</v>
      </c>
      <c r="L4732" s="2">
        <v>16</v>
      </c>
      <c r="M4732" s="3">
        <v>254</v>
      </c>
      <c r="N4732">
        <v>3</v>
      </c>
      <c r="O4732">
        <v>3</v>
      </c>
      <c r="P4732">
        <v>1</v>
      </c>
      <c r="Q4732">
        <v>0</v>
      </c>
      <c r="R4732" s="4">
        <v>17.010000000000002</v>
      </c>
      <c r="S4732">
        <v>0</v>
      </c>
      <c r="T4732">
        <v>1</v>
      </c>
    </row>
    <row r="4733" spans="1:20" ht="16.5" x14ac:dyDescent="0.3">
      <c r="A4733" t="s">
        <v>4787</v>
      </c>
      <c r="B4733" s="1">
        <v>45943</v>
      </c>
      <c r="C4733">
        <v>2025</v>
      </c>
      <c r="D4733" t="s">
        <v>1873</v>
      </c>
      <c r="E4733" t="s">
        <v>1874</v>
      </c>
      <c r="F4733" t="s">
        <v>57</v>
      </c>
      <c r="G4733" t="s">
        <v>35</v>
      </c>
      <c r="H4733" t="s">
        <v>48</v>
      </c>
      <c r="I4733" t="s">
        <v>26</v>
      </c>
      <c r="J4733" t="s">
        <v>27</v>
      </c>
      <c r="K4733" t="s">
        <v>32</v>
      </c>
      <c r="L4733" s="2">
        <v>2.2999999999999998</v>
      </c>
      <c r="M4733" s="3">
        <v>564</v>
      </c>
      <c r="N4733">
        <v>4</v>
      </c>
      <c r="O4733">
        <v>3</v>
      </c>
      <c r="P4733">
        <v>1</v>
      </c>
      <c r="Q4733">
        <v>0</v>
      </c>
      <c r="R4733" s="4">
        <v>14.49</v>
      </c>
      <c r="S4733">
        <v>0</v>
      </c>
      <c r="T4733">
        <v>1</v>
      </c>
    </row>
    <row r="4734" spans="1:20" ht="16.5" x14ac:dyDescent="0.3">
      <c r="A4734" t="s">
        <v>4788</v>
      </c>
      <c r="B4734" s="1">
        <v>45943</v>
      </c>
      <c r="C4734">
        <v>2025</v>
      </c>
      <c r="D4734" t="s">
        <v>1873</v>
      </c>
      <c r="E4734" t="s">
        <v>1874</v>
      </c>
      <c r="F4734" t="s">
        <v>38</v>
      </c>
      <c r="G4734" t="s">
        <v>39</v>
      </c>
      <c r="H4734" t="s">
        <v>48</v>
      </c>
      <c r="I4734" t="s">
        <v>31</v>
      </c>
      <c r="J4734" t="s">
        <v>27</v>
      </c>
      <c r="K4734" t="s">
        <v>32</v>
      </c>
      <c r="L4734" s="2">
        <v>10.4</v>
      </c>
      <c r="M4734" s="3">
        <v>442</v>
      </c>
      <c r="N4734">
        <v>6</v>
      </c>
      <c r="O4734">
        <v>5</v>
      </c>
      <c r="P4734">
        <v>1</v>
      </c>
      <c r="Q4734">
        <v>0</v>
      </c>
      <c r="R4734" s="4">
        <v>14.36</v>
      </c>
      <c r="S4734">
        <v>0</v>
      </c>
      <c r="T4734">
        <v>1</v>
      </c>
    </row>
    <row r="4735" spans="1:20" ht="16.5" x14ac:dyDescent="0.3">
      <c r="A4735" t="s">
        <v>4789</v>
      </c>
      <c r="B4735" s="1">
        <v>45943</v>
      </c>
      <c r="C4735">
        <v>2025</v>
      </c>
      <c r="D4735" t="s">
        <v>1873</v>
      </c>
      <c r="E4735" t="s">
        <v>1874</v>
      </c>
      <c r="F4735" t="s">
        <v>38</v>
      </c>
      <c r="G4735" t="s">
        <v>39</v>
      </c>
      <c r="H4735" t="s">
        <v>43</v>
      </c>
      <c r="I4735" t="s">
        <v>26</v>
      </c>
      <c r="J4735" t="s">
        <v>27</v>
      </c>
      <c r="K4735" t="s">
        <v>32</v>
      </c>
      <c r="L4735" s="2">
        <v>3.3</v>
      </c>
      <c r="M4735" s="3">
        <v>875</v>
      </c>
      <c r="N4735">
        <v>5</v>
      </c>
      <c r="O4735">
        <v>5</v>
      </c>
      <c r="P4735">
        <v>1</v>
      </c>
      <c r="Q4735">
        <v>0</v>
      </c>
      <c r="R4735" s="4">
        <v>20.77</v>
      </c>
      <c r="S4735">
        <v>0</v>
      </c>
      <c r="T4735">
        <v>1</v>
      </c>
    </row>
    <row r="4736" spans="1:20" ht="16.5" x14ac:dyDescent="0.3">
      <c r="A4736" t="s">
        <v>4790</v>
      </c>
      <c r="B4736" s="1">
        <v>45943</v>
      </c>
      <c r="C4736">
        <v>2025</v>
      </c>
      <c r="D4736" t="s">
        <v>1873</v>
      </c>
      <c r="E4736" t="s">
        <v>1874</v>
      </c>
      <c r="F4736" t="s">
        <v>34</v>
      </c>
      <c r="G4736" t="s">
        <v>39</v>
      </c>
      <c r="H4736" t="s">
        <v>36</v>
      </c>
      <c r="I4736" t="s">
        <v>31</v>
      </c>
      <c r="J4736" t="s">
        <v>27</v>
      </c>
      <c r="K4736" t="s">
        <v>32</v>
      </c>
      <c r="L4736" s="2">
        <v>1.4</v>
      </c>
      <c r="M4736" s="3">
        <v>225</v>
      </c>
      <c r="N4736">
        <v>5</v>
      </c>
      <c r="O4736">
        <v>5</v>
      </c>
      <c r="P4736">
        <v>1</v>
      </c>
      <c r="Q4736">
        <v>0</v>
      </c>
      <c r="R4736" s="4">
        <v>5.89</v>
      </c>
      <c r="S4736">
        <v>0</v>
      </c>
      <c r="T4736">
        <v>1</v>
      </c>
    </row>
    <row r="4737" spans="1:20" ht="16.5" x14ac:dyDescent="0.3">
      <c r="A4737" t="s">
        <v>4791</v>
      </c>
      <c r="B4737" s="1">
        <v>45943</v>
      </c>
      <c r="C4737">
        <v>2025</v>
      </c>
      <c r="D4737" t="s">
        <v>1873</v>
      </c>
      <c r="E4737" t="s">
        <v>1874</v>
      </c>
      <c r="F4737" t="s">
        <v>30</v>
      </c>
      <c r="G4737" t="s">
        <v>39</v>
      </c>
      <c r="H4737" t="s">
        <v>36</v>
      </c>
      <c r="I4737" t="s">
        <v>26</v>
      </c>
      <c r="J4737" t="s">
        <v>27</v>
      </c>
      <c r="K4737" t="s">
        <v>28</v>
      </c>
      <c r="L4737" s="2">
        <v>116.5</v>
      </c>
      <c r="M4737" s="3">
        <v>200</v>
      </c>
      <c r="N4737">
        <v>3</v>
      </c>
      <c r="O4737">
        <v>3</v>
      </c>
      <c r="P4737">
        <v>1</v>
      </c>
      <c r="Q4737">
        <v>0</v>
      </c>
      <c r="R4737" s="4">
        <v>63.9</v>
      </c>
      <c r="S4737">
        <v>0</v>
      </c>
      <c r="T4737">
        <v>1</v>
      </c>
    </row>
    <row r="4738" spans="1:20" ht="16.5" x14ac:dyDescent="0.3">
      <c r="A4738" t="s">
        <v>4792</v>
      </c>
      <c r="B4738" s="1">
        <v>45943</v>
      </c>
      <c r="C4738">
        <v>2025</v>
      </c>
      <c r="D4738" t="s">
        <v>1873</v>
      </c>
      <c r="E4738" t="s">
        <v>1874</v>
      </c>
      <c r="F4738" t="s">
        <v>23</v>
      </c>
      <c r="G4738" t="s">
        <v>35</v>
      </c>
      <c r="H4738" t="s">
        <v>25</v>
      </c>
      <c r="I4738" t="s">
        <v>31</v>
      </c>
      <c r="J4738" t="s">
        <v>27</v>
      </c>
      <c r="K4738" t="s">
        <v>32</v>
      </c>
      <c r="L4738" s="2">
        <v>1.6</v>
      </c>
      <c r="M4738" s="3">
        <v>515</v>
      </c>
      <c r="N4738">
        <v>6</v>
      </c>
      <c r="O4738">
        <v>5</v>
      </c>
      <c r="P4738">
        <v>1</v>
      </c>
      <c r="Q4738">
        <v>0</v>
      </c>
      <c r="R4738" s="4">
        <v>8.6</v>
      </c>
      <c r="S4738">
        <v>0</v>
      </c>
      <c r="T4738">
        <v>1</v>
      </c>
    </row>
    <row r="4739" spans="1:20" ht="16.5" x14ac:dyDescent="0.3">
      <c r="A4739" t="s">
        <v>4793</v>
      </c>
      <c r="B4739" s="1">
        <v>45943</v>
      </c>
      <c r="C4739">
        <v>2025</v>
      </c>
      <c r="D4739" t="s">
        <v>1873</v>
      </c>
      <c r="E4739" t="s">
        <v>1874</v>
      </c>
      <c r="F4739" t="s">
        <v>57</v>
      </c>
      <c r="G4739" t="s">
        <v>39</v>
      </c>
      <c r="H4739" t="s">
        <v>48</v>
      </c>
      <c r="I4739" t="s">
        <v>26</v>
      </c>
      <c r="J4739" t="s">
        <v>27</v>
      </c>
      <c r="K4739" t="s">
        <v>32</v>
      </c>
      <c r="L4739" s="2">
        <v>0.8</v>
      </c>
      <c r="M4739" s="3">
        <v>532</v>
      </c>
      <c r="N4739">
        <v>4</v>
      </c>
      <c r="O4739">
        <v>4</v>
      </c>
      <c r="P4739">
        <v>1</v>
      </c>
      <c r="Q4739">
        <v>0</v>
      </c>
      <c r="R4739" s="4">
        <v>11.82</v>
      </c>
      <c r="S4739">
        <v>0</v>
      </c>
      <c r="T4739">
        <v>1</v>
      </c>
    </row>
    <row r="4740" spans="1:20" ht="16.5" x14ac:dyDescent="0.3">
      <c r="A4740" t="s">
        <v>4794</v>
      </c>
      <c r="B4740" s="1">
        <v>45943</v>
      </c>
      <c r="C4740">
        <v>2025</v>
      </c>
      <c r="D4740" t="s">
        <v>1873</v>
      </c>
      <c r="E4740" t="s">
        <v>1874</v>
      </c>
      <c r="F4740" t="s">
        <v>38</v>
      </c>
      <c r="G4740" t="s">
        <v>24</v>
      </c>
      <c r="H4740" t="s">
        <v>25</v>
      </c>
      <c r="I4740" t="s">
        <v>40</v>
      </c>
      <c r="J4740" t="s">
        <v>41</v>
      </c>
      <c r="K4740" t="s">
        <v>28</v>
      </c>
      <c r="L4740" s="2">
        <v>141.9</v>
      </c>
      <c r="M4740" s="3">
        <v>971</v>
      </c>
      <c r="N4740">
        <v>2</v>
      </c>
      <c r="O4740">
        <v>2</v>
      </c>
      <c r="P4740">
        <v>1</v>
      </c>
      <c r="Q4740">
        <v>0</v>
      </c>
      <c r="R4740" s="4">
        <v>257.18</v>
      </c>
      <c r="S4740">
        <v>0</v>
      </c>
      <c r="T4740">
        <v>1</v>
      </c>
    </row>
    <row r="4741" spans="1:20" ht="16.5" x14ac:dyDescent="0.3">
      <c r="A4741" t="s">
        <v>4795</v>
      </c>
      <c r="B4741" s="1">
        <v>45944</v>
      </c>
      <c r="C4741">
        <v>2025</v>
      </c>
      <c r="D4741" t="s">
        <v>1873</v>
      </c>
      <c r="E4741" t="s">
        <v>1874</v>
      </c>
      <c r="F4741" t="s">
        <v>34</v>
      </c>
      <c r="G4741" t="s">
        <v>35</v>
      </c>
      <c r="H4741" t="s">
        <v>36</v>
      </c>
      <c r="I4741" t="s">
        <v>40</v>
      </c>
      <c r="J4741" t="s">
        <v>27</v>
      </c>
      <c r="K4741" t="s">
        <v>32</v>
      </c>
      <c r="L4741" s="2">
        <v>2</v>
      </c>
      <c r="M4741" s="3">
        <v>219</v>
      </c>
      <c r="N4741">
        <v>1</v>
      </c>
      <c r="O4741">
        <v>1</v>
      </c>
      <c r="P4741">
        <v>1</v>
      </c>
      <c r="Q4741">
        <v>0</v>
      </c>
      <c r="R4741" s="4">
        <v>16.86</v>
      </c>
      <c r="S4741">
        <v>0</v>
      </c>
      <c r="T4741">
        <v>1</v>
      </c>
    </row>
    <row r="4742" spans="1:20" ht="16.5" x14ac:dyDescent="0.3">
      <c r="A4742" t="s">
        <v>4796</v>
      </c>
      <c r="B4742" s="1">
        <v>45944</v>
      </c>
      <c r="C4742">
        <v>2025</v>
      </c>
      <c r="D4742" t="s">
        <v>1873</v>
      </c>
      <c r="E4742" t="s">
        <v>1874</v>
      </c>
      <c r="F4742" t="s">
        <v>34</v>
      </c>
      <c r="G4742" t="s">
        <v>39</v>
      </c>
      <c r="H4742" t="s">
        <v>48</v>
      </c>
      <c r="I4742" t="s">
        <v>26</v>
      </c>
      <c r="J4742" t="s">
        <v>27</v>
      </c>
      <c r="K4742" t="s">
        <v>28</v>
      </c>
      <c r="L4742" s="2">
        <v>77.8</v>
      </c>
      <c r="M4742" s="3">
        <v>538</v>
      </c>
      <c r="N4742">
        <v>4</v>
      </c>
      <c r="O4742">
        <v>4</v>
      </c>
      <c r="P4742">
        <v>1</v>
      </c>
      <c r="Q4742">
        <v>0</v>
      </c>
      <c r="R4742" s="4">
        <v>42.6</v>
      </c>
      <c r="S4742">
        <v>0</v>
      </c>
      <c r="T4742">
        <v>1</v>
      </c>
    </row>
    <row r="4743" spans="1:20" ht="16.5" x14ac:dyDescent="0.3">
      <c r="A4743" t="s">
        <v>4797</v>
      </c>
      <c r="B4743" s="1">
        <v>45944</v>
      </c>
      <c r="C4743">
        <v>2025</v>
      </c>
      <c r="D4743" t="s">
        <v>1873</v>
      </c>
      <c r="E4743" t="s">
        <v>1874</v>
      </c>
      <c r="F4743" t="s">
        <v>34</v>
      </c>
      <c r="G4743" t="s">
        <v>39</v>
      </c>
      <c r="H4743" t="s">
        <v>48</v>
      </c>
      <c r="I4743" t="s">
        <v>26</v>
      </c>
      <c r="J4743" t="s">
        <v>27</v>
      </c>
      <c r="K4743" t="s">
        <v>32</v>
      </c>
      <c r="L4743" s="2">
        <v>14.4</v>
      </c>
      <c r="M4743" s="3">
        <v>584</v>
      </c>
      <c r="N4743">
        <v>4</v>
      </c>
      <c r="O4743">
        <v>6</v>
      </c>
      <c r="P4743">
        <v>0</v>
      </c>
      <c r="Q4743">
        <v>2</v>
      </c>
      <c r="R4743" s="4">
        <v>19.97</v>
      </c>
      <c r="S4743">
        <v>0</v>
      </c>
      <c r="T4743">
        <v>1</v>
      </c>
    </row>
    <row r="4744" spans="1:20" ht="16.5" x14ac:dyDescent="0.3">
      <c r="A4744" t="s">
        <v>4798</v>
      </c>
      <c r="B4744" s="1">
        <v>45944</v>
      </c>
      <c r="C4744">
        <v>2025</v>
      </c>
      <c r="D4744" t="s">
        <v>1873</v>
      </c>
      <c r="E4744" t="s">
        <v>1874</v>
      </c>
      <c r="F4744" t="s">
        <v>34</v>
      </c>
      <c r="G4744" t="s">
        <v>39</v>
      </c>
      <c r="H4744" t="s">
        <v>25</v>
      </c>
      <c r="I4744" t="s">
        <v>26</v>
      </c>
      <c r="J4744" t="s">
        <v>27</v>
      </c>
      <c r="K4744" t="s">
        <v>28</v>
      </c>
      <c r="L4744" s="2">
        <v>166.5</v>
      </c>
      <c r="M4744" s="3">
        <v>868</v>
      </c>
      <c r="N4744">
        <v>4</v>
      </c>
      <c r="O4744">
        <v>4</v>
      </c>
      <c r="P4744">
        <v>1</v>
      </c>
      <c r="Q4744">
        <v>0</v>
      </c>
      <c r="R4744" s="4">
        <v>80.67</v>
      </c>
      <c r="S4744">
        <v>0</v>
      </c>
      <c r="T4744">
        <v>1</v>
      </c>
    </row>
    <row r="4745" spans="1:20" ht="16.5" x14ac:dyDescent="0.3">
      <c r="A4745" t="s">
        <v>4799</v>
      </c>
      <c r="B4745" s="1">
        <v>45944</v>
      </c>
      <c r="C4745">
        <v>2025</v>
      </c>
      <c r="D4745" t="s">
        <v>1873</v>
      </c>
      <c r="E4745" t="s">
        <v>1874</v>
      </c>
      <c r="F4745" t="s">
        <v>38</v>
      </c>
      <c r="G4745" t="s">
        <v>35</v>
      </c>
      <c r="H4745" t="s">
        <v>51</v>
      </c>
      <c r="I4745" t="s">
        <v>31</v>
      </c>
      <c r="J4745" t="s">
        <v>27</v>
      </c>
      <c r="K4745" t="s">
        <v>32</v>
      </c>
      <c r="L4745" s="2">
        <v>1.2</v>
      </c>
      <c r="M4745" s="3">
        <v>1137</v>
      </c>
      <c r="N4745">
        <v>7</v>
      </c>
      <c r="O4745">
        <v>6</v>
      </c>
      <c r="P4745">
        <v>1</v>
      </c>
      <c r="Q4745">
        <v>0</v>
      </c>
      <c r="R4745" s="4">
        <v>16.05</v>
      </c>
      <c r="S4745">
        <v>0</v>
      </c>
      <c r="T4745">
        <v>1</v>
      </c>
    </row>
    <row r="4746" spans="1:20" ht="16.5" x14ac:dyDescent="0.3">
      <c r="A4746" t="s">
        <v>4800</v>
      </c>
      <c r="B4746" s="1">
        <v>45944</v>
      </c>
      <c r="C4746">
        <v>2025</v>
      </c>
      <c r="D4746" t="s">
        <v>1873</v>
      </c>
      <c r="E4746" t="s">
        <v>1874</v>
      </c>
      <c r="F4746" t="s">
        <v>34</v>
      </c>
      <c r="G4746" t="s">
        <v>24</v>
      </c>
      <c r="H4746" t="s">
        <v>36</v>
      </c>
      <c r="I4746" t="s">
        <v>31</v>
      </c>
      <c r="J4746" t="s">
        <v>27</v>
      </c>
      <c r="K4746" t="s">
        <v>28</v>
      </c>
      <c r="L4746" s="2">
        <v>263.89999999999998</v>
      </c>
      <c r="M4746" s="3">
        <v>290</v>
      </c>
      <c r="N4746">
        <v>5</v>
      </c>
      <c r="O4746">
        <v>5</v>
      </c>
      <c r="P4746">
        <v>1</v>
      </c>
      <c r="Q4746">
        <v>0</v>
      </c>
      <c r="R4746" s="4">
        <v>70.12</v>
      </c>
      <c r="S4746">
        <v>0</v>
      </c>
      <c r="T4746">
        <v>1</v>
      </c>
    </row>
    <row r="4747" spans="1:20" ht="16.5" x14ac:dyDescent="0.3">
      <c r="A4747" t="s">
        <v>4801</v>
      </c>
      <c r="B4747" s="1">
        <v>45944</v>
      </c>
      <c r="C4747">
        <v>2025</v>
      </c>
      <c r="D4747" t="s">
        <v>1873</v>
      </c>
      <c r="E4747" t="s">
        <v>1874</v>
      </c>
      <c r="F4747" t="s">
        <v>57</v>
      </c>
      <c r="G4747" t="s">
        <v>35</v>
      </c>
      <c r="H4747" t="s">
        <v>43</v>
      </c>
      <c r="I4747" t="s">
        <v>26</v>
      </c>
      <c r="J4747" t="s">
        <v>27</v>
      </c>
      <c r="K4747" t="s">
        <v>28</v>
      </c>
      <c r="L4747" s="2">
        <v>248.6</v>
      </c>
      <c r="M4747" s="3">
        <v>1359</v>
      </c>
      <c r="N4747">
        <v>5</v>
      </c>
      <c r="O4747">
        <v>5</v>
      </c>
      <c r="P4747">
        <v>1</v>
      </c>
      <c r="Q4747">
        <v>0</v>
      </c>
      <c r="R4747" s="4">
        <v>110.03</v>
      </c>
      <c r="S4747">
        <v>0</v>
      </c>
      <c r="T4747">
        <v>1</v>
      </c>
    </row>
    <row r="4748" spans="1:20" ht="16.5" x14ac:dyDescent="0.3">
      <c r="A4748" t="s">
        <v>4802</v>
      </c>
      <c r="B4748" s="1">
        <v>45944</v>
      </c>
      <c r="C4748">
        <v>2025</v>
      </c>
      <c r="D4748" t="s">
        <v>1873</v>
      </c>
      <c r="E4748" t="s">
        <v>1874</v>
      </c>
      <c r="F4748" t="s">
        <v>57</v>
      </c>
      <c r="G4748" t="s">
        <v>35</v>
      </c>
      <c r="H4748" t="s">
        <v>36</v>
      </c>
      <c r="I4748" t="s">
        <v>40</v>
      </c>
      <c r="J4748" t="s">
        <v>27</v>
      </c>
      <c r="K4748" t="s">
        <v>28</v>
      </c>
      <c r="L4748" s="2">
        <v>78.400000000000006</v>
      </c>
      <c r="M4748" s="3">
        <v>257</v>
      </c>
      <c r="N4748">
        <v>1</v>
      </c>
      <c r="O4748">
        <v>1</v>
      </c>
      <c r="P4748">
        <v>1</v>
      </c>
      <c r="Q4748">
        <v>0</v>
      </c>
      <c r="R4748" s="4">
        <v>87.95</v>
      </c>
      <c r="S4748">
        <v>0</v>
      </c>
      <c r="T4748">
        <v>1</v>
      </c>
    </row>
    <row r="4749" spans="1:20" ht="16.5" x14ac:dyDescent="0.3">
      <c r="A4749" t="s">
        <v>4803</v>
      </c>
      <c r="B4749" s="1">
        <v>45944</v>
      </c>
      <c r="C4749">
        <v>2025</v>
      </c>
      <c r="D4749" t="s">
        <v>1873</v>
      </c>
      <c r="E4749" t="s">
        <v>1874</v>
      </c>
      <c r="F4749" t="s">
        <v>34</v>
      </c>
      <c r="G4749" t="s">
        <v>24</v>
      </c>
      <c r="H4749" t="s">
        <v>25</v>
      </c>
      <c r="I4749" t="s">
        <v>31</v>
      </c>
      <c r="J4749" t="s">
        <v>27</v>
      </c>
      <c r="K4749" t="s">
        <v>28</v>
      </c>
      <c r="L4749" s="2">
        <v>237.3</v>
      </c>
      <c r="M4749" s="3">
        <v>769</v>
      </c>
      <c r="N4749">
        <v>6</v>
      </c>
      <c r="O4749">
        <v>6</v>
      </c>
      <c r="P4749">
        <v>1</v>
      </c>
      <c r="Q4749">
        <v>0</v>
      </c>
      <c r="R4749" s="4">
        <v>69.92</v>
      </c>
      <c r="S4749">
        <v>0</v>
      </c>
      <c r="T4749">
        <v>1</v>
      </c>
    </row>
    <row r="4750" spans="1:20" ht="16.5" x14ac:dyDescent="0.3">
      <c r="A4750" t="s">
        <v>4804</v>
      </c>
      <c r="B4750" s="1">
        <v>45944</v>
      </c>
      <c r="C4750">
        <v>2025</v>
      </c>
      <c r="D4750" t="s">
        <v>1873</v>
      </c>
      <c r="E4750" t="s">
        <v>1874</v>
      </c>
      <c r="F4750" t="s">
        <v>30</v>
      </c>
      <c r="G4750" t="s">
        <v>39</v>
      </c>
      <c r="H4750" t="s">
        <v>25</v>
      </c>
      <c r="I4750" t="s">
        <v>26</v>
      </c>
      <c r="J4750" t="s">
        <v>27</v>
      </c>
      <c r="K4750" t="s">
        <v>32</v>
      </c>
      <c r="L4750" s="2">
        <v>2.4</v>
      </c>
      <c r="M4750" s="3">
        <v>1023</v>
      </c>
      <c r="N4750">
        <v>4</v>
      </c>
      <c r="O4750">
        <v>4</v>
      </c>
      <c r="P4750">
        <v>1</v>
      </c>
      <c r="Q4750">
        <v>0</v>
      </c>
      <c r="R4750" s="4">
        <v>20.79</v>
      </c>
      <c r="S4750">
        <v>0</v>
      </c>
      <c r="T4750">
        <v>1</v>
      </c>
    </row>
    <row r="4751" spans="1:20" ht="16.5" x14ac:dyDescent="0.3">
      <c r="A4751" t="s">
        <v>4805</v>
      </c>
      <c r="B4751" s="1">
        <v>45945</v>
      </c>
      <c r="C4751">
        <v>2025</v>
      </c>
      <c r="D4751" t="s">
        <v>1873</v>
      </c>
      <c r="E4751" t="s">
        <v>1874</v>
      </c>
      <c r="F4751" t="s">
        <v>57</v>
      </c>
      <c r="G4751" t="s">
        <v>39</v>
      </c>
      <c r="H4751" t="s">
        <v>48</v>
      </c>
      <c r="I4751" t="s">
        <v>31</v>
      </c>
      <c r="J4751" t="s">
        <v>27</v>
      </c>
      <c r="K4751" t="s">
        <v>28</v>
      </c>
      <c r="L4751" s="2">
        <v>85.5</v>
      </c>
      <c r="M4751" s="3">
        <v>381</v>
      </c>
      <c r="N4751">
        <v>6</v>
      </c>
      <c r="O4751">
        <v>6</v>
      </c>
      <c r="P4751">
        <v>1</v>
      </c>
      <c r="Q4751">
        <v>0</v>
      </c>
      <c r="R4751" s="4">
        <v>37.700000000000003</v>
      </c>
      <c r="S4751">
        <v>0</v>
      </c>
      <c r="T4751">
        <v>1</v>
      </c>
    </row>
    <row r="4752" spans="1:20" ht="16.5" x14ac:dyDescent="0.3">
      <c r="A4752" t="s">
        <v>4806</v>
      </c>
      <c r="B4752" s="1">
        <v>45945</v>
      </c>
      <c r="C4752">
        <v>2025</v>
      </c>
      <c r="D4752" t="s">
        <v>1873</v>
      </c>
      <c r="E4752" t="s">
        <v>1874</v>
      </c>
      <c r="F4752" t="s">
        <v>23</v>
      </c>
      <c r="G4752" t="s">
        <v>39</v>
      </c>
      <c r="H4752" t="s">
        <v>25</v>
      </c>
      <c r="I4752" t="s">
        <v>40</v>
      </c>
      <c r="J4752" t="s">
        <v>41</v>
      </c>
      <c r="K4752" t="s">
        <v>32</v>
      </c>
      <c r="L4752" s="2">
        <v>9.1</v>
      </c>
      <c r="M4752" s="3">
        <v>981</v>
      </c>
      <c r="N4752">
        <v>2</v>
      </c>
      <c r="O4752">
        <v>2</v>
      </c>
      <c r="P4752">
        <v>1</v>
      </c>
      <c r="Q4752">
        <v>0</v>
      </c>
      <c r="R4752" s="4">
        <v>65.19</v>
      </c>
      <c r="S4752">
        <v>0</v>
      </c>
      <c r="T4752">
        <v>1</v>
      </c>
    </row>
    <row r="4753" spans="1:20" ht="16.5" x14ac:dyDescent="0.3">
      <c r="A4753" t="s">
        <v>4807</v>
      </c>
      <c r="B4753" s="1">
        <v>45945</v>
      </c>
      <c r="C4753">
        <v>2025</v>
      </c>
      <c r="D4753" t="s">
        <v>1873</v>
      </c>
      <c r="E4753" t="s">
        <v>1874</v>
      </c>
      <c r="F4753" t="s">
        <v>34</v>
      </c>
      <c r="G4753" t="s">
        <v>39</v>
      </c>
      <c r="H4753" t="s">
        <v>43</v>
      </c>
      <c r="I4753" t="s">
        <v>31</v>
      </c>
      <c r="J4753" t="s">
        <v>27</v>
      </c>
      <c r="K4753" t="s">
        <v>32</v>
      </c>
      <c r="L4753" s="2">
        <v>2.5</v>
      </c>
      <c r="M4753" s="3">
        <v>975</v>
      </c>
      <c r="N4753">
        <v>7</v>
      </c>
      <c r="O4753">
        <v>7</v>
      </c>
      <c r="P4753">
        <v>1</v>
      </c>
      <c r="Q4753">
        <v>0</v>
      </c>
      <c r="R4753" s="4">
        <v>11.28</v>
      </c>
      <c r="S4753">
        <v>0</v>
      </c>
      <c r="T4753">
        <v>1</v>
      </c>
    </row>
    <row r="4754" spans="1:20" ht="16.5" x14ac:dyDescent="0.3">
      <c r="A4754" t="s">
        <v>4808</v>
      </c>
      <c r="B4754" s="1">
        <v>45945</v>
      </c>
      <c r="C4754">
        <v>2025</v>
      </c>
      <c r="D4754" t="s">
        <v>1873</v>
      </c>
      <c r="E4754" t="s">
        <v>1874</v>
      </c>
      <c r="F4754" t="s">
        <v>30</v>
      </c>
      <c r="G4754" t="s">
        <v>39</v>
      </c>
      <c r="H4754" t="s">
        <v>36</v>
      </c>
      <c r="I4754" t="s">
        <v>26</v>
      </c>
      <c r="J4754" t="s">
        <v>27</v>
      </c>
      <c r="K4754" t="s">
        <v>28</v>
      </c>
      <c r="L4754" s="2">
        <v>313.2</v>
      </c>
      <c r="M4754" s="3">
        <v>224</v>
      </c>
      <c r="N4754">
        <v>3</v>
      </c>
      <c r="O4754">
        <v>3</v>
      </c>
      <c r="P4754">
        <v>1</v>
      </c>
      <c r="Q4754">
        <v>0</v>
      </c>
      <c r="R4754" s="4">
        <v>136.55000000000001</v>
      </c>
      <c r="S4754">
        <v>0</v>
      </c>
      <c r="T4754">
        <v>1</v>
      </c>
    </row>
    <row r="4755" spans="1:20" ht="16.5" x14ac:dyDescent="0.3">
      <c r="A4755" t="s">
        <v>4809</v>
      </c>
      <c r="B4755" s="1">
        <v>45945</v>
      </c>
      <c r="C4755">
        <v>2025</v>
      </c>
      <c r="D4755" t="s">
        <v>1873</v>
      </c>
      <c r="E4755" t="s">
        <v>1874</v>
      </c>
      <c r="F4755" t="s">
        <v>57</v>
      </c>
      <c r="G4755" t="s">
        <v>39</v>
      </c>
      <c r="H4755" t="s">
        <v>43</v>
      </c>
      <c r="I4755" t="s">
        <v>31</v>
      </c>
      <c r="J4755" t="s">
        <v>27</v>
      </c>
      <c r="K4755" t="s">
        <v>32</v>
      </c>
      <c r="L4755" s="2">
        <v>7.1</v>
      </c>
      <c r="M4755" s="3">
        <v>1134</v>
      </c>
      <c r="N4755">
        <v>7</v>
      </c>
      <c r="O4755">
        <v>6</v>
      </c>
      <c r="P4755">
        <v>1</v>
      </c>
      <c r="Q4755">
        <v>0</v>
      </c>
      <c r="R4755" s="4">
        <v>16.23</v>
      </c>
      <c r="S4755">
        <v>0</v>
      </c>
      <c r="T4755">
        <v>1</v>
      </c>
    </row>
    <row r="4756" spans="1:20" ht="16.5" x14ac:dyDescent="0.3">
      <c r="A4756" t="s">
        <v>4810</v>
      </c>
      <c r="B4756" s="1">
        <v>45945</v>
      </c>
      <c r="C4756">
        <v>2025</v>
      </c>
      <c r="D4756" t="s">
        <v>1873</v>
      </c>
      <c r="E4756" t="s">
        <v>1874</v>
      </c>
      <c r="F4756" t="s">
        <v>38</v>
      </c>
      <c r="G4756" t="s">
        <v>24</v>
      </c>
      <c r="H4756" t="s">
        <v>48</v>
      </c>
      <c r="I4756" t="s">
        <v>40</v>
      </c>
      <c r="J4756" t="s">
        <v>27</v>
      </c>
      <c r="K4756" t="s">
        <v>28</v>
      </c>
      <c r="L4756" s="2">
        <v>104.6</v>
      </c>
      <c r="M4756" s="3">
        <v>449</v>
      </c>
      <c r="N4756">
        <v>2</v>
      </c>
      <c r="O4756">
        <v>2</v>
      </c>
      <c r="P4756">
        <v>1</v>
      </c>
      <c r="Q4756">
        <v>0</v>
      </c>
      <c r="R4756" s="4">
        <v>137.79</v>
      </c>
      <c r="S4756">
        <v>0</v>
      </c>
      <c r="T4756">
        <v>1</v>
      </c>
    </row>
    <row r="4757" spans="1:20" ht="16.5" x14ac:dyDescent="0.3">
      <c r="A4757" t="s">
        <v>4811</v>
      </c>
      <c r="B4757" s="1">
        <v>45945</v>
      </c>
      <c r="C4757">
        <v>2025</v>
      </c>
      <c r="D4757" t="s">
        <v>1873</v>
      </c>
      <c r="E4757" t="s">
        <v>1874</v>
      </c>
      <c r="F4757" t="s">
        <v>34</v>
      </c>
      <c r="G4757" t="s">
        <v>39</v>
      </c>
      <c r="H4757" t="s">
        <v>36</v>
      </c>
      <c r="I4757" t="s">
        <v>40</v>
      </c>
      <c r="J4757" t="s">
        <v>27</v>
      </c>
      <c r="K4757" t="s">
        <v>32</v>
      </c>
      <c r="L4757" s="2">
        <v>2.1</v>
      </c>
      <c r="M4757" s="3">
        <v>252</v>
      </c>
      <c r="N4757">
        <v>1</v>
      </c>
      <c r="O4757">
        <v>2</v>
      </c>
      <c r="P4757">
        <v>0</v>
      </c>
      <c r="Q4757">
        <v>1</v>
      </c>
      <c r="R4757" s="4">
        <v>16.940000000000001</v>
      </c>
      <c r="S4757">
        <v>0</v>
      </c>
      <c r="T4757">
        <v>1</v>
      </c>
    </row>
    <row r="4758" spans="1:20" ht="16.5" x14ac:dyDescent="0.3">
      <c r="A4758" t="s">
        <v>4812</v>
      </c>
      <c r="B4758" s="1">
        <v>45945</v>
      </c>
      <c r="C4758">
        <v>2025</v>
      </c>
      <c r="D4758" t="s">
        <v>1873</v>
      </c>
      <c r="E4758" t="s">
        <v>1874</v>
      </c>
      <c r="F4758" t="s">
        <v>23</v>
      </c>
      <c r="G4758" t="s">
        <v>35</v>
      </c>
      <c r="H4758" t="s">
        <v>36</v>
      </c>
      <c r="I4758" t="s">
        <v>40</v>
      </c>
      <c r="J4758" t="s">
        <v>27</v>
      </c>
      <c r="K4758" t="s">
        <v>32</v>
      </c>
      <c r="L4758" s="2">
        <v>3.2</v>
      </c>
      <c r="M4758" s="3">
        <v>189</v>
      </c>
      <c r="N4758">
        <v>1</v>
      </c>
      <c r="O4758">
        <v>1</v>
      </c>
      <c r="P4758">
        <v>1</v>
      </c>
      <c r="Q4758">
        <v>0</v>
      </c>
      <c r="R4758" s="4">
        <v>18.36</v>
      </c>
      <c r="S4758">
        <v>0</v>
      </c>
      <c r="T4758">
        <v>1</v>
      </c>
    </row>
    <row r="4759" spans="1:20" ht="16.5" x14ac:dyDescent="0.3">
      <c r="A4759" t="s">
        <v>4813</v>
      </c>
      <c r="B4759" s="1">
        <v>45945</v>
      </c>
      <c r="C4759">
        <v>2025</v>
      </c>
      <c r="D4759" t="s">
        <v>1873</v>
      </c>
      <c r="E4759" t="s">
        <v>1874</v>
      </c>
      <c r="F4759" t="s">
        <v>38</v>
      </c>
      <c r="G4759" t="s">
        <v>35</v>
      </c>
      <c r="H4759" t="s">
        <v>36</v>
      </c>
      <c r="I4759" t="s">
        <v>26</v>
      </c>
      <c r="J4759" t="s">
        <v>27</v>
      </c>
      <c r="K4759" t="s">
        <v>32</v>
      </c>
      <c r="L4759" s="2">
        <v>13</v>
      </c>
      <c r="M4759" s="3">
        <v>260</v>
      </c>
      <c r="N4759">
        <v>3</v>
      </c>
      <c r="O4759">
        <v>3</v>
      </c>
      <c r="P4759">
        <v>1</v>
      </c>
      <c r="Q4759">
        <v>0</v>
      </c>
      <c r="R4759" s="4">
        <v>18.28</v>
      </c>
      <c r="S4759">
        <v>0</v>
      </c>
      <c r="T4759">
        <v>1</v>
      </c>
    </row>
    <row r="4760" spans="1:20" ht="16.5" x14ac:dyDescent="0.3">
      <c r="A4760" t="s">
        <v>4814</v>
      </c>
      <c r="B4760" s="1">
        <v>45945</v>
      </c>
      <c r="C4760">
        <v>2025</v>
      </c>
      <c r="D4760" t="s">
        <v>1873</v>
      </c>
      <c r="E4760" t="s">
        <v>1874</v>
      </c>
      <c r="F4760" t="s">
        <v>57</v>
      </c>
      <c r="G4760" t="s">
        <v>35</v>
      </c>
      <c r="H4760" t="s">
        <v>25</v>
      </c>
      <c r="I4760" t="s">
        <v>26</v>
      </c>
      <c r="J4760" t="s">
        <v>27</v>
      </c>
      <c r="K4760" t="s">
        <v>28</v>
      </c>
      <c r="L4760" s="2">
        <v>83.1</v>
      </c>
      <c r="M4760" s="3">
        <v>918</v>
      </c>
      <c r="N4760">
        <v>4</v>
      </c>
      <c r="O4760">
        <v>4</v>
      </c>
      <c r="P4760">
        <v>1</v>
      </c>
      <c r="Q4760">
        <v>0</v>
      </c>
      <c r="R4760" s="4">
        <v>55.78</v>
      </c>
      <c r="S4760">
        <v>0</v>
      </c>
      <c r="T4760">
        <v>1</v>
      </c>
    </row>
    <row r="4761" spans="1:20" ht="16.5" x14ac:dyDescent="0.3">
      <c r="A4761" t="s">
        <v>4815</v>
      </c>
      <c r="B4761" s="1">
        <v>45945</v>
      </c>
      <c r="C4761">
        <v>2025</v>
      </c>
      <c r="D4761" t="s">
        <v>1873</v>
      </c>
      <c r="E4761" t="s">
        <v>1874</v>
      </c>
      <c r="F4761" t="s">
        <v>38</v>
      </c>
      <c r="G4761" t="s">
        <v>35</v>
      </c>
      <c r="H4761" t="s">
        <v>25</v>
      </c>
      <c r="I4761" t="s">
        <v>26</v>
      </c>
      <c r="J4761" t="s">
        <v>27</v>
      </c>
      <c r="K4761" t="s">
        <v>32</v>
      </c>
      <c r="L4761" s="2">
        <v>4.3</v>
      </c>
      <c r="M4761" s="3">
        <v>837</v>
      </c>
      <c r="N4761">
        <v>4</v>
      </c>
      <c r="O4761">
        <v>3</v>
      </c>
      <c r="P4761">
        <v>1</v>
      </c>
      <c r="Q4761">
        <v>0</v>
      </c>
      <c r="R4761" s="4">
        <v>21.91</v>
      </c>
      <c r="S4761">
        <v>0</v>
      </c>
      <c r="T4761">
        <v>1</v>
      </c>
    </row>
    <row r="4762" spans="1:20" ht="16.5" x14ac:dyDescent="0.3">
      <c r="A4762" t="s">
        <v>4816</v>
      </c>
      <c r="B4762" s="1">
        <v>45945</v>
      </c>
      <c r="C4762">
        <v>2025</v>
      </c>
      <c r="D4762" t="s">
        <v>1873</v>
      </c>
      <c r="E4762" t="s">
        <v>1874</v>
      </c>
      <c r="F4762" t="s">
        <v>38</v>
      </c>
      <c r="G4762" t="s">
        <v>24</v>
      </c>
      <c r="H4762" t="s">
        <v>48</v>
      </c>
      <c r="I4762" t="s">
        <v>40</v>
      </c>
      <c r="J4762" t="s">
        <v>27</v>
      </c>
      <c r="K4762" t="s">
        <v>32</v>
      </c>
      <c r="L4762" s="2">
        <v>6.3</v>
      </c>
      <c r="M4762" s="3">
        <v>497</v>
      </c>
      <c r="N4762">
        <v>2</v>
      </c>
      <c r="O4762">
        <v>2</v>
      </c>
      <c r="P4762">
        <v>1</v>
      </c>
      <c r="Q4762">
        <v>0</v>
      </c>
      <c r="R4762" s="4">
        <v>34.590000000000003</v>
      </c>
      <c r="S4762">
        <v>0</v>
      </c>
      <c r="T4762">
        <v>1</v>
      </c>
    </row>
    <row r="4763" spans="1:20" ht="16.5" x14ac:dyDescent="0.3">
      <c r="A4763" t="s">
        <v>4817</v>
      </c>
      <c r="B4763" s="1">
        <v>45946</v>
      </c>
      <c r="C4763">
        <v>2025</v>
      </c>
      <c r="D4763" t="s">
        <v>1873</v>
      </c>
      <c r="E4763" t="s">
        <v>1874</v>
      </c>
      <c r="F4763" t="s">
        <v>38</v>
      </c>
      <c r="G4763" t="s">
        <v>39</v>
      </c>
      <c r="H4763" t="s">
        <v>36</v>
      </c>
      <c r="I4763" t="s">
        <v>26</v>
      </c>
      <c r="J4763" t="s">
        <v>27</v>
      </c>
      <c r="K4763" t="s">
        <v>32</v>
      </c>
      <c r="L4763" s="2">
        <v>20.5</v>
      </c>
      <c r="M4763" s="3">
        <v>262</v>
      </c>
      <c r="N4763">
        <v>3</v>
      </c>
      <c r="O4763">
        <v>3</v>
      </c>
      <c r="P4763">
        <v>1</v>
      </c>
      <c r="Q4763">
        <v>0</v>
      </c>
      <c r="R4763" s="4">
        <v>24.16</v>
      </c>
      <c r="S4763">
        <v>0</v>
      </c>
      <c r="T4763">
        <v>1</v>
      </c>
    </row>
    <row r="4764" spans="1:20" ht="16.5" x14ac:dyDescent="0.3">
      <c r="A4764" t="s">
        <v>4818</v>
      </c>
      <c r="B4764" s="1">
        <v>45946</v>
      </c>
      <c r="C4764">
        <v>2025</v>
      </c>
      <c r="D4764" t="s">
        <v>1873</v>
      </c>
      <c r="E4764" t="s">
        <v>1874</v>
      </c>
      <c r="F4764" t="s">
        <v>38</v>
      </c>
      <c r="G4764" t="s">
        <v>39</v>
      </c>
      <c r="H4764" t="s">
        <v>36</v>
      </c>
      <c r="I4764" t="s">
        <v>26</v>
      </c>
      <c r="J4764" t="s">
        <v>27</v>
      </c>
      <c r="K4764" t="s">
        <v>32</v>
      </c>
      <c r="L4764" s="2">
        <v>11.5</v>
      </c>
      <c r="M4764" s="3">
        <v>308</v>
      </c>
      <c r="N4764">
        <v>3</v>
      </c>
      <c r="O4764">
        <v>3</v>
      </c>
      <c r="P4764">
        <v>1</v>
      </c>
      <c r="Q4764">
        <v>0</v>
      </c>
      <c r="R4764" s="4">
        <v>19.5</v>
      </c>
      <c r="S4764">
        <v>0</v>
      </c>
      <c r="T4764">
        <v>1</v>
      </c>
    </row>
    <row r="4765" spans="1:20" ht="16.5" x14ac:dyDescent="0.3">
      <c r="A4765" t="s">
        <v>4819</v>
      </c>
      <c r="B4765" s="1">
        <v>45946</v>
      </c>
      <c r="C4765">
        <v>2025</v>
      </c>
      <c r="D4765" t="s">
        <v>1873</v>
      </c>
      <c r="E4765" t="s">
        <v>1874</v>
      </c>
      <c r="F4765" t="s">
        <v>38</v>
      </c>
      <c r="G4765" t="s">
        <v>39</v>
      </c>
      <c r="H4765" t="s">
        <v>51</v>
      </c>
      <c r="I4765" t="s">
        <v>26</v>
      </c>
      <c r="J4765" t="s">
        <v>27</v>
      </c>
      <c r="K4765" t="s">
        <v>28</v>
      </c>
      <c r="L4765" s="2">
        <v>141.19999999999999</v>
      </c>
      <c r="M4765" s="3">
        <v>934</v>
      </c>
      <c r="N4765">
        <v>5</v>
      </c>
      <c r="O4765">
        <v>5</v>
      </c>
      <c r="P4765">
        <v>1</v>
      </c>
      <c r="Q4765">
        <v>0</v>
      </c>
      <c r="R4765" s="4">
        <v>87.75</v>
      </c>
      <c r="S4765">
        <v>0</v>
      </c>
      <c r="T4765">
        <v>1</v>
      </c>
    </row>
    <row r="4766" spans="1:20" ht="16.5" x14ac:dyDescent="0.3">
      <c r="A4766" t="s">
        <v>4820</v>
      </c>
      <c r="B4766" s="1">
        <v>45946</v>
      </c>
      <c r="C4766">
        <v>2025</v>
      </c>
      <c r="D4766" t="s">
        <v>1873</v>
      </c>
      <c r="E4766" t="s">
        <v>1874</v>
      </c>
      <c r="F4766" t="s">
        <v>57</v>
      </c>
      <c r="G4766" t="s">
        <v>39</v>
      </c>
      <c r="H4766" t="s">
        <v>36</v>
      </c>
      <c r="I4766" t="s">
        <v>26</v>
      </c>
      <c r="J4766" t="s">
        <v>27</v>
      </c>
      <c r="K4766" t="s">
        <v>32</v>
      </c>
      <c r="L4766" s="2">
        <v>7.6</v>
      </c>
      <c r="M4766" s="3">
        <v>273</v>
      </c>
      <c r="N4766">
        <v>3</v>
      </c>
      <c r="O4766">
        <v>2</v>
      </c>
      <c r="P4766">
        <v>1</v>
      </c>
      <c r="Q4766">
        <v>0</v>
      </c>
      <c r="R4766" s="4">
        <v>14.17</v>
      </c>
      <c r="S4766">
        <v>0</v>
      </c>
      <c r="T4766">
        <v>1</v>
      </c>
    </row>
    <row r="4767" spans="1:20" ht="16.5" x14ac:dyDescent="0.3">
      <c r="A4767" t="s">
        <v>4821</v>
      </c>
      <c r="B4767" s="1">
        <v>45946</v>
      </c>
      <c r="C4767">
        <v>2025</v>
      </c>
      <c r="D4767" t="s">
        <v>1873</v>
      </c>
      <c r="E4767" t="s">
        <v>1874</v>
      </c>
      <c r="F4767" t="s">
        <v>23</v>
      </c>
      <c r="G4767" t="s">
        <v>24</v>
      </c>
      <c r="H4767" t="s">
        <v>48</v>
      </c>
      <c r="I4767" t="s">
        <v>26</v>
      </c>
      <c r="J4767" t="s">
        <v>27</v>
      </c>
      <c r="K4767" t="s">
        <v>28</v>
      </c>
      <c r="L4767" s="2">
        <v>220.6</v>
      </c>
      <c r="M4767" s="3">
        <v>600</v>
      </c>
      <c r="N4767">
        <v>4</v>
      </c>
      <c r="O4767">
        <v>4</v>
      </c>
      <c r="P4767">
        <v>1</v>
      </c>
      <c r="Q4767">
        <v>0</v>
      </c>
      <c r="R4767" s="4">
        <v>96.3</v>
      </c>
      <c r="S4767">
        <v>0</v>
      </c>
      <c r="T4767">
        <v>1</v>
      </c>
    </row>
    <row r="4768" spans="1:20" ht="16.5" x14ac:dyDescent="0.3">
      <c r="A4768" t="s">
        <v>4822</v>
      </c>
      <c r="B4768" s="1">
        <v>45946</v>
      </c>
      <c r="C4768">
        <v>2025</v>
      </c>
      <c r="D4768" t="s">
        <v>1873</v>
      </c>
      <c r="E4768" t="s">
        <v>1874</v>
      </c>
      <c r="F4768" t="s">
        <v>38</v>
      </c>
      <c r="G4768" t="s">
        <v>24</v>
      </c>
      <c r="H4768" t="s">
        <v>36</v>
      </c>
      <c r="I4768" t="s">
        <v>26</v>
      </c>
      <c r="J4768" t="s">
        <v>27</v>
      </c>
      <c r="K4768" t="s">
        <v>32</v>
      </c>
      <c r="L4768" s="2">
        <v>4.5999999999999996</v>
      </c>
      <c r="M4768" s="3">
        <v>232</v>
      </c>
      <c r="N4768">
        <v>3</v>
      </c>
      <c r="O4768">
        <v>2</v>
      </c>
      <c r="P4768">
        <v>1</v>
      </c>
      <c r="Q4768">
        <v>0</v>
      </c>
      <c r="R4768" s="4">
        <v>14.38</v>
      </c>
      <c r="S4768">
        <v>0</v>
      </c>
      <c r="T4768">
        <v>1</v>
      </c>
    </row>
    <row r="4769" spans="1:20" ht="16.5" x14ac:dyDescent="0.3">
      <c r="A4769" t="s">
        <v>4823</v>
      </c>
      <c r="B4769" s="1">
        <v>45946</v>
      </c>
      <c r="C4769">
        <v>2025</v>
      </c>
      <c r="D4769" t="s">
        <v>1873</v>
      </c>
      <c r="E4769" t="s">
        <v>1874</v>
      </c>
      <c r="F4769" t="s">
        <v>57</v>
      </c>
      <c r="G4769" t="s">
        <v>39</v>
      </c>
      <c r="H4769" t="s">
        <v>36</v>
      </c>
      <c r="I4769" t="s">
        <v>26</v>
      </c>
      <c r="J4769" t="s">
        <v>27</v>
      </c>
      <c r="K4769" t="s">
        <v>32</v>
      </c>
      <c r="L4769" s="2">
        <v>6</v>
      </c>
      <c r="M4769" s="3">
        <v>287</v>
      </c>
      <c r="N4769">
        <v>3</v>
      </c>
      <c r="O4769">
        <v>5</v>
      </c>
      <c r="P4769">
        <v>0</v>
      </c>
      <c r="Q4769">
        <v>2</v>
      </c>
      <c r="R4769" s="4">
        <v>14.18</v>
      </c>
      <c r="S4769">
        <v>0</v>
      </c>
      <c r="T4769">
        <v>1</v>
      </c>
    </row>
    <row r="4770" spans="1:20" ht="16.5" x14ac:dyDescent="0.3">
      <c r="A4770" t="s">
        <v>4824</v>
      </c>
      <c r="B4770" s="1">
        <v>45946</v>
      </c>
      <c r="C4770">
        <v>2025</v>
      </c>
      <c r="D4770" t="s">
        <v>1873</v>
      </c>
      <c r="E4770" t="s">
        <v>1874</v>
      </c>
      <c r="F4770" t="s">
        <v>38</v>
      </c>
      <c r="G4770" t="s">
        <v>39</v>
      </c>
      <c r="H4770" t="s">
        <v>43</v>
      </c>
      <c r="I4770" t="s">
        <v>26</v>
      </c>
      <c r="J4770" t="s">
        <v>27</v>
      </c>
      <c r="K4770" t="s">
        <v>32</v>
      </c>
      <c r="L4770" s="2">
        <v>2.6</v>
      </c>
      <c r="M4770" s="3">
        <v>1010</v>
      </c>
      <c r="N4770">
        <v>5</v>
      </c>
      <c r="O4770">
        <v>4</v>
      </c>
      <c r="P4770">
        <v>1</v>
      </c>
      <c r="Q4770">
        <v>0</v>
      </c>
      <c r="R4770" s="4">
        <v>22.22</v>
      </c>
      <c r="S4770">
        <v>0</v>
      </c>
      <c r="T4770">
        <v>1</v>
      </c>
    </row>
    <row r="4771" spans="1:20" ht="16.5" x14ac:dyDescent="0.3">
      <c r="A4771" t="s">
        <v>4825</v>
      </c>
      <c r="B4771" s="1">
        <v>45946</v>
      </c>
      <c r="C4771">
        <v>2025</v>
      </c>
      <c r="D4771" t="s">
        <v>1873</v>
      </c>
      <c r="E4771" t="s">
        <v>1874</v>
      </c>
      <c r="F4771" t="s">
        <v>34</v>
      </c>
      <c r="G4771" t="s">
        <v>39</v>
      </c>
      <c r="H4771" t="s">
        <v>36</v>
      </c>
      <c r="I4771" t="s">
        <v>26</v>
      </c>
      <c r="J4771" t="s">
        <v>27</v>
      </c>
      <c r="K4771" t="s">
        <v>28</v>
      </c>
      <c r="L4771" s="2">
        <v>116.1</v>
      </c>
      <c r="M4771" s="3">
        <v>269</v>
      </c>
      <c r="N4771">
        <v>3</v>
      </c>
      <c r="O4771">
        <v>3</v>
      </c>
      <c r="P4771">
        <v>1</v>
      </c>
      <c r="Q4771">
        <v>0</v>
      </c>
      <c r="R4771" s="4">
        <v>53.22</v>
      </c>
      <c r="S4771">
        <v>0</v>
      </c>
      <c r="T4771">
        <v>1</v>
      </c>
    </row>
    <row r="4772" spans="1:20" ht="16.5" x14ac:dyDescent="0.3">
      <c r="A4772" t="s">
        <v>4826</v>
      </c>
      <c r="B4772" s="1">
        <v>45947</v>
      </c>
      <c r="C4772">
        <v>2025</v>
      </c>
      <c r="D4772" t="s">
        <v>1873</v>
      </c>
      <c r="E4772" t="s">
        <v>1874</v>
      </c>
      <c r="F4772" t="s">
        <v>34</v>
      </c>
      <c r="G4772" t="s">
        <v>39</v>
      </c>
      <c r="H4772" t="s">
        <v>25</v>
      </c>
      <c r="I4772" t="s">
        <v>26</v>
      </c>
      <c r="J4772" t="s">
        <v>27</v>
      </c>
      <c r="K4772" t="s">
        <v>32</v>
      </c>
      <c r="L4772" s="2">
        <v>12</v>
      </c>
      <c r="M4772" s="3">
        <v>1020</v>
      </c>
      <c r="N4772">
        <v>4</v>
      </c>
      <c r="O4772">
        <v>4</v>
      </c>
      <c r="P4772">
        <v>1</v>
      </c>
      <c r="Q4772">
        <v>0</v>
      </c>
      <c r="R4772" s="4">
        <v>21.55</v>
      </c>
      <c r="S4772">
        <v>0</v>
      </c>
      <c r="T4772">
        <v>1</v>
      </c>
    </row>
    <row r="4773" spans="1:20" ht="16.5" x14ac:dyDescent="0.3">
      <c r="A4773" t="s">
        <v>4827</v>
      </c>
      <c r="B4773" s="1">
        <v>45947</v>
      </c>
      <c r="C4773">
        <v>2025</v>
      </c>
      <c r="D4773" t="s">
        <v>1873</v>
      </c>
      <c r="E4773" t="s">
        <v>1874</v>
      </c>
      <c r="F4773" t="s">
        <v>38</v>
      </c>
      <c r="G4773" t="s">
        <v>35</v>
      </c>
      <c r="H4773" t="s">
        <v>51</v>
      </c>
      <c r="I4773" t="s">
        <v>26</v>
      </c>
      <c r="J4773" t="s">
        <v>27</v>
      </c>
      <c r="K4773" t="s">
        <v>32</v>
      </c>
      <c r="L4773" s="2">
        <v>12.2</v>
      </c>
      <c r="M4773" s="3">
        <v>1175</v>
      </c>
      <c r="N4773">
        <v>5</v>
      </c>
      <c r="O4773">
        <v>5</v>
      </c>
      <c r="P4773">
        <v>1</v>
      </c>
      <c r="Q4773">
        <v>0</v>
      </c>
      <c r="R4773" s="4">
        <v>31.87</v>
      </c>
      <c r="S4773">
        <v>0</v>
      </c>
      <c r="T4773">
        <v>1</v>
      </c>
    </row>
    <row r="4774" spans="1:20" ht="16.5" x14ac:dyDescent="0.3">
      <c r="A4774" t="s">
        <v>4828</v>
      </c>
      <c r="B4774" s="1">
        <v>45947</v>
      </c>
      <c r="C4774">
        <v>2025</v>
      </c>
      <c r="D4774" t="s">
        <v>1873</v>
      </c>
      <c r="E4774" t="s">
        <v>1874</v>
      </c>
      <c r="F4774" t="s">
        <v>57</v>
      </c>
      <c r="G4774" t="s">
        <v>35</v>
      </c>
      <c r="H4774" t="s">
        <v>36</v>
      </c>
      <c r="I4774" t="s">
        <v>40</v>
      </c>
      <c r="J4774" t="s">
        <v>27</v>
      </c>
      <c r="K4774" t="s">
        <v>28</v>
      </c>
      <c r="L4774" s="2">
        <v>108.1</v>
      </c>
      <c r="M4774" s="3">
        <v>259</v>
      </c>
      <c r="N4774">
        <v>1</v>
      </c>
      <c r="O4774">
        <v>3</v>
      </c>
      <c r="P4774">
        <v>0</v>
      </c>
      <c r="Q4774">
        <v>2</v>
      </c>
      <c r="R4774" s="4">
        <v>112.13</v>
      </c>
      <c r="S4774">
        <v>0</v>
      </c>
      <c r="T4774">
        <v>1</v>
      </c>
    </row>
    <row r="4775" spans="1:20" ht="16.5" x14ac:dyDescent="0.3">
      <c r="A4775" t="s">
        <v>4829</v>
      </c>
      <c r="B4775" s="1">
        <v>45947</v>
      </c>
      <c r="C4775">
        <v>2025</v>
      </c>
      <c r="D4775" t="s">
        <v>1873</v>
      </c>
      <c r="E4775" t="s">
        <v>1874</v>
      </c>
      <c r="F4775" t="s">
        <v>34</v>
      </c>
      <c r="G4775" t="s">
        <v>24</v>
      </c>
      <c r="H4775" t="s">
        <v>51</v>
      </c>
      <c r="I4775" t="s">
        <v>40</v>
      </c>
      <c r="J4775" t="s">
        <v>41</v>
      </c>
      <c r="K4775" t="s">
        <v>32</v>
      </c>
      <c r="L4775" s="2">
        <v>13.8</v>
      </c>
      <c r="M4775" s="3">
        <v>1243</v>
      </c>
      <c r="N4775">
        <v>3</v>
      </c>
      <c r="O4775">
        <v>5</v>
      </c>
      <c r="P4775">
        <v>0</v>
      </c>
      <c r="Q4775">
        <v>2</v>
      </c>
      <c r="R4775" s="4">
        <v>79.22</v>
      </c>
      <c r="S4775">
        <v>0</v>
      </c>
      <c r="T4775">
        <v>1</v>
      </c>
    </row>
    <row r="4776" spans="1:20" ht="16.5" x14ac:dyDescent="0.3">
      <c r="A4776" t="s">
        <v>4830</v>
      </c>
      <c r="B4776" s="1">
        <v>45947</v>
      </c>
      <c r="C4776">
        <v>2025</v>
      </c>
      <c r="D4776" t="s">
        <v>1873</v>
      </c>
      <c r="E4776" t="s">
        <v>1874</v>
      </c>
      <c r="F4776" t="s">
        <v>38</v>
      </c>
      <c r="G4776" t="s">
        <v>24</v>
      </c>
      <c r="H4776" t="s">
        <v>36</v>
      </c>
      <c r="I4776" t="s">
        <v>31</v>
      </c>
      <c r="J4776" t="s">
        <v>27</v>
      </c>
      <c r="K4776" t="s">
        <v>32</v>
      </c>
      <c r="L4776" s="2">
        <v>14.5</v>
      </c>
      <c r="M4776" s="3">
        <v>307</v>
      </c>
      <c r="N4776">
        <v>5</v>
      </c>
      <c r="O4776">
        <v>5</v>
      </c>
      <c r="P4776">
        <v>1</v>
      </c>
      <c r="Q4776">
        <v>0</v>
      </c>
      <c r="R4776" s="4">
        <v>14.73</v>
      </c>
      <c r="S4776">
        <v>0</v>
      </c>
      <c r="T4776">
        <v>1</v>
      </c>
    </row>
    <row r="4777" spans="1:20" ht="16.5" x14ac:dyDescent="0.3">
      <c r="A4777" t="s">
        <v>4831</v>
      </c>
      <c r="B4777" s="1">
        <v>45947</v>
      </c>
      <c r="C4777">
        <v>2025</v>
      </c>
      <c r="D4777" t="s">
        <v>1873</v>
      </c>
      <c r="E4777" t="s">
        <v>1874</v>
      </c>
      <c r="F4777" t="s">
        <v>23</v>
      </c>
      <c r="G4777" t="s">
        <v>35</v>
      </c>
      <c r="H4777" t="s">
        <v>36</v>
      </c>
      <c r="I4777" t="s">
        <v>40</v>
      </c>
      <c r="J4777" t="s">
        <v>27</v>
      </c>
      <c r="K4777" t="s">
        <v>32</v>
      </c>
      <c r="L4777" s="2">
        <v>3.9</v>
      </c>
      <c r="M4777" s="3">
        <v>303</v>
      </c>
      <c r="N4777">
        <v>1</v>
      </c>
      <c r="O4777">
        <v>1</v>
      </c>
      <c r="P4777">
        <v>1</v>
      </c>
      <c r="Q4777">
        <v>0</v>
      </c>
      <c r="R4777" s="4">
        <v>24.01</v>
      </c>
      <c r="S4777">
        <v>0</v>
      </c>
      <c r="T4777">
        <v>1</v>
      </c>
    </row>
    <row r="4778" spans="1:20" ht="16.5" x14ac:dyDescent="0.3">
      <c r="A4778" t="s">
        <v>4832</v>
      </c>
      <c r="B4778" s="1">
        <v>45947</v>
      </c>
      <c r="C4778">
        <v>2025</v>
      </c>
      <c r="D4778" t="s">
        <v>1873</v>
      </c>
      <c r="E4778" t="s">
        <v>1874</v>
      </c>
      <c r="F4778" t="s">
        <v>38</v>
      </c>
      <c r="G4778" t="s">
        <v>39</v>
      </c>
      <c r="H4778" t="s">
        <v>36</v>
      </c>
      <c r="I4778" t="s">
        <v>31</v>
      </c>
      <c r="J4778" t="s">
        <v>27</v>
      </c>
      <c r="K4778" t="s">
        <v>32</v>
      </c>
      <c r="L4778" s="2">
        <v>4.5999999999999996</v>
      </c>
      <c r="M4778" s="3">
        <v>219</v>
      </c>
      <c r="N4778">
        <v>5</v>
      </c>
      <c r="O4778">
        <v>5</v>
      </c>
      <c r="P4778">
        <v>1</v>
      </c>
      <c r="Q4778">
        <v>0</v>
      </c>
      <c r="R4778" s="4">
        <v>8.9499999999999993</v>
      </c>
      <c r="S4778">
        <v>0</v>
      </c>
      <c r="T4778">
        <v>1</v>
      </c>
    </row>
    <row r="4779" spans="1:20" ht="16.5" x14ac:dyDescent="0.3">
      <c r="A4779" t="s">
        <v>4833</v>
      </c>
      <c r="B4779" s="1">
        <v>45947</v>
      </c>
      <c r="C4779">
        <v>2025</v>
      </c>
      <c r="D4779" t="s">
        <v>1873</v>
      </c>
      <c r="E4779" t="s">
        <v>1874</v>
      </c>
      <c r="F4779" t="s">
        <v>57</v>
      </c>
      <c r="G4779" t="s">
        <v>39</v>
      </c>
      <c r="H4779" t="s">
        <v>48</v>
      </c>
      <c r="I4779" t="s">
        <v>26</v>
      </c>
      <c r="J4779" t="s">
        <v>27</v>
      </c>
      <c r="K4779" t="s">
        <v>28</v>
      </c>
      <c r="L4779" s="2">
        <v>78.7</v>
      </c>
      <c r="M4779" s="3">
        <v>469</v>
      </c>
      <c r="N4779">
        <v>4</v>
      </c>
      <c r="O4779">
        <v>4</v>
      </c>
      <c r="P4779">
        <v>1</v>
      </c>
      <c r="Q4779">
        <v>0</v>
      </c>
      <c r="R4779" s="4">
        <v>46.14</v>
      </c>
      <c r="S4779">
        <v>0</v>
      </c>
      <c r="T4779">
        <v>1</v>
      </c>
    </row>
    <row r="4780" spans="1:20" ht="16.5" x14ac:dyDescent="0.3">
      <c r="A4780" t="s">
        <v>4834</v>
      </c>
      <c r="B4780" s="1">
        <v>45947</v>
      </c>
      <c r="C4780">
        <v>2025</v>
      </c>
      <c r="D4780" t="s">
        <v>1873</v>
      </c>
      <c r="E4780" t="s">
        <v>1874</v>
      </c>
      <c r="F4780" t="s">
        <v>38</v>
      </c>
      <c r="G4780" t="s">
        <v>35</v>
      </c>
      <c r="H4780" t="s">
        <v>48</v>
      </c>
      <c r="I4780" t="s">
        <v>40</v>
      </c>
      <c r="J4780" t="s">
        <v>27</v>
      </c>
      <c r="K4780" t="s">
        <v>32</v>
      </c>
      <c r="L4780" s="2">
        <v>4.4000000000000004</v>
      </c>
      <c r="M4780" s="3">
        <v>556</v>
      </c>
      <c r="N4780">
        <v>2</v>
      </c>
      <c r="O4780">
        <v>2</v>
      </c>
      <c r="P4780">
        <v>1</v>
      </c>
      <c r="Q4780">
        <v>0</v>
      </c>
      <c r="R4780" s="4">
        <v>34.49</v>
      </c>
      <c r="S4780">
        <v>0</v>
      </c>
      <c r="T4780">
        <v>1</v>
      </c>
    </row>
    <row r="4781" spans="1:20" ht="16.5" x14ac:dyDescent="0.3">
      <c r="A4781" t="s">
        <v>4835</v>
      </c>
      <c r="B4781" s="1">
        <v>45947</v>
      </c>
      <c r="C4781">
        <v>2025</v>
      </c>
      <c r="D4781" t="s">
        <v>1873</v>
      </c>
      <c r="E4781" t="s">
        <v>1874</v>
      </c>
      <c r="F4781" t="s">
        <v>38</v>
      </c>
      <c r="G4781" t="s">
        <v>24</v>
      </c>
      <c r="H4781" t="s">
        <v>48</v>
      </c>
      <c r="I4781" t="s">
        <v>26</v>
      </c>
      <c r="J4781" t="s">
        <v>27</v>
      </c>
      <c r="K4781" t="s">
        <v>28</v>
      </c>
      <c r="L4781" s="2">
        <v>89</v>
      </c>
      <c r="M4781" s="3">
        <v>604</v>
      </c>
      <c r="N4781">
        <v>4</v>
      </c>
      <c r="O4781">
        <v>3</v>
      </c>
      <c r="P4781">
        <v>1</v>
      </c>
      <c r="Q4781">
        <v>0</v>
      </c>
      <c r="R4781" s="4">
        <v>58.87</v>
      </c>
      <c r="S4781">
        <v>0</v>
      </c>
      <c r="T4781">
        <v>1</v>
      </c>
    </row>
    <row r="4782" spans="1:20" ht="16.5" x14ac:dyDescent="0.3">
      <c r="A4782" t="s">
        <v>4836</v>
      </c>
      <c r="B4782" s="1">
        <v>45948</v>
      </c>
      <c r="C4782">
        <v>2025</v>
      </c>
      <c r="D4782" t="s">
        <v>1873</v>
      </c>
      <c r="E4782" t="s">
        <v>1874</v>
      </c>
      <c r="F4782" t="s">
        <v>34</v>
      </c>
      <c r="G4782" t="s">
        <v>39</v>
      </c>
      <c r="H4782" t="s">
        <v>43</v>
      </c>
      <c r="I4782" t="s">
        <v>26</v>
      </c>
      <c r="J4782" t="s">
        <v>27</v>
      </c>
      <c r="K4782" t="s">
        <v>28</v>
      </c>
      <c r="L4782" s="2">
        <v>131.19999999999999</v>
      </c>
      <c r="M4782" s="3">
        <v>1232</v>
      </c>
      <c r="N4782">
        <v>5</v>
      </c>
      <c r="O4782">
        <v>5</v>
      </c>
      <c r="P4782">
        <v>1</v>
      </c>
      <c r="Q4782">
        <v>0</v>
      </c>
      <c r="R4782" s="4">
        <v>68.8</v>
      </c>
      <c r="S4782">
        <v>0</v>
      </c>
      <c r="T4782">
        <v>1</v>
      </c>
    </row>
    <row r="4783" spans="1:20" ht="16.5" x14ac:dyDescent="0.3">
      <c r="A4783" t="s">
        <v>4837</v>
      </c>
      <c r="B4783" s="1">
        <v>45948</v>
      </c>
      <c r="C4783">
        <v>2025</v>
      </c>
      <c r="D4783" t="s">
        <v>1873</v>
      </c>
      <c r="E4783" t="s">
        <v>1874</v>
      </c>
      <c r="F4783" t="s">
        <v>57</v>
      </c>
      <c r="G4783" t="s">
        <v>24</v>
      </c>
      <c r="H4783" t="s">
        <v>48</v>
      </c>
      <c r="I4783" t="s">
        <v>26</v>
      </c>
      <c r="J4783" t="s">
        <v>27</v>
      </c>
      <c r="K4783" t="s">
        <v>32</v>
      </c>
      <c r="L4783" s="2">
        <v>0.9</v>
      </c>
      <c r="M4783" s="3">
        <v>452</v>
      </c>
      <c r="N4783">
        <v>4</v>
      </c>
      <c r="O4783">
        <v>4</v>
      </c>
      <c r="P4783">
        <v>1</v>
      </c>
      <c r="Q4783">
        <v>0</v>
      </c>
      <c r="R4783" s="4">
        <v>12.14</v>
      </c>
      <c r="S4783">
        <v>0</v>
      </c>
      <c r="T4783">
        <v>1</v>
      </c>
    </row>
    <row r="4784" spans="1:20" ht="16.5" x14ac:dyDescent="0.3">
      <c r="A4784" t="s">
        <v>4838</v>
      </c>
      <c r="B4784" s="1">
        <v>45948</v>
      </c>
      <c r="C4784">
        <v>2025</v>
      </c>
      <c r="D4784" t="s">
        <v>1873</v>
      </c>
      <c r="E4784" t="s">
        <v>1874</v>
      </c>
      <c r="F4784" t="s">
        <v>38</v>
      </c>
      <c r="G4784" t="s">
        <v>24</v>
      </c>
      <c r="H4784" t="s">
        <v>48</v>
      </c>
      <c r="I4784" t="s">
        <v>31</v>
      </c>
      <c r="J4784" t="s">
        <v>27</v>
      </c>
      <c r="K4784" t="s">
        <v>28</v>
      </c>
      <c r="L4784" s="2">
        <v>46.8</v>
      </c>
      <c r="M4784" s="3">
        <v>475</v>
      </c>
      <c r="N4784">
        <v>6</v>
      </c>
      <c r="O4784">
        <v>6</v>
      </c>
      <c r="P4784">
        <v>1</v>
      </c>
      <c r="Q4784">
        <v>0</v>
      </c>
      <c r="R4784" s="4">
        <v>27.66</v>
      </c>
      <c r="S4784">
        <v>0</v>
      </c>
      <c r="T4784">
        <v>1</v>
      </c>
    </row>
    <row r="4785" spans="1:20" ht="16.5" x14ac:dyDescent="0.3">
      <c r="A4785" t="s">
        <v>4839</v>
      </c>
      <c r="B4785" s="1">
        <v>45948</v>
      </c>
      <c r="C4785">
        <v>2025</v>
      </c>
      <c r="D4785" t="s">
        <v>1873</v>
      </c>
      <c r="E4785" t="s">
        <v>1874</v>
      </c>
      <c r="F4785" t="s">
        <v>38</v>
      </c>
      <c r="G4785" t="s">
        <v>24</v>
      </c>
      <c r="H4785" t="s">
        <v>36</v>
      </c>
      <c r="I4785" t="s">
        <v>26</v>
      </c>
      <c r="J4785" t="s">
        <v>27</v>
      </c>
      <c r="K4785" t="s">
        <v>32</v>
      </c>
      <c r="L4785" s="2">
        <v>4.0999999999999996</v>
      </c>
      <c r="M4785" s="3">
        <v>305</v>
      </c>
      <c r="N4785">
        <v>3</v>
      </c>
      <c r="O4785">
        <v>3</v>
      </c>
      <c r="P4785">
        <v>1</v>
      </c>
      <c r="Q4785">
        <v>0</v>
      </c>
      <c r="R4785" s="4">
        <v>13.79</v>
      </c>
      <c r="S4785">
        <v>0</v>
      </c>
      <c r="T4785">
        <v>1</v>
      </c>
    </row>
    <row r="4786" spans="1:20" ht="16.5" x14ac:dyDescent="0.3">
      <c r="A4786" t="s">
        <v>4840</v>
      </c>
      <c r="B4786" s="1">
        <v>45948</v>
      </c>
      <c r="C4786">
        <v>2025</v>
      </c>
      <c r="D4786" t="s">
        <v>1873</v>
      </c>
      <c r="E4786" t="s">
        <v>1874</v>
      </c>
      <c r="F4786" t="s">
        <v>34</v>
      </c>
      <c r="G4786" t="s">
        <v>35</v>
      </c>
      <c r="H4786" t="s">
        <v>48</v>
      </c>
      <c r="I4786" t="s">
        <v>26</v>
      </c>
      <c r="J4786" t="s">
        <v>27</v>
      </c>
      <c r="K4786" t="s">
        <v>28</v>
      </c>
      <c r="L4786" s="2">
        <v>290.8</v>
      </c>
      <c r="M4786" s="3">
        <v>422</v>
      </c>
      <c r="N4786">
        <v>4</v>
      </c>
      <c r="O4786">
        <v>8</v>
      </c>
      <c r="P4786">
        <v>0</v>
      </c>
      <c r="Q4786">
        <v>4</v>
      </c>
      <c r="R4786" s="4">
        <v>109.76</v>
      </c>
      <c r="S4786">
        <v>0</v>
      </c>
      <c r="T4786">
        <v>1</v>
      </c>
    </row>
    <row r="4787" spans="1:20" ht="16.5" x14ac:dyDescent="0.3">
      <c r="A4787" t="s">
        <v>4841</v>
      </c>
      <c r="B4787" s="1">
        <v>45948</v>
      </c>
      <c r="C4787">
        <v>2025</v>
      </c>
      <c r="D4787" t="s">
        <v>1873</v>
      </c>
      <c r="E4787" t="s">
        <v>1874</v>
      </c>
      <c r="F4787" t="s">
        <v>34</v>
      </c>
      <c r="G4787" t="s">
        <v>35</v>
      </c>
      <c r="H4787" t="s">
        <v>36</v>
      </c>
      <c r="I4787" t="s">
        <v>26</v>
      </c>
      <c r="J4787" t="s">
        <v>27</v>
      </c>
      <c r="K4787" t="s">
        <v>32</v>
      </c>
      <c r="L4787" s="2">
        <v>2.7</v>
      </c>
      <c r="M4787" s="3">
        <v>262</v>
      </c>
      <c r="N4787">
        <v>3</v>
      </c>
      <c r="O4787">
        <v>3</v>
      </c>
      <c r="P4787">
        <v>1</v>
      </c>
      <c r="Q4787">
        <v>0</v>
      </c>
      <c r="R4787" s="4">
        <v>8.42</v>
      </c>
      <c r="S4787">
        <v>0</v>
      </c>
      <c r="T4787">
        <v>1</v>
      </c>
    </row>
    <row r="4788" spans="1:20" ht="16.5" x14ac:dyDescent="0.3">
      <c r="A4788" t="s">
        <v>4842</v>
      </c>
      <c r="B4788" s="1">
        <v>45948</v>
      </c>
      <c r="C4788">
        <v>2025</v>
      </c>
      <c r="D4788" t="s">
        <v>1873</v>
      </c>
      <c r="E4788" t="s">
        <v>1874</v>
      </c>
      <c r="F4788" t="s">
        <v>38</v>
      </c>
      <c r="G4788" t="s">
        <v>24</v>
      </c>
      <c r="H4788" t="s">
        <v>43</v>
      </c>
      <c r="I4788" t="s">
        <v>31</v>
      </c>
      <c r="J4788" t="s">
        <v>27</v>
      </c>
      <c r="K4788" t="s">
        <v>32</v>
      </c>
      <c r="L4788" s="2">
        <v>3.8</v>
      </c>
      <c r="M4788" s="3">
        <v>1339</v>
      </c>
      <c r="N4788">
        <v>7</v>
      </c>
      <c r="O4788">
        <v>6</v>
      </c>
      <c r="P4788">
        <v>1</v>
      </c>
      <c r="Q4788">
        <v>0</v>
      </c>
      <c r="R4788" s="4">
        <v>19.649999999999999</v>
      </c>
      <c r="S4788">
        <v>0</v>
      </c>
      <c r="T4788">
        <v>1</v>
      </c>
    </row>
    <row r="4789" spans="1:20" ht="16.5" x14ac:dyDescent="0.3">
      <c r="A4789" t="s">
        <v>4843</v>
      </c>
      <c r="B4789" s="1">
        <v>45948</v>
      </c>
      <c r="C4789">
        <v>2025</v>
      </c>
      <c r="D4789" t="s">
        <v>1873</v>
      </c>
      <c r="E4789" t="s">
        <v>1874</v>
      </c>
      <c r="F4789" t="s">
        <v>34</v>
      </c>
      <c r="G4789" t="s">
        <v>39</v>
      </c>
      <c r="H4789" t="s">
        <v>25</v>
      </c>
      <c r="I4789" t="s">
        <v>40</v>
      </c>
      <c r="J4789" t="s">
        <v>41</v>
      </c>
      <c r="K4789" t="s">
        <v>32</v>
      </c>
      <c r="L4789" s="2">
        <v>0.7</v>
      </c>
      <c r="M4789" s="3">
        <v>777</v>
      </c>
      <c r="N4789">
        <v>2</v>
      </c>
      <c r="O4789">
        <v>1</v>
      </c>
      <c r="P4789">
        <v>1</v>
      </c>
      <c r="Q4789">
        <v>0</v>
      </c>
      <c r="R4789" s="4">
        <v>43.45</v>
      </c>
      <c r="S4789">
        <v>0</v>
      </c>
      <c r="T4789">
        <v>1</v>
      </c>
    </row>
    <row r="4790" spans="1:20" ht="16.5" x14ac:dyDescent="0.3">
      <c r="A4790" t="s">
        <v>4844</v>
      </c>
      <c r="B4790" s="1">
        <v>45948</v>
      </c>
      <c r="C4790">
        <v>2025</v>
      </c>
      <c r="D4790" t="s">
        <v>1873</v>
      </c>
      <c r="E4790" t="s">
        <v>1874</v>
      </c>
      <c r="F4790" t="s">
        <v>23</v>
      </c>
      <c r="G4790" t="s">
        <v>35</v>
      </c>
      <c r="H4790" t="s">
        <v>48</v>
      </c>
      <c r="I4790" t="s">
        <v>31</v>
      </c>
      <c r="J4790" t="s">
        <v>27</v>
      </c>
      <c r="K4790" t="s">
        <v>32</v>
      </c>
      <c r="L4790" s="2">
        <v>1.8</v>
      </c>
      <c r="M4790" s="3">
        <v>497</v>
      </c>
      <c r="N4790">
        <v>6</v>
      </c>
      <c r="O4790">
        <v>6</v>
      </c>
      <c r="P4790">
        <v>1</v>
      </c>
      <c r="Q4790">
        <v>0</v>
      </c>
      <c r="R4790" s="4">
        <v>8.57</v>
      </c>
      <c r="S4790">
        <v>0</v>
      </c>
      <c r="T4790">
        <v>1</v>
      </c>
    </row>
    <row r="4791" spans="1:20" ht="16.5" x14ac:dyDescent="0.3">
      <c r="A4791" t="s">
        <v>4845</v>
      </c>
      <c r="B4791" s="1">
        <v>45948</v>
      </c>
      <c r="C4791">
        <v>2025</v>
      </c>
      <c r="D4791" t="s">
        <v>1873</v>
      </c>
      <c r="E4791" t="s">
        <v>1874</v>
      </c>
      <c r="F4791" t="s">
        <v>57</v>
      </c>
      <c r="G4791" t="s">
        <v>35</v>
      </c>
      <c r="H4791" t="s">
        <v>25</v>
      </c>
      <c r="I4791" t="s">
        <v>31</v>
      </c>
      <c r="J4791" t="s">
        <v>27</v>
      </c>
      <c r="K4791" t="s">
        <v>32</v>
      </c>
      <c r="L4791" s="2">
        <v>1</v>
      </c>
      <c r="M4791" s="3">
        <v>1080</v>
      </c>
      <c r="N4791">
        <v>6</v>
      </c>
      <c r="O4791">
        <v>9</v>
      </c>
      <c r="P4791">
        <v>0</v>
      </c>
      <c r="Q4791">
        <v>3</v>
      </c>
      <c r="R4791" s="4">
        <v>13.93</v>
      </c>
      <c r="S4791">
        <v>0</v>
      </c>
      <c r="T4791">
        <v>1</v>
      </c>
    </row>
    <row r="4792" spans="1:20" ht="16.5" x14ac:dyDescent="0.3">
      <c r="A4792" t="s">
        <v>4846</v>
      </c>
      <c r="B4792" s="1">
        <v>45948</v>
      </c>
      <c r="C4792">
        <v>2025</v>
      </c>
      <c r="D4792" t="s">
        <v>1873</v>
      </c>
      <c r="E4792" t="s">
        <v>1874</v>
      </c>
      <c r="F4792" t="s">
        <v>38</v>
      </c>
      <c r="G4792" t="s">
        <v>35</v>
      </c>
      <c r="H4792" t="s">
        <v>36</v>
      </c>
      <c r="I4792" t="s">
        <v>31</v>
      </c>
      <c r="J4792" t="s">
        <v>27</v>
      </c>
      <c r="K4792" t="s">
        <v>28</v>
      </c>
      <c r="L4792" s="2">
        <v>71.8</v>
      </c>
      <c r="M4792" s="3">
        <v>272</v>
      </c>
      <c r="N4792">
        <v>5</v>
      </c>
      <c r="O4792">
        <v>5</v>
      </c>
      <c r="P4792">
        <v>1</v>
      </c>
      <c r="Q4792">
        <v>0</v>
      </c>
      <c r="R4792" s="4">
        <v>32.85</v>
      </c>
      <c r="S4792">
        <v>0</v>
      </c>
      <c r="T4792">
        <v>1</v>
      </c>
    </row>
    <row r="4793" spans="1:20" ht="16.5" x14ac:dyDescent="0.3">
      <c r="A4793" t="s">
        <v>4847</v>
      </c>
      <c r="B4793" s="1">
        <v>45948</v>
      </c>
      <c r="C4793">
        <v>2025</v>
      </c>
      <c r="D4793" t="s">
        <v>1873</v>
      </c>
      <c r="E4793" t="s">
        <v>1874</v>
      </c>
      <c r="F4793" t="s">
        <v>23</v>
      </c>
      <c r="G4793" t="s">
        <v>39</v>
      </c>
      <c r="H4793" t="s">
        <v>36</v>
      </c>
      <c r="I4793" t="s">
        <v>31</v>
      </c>
      <c r="J4793" t="s">
        <v>27</v>
      </c>
      <c r="K4793" t="s">
        <v>32</v>
      </c>
      <c r="L4793" s="2">
        <v>5.6</v>
      </c>
      <c r="M4793" s="3">
        <v>257</v>
      </c>
      <c r="N4793">
        <v>5</v>
      </c>
      <c r="O4793">
        <v>5</v>
      </c>
      <c r="P4793">
        <v>1</v>
      </c>
      <c r="Q4793">
        <v>0</v>
      </c>
      <c r="R4793" s="4">
        <v>8.49</v>
      </c>
      <c r="S4793">
        <v>0</v>
      </c>
      <c r="T4793">
        <v>1</v>
      </c>
    </row>
    <row r="4794" spans="1:20" ht="16.5" x14ac:dyDescent="0.3">
      <c r="A4794" t="s">
        <v>4848</v>
      </c>
      <c r="B4794" s="1">
        <v>45948</v>
      </c>
      <c r="C4794">
        <v>2025</v>
      </c>
      <c r="D4794" t="s">
        <v>1873</v>
      </c>
      <c r="E4794" t="s">
        <v>1874</v>
      </c>
      <c r="F4794" t="s">
        <v>30</v>
      </c>
      <c r="G4794" t="s">
        <v>39</v>
      </c>
      <c r="H4794" t="s">
        <v>48</v>
      </c>
      <c r="I4794" t="s">
        <v>26</v>
      </c>
      <c r="J4794" t="s">
        <v>27</v>
      </c>
      <c r="K4794" t="s">
        <v>32</v>
      </c>
      <c r="L4794" s="2">
        <v>1.7</v>
      </c>
      <c r="M4794" s="3">
        <v>474</v>
      </c>
      <c r="N4794">
        <v>4</v>
      </c>
      <c r="O4794">
        <v>4</v>
      </c>
      <c r="P4794">
        <v>1</v>
      </c>
      <c r="Q4794">
        <v>0</v>
      </c>
      <c r="R4794" s="4">
        <v>12.79</v>
      </c>
      <c r="S4794">
        <v>0</v>
      </c>
      <c r="T4794">
        <v>1</v>
      </c>
    </row>
    <row r="4795" spans="1:20" ht="16.5" x14ac:dyDescent="0.3">
      <c r="A4795" t="s">
        <v>4849</v>
      </c>
      <c r="B4795" s="1">
        <v>45948</v>
      </c>
      <c r="C4795">
        <v>2025</v>
      </c>
      <c r="D4795" t="s">
        <v>1873</v>
      </c>
      <c r="E4795" t="s">
        <v>1874</v>
      </c>
      <c r="F4795" t="s">
        <v>23</v>
      </c>
      <c r="G4795" t="s">
        <v>39</v>
      </c>
      <c r="H4795" t="s">
        <v>36</v>
      </c>
      <c r="I4795" t="s">
        <v>26</v>
      </c>
      <c r="J4795" t="s">
        <v>27</v>
      </c>
      <c r="K4795" t="s">
        <v>32</v>
      </c>
      <c r="L4795" s="2">
        <v>5.3</v>
      </c>
      <c r="M4795" s="3">
        <v>244</v>
      </c>
      <c r="N4795">
        <v>3</v>
      </c>
      <c r="O4795">
        <v>2</v>
      </c>
      <c r="P4795">
        <v>1</v>
      </c>
      <c r="Q4795">
        <v>0</v>
      </c>
      <c r="R4795" s="4">
        <v>11.33</v>
      </c>
      <c r="S4795">
        <v>0</v>
      </c>
      <c r="T4795">
        <v>1</v>
      </c>
    </row>
    <row r="4796" spans="1:20" ht="16.5" x14ac:dyDescent="0.3">
      <c r="A4796" t="s">
        <v>4850</v>
      </c>
      <c r="B4796" s="1">
        <v>45949</v>
      </c>
      <c r="C4796">
        <v>2025</v>
      </c>
      <c r="D4796" t="s">
        <v>1873</v>
      </c>
      <c r="E4796" t="s">
        <v>1874</v>
      </c>
      <c r="F4796" t="s">
        <v>38</v>
      </c>
      <c r="G4796" t="s">
        <v>39</v>
      </c>
      <c r="H4796" t="s">
        <v>51</v>
      </c>
      <c r="I4796" t="s">
        <v>31</v>
      </c>
      <c r="J4796" t="s">
        <v>27</v>
      </c>
      <c r="K4796" t="s">
        <v>32</v>
      </c>
      <c r="L4796" s="2">
        <v>3.8</v>
      </c>
      <c r="M4796" s="3">
        <v>1083</v>
      </c>
      <c r="N4796">
        <v>7</v>
      </c>
      <c r="O4796">
        <v>10</v>
      </c>
      <c r="P4796">
        <v>0</v>
      </c>
      <c r="Q4796">
        <v>3</v>
      </c>
      <c r="R4796" s="4">
        <v>17.55</v>
      </c>
      <c r="S4796">
        <v>0</v>
      </c>
      <c r="T4796">
        <v>1</v>
      </c>
    </row>
    <row r="4797" spans="1:20" ht="16.5" x14ac:dyDescent="0.3">
      <c r="A4797" t="s">
        <v>4851</v>
      </c>
      <c r="B4797" s="1">
        <v>45949</v>
      </c>
      <c r="C4797">
        <v>2025</v>
      </c>
      <c r="D4797" t="s">
        <v>1873</v>
      </c>
      <c r="E4797" t="s">
        <v>1874</v>
      </c>
      <c r="F4797" t="s">
        <v>38</v>
      </c>
      <c r="G4797" t="s">
        <v>39</v>
      </c>
      <c r="H4797" t="s">
        <v>43</v>
      </c>
      <c r="I4797" t="s">
        <v>26</v>
      </c>
      <c r="J4797" t="s">
        <v>27</v>
      </c>
      <c r="K4797" t="s">
        <v>32</v>
      </c>
      <c r="L4797" s="2">
        <v>5.5</v>
      </c>
      <c r="M4797" s="3">
        <v>945</v>
      </c>
      <c r="N4797">
        <v>5</v>
      </c>
      <c r="O4797">
        <v>5</v>
      </c>
      <c r="P4797">
        <v>1</v>
      </c>
      <c r="Q4797">
        <v>0</v>
      </c>
      <c r="R4797" s="4">
        <v>23.39</v>
      </c>
      <c r="S4797">
        <v>0</v>
      </c>
      <c r="T4797">
        <v>1</v>
      </c>
    </row>
    <row r="4798" spans="1:20" ht="16.5" x14ac:dyDescent="0.3">
      <c r="A4798" t="s">
        <v>4852</v>
      </c>
      <c r="B4798" s="1">
        <v>45949</v>
      </c>
      <c r="C4798">
        <v>2025</v>
      </c>
      <c r="D4798" t="s">
        <v>1873</v>
      </c>
      <c r="E4798" t="s">
        <v>1874</v>
      </c>
      <c r="F4798" t="s">
        <v>38</v>
      </c>
      <c r="G4798" t="s">
        <v>35</v>
      </c>
      <c r="H4798" t="s">
        <v>36</v>
      </c>
      <c r="I4798" t="s">
        <v>26</v>
      </c>
      <c r="J4798" t="s">
        <v>27</v>
      </c>
      <c r="K4798" t="s">
        <v>28</v>
      </c>
      <c r="L4798" s="2">
        <v>41.5</v>
      </c>
      <c r="M4798" s="3">
        <v>270</v>
      </c>
      <c r="N4798">
        <v>3</v>
      </c>
      <c r="O4798">
        <v>3</v>
      </c>
      <c r="P4798">
        <v>1</v>
      </c>
      <c r="Q4798">
        <v>0</v>
      </c>
      <c r="R4798" s="4">
        <v>35.869999999999997</v>
      </c>
      <c r="S4798">
        <v>0</v>
      </c>
      <c r="T4798">
        <v>1</v>
      </c>
    </row>
    <row r="4799" spans="1:20" ht="16.5" x14ac:dyDescent="0.3">
      <c r="A4799" t="s">
        <v>4853</v>
      </c>
      <c r="B4799" s="1">
        <v>45949</v>
      </c>
      <c r="C4799">
        <v>2025</v>
      </c>
      <c r="D4799" t="s">
        <v>1873</v>
      </c>
      <c r="E4799" t="s">
        <v>1874</v>
      </c>
      <c r="F4799" t="s">
        <v>30</v>
      </c>
      <c r="G4799" t="s">
        <v>24</v>
      </c>
      <c r="H4799" t="s">
        <v>43</v>
      </c>
      <c r="I4799" t="s">
        <v>26</v>
      </c>
      <c r="J4799" t="s">
        <v>27</v>
      </c>
      <c r="K4799" t="s">
        <v>32</v>
      </c>
      <c r="L4799" s="2">
        <v>4.5</v>
      </c>
      <c r="M4799" s="3">
        <v>1338</v>
      </c>
      <c r="N4799">
        <v>5</v>
      </c>
      <c r="O4799">
        <v>6</v>
      </c>
      <c r="P4799">
        <v>0</v>
      </c>
      <c r="Q4799">
        <v>1</v>
      </c>
      <c r="R4799" s="4">
        <v>26.41</v>
      </c>
      <c r="S4799">
        <v>0</v>
      </c>
      <c r="T4799">
        <v>1</v>
      </c>
    </row>
    <row r="4800" spans="1:20" ht="16.5" x14ac:dyDescent="0.3">
      <c r="A4800" t="s">
        <v>4854</v>
      </c>
      <c r="B4800" s="1">
        <v>45949</v>
      </c>
      <c r="C4800">
        <v>2025</v>
      </c>
      <c r="D4800" t="s">
        <v>1873</v>
      </c>
      <c r="E4800" t="s">
        <v>1874</v>
      </c>
      <c r="F4800" t="s">
        <v>23</v>
      </c>
      <c r="G4800" t="s">
        <v>39</v>
      </c>
      <c r="H4800" t="s">
        <v>48</v>
      </c>
      <c r="I4800" t="s">
        <v>40</v>
      </c>
      <c r="J4800" t="s">
        <v>27</v>
      </c>
      <c r="K4800" t="s">
        <v>32</v>
      </c>
      <c r="L4800" s="2">
        <v>1.5</v>
      </c>
      <c r="M4800" s="3">
        <v>546</v>
      </c>
      <c r="N4800">
        <v>2</v>
      </c>
      <c r="O4800">
        <v>1</v>
      </c>
      <c r="P4800">
        <v>1</v>
      </c>
      <c r="Q4800">
        <v>0</v>
      </c>
      <c r="R4800" s="4">
        <v>27.56</v>
      </c>
      <c r="S4800">
        <v>0</v>
      </c>
      <c r="T4800">
        <v>1</v>
      </c>
    </row>
    <row r="4801" spans="1:20" ht="16.5" x14ac:dyDescent="0.3">
      <c r="A4801" t="s">
        <v>4855</v>
      </c>
      <c r="B4801" s="1">
        <v>45949</v>
      </c>
      <c r="C4801">
        <v>2025</v>
      </c>
      <c r="D4801" t="s">
        <v>1873</v>
      </c>
      <c r="E4801" t="s">
        <v>1874</v>
      </c>
      <c r="F4801" t="s">
        <v>57</v>
      </c>
      <c r="G4801" t="s">
        <v>39</v>
      </c>
      <c r="H4801" t="s">
        <v>25</v>
      </c>
      <c r="I4801" t="s">
        <v>26</v>
      </c>
      <c r="J4801" t="s">
        <v>27</v>
      </c>
      <c r="K4801" t="s">
        <v>32</v>
      </c>
      <c r="L4801" s="2">
        <v>3.3</v>
      </c>
      <c r="M4801" s="3">
        <v>641</v>
      </c>
      <c r="N4801">
        <v>4</v>
      </c>
      <c r="O4801">
        <v>6</v>
      </c>
      <c r="P4801">
        <v>0</v>
      </c>
      <c r="Q4801">
        <v>2</v>
      </c>
      <c r="R4801" s="4">
        <v>16.57</v>
      </c>
      <c r="S4801">
        <v>0</v>
      </c>
      <c r="T4801">
        <v>1</v>
      </c>
    </row>
    <row r="4802" spans="1:20" ht="16.5" x14ac:dyDescent="0.3">
      <c r="A4802" t="s">
        <v>4856</v>
      </c>
      <c r="B4802" s="1">
        <v>45949</v>
      </c>
      <c r="C4802">
        <v>2025</v>
      </c>
      <c r="D4802" t="s">
        <v>1873</v>
      </c>
      <c r="E4802" t="s">
        <v>1874</v>
      </c>
      <c r="F4802" t="s">
        <v>57</v>
      </c>
      <c r="G4802" t="s">
        <v>39</v>
      </c>
      <c r="H4802" t="s">
        <v>48</v>
      </c>
      <c r="I4802" t="s">
        <v>31</v>
      </c>
      <c r="J4802" t="s">
        <v>27</v>
      </c>
      <c r="K4802" t="s">
        <v>28</v>
      </c>
      <c r="L4802" s="2">
        <v>146.1</v>
      </c>
      <c r="M4802" s="3">
        <v>529</v>
      </c>
      <c r="N4802">
        <v>6</v>
      </c>
      <c r="O4802">
        <v>6</v>
      </c>
      <c r="P4802">
        <v>1</v>
      </c>
      <c r="Q4802">
        <v>0</v>
      </c>
      <c r="R4802" s="4">
        <v>49.26</v>
      </c>
      <c r="S4802">
        <v>0</v>
      </c>
      <c r="T4802">
        <v>1</v>
      </c>
    </row>
    <row r="4803" spans="1:20" ht="16.5" x14ac:dyDescent="0.3">
      <c r="A4803" t="s">
        <v>4857</v>
      </c>
      <c r="B4803" s="1">
        <v>45950</v>
      </c>
      <c r="C4803">
        <v>2025</v>
      </c>
      <c r="D4803" t="s">
        <v>1873</v>
      </c>
      <c r="E4803" t="s">
        <v>1874</v>
      </c>
      <c r="F4803" t="s">
        <v>34</v>
      </c>
      <c r="G4803" t="s">
        <v>24</v>
      </c>
      <c r="H4803" t="s">
        <v>48</v>
      </c>
      <c r="I4803" t="s">
        <v>31</v>
      </c>
      <c r="J4803" t="s">
        <v>27</v>
      </c>
      <c r="K4803" t="s">
        <v>28</v>
      </c>
      <c r="L4803" s="2">
        <v>91.8</v>
      </c>
      <c r="M4803" s="3">
        <v>294</v>
      </c>
      <c r="N4803">
        <v>6</v>
      </c>
      <c r="O4803">
        <v>5</v>
      </c>
      <c r="P4803">
        <v>1</v>
      </c>
      <c r="Q4803">
        <v>0</v>
      </c>
      <c r="R4803" s="4">
        <v>32.909999999999997</v>
      </c>
      <c r="S4803">
        <v>0</v>
      </c>
      <c r="T4803">
        <v>1</v>
      </c>
    </row>
    <row r="4804" spans="1:20" ht="16.5" x14ac:dyDescent="0.3">
      <c r="A4804" t="s">
        <v>4858</v>
      </c>
      <c r="B4804" s="1">
        <v>45950</v>
      </c>
      <c r="C4804">
        <v>2025</v>
      </c>
      <c r="D4804" t="s">
        <v>1873</v>
      </c>
      <c r="E4804" t="s">
        <v>1874</v>
      </c>
      <c r="F4804" t="s">
        <v>57</v>
      </c>
      <c r="G4804" t="s">
        <v>35</v>
      </c>
      <c r="H4804" t="s">
        <v>36</v>
      </c>
      <c r="I4804" t="s">
        <v>26</v>
      </c>
      <c r="J4804" t="s">
        <v>27</v>
      </c>
      <c r="K4804" t="s">
        <v>32</v>
      </c>
      <c r="L4804" s="2">
        <v>19.2</v>
      </c>
      <c r="M4804" s="3">
        <v>199</v>
      </c>
      <c r="N4804">
        <v>3</v>
      </c>
      <c r="O4804">
        <v>3</v>
      </c>
      <c r="P4804">
        <v>1</v>
      </c>
      <c r="Q4804">
        <v>0</v>
      </c>
      <c r="R4804" s="4">
        <v>21.53</v>
      </c>
      <c r="S4804">
        <v>0</v>
      </c>
      <c r="T4804">
        <v>1</v>
      </c>
    </row>
    <row r="4805" spans="1:20" ht="16.5" x14ac:dyDescent="0.3">
      <c r="A4805" t="s">
        <v>4859</v>
      </c>
      <c r="B4805" s="1">
        <v>45950</v>
      </c>
      <c r="C4805">
        <v>2025</v>
      </c>
      <c r="D4805" t="s">
        <v>1873</v>
      </c>
      <c r="E4805" t="s">
        <v>1874</v>
      </c>
      <c r="F4805" t="s">
        <v>57</v>
      </c>
      <c r="G4805" t="s">
        <v>39</v>
      </c>
      <c r="H4805" t="s">
        <v>51</v>
      </c>
      <c r="I4805" t="s">
        <v>26</v>
      </c>
      <c r="J4805" t="s">
        <v>27</v>
      </c>
      <c r="K4805" t="s">
        <v>28</v>
      </c>
      <c r="L4805" s="2">
        <v>16.8</v>
      </c>
      <c r="M4805" s="3">
        <v>1172</v>
      </c>
      <c r="N4805">
        <v>5</v>
      </c>
      <c r="O4805">
        <v>5</v>
      </c>
      <c r="P4805">
        <v>1</v>
      </c>
      <c r="Q4805">
        <v>0</v>
      </c>
      <c r="R4805" s="4">
        <v>30.89</v>
      </c>
      <c r="S4805">
        <v>1</v>
      </c>
      <c r="T4805">
        <v>1</v>
      </c>
    </row>
    <row r="4806" spans="1:20" ht="16.5" x14ac:dyDescent="0.3">
      <c r="A4806" t="s">
        <v>4860</v>
      </c>
      <c r="B4806" s="1">
        <v>45950</v>
      </c>
      <c r="C4806">
        <v>2025</v>
      </c>
      <c r="D4806" t="s">
        <v>1873</v>
      </c>
      <c r="E4806" t="s">
        <v>1874</v>
      </c>
      <c r="F4806" t="s">
        <v>38</v>
      </c>
      <c r="G4806" t="s">
        <v>35</v>
      </c>
      <c r="H4806" t="s">
        <v>25</v>
      </c>
      <c r="I4806" t="s">
        <v>26</v>
      </c>
      <c r="J4806" t="s">
        <v>27</v>
      </c>
      <c r="K4806" t="s">
        <v>32</v>
      </c>
      <c r="L4806" s="2">
        <v>5.0999999999999996</v>
      </c>
      <c r="M4806" s="3">
        <v>707</v>
      </c>
      <c r="N4806">
        <v>4</v>
      </c>
      <c r="O4806">
        <v>4</v>
      </c>
      <c r="P4806">
        <v>1</v>
      </c>
      <c r="Q4806">
        <v>0</v>
      </c>
      <c r="R4806" s="4">
        <v>20.54</v>
      </c>
      <c r="S4806">
        <v>0</v>
      </c>
      <c r="T4806">
        <v>1</v>
      </c>
    </row>
    <row r="4807" spans="1:20" ht="16.5" x14ac:dyDescent="0.3">
      <c r="A4807" t="s">
        <v>4861</v>
      </c>
      <c r="B4807" s="1">
        <v>45950</v>
      </c>
      <c r="C4807">
        <v>2025</v>
      </c>
      <c r="D4807" t="s">
        <v>1873</v>
      </c>
      <c r="E4807" t="s">
        <v>1874</v>
      </c>
      <c r="F4807" t="s">
        <v>23</v>
      </c>
      <c r="G4807" t="s">
        <v>35</v>
      </c>
      <c r="H4807" t="s">
        <v>51</v>
      </c>
      <c r="I4807" t="s">
        <v>26</v>
      </c>
      <c r="J4807" t="s">
        <v>27</v>
      </c>
      <c r="K4807" t="s">
        <v>28</v>
      </c>
      <c r="L4807" s="2">
        <v>91.5</v>
      </c>
      <c r="M4807" s="3">
        <v>910</v>
      </c>
      <c r="N4807">
        <v>5</v>
      </c>
      <c r="O4807">
        <v>5</v>
      </c>
      <c r="P4807">
        <v>1</v>
      </c>
      <c r="Q4807">
        <v>0</v>
      </c>
      <c r="R4807" s="4">
        <v>52.79</v>
      </c>
      <c r="S4807">
        <v>0</v>
      </c>
      <c r="T4807">
        <v>1</v>
      </c>
    </row>
    <row r="4808" spans="1:20" ht="16.5" x14ac:dyDescent="0.3">
      <c r="A4808" t="s">
        <v>4862</v>
      </c>
      <c r="B4808" s="1">
        <v>45951</v>
      </c>
      <c r="C4808">
        <v>2025</v>
      </c>
      <c r="D4808" t="s">
        <v>1873</v>
      </c>
      <c r="E4808" t="s">
        <v>1874</v>
      </c>
      <c r="F4808" t="s">
        <v>34</v>
      </c>
      <c r="G4808" t="s">
        <v>35</v>
      </c>
      <c r="H4808" t="s">
        <v>25</v>
      </c>
      <c r="I4808" t="s">
        <v>26</v>
      </c>
      <c r="J4808" t="s">
        <v>27</v>
      </c>
      <c r="K4808" t="s">
        <v>28</v>
      </c>
      <c r="L4808" s="2">
        <v>46.3</v>
      </c>
      <c r="M4808" s="3">
        <v>720</v>
      </c>
      <c r="N4808">
        <v>4</v>
      </c>
      <c r="O4808">
        <v>4</v>
      </c>
      <c r="P4808">
        <v>1</v>
      </c>
      <c r="Q4808">
        <v>0</v>
      </c>
      <c r="R4808" s="4">
        <v>35.06</v>
      </c>
      <c r="S4808">
        <v>0</v>
      </c>
      <c r="T4808">
        <v>1</v>
      </c>
    </row>
    <row r="4809" spans="1:20" ht="16.5" x14ac:dyDescent="0.3">
      <c r="A4809" t="s">
        <v>4863</v>
      </c>
      <c r="B4809" s="1">
        <v>45951</v>
      </c>
      <c r="C4809">
        <v>2025</v>
      </c>
      <c r="D4809" t="s">
        <v>1873</v>
      </c>
      <c r="E4809" t="s">
        <v>1874</v>
      </c>
      <c r="F4809" t="s">
        <v>57</v>
      </c>
      <c r="G4809" t="s">
        <v>35</v>
      </c>
      <c r="H4809" t="s">
        <v>48</v>
      </c>
      <c r="I4809" t="s">
        <v>40</v>
      </c>
      <c r="J4809" t="s">
        <v>27</v>
      </c>
      <c r="K4809" t="s">
        <v>32</v>
      </c>
      <c r="L4809" s="2">
        <v>2.5</v>
      </c>
      <c r="M4809" s="3">
        <v>577</v>
      </c>
      <c r="N4809">
        <v>2</v>
      </c>
      <c r="O4809">
        <v>1</v>
      </c>
      <c r="P4809">
        <v>1</v>
      </c>
      <c r="Q4809">
        <v>0</v>
      </c>
      <c r="R4809" s="4">
        <v>27.95</v>
      </c>
      <c r="S4809">
        <v>0</v>
      </c>
      <c r="T4809">
        <v>1</v>
      </c>
    </row>
    <row r="4810" spans="1:20" ht="16.5" x14ac:dyDescent="0.3">
      <c r="A4810" t="s">
        <v>4864</v>
      </c>
      <c r="B4810" s="1">
        <v>45951</v>
      </c>
      <c r="C4810">
        <v>2025</v>
      </c>
      <c r="D4810" t="s">
        <v>1873</v>
      </c>
      <c r="E4810" t="s">
        <v>1874</v>
      </c>
      <c r="F4810" t="s">
        <v>30</v>
      </c>
      <c r="G4810" t="s">
        <v>24</v>
      </c>
      <c r="H4810" t="s">
        <v>25</v>
      </c>
      <c r="I4810" t="s">
        <v>26</v>
      </c>
      <c r="J4810" t="s">
        <v>27</v>
      </c>
      <c r="K4810" t="s">
        <v>32</v>
      </c>
      <c r="L4810" s="2">
        <v>2.5</v>
      </c>
      <c r="M4810" s="3">
        <v>998</v>
      </c>
      <c r="N4810">
        <v>4</v>
      </c>
      <c r="O4810">
        <v>4</v>
      </c>
      <c r="P4810">
        <v>1</v>
      </c>
      <c r="Q4810">
        <v>0</v>
      </c>
      <c r="R4810" s="4">
        <v>21.44</v>
      </c>
      <c r="S4810">
        <v>0</v>
      </c>
      <c r="T4810">
        <v>1</v>
      </c>
    </row>
    <row r="4811" spans="1:20" ht="16.5" x14ac:dyDescent="0.3">
      <c r="A4811" t="s">
        <v>4865</v>
      </c>
      <c r="B4811" s="1">
        <v>45951</v>
      </c>
      <c r="C4811">
        <v>2025</v>
      </c>
      <c r="D4811" t="s">
        <v>1873</v>
      </c>
      <c r="E4811" t="s">
        <v>1874</v>
      </c>
      <c r="F4811" t="s">
        <v>34</v>
      </c>
      <c r="G4811" t="s">
        <v>39</v>
      </c>
      <c r="H4811" t="s">
        <v>48</v>
      </c>
      <c r="I4811" t="s">
        <v>31</v>
      </c>
      <c r="J4811" t="s">
        <v>27</v>
      </c>
      <c r="K4811" t="s">
        <v>32</v>
      </c>
      <c r="L4811" s="2">
        <v>5.7</v>
      </c>
      <c r="M4811" s="3">
        <v>452</v>
      </c>
      <c r="N4811">
        <v>6</v>
      </c>
      <c r="O4811">
        <v>6</v>
      </c>
      <c r="P4811">
        <v>1</v>
      </c>
      <c r="Q4811">
        <v>0</v>
      </c>
      <c r="R4811" s="4">
        <v>9.6199999999999992</v>
      </c>
      <c r="S4811">
        <v>0</v>
      </c>
      <c r="T4811">
        <v>1</v>
      </c>
    </row>
    <row r="4812" spans="1:20" ht="16.5" x14ac:dyDescent="0.3">
      <c r="A4812" t="s">
        <v>4866</v>
      </c>
      <c r="B4812" s="1">
        <v>45951</v>
      </c>
      <c r="C4812">
        <v>2025</v>
      </c>
      <c r="D4812" t="s">
        <v>1873</v>
      </c>
      <c r="E4812" t="s">
        <v>1874</v>
      </c>
      <c r="F4812" t="s">
        <v>38</v>
      </c>
      <c r="G4812" t="s">
        <v>35</v>
      </c>
      <c r="H4812" t="s">
        <v>43</v>
      </c>
      <c r="I4812" t="s">
        <v>31</v>
      </c>
      <c r="J4812" t="s">
        <v>27</v>
      </c>
      <c r="K4812" t="s">
        <v>32</v>
      </c>
      <c r="L4812" s="2">
        <v>13.1</v>
      </c>
      <c r="M4812" s="3">
        <v>1297</v>
      </c>
      <c r="N4812">
        <v>7</v>
      </c>
      <c r="O4812">
        <v>7</v>
      </c>
      <c r="P4812">
        <v>1</v>
      </c>
      <c r="Q4812">
        <v>0</v>
      </c>
      <c r="R4812" s="4">
        <v>22.25</v>
      </c>
      <c r="S4812">
        <v>0</v>
      </c>
      <c r="T4812">
        <v>1</v>
      </c>
    </row>
    <row r="4813" spans="1:20" ht="16.5" x14ac:dyDescent="0.3">
      <c r="A4813" t="s">
        <v>4867</v>
      </c>
      <c r="B4813" s="1">
        <v>45951</v>
      </c>
      <c r="C4813">
        <v>2025</v>
      </c>
      <c r="D4813" t="s">
        <v>1873</v>
      </c>
      <c r="E4813" t="s">
        <v>1874</v>
      </c>
      <c r="F4813" t="s">
        <v>23</v>
      </c>
      <c r="G4813" t="s">
        <v>39</v>
      </c>
      <c r="H4813" t="s">
        <v>25</v>
      </c>
      <c r="I4813" t="s">
        <v>31</v>
      </c>
      <c r="J4813" t="s">
        <v>27</v>
      </c>
      <c r="K4813" t="s">
        <v>32</v>
      </c>
      <c r="L4813" s="2">
        <v>13.2</v>
      </c>
      <c r="M4813" s="3">
        <v>1008</v>
      </c>
      <c r="N4813">
        <v>6</v>
      </c>
      <c r="O4813">
        <v>5</v>
      </c>
      <c r="P4813">
        <v>1</v>
      </c>
      <c r="Q4813">
        <v>0</v>
      </c>
      <c r="R4813" s="4">
        <v>20.04</v>
      </c>
      <c r="S4813">
        <v>0</v>
      </c>
      <c r="T4813">
        <v>1</v>
      </c>
    </row>
    <row r="4814" spans="1:20" ht="16.5" x14ac:dyDescent="0.3">
      <c r="A4814" t="s">
        <v>4868</v>
      </c>
      <c r="B4814" s="1">
        <v>45951</v>
      </c>
      <c r="C4814">
        <v>2025</v>
      </c>
      <c r="D4814" t="s">
        <v>1873</v>
      </c>
      <c r="E4814" t="s">
        <v>1874</v>
      </c>
      <c r="F4814" t="s">
        <v>23</v>
      </c>
      <c r="G4814" t="s">
        <v>39</v>
      </c>
      <c r="H4814" t="s">
        <v>48</v>
      </c>
      <c r="I4814" t="s">
        <v>26</v>
      </c>
      <c r="J4814" t="s">
        <v>27</v>
      </c>
      <c r="K4814" t="s">
        <v>32</v>
      </c>
      <c r="L4814" s="2">
        <v>9</v>
      </c>
      <c r="M4814" s="3">
        <v>439</v>
      </c>
      <c r="N4814">
        <v>4</v>
      </c>
      <c r="O4814">
        <v>3</v>
      </c>
      <c r="P4814">
        <v>1</v>
      </c>
      <c r="Q4814">
        <v>0</v>
      </c>
      <c r="R4814" s="4">
        <v>15.63</v>
      </c>
      <c r="S4814">
        <v>0</v>
      </c>
      <c r="T4814">
        <v>1</v>
      </c>
    </row>
    <row r="4815" spans="1:20" ht="16.5" x14ac:dyDescent="0.3">
      <c r="A4815" t="s">
        <v>4869</v>
      </c>
      <c r="B4815" s="1">
        <v>45951</v>
      </c>
      <c r="C4815">
        <v>2025</v>
      </c>
      <c r="D4815" t="s">
        <v>1873</v>
      </c>
      <c r="E4815" t="s">
        <v>1874</v>
      </c>
      <c r="F4815" t="s">
        <v>23</v>
      </c>
      <c r="G4815" t="s">
        <v>35</v>
      </c>
      <c r="H4815" t="s">
        <v>25</v>
      </c>
      <c r="I4815" t="s">
        <v>31</v>
      </c>
      <c r="J4815" t="s">
        <v>27</v>
      </c>
      <c r="K4815" t="s">
        <v>32</v>
      </c>
      <c r="L4815" s="2">
        <v>2.8</v>
      </c>
      <c r="M4815" s="3">
        <v>746</v>
      </c>
      <c r="N4815">
        <v>6</v>
      </c>
      <c r="O4815">
        <v>5</v>
      </c>
      <c r="P4815">
        <v>1</v>
      </c>
      <c r="Q4815">
        <v>0</v>
      </c>
      <c r="R4815" s="4">
        <v>11.3</v>
      </c>
      <c r="S4815">
        <v>0</v>
      </c>
      <c r="T4815">
        <v>1</v>
      </c>
    </row>
    <row r="4816" spans="1:20" ht="16.5" x14ac:dyDescent="0.3">
      <c r="A4816" t="s">
        <v>4870</v>
      </c>
      <c r="B4816" s="1">
        <v>45951</v>
      </c>
      <c r="C4816">
        <v>2025</v>
      </c>
      <c r="D4816" t="s">
        <v>1873</v>
      </c>
      <c r="E4816" t="s">
        <v>1874</v>
      </c>
      <c r="F4816" t="s">
        <v>34</v>
      </c>
      <c r="G4816" t="s">
        <v>24</v>
      </c>
      <c r="H4816" t="s">
        <v>48</v>
      </c>
      <c r="I4816" t="s">
        <v>26</v>
      </c>
      <c r="J4816" t="s">
        <v>27</v>
      </c>
      <c r="K4816" t="s">
        <v>32</v>
      </c>
      <c r="L4816" s="2">
        <v>13.7</v>
      </c>
      <c r="M4816" s="3">
        <v>463</v>
      </c>
      <c r="N4816">
        <v>4</v>
      </c>
      <c r="O4816">
        <v>4</v>
      </c>
      <c r="P4816">
        <v>1</v>
      </c>
      <c r="Q4816">
        <v>0</v>
      </c>
      <c r="R4816" s="4">
        <v>16.95</v>
      </c>
      <c r="S4816">
        <v>0</v>
      </c>
      <c r="T4816">
        <v>1</v>
      </c>
    </row>
    <row r="4817" spans="1:20" ht="16.5" x14ac:dyDescent="0.3">
      <c r="A4817" t="s">
        <v>4871</v>
      </c>
      <c r="B4817" s="1">
        <v>45951</v>
      </c>
      <c r="C4817">
        <v>2025</v>
      </c>
      <c r="D4817" t="s">
        <v>1873</v>
      </c>
      <c r="E4817" t="s">
        <v>1874</v>
      </c>
      <c r="F4817" t="s">
        <v>57</v>
      </c>
      <c r="G4817" t="s">
        <v>24</v>
      </c>
      <c r="H4817" t="s">
        <v>25</v>
      </c>
      <c r="I4817" t="s">
        <v>40</v>
      </c>
      <c r="J4817" t="s">
        <v>41</v>
      </c>
      <c r="K4817" t="s">
        <v>28</v>
      </c>
      <c r="L4817" s="2">
        <v>250.3</v>
      </c>
      <c r="M4817" s="3">
        <v>1063</v>
      </c>
      <c r="N4817">
        <v>2</v>
      </c>
      <c r="O4817">
        <v>2</v>
      </c>
      <c r="P4817">
        <v>1</v>
      </c>
      <c r="Q4817">
        <v>0</v>
      </c>
      <c r="R4817" s="4">
        <v>346.87</v>
      </c>
      <c r="S4817">
        <v>0</v>
      </c>
      <c r="T4817">
        <v>1</v>
      </c>
    </row>
    <row r="4818" spans="1:20" ht="16.5" x14ac:dyDescent="0.3">
      <c r="A4818" t="s">
        <v>4872</v>
      </c>
      <c r="B4818" s="1">
        <v>45952</v>
      </c>
      <c r="C4818">
        <v>2025</v>
      </c>
      <c r="D4818" t="s">
        <v>1873</v>
      </c>
      <c r="E4818" t="s">
        <v>1874</v>
      </c>
      <c r="F4818" t="s">
        <v>34</v>
      </c>
      <c r="G4818" t="s">
        <v>39</v>
      </c>
      <c r="H4818" t="s">
        <v>36</v>
      </c>
      <c r="I4818" t="s">
        <v>31</v>
      </c>
      <c r="J4818" t="s">
        <v>27</v>
      </c>
      <c r="K4818" t="s">
        <v>32</v>
      </c>
      <c r="L4818" s="2">
        <v>4.3</v>
      </c>
      <c r="M4818" s="3">
        <v>271</v>
      </c>
      <c r="N4818">
        <v>5</v>
      </c>
      <c r="O4818">
        <v>4</v>
      </c>
      <c r="P4818">
        <v>1</v>
      </c>
      <c r="Q4818">
        <v>0</v>
      </c>
      <c r="R4818" s="4">
        <v>8.18</v>
      </c>
      <c r="S4818">
        <v>0</v>
      </c>
      <c r="T4818">
        <v>1</v>
      </c>
    </row>
    <row r="4819" spans="1:20" ht="16.5" x14ac:dyDescent="0.3">
      <c r="A4819" t="s">
        <v>4873</v>
      </c>
      <c r="B4819" s="1">
        <v>45952</v>
      </c>
      <c r="C4819">
        <v>2025</v>
      </c>
      <c r="D4819" t="s">
        <v>1873</v>
      </c>
      <c r="E4819" t="s">
        <v>1874</v>
      </c>
      <c r="F4819" t="s">
        <v>23</v>
      </c>
      <c r="G4819" t="s">
        <v>39</v>
      </c>
      <c r="H4819" t="s">
        <v>48</v>
      </c>
      <c r="I4819" t="s">
        <v>31</v>
      </c>
      <c r="J4819" t="s">
        <v>27</v>
      </c>
      <c r="K4819" t="s">
        <v>28</v>
      </c>
      <c r="L4819" s="2">
        <v>93</v>
      </c>
      <c r="M4819" s="3">
        <v>524</v>
      </c>
      <c r="N4819">
        <v>6</v>
      </c>
      <c r="O4819">
        <v>6</v>
      </c>
      <c r="P4819">
        <v>1</v>
      </c>
      <c r="Q4819">
        <v>0</v>
      </c>
      <c r="R4819" s="4">
        <v>33.28</v>
      </c>
      <c r="S4819">
        <v>0</v>
      </c>
      <c r="T4819">
        <v>1</v>
      </c>
    </row>
    <row r="4820" spans="1:20" ht="16.5" x14ac:dyDescent="0.3">
      <c r="A4820" t="s">
        <v>4874</v>
      </c>
      <c r="B4820" s="1">
        <v>45952</v>
      </c>
      <c r="C4820">
        <v>2025</v>
      </c>
      <c r="D4820" t="s">
        <v>1873</v>
      </c>
      <c r="E4820" t="s">
        <v>1874</v>
      </c>
      <c r="F4820" t="s">
        <v>38</v>
      </c>
      <c r="G4820" t="s">
        <v>24</v>
      </c>
      <c r="H4820" t="s">
        <v>43</v>
      </c>
      <c r="I4820" t="s">
        <v>31</v>
      </c>
      <c r="J4820" t="s">
        <v>27</v>
      </c>
      <c r="K4820" t="s">
        <v>32</v>
      </c>
      <c r="L4820" s="2">
        <v>2.7</v>
      </c>
      <c r="M4820" s="3">
        <v>1435</v>
      </c>
      <c r="N4820">
        <v>7</v>
      </c>
      <c r="O4820">
        <v>6</v>
      </c>
      <c r="P4820">
        <v>1</v>
      </c>
      <c r="Q4820">
        <v>0</v>
      </c>
      <c r="R4820" s="4">
        <v>22.19</v>
      </c>
      <c r="S4820">
        <v>0</v>
      </c>
      <c r="T4820">
        <v>1</v>
      </c>
    </row>
    <row r="4821" spans="1:20" ht="16.5" x14ac:dyDescent="0.3">
      <c r="A4821" t="s">
        <v>4875</v>
      </c>
      <c r="B4821" s="1">
        <v>45952</v>
      </c>
      <c r="C4821">
        <v>2025</v>
      </c>
      <c r="D4821" t="s">
        <v>1873</v>
      </c>
      <c r="E4821" t="s">
        <v>1874</v>
      </c>
      <c r="F4821" t="s">
        <v>38</v>
      </c>
      <c r="G4821" t="s">
        <v>35</v>
      </c>
      <c r="H4821" t="s">
        <v>36</v>
      </c>
      <c r="I4821" t="s">
        <v>31</v>
      </c>
      <c r="J4821" t="s">
        <v>27</v>
      </c>
      <c r="K4821" t="s">
        <v>32</v>
      </c>
      <c r="L4821" s="2">
        <v>7.6</v>
      </c>
      <c r="M4821" s="3">
        <v>263</v>
      </c>
      <c r="N4821">
        <v>5</v>
      </c>
      <c r="O4821">
        <v>5</v>
      </c>
      <c r="P4821">
        <v>1</v>
      </c>
      <c r="Q4821">
        <v>0</v>
      </c>
      <c r="R4821" s="4">
        <v>10.46</v>
      </c>
      <c r="S4821">
        <v>0</v>
      </c>
      <c r="T4821">
        <v>1</v>
      </c>
    </row>
    <row r="4822" spans="1:20" ht="16.5" x14ac:dyDescent="0.3">
      <c r="A4822" t="s">
        <v>4876</v>
      </c>
      <c r="B4822" s="1">
        <v>45952</v>
      </c>
      <c r="C4822">
        <v>2025</v>
      </c>
      <c r="D4822" t="s">
        <v>1873</v>
      </c>
      <c r="E4822" t="s">
        <v>1874</v>
      </c>
      <c r="F4822" t="s">
        <v>30</v>
      </c>
      <c r="G4822" t="s">
        <v>39</v>
      </c>
      <c r="H4822" t="s">
        <v>36</v>
      </c>
      <c r="I4822" t="s">
        <v>40</v>
      </c>
      <c r="J4822" t="s">
        <v>27</v>
      </c>
      <c r="K4822" t="s">
        <v>28</v>
      </c>
      <c r="L4822" s="2">
        <v>138.6</v>
      </c>
      <c r="M4822" s="3">
        <v>295</v>
      </c>
      <c r="N4822">
        <v>1</v>
      </c>
      <c r="O4822">
        <v>1</v>
      </c>
      <c r="P4822">
        <v>1</v>
      </c>
      <c r="Q4822">
        <v>0</v>
      </c>
      <c r="R4822" s="4">
        <v>128.1</v>
      </c>
      <c r="S4822">
        <v>0</v>
      </c>
      <c r="T4822">
        <v>1</v>
      </c>
    </row>
    <row r="4823" spans="1:20" ht="16.5" x14ac:dyDescent="0.3">
      <c r="A4823" t="s">
        <v>4877</v>
      </c>
      <c r="B4823" s="1">
        <v>45952</v>
      </c>
      <c r="C4823">
        <v>2025</v>
      </c>
      <c r="D4823" t="s">
        <v>1873</v>
      </c>
      <c r="E4823" t="s">
        <v>1874</v>
      </c>
      <c r="F4823" t="s">
        <v>34</v>
      </c>
      <c r="G4823" t="s">
        <v>39</v>
      </c>
      <c r="H4823" t="s">
        <v>36</v>
      </c>
      <c r="I4823" t="s">
        <v>31</v>
      </c>
      <c r="J4823" t="s">
        <v>27</v>
      </c>
      <c r="K4823" t="s">
        <v>28</v>
      </c>
      <c r="L4823" s="2">
        <v>40.299999999999997</v>
      </c>
      <c r="M4823" s="3">
        <v>198</v>
      </c>
      <c r="N4823">
        <v>5</v>
      </c>
      <c r="O4823">
        <v>5</v>
      </c>
      <c r="P4823">
        <v>1</v>
      </c>
      <c r="Q4823">
        <v>0</v>
      </c>
      <c r="R4823" s="4">
        <v>16.760000000000002</v>
      </c>
      <c r="S4823">
        <v>0</v>
      </c>
      <c r="T4823">
        <v>1</v>
      </c>
    </row>
    <row r="4824" spans="1:20" ht="16.5" x14ac:dyDescent="0.3">
      <c r="A4824" t="s">
        <v>4878</v>
      </c>
      <c r="B4824" s="1">
        <v>45952</v>
      </c>
      <c r="C4824">
        <v>2025</v>
      </c>
      <c r="D4824" t="s">
        <v>1873</v>
      </c>
      <c r="E4824" t="s">
        <v>1874</v>
      </c>
      <c r="F4824" t="s">
        <v>38</v>
      </c>
      <c r="G4824" t="s">
        <v>24</v>
      </c>
      <c r="H4824" t="s">
        <v>43</v>
      </c>
      <c r="I4824" t="s">
        <v>26</v>
      </c>
      <c r="J4824" t="s">
        <v>27</v>
      </c>
      <c r="K4824" t="s">
        <v>32</v>
      </c>
      <c r="L4824" s="2">
        <v>4.5</v>
      </c>
      <c r="M4824" s="3">
        <v>1631</v>
      </c>
      <c r="N4824">
        <v>5</v>
      </c>
      <c r="O4824">
        <v>5</v>
      </c>
      <c r="P4824">
        <v>1</v>
      </c>
      <c r="Q4824">
        <v>0</v>
      </c>
      <c r="R4824" s="4">
        <v>32.869999999999997</v>
      </c>
      <c r="S4824">
        <v>0</v>
      </c>
      <c r="T4824">
        <v>1</v>
      </c>
    </row>
    <row r="4825" spans="1:20" ht="16.5" x14ac:dyDescent="0.3">
      <c r="A4825" t="s">
        <v>4879</v>
      </c>
      <c r="B4825" s="1">
        <v>45952</v>
      </c>
      <c r="C4825">
        <v>2025</v>
      </c>
      <c r="D4825" t="s">
        <v>1873</v>
      </c>
      <c r="E4825" t="s">
        <v>1874</v>
      </c>
      <c r="F4825" t="s">
        <v>34</v>
      </c>
      <c r="G4825" t="s">
        <v>39</v>
      </c>
      <c r="H4825" t="s">
        <v>25</v>
      </c>
      <c r="I4825" t="s">
        <v>26</v>
      </c>
      <c r="J4825" t="s">
        <v>27</v>
      </c>
      <c r="K4825" t="s">
        <v>32</v>
      </c>
      <c r="L4825" s="2">
        <v>6.4</v>
      </c>
      <c r="M4825" s="3">
        <v>721</v>
      </c>
      <c r="N4825">
        <v>4</v>
      </c>
      <c r="O4825">
        <v>7</v>
      </c>
      <c r="P4825">
        <v>0</v>
      </c>
      <c r="Q4825">
        <v>3</v>
      </c>
      <c r="R4825" s="4">
        <v>15.82</v>
      </c>
      <c r="S4825">
        <v>0</v>
      </c>
      <c r="T4825">
        <v>1</v>
      </c>
    </row>
    <row r="4826" spans="1:20" ht="16.5" x14ac:dyDescent="0.3">
      <c r="A4826" t="s">
        <v>4880</v>
      </c>
      <c r="B4826" s="1">
        <v>45952</v>
      </c>
      <c r="C4826">
        <v>2025</v>
      </c>
      <c r="D4826" t="s">
        <v>1873</v>
      </c>
      <c r="E4826" t="s">
        <v>1874</v>
      </c>
      <c r="F4826" t="s">
        <v>38</v>
      </c>
      <c r="G4826" t="s">
        <v>35</v>
      </c>
      <c r="H4826" t="s">
        <v>25</v>
      </c>
      <c r="I4826" t="s">
        <v>26</v>
      </c>
      <c r="J4826" t="s">
        <v>27</v>
      </c>
      <c r="K4826" t="s">
        <v>32</v>
      </c>
      <c r="L4826" s="2">
        <v>15.3</v>
      </c>
      <c r="M4826" s="3">
        <v>838</v>
      </c>
      <c r="N4826">
        <v>4</v>
      </c>
      <c r="O4826">
        <v>4</v>
      </c>
      <c r="P4826">
        <v>1</v>
      </c>
      <c r="Q4826">
        <v>0</v>
      </c>
      <c r="R4826" s="4">
        <v>28.78</v>
      </c>
      <c r="S4826">
        <v>0</v>
      </c>
      <c r="T4826">
        <v>1</v>
      </c>
    </row>
    <row r="4827" spans="1:20" ht="16.5" x14ac:dyDescent="0.3">
      <c r="A4827" t="s">
        <v>4881</v>
      </c>
      <c r="B4827" s="1">
        <v>45953</v>
      </c>
      <c r="C4827">
        <v>2025</v>
      </c>
      <c r="D4827" t="s">
        <v>1873</v>
      </c>
      <c r="E4827" t="s">
        <v>1874</v>
      </c>
      <c r="F4827" t="s">
        <v>57</v>
      </c>
      <c r="G4827" t="s">
        <v>39</v>
      </c>
      <c r="H4827" t="s">
        <v>36</v>
      </c>
      <c r="I4827" t="s">
        <v>26</v>
      </c>
      <c r="J4827" t="s">
        <v>27</v>
      </c>
      <c r="K4827" t="s">
        <v>32</v>
      </c>
      <c r="L4827" s="2">
        <v>0.7</v>
      </c>
      <c r="M4827" s="3">
        <v>209</v>
      </c>
      <c r="N4827">
        <v>3</v>
      </c>
      <c r="O4827">
        <v>3</v>
      </c>
      <c r="P4827">
        <v>1</v>
      </c>
      <c r="Q4827">
        <v>0</v>
      </c>
      <c r="R4827" s="4">
        <v>9.2100000000000009</v>
      </c>
      <c r="S4827">
        <v>0</v>
      </c>
      <c r="T4827">
        <v>1</v>
      </c>
    </row>
    <row r="4828" spans="1:20" ht="16.5" x14ac:dyDescent="0.3">
      <c r="A4828" t="s">
        <v>4882</v>
      </c>
      <c r="B4828" s="1">
        <v>45953</v>
      </c>
      <c r="C4828">
        <v>2025</v>
      </c>
      <c r="D4828" t="s">
        <v>1873</v>
      </c>
      <c r="E4828" t="s">
        <v>1874</v>
      </c>
      <c r="F4828" t="s">
        <v>38</v>
      </c>
      <c r="G4828" t="s">
        <v>39</v>
      </c>
      <c r="H4828" t="s">
        <v>36</v>
      </c>
      <c r="I4828" t="s">
        <v>26</v>
      </c>
      <c r="J4828" t="s">
        <v>27</v>
      </c>
      <c r="K4828" t="s">
        <v>32</v>
      </c>
      <c r="L4828" s="2">
        <v>2</v>
      </c>
      <c r="M4828" s="3">
        <v>258</v>
      </c>
      <c r="N4828">
        <v>3</v>
      </c>
      <c r="O4828">
        <v>2</v>
      </c>
      <c r="P4828">
        <v>1</v>
      </c>
      <c r="Q4828">
        <v>0</v>
      </c>
      <c r="R4828" s="4">
        <v>13.23</v>
      </c>
      <c r="S4828">
        <v>0</v>
      </c>
      <c r="T4828">
        <v>1</v>
      </c>
    </row>
    <row r="4829" spans="1:20" ht="16.5" x14ac:dyDescent="0.3">
      <c r="A4829" t="s">
        <v>4883</v>
      </c>
      <c r="B4829" s="1">
        <v>45953</v>
      </c>
      <c r="C4829">
        <v>2025</v>
      </c>
      <c r="D4829" t="s">
        <v>1873</v>
      </c>
      <c r="E4829" t="s">
        <v>1874</v>
      </c>
      <c r="F4829" t="s">
        <v>23</v>
      </c>
      <c r="G4829" t="s">
        <v>39</v>
      </c>
      <c r="H4829" t="s">
        <v>36</v>
      </c>
      <c r="I4829" t="s">
        <v>26</v>
      </c>
      <c r="J4829" t="s">
        <v>27</v>
      </c>
      <c r="K4829" t="s">
        <v>32</v>
      </c>
      <c r="L4829" s="2">
        <v>4.3</v>
      </c>
      <c r="M4829" s="3">
        <v>247</v>
      </c>
      <c r="N4829">
        <v>3</v>
      </c>
      <c r="O4829">
        <v>3</v>
      </c>
      <c r="P4829">
        <v>1</v>
      </c>
      <c r="Q4829">
        <v>0</v>
      </c>
      <c r="R4829" s="4">
        <v>11.83</v>
      </c>
      <c r="S4829">
        <v>0</v>
      </c>
      <c r="T4829">
        <v>1</v>
      </c>
    </row>
    <row r="4830" spans="1:20" ht="16.5" x14ac:dyDescent="0.3">
      <c r="A4830" t="s">
        <v>4884</v>
      </c>
      <c r="B4830" s="1">
        <v>45953</v>
      </c>
      <c r="C4830">
        <v>2025</v>
      </c>
      <c r="D4830" t="s">
        <v>1873</v>
      </c>
      <c r="E4830" t="s">
        <v>1874</v>
      </c>
      <c r="F4830" t="s">
        <v>34</v>
      </c>
      <c r="G4830" t="s">
        <v>39</v>
      </c>
      <c r="H4830" t="s">
        <v>48</v>
      </c>
      <c r="I4830" t="s">
        <v>40</v>
      </c>
      <c r="J4830" t="s">
        <v>27</v>
      </c>
      <c r="K4830" t="s">
        <v>32</v>
      </c>
      <c r="L4830" s="2">
        <v>19.8</v>
      </c>
      <c r="M4830" s="3">
        <v>370</v>
      </c>
      <c r="N4830">
        <v>2</v>
      </c>
      <c r="O4830">
        <v>2</v>
      </c>
      <c r="P4830">
        <v>1</v>
      </c>
      <c r="Q4830">
        <v>0</v>
      </c>
      <c r="R4830" s="4">
        <v>35.81</v>
      </c>
      <c r="S4830">
        <v>0</v>
      </c>
      <c r="T4830">
        <v>1</v>
      </c>
    </row>
    <row r="4831" spans="1:20" ht="16.5" x14ac:dyDescent="0.3">
      <c r="A4831" t="s">
        <v>4885</v>
      </c>
      <c r="B4831" s="1">
        <v>45953</v>
      </c>
      <c r="C4831">
        <v>2025</v>
      </c>
      <c r="D4831" t="s">
        <v>1873</v>
      </c>
      <c r="E4831" t="s">
        <v>1874</v>
      </c>
      <c r="F4831" t="s">
        <v>23</v>
      </c>
      <c r="G4831" t="s">
        <v>39</v>
      </c>
      <c r="H4831" t="s">
        <v>36</v>
      </c>
      <c r="I4831" t="s">
        <v>26</v>
      </c>
      <c r="J4831" t="s">
        <v>27</v>
      </c>
      <c r="K4831" t="s">
        <v>32</v>
      </c>
      <c r="L4831" s="2">
        <v>9.6</v>
      </c>
      <c r="M4831" s="3">
        <v>286</v>
      </c>
      <c r="N4831">
        <v>3</v>
      </c>
      <c r="O4831">
        <v>2</v>
      </c>
      <c r="P4831">
        <v>1</v>
      </c>
      <c r="Q4831">
        <v>0</v>
      </c>
      <c r="R4831" s="4">
        <v>15.37</v>
      </c>
      <c r="S4831">
        <v>0</v>
      </c>
      <c r="T4831">
        <v>1</v>
      </c>
    </row>
    <row r="4832" spans="1:20" ht="16.5" x14ac:dyDescent="0.3">
      <c r="A4832" t="s">
        <v>4886</v>
      </c>
      <c r="B4832" s="1">
        <v>45953</v>
      </c>
      <c r="C4832">
        <v>2025</v>
      </c>
      <c r="D4832" t="s">
        <v>1873</v>
      </c>
      <c r="E4832" t="s">
        <v>1874</v>
      </c>
      <c r="F4832" t="s">
        <v>23</v>
      </c>
      <c r="G4832" t="s">
        <v>24</v>
      </c>
      <c r="H4832" t="s">
        <v>48</v>
      </c>
      <c r="I4832" t="s">
        <v>26</v>
      </c>
      <c r="J4832" t="s">
        <v>27</v>
      </c>
      <c r="K4832" t="s">
        <v>28</v>
      </c>
      <c r="L4832" s="2">
        <v>72.900000000000006</v>
      </c>
      <c r="M4832" s="3">
        <v>434</v>
      </c>
      <c r="N4832">
        <v>4</v>
      </c>
      <c r="O4832">
        <v>3</v>
      </c>
      <c r="P4832">
        <v>1</v>
      </c>
      <c r="Q4832">
        <v>0</v>
      </c>
      <c r="R4832" s="4">
        <v>44.29</v>
      </c>
      <c r="S4832">
        <v>0</v>
      </c>
      <c r="T4832">
        <v>1</v>
      </c>
    </row>
    <row r="4833" spans="1:20" ht="16.5" x14ac:dyDescent="0.3">
      <c r="A4833" t="s">
        <v>4887</v>
      </c>
      <c r="B4833" s="1">
        <v>45953</v>
      </c>
      <c r="C4833">
        <v>2025</v>
      </c>
      <c r="D4833" t="s">
        <v>1873</v>
      </c>
      <c r="E4833" t="s">
        <v>1874</v>
      </c>
      <c r="F4833" t="s">
        <v>34</v>
      </c>
      <c r="G4833" t="s">
        <v>35</v>
      </c>
      <c r="H4833" t="s">
        <v>25</v>
      </c>
      <c r="I4833" t="s">
        <v>31</v>
      </c>
      <c r="J4833" t="s">
        <v>27</v>
      </c>
      <c r="K4833" t="s">
        <v>28</v>
      </c>
      <c r="L4833" s="2">
        <v>282.7</v>
      </c>
      <c r="M4833" s="3">
        <v>754</v>
      </c>
      <c r="N4833">
        <v>6</v>
      </c>
      <c r="O4833">
        <v>6</v>
      </c>
      <c r="P4833">
        <v>1</v>
      </c>
      <c r="Q4833">
        <v>0</v>
      </c>
      <c r="R4833" s="4">
        <v>85.44</v>
      </c>
      <c r="S4833">
        <v>0</v>
      </c>
      <c r="T4833">
        <v>1</v>
      </c>
    </row>
    <row r="4834" spans="1:20" ht="16.5" x14ac:dyDescent="0.3">
      <c r="A4834" t="s">
        <v>4888</v>
      </c>
      <c r="B4834" s="1">
        <v>45954</v>
      </c>
      <c r="C4834">
        <v>2025</v>
      </c>
      <c r="D4834" t="s">
        <v>1873</v>
      </c>
      <c r="E4834" t="s">
        <v>1874</v>
      </c>
      <c r="F4834" t="s">
        <v>34</v>
      </c>
      <c r="G4834" t="s">
        <v>35</v>
      </c>
      <c r="H4834" t="s">
        <v>25</v>
      </c>
      <c r="I4834" t="s">
        <v>31</v>
      </c>
      <c r="J4834" t="s">
        <v>27</v>
      </c>
      <c r="K4834" t="s">
        <v>32</v>
      </c>
      <c r="L4834" s="2">
        <v>2.2000000000000002</v>
      </c>
      <c r="M4834" s="3">
        <v>945</v>
      </c>
      <c r="N4834">
        <v>6</v>
      </c>
      <c r="O4834">
        <v>6</v>
      </c>
      <c r="P4834">
        <v>1</v>
      </c>
      <c r="Q4834">
        <v>0</v>
      </c>
      <c r="R4834" s="4">
        <v>12.11</v>
      </c>
      <c r="S4834">
        <v>0</v>
      </c>
      <c r="T4834">
        <v>1</v>
      </c>
    </row>
    <row r="4835" spans="1:20" ht="16.5" x14ac:dyDescent="0.3">
      <c r="A4835" t="s">
        <v>4889</v>
      </c>
      <c r="B4835" s="1">
        <v>45954</v>
      </c>
      <c r="C4835">
        <v>2025</v>
      </c>
      <c r="D4835" t="s">
        <v>1873</v>
      </c>
      <c r="E4835" t="s">
        <v>1874</v>
      </c>
      <c r="F4835" t="s">
        <v>34</v>
      </c>
      <c r="G4835" t="s">
        <v>35</v>
      </c>
      <c r="H4835" t="s">
        <v>25</v>
      </c>
      <c r="I4835" t="s">
        <v>40</v>
      </c>
      <c r="J4835" t="s">
        <v>41</v>
      </c>
      <c r="K4835" t="s">
        <v>32</v>
      </c>
      <c r="L4835" s="2">
        <v>1.6</v>
      </c>
      <c r="M4835" s="3">
        <v>979</v>
      </c>
      <c r="N4835">
        <v>2</v>
      </c>
      <c r="O4835">
        <v>4</v>
      </c>
      <c r="P4835">
        <v>0</v>
      </c>
      <c r="Q4835">
        <v>2</v>
      </c>
      <c r="R4835" s="4">
        <v>54.55</v>
      </c>
      <c r="S4835">
        <v>0</v>
      </c>
      <c r="T4835">
        <v>1</v>
      </c>
    </row>
    <row r="4836" spans="1:20" ht="16.5" x14ac:dyDescent="0.3">
      <c r="A4836" t="s">
        <v>4890</v>
      </c>
      <c r="B4836" s="1">
        <v>45954</v>
      </c>
      <c r="C4836">
        <v>2025</v>
      </c>
      <c r="D4836" t="s">
        <v>1873</v>
      </c>
      <c r="E4836" t="s">
        <v>1874</v>
      </c>
      <c r="F4836" t="s">
        <v>38</v>
      </c>
      <c r="G4836" t="s">
        <v>39</v>
      </c>
      <c r="H4836" t="s">
        <v>48</v>
      </c>
      <c r="I4836" t="s">
        <v>26</v>
      </c>
      <c r="J4836" t="s">
        <v>27</v>
      </c>
      <c r="K4836" t="s">
        <v>28</v>
      </c>
      <c r="L4836" s="2">
        <v>43.5</v>
      </c>
      <c r="M4836" s="3">
        <v>486</v>
      </c>
      <c r="N4836">
        <v>4</v>
      </c>
      <c r="O4836">
        <v>4</v>
      </c>
      <c r="P4836">
        <v>1</v>
      </c>
      <c r="Q4836">
        <v>0</v>
      </c>
      <c r="R4836" s="4">
        <v>38.64</v>
      </c>
      <c r="S4836">
        <v>0</v>
      </c>
      <c r="T4836">
        <v>1</v>
      </c>
    </row>
    <row r="4837" spans="1:20" ht="16.5" x14ac:dyDescent="0.3">
      <c r="A4837" t="s">
        <v>4891</v>
      </c>
      <c r="B4837" s="1">
        <v>45954</v>
      </c>
      <c r="C4837">
        <v>2025</v>
      </c>
      <c r="D4837" t="s">
        <v>1873</v>
      </c>
      <c r="E4837" t="s">
        <v>1874</v>
      </c>
      <c r="F4837" t="s">
        <v>34</v>
      </c>
      <c r="G4837" t="s">
        <v>24</v>
      </c>
      <c r="H4837" t="s">
        <v>25</v>
      </c>
      <c r="I4837" t="s">
        <v>26</v>
      </c>
      <c r="J4837" t="s">
        <v>27</v>
      </c>
      <c r="K4837" t="s">
        <v>32</v>
      </c>
      <c r="L4837" s="2">
        <v>14.1</v>
      </c>
      <c r="M4837" s="3">
        <v>1056</v>
      </c>
      <c r="N4837">
        <v>4</v>
      </c>
      <c r="O4837">
        <v>3</v>
      </c>
      <c r="P4837">
        <v>1</v>
      </c>
      <c r="Q4837">
        <v>0</v>
      </c>
      <c r="R4837" s="4">
        <v>24.96</v>
      </c>
      <c r="S4837">
        <v>0</v>
      </c>
      <c r="T4837">
        <v>1</v>
      </c>
    </row>
    <row r="4838" spans="1:20" ht="16.5" x14ac:dyDescent="0.3">
      <c r="A4838" t="s">
        <v>4892</v>
      </c>
      <c r="B4838" s="1">
        <v>45954</v>
      </c>
      <c r="C4838">
        <v>2025</v>
      </c>
      <c r="D4838" t="s">
        <v>1873</v>
      </c>
      <c r="E4838" t="s">
        <v>1874</v>
      </c>
      <c r="F4838" t="s">
        <v>23</v>
      </c>
      <c r="G4838" t="s">
        <v>35</v>
      </c>
      <c r="H4838" t="s">
        <v>36</v>
      </c>
      <c r="I4838" t="s">
        <v>31</v>
      </c>
      <c r="J4838" t="s">
        <v>27</v>
      </c>
      <c r="K4838" t="s">
        <v>32</v>
      </c>
      <c r="L4838" s="2">
        <v>13.8</v>
      </c>
      <c r="M4838" s="3">
        <v>332</v>
      </c>
      <c r="N4838">
        <v>5</v>
      </c>
      <c r="O4838">
        <v>5</v>
      </c>
      <c r="P4838">
        <v>1</v>
      </c>
      <c r="Q4838">
        <v>0</v>
      </c>
      <c r="R4838" s="4">
        <v>13.54</v>
      </c>
      <c r="S4838">
        <v>0</v>
      </c>
      <c r="T4838">
        <v>1</v>
      </c>
    </row>
    <row r="4839" spans="1:20" ht="16.5" x14ac:dyDescent="0.3">
      <c r="A4839" t="s">
        <v>4893</v>
      </c>
      <c r="B4839" s="1">
        <v>45954</v>
      </c>
      <c r="C4839">
        <v>2025</v>
      </c>
      <c r="D4839" t="s">
        <v>1873</v>
      </c>
      <c r="E4839" t="s">
        <v>1874</v>
      </c>
      <c r="F4839" t="s">
        <v>30</v>
      </c>
      <c r="G4839" t="s">
        <v>39</v>
      </c>
      <c r="H4839" t="s">
        <v>36</v>
      </c>
      <c r="I4839" t="s">
        <v>31</v>
      </c>
      <c r="J4839" t="s">
        <v>27</v>
      </c>
      <c r="K4839" t="s">
        <v>32</v>
      </c>
      <c r="L4839" s="2">
        <v>2.6</v>
      </c>
      <c r="M4839" s="3">
        <v>278</v>
      </c>
      <c r="N4839">
        <v>5</v>
      </c>
      <c r="O4839">
        <v>5</v>
      </c>
      <c r="P4839">
        <v>1</v>
      </c>
      <c r="Q4839">
        <v>0</v>
      </c>
      <c r="R4839" s="4">
        <v>8.32</v>
      </c>
      <c r="S4839">
        <v>0</v>
      </c>
      <c r="T4839">
        <v>1</v>
      </c>
    </row>
    <row r="4840" spans="1:20" ht="16.5" x14ac:dyDescent="0.3">
      <c r="A4840" t="s">
        <v>4894</v>
      </c>
      <c r="B4840" s="1">
        <v>45954</v>
      </c>
      <c r="C4840">
        <v>2025</v>
      </c>
      <c r="D4840" t="s">
        <v>1873</v>
      </c>
      <c r="E4840" t="s">
        <v>1874</v>
      </c>
      <c r="F4840" t="s">
        <v>30</v>
      </c>
      <c r="G4840" t="s">
        <v>39</v>
      </c>
      <c r="H4840" t="s">
        <v>25</v>
      </c>
      <c r="I4840" t="s">
        <v>26</v>
      </c>
      <c r="J4840" t="s">
        <v>27</v>
      </c>
      <c r="K4840" t="s">
        <v>32</v>
      </c>
      <c r="L4840" s="2">
        <v>10.6</v>
      </c>
      <c r="M4840" s="3">
        <v>1137</v>
      </c>
      <c r="N4840">
        <v>4</v>
      </c>
      <c r="O4840">
        <v>6</v>
      </c>
      <c r="P4840">
        <v>0</v>
      </c>
      <c r="Q4840">
        <v>2</v>
      </c>
      <c r="R4840" s="4">
        <v>27.13</v>
      </c>
      <c r="S4840">
        <v>0</v>
      </c>
      <c r="T4840">
        <v>1</v>
      </c>
    </row>
    <row r="4841" spans="1:20" ht="16.5" x14ac:dyDescent="0.3">
      <c r="A4841" t="s">
        <v>4895</v>
      </c>
      <c r="B4841" s="1">
        <v>45955</v>
      </c>
      <c r="C4841">
        <v>2025</v>
      </c>
      <c r="D4841" t="s">
        <v>1873</v>
      </c>
      <c r="E4841" t="s">
        <v>1874</v>
      </c>
      <c r="F4841" t="s">
        <v>38</v>
      </c>
      <c r="G4841" t="s">
        <v>39</v>
      </c>
      <c r="H4841" t="s">
        <v>25</v>
      </c>
      <c r="I4841" t="s">
        <v>26</v>
      </c>
      <c r="J4841" t="s">
        <v>27</v>
      </c>
      <c r="K4841" t="s">
        <v>32</v>
      </c>
      <c r="L4841" s="2">
        <v>0.7</v>
      </c>
      <c r="M4841" s="3">
        <v>823</v>
      </c>
      <c r="N4841">
        <v>4</v>
      </c>
      <c r="O4841">
        <v>4</v>
      </c>
      <c r="P4841">
        <v>1</v>
      </c>
      <c r="Q4841">
        <v>0</v>
      </c>
      <c r="R4841" s="4">
        <v>18.47</v>
      </c>
      <c r="S4841">
        <v>0</v>
      </c>
      <c r="T4841">
        <v>1</v>
      </c>
    </row>
    <row r="4842" spans="1:20" ht="16.5" x14ac:dyDescent="0.3">
      <c r="A4842" t="s">
        <v>4896</v>
      </c>
      <c r="B4842" s="1">
        <v>45955</v>
      </c>
      <c r="C4842">
        <v>2025</v>
      </c>
      <c r="D4842" t="s">
        <v>1873</v>
      </c>
      <c r="E4842" t="s">
        <v>1874</v>
      </c>
      <c r="F4842" t="s">
        <v>23</v>
      </c>
      <c r="G4842" t="s">
        <v>24</v>
      </c>
      <c r="H4842" t="s">
        <v>43</v>
      </c>
      <c r="I4842" t="s">
        <v>26</v>
      </c>
      <c r="J4842" t="s">
        <v>27</v>
      </c>
      <c r="K4842" t="s">
        <v>32</v>
      </c>
      <c r="L4842" s="2">
        <v>3.1</v>
      </c>
      <c r="M4842" s="3">
        <v>1221</v>
      </c>
      <c r="N4842">
        <v>5</v>
      </c>
      <c r="O4842">
        <v>5</v>
      </c>
      <c r="P4842">
        <v>1</v>
      </c>
      <c r="Q4842">
        <v>0</v>
      </c>
      <c r="R4842" s="4">
        <v>23.07</v>
      </c>
      <c r="S4842">
        <v>0</v>
      </c>
      <c r="T4842">
        <v>1</v>
      </c>
    </row>
    <row r="4843" spans="1:20" ht="16.5" x14ac:dyDescent="0.3">
      <c r="A4843" t="s">
        <v>4897</v>
      </c>
      <c r="B4843" s="1">
        <v>45955</v>
      </c>
      <c r="C4843">
        <v>2025</v>
      </c>
      <c r="D4843" t="s">
        <v>1873</v>
      </c>
      <c r="E4843" t="s">
        <v>1874</v>
      </c>
      <c r="F4843" t="s">
        <v>30</v>
      </c>
      <c r="G4843" t="s">
        <v>39</v>
      </c>
      <c r="H4843" t="s">
        <v>48</v>
      </c>
      <c r="I4843" t="s">
        <v>40</v>
      </c>
      <c r="J4843" t="s">
        <v>27</v>
      </c>
      <c r="K4843" t="s">
        <v>32</v>
      </c>
      <c r="L4843" s="2">
        <v>3.4</v>
      </c>
      <c r="M4843" s="3">
        <v>472</v>
      </c>
      <c r="N4843">
        <v>2</v>
      </c>
      <c r="O4843">
        <v>2</v>
      </c>
      <c r="P4843">
        <v>1</v>
      </c>
      <c r="Q4843">
        <v>0</v>
      </c>
      <c r="R4843" s="4">
        <v>28.23</v>
      </c>
      <c r="S4843">
        <v>0</v>
      </c>
      <c r="T4843">
        <v>1</v>
      </c>
    </row>
    <row r="4844" spans="1:20" ht="16.5" x14ac:dyDescent="0.3">
      <c r="A4844" t="s">
        <v>4898</v>
      </c>
      <c r="B4844" s="1">
        <v>45955</v>
      </c>
      <c r="C4844">
        <v>2025</v>
      </c>
      <c r="D4844" t="s">
        <v>1873</v>
      </c>
      <c r="E4844" t="s">
        <v>1874</v>
      </c>
      <c r="F4844" t="s">
        <v>34</v>
      </c>
      <c r="G4844" t="s">
        <v>39</v>
      </c>
      <c r="H4844" t="s">
        <v>25</v>
      </c>
      <c r="I4844" t="s">
        <v>26</v>
      </c>
      <c r="J4844" t="s">
        <v>27</v>
      </c>
      <c r="K4844" t="s">
        <v>32</v>
      </c>
      <c r="L4844" s="2">
        <v>5.5</v>
      </c>
      <c r="M4844" s="3">
        <v>810</v>
      </c>
      <c r="N4844">
        <v>4</v>
      </c>
      <c r="O4844">
        <v>4</v>
      </c>
      <c r="P4844">
        <v>1</v>
      </c>
      <c r="Q4844">
        <v>0</v>
      </c>
      <c r="R4844" s="4">
        <v>15.46</v>
      </c>
      <c r="S4844">
        <v>0</v>
      </c>
      <c r="T4844">
        <v>1</v>
      </c>
    </row>
    <row r="4845" spans="1:20" ht="16.5" x14ac:dyDescent="0.3">
      <c r="A4845" t="s">
        <v>4899</v>
      </c>
      <c r="B4845" s="1">
        <v>45956</v>
      </c>
      <c r="C4845">
        <v>2025</v>
      </c>
      <c r="D4845" t="s">
        <v>1873</v>
      </c>
      <c r="E4845" t="s">
        <v>1874</v>
      </c>
      <c r="F4845" t="s">
        <v>38</v>
      </c>
      <c r="G4845" t="s">
        <v>24</v>
      </c>
      <c r="H4845" t="s">
        <v>43</v>
      </c>
      <c r="I4845" t="s">
        <v>26</v>
      </c>
      <c r="J4845" t="s">
        <v>27</v>
      </c>
      <c r="K4845" t="s">
        <v>32</v>
      </c>
      <c r="L4845" s="2">
        <v>2.4</v>
      </c>
      <c r="M4845" s="3">
        <v>957</v>
      </c>
      <c r="N4845">
        <v>5</v>
      </c>
      <c r="O4845">
        <v>5</v>
      </c>
      <c r="P4845">
        <v>1</v>
      </c>
      <c r="Q4845">
        <v>0</v>
      </c>
      <c r="R4845" s="4">
        <v>23.32</v>
      </c>
      <c r="S4845">
        <v>0</v>
      </c>
      <c r="T4845">
        <v>1</v>
      </c>
    </row>
    <row r="4846" spans="1:20" ht="16.5" x14ac:dyDescent="0.3">
      <c r="A4846" t="s">
        <v>4900</v>
      </c>
      <c r="B4846" s="1">
        <v>45956</v>
      </c>
      <c r="C4846">
        <v>2025</v>
      </c>
      <c r="D4846" t="s">
        <v>1873</v>
      </c>
      <c r="E4846" t="s">
        <v>1874</v>
      </c>
      <c r="F4846" t="s">
        <v>34</v>
      </c>
      <c r="G4846" t="s">
        <v>35</v>
      </c>
      <c r="H4846" t="s">
        <v>43</v>
      </c>
      <c r="I4846" t="s">
        <v>31</v>
      </c>
      <c r="J4846" t="s">
        <v>27</v>
      </c>
      <c r="K4846" t="s">
        <v>32</v>
      </c>
      <c r="L4846" s="2">
        <v>3.7</v>
      </c>
      <c r="M4846" s="3">
        <v>1196</v>
      </c>
      <c r="N4846">
        <v>7</v>
      </c>
      <c r="O4846">
        <v>10</v>
      </c>
      <c r="P4846">
        <v>0</v>
      </c>
      <c r="Q4846">
        <v>3</v>
      </c>
      <c r="R4846" s="4">
        <v>14.07</v>
      </c>
      <c r="S4846">
        <v>0</v>
      </c>
      <c r="T4846">
        <v>1</v>
      </c>
    </row>
    <row r="4847" spans="1:20" ht="16.5" x14ac:dyDescent="0.3">
      <c r="A4847" t="s">
        <v>4901</v>
      </c>
      <c r="B4847" s="1">
        <v>45956</v>
      </c>
      <c r="C4847">
        <v>2025</v>
      </c>
      <c r="D4847" t="s">
        <v>1873</v>
      </c>
      <c r="E4847" t="s">
        <v>1874</v>
      </c>
      <c r="F4847" t="s">
        <v>38</v>
      </c>
      <c r="G4847" t="s">
        <v>39</v>
      </c>
      <c r="H4847" t="s">
        <v>43</v>
      </c>
      <c r="I4847" t="s">
        <v>40</v>
      </c>
      <c r="J4847" t="s">
        <v>41</v>
      </c>
      <c r="K4847" t="s">
        <v>32</v>
      </c>
      <c r="L4847" s="2">
        <v>16.2</v>
      </c>
      <c r="M4847" s="3">
        <v>1316</v>
      </c>
      <c r="N4847">
        <v>3</v>
      </c>
      <c r="O4847">
        <v>3</v>
      </c>
      <c r="P4847">
        <v>1</v>
      </c>
      <c r="Q4847">
        <v>0</v>
      </c>
      <c r="R4847" s="4">
        <v>94.48</v>
      </c>
      <c r="S4847">
        <v>0</v>
      </c>
      <c r="T4847">
        <v>1</v>
      </c>
    </row>
    <row r="4848" spans="1:20" ht="16.5" x14ac:dyDescent="0.3">
      <c r="A4848" t="s">
        <v>4902</v>
      </c>
      <c r="B4848" s="1">
        <v>45956</v>
      </c>
      <c r="C4848">
        <v>2025</v>
      </c>
      <c r="D4848" t="s">
        <v>1873</v>
      </c>
      <c r="E4848" t="s">
        <v>1874</v>
      </c>
      <c r="F4848" t="s">
        <v>38</v>
      </c>
      <c r="G4848" t="s">
        <v>39</v>
      </c>
      <c r="H4848" t="s">
        <v>25</v>
      </c>
      <c r="I4848" t="s">
        <v>31</v>
      </c>
      <c r="J4848" t="s">
        <v>27</v>
      </c>
      <c r="K4848" t="s">
        <v>32</v>
      </c>
      <c r="L4848" s="2">
        <v>3.6</v>
      </c>
      <c r="M4848" s="3">
        <v>873</v>
      </c>
      <c r="N4848">
        <v>6</v>
      </c>
      <c r="O4848">
        <v>6</v>
      </c>
      <c r="P4848">
        <v>1</v>
      </c>
      <c r="Q4848">
        <v>0</v>
      </c>
      <c r="R4848" s="4">
        <v>14.77</v>
      </c>
      <c r="S4848">
        <v>0</v>
      </c>
      <c r="T4848">
        <v>1</v>
      </c>
    </row>
    <row r="4849" spans="1:20" ht="16.5" x14ac:dyDescent="0.3">
      <c r="A4849" t="s">
        <v>4903</v>
      </c>
      <c r="B4849" s="1">
        <v>45956</v>
      </c>
      <c r="C4849">
        <v>2025</v>
      </c>
      <c r="D4849" t="s">
        <v>1873</v>
      </c>
      <c r="E4849" t="s">
        <v>1874</v>
      </c>
      <c r="F4849" t="s">
        <v>30</v>
      </c>
      <c r="G4849" t="s">
        <v>39</v>
      </c>
      <c r="H4849" t="s">
        <v>51</v>
      </c>
      <c r="I4849" t="s">
        <v>26</v>
      </c>
      <c r="J4849" t="s">
        <v>27</v>
      </c>
      <c r="K4849" t="s">
        <v>32</v>
      </c>
      <c r="L4849" s="2">
        <v>14.9</v>
      </c>
      <c r="M4849" s="3">
        <v>1180</v>
      </c>
      <c r="N4849">
        <v>5</v>
      </c>
      <c r="O4849">
        <v>4</v>
      </c>
      <c r="P4849">
        <v>1</v>
      </c>
      <c r="Q4849">
        <v>0</v>
      </c>
      <c r="R4849" s="4">
        <v>31.65</v>
      </c>
      <c r="S4849">
        <v>0</v>
      </c>
      <c r="T4849">
        <v>1</v>
      </c>
    </row>
    <row r="4850" spans="1:20" ht="16.5" x14ac:dyDescent="0.3">
      <c r="A4850" t="s">
        <v>4904</v>
      </c>
      <c r="B4850" s="1">
        <v>45957</v>
      </c>
      <c r="C4850">
        <v>2025</v>
      </c>
      <c r="D4850" t="s">
        <v>1873</v>
      </c>
      <c r="E4850" t="s">
        <v>1874</v>
      </c>
      <c r="F4850" t="s">
        <v>38</v>
      </c>
      <c r="G4850" t="s">
        <v>24</v>
      </c>
      <c r="H4850" t="s">
        <v>25</v>
      </c>
      <c r="I4850" t="s">
        <v>26</v>
      </c>
      <c r="J4850" t="s">
        <v>27</v>
      </c>
      <c r="K4850" t="s">
        <v>32</v>
      </c>
      <c r="L4850" s="2">
        <v>12.2</v>
      </c>
      <c r="M4850" s="3">
        <v>873</v>
      </c>
      <c r="N4850">
        <v>4</v>
      </c>
      <c r="O4850">
        <v>4</v>
      </c>
      <c r="P4850">
        <v>1</v>
      </c>
      <c r="Q4850">
        <v>0</v>
      </c>
      <c r="R4850" s="4">
        <v>27.38</v>
      </c>
      <c r="S4850">
        <v>0</v>
      </c>
      <c r="T4850">
        <v>1</v>
      </c>
    </row>
    <row r="4851" spans="1:20" ht="16.5" x14ac:dyDescent="0.3">
      <c r="A4851" t="s">
        <v>4905</v>
      </c>
      <c r="B4851" s="1">
        <v>45957</v>
      </c>
      <c r="C4851">
        <v>2025</v>
      </c>
      <c r="D4851" t="s">
        <v>1873</v>
      </c>
      <c r="E4851" t="s">
        <v>1874</v>
      </c>
      <c r="F4851" t="s">
        <v>30</v>
      </c>
      <c r="G4851" t="s">
        <v>35</v>
      </c>
      <c r="H4851" t="s">
        <v>25</v>
      </c>
      <c r="I4851" t="s">
        <v>26</v>
      </c>
      <c r="J4851" t="s">
        <v>27</v>
      </c>
      <c r="K4851" t="s">
        <v>28</v>
      </c>
      <c r="L4851" s="2">
        <v>124.1</v>
      </c>
      <c r="M4851" s="3">
        <v>819</v>
      </c>
      <c r="N4851">
        <v>4</v>
      </c>
      <c r="O4851">
        <v>4</v>
      </c>
      <c r="P4851">
        <v>1</v>
      </c>
      <c r="Q4851">
        <v>0</v>
      </c>
      <c r="R4851" s="4">
        <v>66.89</v>
      </c>
      <c r="S4851">
        <v>0</v>
      </c>
      <c r="T4851">
        <v>1</v>
      </c>
    </row>
    <row r="4852" spans="1:20" ht="16.5" x14ac:dyDescent="0.3">
      <c r="A4852" t="s">
        <v>4906</v>
      </c>
      <c r="B4852" s="1">
        <v>45957</v>
      </c>
      <c r="C4852">
        <v>2025</v>
      </c>
      <c r="D4852" t="s">
        <v>1873</v>
      </c>
      <c r="E4852" t="s">
        <v>1874</v>
      </c>
      <c r="F4852" t="s">
        <v>23</v>
      </c>
      <c r="G4852" t="s">
        <v>39</v>
      </c>
      <c r="H4852" t="s">
        <v>51</v>
      </c>
      <c r="I4852" t="s">
        <v>26</v>
      </c>
      <c r="J4852" t="s">
        <v>27</v>
      </c>
      <c r="K4852" t="s">
        <v>32</v>
      </c>
      <c r="L4852" s="2">
        <v>11.2</v>
      </c>
      <c r="M4852" s="3">
        <v>915</v>
      </c>
      <c r="N4852">
        <v>5</v>
      </c>
      <c r="O4852">
        <v>5</v>
      </c>
      <c r="P4852">
        <v>1</v>
      </c>
      <c r="Q4852">
        <v>0</v>
      </c>
      <c r="R4852" s="4">
        <v>23.02</v>
      </c>
      <c r="S4852">
        <v>0</v>
      </c>
      <c r="T4852">
        <v>1</v>
      </c>
    </row>
    <row r="4853" spans="1:20" ht="16.5" x14ac:dyDescent="0.3">
      <c r="A4853" t="s">
        <v>4907</v>
      </c>
      <c r="B4853" s="1">
        <v>45957</v>
      </c>
      <c r="C4853">
        <v>2025</v>
      </c>
      <c r="D4853" t="s">
        <v>1873</v>
      </c>
      <c r="E4853" t="s">
        <v>1874</v>
      </c>
      <c r="F4853" t="s">
        <v>30</v>
      </c>
      <c r="G4853" t="s">
        <v>39</v>
      </c>
      <c r="H4853" t="s">
        <v>25</v>
      </c>
      <c r="I4853" t="s">
        <v>31</v>
      </c>
      <c r="J4853" t="s">
        <v>27</v>
      </c>
      <c r="K4853" t="s">
        <v>28</v>
      </c>
      <c r="L4853" s="2">
        <v>73.599999999999994</v>
      </c>
      <c r="M4853" s="3">
        <v>933</v>
      </c>
      <c r="N4853">
        <v>6</v>
      </c>
      <c r="O4853">
        <v>6</v>
      </c>
      <c r="P4853">
        <v>1</v>
      </c>
      <c r="Q4853">
        <v>0</v>
      </c>
      <c r="R4853" s="4">
        <v>39.53</v>
      </c>
      <c r="S4853">
        <v>0</v>
      </c>
      <c r="T4853">
        <v>1</v>
      </c>
    </row>
    <row r="4854" spans="1:20" ht="16.5" x14ac:dyDescent="0.3">
      <c r="A4854" t="s">
        <v>4908</v>
      </c>
      <c r="B4854" s="1">
        <v>45957</v>
      </c>
      <c r="C4854">
        <v>2025</v>
      </c>
      <c r="D4854" t="s">
        <v>1873</v>
      </c>
      <c r="E4854" t="s">
        <v>1874</v>
      </c>
      <c r="F4854" t="s">
        <v>30</v>
      </c>
      <c r="G4854" t="s">
        <v>35</v>
      </c>
      <c r="H4854" t="s">
        <v>43</v>
      </c>
      <c r="I4854" t="s">
        <v>31</v>
      </c>
      <c r="J4854" t="s">
        <v>27</v>
      </c>
      <c r="K4854" t="s">
        <v>32</v>
      </c>
      <c r="L4854" s="2">
        <v>9.4</v>
      </c>
      <c r="M4854" s="3">
        <v>1130</v>
      </c>
      <c r="N4854">
        <v>7</v>
      </c>
      <c r="O4854">
        <v>9</v>
      </c>
      <c r="P4854">
        <v>0</v>
      </c>
      <c r="Q4854">
        <v>2</v>
      </c>
      <c r="R4854" s="4">
        <v>19.68</v>
      </c>
      <c r="S4854">
        <v>0</v>
      </c>
      <c r="T4854">
        <v>1</v>
      </c>
    </row>
    <row r="4855" spans="1:20" ht="16.5" x14ac:dyDescent="0.3">
      <c r="A4855" t="s">
        <v>4909</v>
      </c>
      <c r="B4855" s="1">
        <v>45957</v>
      </c>
      <c r="C4855">
        <v>2025</v>
      </c>
      <c r="D4855" t="s">
        <v>1873</v>
      </c>
      <c r="E4855" t="s">
        <v>1874</v>
      </c>
      <c r="F4855" t="s">
        <v>23</v>
      </c>
      <c r="G4855" t="s">
        <v>35</v>
      </c>
      <c r="H4855" t="s">
        <v>43</v>
      </c>
      <c r="I4855" t="s">
        <v>31</v>
      </c>
      <c r="J4855" t="s">
        <v>27</v>
      </c>
      <c r="K4855" t="s">
        <v>32</v>
      </c>
      <c r="L4855" s="2">
        <v>2.2000000000000002</v>
      </c>
      <c r="M4855" s="3">
        <v>1105</v>
      </c>
      <c r="N4855">
        <v>7</v>
      </c>
      <c r="O4855">
        <v>7</v>
      </c>
      <c r="P4855">
        <v>1</v>
      </c>
      <c r="Q4855">
        <v>0</v>
      </c>
      <c r="R4855" s="4">
        <v>14.69</v>
      </c>
      <c r="S4855">
        <v>1</v>
      </c>
      <c r="T4855">
        <v>1</v>
      </c>
    </row>
    <row r="4856" spans="1:20" ht="16.5" x14ac:dyDescent="0.3">
      <c r="A4856" t="s">
        <v>4910</v>
      </c>
      <c r="B4856" s="1">
        <v>45957</v>
      </c>
      <c r="C4856">
        <v>2025</v>
      </c>
      <c r="D4856" t="s">
        <v>1873</v>
      </c>
      <c r="E4856" t="s">
        <v>1874</v>
      </c>
      <c r="F4856" t="s">
        <v>57</v>
      </c>
      <c r="G4856" t="s">
        <v>39</v>
      </c>
      <c r="H4856" t="s">
        <v>51</v>
      </c>
      <c r="I4856" t="s">
        <v>26</v>
      </c>
      <c r="J4856" t="s">
        <v>27</v>
      </c>
      <c r="K4856" t="s">
        <v>28</v>
      </c>
      <c r="L4856" s="2">
        <v>57</v>
      </c>
      <c r="M4856" s="3">
        <v>960</v>
      </c>
      <c r="N4856">
        <v>5</v>
      </c>
      <c r="O4856">
        <v>8</v>
      </c>
      <c r="P4856">
        <v>0</v>
      </c>
      <c r="Q4856">
        <v>3</v>
      </c>
      <c r="R4856" s="4">
        <v>46.41</v>
      </c>
      <c r="S4856">
        <v>0</v>
      </c>
      <c r="T4856">
        <v>1</v>
      </c>
    </row>
    <row r="4857" spans="1:20" ht="16.5" x14ac:dyDescent="0.3">
      <c r="A4857" t="s">
        <v>4911</v>
      </c>
      <c r="B4857" s="1">
        <v>45957</v>
      </c>
      <c r="C4857">
        <v>2025</v>
      </c>
      <c r="D4857" t="s">
        <v>1873</v>
      </c>
      <c r="E4857" t="s">
        <v>1874</v>
      </c>
      <c r="F4857" t="s">
        <v>34</v>
      </c>
      <c r="G4857" t="s">
        <v>35</v>
      </c>
      <c r="H4857" t="s">
        <v>36</v>
      </c>
      <c r="I4857" t="s">
        <v>26</v>
      </c>
      <c r="J4857" t="s">
        <v>27</v>
      </c>
      <c r="K4857" t="s">
        <v>28</v>
      </c>
      <c r="L4857" s="2">
        <v>65</v>
      </c>
      <c r="M4857" s="3">
        <v>186</v>
      </c>
      <c r="N4857">
        <v>3</v>
      </c>
      <c r="O4857">
        <v>3</v>
      </c>
      <c r="P4857">
        <v>1</v>
      </c>
      <c r="Q4857">
        <v>0</v>
      </c>
      <c r="R4857" s="4">
        <v>34.39</v>
      </c>
      <c r="S4857">
        <v>0</v>
      </c>
      <c r="T4857">
        <v>1</v>
      </c>
    </row>
    <row r="4858" spans="1:20" ht="16.5" x14ac:dyDescent="0.3">
      <c r="A4858" t="s">
        <v>4912</v>
      </c>
      <c r="B4858" s="1">
        <v>45957</v>
      </c>
      <c r="C4858">
        <v>2025</v>
      </c>
      <c r="D4858" t="s">
        <v>1873</v>
      </c>
      <c r="E4858" t="s">
        <v>1874</v>
      </c>
      <c r="F4858" t="s">
        <v>34</v>
      </c>
      <c r="G4858" t="s">
        <v>39</v>
      </c>
      <c r="H4858" t="s">
        <v>25</v>
      </c>
      <c r="I4858" t="s">
        <v>40</v>
      </c>
      <c r="J4858" t="s">
        <v>41</v>
      </c>
      <c r="K4858" t="s">
        <v>32</v>
      </c>
      <c r="L4858" s="2">
        <v>0.9</v>
      </c>
      <c r="M4858" s="3">
        <v>734</v>
      </c>
      <c r="N4858">
        <v>2</v>
      </c>
      <c r="O4858">
        <v>3</v>
      </c>
      <c r="P4858">
        <v>0</v>
      </c>
      <c r="Q4858">
        <v>1</v>
      </c>
      <c r="R4858" s="4">
        <v>45.65</v>
      </c>
      <c r="S4858">
        <v>0</v>
      </c>
      <c r="T4858">
        <v>1</v>
      </c>
    </row>
    <row r="4859" spans="1:20" ht="16.5" x14ac:dyDescent="0.3">
      <c r="A4859" t="s">
        <v>4913</v>
      </c>
      <c r="B4859" s="1">
        <v>45957</v>
      </c>
      <c r="C4859">
        <v>2025</v>
      </c>
      <c r="D4859" t="s">
        <v>1873</v>
      </c>
      <c r="E4859" t="s">
        <v>1874</v>
      </c>
      <c r="F4859" t="s">
        <v>23</v>
      </c>
      <c r="G4859" t="s">
        <v>35</v>
      </c>
      <c r="H4859" t="s">
        <v>36</v>
      </c>
      <c r="I4859" t="s">
        <v>31</v>
      </c>
      <c r="J4859" t="s">
        <v>27</v>
      </c>
      <c r="K4859" t="s">
        <v>28</v>
      </c>
      <c r="L4859" s="2">
        <v>92.8</v>
      </c>
      <c r="M4859" s="3">
        <v>274</v>
      </c>
      <c r="N4859">
        <v>5</v>
      </c>
      <c r="O4859">
        <v>7</v>
      </c>
      <c r="P4859">
        <v>0</v>
      </c>
      <c r="Q4859">
        <v>2</v>
      </c>
      <c r="R4859" s="4">
        <v>39.35</v>
      </c>
      <c r="S4859">
        <v>0</v>
      </c>
      <c r="T4859">
        <v>1</v>
      </c>
    </row>
    <row r="4860" spans="1:20" ht="16.5" x14ac:dyDescent="0.3">
      <c r="A4860" t="s">
        <v>4914</v>
      </c>
      <c r="B4860" s="1">
        <v>45957</v>
      </c>
      <c r="C4860">
        <v>2025</v>
      </c>
      <c r="D4860" t="s">
        <v>1873</v>
      </c>
      <c r="E4860" t="s">
        <v>1874</v>
      </c>
      <c r="F4860" t="s">
        <v>38</v>
      </c>
      <c r="G4860" t="s">
        <v>24</v>
      </c>
      <c r="H4860" t="s">
        <v>25</v>
      </c>
      <c r="I4860" t="s">
        <v>31</v>
      </c>
      <c r="J4860" t="s">
        <v>27</v>
      </c>
      <c r="K4860" t="s">
        <v>32</v>
      </c>
      <c r="L4860" s="2">
        <v>31</v>
      </c>
      <c r="M4860" s="3">
        <v>1075</v>
      </c>
      <c r="N4860">
        <v>6</v>
      </c>
      <c r="O4860">
        <v>5</v>
      </c>
      <c r="P4860">
        <v>1</v>
      </c>
      <c r="Q4860">
        <v>0</v>
      </c>
      <c r="R4860" s="4">
        <v>28.29</v>
      </c>
      <c r="S4860">
        <v>0</v>
      </c>
      <c r="T4860">
        <v>1</v>
      </c>
    </row>
    <row r="4861" spans="1:20" ht="16.5" x14ac:dyDescent="0.3">
      <c r="A4861" t="s">
        <v>4915</v>
      </c>
      <c r="B4861" s="1">
        <v>45958</v>
      </c>
      <c r="C4861">
        <v>2025</v>
      </c>
      <c r="D4861" t="s">
        <v>1873</v>
      </c>
      <c r="E4861" t="s">
        <v>1874</v>
      </c>
      <c r="F4861" t="s">
        <v>30</v>
      </c>
      <c r="G4861" t="s">
        <v>35</v>
      </c>
      <c r="H4861" t="s">
        <v>25</v>
      </c>
      <c r="I4861" t="s">
        <v>26</v>
      </c>
      <c r="J4861" t="s">
        <v>27</v>
      </c>
      <c r="K4861" t="s">
        <v>28</v>
      </c>
      <c r="L4861" s="2">
        <v>168.5</v>
      </c>
      <c r="M4861" s="3">
        <v>828</v>
      </c>
      <c r="N4861">
        <v>4</v>
      </c>
      <c r="O4861">
        <v>4</v>
      </c>
      <c r="P4861">
        <v>1</v>
      </c>
      <c r="Q4861">
        <v>0</v>
      </c>
      <c r="R4861" s="4">
        <v>96.88</v>
      </c>
      <c r="S4861">
        <v>0</v>
      </c>
      <c r="T4861">
        <v>1</v>
      </c>
    </row>
    <row r="4862" spans="1:20" ht="16.5" x14ac:dyDescent="0.3">
      <c r="A4862" t="s">
        <v>4916</v>
      </c>
      <c r="B4862" s="1">
        <v>45958</v>
      </c>
      <c r="C4862">
        <v>2025</v>
      </c>
      <c r="D4862" t="s">
        <v>1873</v>
      </c>
      <c r="E4862" t="s">
        <v>1874</v>
      </c>
      <c r="F4862" t="s">
        <v>38</v>
      </c>
      <c r="G4862" t="s">
        <v>39</v>
      </c>
      <c r="H4862" t="s">
        <v>25</v>
      </c>
      <c r="I4862" t="s">
        <v>26</v>
      </c>
      <c r="J4862" t="s">
        <v>27</v>
      </c>
      <c r="K4862" t="s">
        <v>32</v>
      </c>
      <c r="L4862" s="2">
        <v>8.6999999999999993</v>
      </c>
      <c r="M4862" s="3">
        <v>803</v>
      </c>
      <c r="N4862">
        <v>4</v>
      </c>
      <c r="O4862">
        <v>3</v>
      </c>
      <c r="P4862">
        <v>1</v>
      </c>
      <c r="Q4862">
        <v>0</v>
      </c>
      <c r="R4862" s="4">
        <v>26.04</v>
      </c>
      <c r="S4862">
        <v>0</v>
      </c>
      <c r="T4862">
        <v>1</v>
      </c>
    </row>
    <row r="4863" spans="1:20" ht="16.5" x14ac:dyDescent="0.3">
      <c r="A4863" t="s">
        <v>4917</v>
      </c>
      <c r="B4863" s="1">
        <v>45958</v>
      </c>
      <c r="C4863">
        <v>2025</v>
      </c>
      <c r="D4863" t="s">
        <v>1873</v>
      </c>
      <c r="E4863" t="s">
        <v>1874</v>
      </c>
      <c r="F4863" t="s">
        <v>34</v>
      </c>
      <c r="G4863" t="s">
        <v>35</v>
      </c>
      <c r="H4863" t="s">
        <v>36</v>
      </c>
      <c r="I4863" t="s">
        <v>26</v>
      </c>
      <c r="J4863" t="s">
        <v>27</v>
      </c>
      <c r="K4863" t="s">
        <v>28</v>
      </c>
      <c r="L4863" s="2">
        <v>54.8</v>
      </c>
      <c r="M4863" s="3">
        <v>244</v>
      </c>
      <c r="N4863">
        <v>3</v>
      </c>
      <c r="O4863">
        <v>3</v>
      </c>
      <c r="P4863">
        <v>1</v>
      </c>
      <c r="Q4863">
        <v>0</v>
      </c>
      <c r="R4863" s="4">
        <v>31.37</v>
      </c>
      <c r="S4863">
        <v>0</v>
      </c>
      <c r="T4863">
        <v>1</v>
      </c>
    </row>
    <row r="4864" spans="1:20" ht="16.5" x14ac:dyDescent="0.3">
      <c r="A4864" t="s">
        <v>4918</v>
      </c>
      <c r="B4864" s="1">
        <v>45959</v>
      </c>
      <c r="C4864">
        <v>2025</v>
      </c>
      <c r="D4864" t="s">
        <v>1873</v>
      </c>
      <c r="E4864" t="s">
        <v>1874</v>
      </c>
      <c r="F4864" t="s">
        <v>38</v>
      </c>
      <c r="G4864" t="s">
        <v>39</v>
      </c>
      <c r="H4864" t="s">
        <v>36</v>
      </c>
      <c r="I4864" t="s">
        <v>40</v>
      </c>
      <c r="J4864" t="s">
        <v>27</v>
      </c>
      <c r="K4864" t="s">
        <v>32</v>
      </c>
      <c r="L4864" s="2">
        <v>3.6</v>
      </c>
      <c r="M4864" s="3">
        <v>290</v>
      </c>
      <c r="N4864">
        <v>1</v>
      </c>
      <c r="O4864">
        <v>1</v>
      </c>
      <c r="P4864">
        <v>1</v>
      </c>
      <c r="Q4864">
        <v>0</v>
      </c>
      <c r="R4864" s="4">
        <v>24.25</v>
      </c>
      <c r="S4864">
        <v>0</v>
      </c>
      <c r="T4864">
        <v>1</v>
      </c>
    </row>
    <row r="4865" spans="1:20" ht="16.5" x14ac:dyDescent="0.3">
      <c r="A4865" t="s">
        <v>4919</v>
      </c>
      <c r="B4865" s="1">
        <v>45959</v>
      </c>
      <c r="C4865">
        <v>2025</v>
      </c>
      <c r="D4865" t="s">
        <v>1873</v>
      </c>
      <c r="E4865" t="s">
        <v>1874</v>
      </c>
      <c r="F4865" t="s">
        <v>57</v>
      </c>
      <c r="G4865" t="s">
        <v>39</v>
      </c>
      <c r="H4865" t="s">
        <v>48</v>
      </c>
      <c r="I4865" t="s">
        <v>26</v>
      </c>
      <c r="J4865" t="s">
        <v>27</v>
      </c>
      <c r="K4865" t="s">
        <v>32</v>
      </c>
      <c r="L4865" s="2">
        <v>14.1</v>
      </c>
      <c r="M4865" s="3">
        <v>483</v>
      </c>
      <c r="N4865">
        <v>4</v>
      </c>
      <c r="O4865">
        <v>4</v>
      </c>
      <c r="P4865">
        <v>1</v>
      </c>
      <c r="Q4865">
        <v>0</v>
      </c>
      <c r="R4865" s="4">
        <v>20.21</v>
      </c>
      <c r="S4865">
        <v>0</v>
      </c>
      <c r="T4865">
        <v>1</v>
      </c>
    </row>
    <row r="4866" spans="1:20" ht="16.5" x14ac:dyDescent="0.3">
      <c r="A4866" t="s">
        <v>4920</v>
      </c>
      <c r="B4866" s="1">
        <v>45959</v>
      </c>
      <c r="C4866">
        <v>2025</v>
      </c>
      <c r="D4866" t="s">
        <v>1873</v>
      </c>
      <c r="E4866" t="s">
        <v>1874</v>
      </c>
      <c r="F4866" t="s">
        <v>30</v>
      </c>
      <c r="G4866" t="s">
        <v>39</v>
      </c>
      <c r="H4866" t="s">
        <v>48</v>
      </c>
      <c r="I4866" t="s">
        <v>40</v>
      </c>
      <c r="J4866" t="s">
        <v>27</v>
      </c>
      <c r="K4866" t="s">
        <v>32</v>
      </c>
      <c r="L4866" s="2">
        <v>2.8</v>
      </c>
      <c r="M4866" s="3">
        <v>484</v>
      </c>
      <c r="N4866">
        <v>2</v>
      </c>
      <c r="O4866">
        <v>2</v>
      </c>
      <c r="P4866">
        <v>1</v>
      </c>
      <c r="Q4866">
        <v>0</v>
      </c>
      <c r="R4866" s="4">
        <v>30.42</v>
      </c>
      <c r="S4866">
        <v>0</v>
      </c>
      <c r="T4866">
        <v>1</v>
      </c>
    </row>
    <row r="4867" spans="1:20" ht="16.5" x14ac:dyDescent="0.3">
      <c r="A4867" t="s">
        <v>4921</v>
      </c>
      <c r="B4867" s="1">
        <v>45959</v>
      </c>
      <c r="C4867">
        <v>2025</v>
      </c>
      <c r="D4867" t="s">
        <v>1873</v>
      </c>
      <c r="E4867" t="s">
        <v>1874</v>
      </c>
      <c r="F4867" t="s">
        <v>38</v>
      </c>
      <c r="G4867" t="s">
        <v>24</v>
      </c>
      <c r="H4867" t="s">
        <v>25</v>
      </c>
      <c r="I4867" t="s">
        <v>26</v>
      </c>
      <c r="J4867" t="s">
        <v>27</v>
      </c>
      <c r="K4867" t="s">
        <v>32</v>
      </c>
      <c r="L4867" s="2">
        <v>2.9</v>
      </c>
      <c r="M4867" s="3">
        <v>748</v>
      </c>
      <c r="N4867">
        <v>4</v>
      </c>
      <c r="O4867">
        <v>4</v>
      </c>
      <c r="P4867">
        <v>1</v>
      </c>
      <c r="Q4867">
        <v>0</v>
      </c>
      <c r="R4867" s="4">
        <v>19.510000000000002</v>
      </c>
      <c r="S4867">
        <v>0</v>
      </c>
      <c r="T4867">
        <v>1</v>
      </c>
    </row>
    <row r="4868" spans="1:20" ht="16.5" x14ac:dyDescent="0.3">
      <c r="A4868" t="s">
        <v>4922</v>
      </c>
      <c r="B4868" s="1">
        <v>45959</v>
      </c>
      <c r="C4868">
        <v>2025</v>
      </c>
      <c r="D4868" t="s">
        <v>1873</v>
      </c>
      <c r="E4868" t="s">
        <v>1874</v>
      </c>
      <c r="F4868" t="s">
        <v>38</v>
      </c>
      <c r="G4868" t="s">
        <v>39</v>
      </c>
      <c r="H4868" t="s">
        <v>25</v>
      </c>
      <c r="I4868" t="s">
        <v>31</v>
      </c>
      <c r="J4868" t="s">
        <v>27</v>
      </c>
      <c r="K4868" t="s">
        <v>32</v>
      </c>
      <c r="L4868" s="2">
        <v>2.1</v>
      </c>
      <c r="M4868" s="3">
        <v>1060</v>
      </c>
      <c r="N4868">
        <v>6</v>
      </c>
      <c r="O4868">
        <v>5</v>
      </c>
      <c r="P4868">
        <v>1</v>
      </c>
      <c r="Q4868">
        <v>0</v>
      </c>
      <c r="R4868" s="4">
        <v>15.89</v>
      </c>
      <c r="S4868">
        <v>0</v>
      </c>
      <c r="T4868">
        <v>1</v>
      </c>
    </row>
    <row r="4869" spans="1:20" ht="16.5" x14ac:dyDescent="0.3">
      <c r="A4869" t="s">
        <v>4923</v>
      </c>
      <c r="B4869" s="1">
        <v>45959</v>
      </c>
      <c r="C4869">
        <v>2025</v>
      </c>
      <c r="D4869" t="s">
        <v>1873</v>
      </c>
      <c r="E4869" t="s">
        <v>1874</v>
      </c>
      <c r="F4869" t="s">
        <v>23</v>
      </c>
      <c r="G4869" t="s">
        <v>35</v>
      </c>
      <c r="H4869" t="s">
        <v>36</v>
      </c>
      <c r="I4869" t="s">
        <v>40</v>
      </c>
      <c r="J4869" t="s">
        <v>27</v>
      </c>
      <c r="K4869" t="s">
        <v>32</v>
      </c>
      <c r="L4869" s="2">
        <v>8</v>
      </c>
      <c r="M4869" s="3">
        <v>264</v>
      </c>
      <c r="N4869">
        <v>1</v>
      </c>
      <c r="O4869">
        <v>1</v>
      </c>
      <c r="P4869">
        <v>1</v>
      </c>
      <c r="Q4869">
        <v>0</v>
      </c>
      <c r="R4869" s="4">
        <v>27.22</v>
      </c>
      <c r="S4869">
        <v>0</v>
      </c>
      <c r="T4869">
        <v>1</v>
      </c>
    </row>
    <row r="4870" spans="1:20" ht="16.5" x14ac:dyDescent="0.3">
      <c r="A4870" t="s">
        <v>4924</v>
      </c>
      <c r="B4870" s="1">
        <v>45959</v>
      </c>
      <c r="C4870">
        <v>2025</v>
      </c>
      <c r="D4870" t="s">
        <v>1873</v>
      </c>
      <c r="E4870" t="s">
        <v>1874</v>
      </c>
      <c r="F4870" t="s">
        <v>30</v>
      </c>
      <c r="G4870" t="s">
        <v>35</v>
      </c>
      <c r="H4870" t="s">
        <v>36</v>
      </c>
      <c r="I4870" t="s">
        <v>26</v>
      </c>
      <c r="J4870" t="s">
        <v>27</v>
      </c>
      <c r="K4870" t="s">
        <v>28</v>
      </c>
      <c r="L4870" s="2">
        <v>285.7</v>
      </c>
      <c r="M4870" s="3">
        <v>229</v>
      </c>
      <c r="N4870">
        <v>3</v>
      </c>
      <c r="O4870">
        <v>3</v>
      </c>
      <c r="P4870">
        <v>1</v>
      </c>
      <c r="Q4870">
        <v>0</v>
      </c>
      <c r="R4870" s="4">
        <v>137.16</v>
      </c>
      <c r="S4870">
        <v>0</v>
      </c>
      <c r="T4870">
        <v>1</v>
      </c>
    </row>
    <row r="4871" spans="1:20" ht="16.5" x14ac:dyDescent="0.3">
      <c r="A4871" t="s">
        <v>4925</v>
      </c>
      <c r="B4871" s="1">
        <v>45959</v>
      </c>
      <c r="C4871">
        <v>2025</v>
      </c>
      <c r="D4871" t="s">
        <v>1873</v>
      </c>
      <c r="E4871" t="s">
        <v>1874</v>
      </c>
      <c r="F4871" t="s">
        <v>34</v>
      </c>
      <c r="G4871" t="s">
        <v>35</v>
      </c>
      <c r="H4871" t="s">
        <v>25</v>
      </c>
      <c r="I4871" t="s">
        <v>26</v>
      </c>
      <c r="J4871" t="s">
        <v>27</v>
      </c>
      <c r="K4871" t="s">
        <v>28</v>
      </c>
      <c r="L4871" s="2">
        <v>158.5</v>
      </c>
      <c r="M4871" s="3">
        <v>779</v>
      </c>
      <c r="N4871">
        <v>4</v>
      </c>
      <c r="O4871">
        <v>3</v>
      </c>
      <c r="P4871">
        <v>1</v>
      </c>
      <c r="Q4871">
        <v>0</v>
      </c>
      <c r="R4871" s="4">
        <v>72.84</v>
      </c>
      <c r="S4871">
        <v>0</v>
      </c>
      <c r="T4871">
        <v>1</v>
      </c>
    </row>
    <row r="4872" spans="1:20" ht="16.5" x14ac:dyDescent="0.3">
      <c r="A4872" t="s">
        <v>4926</v>
      </c>
      <c r="B4872" s="1">
        <v>45959</v>
      </c>
      <c r="C4872">
        <v>2025</v>
      </c>
      <c r="D4872" t="s">
        <v>1873</v>
      </c>
      <c r="E4872" t="s">
        <v>1874</v>
      </c>
      <c r="F4872" t="s">
        <v>23</v>
      </c>
      <c r="G4872" t="s">
        <v>24</v>
      </c>
      <c r="H4872" t="s">
        <v>36</v>
      </c>
      <c r="I4872" t="s">
        <v>40</v>
      </c>
      <c r="J4872" t="s">
        <v>27</v>
      </c>
      <c r="K4872" t="s">
        <v>28</v>
      </c>
      <c r="L4872" s="2">
        <v>119.2</v>
      </c>
      <c r="M4872" s="3">
        <v>225</v>
      </c>
      <c r="N4872">
        <v>1</v>
      </c>
      <c r="O4872">
        <v>1</v>
      </c>
      <c r="P4872">
        <v>1</v>
      </c>
      <c r="Q4872">
        <v>0</v>
      </c>
      <c r="R4872" s="4">
        <v>122.76</v>
      </c>
      <c r="S4872">
        <v>0</v>
      </c>
      <c r="T4872">
        <v>1</v>
      </c>
    </row>
    <row r="4873" spans="1:20" ht="16.5" x14ac:dyDescent="0.3">
      <c r="A4873" t="s">
        <v>4927</v>
      </c>
      <c r="B4873" s="1">
        <v>45959</v>
      </c>
      <c r="C4873">
        <v>2025</v>
      </c>
      <c r="D4873" t="s">
        <v>1873</v>
      </c>
      <c r="E4873" t="s">
        <v>1874</v>
      </c>
      <c r="F4873" t="s">
        <v>34</v>
      </c>
      <c r="G4873" t="s">
        <v>35</v>
      </c>
      <c r="H4873" t="s">
        <v>51</v>
      </c>
      <c r="I4873" t="s">
        <v>26</v>
      </c>
      <c r="J4873" t="s">
        <v>27</v>
      </c>
      <c r="K4873" t="s">
        <v>28</v>
      </c>
      <c r="L4873" s="2">
        <v>326.10000000000002</v>
      </c>
      <c r="M4873" s="3">
        <v>1135</v>
      </c>
      <c r="N4873">
        <v>5</v>
      </c>
      <c r="O4873">
        <v>8</v>
      </c>
      <c r="P4873">
        <v>0</v>
      </c>
      <c r="Q4873">
        <v>3</v>
      </c>
      <c r="R4873" s="4">
        <v>131.66</v>
      </c>
      <c r="S4873">
        <v>0</v>
      </c>
      <c r="T4873">
        <v>1</v>
      </c>
    </row>
    <row r="4874" spans="1:20" ht="16.5" x14ac:dyDescent="0.3">
      <c r="A4874" t="s">
        <v>4928</v>
      </c>
      <c r="B4874" s="1">
        <v>45959</v>
      </c>
      <c r="C4874">
        <v>2025</v>
      </c>
      <c r="D4874" t="s">
        <v>1873</v>
      </c>
      <c r="E4874" t="s">
        <v>1874</v>
      </c>
      <c r="F4874" t="s">
        <v>38</v>
      </c>
      <c r="G4874" t="s">
        <v>39</v>
      </c>
      <c r="H4874" t="s">
        <v>25</v>
      </c>
      <c r="I4874" t="s">
        <v>26</v>
      </c>
      <c r="J4874" t="s">
        <v>27</v>
      </c>
      <c r="K4874" t="s">
        <v>32</v>
      </c>
      <c r="L4874" s="2">
        <v>5.7</v>
      </c>
      <c r="M4874" s="3">
        <v>702</v>
      </c>
      <c r="N4874">
        <v>4</v>
      </c>
      <c r="O4874">
        <v>4</v>
      </c>
      <c r="P4874">
        <v>1</v>
      </c>
      <c r="Q4874">
        <v>0</v>
      </c>
      <c r="R4874" s="4">
        <v>20.54</v>
      </c>
      <c r="S4874">
        <v>0</v>
      </c>
      <c r="T4874">
        <v>1</v>
      </c>
    </row>
    <row r="4875" spans="1:20" ht="16.5" x14ac:dyDescent="0.3">
      <c r="A4875" t="s">
        <v>4929</v>
      </c>
      <c r="B4875" s="1">
        <v>45960</v>
      </c>
      <c r="C4875">
        <v>2025</v>
      </c>
      <c r="D4875" t="s">
        <v>1873</v>
      </c>
      <c r="E4875" t="s">
        <v>1874</v>
      </c>
      <c r="F4875" t="s">
        <v>57</v>
      </c>
      <c r="G4875" t="s">
        <v>39</v>
      </c>
      <c r="H4875" t="s">
        <v>51</v>
      </c>
      <c r="I4875" t="s">
        <v>26</v>
      </c>
      <c r="J4875" t="s">
        <v>27</v>
      </c>
      <c r="K4875" t="s">
        <v>28</v>
      </c>
      <c r="L4875" s="2">
        <v>171.2</v>
      </c>
      <c r="M4875" s="3">
        <v>943</v>
      </c>
      <c r="N4875">
        <v>5</v>
      </c>
      <c r="O4875">
        <v>5</v>
      </c>
      <c r="P4875">
        <v>1</v>
      </c>
      <c r="Q4875">
        <v>0</v>
      </c>
      <c r="R4875" s="4">
        <v>79.34</v>
      </c>
      <c r="S4875">
        <v>0</v>
      </c>
      <c r="T4875">
        <v>1</v>
      </c>
    </row>
    <row r="4876" spans="1:20" ht="16.5" x14ac:dyDescent="0.3">
      <c r="A4876" t="s">
        <v>4930</v>
      </c>
      <c r="B4876" s="1">
        <v>45960</v>
      </c>
      <c r="C4876">
        <v>2025</v>
      </c>
      <c r="D4876" t="s">
        <v>1873</v>
      </c>
      <c r="E4876" t="s">
        <v>1874</v>
      </c>
      <c r="F4876" t="s">
        <v>23</v>
      </c>
      <c r="G4876" t="s">
        <v>39</v>
      </c>
      <c r="H4876" t="s">
        <v>36</v>
      </c>
      <c r="I4876" t="s">
        <v>31</v>
      </c>
      <c r="J4876" t="s">
        <v>27</v>
      </c>
      <c r="K4876" t="s">
        <v>28</v>
      </c>
      <c r="L4876" s="2">
        <v>42.2</v>
      </c>
      <c r="M4876" s="3">
        <v>280</v>
      </c>
      <c r="N4876">
        <v>5</v>
      </c>
      <c r="O4876">
        <v>5</v>
      </c>
      <c r="P4876">
        <v>1</v>
      </c>
      <c r="Q4876">
        <v>0</v>
      </c>
      <c r="R4876" s="4">
        <v>22.16</v>
      </c>
      <c r="S4876">
        <v>0</v>
      </c>
      <c r="T4876">
        <v>1</v>
      </c>
    </row>
    <row r="4877" spans="1:20" ht="16.5" x14ac:dyDescent="0.3">
      <c r="A4877" t="s">
        <v>4931</v>
      </c>
      <c r="B4877" s="1">
        <v>45960</v>
      </c>
      <c r="C4877">
        <v>2025</v>
      </c>
      <c r="D4877" t="s">
        <v>1873</v>
      </c>
      <c r="E4877" t="s">
        <v>1874</v>
      </c>
      <c r="F4877" t="s">
        <v>57</v>
      </c>
      <c r="G4877" t="s">
        <v>24</v>
      </c>
      <c r="H4877" t="s">
        <v>43</v>
      </c>
      <c r="I4877" t="s">
        <v>26</v>
      </c>
      <c r="J4877" t="s">
        <v>27</v>
      </c>
      <c r="K4877" t="s">
        <v>32</v>
      </c>
      <c r="L4877" s="2">
        <v>2.6</v>
      </c>
      <c r="M4877" s="3">
        <v>1286</v>
      </c>
      <c r="N4877">
        <v>5</v>
      </c>
      <c r="O4877">
        <v>5</v>
      </c>
      <c r="P4877">
        <v>1</v>
      </c>
      <c r="Q4877">
        <v>0</v>
      </c>
      <c r="R4877" s="4">
        <v>21.48</v>
      </c>
      <c r="S4877">
        <v>0</v>
      </c>
      <c r="T4877">
        <v>1</v>
      </c>
    </row>
    <row r="4878" spans="1:20" ht="16.5" x14ac:dyDescent="0.3">
      <c r="A4878" t="s">
        <v>4932</v>
      </c>
      <c r="B4878" s="1">
        <v>45960</v>
      </c>
      <c r="C4878">
        <v>2025</v>
      </c>
      <c r="D4878" t="s">
        <v>1873</v>
      </c>
      <c r="E4878" t="s">
        <v>1874</v>
      </c>
      <c r="F4878" t="s">
        <v>30</v>
      </c>
      <c r="G4878" t="s">
        <v>39</v>
      </c>
      <c r="H4878" t="s">
        <v>25</v>
      </c>
      <c r="I4878" t="s">
        <v>26</v>
      </c>
      <c r="J4878" t="s">
        <v>27</v>
      </c>
      <c r="K4878" t="s">
        <v>28</v>
      </c>
      <c r="L4878" s="2">
        <v>72.5</v>
      </c>
      <c r="M4878" s="3">
        <v>793</v>
      </c>
      <c r="N4878">
        <v>4</v>
      </c>
      <c r="O4878">
        <v>4</v>
      </c>
      <c r="P4878">
        <v>1</v>
      </c>
      <c r="Q4878">
        <v>0</v>
      </c>
      <c r="R4878" s="4">
        <v>51.81</v>
      </c>
      <c r="S4878">
        <v>0</v>
      </c>
      <c r="T4878">
        <v>1</v>
      </c>
    </row>
    <row r="4879" spans="1:20" ht="16.5" x14ac:dyDescent="0.3">
      <c r="A4879" t="s">
        <v>4933</v>
      </c>
      <c r="B4879" s="1">
        <v>45960</v>
      </c>
      <c r="C4879">
        <v>2025</v>
      </c>
      <c r="D4879" t="s">
        <v>1873</v>
      </c>
      <c r="E4879" t="s">
        <v>1874</v>
      </c>
      <c r="F4879" t="s">
        <v>30</v>
      </c>
      <c r="G4879" t="s">
        <v>24</v>
      </c>
      <c r="H4879" t="s">
        <v>25</v>
      </c>
      <c r="I4879" t="s">
        <v>40</v>
      </c>
      <c r="J4879" t="s">
        <v>41</v>
      </c>
      <c r="K4879" t="s">
        <v>28</v>
      </c>
      <c r="L4879" s="2">
        <v>112.3</v>
      </c>
      <c r="M4879" s="3">
        <v>752</v>
      </c>
      <c r="N4879">
        <v>2</v>
      </c>
      <c r="O4879">
        <v>2</v>
      </c>
      <c r="P4879">
        <v>1</v>
      </c>
      <c r="Q4879">
        <v>0</v>
      </c>
      <c r="R4879" s="4">
        <v>203.09</v>
      </c>
      <c r="S4879">
        <v>0</v>
      </c>
      <c r="T4879">
        <v>1</v>
      </c>
    </row>
    <row r="4880" spans="1:20" ht="16.5" x14ac:dyDescent="0.3">
      <c r="A4880" t="s">
        <v>4934</v>
      </c>
      <c r="B4880" s="1">
        <v>45960</v>
      </c>
      <c r="C4880">
        <v>2025</v>
      </c>
      <c r="D4880" t="s">
        <v>1873</v>
      </c>
      <c r="E4880" t="s">
        <v>1874</v>
      </c>
      <c r="F4880" t="s">
        <v>30</v>
      </c>
      <c r="G4880" t="s">
        <v>39</v>
      </c>
      <c r="H4880" t="s">
        <v>43</v>
      </c>
      <c r="I4880" t="s">
        <v>26</v>
      </c>
      <c r="J4880" t="s">
        <v>27</v>
      </c>
      <c r="K4880" t="s">
        <v>32</v>
      </c>
      <c r="L4880" s="2">
        <v>11</v>
      </c>
      <c r="M4880" s="3">
        <v>1208</v>
      </c>
      <c r="N4880">
        <v>5</v>
      </c>
      <c r="O4880">
        <v>5</v>
      </c>
      <c r="P4880">
        <v>1</v>
      </c>
      <c r="Q4880">
        <v>0</v>
      </c>
      <c r="R4880" s="4">
        <v>30.41</v>
      </c>
      <c r="S4880">
        <v>0</v>
      </c>
      <c r="T4880">
        <v>1</v>
      </c>
    </row>
    <row r="4881" spans="1:20" ht="16.5" x14ac:dyDescent="0.3">
      <c r="A4881" t="s">
        <v>4935</v>
      </c>
      <c r="B4881" s="1">
        <v>45960</v>
      </c>
      <c r="C4881">
        <v>2025</v>
      </c>
      <c r="D4881" t="s">
        <v>1873</v>
      </c>
      <c r="E4881" t="s">
        <v>1874</v>
      </c>
      <c r="F4881" t="s">
        <v>38</v>
      </c>
      <c r="G4881" t="s">
        <v>24</v>
      </c>
      <c r="H4881" t="s">
        <v>48</v>
      </c>
      <c r="I4881" t="s">
        <v>31</v>
      </c>
      <c r="J4881" t="s">
        <v>27</v>
      </c>
      <c r="K4881" t="s">
        <v>28</v>
      </c>
      <c r="L4881" s="2">
        <v>91.2</v>
      </c>
      <c r="M4881" s="3">
        <v>451</v>
      </c>
      <c r="N4881">
        <v>6</v>
      </c>
      <c r="O4881">
        <v>6</v>
      </c>
      <c r="P4881">
        <v>1</v>
      </c>
      <c r="Q4881">
        <v>0</v>
      </c>
      <c r="R4881" s="4">
        <v>41.36</v>
      </c>
      <c r="S4881">
        <v>0</v>
      </c>
      <c r="T4881">
        <v>1</v>
      </c>
    </row>
    <row r="4882" spans="1:20" ht="16.5" x14ac:dyDescent="0.3">
      <c r="A4882" t="s">
        <v>4936</v>
      </c>
      <c r="B4882" s="1">
        <v>45960</v>
      </c>
      <c r="C4882">
        <v>2025</v>
      </c>
      <c r="D4882" t="s">
        <v>1873</v>
      </c>
      <c r="E4882" t="s">
        <v>1874</v>
      </c>
      <c r="F4882" t="s">
        <v>34</v>
      </c>
      <c r="G4882" t="s">
        <v>35</v>
      </c>
      <c r="H4882" t="s">
        <v>36</v>
      </c>
      <c r="I4882" t="s">
        <v>26</v>
      </c>
      <c r="J4882" t="s">
        <v>27</v>
      </c>
      <c r="K4882" t="s">
        <v>28</v>
      </c>
      <c r="L4882" s="2">
        <v>223.3</v>
      </c>
      <c r="M4882" s="3">
        <v>250</v>
      </c>
      <c r="N4882">
        <v>3</v>
      </c>
      <c r="O4882">
        <v>3</v>
      </c>
      <c r="P4882">
        <v>1</v>
      </c>
      <c r="Q4882">
        <v>0</v>
      </c>
      <c r="R4882" s="4">
        <v>85.33</v>
      </c>
      <c r="S4882">
        <v>0</v>
      </c>
      <c r="T4882">
        <v>1</v>
      </c>
    </row>
    <row r="4883" spans="1:20" ht="16.5" x14ac:dyDescent="0.3">
      <c r="A4883" t="s">
        <v>4937</v>
      </c>
      <c r="B4883" s="1">
        <v>45960</v>
      </c>
      <c r="C4883">
        <v>2025</v>
      </c>
      <c r="D4883" t="s">
        <v>1873</v>
      </c>
      <c r="E4883" t="s">
        <v>1874</v>
      </c>
      <c r="F4883" t="s">
        <v>34</v>
      </c>
      <c r="G4883" t="s">
        <v>24</v>
      </c>
      <c r="H4883" t="s">
        <v>36</v>
      </c>
      <c r="I4883" t="s">
        <v>40</v>
      </c>
      <c r="J4883" t="s">
        <v>27</v>
      </c>
      <c r="K4883" t="s">
        <v>32</v>
      </c>
      <c r="L4883" s="2">
        <v>1.6</v>
      </c>
      <c r="M4883" s="3">
        <v>261</v>
      </c>
      <c r="N4883">
        <v>1</v>
      </c>
      <c r="O4883">
        <v>4</v>
      </c>
      <c r="P4883">
        <v>0</v>
      </c>
      <c r="Q4883">
        <v>3</v>
      </c>
      <c r="R4883" s="4">
        <v>19.53</v>
      </c>
      <c r="S4883">
        <v>0</v>
      </c>
      <c r="T4883">
        <v>1</v>
      </c>
    </row>
    <row r="4884" spans="1:20" ht="16.5" x14ac:dyDescent="0.3">
      <c r="A4884" t="s">
        <v>4938</v>
      </c>
      <c r="B4884" s="1">
        <v>45960</v>
      </c>
      <c r="C4884">
        <v>2025</v>
      </c>
      <c r="D4884" t="s">
        <v>1873</v>
      </c>
      <c r="E4884" t="s">
        <v>1874</v>
      </c>
      <c r="F4884" t="s">
        <v>38</v>
      </c>
      <c r="G4884" t="s">
        <v>24</v>
      </c>
      <c r="H4884" t="s">
        <v>25</v>
      </c>
      <c r="I4884" t="s">
        <v>31</v>
      </c>
      <c r="J4884" t="s">
        <v>27</v>
      </c>
      <c r="K4884" t="s">
        <v>32</v>
      </c>
      <c r="L4884" s="2">
        <v>4.7</v>
      </c>
      <c r="M4884" s="3">
        <v>985</v>
      </c>
      <c r="N4884">
        <v>6</v>
      </c>
      <c r="O4884">
        <v>6</v>
      </c>
      <c r="P4884">
        <v>1</v>
      </c>
      <c r="Q4884">
        <v>0</v>
      </c>
      <c r="R4884" s="4">
        <v>17.489999999999998</v>
      </c>
      <c r="S4884">
        <v>0</v>
      </c>
      <c r="T4884">
        <v>1</v>
      </c>
    </row>
    <row r="4885" spans="1:20" ht="16.5" x14ac:dyDescent="0.3">
      <c r="A4885" t="s">
        <v>4939</v>
      </c>
      <c r="B4885" s="1">
        <v>45961</v>
      </c>
      <c r="C4885">
        <v>2025</v>
      </c>
      <c r="D4885" t="s">
        <v>1873</v>
      </c>
      <c r="E4885" t="s">
        <v>1874</v>
      </c>
      <c r="F4885" t="s">
        <v>30</v>
      </c>
      <c r="G4885" t="s">
        <v>39</v>
      </c>
      <c r="H4885" t="s">
        <v>36</v>
      </c>
      <c r="I4885" t="s">
        <v>26</v>
      </c>
      <c r="J4885" t="s">
        <v>27</v>
      </c>
      <c r="K4885" t="s">
        <v>32</v>
      </c>
      <c r="L4885" s="2">
        <v>16.8</v>
      </c>
      <c r="M4885" s="3">
        <v>197</v>
      </c>
      <c r="N4885">
        <v>3</v>
      </c>
      <c r="O4885">
        <v>3</v>
      </c>
      <c r="P4885">
        <v>1</v>
      </c>
      <c r="Q4885">
        <v>0</v>
      </c>
      <c r="R4885" s="4">
        <v>19.149999999999999</v>
      </c>
      <c r="S4885">
        <v>0</v>
      </c>
      <c r="T4885">
        <v>1</v>
      </c>
    </row>
    <row r="4886" spans="1:20" ht="16.5" x14ac:dyDescent="0.3">
      <c r="A4886" t="s">
        <v>4940</v>
      </c>
      <c r="B4886" s="1">
        <v>45961</v>
      </c>
      <c r="C4886">
        <v>2025</v>
      </c>
      <c r="D4886" t="s">
        <v>1873</v>
      </c>
      <c r="E4886" t="s">
        <v>1874</v>
      </c>
      <c r="F4886" t="s">
        <v>34</v>
      </c>
      <c r="G4886" t="s">
        <v>35</v>
      </c>
      <c r="H4886" t="s">
        <v>43</v>
      </c>
      <c r="I4886" t="s">
        <v>40</v>
      </c>
      <c r="J4886" t="s">
        <v>41</v>
      </c>
      <c r="K4886" t="s">
        <v>32</v>
      </c>
      <c r="L4886" s="2">
        <v>3.6</v>
      </c>
      <c r="M4886" s="3">
        <v>998</v>
      </c>
      <c r="N4886">
        <v>3</v>
      </c>
      <c r="O4886">
        <v>4</v>
      </c>
      <c r="P4886">
        <v>0</v>
      </c>
      <c r="Q4886">
        <v>1</v>
      </c>
      <c r="R4886" s="4">
        <v>57.01</v>
      </c>
      <c r="S4886">
        <v>1</v>
      </c>
      <c r="T4886">
        <v>1</v>
      </c>
    </row>
    <row r="4887" spans="1:20" ht="16.5" x14ac:dyDescent="0.3">
      <c r="A4887" t="s">
        <v>4941</v>
      </c>
      <c r="B4887" s="1">
        <v>45961</v>
      </c>
      <c r="C4887">
        <v>2025</v>
      </c>
      <c r="D4887" t="s">
        <v>1873</v>
      </c>
      <c r="E4887" t="s">
        <v>1874</v>
      </c>
      <c r="F4887" t="s">
        <v>23</v>
      </c>
      <c r="G4887" t="s">
        <v>24</v>
      </c>
      <c r="H4887" t="s">
        <v>36</v>
      </c>
      <c r="I4887" t="s">
        <v>26</v>
      </c>
      <c r="J4887" t="s">
        <v>27</v>
      </c>
      <c r="K4887" t="s">
        <v>28</v>
      </c>
      <c r="L4887" s="2">
        <v>12</v>
      </c>
      <c r="M4887" s="3">
        <v>235</v>
      </c>
      <c r="N4887">
        <v>3</v>
      </c>
      <c r="O4887">
        <v>8</v>
      </c>
      <c r="P4887">
        <v>0</v>
      </c>
      <c r="Q4887">
        <v>5</v>
      </c>
      <c r="R4887" s="4">
        <v>16.16</v>
      </c>
      <c r="S4887">
        <v>0</v>
      </c>
      <c r="T4887">
        <v>1</v>
      </c>
    </row>
    <row r="4888" spans="1:20" ht="16.5" x14ac:dyDescent="0.3">
      <c r="A4888" t="s">
        <v>4942</v>
      </c>
      <c r="B4888" s="1">
        <v>45961</v>
      </c>
      <c r="C4888">
        <v>2025</v>
      </c>
      <c r="D4888" t="s">
        <v>1873</v>
      </c>
      <c r="E4888" t="s">
        <v>1874</v>
      </c>
      <c r="F4888" t="s">
        <v>34</v>
      </c>
      <c r="G4888" t="s">
        <v>24</v>
      </c>
      <c r="H4888" t="s">
        <v>36</v>
      </c>
      <c r="I4888" t="s">
        <v>26</v>
      </c>
      <c r="J4888" t="s">
        <v>27</v>
      </c>
      <c r="K4888" t="s">
        <v>32</v>
      </c>
      <c r="L4888" s="2">
        <v>9.9</v>
      </c>
      <c r="M4888" s="3">
        <v>302</v>
      </c>
      <c r="N4888">
        <v>3</v>
      </c>
      <c r="O4888">
        <v>3</v>
      </c>
      <c r="P4888">
        <v>1</v>
      </c>
      <c r="Q4888">
        <v>0</v>
      </c>
      <c r="R4888" s="4">
        <v>13.45</v>
      </c>
      <c r="S4888">
        <v>0</v>
      </c>
      <c r="T4888">
        <v>1</v>
      </c>
    </row>
    <row r="4889" spans="1:20" ht="16.5" x14ac:dyDescent="0.3">
      <c r="A4889" t="s">
        <v>4943</v>
      </c>
      <c r="B4889" s="1">
        <v>45961</v>
      </c>
      <c r="C4889">
        <v>2025</v>
      </c>
      <c r="D4889" t="s">
        <v>1873</v>
      </c>
      <c r="E4889" t="s">
        <v>1874</v>
      </c>
      <c r="F4889" t="s">
        <v>34</v>
      </c>
      <c r="G4889" t="s">
        <v>39</v>
      </c>
      <c r="H4889" t="s">
        <v>48</v>
      </c>
      <c r="I4889" t="s">
        <v>40</v>
      </c>
      <c r="J4889" t="s">
        <v>27</v>
      </c>
      <c r="K4889" t="s">
        <v>32</v>
      </c>
      <c r="L4889" s="2">
        <v>9.4</v>
      </c>
      <c r="M4889" s="3">
        <v>507</v>
      </c>
      <c r="N4889">
        <v>2</v>
      </c>
      <c r="O4889">
        <v>2</v>
      </c>
      <c r="P4889">
        <v>1</v>
      </c>
      <c r="Q4889">
        <v>0</v>
      </c>
      <c r="R4889" s="4">
        <v>31.59</v>
      </c>
      <c r="S4889">
        <v>0</v>
      </c>
      <c r="T4889">
        <v>1</v>
      </c>
    </row>
    <row r="4890" spans="1:20" ht="16.5" x14ac:dyDescent="0.3">
      <c r="A4890" t="s">
        <v>4944</v>
      </c>
      <c r="B4890" s="1">
        <v>45961</v>
      </c>
      <c r="C4890">
        <v>2025</v>
      </c>
      <c r="D4890" t="s">
        <v>1873</v>
      </c>
      <c r="E4890" t="s">
        <v>1874</v>
      </c>
      <c r="F4890" t="s">
        <v>30</v>
      </c>
      <c r="G4890" t="s">
        <v>24</v>
      </c>
      <c r="H4890" t="s">
        <v>48</v>
      </c>
      <c r="I4890" t="s">
        <v>31</v>
      </c>
      <c r="J4890" t="s">
        <v>27</v>
      </c>
      <c r="K4890" t="s">
        <v>28</v>
      </c>
      <c r="L4890" s="2">
        <v>80.5</v>
      </c>
      <c r="M4890" s="3">
        <v>510</v>
      </c>
      <c r="N4890">
        <v>6</v>
      </c>
      <c r="O4890">
        <v>6</v>
      </c>
      <c r="P4890">
        <v>1</v>
      </c>
      <c r="Q4890">
        <v>0</v>
      </c>
      <c r="R4890" s="4">
        <v>39.729999999999997</v>
      </c>
      <c r="S4890">
        <v>0</v>
      </c>
      <c r="T4890">
        <v>1</v>
      </c>
    </row>
    <row r="4891" spans="1:20" ht="16.5" x14ac:dyDescent="0.3">
      <c r="A4891" t="s">
        <v>4945</v>
      </c>
      <c r="B4891" s="1">
        <v>45961</v>
      </c>
      <c r="C4891">
        <v>2025</v>
      </c>
      <c r="D4891" t="s">
        <v>1873</v>
      </c>
      <c r="E4891" t="s">
        <v>1874</v>
      </c>
      <c r="F4891" t="s">
        <v>38</v>
      </c>
      <c r="G4891" t="s">
        <v>35</v>
      </c>
      <c r="H4891" t="s">
        <v>48</v>
      </c>
      <c r="I4891" t="s">
        <v>26</v>
      </c>
      <c r="J4891" t="s">
        <v>27</v>
      </c>
      <c r="K4891" t="s">
        <v>32</v>
      </c>
      <c r="L4891" s="2">
        <v>3.8</v>
      </c>
      <c r="M4891" s="3">
        <v>508</v>
      </c>
      <c r="N4891">
        <v>4</v>
      </c>
      <c r="O4891">
        <v>4</v>
      </c>
      <c r="P4891">
        <v>1</v>
      </c>
      <c r="Q4891">
        <v>0</v>
      </c>
      <c r="R4891" s="4">
        <v>17.12</v>
      </c>
      <c r="S4891">
        <v>0</v>
      </c>
      <c r="T4891">
        <v>1</v>
      </c>
    </row>
    <row r="4892" spans="1:20" ht="16.5" x14ac:dyDescent="0.3">
      <c r="A4892" t="s">
        <v>4946</v>
      </c>
      <c r="B4892" s="1">
        <v>45961</v>
      </c>
      <c r="C4892">
        <v>2025</v>
      </c>
      <c r="D4892" t="s">
        <v>1873</v>
      </c>
      <c r="E4892" t="s">
        <v>1874</v>
      </c>
      <c r="F4892" t="s">
        <v>30</v>
      </c>
      <c r="G4892" t="s">
        <v>35</v>
      </c>
      <c r="H4892" t="s">
        <v>36</v>
      </c>
      <c r="I4892" t="s">
        <v>40</v>
      </c>
      <c r="J4892" t="s">
        <v>27</v>
      </c>
      <c r="K4892" t="s">
        <v>32</v>
      </c>
      <c r="L4892" s="2">
        <v>2.1</v>
      </c>
      <c r="M4892" s="3">
        <v>231</v>
      </c>
      <c r="N4892">
        <v>1</v>
      </c>
      <c r="O4892">
        <v>1</v>
      </c>
      <c r="P4892">
        <v>1</v>
      </c>
      <c r="Q4892">
        <v>0</v>
      </c>
      <c r="R4892" s="4">
        <v>20.32</v>
      </c>
      <c r="S4892">
        <v>0</v>
      </c>
      <c r="T4892">
        <v>1</v>
      </c>
    </row>
    <row r="4893" spans="1:20" ht="16.5" x14ac:dyDescent="0.3">
      <c r="A4893" t="s">
        <v>4947</v>
      </c>
      <c r="B4893" s="1">
        <v>45961</v>
      </c>
      <c r="C4893">
        <v>2025</v>
      </c>
      <c r="D4893" t="s">
        <v>1873</v>
      </c>
      <c r="E4893" t="s">
        <v>1874</v>
      </c>
      <c r="F4893" t="s">
        <v>57</v>
      </c>
      <c r="G4893" t="s">
        <v>35</v>
      </c>
      <c r="H4893" t="s">
        <v>43</v>
      </c>
      <c r="I4893" t="s">
        <v>40</v>
      </c>
      <c r="J4893" t="s">
        <v>41</v>
      </c>
      <c r="K4893" t="s">
        <v>28</v>
      </c>
      <c r="L4893" s="2">
        <v>28</v>
      </c>
      <c r="M4893" s="3">
        <v>1096</v>
      </c>
      <c r="N4893">
        <v>3</v>
      </c>
      <c r="O4893">
        <v>2</v>
      </c>
      <c r="P4893">
        <v>1</v>
      </c>
      <c r="Q4893">
        <v>0</v>
      </c>
      <c r="R4893" s="4">
        <v>102.84</v>
      </c>
      <c r="S4893">
        <v>0</v>
      </c>
      <c r="T4893">
        <v>1</v>
      </c>
    </row>
    <row r="4894" spans="1:20" ht="16.5" x14ac:dyDescent="0.3">
      <c r="A4894" t="s">
        <v>4948</v>
      </c>
      <c r="B4894" s="1">
        <v>45961</v>
      </c>
      <c r="C4894">
        <v>2025</v>
      </c>
      <c r="D4894" t="s">
        <v>1873</v>
      </c>
      <c r="E4894" t="s">
        <v>1874</v>
      </c>
      <c r="F4894" t="s">
        <v>57</v>
      </c>
      <c r="G4894" t="s">
        <v>35</v>
      </c>
      <c r="H4894" t="s">
        <v>25</v>
      </c>
      <c r="I4894" t="s">
        <v>26</v>
      </c>
      <c r="J4894" t="s">
        <v>27</v>
      </c>
      <c r="K4894" t="s">
        <v>28</v>
      </c>
      <c r="L4894" s="2">
        <v>148.4</v>
      </c>
      <c r="M4894" s="3">
        <v>828</v>
      </c>
      <c r="N4894">
        <v>4</v>
      </c>
      <c r="O4894">
        <v>4</v>
      </c>
      <c r="P4894">
        <v>1</v>
      </c>
      <c r="Q4894">
        <v>0</v>
      </c>
      <c r="R4894" s="4">
        <v>79.510000000000005</v>
      </c>
      <c r="S4894">
        <v>0</v>
      </c>
      <c r="T4894">
        <v>1</v>
      </c>
    </row>
    <row r="4895" spans="1:20" ht="16.5" x14ac:dyDescent="0.3">
      <c r="A4895" t="s">
        <v>4949</v>
      </c>
      <c r="B4895" s="1">
        <v>45961</v>
      </c>
      <c r="C4895">
        <v>2025</v>
      </c>
      <c r="D4895" t="s">
        <v>1873</v>
      </c>
      <c r="E4895" t="s">
        <v>1874</v>
      </c>
      <c r="F4895" t="s">
        <v>57</v>
      </c>
      <c r="G4895" t="s">
        <v>24</v>
      </c>
      <c r="H4895" t="s">
        <v>43</v>
      </c>
      <c r="I4895" t="s">
        <v>26</v>
      </c>
      <c r="J4895" t="s">
        <v>27</v>
      </c>
      <c r="K4895" t="s">
        <v>28</v>
      </c>
      <c r="L4895" s="2">
        <v>138.6</v>
      </c>
      <c r="M4895" s="3">
        <v>966</v>
      </c>
      <c r="N4895">
        <v>5</v>
      </c>
      <c r="O4895">
        <v>5</v>
      </c>
      <c r="P4895">
        <v>1</v>
      </c>
      <c r="Q4895">
        <v>0</v>
      </c>
      <c r="R4895" s="4">
        <v>84.4</v>
      </c>
      <c r="S4895">
        <v>0</v>
      </c>
      <c r="T4895">
        <v>1</v>
      </c>
    </row>
    <row r="4896" spans="1:20" ht="16.5" x14ac:dyDescent="0.3">
      <c r="A4896" t="s">
        <v>4950</v>
      </c>
      <c r="B4896" s="1">
        <v>45961</v>
      </c>
      <c r="C4896">
        <v>2025</v>
      </c>
      <c r="D4896" t="s">
        <v>1873</v>
      </c>
      <c r="E4896" t="s">
        <v>1874</v>
      </c>
      <c r="F4896" t="s">
        <v>30</v>
      </c>
      <c r="G4896" t="s">
        <v>39</v>
      </c>
      <c r="H4896" t="s">
        <v>36</v>
      </c>
      <c r="I4896" t="s">
        <v>26</v>
      </c>
      <c r="J4896" t="s">
        <v>27</v>
      </c>
      <c r="K4896" t="s">
        <v>28</v>
      </c>
      <c r="L4896" s="2">
        <v>37.9</v>
      </c>
      <c r="M4896" s="3">
        <v>286</v>
      </c>
      <c r="N4896">
        <v>3</v>
      </c>
      <c r="O4896">
        <v>2</v>
      </c>
      <c r="P4896">
        <v>1</v>
      </c>
      <c r="Q4896">
        <v>0</v>
      </c>
      <c r="R4896" s="4">
        <v>28.83</v>
      </c>
      <c r="S4896">
        <v>0</v>
      </c>
      <c r="T4896">
        <v>1</v>
      </c>
    </row>
    <row r="4897" spans="1:20" ht="16.5" x14ac:dyDescent="0.3">
      <c r="A4897" t="s">
        <v>4951</v>
      </c>
      <c r="B4897" s="1">
        <v>45961</v>
      </c>
      <c r="C4897">
        <v>2025</v>
      </c>
      <c r="D4897" t="s">
        <v>1873</v>
      </c>
      <c r="E4897" t="s">
        <v>1874</v>
      </c>
      <c r="F4897" t="s">
        <v>23</v>
      </c>
      <c r="G4897" t="s">
        <v>35</v>
      </c>
      <c r="H4897" t="s">
        <v>48</v>
      </c>
      <c r="I4897" t="s">
        <v>31</v>
      </c>
      <c r="J4897" t="s">
        <v>27</v>
      </c>
      <c r="K4897" t="s">
        <v>28</v>
      </c>
      <c r="L4897" s="2">
        <v>97.2</v>
      </c>
      <c r="M4897" s="3">
        <v>351</v>
      </c>
      <c r="N4897">
        <v>6</v>
      </c>
      <c r="O4897">
        <v>6</v>
      </c>
      <c r="P4897">
        <v>1</v>
      </c>
      <c r="Q4897">
        <v>0</v>
      </c>
      <c r="R4897" s="4">
        <v>33.93</v>
      </c>
      <c r="S4897">
        <v>1</v>
      </c>
      <c r="T4897">
        <v>1</v>
      </c>
    </row>
    <row r="4898" spans="1:20" ht="16.5" x14ac:dyDescent="0.3">
      <c r="A4898" t="s">
        <v>4952</v>
      </c>
      <c r="B4898" s="1">
        <v>45962</v>
      </c>
      <c r="C4898">
        <v>2025</v>
      </c>
      <c r="D4898" t="s">
        <v>1873</v>
      </c>
      <c r="E4898" t="s">
        <v>2108</v>
      </c>
      <c r="F4898" t="s">
        <v>23</v>
      </c>
      <c r="G4898" t="s">
        <v>24</v>
      </c>
      <c r="H4898" t="s">
        <v>48</v>
      </c>
      <c r="I4898" t="s">
        <v>40</v>
      </c>
      <c r="J4898" t="s">
        <v>27</v>
      </c>
      <c r="K4898" t="s">
        <v>32</v>
      </c>
      <c r="L4898" s="2">
        <v>3.7</v>
      </c>
      <c r="M4898" s="3">
        <v>535</v>
      </c>
      <c r="N4898">
        <v>2</v>
      </c>
      <c r="O4898">
        <v>2</v>
      </c>
      <c r="P4898">
        <v>1</v>
      </c>
      <c r="Q4898">
        <v>0</v>
      </c>
      <c r="R4898" s="4">
        <v>26.88</v>
      </c>
      <c r="S4898">
        <v>0</v>
      </c>
      <c r="T4898">
        <v>1</v>
      </c>
    </row>
    <row r="4899" spans="1:20" ht="16.5" x14ac:dyDescent="0.3">
      <c r="A4899" t="s">
        <v>4953</v>
      </c>
      <c r="B4899" s="1">
        <v>45962</v>
      </c>
      <c r="C4899">
        <v>2025</v>
      </c>
      <c r="D4899" t="s">
        <v>1873</v>
      </c>
      <c r="E4899" t="s">
        <v>2108</v>
      </c>
      <c r="F4899" t="s">
        <v>34</v>
      </c>
      <c r="G4899" t="s">
        <v>35</v>
      </c>
      <c r="H4899" t="s">
        <v>48</v>
      </c>
      <c r="I4899" t="s">
        <v>31</v>
      </c>
      <c r="J4899" t="s">
        <v>27</v>
      </c>
      <c r="K4899" t="s">
        <v>28</v>
      </c>
      <c r="L4899" s="2">
        <v>118.7</v>
      </c>
      <c r="M4899" s="3">
        <v>545</v>
      </c>
      <c r="N4899">
        <v>6</v>
      </c>
      <c r="O4899">
        <v>6</v>
      </c>
      <c r="P4899">
        <v>1</v>
      </c>
      <c r="Q4899">
        <v>0</v>
      </c>
      <c r="R4899" s="4">
        <v>36.71</v>
      </c>
      <c r="S4899">
        <v>0</v>
      </c>
      <c r="T4899">
        <v>1</v>
      </c>
    </row>
    <row r="4900" spans="1:20" ht="16.5" x14ac:dyDescent="0.3">
      <c r="A4900" t="s">
        <v>4954</v>
      </c>
      <c r="B4900" s="1">
        <v>45962</v>
      </c>
      <c r="C4900">
        <v>2025</v>
      </c>
      <c r="D4900" t="s">
        <v>1873</v>
      </c>
      <c r="E4900" t="s">
        <v>2108</v>
      </c>
      <c r="F4900" t="s">
        <v>38</v>
      </c>
      <c r="G4900" t="s">
        <v>35</v>
      </c>
      <c r="H4900" t="s">
        <v>48</v>
      </c>
      <c r="I4900" t="s">
        <v>40</v>
      </c>
      <c r="J4900" t="s">
        <v>27</v>
      </c>
      <c r="K4900" t="s">
        <v>28</v>
      </c>
      <c r="L4900" s="2">
        <v>159.80000000000001</v>
      </c>
      <c r="M4900" s="3">
        <v>461</v>
      </c>
      <c r="N4900">
        <v>2</v>
      </c>
      <c r="O4900">
        <v>2</v>
      </c>
      <c r="P4900">
        <v>1</v>
      </c>
      <c r="Q4900">
        <v>0</v>
      </c>
      <c r="R4900" s="4">
        <v>155.54</v>
      </c>
      <c r="S4900">
        <v>0</v>
      </c>
      <c r="T4900">
        <v>1</v>
      </c>
    </row>
    <row r="4901" spans="1:20" ht="16.5" x14ac:dyDescent="0.3">
      <c r="A4901" t="s">
        <v>4955</v>
      </c>
      <c r="B4901" s="1">
        <v>45962</v>
      </c>
      <c r="C4901">
        <v>2025</v>
      </c>
      <c r="D4901" t="s">
        <v>1873</v>
      </c>
      <c r="E4901" t="s">
        <v>2108</v>
      </c>
      <c r="F4901" t="s">
        <v>34</v>
      </c>
      <c r="G4901" t="s">
        <v>39</v>
      </c>
      <c r="H4901" t="s">
        <v>36</v>
      </c>
      <c r="I4901" t="s">
        <v>40</v>
      </c>
      <c r="J4901" t="s">
        <v>27</v>
      </c>
      <c r="K4901" t="s">
        <v>28</v>
      </c>
      <c r="L4901" s="2">
        <v>88.4</v>
      </c>
      <c r="M4901" s="3">
        <v>245</v>
      </c>
      <c r="N4901">
        <v>1</v>
      </c>
      <c r="O4901">
        <v>1</v>
      </c>
      <c r="P4901">
        <v>1</v>
      </c>
      <c r="Q4901">
        <v>0</v>
      </c>
      <c r="R4901" s="4">
        <v>88.62</v>
      </c>
      <c r="S4901">
        <v>0</v>
      </c>
      <c r="T4901">
        <v>1</v>
      </c>
    </row>
    <row r="4902" spans="1:20" ht="16.5" x14ac:dyDescent="0.3">
      <c r="A4902" t="s">
        <v>4956</v>
      </c>
      <c r="B4902" s="1">
        <v>45962</v>
      </c>
      <c r="C4902">
        <v>2025</v>
      </c>
      <c r="D4902" t="s">
        <v>1873</v>
      </c>
      <c r="E4902" t="s">
        <v>2108</v>
      </c>
      <c r="F4902" t="s">
        <v>57</v>
      </c>
      <c r="G4902" t="s">
        <v>35</v>
      </c>
      <c r="H4902" t="s">
        <v>25</v>
      </c>
      <c r="I4902" t="s">
        <v>26</v>
      </c>
      <c r="J4902" t="s">
        <v>27</v>
      </c>
      <c r="K4902" t="s">
        <v>32</v>
      </c>
      <c r="L4902" s="2">
        <v>16.8</v>
      </c>
      <c r="M4902" s="3">
        <v>1141</v>
      </c>
      <c r="N4902">
        <v>4</v>
      </c>
      <c r="O4902">
        <v>4</v>
      </c>
      <c r="P4902">
        <v>1</v>
      </c>
      <c r="Q4902">
        <v>0</v>
      </c>
      <c r="R4902" s="4">
        <v>30.44</v>
      </c>
      <c r="S4902">
        <v>0</v>
      </c>
      <c r="T4902">
        <v>1</v>
      </c>
    </row>
    <row r="4903" spans="1:20" ht="16.5" x14ac:dyDescent="0.3">
      <c r="A4903" t="s">
        <v>4957</v>
      </c>
      <c r="B4903" s="1">
        <v>45962</v>
      </c>
      <c r="C4903">
        <v>2025</v>
      </c>
      <c r="D4903" t="s">
        <v>1873</v>
      </c>
      <c r="E4903" t="s">
        <v>2108</v>
      </c>
      <c r="F4903" t="s">
        <v>38</v>
      </c>
      <c r="G4903" t="s">
        <v>39</v>
      </c>
      <c r="H4903" t="s">
        <v>48</v>
      </c>
      <c r="I4903" t="s">
        <v>31</v>
      </c>
      <c r="J4903" t="s">
        <v>27</v>
      </c>
      <c r="K4903" t="s">
        <v>32</v>
      </c>
      <c r="L4903" s="2">
        <v>16.3</v>
      </c>
      <c r="M4903" s="3">
        <v>524</v>
      </c>
      <c r="N4903">
        <v>6</v>
      </c>
      <c r="O4903">
        <v>5</v>
      </c>
      <c r="P4903">
        <v>1</v>
      </c>
      <c r="Q4903">
        <v>0</v>
      </c>
      <c r="R4903" s="4">
        <v>18.170000000000002</v>
      </c>
      <c r="S4903">
        <v>0</v>
      </c>
      <c r="T4903">
        <v>1</v>
      </c>
    </row>
    <row r="4904" spans="1:20" ht="16.5" x14ac:dyDescent="0.3">
      <c r="A4904" t="s">
        <v>4958</v>
      </c>
      <c r="B4904" s="1">
        <v>45962</v>
      </c>
      <c r="C4904">
        <v>2025</v>
      </c>
      <c r="D4904" t="s">
        <v>1873</v>
      </c>
      <c r="E4904" t="s">
        <v>2108</v>
      </c>
      <c r="F4904" t="s">
        <v>57</v>
      </c>
      <c r="G4904" t="s">
        <v>39</v>
      </c>
      <c r="H4904" t="s">
        <v>36</v>
      </c>
      <c r="I4904" t="s">
        <v>26</v>
      </c>
      <c r="J4904" t="s">
        <v>27</v>
      </c>
      <c r="K4904" t="s">
        <v>28</v>
      </c>
      <c r="L4904" s="2">
        <v>164.9</v>
      </c>
      <c r="M4904" s="3">
        <v>243</v>
      </c>
      <c r="N4904">
        <v>3</v>
      </c>
      <c r="O4904">
        <v>4</v>
      </c>
      <c r="P4904">
        <v>0</v>
      </c>
      <c r="Q4904">
        <v>1</v>
      </c>
      <c r="R4904" s="4">
        <v>83.3</v>
      </c>
      <c r="S4904">
        <v>0</v>
      </c>
      <c r="T4904">
        <v>1</v>
      </c>
    </row>
    <row r="4905" spans="1:20" ht="16.5" x14ac:dyDescent="0.3">
      <c r="A4905" t="s">
        <v>4959</v>
      </c>
      <c r="B4905" s="1">
        <v>45963</v>
      </c>
      <c r="C4905">
        <v>2025</v>
      </c>
      <c r="D4905" t="s">
        <v>1873</v>
      </c>
      <c r="E4905" t="s">
        <v>2108</v>
      </c>
      <c r="F4905" t="s">
        <v>30</v>
      </c>
      <c r="G4905" t="s">
        <v>35</v>
      </c>
      <c r="H4905" t="s">
        <v>51</v>
      </c>
      <c r="I4905" t="s">
        <v>26</v>
      </c>
      <c r="J4905" t="s">
        <v>27</v>
      </c>
      <c r="K4905" t="s">
        <v>32</v>
      </c>
      <c r="L4905" s="2">
        <v>6.8</v>
      </c>
      <c r="M4905" s="3">
        <v>1224</v>
      </c>
      <c r="N4905">
        <v>5</v>
      </c>
      <c r="O4905">
        <v>8</v>
      </c>
      <c r="P4905">
        <v>0</v>
      </c>
      <c r="Q4905">
        <v>3</v>
      </c>
      <c r="R4905" s="4">
        <v>28.76</v>
      </c>
      <c r="S4905">
        <v>0</v>
      </c>
      <c r="T4905">
        <v>1</v>
      </c>
    </row>
    <row r="4906" spans="1:20" ht="16.5" x14ac:dyDescent="0.3">
      <c r="A4906" t="s">
        <v>4960</v>
      </c>
      <c r="B4906" s="1">
        <v>45963</v>
      </c>
      <c r="C4906">
        <v>2025</v>
      </c>
      <c r="D4906" t="s">
        <v>1873</v>
      </c>
      <c r="E4906" t="s">
        <v>2108</v>
      </c>
      <c r="F4906" t="s">
        <v>57</v>
      </c>
      <c r="G4906" t="s">
        <v>24</v>
      </c>
      <c r="H4906" t="s">
        <v>48</v>
      </c>
      <c r="I4906" t="s">
        <v>31</v>
      </c>
      <c r="J4906" t="s">
        <v>27</v>
      </c>
      <c r="K4906" t="s">
        <v>32</v>
      </c>
      <c r="L4906" s="2">
        <v>2.9</v>
      </c>
      <c r="M4906" s="3">
        <v>502</v>
      </c>
      <c r="N4906">
        <v>6</v>
      </c>
      <c r="O4906">
        <v>6</v>
      </c>
      <c r="P4906">
        <v>1</v>
      </c>
      <c r="Q4906">
        <v>0</v>
      </c>
      <c r="R4906" s="4">
        <v>10.92</v>
      </c>
      <c r="S4906">
        <v>0</v>
      </c>
      <c r="T4906">
        <v>1</v>
      </c>
    </row>
    <row r="4907" spans="1:20" ht="16.5" x14ac:dyDescent="0.3">
      <c r="A4907" t="s">
        <v>4961</v>
      </c>
      <c r="B4907" s="1">
        <v>45963</v>
      </c>
      <c r="C4907">
        <v>2025</v>
      </c>
      <c r="D4907" t="s">
        <v>1873</v>
      </c>
      <c r="E4907" t="s">
        <v>2108</v>
      </c>
      <c r="F4907" t="s">
        <v>34</v>
      </c>
      <c r="G4907" t="s">
        <v>39</v>
      </c>
      <c r="H4907" t="s">
        <v>25</v>
      </c>
      <c r="I4907" t="s">
        <v>31</v>
      </c>
      <c r="J4907" t="s">
        <v>27</v>
      </c>
      <c r="K4907" t="s">
        <v>32</v>
      </c>
      <c r="L4907" s="2">
        <v>8.1999999999999993</v>
      </c>
      <c r="M4907" s="3">
        <v>712</v>
      </c>
      <c r="N4907">
        <v>6</v>
      </c>
      <c r="O4907">
        <v>6</v>
      </c>
      <c r="P4907">
        <v>1</v>
      </c>
      <c r="Q4907">
        <v>0</v>
      </c>
      <c r="R4907" s="4">
        <v>12.44</v>
      </c>
      <c r="S4907">
        <v>0</v>
      </c>
      <c r="T4907">
        <v>1</v>
      </c>
    </row>
    <row r="4908" spans="1:20" ht="16.5" x14ac:dyDescent="0.3">
      <c r="A4908" t="s">
        <v>4962</v>
      </c>
      <c r="B4908" s="1">
        <v>45963</v>
      </c>
      <c r="C4908">
        <v>2025</v>
      </c>
      <c r="D4908" t="s">
        <v>1873</v>
      </c>
      <c r="E4908" t="s">
        <v>2108</v>
      </c>
      <c r="F4908" t="s">
        <v>34</v>
      </c>
      <c r="G4908" t="s">
        <v>24</v>
      </c>
      <c r="H4908" t="s">
        <v>51</v>
      </c>
      <c r="I4908" t="s">
        <v>26</v>
      </c>
      <c r="J4908" t="s">
        <v>27</v>
      </c>
      <c r="K4908" t="s">
        <v>28</v>
      </c>
      <c r="L4908" s="2">
        <v>77.7</v>
      </c>
      <c r="M4908" s="3">
        <v>962</v>
      </c>
      <c r="N4908">
        <v>5</v>
      </c>
      <c r="O4908">
        <v>6</v>
      </c>
      <c r="P4908">
        <v>0</v>
      </c>
      <c r="Q4908">
        <v>1</v>
      </c>
      <c r="R4908" s="4">
        <v>41.77</v>
      </c>
      <c r="S4908">
        <v>0</v>
      </c>
      <c r="T4908">
        <v>1</v>
      </c>
    </row>
    <row r="4909" spans="1:20" ht="16.5" x14ac:dyDescent="0.3">
      <c r="A4909" t="s">
        <v>4963</v>
      </c>
      <c r="B4909" s="1">
        <v>45963</v>
      </c>
      <c r="C4909">
        <v>2025</v>
      </c>
      <c r="D4909" t="s">
        <v>1873</v>
      </c>
      <c r="E4909" t="s">
        <v>2108</v>
      </c>
      <c r="F4909" t="s">
        <v>57</v>
      </c>
      <c r="G4909" t="s">
        <v>39</v>
      </c>
      <c r="H4909" t="s">
        <v>48</v>
      </c>
      <c r="I4909" t="s">
        <v>26</v>
      </c>
      <c r="J4909" t="s">
        <v>27</v>
      </c>
      <c r="K4909" t="s">
        <v>32</v>
      </c>
      <c r="L4909" s="2">
        <v>6.3</v>
      </c>
      <c r="M4909" s="3">
        <v>499</v>
      </c>
      <c r="N4909">
        <v>4</v>
      </c>
      <c r="O4909">
        <v>5</v>
      </c>
      <c r="P4909">
        <v>0</v>
      </c>
      <c r="Q4909">
        <v>1</v>
      </c>
      <c r="R4909" s="4">
        <v>15.98</v>
      </c>
      <c r="S4909">
        <v>0</v>
      </c>
      <c r="T4909">
        <v>1</v>
      </c>
    </row>
    <row r="4910" spans="1:20" ht="16.5" x14ac:dyDescent="0.3">
      <c r="A4910" t="s">
        <v>4964</v>
      </c>
      <c r="B4910" s="1">
        <v>45963</v>
      </c>
      <c r="C4910">
        <v>2025</v>
      </c>
      <c r="D4910" t="s">
        <v>1873</v>
      </c>
      <c r="E4910" t="s">
        <v>2108</v>
      </c>
      <c r="F4910" t="s">
        <v>57</v>
      </c>
      <c r="G4910" t="s">
        <v>35</v>
      </c>
      <c r="H4910" t="s">
        <v>25</v>
      </c>
      <c r="I4910" t="s">
        <v>26</v>
      </c>
      <c r="J4910" t="s">
        <v>27</v>
      </c>
      <c r="K4910" t="s">
        <v>28</v>
      </c>
      <c r="L4910" s="2">
        <v>174.6</v>
      </c>
      <c r="M4910" s="3">
        <v>1035</v>
      </c>
      <c r="N4910">
        <v>4</v>
      </c>
      <c r="O4910">
        <v>3</v>
      </c>
      <c r="P4910">
        <v>1</v>
      </c>
      <c r="Q4910">
        <v>0</v>
      </c>
      <c r="R4910" s="4">
        <v>92.94</v>
      </c>
      <c r="S4910">
        <v>0</v>
      </c>
      <c r="T4910">
        <v>1</v>
      </c>
    </row>
    <row r="4911" spans="1:20" ht="16.5" x14ac:dyDescent="0.3">
      <c r="A4911" t="s">
        <v>4965</v>
      </c>
      <c r="B4911" s="1">
        <v>45963</v>
      </c>
      <c r="C4911">
        <v>2025</v>
      </c>
      <c r="D4911" t="s">
        <v>1873</v>
      </c>
      <c r="E4911" t="s">
        <v>2108</v>
      </c>
      <c r="F4911" t="s">
        <v>34</v>
      </c>
      <c r="G4911" t="s">
        <v>35</v>
      </c>
      <c r="H4911" t="s">
        <v>48</v>
      </c>
      <c r="I4911" t="s">
        <v>26</v>
      </c>
      <c r="J4911" t="s">
        <v>27</v>
      </c>
      <c r="K4911" t="s">
        <v>28</v>
      </c>
      <c r="L4911" s="2">
        <v>220.3</v>
      </c>
      <c r="M4911" s="3">
        <v>576</v>
      </c>
      <c r="N4911">
        <v>4</v>
      </c>
      <c r="O4911">
        <v>4</v>
      </c>
      <c r="P4911">
        <v>1</v>
      </c>
      <c r="Q4911">
        <v>0</v>
      </c>
      <c r="R4911" s="4">
        <v>86.22</v>
      </c>
      <c r="S4911">
        <v>0</v>
      </c>
      <c r="T4911">
        <v>1</v>
      </c>
    </row>
    <row r="4912" spans="1:20" ht="16.5" x14ac:dyDescent="0.3">
      <c r="A4912" t="s">
        <v>4966</v>
      </c>
      <c r="B4912" s="1">
        <v>45964</v>
      </c>
      <c r="C4912">
        <v>2025</v>
      </c>
      <c r="D4912" t="s">
        <v>1873</v>
      </c>
      <c r="E4912" t="s">
        <v>2108</v>
      </c>
      <c r="F4912" t="s">
        <v>57</v>
      </c>
      <c r="G4912" t="s">
        <v>24</v>
      </c>
      <c r="H4912" t="s">
        <v>48</v>
      </c>
      <c r="I4912" t="s">
        <v>40</v>
      </c>
      <c r="J4912" t="s">
        <v>27</v>
      </c>
      <c r="K4912" t="s">
        <v>28</v>
      </c>
      <c r="L4912" s="2">
        <v>20.399999999999999</v>
      </c>
      <c r="M4912" s="3">
        <v>525</v>
      </c>
      <c r="N4912">
        <v>2</v>
      </c>
      <c r="O4912">
        <v>2</v>
      </c>
      <c r="P4912">
        <v>1</v>
      </c>
      <c r="Q4912">
        <v>0</v>
      </c>
      <c r="R4912" s="4">
        <v>48.84</v>
      </c>
      <c r="S4912">
        <v>0</v>
      </c>
      <c r="T4912">
        <v>1</v>
      </c>
    </row>
    <row r="4913" spans="1:20" ht="16.5" x14ac:dyDescent="0.3">
      <c r="A4913" t="s">
        <v>4967</v>
      </c>
      <c r="B4913" s="1">
        <v>45964</v>
      </c>
      <c r="C4913">
        <v>2025</v>
      </c>
      <c r="D4913" t="s">
        <v>1873</v>
      </c>
      <c r="E4913" t="s">
        <v>2108</v>
      </c>
      <c r="F4913" t="s">
        <v>34</v>
      </c>
      <c r="G4913" t="s">
        <v>35</v>
      </c>
      <c r="H4913" t="s">
        <v>43</v>
      </c>
      <c r="I4913" t="s">
        <v>40</v>
      </c>
      <c r="J4913" t="s">
        <v>41</v>
      </c>
      <c r="K4913" t="s">
        <v>28</v>
      </c>
      <c r="L4913" s="2">
        <v>43.8</v>
      </c>
      <c r="M4913" s="3">
        <v>992</v>
      </c>
      <c r="N4913">
        <v>3</v>
      </c>
      <c r="O4913">
        <v>3</v>
      </c>
      <c r="P4913">
        <v>1</v>
      </c>
      <c r="Q4913">
        <v>0</v>
      </c>
      <c r="R4913" s="4">
        <v>112.99</v>
      </c>
      <c r="S4913">
        <v>1</v>
      </c>
      <c r="T4913">
        <v>1</v>
      </c>
    </row>
    <row r="4914" spans="1:20" ht="16.5" x14ac:dyDescent="0.3">
      <c r="A4914" t="s">
        <v>4968</v>
      </c>
      <c r="B4914" s="1">
        <v>45964</v>
      </c>
      <c r="C4914">
        <v>2025</v>
      </c>
      <c r="D4914" t="s">
        <v>1873</v>
      </c>
      <c r="E4914" t="s">
        <v>2108</v>
      </c>
      <c r="F4914" t="s">
        <v>38</v>
      </c>
      <c r="G4914" t="s">
        <v>35</v>
      </c>
      <c r="H4914" t="s">
        <v>48</v>
      </c>
      <c r="I4914" t="s">
        <v>31</v>
      </c>
      <c r="J4914" t="s">
        <v>27</v>
      </c>
      <c r="K4914" t="s">
        <v>32</v>
      </c>
      <c r="L4914" s="2">
        <v>4.8</v>
      </c>
      <c r="M4914" s="3">
        <v>433</v>
      </c>
      <c r="N4914">
        <v>6</v>
      </c>
      <c r="O4914">
        <v>8</v>
      </c>
      <c r="P4914">
        <v>0</v>
      </c>
      <c r="Q4914">
        <v>2</v>
      </c>
      <c r="R4914" s="4">
        <v>11.24</v>
      </c>
      <c r="S4914">
        <v>0</v>
      </c>
      <c r="T4914">
        <v>1</v>
      </c>
    </row>
    <row r="4915" spans="1:20" ht="16.5" x14ac:dyDescent="0.3">
      <c r="A4915" t="s">
        <v>4969</v>
      </c>
      <c r="B4915" s="1">
        <v>45964</v>
      </c>
      <c r="C4915">
        <v>2025</v>
      </c>
      <c r="D4915" t="s">
        <v>1873</v>
      </c>
      <c r="E4915" t="s">
        <v>2108</v>
      </c>
      <c r="F4915" t="s">
        <v>38</v>
      </c>
      <c r="G4915" t="s">
        <v>39</v>
      </c>
      <c r="H4915" t="s">
        <v>51</v>
      </c>
      <c r="I4915" t="s">
        <v>26</v>
      </c>
      <c r="J4915" t="s">
        <v>27</v>
      </c>
      <c r="K4915" t="s">
        <v>32</v>
      </c>
      <c r="L4915" s="2">
        <v>11.4</v>
      </c>
      <c r="M4915" s="3">
        <v>1237</v>
      </c>
      <c r="N4915">
        <v>5</v>
      </c>
      <c r="O4915">
        <v>8</v>
      </c>
      <c r="P4915">
        <v>0</v>
      </c>
      <c r="Q4915">
        <v>3</v>
      </c>
      <c r="R4915" s="4">
        <v>29.6</v>
      </c>
      <c r="S4915">
        <v>0</v>
      </c>
      <c r="T4915">
        <v>1</v>
      </c>
    </row>
    <row r="4916" spans="1:20" ht="16.5" x14ac:dyDescent="0.3">
      <c r="A4916" t="s">
        <v>4970</v>
      </c>
      <c r="B4916" s="1">
        <v>45964</v>
      </c>
      <c r="C4916">
        <v>2025</v>
      </c>
      <c r="D4916" t="s">
        <v>1873</v>
      </c>
      <c r="E4916" t="s">
        <v>2108</v>
      </c>
      <c r="F4916" t="s">
        <v>57</v>
      </c>
      <c r="G4916" t="s">
        <v>24</v>
      </c>
      <c r="H4916" t="s">
        <v>36</v>
      </c>
      <c r="I4916" t="s">
        <v>40</v>
      </c>
      <c r="J4916" t="s">
        <v>27</v>
      </c>
      <c r="K4916" t="s">
        <v>32</v>
      </c>
      <c r="L4916" s="2">
        <v>6.8</v>
      </c>
      <c r="M4916" s="3">
        <v>234</v>
      </c>
      <c r="N4916">
        <v>1</v>
      </c>
      <c r="O4916">
        <v>1</v>
      </c>
      <c r="P4916">
        <v>1</v>
      </c>
      <c r="Q4916">
        <v>0</v>
      </c>
      <c r="R4916" s="4">
        <v>27.02</v>
      </c>
      <c r="S4916">
        <v>0</v>
      </c>
      <c r="T4916">
        <v>1</v>
      </c>
    </row>
    <row r="4917" spans="1:20" ht="16.5" x14ac:dyDescent="0.3">
      <c r="A4917" t="s">
        <v>4971</v>
      </c>
      <c r="B4917" s="1">
        <v>45964</v>
      </c>
      <c r="C4917">
        <v>2025</v>
      </c>
      <c r="D4917" t="s">
        <v>1873</v>
      </c>
      <c r="E4917" t="s">
        <v>2108</v>
      </c>
      <c r="F4917" t="s">
        <v>57</v>
      </c>
      <c r="G4917" t="s">
        <v>24</v>
      </c>
      <c r="H4917" t="s">
        <v>51</v>
      </c>
      <c r="I4917" t="s">
        <v>26</v>
      </c>
      <c r="J4917" t="s">
        <v>27</v>
      </c>
      <c r="K4917" t="s">
        <v>32</v>
      </c>
      <c r="L4917" s="2">
        <v>12.4</v>
      </c>
      <c r="M4917" s="3">
        <v>808</v>
      </c>
      <c r="N4917">
        <v>5</v>
      </c>
      <c r="O4917">
        <v>9</v>
      </c>
      <c r="P4917">
        <v>0</v>
      </c>
      <c r="Q4917">
        <v>4</v>
      </c>
      <c r="R4917" s="4">
        <v>23.14</v>
      </c>
      <c r="S4917">
        <v>1</v>
      </c>
      <c r="T4917">
        <v>1</v>
      </c>
    </row>
    <row r="4918" spans="1:20" ht="16.5" x14ac:dyDescent="0.3">
      <c r="A4918" t="s">
        <v>4972</v>
      </c>
      <c r="B4918" s="1">
        <v>45964</v>
      </c>
      <c r="C4918">
        <v>2025</v>
      </c>
      <c r="D4918" t="s">
        <v>1873</v>
      </c>
      <c r="E4918" t="s">
        <v>2108</v>
      </c>
      <c r="F4918" t="s">
        <v>38</v>
      </c>
      <c r="G4918" t="s">
        <v>24</v>
      </c>
      <c r="H4918" t="s">
        <v>36</v>
      </c>
      <c r="I4918" t="s">
        <v>26</v>
      </c>
      <c r="J4918" t="s">
        <v>27</v>
      </c>
      <c r="K4918" t="s">
        <v>28</v>
      </c>
      <c r="L4918" s="2">
        <v>73</v>
      </c>
      <c r="M4918" s="3">
        <v>299</v>
      </c>
      <c r="N4918">
        <v>3</v>
      </c>
      <c r="O4918">
        <v>3</v>
      </c>
      <c r="P4918">
        <v>1</v>
      </c>
      <c r="Q4918">
        <v>0</v>
      </c>
      <c r="R4918" s="4">
        <v>47.97</v>
      </c>
      <c r="S4918">
        <v>0</v>
      </c>
      <c r="T4918">
        <v>1</v>
      </c>
    </row>
    <row r="4919" spans="1:20" ht="16.5" x14ac:dyDescent="0.3">
      <c r="A4919" t="s">
        <v>4973</v>
      </c>
      <c r="B4919" s="1">
        <v>45964</v>
      </c>
      <c r="C4919">
        <v>2025</v>
      </c>
      <c r="D4919" t="s">
        <v>1873</v>
      </c>
      <c r="E4919" t="s">
        <v>2108</v>
      </c>
      <c r="F4919" t="s">
        <v>57</v>
      </c>
      <c r="G4919" t="s">
        <v>24</v>
      </c>
      <c r="H4919" t="s">
        <v>43</v>
      </c>
      <c r="I4919" t="s">
        <v>26</v>
      </c>
      <c r="J4919" t="s">
        <v>27</v>
      </c>
      <c r="K4919" t="s">
        <v>32</v>
      </c>
      <c r="L4919" s="2">
        <v>13.3</v>
      </c>
      <c r="M4919" s="3">
        <v>1029</v>
      </c>
      <c r="N4919">
        <v>5</v>
      </c>
      <c r="O4919">
        <v>5</v>
      </c>
      <c r="P4919">
        <v>1</v>
      </c>
      <c r="Q4919">
        <v>0</v>
      </c>
      <c r="R4919" s="4">
        <v>26.86</v>
      </c>
      <c r="S4919">
        <v>0</v>
      </c>
      <c r="T4919">
        <v>1</v>
      </c>
    </row>
    <row r="4920" spans="1:20" ht="16.5" x14ac:dyDescent="0.3">
      <c r="A4920" t="s">
        <v>4974</v>
      </c>
      <c r="B4920" s="1">
        <v>45965</v>
      </c>
      <c r="C4920">
        <v>2025</v>
      </c>
      <c r="D4920" t="s">
        <v>1873</v>
      </c>
      <c r="E4920" t="s">
        <v>2108</v>
      </c>
      <c r="F4920" t="s">
        <v>34</v>
      </c>
      <c r="G4920" t="s">
        <v>35</v>
      </c>
      <c r="H4920" t="s">
        <v>36</v>
      </c>
      <c r="I4920" t="s">
        <v>26</v>
      </c>
      <c r="J4920" t="s">
        <v>27</v>
      </c>
      <c r="K4920" t="s">
        <v>32</v>
      </c>
      <c r="L4920" s="2">
        <v>8.1</v>
      </c>
      <c r="M4920" s="3">
        <v>253</v>
      </c>
      <c r="N4920">
        <v>3</v>
      </c>
      <c r="O4920">
        <v>3</v>
      </c>
      <c r="P4920">
        <v>1</v>
      </c>
      <c r="Q4920">
        <v>0</v>
      </c>
      <c r="R4920" s="4">
        <v>13.56</v>
      </c>
      <c r="S4920">
        <v>0</v>
      </c>
      <c r="T4920">
        <v>1</v>
      </c>
    </row>
    <row r="4921" spans="1:20" ht="16.5" x14ac:dyDescent="0.3">
      <c r="A4921" t="s">
        <v>4975</v>
      </c>
      <c r="B4921" s="1">
        <v>45965</v>
      </c>
      <c r="C4921">
        <v>2025</v>
      </c>
      <c r="D4921" t="s">
        <v>1873</v>
      </c>
      <c r="E4921" t="s">
        <v>2108</v>
      </c>
      <c r="F4921" t="s">
        <v>57</v>
      </c>
      <c r="G4921" t="s">
        <v>24</v>
      </c>
      <c r="H4921" t="s">
        <v>51</v>
      </c>
      <c r="I4921" t="s">
        <v>40</v>
      </c>
      <c r="J4921" t="s">
        <v>41</v>
      </c>
      <c r="K4921" t="s">
        <v>32</v>
      </c>
      <c r="L4921" s="2">
        <v>3</v>
      </c>
      <c r="M4921" s="3">
        <v>934</v>
      </c>
      <c r="N4921">
        <v>3</v>
      </c>
      <c r="O4921">
        <v>3</v>
      </c>
      <c r="P4921">
        <v>1</v>
      </c>
      <c r="Q4921">
        <v>0</v>
      </c>
      <c r="R4921" s="4">
        <v>61.05</v>
      </c>
      <c r="S4921">
        <v>0</v>
      </c>
      <c r="T4921">
        <v>1</v>
      </c>
    </row>
    <row r="4922" spans="1:20" ht="16.5" x14ac:dyDescent="0.3">
      <c r="A4922" t="s">
        <v>4976</v>
      </c>
      <c r="B4922" s="1">
        <v>45965</v>
      </c>
      <c r="C4922">
        <v>2025</v>
      </c>
      <c r="D4922" t="s">
        <v>1873</v>
      </c>
      <c r="E4922" t="s">
        <v>2108</v>
      </c>
      <c r="F4922" t="s">
        <v>57</v>
      </c>
      <c r="G4922" t="s">
        <v>24</v>
      </c>
      <c r="H4922" t="s">
        <v>43</v>
      </c>
      <c r="I4922" t="s">
        <v>26</v>
      </c>
      <c r="J4922" t="s">
        <v>27</v>
      </c>
      <c r="K4922" t="s">
        <v>32</v>
      </c>
      <c r="L4922" s="2">
        <v>6.4</v>
      </c>
      <c r="M4922" s="3">
        <v>1098</v>
      </c>
      <c r="N4922">
        <v>5</v>
      </c>
      <c r="O4922">
        <v>5</v>
      </c>
      <c r="P4922">
        <v>1</v>
      </c>
      <c r="Q4922">
        <v>0</v>
      </c>
      <c r="R4922" s="4">
        <v>21.13</v>
      </c>
      <c r="S4922">
        <v>0</v>
      </c>
      <c r="T4922">
        <v>1</v>
      </c>
    </row>
    <row r="4923" spans="1:20" ht="16.5" x14ac:dyDescent="0.3">
      <c r="A4923" t="s">
        <v>4977</v>
      </c>
      <c r="B4923" s="1">
        <v>45965</v>
      </c>
      <c r="C4923">
        <v>2025</v>
      </c>
      <c r="D4923" t="s">
        <v>1873</v>
      </c>
      <c r="E4923" t="s">
        <v>2108</v>
      </c>
      <c r="F4923" t="s">
        <v>38</v>
      </c>
      <c r="G4923" t="s">
        <v>39</v>
      </c>
      <c r="H4923" t="s">
        <v>48</v>
      </c>
      <c r="I4923" t="s">
        <v>31</v>
      </c>
      <c r="J4923" t="s">
        <v>27</v>
      </c>
      <c r="K4923" t="s">
        <v>32</v>
      </c>
      <c r="L4923" s="2">
        <v>4.7</v>
      </c>
      <c r="M4923" s="3">
        <v>524</v>
      </c>
      <c r="N4923">
        <v>6</v>
      </c>
      <c r="O4923">
        <v>6</v>
      </c>
      <c r="P4923">
        <v>1</v>
      </c>
      <c r="Q4923">
        <v>0</v>
      </c>
      <c r="R4923" s="4">
        <v>13.33</v>
      </c>
      <c r="S4923">
        <v>0</v>
      </c>
      <c r="T4923">
        <v>1</v>
      </c>
    </row>
    <row r="4924" spans="1:20" ht="16.5" x14ac:dyDescent="0.3">
      <c r="A4924" t="s">
        <v>4978</v>
      </c>
      <c r="B4924" s="1">
        <v>45965</v>
      </c>
      <c r="C4924">
        <v>2025</v>
      </c>
      <c r="D4924" t="s">
        <v>1873</v>
      </c>
      <c r="E4924" t="s">
        <v>2108</v>
      </c>
      <c r="F4924" t="s">
        <v>34</v>
      </c>
      <c r="G4924" t="s">
        <v>24</v>
      </c>
      <c r="H4924" t="s">
        <v>25</v>
      </c>
      <c r="I4924" t="s">
        <v>26</v>
      </c>
      <c r="J4924" t="s">
        <v>27</v>
      </c>
      <c r="K4924" t="s">
        <v>32</v>
      </c>
      <c r="L4924" s="2">
        <v>10</v>
      </c>
      <c r="M4924" s="3">
        <v>1023</v>
      </c>
      <c r="N4924">
        <v>4</v>
      </c>
      <c r="O4924">
        <v>4</v>
      </c>
      <c r="P4924">
        <v>1</v>
      </c>
      <c r="Q4924">
        <v>0</v>
      </c>
      <c r="R4924" s="4">
        <v>22.22</v>
      </c>
      <c r="S4924">
        <v>0</v>
      </c>
      <c r="T4924">
        <v>1</v>
      </c>
    </row>
    <row r="4925" spans="1:20" ht="16.5" x14ac:dyDescent="0.3">
      <c r="A4925" t="s">
        <v>4979</v>
      </c>
      <c r="B4925" s="1">
        <v>45965</v>
      </c>
      <c r="C4925">
        <v>2025</v>
      </c>
      <c r="D4925" t="s">
        <v>1873</v>
      </c>
      <c r="E4925" t="s">
        <v>2108</v>
      </c>
      <c r="F4925" t="s">
        <v>38</v>
      </c>
      <c r="G4925" t="s">
        <v>39</v>
      </c>
      <c r="H4925" t="s">
        <v>48</v>
      </c>
      <c r="I4925" t="s">
        <v>26</v>
      </c>
      <c r="J4925" t="s">
        <v>27</v>
      </c>
      <c r="K4925" t="s">
        <v>28</v>
      </c>
      <c r="L4925" s="2">
        <v>372.7</v>
      </c>
      <c r="M4925" s="3">
        <v>471</v>
      </c>
      <c r="N4925">
        <v>4</v>
      </c>
      <c r="O4925">
        <v>4</v>
      </c>
      <c r="P4925">
        <v>1</v>
      </c>
      <c r="Q4925">
        <v>0</v>
      </c>
      <c r="R4925" s="4">
        <v>167</v>
      </c>
      <c r="S4925">
        <v>0</v>
      </c>
      <c r="T4925">
        <v>1</v>
      </c>
    </row>
    <row r="4926" spans="1:20" ht="16.5" x14ac:dyDescent="0.3">
      <c r="A4926" t="s">
        <v>4980</v>
      </c>
      <c r="B4926" s="1">
        <v>45965</v>
      </c>
      <c r="C4926">
        <v>2025</v>
      </c>
      <c r="D4926" t="s">
        <v>1873</v>
      </c>
      <c r="E4926" t="s">
        <v>2108</v>
      </c>
      <c r="F4926" t="s">
        <v>23</v>
      </c>
      <c r="G4926" t="s">
        <v>39</v>
      </c>
      <c r="H4926" t="s">
        <v>48</v>
      </c>
      <c r="I4926" t="s">
        <v>26</v>
      </c>
      <c r="J4926" t="s">
        <v>27</v>
      </c>
      <c r="K4926" t="s">
        <v>32</v>
      </c>
      <c r="L4926" s="2">
        <v>3.3</v>
      </c>
      <c r="M4926" s="3">
        <v>538</v>
      </c>
      <c r="N4926">
        <v>4</v>
      </c>
      <c r="O4926">
        <v>3</v>
      </c>
      <c r="P4926">
        <v>1</v>
      </c>
      <c r="Q4926">
        <v>0</v>
      </c>
      <c r="R4926" s="4">
        <v>12.81</v>
      </c>
      <c r="S4926">
        <v>0</v>
      </c>
      <c r="T4926">
        <v>1</v>
      </c>
    </row>
    <row r="4927" spans="1:20" ht="16.5" x14ac:dyDescent="0.3">
      <c r="A4927" t="s">
        <v>4981</v>
      </c>
      <c r="B4927" s="1">
        <v>45965</v>
      </c>
      <c r="C4927">
        <v>2025</v>
      </c>
      <c r="D4927" t="s">
        <v>1873</v>
      </c>
      <c r="E4927" t="s">
        <v>2108</v>
      </c>
      <c r="F4927" t="s">
        <v>57</v>
      </c>
      <c r="G4927" t="s">
        <v>35</v>
      </c>
      <c r="H4927" t="s">
        <v>51</v>
      </c>
      <c r="I4927" t="s">
        <v>26</v>
      </c>
      <c r="J4927" t="s">
        <v>27</v>
      </c>
      <c r="K4927" t="s">
        <v>28</v>
      </c>
      <c r="L4927" s="2">
        <v>62.8</v>
      </c>
      <c r="M4927" s="3">
        <v>1255</v>
      </c>
      <c r="N4927">
        <v>5</v>
      </c>
      <c r="O4927">
        <v>6</v>
      </c>
      <c r="P4927">
        <v>0</v>
      </c>
      <c r="Q4927">
        <v>1</v>
      </c>
      <c r="R4927" s="4">
        <v>49.87</v>
      </c>
      <c r="S4927">
        <v>0</v>
      </c>
      <c r="T4927">
        <v>1</v>
      </c>
    </row>
    <row r="4928" spans="1:20" ht="16.5" x14ac:dyDescent="0.3">
      <c r="A4928" t="s">
        <v>4982</v>
      </c>
      <c r="B4928" s="1">
        <v>45965</v>
      </c>
      <c r="C4928">
        <v>2025</v>
      </c>
      <c r="D4928" t="s">
        <v>1873</v>
      </c>
      <c r="E4928" t="s">
        <v>2108</v>
      </c>
      <c r="F4928" t="s">
        <v>57</v>
      </c>
      <c r="G4928" t="s">
        <v>35</v>
      </c>
      <c r="H4928" t="s">
        <v>25</v>
      </c>
      <c r="I4928" t="s">
        <v>40</v>
      </c>
      <c r="J4928" t="s">
        <v>41</v>
      </c>
      <c r="K4928" t="s">
        <v>28</v>
      </c>
      <c r="L4928" s="2">
        <v>252.5</v>
      </c>
      <c r="M4928" s="3">
        <v>927</v>
      </c>
      <c r="N4928">
        <v>2</v>
      </c>
      <c r="O4928">
        <v>2</v>
      </c>
      <c r="P4928">
        <v>1</v>
      </c>
      <c r="Q4928">
        <v>0</v>
      </c>
      <c r="R4928" s="4">
        <v>354.07</v>
      </c>
      <c r="S4928">
        <v>0</v>
      </c>
      <c r="T4928">
        <v>1</v>
      </c>
    </row>
    <row r="4929" spans="1:20" ht="16.5" x14ac:dyDescent="0.3">
      <c r="A4929" t="s">
        <v>4983</v>
      </c>
      <c r="B4929" s="1">
        <v>45965</v>
      </c>
      <c r="C4929">
        <v>2025</v>
      </c>
      <c r="D4929" t="s">
        <v>1873</v>
      </c>
      <c r="E4929" t="s">
        <v>2108</v>
      </c>
      <c r="F4929" t="s">
        <v>57</v>
      </c>
      <c r="G4929" t="s">
        <v>39</v>
      </c>
      <c r="H4929" t="s">
        <v>43</v>
      </c>
      <c r="I4929" t="s">
        <v>26</v>
      </c>
      <c r="J4929" t="s">
        <v>27</v>
      </c>
      <c r="K4929" t="s">
        <v>28</v>
      </c>
      <c r="L4929" s="2">
        <v>95.6</v>
      </c>
      <c r="M4929" s="3">
        <v>1233</v>
      </c>
      <c r="N4929">
        <v>5</v>
      </c>
      <c r="O4929">
        <v>9</v>
      </c>
      <c r="P4929">
        <v>0</v>
      </c>
      <c r="Q4929">
        <v>4</v>
      </c>
      <c r="R4929" s="4">
        <v>63.97</v>
      </c>
      <c r="S4929">
        <v>0</v>
      </c>
      <c r="T4929">
        <v>1</v>
      </c>
    </row>
    <row r="4930" spans="1:20" ht="16.5" x14ac:dyDescent="0.3">
      <c r="A4930" t="s">
        <v>4984</v>
      </c>
      <c r="B4930" s="1">
        <v>45965</v>
      </c>
      <c r="C4930">
        <v>2025</v>
      </c>
      <c r="D4930" t="s">
        <v>1873</v>
      </c>
      <c r="E4930" t="s">
        <v>2108</v>
      </c>
      <c r="F4930" t="s">
        <v>57</v>
      </c>
      <c r="G4930" t="s">
        <v>35</v>
      </c>
      <c r="H4930" t="s">
        <v>36</v>
      </c>
      <c r="I4930" t="s">
        <v>40</v>
      </c>
      <c r="J4930" t="s">
        <v>27</v>
      </c>
      <c r="K4930" t="s">
        <v>32</v>
      </c>
      <c r="L4930" s="2">
        <v>3.8</v>
      </c>
      <c r="M4930" s="3">
        <v>251</v>
      </c>
      <c r="N4930">
        <v>1</v>
      </c>
      <c r="O4930">
        <v>1</v>
      </c>
      <c r="P4930">
        <v>1</v>
      </c>
      <c r="Q4930">
        <v>0</v>
      </c>
      <c r="R4930" s="4">
        <v>23.21</v>
      </c>
      <c r="S4930">
        <v>0</v>
      </c>
      <c r="T4930">
        <v>1</v>
      </c>
    </row>
    <row r="4931" spans="1:20" ht="16.5" x14ac:dyDescent="0.3">
      <c r="A4931" t="s">
        <v>4985</v>
      </c>
      <c r="B4931" s="1">
        <v>45965</v>
      </c>
      <c r="C4931">
        <v>2025</v>
      </c>
      <c r="D4931" t="s">
        <v>1873</v>
      </c>
      <c r="E4931" t="s">
        <v>2108</v>
      </c>
      <c r="F4931" t="s">
        <v>57</v>
      </c>
      <c r="G4931" t="s">
        <v>39</v>
      </c>
      <c r="H4931" t="s">
        <v>25</v>
      </c>
      <c r="I4931" t="s">
        <v>31</v>
      </c>
      <c r="J4931" t="s">
        <v>27</v>
      </c>
      <c r="K4931" t="s">
        <v>28</v>
      </c>
      <c r="L4931" s="2">
        <v>60.7</v>
      </c>
      <c r="M4931" s="3">
        <v>979</v>
      </c>
      <c r="N4931">
        <v>6</v>
      </c>
      <c r="O4931">
        <v>8</v>
      </c>
      <c r="P4931">
        <v>0</v>
      </c>
      <c r="Q4931">
        <v>2</v>
      </c>
      <c r="R4931" s="4">
        <v>36.54</v>
      </c>
      <c r="S4931">
        <v>0</v>
      </c>
      <c r="T4931">
        <v>1</v>
      </c>
    </row>
    <row r="4932" spans="1:20" ht="16.5" x14ac:dyDescent="0.3">
      <c r="A4932" t="s">
        <v>4986</v>
      </c>
      <c r="B4932" s="1">
        <v>45965</v>
      </c>
      <c r="C4932">
        <v>2025</v>
      </c>
      <c r="D4932" t="s">
        <v>1873</v>
      </c>
      <c r="E4932" t="s">
        <v>2108</v>
      </c>
      <c r="F4932" t="s">
        <v>23</v>
      </c>
      <c r="G4932" t="s">
        <v>24</v>
      </c>
      <c r="H4932" t="s">
        <v>36</v>
      </c>
      <c r="I4932" t="s">
        <v>26</v>
      </c>
      <c r="J4932" t="s">
        <v>27</v>
      </c>
      <c r="K4932" t="s">
        <v>32</v>
      </c>
      <c r="L4932" s="2">
        <v>2.1</v>
      </c>
      <c r="M4932" s="3">
        <v>326</v>
      </c>
      <c r="N4932">
        <v>3</v>
      </c>
      <c r="O4932">
        <v>2</v>
      </c>
      <c r="P4932">
        <v>1</v>
      </c>
      <c r="Q4932">
        <v>0</v>
      </c>
      <c r="R4932" s="4">
        <v>11.58</v>
      </c>
      <c r="S4932">
        <v>0</v>
      </c>
      <c r="T4932">
        <v>1</v>
      </c>
    </row>
    <row r="4933" spans="1:20" ht="16.5" x14ac:dyDescent="0.3">
      <c r="A4933" t="s">
        <v>4987</v>
      </c>
      <c r="B4933" s="1">
        <v>45965</v>
      </c>
      <c r="C4933">
        <v>2025</v>
      </c>
      <c r="D4933" t="s">
        <v>1873</v>
      </c>
      <c r="E4933" t="s">
        <v>2108</v>
      </c>
      <c r="F4933" t="s">
        <v>38</v>
      </c>
      <c r="G4933" t="s">
        <v>39</v>
      </c>
      <c r="H4933" t="s">
        <v>25</v>
      </c>
      <c r="I4933" t="s">
        <v>31</v>
      </c>
      <c r="J4933" t="s">
        <v>27</v>
      </c>
      <c r="K4933" t="s">
        <v>32</v>
      </c>
      <c r="L4933" s="2">
        <v>16</v>
      </c>
      <c r="M4933" s="3">
        <v>905</v>
      </c>
      <c r="N4933">
        <v>6</v>
      </c>
      <c r="O4933">
        <v>5</v>
      </c>
      <c r="P4933">
        <v>1</v>
      </c>
      <c r="Q4933">
        <v>0</v>
      </c>
      <c r="R4933" s="4">
        <v>20.91</v>
      </c>
      <c r="S4933">
        <v>0</v>
      </c>
      <c r="T4933">
        <v>1</v>
      </c>
    </row>
    <row r="4934" spans="1:20" ht="16.5" x14ac:dyDescent="0.3">
      <c r="A4934" t="s">
        <v>4988</v>
      </c>
      <c r="B4934" s="1">
        <v>45965</v>
      </c>
      <c r="C4934">
        <v>2025</v>
      </c>
      <c r="D4934" t="s">
        <v>1873</v>
      </c>
      <c r="E4934" t="s">
        <v>2108</v>
      </c>
      <c r="F4934" t="s">
        <v>38</v>
      </c>
      <c r="G4934" t="s">
        <v>39</v>
      </c>
      <c r="H4934" t="s">
        <v>36</v>
      </c>
      <c r="I4934" t="s">
        <v>31</v>
      </c>
      <c r="J4934" t="s">
        <v>27</v>
      </c>
      <c r="K4934" t="s">
        <v>28</v>
      </c>
      <c r="L4934" s="2">
        <v>34.5</v>
      </c>
      <c r="M4934" s="3">
        <v>251</v>
      </c>
      <c r="N4934">
        <v>5</v>
      </c>
      <c r="O4934">
        <v>4</v>
      </c>
      <c r="P4934">
        <v>1</v>
      </c>
      <c r="Q4934">
        <v>0</v>
      </c>
      <c r="R4934" s="4">
        <v>21.69</v>
      </c>
      <c r="S4934">
        <v>0</v>
      </c>
      <c r="T4934">
        <v>1</v>
      </c>
    </row>
    <row r="4935" spans="1:20" ht="16.5" x14ac:dyDescent="0.3">
      <c r="A4935" t="s">
        <v>4989</v>
      </c>
      <c r="B4935" s="1">
        <v>45965</v>
      </c>
      <c r="C4935">
        <v>2025</v>
      </c>
      <c r="D4935" t="s">
        <v>1873</v>
      </c>
      <c r="E4935" t="s">
        <v>2108</v>
      </c>
      <c r="F4935" t="s">
        <v>23</v>
      </c>
      <c r="G4935" t="s">
        <v>39</v>
      </c>
      <c r="H4935" t="s">
        <v>48</v>
      </c>
      <c r="I4935" t="s">
        <v>31</v>
      </c>
      <c r="J4935" t="s">
        <v>27</v>
      </c>
      <c r="K4935" t="s">
        <v>32</v>
      </c>
      <c r="L4935" s="2">
        <v>6.7</v>
      </c>
      <c r="M4935" s="3">
        <v>497</v>
      </c>
      <c r="N4935">
        <v>6</v>
      </c>
      <c r="O4935">
        <v>6</v>
      </c>
      <c r="P4935">
        <v>1</v>
      </c>
      <c r="Q4935">
        <v>0</v>
      </c>
      <c r="R4935" s="4">
        <v>11.04</v>
      </c>
      <c r="S4935">
        <v>0</v>
      </c>
      <c r="T4935">
        <v>1</v>
      </c>
    </row>
    <row r="4936" spans="1:20" ht="16.5" x14ac:dyDescent="0.3">
      <c r="A4936" t="s">
        <v>4990</v>
      </c>
      <c r="B4936" s="1">
        <v>45965</v>
      </c>
      <c r="C4936">
        <v>2025</v>
      </c>
      <c r="D4936" t="s">
        <v>1873</v>
      </c>
      <c r="E4936" t="s">
        <v>2108</v>
      </c>
      <c r="F4936" t="s">
        <v>23</v>
      </c>
      <c r="G4936" t="s">
        <v>39</v>
      </c>
      <c r="H4936" t="s">
        <v>36</v>
      </c>
      <c r="I4936" t="s">
        <v>40</v>
      </c>
      <c r="J4936" t="s">
        <v>27</v>
      </c>
      <c r="K4936" t="s">
        <v>32</v>
      </c>
      <c r="L4936" s="2">
        <v>8.4</v>
      </c>
      <c r="M4936" s="3">
        <v>229</v>
      </c>
      <c r="N4936">
        <v>1</v>
      </c>
      <c r="O4936">
        <v>1</v>
      </c>
      <c r="P4936">
        <v>1</v>
      </c>
      <c r="Q4936">
        <v>0</v>
      </c>
      <c r="R4936" s="4">
        <v>29.93</v>
      </c>
      <c r="S4936">
        <v>0</v>
      </c>
      <c r="T4936">
        <v>1</v>
      </c>
    </row>
    <row r="4937" spans="1:20" ht="16.5" x14ac:dyDescent="0.3">
      <c r="A4937" t="s">
        <v>4991</v>
      </c>
      <c r="B4937" s="1">
        <v>45966</v>
      </c>
      <c r="C4937">
        <v>2025</v>
      </c>
      <c r="D4937" t="s">
        <v>1873</v>
      </c>
      <c r="E4937" t="s">
        <v>2108</v>
      </c>
      <c r="F4937" t="s">
        <v>30</v>
      </c>
      <c r="G4937" t="s">
        <v>35</v>
      </c>
      <c r="H4937" t="s">
        <v>36</v>
      </c>
      <c r="I4937" t="s">
        <v>26</v>
      </c>
      <c r="J4937" t="s">
        <v>27</v>
      </c>
      <c r="K4937" t="s">
        <v>32</v>
      </c>
      <c r="L4937" s="2">
        <v>19.399999999999999</v>
      </c>
      <c r="M4937" s="3">
        <v>168</v>
      </c>
      <c r="N4937">
        <v>3</v>
      </c>
      <c r="O4937">
        <v>3</v>
      </c>
      <c r="P4937">
        <v>1</v>
      </c>
      <c r="Q4937">
        <v>0</v>
      </c>
      <c r="R4937" s="4">
        <v>19.760000000000002</v>
      </c>
      <c r="S4937">
        <v>0</v>
      </c>
      <c r="T4937">
        <v>1</v>
      </c>
    </row>
    <row r="4938" spans="1:20" ht="16.5" x14ac:dyDescent="0.3">
      <c r="A4938" t="s">
        <v>4992</v>
      </c>
      <c r="B4938" s="1">
        <v>45966</v>
      </c>
      <c r="C4938">
        <v>2025</v>
      </c>
      <c r="D4938" t="s">
        <v>1873</v>
      </c>
      <c r="E4938" t="s">
        <v>2108</v>
      </c>
      <c r="F4938" t="s">
        <v>34</v>
      </c>
      <c r="G4938" t="s">
        <v>39</v>
      </c>
      <c r="H4938" t="s">
        <v>51</v>
      </c>
      <c r="I4938" t="s">
        <v>31</v>
      </c>
      <c r="J4938" t="s">
        <v>27</v>
      </c>
      <c r="K4938" t="s">
        <v>32</v>
      </c>
      <c r="L4938" s="2">
        <v>9.1999999999999993</v>
      </c>
      <c r="M4938" s="3">
        <v>1145</v>
      </c>
      <c r="N4938">
        <v>7</v>
      </c>
      <c r="O4938">
        <v>6</v>
      </c>
      <c r="P4938">
        <v>1</v>
      </c>
      <c r="Q4938">
        <v>0</v>
      </c>
      <c r="R4938" s="4">
        <v>15.69</v>
      </c>
      <c r="S4938">
        <v>0</v>
      </c>
      <c r="T4938">
        <v>1</v>
      </c>
    </row>
    <row r="4939" spans="1:20" ht="16.5" x14ac:dyDescent="0.3">
      <c r="A4939" t="s">
        <v>4993</v>
      </c>
      <c r="B4939" s="1">
        <v>45966</v>
      </c>
      <c r="C4939">
        <v>2025</v>
      </c>
      <c r="D4939" t="s">
        <v>1873</v>
      </c>
      <c r="E4939" t="s">
        <v>2108</v>
      </c>
      <c r="F4939" t="s">
        <v>34</v>
      </c>
      <c r="G4939" t="s">
        <v>24</v>
      </c>
      <c r="H4939" t="s">
        <v>25</v>
      </c>
      <c r="I4939" t="s">
        <v>26</v>
      </c>
      <c r="J4939" t="s">
        <v>27</v>
      </c>
      <c r="K4939" t="s">
        <v>32</v>
      </c>
      <c r="L4939" s="2">
        <v>3.5</v>
      </c>
      <c r="M4939" s="3">
        <v>802</v>
      </c>
      <c r="N4939">
        <v>4</v>
      </c>
      <c r="O4939">
        <v>4</v>
      </c>
      <c r="P4939">
        <v>1</v>
      </c>
      <c r="Q4939">
        <v>0</v>
      </c>
      <c r="R4939" s="4">
        <v>15.19</v>
      </c>
      <c r="S4939">
        <v>0</v>
      </c>
      <c r="T4939">
        <v>1</v>
      </c>
    </row>
    <row r="4940" spans="1:20" ht="16.5" x14ac:dyDescent="0.3">
      <c r="A4940" t="s">
        <v>4994</v>
      </c>
      <c r="B4940" s="1">
        <v>45966</v>
      </c>
      <c r="C4940">
        <v>2025</v>
      </c>
      <c r="D4940" t="s">
        <v>1873</v>
      </c>
      <c r="E4940" t="s">
        <v>2108</v>
      </c>
      <c r="F4940" t="s">
        <v>34</v>
      </c>
      <c r="G4940" t="s">
        <v>39</v>
      </c>
      <c r="H4940" t="s">
        <v>51</v>
      </c>
      <c r="I4940" t="s">
        <v>40</v>
      </c>
      <c r="J4940" t="s">
        <v>41</v>
      </c>
      <c r="K4940" t="s">
        <v>32</v>
      </c>
      <c r="L4940" s="2">
        <v>11</v>
      </c>
      <c r="M4940" s="3">
        <v>978</v>
      </c>
      <c r="N4940">
        <v>3</v>
      </c>
      <c r="O4940">
        <v>3</v>
      </c>
      <c r="P4940">
        <v>1</v>
      </c>
      <c r="Q4940">
        <v>0</v>
      </c>
      <c r="R4940" s="4">
        <v>65.03</v>
      </c>
      <c r="S4940">
        <v>0</v>
      </c>
      <c r="T4940">
        <v>1</v>
      </c>
    </row>
    <row r="4941" spans="1:20" ht="16.5" x14ac:dyDescent="0.3">
      <c r="A4941" t="s">
        <v>4995</v>
      </c>
      <c r="B4941" s="1">
        <v>45966</v>
      </c>
      <c r="C4941">
        <v>2025</v>
      </c>
      <c r="D4941" t="s">
        <v>1873</v>
      </c>
      <c r="E4941" t="s">
        <v>2108</v>
      </c>
      <c r="F4941" t="s">
        <v>38</v>
      </c>
      <c r="G4941" t="s">
        <v>24</v>
      </c>
      <c r="H4941" t="s">
        <v>36</v>
      </c>
      <c r="I4941" t="s">
        <v>26</v>
      </c>
      <c r="J4941" t="s">
        <v>27</v>
      </c>
      <c r="K4941" t="s">
        <v>32</v>
      </c>
      <c r="L4941" s="2">
        <v>3.3</v>
      </c>
      <c r="M4941" s="3">
        <v>279</v>
      </c>
      <c r="N4941">
        <v>3</v>
      </c>
      <c r="O4941">
        <v>3</v>
      </c>
      <c r="P4941">
        <v>1</v>
      </c>
      <c r="Q4941">
        <v>0</v>
      </c>
      <c r="R4941" s="4">
        <v>12.49</v>
      </c>
      <c r="S4941">
        <v>0</v>
      </c>
      <c r="T4941">
        <v>1</v>
      </c>
    </row>
    <row r="4942" spans="1:20" ht="16.5" x14ac:dyDescent="0.3">
      <c r="A4942" t="s">
        <v>4996</v>
      </c>
      <c r="B4942" s="1">
        <v>45966</v>
      </c>
      <c r="C4942">
        <v>2025</v>
      </c>
      <c r="D4942" t="s">
        <v>1873</v>
      </c>
      <c r="E4942" t="s">
        <v>2108</v>
      </c>
      <c r="F4942" t="s">
        <v>57</v>
      </c>
      <c r="G4942" t="s">
        <v>24</v>
      </c>
      <c r="H4942" t="s">
        <v>43</v>
      </c>
      <c r="I4942" t="s">
        <v>26</v>
      </c>
      <c r="J4942" t="s">
        <v>27</v>
      </c>
      <c r="K4942" t="s">
        <v>32</v>
      </c>
      <c r="L4942" s="2">
        <v>8.1</v>
      </c>
      <c r="M4942" s="3">
        <v>1514</v>
      </c>
      <c r="N4942">
        <v>5</v>
      </c>
      <c r="O4942">
        <v>5</v>
      </c>
      <c r="P4942">
        <v>1</v>
      </c>
      <c r="Q4942">
        <v>0</v>
      </c>
      <c r="R4942" s="4">
        <v>27.11</v>
      </c>
      <c r="S4942">
        <v>0</v>
      </c>
      <c r="T4942">
        <v>1</v>
      </c>
    </row>
    <row r="4943" spans="1:20" ht="16.5" x14ac:dyDescent="0.3">
      <c r="A4943" t="s">
        <v>4997</v>
      </c>
      <c r="B4943" s="1">
        <v>45966</v>
      </c>
      <c r="C4943">
        <v>2025</v>
      </c>
      <c r="D4943" t="s">
        <v>1873</v>
      </c>
      <c r="E4943" t="s">
        <v>2108</v>
      </c>
      <c r="F4943" t="s">
        <v>34</v>
      </c>
      <c r="G4943" t="s">
        <v>39</v>
      </c>
      <c r="H4943" t="s">
        <v>48</v>
      </c>
      <c r="I4943" t="s">
        <v>26</v>
      </c>
      <c r="J4943" t="s">
        <v>27</v>
      </c>
      <c r="K4943" t="s">
        <v>28</v>
      </c>
      <c r="L4943" s="2">
        <v>102.3</v>
      </c>
      <c r="M4943" s="3">
        <v>467</v>
      </c>
      <c r="N4943">
        <v>4</v>
      </c>
      <c r="O4943">
        <v>5</v>
      </c>
      <c r="P4943">
        <v>0</v>
      </c>
      <c r="Q4943">
        <v>1</v>
      </c>
      <c r="R4943" s="4">
        <v>52.25</v>
      </c>
      <c r="S4943">
        <v>0</v>
      </c>
      <c r="T4943">
        <v>1</v>
      </c>
    </row>
    <row r="4944" spans="1:20" ht="16.5" x14ac:dyDescent="0.3">
      <c r="A4944" t="s">
        <v>4998</v>
      </c>
      <c r="B4944" s="1">
        <v>45966</v>
      </c>
      <c r="C4944">
        <v>2025</v>
      </c>
      <c r="D4944" t="s">
        <v>1873</v>
      </c>
      <c r="E4944" t="s">
        <v>2108</v>
      </c>
      <c r="F4944" t="s">
        <v>30</v>
      </c>
      <c r="G4944" t="s">
        <v>24</v>
      </c>
      <c r="H4944" t="s">
        <v>48</v>
      </c>
      <c r="I4944" t="s">
        <v>40</v>
      </c>
      <c r="J4944" t="s">
        <v>27</v>
      </c>
      <c r="K4944" t="s">
        <v>32</v>
      </c>
      <c r="L4944" s="2">
        <v>8</v>
      </c>
      <c r="M4944" s="3">
        <v>497</v>
      </c>
      <c r="N4944">
        <v>2</v>
      </c>
      <c r="O4944">
        <v>2</v>
      </c>
      <c r="P4944">
        <v>1</v>
      </c>
      <c r="Q4944">
        <v>0</v>
      </c>
      <c r="R4944" s="4">
        <v>34.880000000000003</v>
      </c>
      <c r="S4944">
        <v>0</v>
      </c>
      <c r="T4944">
        <v>1</v>
      </c>
    </row>
    <row r="4945" spans="1:20" ht="16.5" x14ac:dyDescent="0.3">
      <c r="A4945" t="s">
        <v>4999</v>
      </c>
      <c r="B4945" s="1">
        <v>45966</v>
      </c>
      <c r="C4945">
        <v>2025</v>
      </c>
      <c r="D4945" t="s">
        <v>1873</v>
      </c>
      <c r="E4945" t="s">
        <v>2108</v>
      </c>
      <c r="F4945" t="s">
        <v>23</v>
      </c>
      <c r="G4945" t="s">
        <v>24</v>
      </c>
      <c r="H4945" t="s">
        <v>25</v>
      </c>
      <c r="I4945" t="s">
        <v>31</v>
      </c>
      <c r="J4945" t="s">
        <v>27</v>
      </c>
      <c r="K4945" t="s">
        <v>32</v>
      </c>
      <c r="L4945" s="2">
        <v>1.7</v>
      </c>
      <c r="M4945" s="3">
        <v>812</v>
      </c>
      <c r="N4945">
        <v>6</v>
      </c>
      <c r="O4945">
        <v>6</v>
      </c>
      <c r="P4945">
        <v>1</v>
      </c>
      <c r="Q4945">
        <v>0</v>
      </c>
      <c r="R4945" s="4">
        <v>11.8</v>
      </c>
      <c r="S4945">
        <v>0</v>
      </c>
      <c r="T4945">
        <v>1</v>
      </c>
    </row>
    <row r="4946" spans="1:20" ht="16.5" x14ac:dyDescent="0.3">
      <c r="A4946" t="s">
        <v>5000</v>
      </c>
      <c r="B4946" s="1">
        <v>45966</v>
      </c>
      <c r="C4946">
        <v>2025</v>
      </c>
      <c r="D4946" t="s">
        <v>1873</v>
      </c>
      <c r="E4946" t="s">
        <v>2108</v>
      </c>
      <c r="F4946" t="s">
        <v>57</v>
      </c>
      <c r="G4946" t="s">
        <v>39</v>
      </c>
      <c r="H4946" t="s">
        <v>36</v>
      </c>
      <c r="I4946" t="s">
        <v>26</v>
      </c>
      <c r="J4946" t="s">
        <v>27</v>
      </c>
      <c r="K4946" t="s">
        <v>32</v>
      </c>
      <c r="L4946" s="2">
        <v>3</v>
      </c>
      <c r="M4946" s="3">
        <v>239</v>
      </c>
      <c r="N4946">
        <v>3</v>
      </c>
      <c r="O4946">
        <v>3</v>
      </c>
      <c r="P4946">
        <v>1</v>
      </c>
      <c r="Q4946">
        <v>0</v>
      </c>
      <c r="R4946" s="4">
        <v>10.75</v>
      </c>
      <c r="S4946">
        <v>0</v>
      </c>
      <c r="T4946">
        <v>1</v>
      </c>
    </row>
    <row r="4947" spans="1:20" ht="16.5" x14ac:dyDescent="0.3">
      <c r="A4947" t="s">
        <v>5001</v>
      </c>
      <c r="B4947" s="1">
        <v>45966</v>
      </c>
      <c r="C4947">
        <v>2025</v>
      </c>
      <c r="D4947" t="s">
        <v>1873</v>
      </c>
      <c r="E4947" t="s">
        <v>2108</v>
      </c>
      <c r="F4947" t="s">
        <v>38</v>
      </c>
      <c r="G4947" t="s">
        <v>39</v>
      </c>
      <c r="H4947" t="s">
        <v>48</v>
      </c>
      <c r="I4947" t="s">
        <v>26</v>
      </c>
      <c r="J4947" t="s">
        <v>27</v>
      </c>
      <c r="K4947" t="s">
        <v>28</v>
      </c>
      <c r="L4947" s="2">
        <v>43</v>
      </c>
      <c r="M4947" s="3">
        <v>468</v>
      </c>
      <c r="N4947">
        <v>4</v>
      </c>
      <c r="O4947">
        <v>5</v>
      </c>
      <c r="P4947">
        <v>0</v>
      </c>
      <c r="Q4947">
        <v>1</v>
      </c>
      <c r="R4947" s="4">
        <v>37.18</v>
      </c>
      <c r="S4947">
        <v>0</v>
      </c>
      <c r="T4947">
        <v>1</v>
      </c>
    </row>
    <row r="4948" spans="1:20" ht="16.5" x14ac:dyDescent="0.3">
      <c r="A4948" t="s">
        <v>5002</v>
      </c>
      <c r="B4948" s="1">
        <v>45966</v>
      </c>
      <c r="C4948">
        <v>2025</v>
      </c>
      <c r="D4948" t="s">
        <v>1873</v>
      </c>
      <c r="E4948" t="s">
        <v>2108</v>
      </c>
      <c r="F4948" t="s">
        <v>34</v>
      </c>
      <c r="G4948" t="s">
        <v>39</v>
      </c>
      <c r="H4948" t="s">
        <v>43</v>
      </c>
      <c r="I4948" t="s">
        <v>26</v>
      </c>
      <c r="J4948" t="s">
        <v>27</v>
      </c>
      <c r="K4948" t="s">
        <v>28</v>
      </c>
      <c r="L4948" s="2">
        <v>30.6</v>
      </c>
      <c r="M4948" s="3">
        <v>1260</v>
      </c>
      <c r="N4948">
        <v>5</v>
      </c>
      <c r="O4948">
        <v>4</v>
      </c>
      <c r="P4948">
        <v>1</v>
      </c>
      <c r="Q4948">
        <v>0</v>
      </c>
      <c r="R4948" s="4">
        <v>31.46</v>
      </c>
      <c r="S4948">
        <v>0</v>
      </c>
      <c r="T4948">
        <v>1</v>
      </c>
    </row>
    <row r="4949" spans="1:20" ht="16.5" x14ac:dyDescent="0.3">
      <c r="A4949" t="s">
        <v>5003</v>
      </c>
      <c r="B4949" s="1">
        <v>45966</v>
      </c>
      <c r="C4949">
        <v>2025</v>
      </c>
      <c r="D4949" t="s">
        <v>1873</v>
      </c>
      <c r="E4949" t="s">
        <v>2108</v>
      </c>
      <c r="F4949" t="s">
        <v>57</v>
      </c>
      <c r="G4949" t="s">
        <v>35</v>
      </c>
      <c r="H4949" t="s">
        <v>25</v>
      </c>
      <c r="I4949" t="s">
        <v>31</v>
      </c>
      <c r="J4949" t="s">
        <v>27</v>
      </c>
      <c r="K4949" t="s">
        <v>32</v>
      </c>
      <c r="L4949" s="2">
        <v>8.5</v>
      </c>
      <c r="M4949" s="3">
        <v>976</v>
      </c>
      <c r="N4949">
        <v>6</v>
      </c>
      <c r="O4949">
        <v>6</v>
      </c>
      <c r="P4949">
        <v>1</v>
      </c>
      <c r="Q4949">
        <v>0</v>
      </c>
      <c r="R4949" s="4">
        <v>17.399999999999999</v>
      </c>
      <c r="S4949">
        <v>0</v>
      </c>
      <c r="T4949">
        <v>1</v>
      </c>
    </row>
    <row r="4950" spans="1:20" ht="16.5" x14ac:dyDescent="0.3">
      <c r="A4950" t="s">
        <v>5004</v>
      </c>
      <c r="B4950" s="1">
        <v>45967</v>
      </c>
      <c r="C4950">
        <v>2025</v>
      </c>
      <c r="D4950" t="s">
        <v>1873</v>
      </c>
      <c r="E4950" t="s">
        <v>2108</v>
      </c>
      <c r="F4950" t="s">
        <v>23</v>
      </c>
      <c r="G4950" t="s">
        <v>39</v>
      </c>
      <c r="H4950" t="s">
        <v>48</v>
      </c>
      <c r="I4950" t="s">
        <v>31</v>
      </c>
      <c r="J4950" t="s">
        <v>27</v>
      </c>
      <c r="K4950" t="s">
        <v>32</v>
      </c>
      <c r="L4950" s="2">
        <v>8.6999999999999993</v>
      </c>
      <c r="M4950" s="3">
        <v>529</v>
      </c>
      <c r="N4950">
        <v>6</v>
      </c>
      <c r="O4950">
        <v>6</v>
      </c>
      <c r="P4950">
        <v>1</v>
      </c>
      <c r="Q4950">
        <v>0</v>
      </c>
      <c r="R4950" s="4">
        <v>12.68</v>
      </c>
      <c r="S4950">
        <v>0</v>
      </c>
      <c r="T4950">
        <v>1</v>
      </c>
    </row>
    <row r="4951" spans="1:20" ht="16.5" x14ac:dyDescent="0.3">
      <c r="A4951" t="s">
        <v>5005</v>
      </c>
      <c r="B4951" s="1">
        <v>45967</v>
      </c>
      <c r="C4951">
        <v>2025</v>
      </c>
      <c r="D4951" t="s">
        <v>1873</v>
      </c>
      <c r="E4951" t="s">
        <v>2108</v>
      </c>
      <c r="F4951" t="s">
        <v>34</v>
      </c>
      <c r="G4951" t="s">
        <v>35</v>
      </c>
      <c r="H4951" t="s">
        <v>43</v>
      </c>
      <c r="I4951" t="s">
        <v>40</v>
      </c>
      <c r="J4951" t="s">
        <v>41</v>
      </c>
      <c r="K4951" t="s">
        <v>32</v>
      </c>
      <c r="L4951" s="2">
        <v>6</v>
      </c>
      <c r="M4951" s="3">
        <v>709</v>
      </c>
      <c r="N4951">
        <v>3</v>
      </c>
      <c r="O4951">
        <v>3</v>
      </c>
      <c r="P4951">
        <v>1</v>
      </c>
      <c r="Q4951">
        <v>0</v>
      </c>
      <c r="R4951" s="4">
        <v>50.19</v>
      </c>
      <c r="S4951">
        <v>0</v>
      </c>
      <c r="T4951">
        <v>1</v>
      </c>
    </row>
    <row r="4952" spans="1:20" ht="16.5" x14ac:dyDescent="0.3">
      <c r="A4952" t="s">
        <v>5006</v>
      </c>
      <c r="B4952" s="1">
        <v>45967</v>
      </c>
      <c r="C4952">
        <v>2025</v>
      </c>
      <c r="D4952" t="s">
        <v>1873</v>
      </c>
      <c r="E4952" t="s">
        <v>2108</v>
      </c>
      <c r="F4952" t="s">
        <v>30</v>
      </c>
      <c r="G4952" t="s">
        <v>24</v>
      </c>
      <c r="H4952" t="s">
        <v>25</v>
      </c>
      <c r="I4952" t="s">
        <v>40</v>
      </c>
      <c r="J4952" t="s">
        <v>41</v>
      </c>
      <c r="K4952" t="s">
        <v>28</v>
      </c>
      <c r="L4952" s="2">
        <v>44.7</v>
      </c>
      <c r="M4952" s="3">
        <v>797</v>
      </c>
      <c r="N4952">
        <v>2</v>
      </c>
      <c r="O4952">
        <v>1</v>
      </c>
      <c r="P4952">
        <v>1</v>
      </c>
      <c r="Q4952">
        <v>0</v>
      </c>
      <c r="R4952" s="4">
        <v>108.55</v>
      </c>
      <c r="S4952">
        <v>0</v>
      </c>
      <c r="T4952">
        <v>1</v>
      </c>
    </row>
    <row r="4953" spans="1:20" ht="16.5" x14ac:dyDescent="0.3">
      <c r="A4953" t="s">
        <v>5007</v>
      </c>
      <c r="B4953" s="1">
        <v>45967</v>
      </c>
      <c r="C4953">
        <v>2025</v>
      </c>
      <c r="D4953" t="s">
        <v>1873</v>
      </c>
      <c r="E4953" t="s">
        <v>2108</v>
      </c>
      <c r="F4953" t="s">
        <v>30</v>
      </c>
      <c r="G4953" t="s">
        <v>35</v>
      </c>
      <c r="H4953" t="s">
        <v>48</v>
      </c>
      <c r="I4953" t="s">
        <v>26</v>
      </c>
      <c r="J4953" t="s">
        <v>27</v>
      </c>
      <c r="K4953" t="s">
        <v>28</v>
      </c>
      <c r="L4953" s="2">
        <v>128.5</v>
      </c>
      <c r="M4953" s="3">
        <v>502</v>
      </c>
      <c r="N4953">
        <v>4</v>
      </c>
      <c r="O4953">
        <v>4</v>
      </c>
      <c r="P4953">
        <v>1</v>
      </c>
      <c r="Q4953">
        <v>0</v>
      </c>
      <c r="R4953" s="4">
        <v>68.88</v>
      </c>
      <c r="S4953">
        <v>0</v>
      </c>
      <c r="T4953">
        <v>1</v>
      </c>
    </row>
    <row r="4954" spans="1:20" ht="16.5" x14ac:dyDescent="0.3">
      <c r="A4954" t="s">
        <v>5008</v>
      </c>
      <c r="B4954" s="1">
        <v>45967</v>
      </c>
      <c r="C4954">
        <v>2025</v>
      </c>
      <c r="D4954" t="s">
        <v>1873</v>
      </c>
      <c r="E4954" t="s">
        <v>2108</v>
      </c>
      <c r="F4954" t="s">
        <v>30</v>
      </c>
      <c r="G4954" t="s">
        <v>35</v>
      </c>
      <c r="H4954" t="s">
        <v>48</v>
      </c>
      <c r="I4954" t="s">
        <v>31</v>
      </c>
      <c r="J4954" t="s">
        <v>27</v>
      </c>
      <c r="K4954" t="s">
        <v>28</v>
      </c>
      <c r="L4954" s="2">
        <v>175.1</v>
      </c>
      <c r="M4954" s="3">
        <v>514</v>
      </c>
      <c r="N4954">
        <v>6</v>
      </c>
      <c r="O4954">
        <v>6</v>
      </c>
      <c r="P4954">
        <v>1</v>
      </c>
      <c r="Q4954">
        <v>0</v>
      </c>
      <c r="R4954" s="4">
        <v>63.82</v>
      </c>
      <c r="S4954">
        <v>0</v>
      </c>
      <c r="T4954">
        <v>1</v>
      </c>
    </row>
    <row r="4955" spans="1:20" ht="16.5" x14ac:dyDescent="0.3">
      <c r="A4955" t="s">
        <v>5009</v>
      </c>
      <c r="B4955" s="1">
        <v>45967</v>
      </c>
      <c r="C4955">
        <v>2025</v>
      </c>
      <c r="D4955" t="s">
        <v>1873</v>
      </c>
      <c r="E4955" t="s">
        <v>2108</v>
      </c>
      <c r="F4955" t="s">
        <v>34</v>
      </c>
      <c r="G4955" t="s">
        <v>39</v>
      </c>
      <c r="H4955" t="s">
        <v>25</v>
      </c>
      <c r="I4955" t="s">
        <v>40</v>
      </c>
      <c r="J4955" t="s">
        <v>41</v>
      </c>
      <c r="K4955" t="s">
        <v>32</v>
      </c>
      <c r="L4955" s="2">
        <v>10.3</v>
      </c>
      <c r="M4955" s="3">
        <v>813</v>
      </c>
      <c r="N4955">
        <v>2</v>
      </c>
      <c r="O4955">
        <v>2</v>
      </c>
      <c r="P4955">
        <v>1</v>
      </c>
      <c r="Q4955">
        <v>0</v>
      </c>
      <c r="R4955" s="4">
        <v>56.31</v>
      </c>
      <c r="S4955">
        <v>0</v>
      </c>
      <c r="T4955">
        <v>1</v>
      </c>
    </row>
    <row r="4956" spans="1:20" ht="16.5" x14ac:dyDescent="0.3">
      <c r="A4956" t="s">
        <v>5010</v>
      </c>
      <c r="B4956" s="1">
        <v>45967</v>
      </c>
      <c r="C4956">
        <v>2025</v>
      </c>
      <c r="D4956" t="s">
        <v>1873</v>
      </c>
      <c r="E4956" t="s">
        <v>2108</v>
      </c>
      <c r="F4956" t="s">
        <v>34</v>
      </c>
      <c r="G4956" t="s">
        <v>39</v>
      </c>
      <c r="H4956" t="s">
        <v>48</v>
      </c>
      <c r="I4956" t="s">
        <v>40</v>
      </c>
      <c r="J4956" t="s">
        <v>27</v>
      </c>
      <c r="K4956" t="s">
        <v>32</v>
      </c>
      <c r="L4956" s="2">
        <v>13.7</v>
      </c>
      <c r="M4956" s="3">
        <v>592</v>
      </c>
      <c r="N4956">
        <v>2</v>
      </c>
      <c r="O4956">
        <v>6</v>
      </c>
      <c r="P4956">
        <v>0</v>
      </c>
      <c r="Q4956">
        <v>4</v>
      </c>
      <c r="R4956" s="4">
        <v>35.909999999999997</v>
      </c>
      <c r="S4956">
        <v>0</v>
      </c>
      <c r="T4956">
        <v>1</v>
      </c>
    </row>
    <row r="4957" spans="1:20" ht="16.5" x14ac:dyDescent="0.3">
      <c r="A4957" t="s">
        <v>5011</v>
      </c>
      <c r="B4957" s="1">
        <v>45967</v>
      </c>
      <c r="C4957">
        <v>2025</v>
      </c>
      <c r="D4957" t="s">
        <v>1873</v>
      </c>
      <c r="E4957" t="s">
        <v>2108</v>
      </c>
      <c r="F4957" t="s">
        <v>38</v>
      </c>
      <c r="G4957" t="s">
        <v>35</v>
      </c>
      <c r="H4957" t="s">
        <v>25</v>
      </c>
      <c r="I4957" t="s">
        <v>31</v>
      </c>
      <c r="J4957" t="s">
        <v>27</v>
      </c>
      <c r="K4957" t="s">
        <v>28</v>
      </c>
      <c r="L4957" s="2">
        <v>128.9</v>
      </c>
      <c r="M4957" s="3">
        <v>840</v>
      </c>
      <c r="N4957">
        <v>6</v>
      </c>
      <c r="O4957">
        <v>5</v>
      </c>
      <c r="P4957">
        <v>1</v>
      </c>
      <c r="Q4957">
        <v>0</v>
      </c>
      <c r="R4957" s="4">
        <v>58.32</v>
      </c>
      <c r="S4957">
        <v>0</v>
      </c>
      <c r="T4957">
        <v>1</v>
      </c>
    </row>
    <row r="4958" spans="1:20" ht="16.5" x14ac:dyDescent="0.3">
      <c r="A4958" t="s">
        <v>5012</v>
      </c>
      <c r="B4958" s="1">
        <v>45967</v>
      </c>
      <c r="C4958">
        <v>2025</v>
      </c>
      <c r="D4958" t="s">
        <v>1873</v>
      </c>
      <c r="E4958" t="s">
        <v>2108</v>
      </c>
      <c r="F4958" t="s">
        <v>57</v>
      </c>
      <c r="G4958" t="s">
        <v>39</v>
      </c>
      <c r="H4958" t="s">
        <v>36</v>
      </c>
      <c r="I4958" t="s">
        <v>40</v>
      </c>
      <c r="J4958" t="s">
        <v>27</v>
      </c>
      <c r="K4958" t="s">
        <v>32</v>
      </c>
      <c r="L4958" s="2">
        <v>3.4</v>
      </c>
      <c r="M4958" s="3">
        <v>234</v>
      </c>
      <c r="N4958">
        <v>1</v>
      </c>
      <c r="O4958">
        <v>1</v>
      </c>
      <c r="P4958">
        <v>1</v>
      </c>
      <c r="Q4958">
        <v>0</v>
      </c>
      <c r="R4958" s="4">
        <v>21.57</v>
      </c>
      <c r="S4958">
        <v>0</v>
      </c>
      <c r="T4958">
        <v>1</v>
      </c>
    </row>
    <row r="4959" spans="1:20" ht="16.5" x14ac:dyDescent="0.3">
      <c r="A4959" t="s">
        <v>5013</v>
      </c>
      <c r="B4959" s="1">
        <v>45967</v>
      </c>
      <c r="C4959">
        <v>2025</v>
      </c>
      <c r="D4959" t="s">
        <v>1873</v>
      </c>
      <c r="E4959" t="s">
        <v>2108</v>
      </c>
      <c r="F4959" t="s">
        <v>30</v>
      </c>
      <c r="G4959" t="s">
        <v>39</v>
      </c>
      <c r="H4959" t="s">
        <v>25</v>
      </c>
      <c r="I4959" t="s">
        <v>40</v>
      </c>
      <c r="J4959" t="s">
        <v>41</v>
      </c>
      <c r="K4959" t="s">
        <v>32</v>
      </c>
      <c r="L4959" s="2">
        <v>4.4000000000000004</v>
      </c>
      <c r="M4959" s="3">
        <v>915</v>
      </c>
      <c r="N4959">
        <v>2</v>
      </c>
      <c r="O4959">
        <v>1</v>
      </c>
      <c r="P4959">
        <v>1</v>
      </c>
      <c r="Q4959">
        <v>0</v>
      </c>
      <c r="R4959" s="4">
        <v>58.11</v>
      </c>
      <c r="S4959">
        <v>0</v>
      </c>
      <c r="T4959">
        <v>1</v>
      </c>
    </row>
    <row r="4960" spans="1:20" ht="16.5" x14ac:dyDescent="0.3">
      <c r="A4960" t="s">
        <v>5014</v>
      </c>
      <c r="B4960" s="1">
        <v>45967</v>
      </c>
      <c r="C4960">
        <v>2025</v>
      </c>
      <c r="D4960" t="s">
        <v>1873</v>
      </c>
      <c r="E4960" t="s">
        <v>2108</v>
      </c>
      <c r="F4960" t="s">
        <v>34</v>
      </c>
      <c r="G4960" t="s">
        <v>39</v>
      </c>
      <c r="H4960" t="s">
        <v>25</v>
      </c>
      <c r="I4960" t="s">
        <v>26</v>
      </c>
      <c r="J4960" t="s">
        <v>27</v>
      </c>
      <c r="K4960" t="s">
        <v>32</v>
      </c>
      <c r="L4960" s="2">
        <v>2.5</v>
      </c>
      <c r="M4960" s="3">
        <v>1000</v>
      </c>
      <c r="N4960">
        <v>4</v>
      </c>
      <c r="O4960">
        <v>4</v>
      </c>
      <c r="P4960">
        <v>1</v>
      </c>
      <c r="Q4960">
        <v>0</v>
      </c>
      <c r="R4960" s="4">
        <v>17.05</v>
      </c>
      <c r="S4960">
        <v>0</v>
      </c>
      <c r="T4960">
        <v>1</v>
      </c>
    </row>
    <row r="4961" spans="1:20" ht="16.5" x14ac:dyDescent="0.3">
      <c r="A4961" t="s">
        <v>5015</v>
      </c>
      <c r="B4961" s="1">
        <v>45967</v>
      </c>
      <c r="C4961">
        <v>2025</v>
      </c>
      <c r="D4961" t="s">
        <v>1873</v>
      </c>
      <c r="E4961" t="s">
        <v>2108</v>
      </c>
      <c r="F4961" t="s">
        <v>38</v>
      </c>
      <c r="G4961" t="s">
        <v>24</v>
      </c>
      <c r="H4961" t="s">
        <v>48</v>
      </c>
      <c r="I4961" t="s">
        <v>26</v>
      </c>
      <c r="J4961" t="s">
        <v>27</v>
      </c>
      <c r="K4961" t="s">
        <v>28</v>
      </c>
      <c r="L4961" s="2">
        <v>50</v>
      </c>
      <c r="M4961" s="3">
        <v>443</v>
      </c>
      <c r="N4961">
        <v>4</v>
      </c>
      <c r="O4961">
        <v>4</v>
      </c>
      <c r="P4961">
        <v>1</v>
      </c>
      <c r="Q4961">
        <v>0</v>
      </c>
      <c r="R4961" s="4">
        <v>42.12</v>
      </c>
      <c r="S4961">
        <v>0</v>
      </c>
      <c r="T4961">
        <v>1</v>
      </c>
    </row>
    <row r="4962" spans="1:20" ht="16.5" x14ac:dyDescent="0.3">
      <c r="A4962" t="s">
        <v>5016</v>
      </c>
      <c r="B4962" s="1">
        <v>45967</v>
      </c>
      <c r="C4962">
        <v>2025</v>
      </c>
      <c r="D4962" t="s">
        <v>1873</v>
      </c>
      <c r="E4962" t="s">
        <v>2108</v>
      </c>
      <c r="F4962" t="s">
        <v>57</v>
      </c>
      <c r="G4962" t="s">
        <v>39</v>
      </c>
      <c r="H4962" t="s">
        <v>48</v>
      </c>
      <c r="I4962" t="s">
        <v>26</v>
      </c>
      <c r="J4962" t="s">
        <v>27</v>
      </c>
      <c r="K4962" t="s">
        <v>32</v>
      </c>
      <c r="L4962" s="2">
        <v>3.1</v>
      </c>
      <c r="M4962" s="3">
        <v>601</v>
      </c>
      <c r="N4962">
        <v>4</v>
      </c>
      <c r="O4962">
        <v>6</v>
      </c>
      <c r="P4962">
        <v>0</v>
      </c>
      <c r="Q4962">
        <v>2</v>
      </c>
      <c r="R4962" s="4">
        <v>15.46</v>
      </c>
      <c r="S4962">
        <v>0</v>
      </c>
      <c r="T4962">
        <v>1</v>
      </c>
    </row>
    <row r="4963" spans="1:20" ht="16.5" x14ac:dyDescent="0.3">
      <c r="A4963" t="s">
        <v>5017</v>
      </c>
      <c r="B4963" s="1">
        <v>45967</v>
      </c>
      <c r="C4963">
        <v>2025</v>
      </c>
      <c r="D4963" t="s">
        <v>1873</v>
      </c>
      <c r="E4963" t="s">
        <v>2108</v>
      </c>
      <c r="F4963" t="s">
        <v>23</v>
      </c>
      <c r="G4963" t="s">
        <v>39</v>
      </c>
      <c r="H4963" t="s">
        <v>25</v>
      </c>
      <c r="I4963" t="s">
        <v>31</v>
      </c>
      <c r="J4963" t="s">
        <v>27</v>
      </c>
      <c r="K4963" t="s">
        <v>28</v>
      </c>
      <c r="L4963" s="2">
        <v>115.4</v>
      </c>
      <c r="M4963" s="3">
        <v>956</v>
      </c>
      <c r="N4963">
        <v>6</v>
      </c>
      <c r="O4963">
        <v>6</v>
      </c>
      <c r="P4963">
        <v>1</v>
      </c>
      <c r="Q4963">
        <v>0</v>
      </c>
      <c r="R4963" s="4">
        <v>50.9</v>
      </c>
      <c r="S4963">
        <v>0</v>
      </c>
      <c r="T4963">
        <v>1</v>
      </c>
    </row>
    <row r="4964" spans="1:20" ht="16.5" x14ac:dyDescent="0.3">
      <c r="A4964" t="s">
        <v>5018</v>
      </c>
      <c r="B4964" s="1">
        <v>45967</v>
      </c>
      <c r="C4964">
        <v>2025</v>
      </c>
      <c r="D4964" t="s">
        <v>1873</v>
      </c>
      <c r="E4964" t="s">
        <v>2108</v>
      </c>
      <c r="F4964" t="s">
        <v>30</v>
      </c>
      <c r="G4964" t="s">
        <v>24</v>
      </c>
      <c r="H4964" t="s">
        <v>43</v>
      </c>
      <c r="I4964" t="s">
        <v>26</v>
      </c>
      <c r="J4964" t="s">
        <v>27</v>
      </c>
      <c r="K4964" t="s">
        <v>32</v>
      </c>
      <c r="L4964" s="2">
        <v>0.6</v>
      </c>
      <c r="M4964" s="3">
        <v>1111</v>
      </c>
      <c r="N4964">
        <v>5</v>
      </c>
      <c r="O4964">
        <v>4</v>
      </c>
      <c r="P4964">
        <v>1</v>
      </c>
      <c r="Q4964">
        <v>0</v>
      </c>
      <c r="R4964" s="4">
        <v>21.55</v>
      </c>
      <c r="S4964">
        <v>0</v>
      </c>
      <c r="T4964">
        <v>1</v>
      </c>
    </row>
    <row r="4965" spans="1:20" ht="16.5" x14ac:dyDescent="0.3">
      <c r="A4965" t="s">
        <v>5019</v>
      </c>
      <c r="B4965" s="1">
        <v>45967</v>
      </c>
      <c r="C4965">
        <v>2025</v>
      </c>
      <c r="D4965" t="s">
        <v>1873</v>
      </c>
      <c r="E4965" t="s">
        <v>2108</v>
      </c>
      <c r="F4965" t="s">
        <v>57</v>
      </c>
      <c r="G4965" t="s">
        <v>39</v>
      </c>
      <c r="H4965" t="s">
        <v>25</v>
      </c>
      <c r="I4965" t="s">
        <v>31</v>
      </c>
      <c r="J4965" t="s">
        <v>27</v>
      </c>
      <c r="K4965" t="s">
        <v>28</v>
      </c>
      <c r="L4965" s="2">
        <v>103.8</v>
      </c>
      <c r="M4965" s="3">
        <v>767</v>
      </c>
      <c r="N4965">
        <v>6</v>
      </c>
      <c r="O4965">
        <v>5</v>
      </c>
      <c r="P4965">
        <v>1</v>
      </c>
      <c r="Q4965">
        <v>0</v>
      </c>
      <c r="R4965" s="4">
        <v>41.2</v>
      </c>
      <c r="S4965">
        <v>0</v>
      </c>
      <c r="T4965">
        <v>1</v>
      </c>
    </row>
    <row r="4966" spans="1:20" ht="16.5" x14ac:dyDescent="0.3">
      <c r="A4966" t="s">
        <v>5020</v>
      </c>
      <c r="B4966" s="1">
        <v>45968</v>
      </c>
      <c r="C4966">
        <v>2025</v>
      </c>
      <c r="D4966" t="s">
        <v>1873</v>
      </c>
      <c r="E4966" t="s">
        <v>2108</v>
      </c>
      <c r="F4966" t="s">
        <v>30</v>
      </c>
      <c r="G4966" t="s">
        <v>24</v>
      </c>
      <c r="H4966" t="s">
        <v>51</v>
      </c>
      <c r="I4966" t="s">
        <v>26</v>
      </c>
      <c r="J4966" t="s">
        <v>27</v>
      </c>
      <c r="K4966" t="s">
        <v>28</v>
      </c>
      <c r="L4966" s="2">
        <v>28.6</v>
      </c>
      <c r="M4966" s="3">
        <v>882</v>
      </c>
      <c r="N4966">
        <v>5</v>
      </c>
      <c r="O4966">
        <v>5</v>
      </c>
      <c r="P4966">
        <v>1</v>
      </c>
      <c r="Q4966">
        <v>0</v>
      </c>
      <c r="R4966" s="4">
        <v>30.6</v>
      </c>
      <c r="S4966">
        <v>0</v>
      </c>
      <c r="T4966">
        <v>1</v>
      </c>
    </row>
    <row r="4967" spans="1:20" ht="16.5" x14ac:dyDescent="0.3">
      <c r="A4967" t="s">
        <v>5021</v>
      </c>
      <c r="B4967" s="1">
        <v>45968</v>
      </c>
      <c r="C4967">
        <v>2025</v>
      </c>
      <c r="D4967" t="s">
        <v>1873</v>
      </c>
      <c r="E4967" t="s">
        <v>2108</v>
      </c>
      <c r="F4967" t="s">
        <v>38</v>
      </c>
      <c r="G4967" t="s">
        <v>24</v>
      </c>
      <c r="H4967" t="s">
        <v>48</v>
      </c>
      <c r="I4967" t="s">
        <v>26</v>
      </c>
      <c r="J4967" t="s">
        <v>27</v>
      </c>
      <c r="K4967" t="s">
        <v>32</v>
      </c>
      <c r="L4967" s="2">
        <v>4</v>
      </c>
      <c r="M4967" s="3">
        <v>618</v>
      </c>
      <c r="N4967">
        <v>4</v>
      </c>
      <c r="O4967">
        <v>4</v>
      </c>
      <c r="P4967">
        <v>1</v>
      </c>
      <c r="Q4967">
        <v>0</v>
      </c>
      <c r="R4967" s="4">
        <v>18.12</v>
      </c>
      <c r="S4967">
        <v>0</v>
      </c>
      <c r="T4967">
        <v>1</v>
      </c>
    </row>
    <row r="4968" spans="1:20" ht="16.5" x14ac:dyDescent="0.3">
      <c r="A4968" t="s">
        <v>5022</v>
      </c>
      <c r="B4968" s="1">
        <v>45968</v>
      </c>
      <c r="C4968">
        <v>2025</v>
      </c>
      <c r="D4968" t="s">
        <v>1873</v>
      </c>
      <c r="E4968" t="s">
        <v>2108</v>
      </c>
      <c r="F4968" t="s">
        <v>23</v>
      </c>
      <c r="G4968" t="s">
        <v>24</v>
      </c>
      <c r="H4968" t="s">
        <v>36</v>
      </c>
      <c r="I4968" t="s">
        <v>26</v>
      </c>
      <c r="J4968" t="s">
        <v>27</v>
      </c>
      <c r="K4968" t="s">
        <v>32</v>
      </c>
      <c r="L4968" s="2">
        <v>3</v>
      </c>
      <c r="M4968" s="3">
        <v>272</v>
      </c>
      <c r="N4968">
        <v>3</v>
      </c>
      <c r="O4968">
        <v>6</v>
      </c>
      <c r="P4968">
        <v>0</v>
      </c>
      <c r="Q4968">
        <v>3</v>
      </c>
      <c r="R4968" s="4">
        <v>10.28</v>
      </c>
      <c r="S4968">
        <v>0</v>
      </c>
      <c r="T4968">
        <v>1</v>
      </c>
    </row>
    <row r="4969" spans="1:20" ht="16.5" x14ac:dyDescent="0.3">
      <c r="A4969" t="s">
        <v>5023</v>
      </c>
      <c r="B4969" s="1">
        <v>45968</v>
      </c>
      <c r="C4969">
        <v>2025</v>
      </c>
      <c r="D4969" t="s">
        <v>1873</v>
      </c>
      <c r="E4969" t="s">
        <v>2108</v>
      </c>
      <c r="F4969" t="s">
        <v>23</v>
      </c>
      <c r="G4969" t="s">
        <v>39</v>
      </c>
      <c r="H4969" t="s">
        <v>48</v>
      </c>
      <c r="I4969" t="s">
        <v>40</v>
      </c>
      <c r="J4969" t="s">
        <v>27</v>
      </c>
      <c r="K4969" t="s">
        <v>32</v>
      </c>
      <c r="L4969" s="2">
        <v>4.5999999999999996</v>
      </c>
      <c r="M4969" s="3">
        <v>519</v>
      </c>
      <c r="N4969">
        <v>2</v>
      </c>
      <c r="O4969">
        <v>2</v>
      </c>
      <c r="P4969">
        <v>1</v>
      </c>
      <c r="Q4969">
        <v>0</v>
      </c>
      <c r="R4969" s="4">
        <v>30.25</v>
      </c>
      <c r="S4969">
        <v>0</v>
      </c>
      <c r="T4969">
        <v>1</v>
      </c>
    </row>
    <row r="4970" spans="1:20" ht="16.5" x14ac:dyDescent="0.3">
      <c r="A4970" t="s">
        <v>5024</v>
      </c>
      <c r="B4970" s="1">
        <v>45968</v>
      </c>
      <c r="C4970">
        <v>2025</v>
      </c>
      <c r="D4970" t="s">
        <v>1873</v>
      </c>
      <c r="E4970" t="s">
        <v>2108</v>
      </c>
      <c r="F4970" t="s">
        <v>30</v>
      </c>
      <c r="G4970" t="s">
        <v>35</v>
      </c>
      <c r="H4970" t="s">
        <v>36</v>
      </c>
      <c r="I4970" t="s">
        <v>26</v>
      </c>
      <c r="J4970" t="s">
        <v>27</v>
      </c>
      <c r="K4970" t="s">
        <v>32</v>
      </c>
      <c r="L4970" s="2">
        <v>7.1</v>
      </c>
      <c r="M4970" s="3">
        <v>304</v>
      </c>
      <c r="N4970">
        <v>3</v>
      </c>
      <c r="O4970">
        <v>2</v>
      </c>
      <c r="P4970">
        <v>1</v>
      </c>
      <c r="Q4970">
        <v>0</v>
      </c>
      <c r="R4970" s="4">
        <v>16.39</v>
      </c>
      <c r="S4970">
        <v>0</v>
      </c>
      <c r="T4970">
        <v>1</v>
      </c>
    </row>
    <row r="4971" spans="1:20" ht="16.5" x14ac:dyDescent="0.3">
      <c r="A4971" t="s">
        <v>5025</v>
      </c>
      <c r="B4971" s="1">
        <v>45968</v>
      </c>
      <c r="C4971">
        <v>2025</v>
      </c>
      <c r="D4971" t="s">
        <v>1873</v>
      </c>
      <c r="E4971" t="s">
        <v>2108</v>
      </c>
      <c r="F4971" t="s">
        <v>30</v>
      </c>
      <c r="G4971" t="s">
        <v>39</v>
      </c>
      <c r="H4971" t="s">
        <v>25</v>
      </c>
      <c r="I4971" t="s">
        <v>31</v>
      </c>
      <c r="J4971" t="s">
        <v>27</v>
      </c>
      <c r="K4971" t="s">
        <v>28</v>
      </c>
      <c r="L4971" s="2">
        <v>31.6</v>
      </c>
      <c r="M4971" s="3">
        <v>848</v>
      </c>
      <c r="N4971">
        <v>6</v>
      </c>
      <c r="O4971">
        <v>5</v>
      </c>
      <c r="P4971">
        <v>1</v>
      </c>
      <c r="Q4971">
        <v>0</v>
      </c>
      <c r="R4971" s="4">
        <v>25.46</v>
      </c>
      <c r="S4971">
        <v>0</v>
      </c>
      <c r="T4971">
        <v>1</v>
      </c>
    </row>
    <row r="4972" spans="1:20" ht="16.5" x14ac:dyDescent="0.3">
      <c r="A4972" t="s">
        <v>5026</v>
      </c>
      <c r="B4972" s="1">
        <v>45968</v>
      </c>
      <c r="C4972">
        <v>2025</v>
      </c>
      <c r="D4972" t="s">
        <v>1873</v>
      </c>
      <c r="E4972" t="s">
        <v>2108</v>
      </c>
      <c r="F4972" t="s">
        <v>34</v>
      </c>
      <c r="G4972" t="s">
        <v>39</v>
      </c>
      <c r="H4972" t="s">
        <v>25</v>
      </c>
      <c r="I4972" t="s">
        <v>26</v>
      </c>
      <c r="J4972" t="s">
        <v>27</v>
      </c>
      <c r="K4972" t="s">
        <v>28</v>
      </c>
      <c r="L4972" s="2">
        <v>156.6</v>
      </c>
      <c r="M4972" s="3">
        <v>745</v>
      </c>
      <c r="N4972">
        <v>4</v>
      </c>
      <c r="O4972">
        <v>4</v>
      </c>
      <c r="P4972">
        <v>1</v>
      </c>
      <c r="Q4972">
        <v>0</v>
      </c>
      <c r="R4972" s="4">
        <v>69.19</v>
      </c>
      <c r="S4972">
        <v>0</v>
      </c>
      <c r="T4972">
        <v>1</v>
      </c>
    </row>
    <row r="4973" spans="1:20" ht="16.5" x14ac:dyDescent="0.3">
      <c r="A4973" t="s">
        <v>5027</v>
      </c>
      <c r="B4973" s="1">
        <v>45968</v>
      </c>
      <c r="C4973">
        <v>2025</v>
      </c>
      <c r="D4973" t="s">
        <v>1873</v>
      </c>
      <c r="E4973" t="s">
        <v>2108</v>
      </c>
      <c r="F4973" t="s">
        <v>57</v>
      </c>
      <c r="G4973" t="s">
        <v>35</v>
      </c>
      <c r="H4973" t="s">
        <v>36</v>
      </c>
      <c r="I4973" t="s">
        <v>40</v>
      </c>
      <c r="J4973" t="s">
        <v>27</v>
      </c>
      <c r="K4973" t="s">
        <v>32</v>
      </c>
      <c r="L4973" s="2">
        <v>1.7</v>
      </c>
      <c r="M4973" s="3">
        <v>252</v>
      </c>
      <c r="N4973">
        <v>1</v>
      </c>
      <c r="O4973">
        <v>1</v>
      </c>
      <c r="P4973">
        <v>1</v>
      </c>
      <c r="Q4973">
        <v>0</v>
      </c>
      <c r="R4973" s="4">
        <v>19.62</v>
      </c>
      <c r="S4973">
        <v>0</v>
      </c>
      <c r="T4973">
        <v>1</v>
      </c>
    </row>
    <row r="4974" spans="1:20" ht="16.5" x14ac:dyDescent="0.3">
      <c r="A4974" t="s">
        <v>5028</v>
      </c>
      <c r="B4974" s="1">
        <v>45968</v>
      </c>
      <c r="C4974">
        <v>2025</v>
      </c>
      <c r="D4974" t="s">
        <v>1873</v>
      </c>
      <c r="E4974" t="s">
        <v>2108</v>
      </c>
      <c r="F4974" t="s">
        <v>23</v>
      </c>
      <c r="G4974" t="s">
        <v>39</v>
      </c>
      <c r="H4974" t="s">
        <v>25</v>
      </c>
      <c r="I4974" t="s">
        <v>26</v>
      </c>
      <c r="J4974" t="s">
        <v>27</v>
      </c>
      <c r="K4974" t="s">
        <v>32</v>
      </c>
      <c r="L4974" s="2">
        <v>3.9</v>
      </c>
      <c r="M4974" s="3">
        <v>862</v>
      </c>
      <c r="N4974">
        <v>4</v>
      </c>
      <c r="O4974">
        <v>4</v>
      </c>
      <c r="P4974">
        <v>1</v>
      </c>
      <c r="Q4974">
        <v>0</v>
      </c>
      <c r="R4974" s="4">
        <v>16.23</v>
      </c>
      <c r="S4974">
        <v>0</v>
      </c>
      <c r="T4974">
        <v>1</v>
      </c>
    </row>
    <row r="4975" spans="1:20" ht="16.5" x14ac:dyDescent="0.3">
      <c r="A4975" t="s">
        <v>5029</v>
      </c>
      <c r="B4975" s="1">
        <v>45968</v>
      </c>
      <c r="C4975">
        <v>2025</v>
      </c>
      <c r="D4975" t="s">
        <v>1873</v>
      </c>
      <c r="E4975" t="s">
        <v>2108</v>
      </c>
      <c r="F4975" t="s">
        <v>57</v>
      </c>
      <c r="G4975" t="s">
        <v>24</v>
      </c>
      <c r="H4975" t="s">
        <v>25</v>
      </c>
      <c r="I4975" t="s">
        <v>26</v>
      </c>
      <c r="J4975" t="s">
        <v>27</v>
      </c>
      <c r="K4975" t="s">
        <v>32</v>
      </c>
      <c r="L4975" s="2">
        <v>11.1</v>
      </c>
      <c r="M4975" s="3">
        <v>927</v>
      </c>
      <c r="N4975">
        <v>4</v>
      </c>
      <c r="O4975">
        <v>3</v>
      </c>
      <c r="P4975">
        <v>1</v>
      </c>
      <c r="Q4975">
        <v>0</v>
      </c>
      <c r="R4975" s="4">
        <v>24.43</v>
      </c>
      <c r="S4975">
        <v>0</v>
      </c>
      <c r="T4975">
        <v>1</v>
      </c>
    </row>
    <row r="4976" spans="1:20" ht="16.5" x14ac:dyDescent="0.3">
      <c r="A4976" t="s">
        <v>5030</v>
      </c>
      <c r="B4976" s="1">
        <v>45968</v>
      </c>
      <c r="C4976">
        <v>2025</v>
      </c>
      <c r="D4976" t="s">
        <v>1873</v>
      </c>
      <c r="E4976" t="s">
        <v>2108</v>
      </c>
      <c r="F4976" t="s">
        <v>57</v>
      </c>
      <c r="G4976" t="s">
        <v>39</v>
      </c>
      <c r="H4976" t="s">
        <v>36</v>
      </c>
      <c r="I4976" t="s">
        <v>26</v>
      </c>
      <c r="J4976" t="s">
        <v>27</v>
      </c>
      <c r="K4976" t="s">
        <v>28</v>
      </c>
      <c r="L4976" s="2">
        <v>17.399999999999999</v>
      </c>
      <c r="M4976" s="3">
        <v>239</v>
      </c>
      <c r="N4976">
        <v>3</v>
      </c>
      <c r="O4976">
        <v>2</v>
      </c>
      <c r="P4976">
        <v>1</v>
      </c>
      <c r="Q4976">
        <v>0</v>
      </c>
      <c r="R4976" s="4">
        <v>17.93</v>
      </c>
      <c r="S4976">
        <v>0</v>
      </c>
      <c r="T4976">
        <v>1</v>
      </c>
    </row>
    <row r="4977" spans="1:20" ht="16.5" x14ac:dyDescent="0.3">
      <c r="A4977" t="s">
        <v>5031</v>
      </c>
      <c r="B4977" s="1">
        <v>45968</v>
      </c>
      <c r="C4977">
        <v>2025</v>
      </c>
      <c r="D4977" t="s">
        <v>1873</v>
      </c>
      <c r="E4977" t="s">
        <v>2108</v>
      </c>
      <c r="F4977" t="s">
        <v>38</v>
      </c>
      <c r="G4977" t="s">
        <v>35</v>
      </c>
      <c r="H4977" t="s">
        <v>25</v>
      </c>
      <c r="I4977" t="s">
        <v>31</v>
      </c>
      <c r="J4977" t="s">
        <v>27</v>
      </c>
      <c r="K4977" t="s">
        <v>28</v>
      </c>
      <c r="L4977" s="2">
        <v>218.1</v>
      </c>
      <c r="M4977" s="3">
        <v>976</v>
      </c>
      <c r="N4977">
        <v>6</v>
      </c>
      <c r="O4977">
        <v>6</v>
      </c>
      <c r="P4977">
        <v>1</v>
      </c>
      <c r="Q4977">
        <v>0</v>
      </c>
      <c r="R4977" s="4">
        <v>76.900000000000006</v>
      </c>
      <c r="S4977">
        <v>0</v>
      </c>
      <c r="T4977">
        <v>1</v>
      </c>
    </row>
    <row r="4978" spans="1:20" ht="16.5" x14ac:dyDescent="0.3">
      <c r="A4978" t="s">
        <v>5032</v>
      </c>
      <c r="B4978" s="1">
        <v>45968</v>
      </c>
      <c r="C4978">
        <v>2025</v>
      </c>
      <c r="D4978" t="s">
        <v>1873</v>
      </c>
      <c r="E4978" t="s">
        <v>2108</v>
      </c>
      <c r="F4978" t="s">
        <v>57</v>
      </c>
      <c r="G4978" t="s">
        <v>24</v>
      </c>
      <c r="H4978" t="s">
        <v>51</v>
      </c>
      <c r="I4978" t="s">
        <v>31</v>
      </c>
      <c r="J4978" t="s">
        <v>27</v>
      </c>
      <c r="K4978" t="s">
        <v>32</v>
      </c>
      <c r="L4978" s="2">
        <v>2.5</v>
      </c>
      <c r="M4978" s="3">
        <v>1159</v>
      </c>
      <c r="N4978">
        <v>7</v>
      </c>
      <c r="O4978">
        <v>7</v>
      </c>
      <c r="P4978">
        <v>1</v>
      </c>
      <c r="Q4978">
        <v>0</v>
      </c>
      <c r="R4978" s="4">
        <v>16.87</v>
      </c>
      <c r="S4978">
        <v>0</v>
      </c>
      <c r="T4978">
        <v>1</v>
      </c>
    </row>
    <row r="4979" spans="1:20" ht="16.5" x14ac:dyDescent="0.3">
      <c r="A4979" t="s">
        <v>5033</v>
      </c>
      <c r="B4979" s="1">
        <v>45968</v>
      </c>
      <c r="C4979">
        <v>2025</v>
      </c>
      <c r="D4979" t="s">
        <v>1873</v>
      </c>
      <c r="E4979" t="s">
        <v>2108</v>
      </c>
      <c r="F4979" t="s">
        <v>30</v>
      </c>
      <c r="G4979" t="s">
        <v>35</v>
      </c>
      <c r="H4979" t="s">
        <v>48</v>
      </c>
      <c r="I4979" t="s">
        <v>40</v>
      </c>
      <c r="J4979" t="s">
        <v>27</v>
      </c>
      <c r="K4979" t="s">
        <v>28</v>
      </c>
      <c r="L4979" s="2">
        <v>272.3</v>
      </c>
      <c r="M4979" s="3">
        <v>475</v>
      </c>
      <c r="N4979">
        <v>2</v>
      </c>
      <c r="O4979">
        <v>3</v>
      </c>
      <c r="P4979">
        <v>0</v>
      </c>
      <c r="Q4979">
        <v>1</v>
      </c>
      <c r="R4979" s="4">
        <v>228.43</v>
      </c>
      <c r="S4979">
        <v>0</v>
      </c>
      <c r="T4979">
        <v>1</v>
      </c>
    </row>
    <row r="4980" spans="1:20" ht="16.5" x14ac:dyDescent="0.3">
      <c r="A4980" t="s">
        <v>5034</v>
      </c>
      <c r="B4980" s="1">
        <v>45969</v>
      </c>
      <c r="C4980">
        <v>2025</v>
      </c>
      <c r="D4980" t="s">
        <v>1873</v>
      </c>
      <c r="E4980" t="s">
        <v>2108</v>
      </c>
      <c r="F4980" t="s">
        <v>34</v>
      </c>
      <c r="G4980" t="s">
        <v>24</v>
      </c>
      <c r="H4980" t="s">
        <v>51</v>
      </c>
      <c r="I4980" t="s">
        <v>26</v>
      </c>
      <c r="J4980" t="s">
        <v>27</v>
      </c>
      <c r="K4980" t="s">
        <v>32</v>
      </c>
      <c r="L4980" s="2">
        <v>2</v>
      </c>
      <c r="M4980" s="3">
        <v>859</v>
      </c>
      <c r="N4980">
        <v>5</v>
      </c>
      <c r="O4980">
        <v>5</v>
      </c>
      <c r="P4980">
        <v>1</v>
      </c>
      <c r="Q4980">
        <v>0</v>
      </c>
      <c r="R4980" s="4">
        <v>15.36</v>
      </c>
      <c r="S4980">
        <v>0</v>
      </c>
      <c r="T4980">
        <v>1</v>
      </c>
    </row>
    <row r="4981" spans="1:20" ht="16.5" x14ac:dyDescent="0.3">
      <c r="A4981" t="s">
        <v>5035</v>
      </c>
      <c r="B4981" s="1">
        <v>45969</v>
      </c>
      <c r="C4981">
        <v>2025</v>
      </c>
      <c r="D4981" t="s">
        <v>1873</v>
      </c>
      <c r="E4981" t="s">
        <v>2108</v>
      </c>
      <c r="F4981" t="s">
        <v>57</v>
      </c>
      <c r="G4981" t="s">
        <v>24</v>
      </c>
      <c r="H4981" t="s">
        <v>25</v>
      </c>
      <c r="I4981" t="s">
        <v>31</v>
      </c>
      <c r="J4981" t="s">
        <v>27</v>
      </c>
      <c r="K4981" t="s">
        <v>28</v>
      </c>
      <c r="L4981" s="2">
        <v>274.3</v>
      </c>
      <c r="M4981" s="3">
        <v>927</v>
      </c>
      <c r="N4981">
        <v>6</v>
      </c>
      <c r="O4981">
        <v>6</v>
      </c>
      <c r="P4981">
        <v>1</v>
      </c>
      <c r="Q4981">
        <v>0</v>
      </c>
      <c r="R4981" s="4">
        <v>82.21</v>
      </c>
      <c r="S4981">
        <v>0</v>
      </c>
      <c r="T4981">
        <v>1</v>
      </c>
    </row>
    <row r="4982" spans="1:20" ht="16.5" x14ac:dyDescent="0.3">
      <c r="A4982" t="s">
        <v>5036</v>
      </c>
      <c r="B4982" s="1">
        <v>45969</v>
      </c>
      <c r="C4982">
        <v>2025</v>
      </c>
      <c r="D4982" t="s">
        <v>1873</v>
      </c>
      <c r="E4982" t="s">
        <v>2108</v>
      </c>
      <c r="F4982" t="s">
        <v>38</v>
      </c>
      <c r="G4982" t="s">
        <v>39</v>
      </c>
      <c r="H4982" t="s">
        <v>25</v>
      </c>
      <c r="I4982" t="s">
        <v>26</v>
      </c>
      <c r="J4982" t="s">
        <v>27</v>
      </c>
      <c r="K4982" t="s">
        <v>28</v>
      </c>
      <c r="L4982" s="2">
        <v>106.2</v>
      </c>
      <c r="M4982" s="3">
        <v>815</v>
      </c>
      <c r="N4982">
        <v>4</v>
      </c>
      <c r="O4982">
        <v>4</v>
      </c>
      <c r="P4982">
        <v>1</v>
      </c>
      <c r="Q4982">
        <v>0</v>
      </c>
      <c r="R4982" s="4">
        <v>74.06</v>
      </c>
      <c r="S4982">
        <v>0</v>
      </c>
      <c r="T4982">
        <v>1</v>
      </c>
    </row>
    <row r="4983" spans="1:20" ht="16.5" x14ac:dyDescent="0.3">
      <c r="A4983" t="s">
        <v>5037</v>
      </c>
      <c r="B4983" s="1">
        <v>45969</v>
      </c>
      <c r="C4983">
        <v>2025</v>
      </c>
      <c r="D4983" t="s">
        <v>1873</v>
      </c>
      <c r="E4983" t="s">
        <v>2108</v>
      </c>
      <c r="F4983" t="s">
        <v>34</v>
      </c>
      <c r="G4983" t="s">
        <v>35</v>
      </c>
      <c r="H4983" t="s">
        <v>36</v>
      </c>
      <c r="I4983" t="s">
        <v>31</v>
      </c>
      <c r="J4983" t="s">
        <v>27</v>
      </c>
      <c r="K4983" t="s">
        <v>32</v>
      </c>
      <c r="L4983" s="2">
        <v>16.100000000000001</v>
      </c>
      <c r="M4983" s="3">
        <v>240</v>
      </c>
      <c r="N4983">
        <v>5</v>
      </c>
      <c r="O4983">
        <v>5</v>
      </c>
      <c r="P4983">
        <v>1</v>
      </c>
      <c r="Q4983">
        <v>0</v>
      </c>
      <c r="R4983" s="4">
        <v>13.04</v>
      </c>
      <c r="S4983">
        <v>0</v>
      </c>
      <c r="T4983">
        <v>1</v>
      </c>
    </row>
    <row r="4984" spans="1:20" ht="16.5" x14ac:dyDescent="0.3">
      <c r="A4984" t="s">
        <v>5038</v>
      </c>
      <c r="B4984" s="1">
        <v>45969</v>
      </c>
      <c r="C4984">
        <v>2025</v>
      </c>
      <c r="D4984" t="s">
        <v>1873</v>
      </c>
      <c r="E4984" t="s">
        <v>2108</v>
      </c>
      <c r="F4984" t="s">
        <v>34</v>
      </c>
      <c r="G4984" t="s">
        <v>39</v>
      </c>
      <c r="H4984" t="s">
        <v>36</v>
      </c>
      <c r="I4984" t="s">
        <v>31</v>
      </c>
      <c r="J4984" t="s">
        <v>27</v>
      </c>
      <c r="K4984" t="s">
        <v>28</v>
      </c>
      <c r="L4984" s="2">
        <v>111.5</v>
      </c>
      <c r="M4984" s="3">
        <v>266</v>
      </c>
      <c r="N4984">
        <v>5</v>
      </c>
      <c r="O4984">
        <v>5</v>
      </c>
      <c r="P4984">
        <v>1</v>
      </c>
      <c r="Q4984">
        <v>0</v>
      </c>
      <c r="R4984" s="4">
        <v>37.33</v>
      </c>
      <c r="S4984">
        <v>0</v>
      </c>
      <c r="T4984">
        <v>1</v>
      </c>
    </row>
    <row r="4985" spans="1:20" ht="16.5" x14ac:dyDescent="0.3">
      <c r="A4985" t="s">
        <v>5039</v>
      </c>
      <c r="B4985" s="1">
        <v>45970</v>
      </c>
      <c r="C4985">
        <v>2025</v>
      </c>
      <c r="D4985" t="s">
        <v>1873</v>
      </c>
      <c r="E4985" t="s">
        <v>2108</v>
      </c>
      <c r="F4985" t="s">
        <v>57</v>
      </c>
      <c r="G4985" t="s">
        <v>24</v>
      </c>
      <c r="H4985" t="s">
        <v>36</v>
      </c>
      <c r="I4985" t="s">
        <v>31</v>
      </c>
      <c r="J4985" t="s">
        <v>27</v>
      </c>
      <c r="K4985" t="s">
        <v>28</v>
      </c>
      <c r="L4985" s="2">
        <v>394.4</v>
      </c>
      <c r="M4985" s="3">
        <v>250</v>
      </c>
      <c r="N4985">
        <v>5</v>
      </c>
      <c r="O4985">
        <v>4</v>
      </c>
      <c r="P4985">
        <v>1</v>
      </c>
      <c r="Q4985">
        <v>0</v>
      </c>
      <c r="R4985" s="4">
        <v>105.41</v>
      </c>
      <c r="S4985">
        <v>0</v>
      </c>
      <c r="T4985">
        <v>1</v>
      </c>
    </row>
    <row r="4986" spans="1:20" ht="16.5" x14ac:dyDescent="0.3">
      <c r="A4986" t="s">
        <v>5040</v>
      </c>
      <c r="B4986" s="1">
        <v>45970</v>
      </c>
      <c r="C4986">
        <v>2025</v>
      </c>
      <c r="D4986" t="s">
        <v>1873</v>
      </c>
      <c r="E4986" t="s">
        <v>2108</v>
      </c>
      <c r="F4986" t="s">
        <v>30</v>
      </c>
      <c r="G4986" t="s">
        <v>39</v>
      </c>
      <c r="H4986" t="s">
        <v>36</v>
      </c>
      <c r="I4986" t="s">
        <v>26</v>
      </c>
      <c r="J4986" t="s">
        <v>27</v>
      </c>
      <c r="K4986" t="s">
        <v>32</v>
      </c>
      <c r="L4986" s="2">
        <v>1</v>
      </c>
      <c r="M4986" s="3">
        <v>146</v>
      </c>
      <c r="N4986">
        <v>3</v>
      </c>
      <c r="O4986">
        <v>3</v>
      </c>
      <c r="P4986">
        <v>1</v>
      </c>
      <c r="Q4986">
        <v>0</v>
      </c>
      <c r="R4986" s="4">
        <v>8.7899999999999991</v>
      </c>
      <c r="S4986">
        <v>0</v>
      </c>
      <c r="T4986">
        <v>1</v>
      </c>
    </row>
    <row r="4987" spans="1:20" ht="16.5" x14ac:dyDescent="0.3">
      <c r="A4987" t="s">
        <v>5041</v>
      </c>
      <c r="B4987" s="1">
        <v>45970</v>
      </c>
      <c r="C4987">
        <v>2025</v>
      </c>
      <c r="D4987" t="s">
        <v>1873</v>
      </c>
      <c r="E4987" t="s">
        <v>2108</v>
      </c>
      <c r="F4987" t="s">
        <v>34</v>
      </c>
      <c r="G4987" t="s">
        <v>35</v>
      </c>
      <c r="H4987" t="s">
        <v>48</v>
      </c>
      <c r="I4987" t="s">
        <v>26</v>
      </c>
      <c r="J4987" t="s">
        <v>27</v>
      </c>
      <c r="K4987" t="s">
        <v>28</v>
      </c>
      <c r="L4987" s="2">
        <v>90.3</v>
      </c>
      <c r="M4987" s="3">
        <v>581</v>
      </c>
      <c r="N4987">
        <v>4</v>
      </c>
      <c r="O4987">
        <v>5</v>
      </c>
      <c r="P4987">
        <v>0</v>
      </c>
      <c r="Q4987">
        <v>1</v>
      </c>
      <c r="R4987" s="4">
        <v>48.36</v>
      </c>
      <c r="S4987">
        <v>0</v>
      </c>
      <c r="T4987">
        <v>1</v>
      </c>
    </row>
    <row r="4988" spans="1:20" ht="16.5" x14ac:dyDescent="0.3">
      <c r="A4988" t="s">
        <v>5042</v>
      </c>
      <c r="B4988" s="1">
        <v>45970</v>
      </c>
      <c r="C4988">
        <v>2025</v>
      </c>
      <c r="D4988" t="s">
        <v>1873</v>
      </c>
      <c r="E4988" t="s">
        <v>2108</v>
      </c>
      <c r="F4988" t="s">
        <v>23</v>
      </c>
      <c r="G4988" t="s">
        <v>35</v>
      </c>
      <c r="H4988" t="s">
        <v>36</v>
      </c>
      <c r="I4988" t="s">
        <v>26</v>
      </c>
      <c r="J4988" t="s">
        <v>27</v>
      </c>
      <c r="K4988" t="s">
        <v>28</v>
      </c>
      <c r="L4988" s="2">
        <v>175.6</v>
      </c>
      <c r="M4988" s="3">
        <v>338</v>
      </c>
      <c r="N4988">
        <v>3</v>
      </c>
      <c r="O4988">
        <v>3</v>
      </c>
      <c r="P4988">
        <v>1</v>
      </c>
      <c r="Q4988">
        <v>0</v>
      </c>
      <c r="R4988" s="4">
        <v>81.099999999999994</v>
      </c>
      <c r="S4988">
        <v>0</v>
      </c>
      <c r="T4988">
        <v>1</v>
      </c>
    </row>
    <row r="4989" spans="1:20" ht="16.5" x14ac:dyDescent="0.3">
      <c r="A4989" t="s">
        <v>5043</v>
      </c>
      <c r="B4989" s="1">
        <v>45970</v>
      </c>
      <c r="C4989">
        <v>2025</v>
      </c>
      <c r="D4989" t="s">
        <v>1873</v>
      </c>
      <c r="E4989" t="s">
        <v>2108</v>
      </c>
      <c r="F4989" t="s">
        <v>23</v>
      </c>
      <c r="G4989" t="s">
        <v>24</v>
      </c>
      <c r="H4989" t="s">
        <v>48</v>
      </c>
      <c r="I4989" t="s">
        <v>31</v>
      </c>
      <c r="J4989" t="s">
        <v>27</v>
      </c>
      <c r="K4989" t="s">
        <v>32</v>
      </c>
      <c r="L4989" s="2">
        <v>5.9</v>
      </c>
      <c r="M4989" s="3">
        <v>561</v>
      </c>
      <c r="N4989">
        <v>6</v>
      </c>
      <c r="O4989">
        <v>5</v>
      </c>
      <c r="P4989">
        <v>1</v>
      </c>
      <c r="Q4989">
        <v>0</v>
      </c>
      <c r="R4989" s="4">
        <v>11.88</v>
      </c>
      <c r="S4989">
        <v>0</v>
      </c>
      <c r="T4989">
        <v>1</v>
      </c>
    </row>
    <row r="4990" spans="1:20" ht="16.5" x14ac:dyDescent="0.3">
      <c r="A4990" t="s">
        <v>5044</v>
      </c>
      <c r="B4990" s="1">
        <v>45971</v>
      </c>
      <c r="C4990">
        <v>2025</v>
      </c>
      <c r="D4990" t="s">
        <v>1873</v>
      </c>
      <c r="E4990" t="s">
        <v>2108</v>
      </c>
      <c r="F4990" t="s">
        <v>30</v>
      </c>
      <c r="G4990" t="s">
        <v>39</v>
      </c>
      <c r="H4990" t="s">
        <v>36</v>
      </c>
      <c r="I4990" t="s">
        <v>26</v>
      </c>
      <c r="J4990" t="s">
        <v>27</v>
      </c>
      <c r="K4990" t="s">
        <v>32</v>
      </c>
      <c r="L4990" s="2">
        <v>14.8</v>
      </c>
      <c r="M4990" s="3">
        <v>315</v>
      </c>
      <c r="N4990">
        <v>3</v>
      </c>
      <c r="O4990">
        <v>3</v>
      </c>
      <c r="P4990">
        <v>1</v>
      </c>
      <c r="Q4990">
        <v>0</v>
      </c>
      <c r="R4990" s="4">
        <v>19.28</v>
      </c>
      <c r="S4990">
        <v>0</v>
      </c>
      <c r="T4990">
        <v>1</v>
      </c>
    </row>
    <row r="4991" spans="1:20" ht="16.5" x14ac:dyDescent="0.3">
      <c r="A4991" t="s">
        <v>5045</v>
      </c>
      <c r="B4991" s="1">
        <v>45971</v>
      </c>
      <c r="C4991">
        <v>2025</v>
      </c>
      <c r="D4991" t="s">
        <v>1873</v>
      </c>
      <c r="E4991" t="s">
        <v>2108</v>
      </c>
      <c r="F4991" t="s">
        <v>23</v>
      </c>
      <c r="G4991" t="s">
        <v>39</v>
      </c>
      <c r="H4991" t="s">
        <v>36</v>
      </c>
      <c r="I4991" t="s">
        <v>31</v>
      </c>
      <c r="J4991" t="s">
        <v>27</v>
      </c>
      <c r="K4991" t="s">
        <v>32</v>
      </c>
      <c r="L4991" s="2">
        <v>3.2</v>
      </c>
      <c r="M4991" s="3">
        <v>200</v>
      </c>
      <c r="N4991">
        <v>5</v>
      </c>
      <c r="O4991">
        <v>5</v>
      </c>
      <c r="P4991">
        <v>1</v>
      </c>
      <c r="Q4991">
        <v>0</v>
      </c>
      <c r="R4991" s="4">
        <v>7.07</v>
      </c>
      <c r="S4991">
        <v>0</v>
      </c>
      <c r="T4991">
        <v>1</v>
      </c>
    </row>
    <row r="4992" spans="1:20" ht="16.5" x14ac:dyDescent="0.3">
      <c r="A4992" t="s">
        <v>5046</v>
      </c>
      <c r="B4992" s="1">
        <v>45971</v>
      </c>
      <c r="C4992">
        <v>2025</v>
      </c>
      <c r="D4992" t="s">
        <v>1873</v>
      </c>
      <c r="E4992" t="s">
        <v>2108</v>
      </c>
      <c r="F4992" t="s">
        <v>34</v>
      </c>
      <c r="G4992" t="s">
        <v>39</v>
      </c>
      <c r="H4992" t="s">
        <v>36</v>
      </c>
      <c r="I4992" t="s">
        <v>26</v>
      </c>
      <c r="J4992" t="s">
        <v>27</v>
      </c>
      <c r="K4992" t="s">
        <v>32</v>
      </c>
      <c r="L4992" s="2">
        <v>6.5</v>
      </c>
      <c r="M4992" s="3">
        <v>260</v>
      </c>
      <c r="N4992">
        <v>3</v>
      </c>
      <c r="O4992">
        <v>7</v>
      </c>
      <c r="P4992">
        <v>0</v>
      </c>
      <c r="Q4992">
        <v>4</v>
      </c>
      <c r="R4992" s="4">
        <v>11.44</v>
      </c>
      <c r="S4992">
        <v>1</v>
      </c>
      <c r="T4992">
        <v>1</v>
      </c>
    </row>
    <row r="4993" spans="1:20" ht="16.5" x14ac:dyDescent="0.3">
      <c r="A4993" t="s">
        <v>5047</v>
      </c>
      <c r="B4993" s="1">
        <v>45971</v>
      </c>
      <c r="C4993">
        <v>2025</v>
      </c>
      <c r="D4993" t="s">
        <v>1873</v>
      </c>
      <c r="E4993" t="s">
        <v>2108</v>
      </c>
      <c r="F4993" t="s">
        <v>38</v>
      </c>
      <c r="G4993" t="s">
        <v>39</v>
      </c>
      <c r="H4993" t="s">
        <v>36</v>
      </c>
      <c r="I4993" t="s">
        <v>26</v>
      </c>
      <c r="J4993" t="s">
        <v>27</v>
      </c>
      <c r="K4993" t="s">
        <v>28</v>
      </c>
      <c r="L4993" s="2">
        <v>305</v>
      </c>
      <c r="M4993" s="3">
        <v>230</v>
      </c>
      <c r="N4993">
        <v>3</v>
      </c>
      <c r="O4993">
        <v>5</v>
      </c>
      <c r="P4993">
        <v>0</v>
      </c>
      <c r="Q4993">
        <v>2</v>
      </c>
      <c r="R4993" s="4">
        <v>151.79</v>
      </c>
      <c r="S4993">
        <v>0</v>
      </c>
      <c r="T4993">
        <v>1</v>
      </c>
    </row>
    <row r="4994" spans="1:20" ht="16.5" x14ac:dyDescent="0.3">
      <c r="A4994" t="s">
        <v>5048</v>
      </c>
      <c r="B4994" s="1">
        <v>45971</v>
      </c>
      <c r="C4994">
        <v>2025</v>
      </c>
      <c r="D4994" t="s">
        <v>1873</v>
      </c>
      <c r="E4994" t="s">
        <v>2108</v>
      </c>
      <c r="F4994" t="s">
        <v>23</v>
      </c>
      <c r="G4994" t="s">
        <v>35</v>
      </c>
      <c r="H4994" t="s">
        <v>36</v>
      </c>
      <c r="I4994" t="s">
        <v>26</v>
      </c>
      <c r="J4994" t="s">
        <v>27</v>
      </c>
      <c r="K4994" t="s">
        <v>32</v>
      </c>
      <c r="L4994" s="2">
        <v>3</v>
      </c>
      <c r="M4994" s="3">
        <v>235</v>
      </c>
      <c r="N4994">
        <v>3</v>
      </c>
      <c r="O4994">
        <v>3</v>
      </c>
      <c r="P4994">
        <v>1</v>
      </c>
      <c r="Q4994">
        <v>0</v>
      </c>
      <c r="R4994" s="4">
        <v>10.33</v>
      </c>
      <c r="S4994">
        <v>0</v>
      </c>
      <c r="T4994">
        <v>1</v>
      </c>
    </row>
    <row r="4995" spans="1:20" ht="16.5" x14ac:dyDescent="0.3">
      <c r="A4995" t="s">
        <v>5049</v>
      </c>
      <c r="B4995" s="1">
        <v>45971</v>
      </c>
      <c r="C4995">
        <v>2025</v>
      </c>
      <c r="D4995" t="s">
        <v>1873</v>
      </c>
      <c r="E4995" t="s">
        <v>2108</v>
      </c>
      <c r="F4995" t="s">
        <v>38</v>
      </c>
      <c r="G4995" t="s">
        <v>24</v>
      </c>
      <c r="H4995" t="s">
        <v>25</v>
      </c>
      <c r="I4995" t="s">
        <v>31</v>
      </c>
      <c r="J4995" t="s">
        <v>27</v>
      </c>
      <c r="K4995" t="s">
        <v>32</v>
      </c>
      <c r="L4995" s="2">
        <v>12.6</v>
      </c>
      <c r="M4995" s="3">
        <v>861</v>
      </c>
      <c r="N4995">
        <v>6</v>
      </c>
      <c r="O4995">
        <v>6</v>
      </c>
      <c r="P4995">
        <v>1</v>
      </c>
      <c r="Q4995">
        <v>0</v>
      </c>
      <c r="R4995" s="4">
        <v>18.59</v>
      </c>
      <c r="S4995">
        <v>0</v>
      </c>
      <c r="T4995">
        <v>1</v>
      </c>
    </row>
    <row r="4996" spans="1:20" ht="16.5" x14ac:dyDescent="0.3">
      <c r="A4996" t="s">
        <v>5050</v>
      </c>
      <c r="B4996" s="1">
        <v>45971</v>
      </c>
      <c r="C4996">
        <v>2025</v>
      </c>
      <c r="D4996" t="s">
        <v>1873</v>
      </c>
      <c r="E4996" t="s">
        <v>2108</v>
      </c>
      <c r="F4996" t="s">
        <v>38</v>
      </c>
      <c r="G4996" t="s">
        <v>24</v>
      </c>
      <c r="H4996" t="s">
        <v>25</v>
      </c>
      <c r="I4996" t="s">
        <v>31</v>
      </c>
      <c r="J4996" t="s">
        <v>27</v>
      </c>
      <c r="K4996" t="s">
        <v>28</v>
      </c>
      <c r="L4996" s="2">
        <v>209.7</v>
      </c>
      <c r="M4996" s="3">
        <v>664</v>
      </c>
      <c r="N4996">
        <v>6</v>
      </c>
      <c r="O4996">
        <v>5</v>
      </c>
      <c r="P4996">
        <v>1</v>
      </c>
      <c r="Q4996">
        <v>0</v>
      </c>
      <c r="R4996" s="4">
        <v>90.42</v>
      </c>
      <c r="S4996">
        <v>0</v>
      </c>
      <c r="T4996">
        <v>1</v>
      </c>
    </row>
    <row r="4997" spans="1:20" ht="16.5" x14ac:dyDescent="0.3">
      <c r="A4997" t="s">
        <v>5051</v>
      </c>
      <c r="B4997" s="1">
        <v>45971</v>
      </c>
      <c r="C4997">
        <v>2025</v>
      </c>
      <c r="D4997" t="s">
        <v>1873</v>
      </c>
      <c r="E4997" t="s">
        <v>2108</v>
      </c>
      <c r="F4997" t="s">
        <v>38</v>
      </c>
      <c r="G4997" t="s">
        <v>35</v>
      </c>
      <c r="H4997" t="s">
        <v>36</v>
      </c>
      <c r="I4997" t="s">
        <v>26</v>
      </c>
      <c r="J4997" t="s">
        <v>27</v>
      </c>
      <c r="K4997" t="s">
        <v>32</v>
      </c>
      <c r="L4997" s="2">
        <v>5.5</v>
      </c>
      <c r="M4997" s="3">
        <v>252</v>
      </c>
      <c r="N4997">
        <v>3</v>
      </c>
      <c r="O4997">
        <v>3</v>
      </c>
      <c r="P4997">
        <v>1</v>
      </c>
      <c r="Q4997">
        <v>0</v>
      </c>
      <c r="R4997" s="4">
        <v>14.9</v>
      </c>
      <c r="S4997">
        <v>0</v>
      </c>
      <c r="T4997">
        <v>1</v>
      </c>
    </row>
    <row r="4998" spans="1:20" ht="16.5" x14ac:dyDescent="0.3">
      <c r="A4998" t="s">
        <v>5052</v>
      </c>
      <c r="B4998" s="1">
        <v>45971</v>
      </c>
      <c r="C4998">
        <v>2025</v>
      </c>
      <c r="D4998" t="s">
        <v>1873</v>
      </c>
      <c r="E4998" t="s">
        <v>2108</v>
      </c>
      <c r="F4998" t="s">
        <v>30</v>
      </c>
      <c r="G4998" t="s">
        <v>35</v>
      </c>
      <c r="H4998" t="s">
        <v>51</v>
      </c>
      <c r="I4998" t="s">
        <v>40</v>
      </c>
      <c r="J4998" t="s">
        <v>41</v>
      </c>
      <c r="K4998" t="s">
        <v>32</v>
      </c>
      <c r="L4998" s="2">
        <v>3.9</v>
      </c>
      <c r="M4998" s="3">
        <v>1019</v>
      </c>
      <c r="N4998">
        <v>3</v>
      </c>
      <c r="O4998">
        <v>3</v>
      </c>
      <c r="P4998">
        <v>1</v>
      </c>
      <c r="Q4998">
        <v>0</v>
      </c>
      <c r="R4998" s="4">
        <v>65.88</v>
      </c>
      <c r="S4998">
        <v>0</v>
      </c>
      <c r="T4998">
        <v>1</v>
      </c>
    </row>
    <row r="4999" spans="1:20" ht="16.5" x14ac:dyDescent="0.3">
      <c r="A4999" t="s">
        <v>5053</v>
      </c>
      <c r="B4999" s="1">
        <v>45971</v>
      </c>
      <c r="C4999">
        <v>2025</v>
      </c>
      <c r="D4999" t="s">
        <v>1873</v>
      </c>
      <c r="E4999" t="s">
        <v>2108</v>
      </c>
      <c r="F4999" t="s">
        <v>23</v>
      </c>
      <c r="G4999" t="s">
        <v>35</v>
      </c>
      <c r="H4999" t="s">
        <v>25</v>
      </c>
      <c r="I4999" t="s">
        <v>31</v>
      </c>
      <c r="J4999" t="s">
        <v>27</v>
      </c>
      <c r="K4999" t="s">
        <v>32</v>
      </c>
      <c r="L4999" s="2">
        <v>2.1</v>
      </c>
      <c r="M4999" s="3">
        <v>941</v>
      </c>
      <c r="N4999">
        <v>6</v>
      </c>
      <c r="O4999">
        <v>6</v>
      </c>
      <c r="P4999">
        <v>1</v>
      </c>
      <c r="Q4999">
        <v>0</v>
      </c>
      <c r="R4999" s="4">
        <v>12.93</v>
      </c>
      <c r="S4999">
        <v>0</v>
      </c>
      <c r="T4999">
        <v>1</v>
      </c>
    </row>
    <row r="5000" spans="1:20" ht="16.5" x14ac:dyDescent="0.3">
      <c r="A5000" t="s">
        <v>5054</v>
      </c>
      <c r="B5000" s="1">
        <v>45971</v>
      </c>
      <c r="C5000">
        <v>2025</v>
      </c>
      <c r="D5000" t="s">
        <v>1873</v>
      </c>
      <c r="E5000" t="s">
        <v>2108</v>
      </c>
      <c r="F5000" t="s">
        <v>30</v>
      </c>
      <c r="G5000" t="s">
        <v>39</v>
      </c>
      <c r="H5000" t="s">
        <v>36</v>
      </c>
      <c r="I5000" t="s">
        <v>40</v>
      </c>
      <c r="J5000" t="s">
        <v>27</v>
      </c>
      <c r="K5000" t="s">
        <v>32</v>
      </c>
      <c r="L5000" s="2">
        <v>4.5999999999999996</v>
      </c>
      <c r="M5000" s="3">
        <v>287</v>
      </c>
      <c r="N5000">
        <v>1</v>
      </c>
      <c r="O5000">
        <v>1</v>
      </c>
      <c r="P5000">
        <v>1</v>
      </c>
      <c r="Q5000">
        <v>0</v>
      </c>
      <c r="R5000" s="4">
        <v>26.5</v>
      </c>
      <c r="S5000">
        <v>0</v>
      </c>
      <c r="T5000">
        <v>1</v>
      </c>
    </row>
    <row r="5001" spans="1:20" ht="16.5" x14ac:dyDescent="0.3">
      <c r="A5001" t="s">
        <v>5055</v>
      </c>
      <c r="B5001" s="1">
        <v>45971</v>
      </c>
      <c r="C5001">
        <v>2025</v>
      </c>
      <c r="D5001" t="s">
        <v>1873</v>
      </c>
      <c r="E5001" t="s">
        <v>2108</v>
      </c>
      <c r="F5001" t="s">
        <v>30</v>
      </c>
      <c r="G5001" t="s">
        <v>39</v>
      </c>
      <c r="H5001" t="s">
        <v>48</v>
      </c>
      <c r="I5001" t="s">
        <v>26</v>
      </c>
      <c r="J5001" t="s">
        <v>27</v>
      </c>
      <c r="K5001" t="s">
        <v>28</v>
      </c>
      <c r="L5001" s="2">
        <v>160.4</v>
      </c>
      <c r="M5001" s="3">
        <v>488</v>
      </c>
      <c r="N5001">
        <v>4</v>
      </c>
      <c r="O5001">
        <v>3</v>
      </c>
      <c r="P5001">
        <v>1</v>
      </c>
      <c r="Q5001">
        <v>0</v>
      </c>
      <c r="R5001" s="4">
        <v>85.98</v>
      </c>
      <c r="S5001">
        <v>0</v>
      </c>
      <c r="T5001">
        <v>1</v>
      </c>
    </row>
    <row r="5002" spans="1:20" ht="16.5" x14ac:dyDescent="0.3">
      <c r="A5002" t="s">
        <v>5056</v>
      </c>
      <c r="B5002" s="1">
        <v>45971</v>
      </c>
      <c r="C5002">
        <v>2025</v>
      </c>
      <c r="D5002" t="s">
        <v>1873</v>
      </c>
      <c r="E5002" t="s">
        <v>2108</v>
      </c>
      <c r="F5002" t="s">
        <v>57</v>
      </c>
      <c r="G5002" t="s">
        <v>39</v>
      </c>
      <c r="H5002" t="s">
        <v>48</v>
      </c>
      <c r="I5002" t="s">
        <v>26</v>
      </c>
      <c r="J5002" t="s">
        <v>27</v>
      </c>
      <c r="K5002" t="s">
        <v>32</v>
      </c>
      <c r="L5002" s="2">
        <v>2.4</v>
      </c>
      <c r="M5002" s="3">
        <v>449</v>
      </c>
      <c r="N5002">
        <v>4</v>
      </c>
      <c r="O5002">
        <v>4</v>
      </c>
      <c r="P5002">
        <v>1</v>
      </c>
      <c r="Q5002">
        <v>0</v>
      </c>
      <c r="R5002" s="4">
        <v>12.22</v>
      </c>
      <c r="S5002">
        <v>0</v>
      </c>
      <c r="T5002">
        <v>1</v>
      </c>
    </row>
    <row r="5003" spans="1:20" ht="16.5" x14ac:dyDescent="0.3">
      <c r="A5003" t="s">
        <v>5057</v>
      </c>
      <c r="B5003" s="1">
        <v>45971</v>
      </c>
      <c r="C5003">
        <v>2025</v>
      </c>
      <c r="D5003" t="s">
        <v>1873</v>
      </c>
      <c r="E5003" t="s">
        <v>2108</v>
      </c>
      <c r="F5003" t="s">
        <v>38</v>
      </c>
      <c r="G5003" t="s">
        <v>39</v>
      </c>
      <c r="H5003" t="s">
        <v>25</v>
      </c>
      <c r="I5003" t="s">
        <v>31</v>
      </c>
      <c r="J5003" t="s">
        <v>27</v>
      </c>
      <c r="K5003" t="s">
        <v>32</v>
      </c>
      <c r="L5003" s="2">
        <v>13.7</v>
      </c>
      <c r="M5003" s="3">
        <v>667</v>
      </c>
      <c r="N5003">
        <v>6</v>
      </c>
      <c r="O5003">
        <v>6</v>
      </c>
      <c r="P5003">
        <v>1</v>
      </c>
      <c r="Q5003">
        <v>0</v>
      </c>
      <c r="R5003" s="4">
        <v>18.63</v>
      </c>
      <c r="S5003">
        <v>0</v>
      </c>
      <c r="T5003">
        <v>1</v>
      </c>
    </row>
    <row r="5004" spans="1:20" ht="16.5" x14ac:dyDescent="0.3">
      <c r="A5004" t="s">
        <v>5058</v>
      </c>
      <c r="B5004" s="1">
        <v>45971</v>
      </c>
      <c r="C5004">
        <v>2025</v>
      </c>
      <c r="D5004" t="s">
        <v>1873</v>
      </c>
      <c r="E5004" t="s">
        <v>2108</v>
      </c>
      <c r="F5004" t="s">
        <v>23</v>
      </c>
      <c r="G5004" t="s">
        <v>39</v>
      </c>
      <c r="H5004" t="s">
        <v>43</v>
      </c>
      <c r="I5004" t="s">
        <v>31</v>
      </c>
      <c r="J5004" t="s">
        <v>27</v>
      </c>
      <c r="K5004" t="s">
        <v>32</v>
      </c>
      <c r="L5004" s="2">
        <v>22.6</v>
      </c>
      <c r="M5004" s="3">
        <v>1068</v>
      </c>
      <c r="N5004">
        <v>7</v>
      </c>
      <c r="O5004">
        <v>6</v>
      </c>
      <c r="P5004">
        <v>1</v>
      </c>
      <c r="Q5004">
        <v>0</v>
      </c>
      <c r="R5004" s="4">
        <v>20.32</v>
      </c>
      <c r="S5004">
        <v>0</v>
      </c>
      <c r="T5004">
        <v>1</v>
      </c>
    </row>
    <row r="5005" spans="1:20" ht="16.5" x14ac:dyDescent="0.3">
      <c r="A5005" t="s">
        <v>5059</v>
      </c>
      <c r="B5005" s="1">
        <v>45971</v>
      </c>
      <c r="C5005">
        <v>2025</v>
      </c>
      <c r="D5005" t="s">
        <v>1873</v>
      </c>
      <c r="E5005" t="s">
        <v>2108</v>
      </c>
      <c r="F5005" t="s">
        <v>57</v>
      </c>
      <c r="G5005" t="s">
        <v>39</v>
      </c>
      <c r="H5005" t="s">
        <v>51</v>
      </c>
      <c r="I5005" t="s">
        <v>31</v>
      </c>
      <c r="J5005" t="s">
        <v>27</v>
      </c>
      <c r="K5005" t="s">
        <v>32</v>
      </c>
      <c r="L5005" s="2">
        <v>20.399999999999999</v>
      </c>
      <c r="M5005" s="3">
        <v>830</v>
      </c>
      <c r="N5005">
        <v>7</v>
      </c>
      <c r="O5005">
        <v>7</v>
      </c>
      <c r="P5005">
        <v>1</v>
      </c>
      <c r="Q5005">
        <v>0</v>
      </c>
      <c r="R5005" s="4">
        <v>19.55</v>
      </c>
      <c r="S5005">
        <v>0</v>
      </c>
      <c r="T5005">
        <v>1</v>
      </c>
    </row>
    <row r="5006" spans="1:20" ht="16.5" x14ac:dyDescent="0.3">
      <c r="A5006" t="s">
        <v>5060</v>
      </c>
      <c r="B5006" s="1">
        <v>45972</v>
      </c>
      <c r="C5006">
        <v>2025</v>
      </c>
      <c r="D5006" t="s">
        <v>1873</v>
      </c>
      <c r="E5006" t="s">
        <v>2108</v>
      </c>
      <c r="F5006" t="s">
        <v>30</v>
      </c>
      <c r="G5006" t="s">
        <v>24</v>
      </c>
      <c r="H5006" t="s">
        <v>51</v>
      </c>
      <c r="I5006" t="s">
        <v>40</v>
      </c>
      <c r="J5006" t="s">
        <v>41</v>
      </c>
      <c r="K5006" t="s">
        <v>32</v>
      </c>
      <c r="L5006" s="2">
        <v>1.3</v>
      </c>
      <c r="M5006" s="3">
        <v>820</v>
      </c>
      <c r="N5006">
        <v>3</v>
      </c>
      <c r="O5006">
        <v>3</v>
      </c>
      <c r="P5006">
        <v>1</v>
      </c>
      <c r="Q5006">
        <v>0</v>
      </c>
      <c r="R5006" s="4">
        <v>57.22</v>
      </c>
      <c r="S5006">
        <v>0</v>
      </c>
      <c r="T5006">
        <v>1</v>
      </c>
    </row>
    <row r="5007" spans="1:20" ht="16.5" x14ac:dyDescent="0.3">
      <c r="A5007" t="s">
        <v>5061</v>
      </c>
      <c r="B5007" s="1">
        <v>45972</v>
      </c>
      <c r="C5007">
        <v>2025</v>
      </c>
      <c r="D5007" t="s">
        <v>1873</v>
      </c>
      <c r="E5007" t="s">
        <v>2108</v>
      </c>
      <c r="F5007" t="s">
        <v>57</v>
      </c>
      <c r="G5007" t="s">
        <v>24</v>
      </c>
      <c r="H5007" t="s">
        <v>48</v>
      </c>
      <c r="I5007" t="s">
        <v>31</v>
      </c>
      <c r="J5007" t="s">
        <v>27</v>
      </c>
      <c r="K5007" t="s">
        <v>28</v>
      </c>
      <c r="L5007" s="2">
        <v>330.5</v>
      </c>
      <c r="M5007" s="3">
        <v>634</v>
      </c>
      <c r="N5007">
        <v>6</v>
      </c>
      <c r="O5007">
        <v>8</v>
      </c>
      <c r="P5007">
        <v>0</v>
      </c>
      <c r="Q5007">
        <v>2</v>
      </c>
      <c r="R5007" s="4">
        <v>90.25</v>
      </c>
      <c r="S5007">
        <v>0</v>
      </c>
      <c r="T5007">
        <v>1</v>
      </c>
    </row>
    <row r="5008" spans="1:20" ht="16.5" x14ac:dyDescent="0.3">
      <c r="A5008" t="s">
        <v>5062</v>
      </c>
      <c r="B5008" s="1">
        <v>45972</v>
      </c>
      <c r="C5008">
        <v>2025</v>
      </c>
      <c r="D5008" t="s">
        <v>1873</v>
      </c>
      <c r="E5008" t="s">
        <v>2108</v>
      </c>
      <c r="F5008" t="s">
        <v>57</v>
      </c>
      <c r="G5008" t="s">
        <v>39</v>
      </c>
      <c r="H5008" t="s">
        <v>25</v>
      </c>
      <c r="I5008" t="s">
        <v>26</v>
      </c>
      <c r="J5008" t="s">
        <v>27</v>
      </c>
      <c r="K5008" t="s">
        <v>28</v>
      </c>
      <c r="L5008" s="2">
        <v>59.7</v>
      </c>
      <c r="M5008" s="3">
        <v>950</v>
      </c>
      <c r="N5008">
        <v>4</v>
      </c>
      <c r="O5008">
        <v>5</v>
      </c>
      <c r="P5008">
        <v>0</v>
      </c>
      <c r="Q5008">
        <v>1</v>
      </c>
      <c r="R5008" s="4">
        <v>46.25</v>
      </c>
      <c r="S5008">
        <v>0</v>
      </c>
      <c r="T5008">
        <v>1</v>
      </c>
    </row>
    <row r="5009" spans="1:20" ht="16.5" x14ac:dyDescent="0.3">
      <c r="A5009" t="s">
        <v>5063</v>
      </c>
      <c r="B5009" s="1">
        <v>45972</v>
      </c>
      <c r="C5009">
        <v>2025</v>
      </c>
      <c r="D5009" t="s">
        <v>1873</v>
      </c>
      <c r="E5009" t="s">
        <v>2108</v>
      </c>
      <c r="F5009" t="s">
        <v>34</v>
      </c>
      <c r="G5009" t="s">
        <v>35</v>
      </c>
      <c r="H5009" t="s">
        <v>48</v>
      </c>
      <c r="I5009" t="s">
        <v>26</v>
      </c>
      <c r="J5009" t="s">
        <v>27</v>
      </c>
      <c r="K5009" t="s">
        <v>32</v>
      </c>
      <c r="L5009" s="2">
        <v>3.5</v>
      </c>
      <c r="M5009" s="3">
        <v>468</v>
      </c>
      <c r="N5009">
        <v>4</v>
      </c>
      <c r="O5009">
        <v>4</v>
      </c>
      <c r="P5009">
        <v>1</v>
      </c>
      <c r="Q5009">
        <v>0</v>
      </c>
      <c r="R5009" s="4">
        <v>12.05</v>
      </c>
      <c r="S5009">
        <v>0</v>
      </c>
      <c r="T5009">
        <v>1</v>
      </c>
    </row>
    <row r="5010" spans="1:20" ht="16.5" x14ac:dyDescent="0.3">
      <c r="A5010" t="s">
        <v>5064</v>
      </c>
      <c r="B5010" s="1">
        <v>45972</v>
      </c>
      <c r="C5010">
        <v>2025</v>
      </c>
      <c r="D5010" t="s">
        <v>1873</v>
      </c>
      <c r="E5010" t="s">
        <v>2108</v>
      </c>
      <c r="F5010" t="s">
        <v>34</v>
      </c>
      <c r="G5010" t="s">
        <v>39</v>
      </c>
      <c r="H5010" t="s">
        <v>25</v>
      </c>
      <c r="I5010" t="s">
        <v>40</v>
      </c>
      <c r="J5010" t="s">
        <v>41</v>
      </c>
      <c r="K5010" t="s">
        <v>28</v>
      </c>
      <c r="L5010" s="2">
        <v>73.5</v>
      </c>
      <c r="M5010" s="3">
        <v>1071</v>
      </c>
      <c r="N5010">
        <v>2</v>
      </c>
      <c r="O5010">
        <v>2</v>
      </c>
      <c r="P5010">
        <v>1</v>
      </c>
      <c r="Q5010">
        <v>0</v>
      </c>
      <c r="R5010" s="4">
        <v>135.11000000000001</v>
      </c>
      <c r="S5010">
        <v>0</v>
      </c>
      <c r="T5010">
        <v>1</v>
      </c>
    </row>
    <row r="5011" spans="1:20" ht="16.5" x14ac:dyDescent="0.3">
      <c r="A5011" t="s">
        <v>5065</v>
      </c>
      <c r="B5011" s="1">
        <v>45972</v>
      </c>
      <c r="C5011">
        <v>2025</v>
      </c>
      <c r="D5011" t="s">
        <v>1873</v>
      </c>
      <c r="E5011" t="s">
        <v>2108</v>
      </c>
      <c r="F5011" t="s">
        <v>30</v>
      </c>
      <c r="G5011" t="s">
        <v>39</v>
      </c>
      <c r="H5011" t="s">
        <v>36</v>
      </c>
      <c r="I5011" t="s">
        <v>26</v>
      </c>
      <c r="J5011" t="s">
        <v>27</v>
      </c>
      <c r="K5011" t="s">
        <v>28</v>
      </c>
      <c r="L5011" s="2">
        <v>85.1</v>
      </c>
      <c r="M5011" s="3">
        <v>256</v>
      </c>
      <c r="N5011">
        <v>3</v>
      </c>
      <c r="O5011">
        <v>3</v>
      </c>
      <c r="P5011">
        <v>1</v>
      </c>
      <c r="Q5011">
        <v>0</v>
      </c>
      <c r="R5011" s="4">
        <v>49.79</v>
      </c>
      <c r="S5011">
        <v>0</v>
      </c>
      <c r="T5011">
        <v>1</v>
      </c>
    </row>
    <row r="5012" spans="1:20" ht="16.5" x14ac:dyDescent="0.3">
      <c r="A5012" t="s">
        <v>5066</v>
      </c>
      <c r="B5012" s="1">
        <v>45972</v>
      </c>
      <c r="C5012">
        <v>2025</v>
      </c>
      <c r="D5012" t="s">
        <v>1873</v>
      </c>
      <c r="E5012" t="s">
        <v>2108</v>
      </c>
      <c r="F5012" t="s">
        <v>23</v>
      </c>
      <c r="G5012" t="s">
        <v>39</v>
      </c>
      <c r="H5012" t="s">
        <v>48</v>
      </c>
      <c r="I5012" t="s">
        <v>26</v>
      </c>
      <c r="J5012" t="s">
        <v>27</v>
      </c>
      <c r="K5012" t="s">
        <v>32</v>
      </c>
      <c r="L5012" s="2">
        <v>7.1</v>
      </c>
      <c r="M5012" s="3">
        <v>573</v>
      </c>
      <c r="N5012">
        <v>4</v>
      </c>
      <c r="O5012">
        <v>7</v>
      </c>
      <c r="P5012">
        <v>0</v>
      </c>
      <c r="Q5012">
        <v>3</v>
      </c>
      <c r="R5012" s="4">
        <v>16.079999999999998</v>
      </c>
      <c r="S5012">
        <v>0</v>
      </c>
      <c r="T5012">
        <v>1</v>
      </c>
    </row>
    <row r="5013" spans="1:20" ht="16.5" x14ac:dyDescent="0.3">
      <c r="A5013" t="s">
        <v>5067</v>
      </c>
      <c r="B5013" s="1">
        <v>45972</v>
      </c>
      <c r="C5013">
        <v>2025</v>
      </c>
      <c r="D5013" t="s">
        <v>1873</v>
      </c>
      <c r="E5013" t="s">
        <v>2108</v>
      </c>
      <c r="F5013" t="s">
        <v>30</v>
      </c>
      <c r="G5013" t="s">
        <v>39</v>
      </c>
      <c r="H5013" t="s">
        <v>36</v>
      </c>
      <c r="I5013" t="s">
        <v>31</v>
      </c>
      <c r="J5013" t="s">
        <v>27</v>
      </c>
      <c r="K5013" t="s">
        <v>32</v>
      </c>
      <c r="L5013" s="2">
        <v>5.9</v>
      </c>
      <c r="M5013" s="3">
        <v>233</v>
      </c>
      <c r="N5013">
        <v>5</v>
      </c>
      <c r="O5013">
        <v>6</v>
      </c>
      <c r="P5013">
        <v>0</v>
      </c>
      <c r="Q5013">
        <v>1</v>
      </c>
      <c r="R5013" s="4">
        <v>9.48</v>
      </c>
      <c r="S5013">
        <v>0</v>
      </c>
      <c r="T5013">
        <v>1</v>
      </c>
    </row>
    <row r="5014" spans="1:20" ht="16.5" x14ac:dyDescent="0.3">
      <c r="A5014" t="s">
        <v>5068</v>
      </c>
      <c r="B5014" s="1">
        <v>45972</v>
      </c>
      <c r="C5014">
        <v>2025</v>
      </c>
      <c r="D5014" t="s">
        <v>1873</v>
      </c>
      <c r="E5014" t="s">
        <v>2108</v>
      </c>
      <c r="F5014" t="s">
        <v>38</v>
      </c>
      <c r="G5014" t="s">
        <v>39</v>
      </c>
      <c r="H5014" t="s">
        <v>25</v>
      </c>
      <c r="I5014" t="s">
        <v>26</v>
      </c>
      <c r="J5014" t="s">
        <v>27</v>
      </c>
      <c r="K5014" t="s">
        <v>28</v>
      </c>
      <c r="L5014" s="2">
        <v>31.6</v>
      </c>
      <c r="M5014" s="3">
        <v>803</v>
      </c>
      <c r="N5014">
        <v>4</v>
      </c>
      <c r="O5014">
        <v>4</v>
      </c>
      <c r="P5014">
        <v>1</v>
      </c>
      <c r="Q5014">
        <v>0</v>
      </c>
      <c r="R5014" s="4">
        <v>38.450000000000003</v>
      </c>
      <c r="S5014">
        <v>0</v>
      </c>
      <c r="T5014">
        <v>1</v>
      </c>
    </row>
    <row r="5015" spans="1:20" ht="16.5" x14ac:dyDescent="0.3">
      <c r="A5015" t="s">
        <v>5069</v>
      </c>
      <c r="B5015" s="1">
        <v>45973</v>
      </c>
      <c r="C5015">
        <v>2025</v>
      </c>
      <c r="D5015" t="s">
        <v>1873</v>
      </c>
      <c r="E5015" t="s">
        <v>2108</v>
      </c>
      <c r="F5015" t="s">
        <v>23</v>
      </c>
      <c r="G5015" t="s">
        <v>39</v>
      </c>
      <c r="H5015" t="s">
        <v>25</v>
      </c>
      <c r="I5015" t="s">
        <v>26</v>
      </c>
      <c r="J5015" t="s">
        <v>27</v>
      </c>
      <c r="K5015" t="s">
        <v>28</v>
      </c>
      <c r="L5015" s="2">
        <v>10.1</v>
      </c>
      <c r="M5015" s="3">
        <v>1009</v>
      </c>
      <c r="N5015">
        <v>4</v>
      </c>
      <c r="O5015">
        <v>6</v>
      </c>
      <c r="P5015">
        <v>0</v>
      </c>
      <c r="Q5015">
        <v>2</v>
      </c>
      <c r="R5015" s="4">
        <v>24.06</v>
      </c>
      <c r="S5015">
        <v>0</v>
      </c>
      <c r="T5015">
        <v>1</v>
      </c>
    </row>
    <row r="5016" spans="1:20" ht="16.5" x14ac:dyDescent="0.3">
      <c r="A5016" t="s">
        <v>5070</v>
      </c>
      <c r="B5016" s="1">
        <v>45973</v>
      </c>
      <c r="C5016">
        <v>2025</v>
      </c>
      <c r="D5016" t="s">
        <v>1873</v>
      </c>
      <c r="E5016" t="s">
        <v>2108</v>
      </c>
      <c r="F5016" t="s">
        <v>57</v>
      </c>
      <c r="G5016" t="s">
        <v>35</v>
      </c>
      <c r="H5016" t="s">
        <v>51</v>
      </c>
      <c r="I5016" t="s">
        <v>31</v>
      </c>
      <c r="J5016" t="s">
        <v>27</v>
      </c>
      <c r="K5016" t="s">
        <v>32</v>
      </c>
      <c r="L5016" s="2">
        <v>5.7</v>
      </c>
      <c r="M5016" s="3">
        <v>1256</v>
      </c>
      <c r="N5016">
        <v>7</v>
      </c>
      <c r="O5016">
        <v>7</v>
      </c>
      <c r="P5016">
        <v>1</v>
      </c>
      <c r="Q5016">
        <v>0</v>
      </c>
      <c r="R5016" s="4">
        <v>18.350000000000001</v>
      </c>
      <c r="S5016">
        <v>0</v>
      </c>
      <c r="T5016">
        <v>1</v>
      </c>
    </row>
    <row r="5017" spans="1:20" ht="16.5" x14ac:dyDescent="0.3">
      <c r="A5017" t="s">
        <v>5071</v>
      </c>
      <c r="B5017" s="1">
        <v>45973</v>
      </c>
      <c r="C5017">
        <v>2025</v>
      </c>
      <c r="D5017" t="s">
        <v>1873</v>
      </c>
      <c r="E5017" t="s">
        <v>2108</v>
      </c>
      <c r="F5017" t="s">
        <v>30</v>
      </c>
      <c r="G5017" t="s">
        <v>35</v>
      </c>
      <c r="H5017" t="s">
        <v>25</v>
      </c>
      <c r="I5017" t="s">
        <v>26</v>
      </c>
      <c r="J5017" t="s">
        <v>27</v>
      </c>
      <c r="K5017" t="s">
        <v>32</v>
      </c>
      <c r="L5017" s="2">
        <v>5</v>
      </c>
      <c r="M5017" s="3">
        <v>971</v>
      </c>
      <c r="N5017">
        <v>4</v>
      </c>
      <c r="O5017">
        <v>4</v>
      </c>
      <c r="P5017">
        <v>1</v>
      </c>
      <c r="Q5017">
        <v>0</v>
      </c>
      <c r="R5017" s="4">
        <v>22.92</v>
      </c>
      <c r="S5017">
        <v>0</v>
      </c>
      <c r="T5017">
        <v>1</v>
      </c>
    </row>
    <row r="5018" spans="1:20" ht="16.5" x14ac:dyDescent="0.3">
      <c r="A5018" t="s">
        <v>5072</v>
      </c>
      <c r="B5018" s="1">
        <v>45973</v>
      </c>
      <c r="C5018">
        <v>2025</v>
      </c>
      <c r="D5018" t="s">
        <v>1873</v>
      </c>
      <c r="E5018" t="s">
        <v>2108</v>
      </c>
      <c r="F5018" t="s">
        <v>38</v>
      </c>
      <c r="G5018" t="s">
        <v>35</v>
      </c>
      <c r="H5018" t="s">
        <v>36</v>
      </c>
      <c r="I5018" t="s">
        <v>26</v>
      </c>
      <c r="J5018" t="s">
        <v>27</v>
      </c>
      <c r="K5018" t="s">
        <v>28</v>
      </c>
      <c r="L5018" s="2">
        <v>251.3</v>
      </c>
      <c r="M5018" s="3">
        <v>269</v>
      </c>
      <c r="N5018">
        <v>3</v>
      </c>
      <c r="O5018">
        <v>2</v>
      </c>
      <c r="P5018">
        <v>1</v>
      </c>
      <c r="Q5018">
        <v>0</v>
      </c>
      <c r="R5018" s="4">
        <v>113.66</v>
      </c>
      <c r="S5018">
        <v>0</v>
      </c>
      <c r="T5018">
        <v>1</v>
      </c>
    </row>
    <row r="5019" spans="1:20" ht="16.5" x14ac:dyDescent="0.3">
      <c r="A5019" t="s">
        <v>5073</v>
      </c>
      <c r="B5019" s="1">
        <v>45973</v>
      </c>
      <c r="C5019">
        <v>2025</v>
      </c>
      <c r="D5019" t="s">
        <v>1873</v>
      </c>
      <c r="E5019" t="s">
        <v>2108</v>
      </c>
      <c r="F5019" t="s">
        <v>38</v>
      </c>
      <c r="G5019" t="s">
        <v>35</v>
      </c>
      <c r="H5019" t="s">
        <v>48</v>
      </c>
      <c r="I5019" t="s">
        <v>26</v>
      </c>
      <c r="J5019" t="s">
        <v>27</v>
      </c>
      <c r="K5019" t="s">
        <v>28</v>
      </c>
      <c r="L5019" s="2">
        <v>155.69999999999999</v>
      </c>
      <c r="M5019" s="3">
        <v>559</v>
      </c>
      <c r="N5019">
        <v>4</v>
      </c>
      <c r="O5019">
        <v>3</v>
      </c>
      <c r="P5019">
        <v>1</v>
      </c>
      <c r="Q5019">
        <v>0</v>
      </c>
      <c r="R5019" s="4">
        <v>74.97</v>
      </c>
      <c r="S5019">
        <v>0</v>
      </c>
      <c r="T5019">
        <v>1</v>
      </c>
    </row>
    <row r="5020" spans="1:20" ht="16.5" x14ac:dyDescent="0.3">
      <c r="A5020" t="s">
        <v>5074</v>
      </c>
      <c r="B5020" s="1">
        <v>45973</v>
      </c>
      <c r="C5020">
        <v>2025</v>
      </c>
      <c r="D5020" t="s">
        <v>1873</v>
      </c>
      <c r="E5020" t="s">
        <v>2108</v>
      </c>
      <c r="F5020" t="s">
        <v>57</v>
      </c>
      <c r="G5020" t="s">
        <v>35</v>
      </c>
      <c r="H5020" t="s">
        <v>48</v>
      </c>
      <c r="I5020" t="s">
        <v>26</v>
      </c>
      <c r="J5020" t="s">
        <v>27</v>
      </c>
      <c r="K5020" t="s">
        <v>28</v>
      </c>
      <c r="L5020" s="2">
        <v>138.6</v>
      </c>
      <c r="M5020" s="3">
        <v>548</v>
      </c>
      <c r="N5020">
        <v>4</v>
      </c>
      <c r="O5020">
        <v>3</v>
      </c>
      <c r="P5020">
        <v>1</v>
      </c>
      <c r="Q5020">
        <v>0</v>
      </c>
      <c r="R5020" s="4">
        <v>71.58</v>
      </c>
      <c r="S5020">
        <v>0</v>
      </c>
      <c r="T5020">
        <v>1</v>
      </c>
    </row>
    <row r="5021" spans="1:20" ht="16.5" x14ac:dyDescent="0.3">
      <c r="A5021" t="s">
        <v>5075</v>
      </c>
      <c r="B5021" s="1">
        <v>45973</v>
      </c>
      <c r="C5021">
        <v>2025</v>
      </c>
      <c r="D5021" t="s">
        <v>1873</v>
      </c>
      <c r="E5021" t="s">
        <v>2108</v>
      </c>
      <c r="F5021" t="s">
        <v>34</v>
      </c>
      <c r="G5021" t="s">
        <v>39</v>
      </c>
      <c r="H5021" t="s">
        <v>25</v>
      </c>
      <c r="I5021" t="s">
        <v>40</v>
      </c>
      <c r="J5021" t="s">
        <v>41</v>
      </c>
      <c r="K5021" t="s">
        <v>32</v>
      </c>
      <c r="L5021" s="2">
        <v>7.4</v>
      </c>
      <c r="M5021" s="3">
        <v>1079</v>
      </c>
      <c r="N5021">
        <v>2</v>
      </c>
      <c r="O5021">
        <v>2</v>
      </c>
      <c r="P5021">
        <v>1</v>
      </c>
      <c r="Q5021">
        <v>0</v>
      </c>
      <c r="R5021" s="4">
        <v>57.58</v>
      </c>
      <c r="S5021">
        <v>0</v>
      </c>
      <c r="T5021">
        <v>1</v>
      </c>
    </row>
    <row r="5022" spans="1:20" ht="16.5" x14ac:dyDescent="0.3">
      <c r="A5022" t="s">
        <v>5076</v>
      </c>
      <c r="B5022" s="1">
        <v>45973</v>
      </c>
      <c r="C5022">
        <v>2025</v>
      </c>
      <c r="D5022" t="s">
        <v>1873</v>
      </c>
      <c r="E5022" t="s">
        <v>2108</v>
      </c>
      <c r="F5022" t="s">
        <v>34</v>
      </c>
      <c r="G5022" t="s">
        <v>39</v>
      </c>
      <c r="H5022" t="s">
        <v>36</v>
      </c>
      <c r="I5022" t="s">
        <v>26</v>
      </c>
      <c r="J5022" t="s">
        <v>27</v>
      </c>
      <c r="K5022" t="s">
        <v>28</v>
      </c>
      <c r="L5022" s="2">
        <v>10.5</v>
      </c>
      <c r="M5022" s="3">
        <v>236</v>
      </c>
      <c r="N5022">
        <v>3</v>
      </c>
      <c r="O5022">
        <v>3</v>
      </c>
      <c r="P5022">
        <v>1</v>
      </c>
      <c r="Q5022">
        <v>0</v>
      </c>
      <c r="R5022" s="4">
        <v>13.11</v>
      </c>
      <c r="S5022">
        <v>0</v>
      </c>
      <c r="T5022">
        <v>1</v>
      </c>
    </row>
    <row r="5023" spans="1:20" ht="16.5" x14ac:dyDescent="0.3">
      <c r="A5023" t="s">
        <v>5077</v>
      </c>
      <c r="B5023" s="1">
        <v>45973</v>
      </c>
      <c r="C5023">
        <v>2025</v>
      </c>
      <c r="D5023" t="s">
        <v>1873</v>
      </c>
      <c r="E5023" t="s">
        <v>2108</v>
      </c>
      <c r="F5023" t="s">
        <v>34</v>
      </c>
      <c r="G5023" t="s">
        <v>24</v>
      </c>
      <c r="H5023" t="s">
        <v>51</v>
      </c>
      <c r="I5023" t="s">
        <v>31</v>
      </c>
      <c r="J5023" t="s">
        <v>27</v>
      </c>
      <c r="K5023" t="s">
        <v>28</v>
      </c>
      <c r="L5023" s="2">
        <v>67.8</v>
      </c>
      <c r="M5023" s="3">
        <v>956</v>
      </c>
      <c r="N5023">
        <v>7</v>
      </c>
      <c r="O5023">
        <v>7</v>
      </c>
      <c r="P5023">
        <v>1</v>
      </c>
      <c r="Q5023">
        <v>0</v>
      </c>
      <c r="R5023" s="4">
        <v>28.23</v>
      </c>
      <c r="S5023">
        <v>0</v>
      </c>
      <c r="T5023">
        <v>1</v>
      </c>
    </row>
    <row r="5024" spans="1:20" ht="16.5" x14ac:dyDescent="0.3">
      <c r="A5024" t="s">
        <v>5078</v>
      </c>
      <c r="B5024" s="1">
        <v>45973</v>
      </c>
      <c r="C5024">
        <v>2025</v>
      </c>
      <c r="D5024" t="s">
        <v>1873</v>
      </c>
      <c r="E5024" t="s">
        <v>2108</v>
      </c>
      <c r="F5024" t="s">
        <v>34</v>
      </c>
      <c r="G5024" t="s">
        <v>39</v>
      </c>
      <c r="H5024" t="s">
        <v>48</v>
      </c>
      <c r="I5024" t="s">
        <v>31</v>
      </c>
      <c r="J5024" t="s">
        <v>27</v>
      </c>
      <c r="K5024" t="s">
        <v>28</v>
      </c>
      <c r="L5024" s="2">
        <v>58.9</v>
      </c>
      <c r="M5024" s="3">
        <v>478</v>
      </c>
      <c r="N5024">
        <v>6</v>
      </c>
      <c r="O5024">
        <v>7</v>
      </c>
      <c r="P5024">
        <v>0</v>
      </c>
      <c r="Q5024">
        <v>1</v>
      </c>
      <c r="R5024" s="4">
        <v>23.69</v>
      </c>
      <c r="S5024">
        <v>0</v>
      </c>
      <c r="T5024">
        <v>1</v>
      </c>
    </row>
    <row r="5025" spans="1:20" ht="16.5" x14ac:dyDescent="0.3">
      <c r="A5025" t="s">
        <v>5079</v>
      </c>
      <c r="B5025" s="1">
        <v>45973</v>
      </c>
      <c r="C5025">
        <v>2025</v>
      </c>
      <c r="D5025" t="s">
        <v>1873</v>
      </c>
      <c r="E5025" t="s">
        <v>2108</v>
      </c>
      <c r="F5025" t="s">
        <v>38</v>
      </c>
      <c r="G5025" t="s">
        <v>24</v>
      </c>
      <c r="H5025" t="s">
        <v>36</v>
      </c>
      <c r="I5025" t="s">
        <v>26</v>
      </c>
      <c r="J5025" t="s">
        <v>27</v>
      </c>
      <c r="K5025" t="s">
        <v>28</v>
      </c>
      <c r="L5025" s="2">
        <v>111</v>
      </c>
      <c r="M5025" s="3">
        <v>186</v>
      </c>
      <c r="N5025">
        <v>3</v>
      </c>
      <c r="O5025">
        <v>3</v>
      </c>
      <c r="P5025">
        <v>1</v>
      </c>
      <c r="Q5025">
        <v>0</v>
      </c>
      <c r="R5025" s="4">
        <v>62.37</v>
      </c>
      <c r="S5025">
        <v>0</v>
      </c>
      <c r="T5025">
        <v>1</v>
      </c>
    </row>
    <row r="5026" spans="1:20" ht="16.5" x14ac:dyDescent="0.3">
      <c r="A5026" t="s">
        <v>5080</v>
      </c>
      <c r="B5026" s="1">
        <v>45973</v>
      </c>
      <c r="C5026">
        <v>2025</v>
      </c>
      <c r="D5026" t="s">
        <v>1873</v>
      </c>
      <c r="E5026" t="s">
        <v>2108</v>
      </c>
      <c r="F5026" t="s">
        <v>34</v>
      </c>
      <c r="G5026" t="s">
        <v>24</v>
      </c>
      <c r="H5026" t="s">
        <v>48</v>
      </c>
      <c r="I5026" t="s">
        <v>26</v>
      </c>
      <c r="J5026" t="s">
        <v>27</v>
      </c>
      <c r="K5026" t="s">
        <v>32</v>
      </c>
      <c r="L5026" s="2">
        <v>10.199999999999999</v>
      </c>
      <c r="M5026" s="3">
        <v>447</v>
      </c>
      <c r="N5026">
        <v>4</v>
      </c>
      <c r="O5026">
        <v>4</v>
      </c>
      <c r="P5026">
        <v>1</v>
      </c>
      <c r="Q5026">
        <v>0</v>
      </c>
      <c r="R5026" s="4">
        <v>14.04</v>
      </c>
      <c r="S5026">
        <v>0</v>
      </c>
      <c r="T5026">
        <v>1</v>
      </c>
    </row>
    <row r="5027" spans="1:20" ht="16.5" x14ac:dyDescent="0.3">
      <c r="A5027" t="s">
        <v>5081</v>
      </c>
      <c r="B5027" s="1">
        <v>45973</v>
      </c>
      <c r="C5027">
        <v>2025</v>
      </c>
      <c r="D5027" t="s">
        <v>1873</v>
      </c>
      <c r="E5027" t="s">
        <v>2108</v>
      </c>
      <c r="F5027" t="s">
        <v>57</v>
      </c>
      <c r="G5027" t="s">
        <v>35</v>
      </c>
      <c r="H5027" t="s">
        <v>36</v>
      </c>
      <c r="I5027" t="s">
        <v>26</v>
      </c>
      <c r="J5027" t="s">
        <v>27</v>
      </c>
      <c r="K5027" t="s">
        <v>32</v>
      </c>
      <c r="L5027" s="2">
        <v>3.8</v>
      </c>
      <c r="M5027" s="3">
        <v>292</v>
      </c>
      <c r="N5027">
        <v>3</v>
      </c>
      <c r="O5027">
        <v>3</v>
      </c>
      <c r="P5027">
        <v>1</v>
      </c>
      <c r="Q5027">
        <v>0</v>
      </c>
      <c r="R5027" s="4">
        <v>13.28</v>
      </c>
      <c r="S5027">
        <v>0</v>
      </c>
      <c r="T5027">
        <v>1</v>
      </c>
    </row>
    <row r="5028" spans="1:20" ht="16.5" x14ac:dyDescent="0.3">
      <c r="A5028" t="s">
        <v>5082</v>
      </c>
      <c r="B5028" s="1">
        <v>45973</v>
      </c>
      <c r="C5028">
        <v>2025</v>
      </c>
      <c r="D5028" t="s">
        <v>1873</v>
      </c>
      <c r="E5028" t="s">
        <v>2108</v>
      </c>
      <c r="F5028" t="s">
        <v>38</v>
      </c>
      <c r="G5028" t="s">
        <v>39</v>
      </c>
      <c r="H5028" t="s">
        <v>36</v>
      </c>
      <c r="I5028" t="s">
        <v>26</v>
      </c>
      <c r="J5028" t="s">
        <v>27</v>
      </c>
      <c r="K5028" t="s">
        <v>28</v>
      </c>
      <c r="L5028" s="2">
        <v>60.5</v>
      </c>
      <c r="M5028" s="3">
        <v>239</v>
      </c>
      <c r="N5028">
        <v>3</v>
      </c>
      <c r="O5028">
        <v>4</v>
      </c>
      <c r="P5028">
        <v>0</v>
      </c>
      <c r="Q5028">
        <v>1</v>
      </c>
      <c r="R5028" s="4">
        <v>44.99</v>
      </c>
      <c r="S5028">
        <v>0</v>
      </c>
      <c r="T5028">
        <v>1</v>
      </c>
    </row>
    <row r="5029" spans="1:20" ht="16.5" x14ac:dyDescent="0.3">
      <c r="A5029" t="s">
        <v>5083</v>
      </c>
      <c r="B5029" s="1">
        <v>45973</v>
      </c>
      <c r="C5029">
        <v>2025</v>
      </c>
      <c r="D5029" t="s">
        <v>1873</v>
      </c>
      <c r="E5029" t="s">
        <v>2108</v>
      </c>
      <c r="F5029" t="s">
        <v>30</v>
      </c>
      <c r="G5029" t="s">
        <v>39</v>
      </c>
      <c r="H5029" t="s">
        <v>51</v>
      </c>
      <c r="I5029" t="s">
        <v>26</v>
      </c>
      <c r="J5029" t="s">
        <v>27</v>
      </c>
      <c r="K5029" t="s">
        <v>32</v>
      </c>
      <c r="L5029" s="2">
        <v>12</v>
      </c>
      <c r="M5029" s="3">
        <v>1174</v>
      </c>
      <c r="N5029">
        <v>5</v>
      </c>
      <c r="O5029">
        <v>5</v>
      </c>
      <c r="P5029">
        <v>1</v>
      </c>
      <c r="Q5029">
        <v>0</v>
      </c>
      <c r="R5029" s="4">
        <v>30.21</v>
      </c>
      <c r="S5029">
        <v>0</v>
      </c>
      <c r="T5029">
        <v>1</v>
      </c>
    </row>
    <row r="5030" spans="1:20" ht="16.5" x14ac:dyDescent="0.3">
      <c r="A5030" t="s">
        <v>5084</v>
      </c>
      <c r="B5030" s="1">
        <v>45974</v>
      </c>
      <c r="C5030">
        <v>2025</v>
      </c>
      <c r="D5030" t="s">
        <v>1873</v>
      </c>
      <c r="E5030" t="s">
        <v>2108</v>
      </c>
      <c r="F5030" t="s">
        <v>57</v>
      </c>
      <c r="G5030" t="s">
        <v>35</v>
      </c>
      <c r="H5030" t="s">
        <v>36</v>
      </c>
      <c r="I5030" t="s">
        <v>26</v>
      </c>
      <c r="J5030" t="s">
        <v>27</v>
      </c>
      <c r="K5030" t="s">
        <v>28</v>
      </c>
      <c r="L5030" s="2">
        <v>29</v>
      </c>
      <c r="M5030" s="3">
        <v>198</v>
      </c>
      <c r="N5030">
        <v>3</v>
      </c>
      <c r="O5030">
        <v>2</v>
      </c>
      <c r="P5030">
        <v>1</v>
      </c>
      <c r="Q5030">
        <v>0</v>
      </c>
      <c r="R5030" s="4">
        <v>23.27</v>
      </c>
      <c r="S5030">
        <v>0</v>
      </c>
      <c r="T5030">
        <v>1</v>
      </c>
    </row>
    <row r="5031" spans="1:20" ht="16.5" x14ac:dyDescent="0.3">
      <c r="A5031" t="s">
        <v>5085</v>
      </c>
      <c r="B5031" s="1">
        <v>45974</v>
      </c>
      <c r="C5031">
        <v>2025</v>
      </c>
      <c r="D5031" t="s">
        <v>1873</v>
      </c>
      <c r="E5031" t="s">
        <v>2108</v>
      </c>
      <c r="F5031" t="s">
        <v>34</v>
      </c>
      <c r="G5031" t="s">
        <v>35</v>
      </c>
      <c r="H5031" t="s">
        <v>25</v>
      </c>
      <c r="I5031" t="s">
        <v>31</v>
      </c>
      <c r="J5031" t="s">
        <v>27</v>
      </c>
      <c r="K5031" t="s">
        <v>32</v>
      </c>
      <c r="L5031" s="2">
        <v>9.6999999999999993</v>
      </c>
      <c r="M5031" s="3">
        <v>743</v>
      </c>
      <c r="N5031">
        <v>6</v>
      </c>
      <c r="O5031">
        <v>5</v>
      </c>
      <c r="P5031">
        <v>1</v>
      </c>
      <c r="Q5031">
        <v>0</v>
      </c>
      <c r="R5031" s="4">
        <v>14.26</v>
      </c>
      <c r="S5031">
        <v>0</v>
      </c>
      <c r="T5031">
        <v>1</v>
      </c>
    </row>
    <row r="5032" spans="1:20" ht="16.5" x14ac:dyDescent="0.3">
      <c r="A5032" t="s">
        <v>5086</v>
      </c>
      <c r="B5032" s="1">
        <v>45974</v>
      </c>
      <c r="C5032">
        <v>2025</v>
      </c>
      <c r="D5032" t="s">
        <v>1873</v>
      </c>
      <c r="E5032" t="s">
        <v>2108</v>
      </c>
      <c r="F5032" t="s">
        <v>38</v>
      </c>
      <c r="G5032" t="s">
        <v>39</v>
      </c>
      <c r="H5032" t="s">
        <v>25</v>
      </c>
      <c r="I5032" t="s">
        <v>40</v>
      </c>
      <c r="J5032" t="s">
        <v>41</v>
      </c>
      <c r="K5032" t="s">
        <v>32</v>
      </c>
      <c r="L5032" s="2">
        <v>2.1</v>
      </c>
      <c r="M5032" s="3">
        <v>737</v>
      </c>
      <c r="N5032">
        <v>2</v>
      </c>
      <c r="O5032">
        <v>1</v>
      </c>
      <c r="P5032">
        <v>1</v>
      </c>
      <c r="Q5032">
        <v>0</v>
      </c>
      <c r="R5032" s="4">
        <v>53.52</v>
      </c>
      <c r="S5032">
        <v>0</v>
      </c>
      <c r="T5032">
        <v>1</v>
      </c>
    </row>
    <row r="5033" spans="1:20" ht="16.5" x14ac:dyDescent="0.3">
      <c r="A5033" t="s">
        <v>5087</v>
      </c>
      <c r="B5033" s="1">
        <v>45974</v>
      </c>
      <c r="C5033">
        <v>2025</v>
      </c>
      <c r="D5033" t="s">
        <v>1873</v>
      </c>
      <c r="E5033" t="s">
        <v>2108</v>
      </c>
      <c r="F5033" t="s">
        <v>30</v>
      </c>
      <c r="G5033" t="s">
        <v>39</v>
      </c>
      <c r="H5033" t="s">
        <v>36</v>
      </c>
      <c r="I5033" t="s">
        <v>26</v>
      </c>
      <c r="J5033" t="s">
        <v>27</v>
      </c>
      <c r="K5033" t="s">
        <v>32</v>
      </c>
      <c r="L5033" s="2">
        <v>4.5999999999999996</v>
      </c>
      <c r="M5033" s="3">
        <v>308</v>
      </c>
      <c r="N5033">
        <v>3</v>
      </c>
      <c r="O5033">
        <v>3</v>
      </c>
      <c r="P5033">
        <v>1</v>
      </c>
      <c r="Q5033">
        <v>0</v>
      </c>
      <c r="R5033" s="4">
        <v>14.7</v>
      </c>
      <c r="S5033">
        <v>0</v>
      </c>
      <c r="T5033">
        <v>1</v>
      </c>
    </row>
    <row r="5034" spans="1:20" ht="16.5" x14ac:dyDescent="0.3">
      <c r="A5034" t="s">
        <v>5088</v>
      </c>
      <c r="B5034" s="1">
        <v>45974</v>
      </c>
      <c r="C5034">
        <v>2025</v>
      </c>
      <c r="D5034" t="s">
        <v>1873</v>
      </c>
      <c r="E5034" t="s">
        <v>2108</v>
      </c>
      <c r="F5034" t="s">
        <v>30</v>
      </c>
      <c r="G5034" t="s">
        <v>39</v>
      </c>
      <c r="H5034" t="s">
        <v>25</v>
      </c>
      <c r="I5034" t="s">
        <v>31</v>
      </c>
      <c r="J5034" t="s">
        <v>27</v>
      </c>
      <c r="K5034" t="s">
        <v>28</v>
      </c>
      <c r="L5034" s="2">
        <v>280.3</v>
      </c>
      <c r="M5034" s="3">
        <v>709</v>
      </c>
      <c r="N5034">
        <v>6</v>
      </c>
      <c r="O5034">
        <v>6</v>
      </c>
      <c r="P5034">
        <v>1</v>
      </c>
      <c r="Q5034">
        <v>0</v>
      </c>
      <c r="R5034" s="4">
        <v>81.22</v>
      </c>
      <c r="S5034">
        <v>0</v>
      </c>
      <c r="T5034">
        <v>1</v>
      </c>
    </row>
    <row r="5035" spans="1:20" ht="16.5" x14ac:dyDescent="0.3">
      <c r="A5035" t="s">
        <v>5089</v>
      </c>
      <c r="B5035" s="1">
        <v>45974</v>
      </c>
      <c r="C5035">
        <v>2025</v>
      </c>
      <c r="D5035" t="s">
        <v>1873</v>
      </c>
      <c r="E5035" t="s">
        <v>2108</v>
      </c>
      <c r="F5035" t="s">
        <v>38</v>
      </c>
      <c r="G5035" t="s">
        <v>24</v>
      </c>
      <c r="H5035" t="s">
        <v>25</v>
      </c>
      <c r="I5035" t="s">
        <v>26</v>
      </c>
      <c r="J5035" t="s">
        <v>27</v>
      </c>
      <c r="K5035" t="s">
        <v>28</v>
      </c>
      <c r="L5035" s="2">
        <v>62.5</v>
      </c>
      <c r="M5035" s="3">
        <v>1136</v>
      </c>
      <c r="N5035">
        <v>4</v>
      </c>
      <c r="O5035">
        <v>4</v>
      </c>
      <c r="P5035">
        <v>1</v>
      </c>
      <c r="Q5035">
        <v>0</v>
      </c>
      <c r="R5035" s="4">
        <v>56.09</v>
      </c>
      <c r="S5035">
        <v>0</v>
      </c>
      <c r="T5035">
        <v>1</v>
      </c>
    </row>
    <row r="5036" spans="1:20" ht="16.5" x14ac:dyDescent="0.3">
      <c r="A5036" t="s">
        <v>5090</v>
      </c>
      <c r="B5036" s="1">
        <v>45974</v>
      </c>
      <c r="C5036">
        <v>2025</v>
      </c>
      <c r="D5036" t="s">
        <v>1873</v>
      </c>
      <c r="E5036" t="s">
        <v>2108</v>
      </c>
      <c r="F5036" t="s">
        <v>57</v>
      </c>
      <c r="G5036" t="s">
        <v>35</v>
      </c>
      <c r="H5036" t="s">
        <v>25</v>
      </c>
      <c r="I5036" t="s">
        <v>31</v>
      </c>
      <c r="J5036" t="s">
        <v>27</v>
      </c>
      <c r="K5036" t="s">
        <v>32</v>
      </c>
      <c r="L5036" s="2">
        <v>2.4</v>
      </c>
      <c r="M5036" s="3">
        <v>998</v>
      </c>
      <c r="N5036">
        <v>6</v>
      </c>
      <c r="O5036">
        <v>7</v>
      </c>
      <c r="P5036">
        <v>0</v>
      </c>
      <c r="Q5036">
        <v>1</v>
      </c>
      <c r="R5036" s="4">
        <v>13.89</v>
      </c>
      <c r="S5036">
        <v>0</v>
      </c>
      <c r="T5036">
        <v>1</v>
      </c>
    </row>
    <row r="5037" spans="1:20" ht="16.5" x14ac:dyDescent="0.3">
      <c r="A5037" t="s">
        <v>5091</v>
      </c>
      <c r="B5037" s="1">
        <v>45974</v>
      </c>
      <c r="C5037">
        <v>2025</v>
      </c>
      <c r="D5037" t="s">
        <v>1873</v>
      </c>
      <c r="E5037" t="s">
        <v>2108</v>
      </c>
      <c r="F5037" t="s">
        <v>57</v>
      </c>
      <c r="G5037" t="s">
        <v>35</v>
      </c>
      <c r="H5037" t="s">
        <v>36</v>
      </c>
      <c r="I5037" t="s">
        <v>31</v>
      </c>
      <c r="J5037" t="s">
        <v>27</v>
      </c>
      <c r="K5037" t="s">
        <v>28</v>
      </c>
      <c r="L5037" s="2">
        <v>40.200000000000003</v>
      </c>
      <c r="M5037" s="3">
        <v>226</v>
      </c>
      <c r="N5037">
        <v>5</v>
      </c>
      <c r="O5037">
        <v>5</v>
      </c>
      <c r="P5037">
        <v>1</v>
      </c>
      <c r="Q5037">
        <v>0</v>
      </c>
      <c r="R5037" s="4">
        <v>21.95</v>
      </c>
      <c r="S5037">
        <v>0</v>
      </c>
      <c r="T5037">
        <v>1</v>
      </c>
    </row>
    <row r="5038" spans="1:20" ht="16.5" x14ac:dyDescent="0.3">
      <c r="A5038" t="s">
        <v>5092</v>
      </c>
      <c r="B5038" s="1">
        <v>45974</v>
      </c>
      <c r="C5038">
        <v>2025</v>
      </c>
      <c r="D5038" t="s">
        <v>1873</v>
      </c>
      <c r="E5038" t="s">
        <v>2108</v>
      </c>
      <c r="F5038" t="s">
        <v>23</v>
      </c>
      <c r="G5038" t="s">
        <v>35</v>
      </c>
      <c r="H5038" t="s">
        <v>36</v>
      </c>
      <c r="I5038" t="s">
        <v>26</v>
      </c>
      <c r="J5038" t="s">
        <v>27</v>
      </c>
      <c r="K5038" t="s">
        <v>32</v>
      </c>
      <c r="L5038" s="2">
        <v>5</v>
      </c>
      <c r="M5038" s="3">
        <v>187</v>
      </c>
      <c r="N5038">
        <v>3</v>
      </c>
      <c r="O5038">
        <v>3</v>
      </c>
      <c r="P5038">
        <v>1</v>
      </c>
      <c r="Q5038">
        <v>0</v>
      </c>
      <c r="R5038" s="4">
        <v>11.5</v>
      </c>
      <c r="S5038">
        <v>0</v>
      </c>
      <c r="T5038">
        <v>1</v>
      </c>
    </row>
    <row r="5039" spans="1:20" ht="16.5" x14ac:dyDescent="0.3">
      <c r="A5039" t="s">
        <v>5093</v>
      </c>
      <c r="B5039" s="1">
        <v>45974</v>
      </c>
      <c r="C5039">
        <v>2025</v>
      </c>
      <c r="D5039" t="s">
        <v>1873</v>
      </c>
      <c r="E5039" t="s">
        <v>2108</v>
      </c>
      <c r="F5039" t="s">
        <v>23</v>
      </c>
      <c r="G5039" t="s">
        <v>39</v>
      </c>
      <c r="H5039" t="s">
        <v>36</v>
      </c>
      <c r="I5039" t="s">
        <v>26</v>
      </c>
      <c r="J5039" t="s">
        <v>27</v>
      </c>
      <c r="K5039" t="s">
        <v>32</v>
      </c>
      <c r="L5039" s="2">
        <v>1.9</v>
      </c>
      <c r="M5039" s="3">
        <v>277</v>
      </c>
      <c r="N5039">
        <v>3</v>
      </c>
      <c r="O5039">
        <v>3</v>
      </c>
      <c r="P5039">
        <v>1</v>
      </c>
      <c r="Q5039">
        <v>0</v>
      </c>
      <c r="R5039" s="4">
        <v>10.91</v>
      </c>
      <c r="S5039">
        <v>0</v>
      </c>
      <c r="T5039">
        <v>1</v>
      </c>
    </row>
    <row r="5040" spans="1:20" ht="16.5" x14ac:dyDescent="0.3">
      <c r="A5040" t="s">
        <v>5094</v>
      </c>
      <c r="B5040" s="1">
        <v>45974</v>
      </c>
      <c r="C5040">
        <v>2025</v>
      </c>
      <c r="D5040" t="s">
        <v>1873</v>
      </c>
      <c r="E5040" t="s">
        <v>2108</v>
      </c>
      <c r="F5040" t="s">
        <v>23</v>
      </c>
      <c r="G5040" t="s">
        <v>39</v>
      </c>
      <c r="H5040" t="s">
        <v>25</v>
      </c>
      <c r="I5040" t="s">
        <v>31</v>
      </c>
      <c r="J5040" t="s">
        <v>27</v>
      </c>
      <c r="K5040" t="s">
        <v>28</v>
      </c>
      <c r="L5040" s="2">
        <v>134.6</v>
      </c>
      <c r="M5040" s="3">
        <v>863</v>
      </c>
      <c r="N5040">
        <v>6</v>
      </c>
      <c r="O5040">
        <v>6</v>
      </c>
      <c r="P5040">
        <v>1</v>
      </c>
      <c r="Q5040">
        <v>0</v>
      </c>
      <c r="R5040" s="4">
        <v>48.39</v>
      </c>
      <c r="S5040">
        <v>0</v>
      </c>
      <c r="T5040">
        <v>1</v>
      </c>
    </row>
    <row r="5041" spans="1:20" ht="16.5" x14ac:dyDescent="0.3">
      <c r="A5041" t="s">
        <v>5095</v>
      </c>
      <c r="B5041" s="1">
        <v>45974</v>
      </c>
      <c r="C5041">
        <v>2025</v>
      </c>
      <c r="D5041" t="s">
        <v>1873</v>
      </c>
      <c r="E5041" t="s">
        <v>2108</v>
      </c>
      <c r="F5041" t="s">
        <v>38</v>
      </c>
      <c r="G5041" t="s">
        <v>24</v>
      </c>
      <c r="H5041" t="s">
        <v>48</v>
      </c>
      <c r="I5041" t="s">
        <v>26</v>
      </c>
      <c r="J5041" t="s">
        <v>27</v>
      </c>
      <c r="K5041" t="s">
        <v>32</v>
      </c>
      <c r="L5041" s="2">
        <v>9.5</v>
      </c>
      <c r="M5041" s="3">
        <v>500</v>
      </c>
      <c r="N5041">
        <v>4</v>
      </c>
      <c r="O5041">
        <v>4</v>
      </c>
      <c r="P5041">
        <v>1</v>
      </c>
      <c r="Q5041">
        <v>0</v>
      </c>
      <c r="R5041" s="4">
        <v>19.16</v>
      </c>
      <c r="S5041">
        <v>0</v>
      </c>
      <c r="T5041">
        <v>1</v>
      </c>
    </row>
    <row r="5042" spans="1:20" ht="16.5" x14ac:dyDescent="0.3">
      <c r="A5042" t="s">
        <v>5096</v>
      </c>
      <c r="B5042" s="1">
        <v>45974</v>
      </c>
      <c r="C5042">
        <v>2025</v>
      </c>
      <c r="D5042" t="s">
        <v>1873</v>
      </c>
      <c r="E5042" t="s">
        <v>2108</v>
      </c>
      <c r="F5042" t="s">
        <v>34</v>
      </c>
      <c r="G5042" t="s">
        <v>39</v>
      </c>
      <c r="H5042" t="s">
        <v>36</v>
      </c>
      <c r="I5042" t="s">
        <v>31</v>
      </c>
      <c r="J5042" t="s">
        <v>27</v>
      </c>
      <c r="K5042" t="s">
        <v>32</v>
      </c>
      <c r="L5042" s="2">
        <v>2.9</v>
      </c>
      <c r="M5042" s="3">
        <v>283</v>
      </c>
      <c r="N5042">
        <v>5</v>
      </c>
      <c r="O5042">
        <v>5</v>
      </c>
      <c r="P5042">
        <v>1</v>
      </c>
      <c r="Q5042">
        <v>0</v>
      </c>
      <c r="R5042" s="4">
        <v>6.62</v>
      </c>
      <c r="S5042">
        <v>0</v>
      </c>
      <c r="T5042">
        <v>1</v>
      </c>
    </row>
    <row r="5043" spans="1:20" ht="16.5" x14ac:dyDescent="0.3">
      <c r="A5043" t="s">
        <v>5097</v>
      </c>
      <c r="B5043" s="1">
        <v>45974</v>
      </c>
      <c r="C5043">
        <v>2025</v>
      </c>
      <c r="D5043" t="s">
        <v>1873</v>
      </c>
      <c r="E5043" t="s">
        <v>2108</v>
      </c>
      <c r="F5043" t="s">
        <v>57</v>
      </c>
      <c r="G5043" t="s">
        <v>39</v>
      </c>
      <c r="H5043" t="s">
        <v>48</v>
      </c>
      <c r="I5043" t="s">
        <v>26</v>
      </c>
      <c r="J5043" t="s">
        <v>27</v>
      </c>
      <c r="K5043" t="s">
        <v>28</v>
      </c>
      <c r="L5043" s="2">
        <v>39.700000000000003</v>
      </c>
      <c r="M5043" s="3">
        <v>555</v>
      </c>
      <c r="N5043">
        <v>4</v>
      </c>
      <c r="O5043">
        <v>4</v>
      </c>
      <c r="P5043">
        <v>1</v>
      </c>
      <c r="Q5043">
        <v>0</v>
      </c>
      <c r="R5043" s="4">
        <v>33.369999999999997</v>
      </c>
      <c r="S5043">
        <v>0</v>
      </c>
      <c r="T5043">
        <v>1</v>
      </c>
    </row>
    <row r="5044" spans="1:20" ht="16.5" x14ac:dyDescent="0.3">
      <c r="A5044" t="s">
        <v>5098</v>
      </c>
      <c r="B5044" s="1">
        <v>45974</v>
      </c>
      <c r="C5044">
        <v>2025</v>
      </c>
      <c r="D5044" t="s">
        <v>1873</v>
      </c>
      <c r="E5044" t="s">
        <v>2108</v>
      </c>
      <c r="F5044" t="s">
        <v>57</v>
      </c>
      <c r="G5044" t="s">
        <v>35</v>
      </c>
      <c r="H5044" t="s">
        <v>36</v>
      </c>
      <c r="I5044" t="s">
        <v>26</v>
      </c>
      <c r="J5044" t="s">
        <v>27</v>
      </c>
      <c r="K5044" t="s">
        <v>28</v>
      </c>
      <c r="L5044" s="2">
        <v>109.3</v>
      </c>
      <c r="M5044" s="3">
        <v>231</v>
      </c>
      <c r="N5044">
        <v>3</v>
      </c>
      <c r="O5044">
        <v>3</v>
      </c>
      <c r="P5044">
        <v>1</v>
      </c>
      <c r="Q5044">
        <v>0</v>
      </c>
      <c r="R5044" s="4">
        <v>55.11</v>
      </c>
      <c r="S5044">
        <v>0</v>
      </c>
      <c r="T5044">
        <v>1</v>
      </c>
    </row>
    <row r="5045" spans="1:20" ht="16.5" x14ac:dyDescent="0.3">
      <c r="A5045" t="s">
        <v>5099</v>
      </c>
      <c r="B5045" s="1">
        <v>45974</v>
      </c>
      <c r="C5045">
        <v>2025</v>
      </c>
      <c r="D5045" t="s">
        <v>1873</v>
      </c>
      <c r="E5045" t="s">
        <v>2108</v>
      </c>
      <c r="F5045" t="s">
        <v>38</v>
      </c>
      <c r="G5045" t="s">
        <v>39</v>
      </c>
      <c r="H5045" t="s">
        <v>36</v>
      </c>
      <c r="I5045" t="s">
        <v>40</v>
      </c>
      <c r="J5045" t="s">
        <v>27</v>
      </c>
      <c r="K5045" t="s">
        <v>28</v>
      </c>
      <c r="L5045" s="2">
        <v>165.7</v>
      </c>
      <c r="M5045" s="3">
        <v>198</v>
      </c>
      <c r="N5045">
        <v>1</v>
      </c>
      <c r="O5045">
        <v>1</v>
      </c>
      <c r="P5045">
        <v>1</v>
      </c>
      <c r="Q5045">
        <v>0</v>
      </c>
      <c r="R5045" s="4">
        <v>177.73</v>
      </c>
      <c r="S5045">
        <v>0</v>
      </c>
      <c r="T5045">
        <v>1</v>
      </c>
    </row>
    <row r="5046" spans="1:20" ht="16.5" x14ac:dyDescent="0.3">
      <c r="A5046" t="s">
        <v>5100</v>
      </c>
      <c r="B5046" s="1">
        <v>45974</v>
      </c>
      <c r="C5046">
        <v>2025</v>
      </c>
      <c r="D5046" t="s">
        <v>1873</v>
      </c>
      <c r="E5046" t="s">
        <v>2108</v>
      </c>
      <c r="F5046" t="s">
        <v>57</v>
      </c>
      <c r="G5046" t="s">
        <v>39</v>
      </c>
      <c r="H5046" t="s">
        <v>43</v>
      </c>
      <c r="I5046" t="s">
        <v>26</v>
      </c>
      <c r="J5046" t="s">
        <v>27</v>
      </c>
      <c r="K5046" t="s">
        <v>32</v>
      </c>
      <c r="L5046" s="2">
        <v>14</v>
      </c>
      <c r="M5046" s="3">
        <v>839</v>
      </c>
      <c r="N5046">
        <v>5</v>
      </c>
      <c r="O5046">
        <v>5</v>
      </c>
      <c r="P5046">
        <v>1</v>
      </c>
      <c r="Q5046">
        <v>0</v>
      </c>
      <c r="R5046" s="4">
        <v>24.39</v>
      </c>
      <c r="S5046">
        <v>0</v>
      </c>
      <c r="T5046">
        <v>1</v>
      </c>
    </row>
    <row r="5047" spans="1:20" ht="16.5" x14ac:dyDescent="0.3">
      <c r="A5047" t="s">
        <v>5101</v>
      </c>
      <c r="B5047" s="1">
        <v>45974</v>
      </c>
      <c r="C5047">
        <v>2025</v>
      </c>
      <c r="D5047" t="s">
        <v>1873</v>
      </c>
      <c r="E5047" t="s">
        <v>2108</v>
      </c>
      <c r="F5047" t="s">
        <v>34</v>
      </c>
      <c r="G5047" t="s">
        <v>35</v>
      </c>
      <c r="H5047" t="s">
        <v>48</v>
      </c>
      <c r="I5047" t="s">
        <v>40</v>
      </c>
      <c r="J5047" t="s">
        <v>27</v>
      </c>
      <c r="K5047" t="s">
        <v>28</v>
      </c>
      <c r="L5047" s="2">
        <v>354.9</v>
      </c>
      <c r="M5047" s="3">
        <v>462</v>
      </c>
      <c r="N5047">
        <v>2</v>
      </c>
      <c r="O5047">
        <v>6</v>
      </c>
      <c r="P5047">
        <v>0</v>
      </c>
      <c r="Q5047">
        <v>4</v>
      </c>
      <c r="R5047" s="4">
        <v>225.78</v>
      </c>
      <c r="S5047">
        <v>0</v>
      </c>
      <c r="T5047">
        <v>1</v>
      </c>
    </row>
    <row r="5048" spans="1:20" ht="16.5" x14ac:dyDescent="0.3">
      <c r="A5048" t="s">
        <v>5102</v>
      </c>
      <c r="B5048" s="1">
        <v>45974</v>
      </c>
      <c r="C5048">
        <v>2025</v>
      </c>
      <c r="D5048" t="s">
        <v>1873</v>
      </c>
      <c r="E5048" t="s">
        <v>2108</v>
      </c>
      <c r="F5048" t="s">
        <v>38</v>
      </c>
      <c r="G5048" t="s">
        <v>35</v>
      </c>
      <c r="H5048" t="s">
        <v>43</v>
      </c>
      <c r="I5048" t="s">
        <v>31</v>
      </c>
      <c r="J5048" t="s">
        <v>27</v>
      </c>
      <c r="K5048" t="s">
        <v>32</v>
      </c>
      <c r="L5048" s="2">
        <v>4.7</v>
      </c>
      <c r="M5048" s="3">
        <v>1041</v>
      </c>
      <c r="N5048">
        <v>7</v>
      </c>
      <c r="O5048">
        <v>6</v>
      </c>
      <c r="P5048">
        <v>1</v>
      </c>
      <c r="Q5048">
        <v>0</v>
      </c>
      <c r="R5048" s="4">
        <v>18.77</v>
      </c>
      <c r="S5048">
        <v>0</v>
      </c>
      <c r="T5048">
        <v>1</v>
      </c>
    </row>
    <row r="5049" spans="1:20" ht="16.5" x14ac:dyDescent="0.3">
      <c r="A5049" t="s">
        <v>5103</v>
      </c>
      <c r="B5049" s="1">
        <v>45974</v>
      </c>
      <c r="C5049">
        <v>2025</v>
      </c>
      <c r="D5049" t="s">
        <v>1873</v>
      </c>
      <c r="E5049" t="s">
        <v>2108</v>
      </c>
      <c r="F5049" t="s">
        <v>34</v>
      </c>
      <c r="G5049" t="s">
        <v>39</v>
      </c>
      <c r="H5049" t="s">
        <v>36</v>
      </c>
      <c r="I5049" t="s">
        <v>26</v>
      </c>
      <c r="J5049" t="s">
        <v>27</v>
      </c>
      <c r="K5049" t="s">
        <v>32</v>
      </c>
      <c r="L5049" s="2">
        <v>1.8</v>
      </c>
      <c r="M5049" s="3">
        <v>218</v>
      </c>
      <c r="N5049">
        <v>3</v>
      </c>
      <c r="O5049">
        <v>3</v>
      </c>
      <c r="P5049">
        <v>1</v>
      </c>
      <c r="Q5049">
        <v>0</v>
      </c>
      <c r="R5049" s="4">
        <v>8.73</v>
      </c>
      <c r="S5049">
        <v>0</v>
      </c>
      <c r="T5049">
        <v>1</v>
      </c>
    </row>
    <row r="5050" spans="1:20" ht="16.5" x14ac:dyDescent="0.3">
      <c r="A5050" t="s">
        <v>5104</v>
      </c>
      <c r="B5050" s="1">
        <v>45975</v>
      </c>
      <c r="C5050">
        <v>2025</v>
      </c>
      <c r="D5050" t="s">
        <v>1873</v>
      </c>
      <c r="E5050" t="s">
        <v>2108</v>
      </c>
      <c r="F5050" t="s">
        <v>38</v>
      </c>
      <c r="G5050" t="s">
        <v>39</v>
      </c>
      <c r="H5050" t="s">
        <v>36</v>
      </c>
      <c r="I5050" t="s">
        <v>26</v>
      </c>
      <c r="J5050" t="s">
        <v>27</v>
      </c>
      <c r="K5050" t="s">
        <v>32</v>
      </c>
      <c r="L5050" s="2">
        <v>17.399999999999999</v>
      </c>
      <c r="M5050" s="3">
        <v>240</v>
      </c>
      <c r="N5050">
        <v>3</v>
      </c>
      <c r="O5050">
        <v>4</v>
      </c>
      <c r="P5050">
        <v>0</v>
      </c>
      <c r="Q5050">
        <v>1</v>
      </c>
      <c r="R5050" s="4">
        <v>20.04</v>
      </c>
      <c r="S5050">
        <v>0</v>
      </c>
      <c r="T5050">
        <v>1</v>
      </c>
    </row>
    <row r="5051" spans="1:20" ht="16.5" x14ac:dyDescent="0.3">
      <c r="A5051" t="s">
        <v>5105</v>
      </c>
      <c r="B5051" s="1">
        <v>45975</v>
      </c>
      <c r="C5051">
        <v>2025</v>
      </c>
      <c r="D5051" t="s">
        <v>1873</v>
      </c>
      <c r="E5051" t="s">
        <v>2108</v>
      </c>
      <c r="F5051" t="s">
        <v>23</v>
      </c>
      <c r="G5051" t="s">
        <v>39</v>
      </c>
      <c r="H5051" t="s">
        <v>36</v>
      </c>
      <c r="I5051" t="s">
        <v>31</v>
      </c>
      <c r="J5051" t="s">
        <v>27</v>
      </c>
      <c r="K5051" t="s">
        <v>32</v>
      </c>
      <c r="L5051" s="2">
        <v>3.6</v>
      </c>
      <c r="M5051" s="3">
        <v>259</v>
      </c>
      <c r="N5051">
        <v>5</v>
      </c>
      <c r="O5051">
        <v>4</v>
      </c>
      <c r="P5051">
        <v>1</v>
      </c>
      <c r="Q5051">
        <v>0</v>
      </c>
      <c r="R5051" s="4">
        <v>8.14</v>
      </c>
      <c r="S5051">
        <v>0</v>
      </c>
      <c r="T5051">
        <v>1</v>
      </c>
    </row>
    <row r="5052" spans="1:20" ht="16.5" x14ac:dyDescent="0.3">
      <c r="A5052" t="s">
        <v>5106</v>
      </c>
      <c r="B5052" s="1">
        <v>45975</v>
      </c>
      <c r="C5052">
        <v>2025</v>
      </c>
      <c r="D5052" t="s">
        <v>1873</v>
      </c>
      <c r="E5052" t="s">
        <v>2108</v>
      </c>
      <c r="F5052" t="s">
        <v>23</v>
      </c>
      <c r="G5052" t="s">
        <v>39</v>
      </c>
      <c r="H5052" t="s">
        <v>25</v>
      </c>
      <c r="I5052" t="s">
        <v>26</v>
      </c>
      <c r="J5052" t="s">
        <v>27</v>
      </c>
      <c r="K5052" t="s">
        <v>28</v>
      </c>
      <c r="L5052" s="2">
        <v>187.1</v>
      </c>
      <c r="M5052" s="3">
        <v>937</v>
      </c>
      <c r="N5052">
        <v>4</v>
      </c>
      <c r="O5052">
        <v>4</v>
      </c>
      <c r="P5052">
        <v>1</v>
      </c>
      <c r="Q5052">
        <v>0</v>
      </c>
      <c r="R5052" s="4">
        <v>86.64</v>
      </c>
      <c r="S5052">
        <v>0</v>
      </c>
      <c r="T5052">
        <v>1</v>
      </c>
    </row>
    <row r="5053" spans="1:20" ht="16.5" x14ac:dyDescent="0.3">
      <c r="A5053" t="s">
        <v>5107</v>
      </c>
      <c r="B5053" s="1">
        <v>45975</v>
      </c>
      <c r="C5053">
        <v>2025</v>
      </c>
      <c r="D5053" t="s">
        <v>1873</v>
      </c>
      <c r="E5053" t="s">
        <v>2108</v>
      </c>
      <c r="F5053" t="s">
        <v>38</v>
      </c>
      <c r="G5053" t="s">
        <v>35</v>
      </c>
      <c r="H5053" t="s">
        <v>48</v>
      </c>
      <c r="I5053" t="s">
        <v>26</v>
      </c>
      <c r="J5053" t="s">
        <v>27</v>
      </c>
      <c r="K5053" t="s">
        <v>28</v>
      </c>
      <c r="L5053" s="2">
        <v>185.8</v>
      </c>
      <c r="M5053" s="3">
        <v>484</v>
      </c>
      <c r="N5053">
        <v>4</v>
      </c>
      <c r="O5053">
        <v>3</v>
      </c>
      <c r="P5053">
        <v>1</v>
      </c>
      <c r="Q5053">
        <v>0</v>
      </c>
      <c r="R5053" s="4">
        <v>93.84</v>
      </c>
      <c r="S5053">
        <v>0</v>
      </c>
      <c r="T5053">
        <v>1</v>
      </c>
    </row>
    <row r="5054" spans="1:20" ht="16.5" x14ac:dyDescent="0.3">
      <c r="A5054" t="s">
        <v>5108</v>
      </c>
      <c r="B5054" s="1">
        <v>45975</v>
      </c>
      <c r="C5054">
        <v>2025</v>
      </c>
      <c r="D5054" t="s">
        <v>1873</v>
      </c>
      <c r="E5054" t="s">
        <v>2108</v>
      </c>
      <c r="F5054" t="s">
        <v>38</v>
      </c>
      <c r="G5054" t="s">
        <v>24</v>
      </c>
      <c r="H5054" t="s">
        <v>51</v>
      </c>
      <c r="I5054" t="s">
        <v>40</v>
      </c>
      <c r="J5054" t="s">
        <v>41</v>
      </c>
      <c r="K5054" t="s">
        <v>28</v>
      </c>
      <c r="L5054" s="2">
        <v>134.1</v>
      </c>
      <c r="M5054" s="3">
        <v>1089</v>
      </c>
      <c r="N5054">
        <v>3</v>
      </c>
      <c r="O5054">
        <v>2</v>
      </c>
      <c r="P5054">
        <v>1</v>
      </c>
      <c r="Q5054">
        <v>0</v>
      </c>
      <c r="R5054" s="4">
        <v>278.27999999999997</v>
      </c>
      <c r="S5054">
        <v>0</v>
      </c>
      <c r="T5054">
        <v>1</v>
      </c>
    </row>
    <row r="5055" spans="1:20" ht="16.5" x14ac:dyDescent="0.3">
      <c r="A5055" t="s">
        <v>5109</v>
      </c>
      <c r="B5055" s="1">
        <v>45975</v>
      </c>
      <c r="C5055">
        <v>2025</v>
      </c>
      <c r="D5055" t="s">
        <v>1873</v>
      </c>
      <c r="E5055" t="s">
        <v>2108</v>
      </c>
      <c r="F5055" t="s">
        <v>30</v>
      </c>
      <c r="G5055" t="s">
        <v>39</v>
      </c>
      <c r="H5055" t="s">
        <v>25</v>
      </c>
      <c r="I5055" t="s">
        <v>31</v>
      </c>
      <c r="J5055" t="s">
        <v>27</v>
      </c>
      <c r="K5055" t="s">
        <v>32</v>
      </c>
      <c r="L5055" s="2">
        <v>6.8</v>
      </c>
      <c r="M5055" s="3">
        <v>867</v>
      </c>
      <c r="N5055">
        <v>6</v>
      </c>
      <c r="O5055">
        <v>5</v>
      </c>
      <c r="P5055">
        <v>1</v>
      </c>
      <c r="Q5055">
        <v>0</v>
      </c>
      <c r="R5055" s="4">
        <v>15.34</v>
      </c>
      <c r="S5055">
        <v>0</v>
      </c>
      <c r="T5055">
        <v>1</v>
      </c>
    </row>
    <row r="5056" spans="1:20" ht="16.5" x14ac:dyDescent="0.3">
      <c r="A5056" t="s">
        <v>5110</v>
      </c>
      <c r="B5056" s="1">
        <v>45975</v>
      </c>
      <c r="C5056">
        <v>2025</v>
      </c>
      <c r="D5056" t="s">
        <v>1873</v>
      </c>
      <c r="E5056" t="s">
        <v>2108</v>
      </c>
      <c r="F5056" t="s">
        <v>30</v>
      </c>
      <c r="G5056" t="s">
        <v>39</v>
      </c>
      <c r="H5056" t="s">
        <v>48</v>
      </c>
      <c r="I5056" t="s">
        <v>26</v>
      </c>
      <c r="J5056" t="s">
        <v>27</v>
      </c>
      <c r="K5056" t="s">
        <v>28</v>
      </c>
      <c r="L5056" s="2">
        <v>85.4</v>
      </c>
      <c r="M5056" s="3">
        <v>481</v>
      </c>
      <c r="N5056">
        <v>4</v>
      </c>
      <c r="O5056">
        <v>4</v>
      </c>
      <c r="P5056">
        <v>1</v>
      </c>
      <c r="Q5056">
        <v>0</v>
      </c>
      <c r="R5056" s="4">
        <v>56.62</v>
      </c>
      <c r="S5056">
        <v>0</v>
      </c>
      <c r="T5056">
        <v>1</v>
      </c>
    </row>
    <row r="5057" spans="1:20" ht="16.5" x14ac:dyDescent="0.3">
      <c r="A5057" t="s">
        <v>5111</v>
      </c>
      <c r="B5057" s="1">
        <v>45975</v>
      </c>
      <c r="C5057">
        <v>2025</v>
      </c>
      <c r="D5057" t="s">
        <v>1873</v>
      </c>
      <c r="E5057" t="s">
        <v>2108</v>
      </c>
      <c r="F5057" t="s">
        <v>38</v>
      </c>
      <c r="G5057" t="s">
        <v>39</v>
      </c>
      <c r="H5057" t="s">
        <v>25</v>
      </c>
      <c r="I5057" t="s">
        <v>26</v>
      </c>
      <c r="J5057" t="s">
        <v>27</v>
      </c>
      <c r="K5057" t="s">
        <v>32</v>
      </c>
      <c r="L5057" s="2">
        <v>4.2</v>
      </c>
      <c r="M5057" s="3">
        <v>985</v>
      </c>
      <c r="N5057">
        <v>4</v>
      </c>
      <c r="O5057">
        <v>5</v>
      </c>
      <c r="P5057">
        <v>0</v>
      </c>
      <c r="Q5057">
        <v>1</v>
      </c>
      <c r="R5057" s="4">
        <v>21.72</v>
      </c>
      <c r="S5057">
        <v>0</v>
      </c>
      <c r="T5057">
        <v>1</v>
      </c>
    </row>
    <row r="5058" spans="1:20" ht="16.5" x14ac:dyDescent="0.3">
      <c r="A5058" t="s">
        <v>5112</v>
      </c>
      <c r="B5058" s="1">
        <v>45975</v>
      </c>
      <c r="C5058">
        <v>2025</v>
      </c>
      <c r="D5058" t="s">
        <v>1873</v>
      </c>
      <c r="E5058" t="s">
        <v>2108</v>
      </c>
      <c r="F5058" t="s">
        <v>34</v>
      </c>
      <c r="G5058" t="s">
        <v>39</v>
      </c>
      <c r="H5058" t="s">
        <v>51</v>
      </c>
      <c r="I5058" t="s">
        <v>31</v>
      </c>
      <c r="J5058" t="s">
        <v>27</v>
      </c>
      <c r="K5058" t="s">
        <v>28</v>
      </c>
      <c r="L5058" s="2">
        <v>171.5</v>
      </c>
      <c r="M5058" s="3">
        <v>914</v>
      </c>
      <c r="N5058">
        <v>7</v>
      </c>
      <c r="O5058">
        <v>8</v>
      </c>
      <c r="P5058">
        <v>0</v>
      </c>
      <c r="Q5058">
        <v>1</v>
      </c>
      <c r="R5058" s="4">
        <v>51.97</v>
      </c>
      <c r="S5058">
        <v>0</v>
      </c>
      <c r="T5058">
        <v>1</v>
      </c>
    </row>
    <row r="5059" spans="1:20" ht="16.5" x14ac:dyDescent="0.3">
      <c r="A5059" t="s">
        <v>5113</v>
      </c>
      <c r="B5059" s="1">
        <v>45975</v>
      </c>
      <c r="C5059">
        <v>2025</v>
      </c>
      <c r="D5059" t="s">
        <v>1873</v>
      </c>
      <c r="E5059" t="s">
        <v>2108</v>
      </c>
      <c r="F5059" t="s">
        <v>23</v>
      </c>
      <c r="G5059" t="s">
        <v>39</v>
      </c>
      <c r="H5059" t="s">
        <v>48</v>
      </c>
      <c r="I5059" t="s">
        <v>40</v>
      </c>
      <c r="J5059" t="s">
        <v>27</v>
      </c>
      <c r="K5059" t="s">
        <v>32</v>
      </c>
      <c r="L5059" s="2">
        <v>2.9</v>
      </c>
      <c r="M5059" s="3">
        <v>491</v>
      </c>
      <c r="N5059">
        <v>2</v>
      </c>
      <c r="O5059">
        <v>1</v>
      </c>
      <c r="P5059">
        <v>1</v>
      </c>
      <c r="Q5059">
        <v>0</v>
      </c>
      <c r="R5059" s="4">
        <v>25.14</v>
      </c>
      <c r="S5059">
        <v>0</v>
      </c>
      <c r="T5059">
        <v>1</v>
      </c>
    </row>
    <row r="5060" spans="1:20" ht="16.5" x14ac:dyDescent="0.3">
      <c r="A5060" t="s">
        <v>5114</v>
      </c>
      <c r="B5060" s="1">
        <v>45976</v>
      </c>
      <c r="C5060">
        <v>2025</v>
      </c>
      <c r="D5060" t="s">
        <v>1873</v>
      </c>
      <c r="E5060" t="s">
        <v>2108</v>
      </c>
      <c r="F5060" t="s">
        <v>38</v>
      </c>
      <c r="G5060" t="s">
        <v>39</v>
      </c>
      <c r="H5060" t="s">
        <v>25</v>
      </c>
      <c r="I5060" t="s">
        <v>40</v>
      </c>
      <c r="J5060" t="s">
        <v>41</v>
      </c>
      <c r="K5060" t="s">
        <v>28</v>
      </c>
      <c r="L5060" s="2">
        <v>263.3</v>
      </c>
      <c r="M5060" s="3">
        <v>843</v>
      </c>
      <c r="N5060">
        <v>2</v>
      </c>
      <c r="O5060">
        <v>1</v>
      </c>
      <c r="P5060">
        <v>1</v>
      </c>
      <c r="Q5060">
        <v>0</v>
      </c>
      <c r="R5060" s="4">
        <v>430.01</v>
      </c>
      <c r="S5060">
        <v>0</v>
      </c>
      <c r="T5060">
        <v>1</v>
      </c>
    </row>
    <row r="5061" spans="1:20" ht="16.5" x14ac:dyDescent="0.3">
      <c r="A5061" t="s">
        <v>5115</v>
      </c>
      <c r="B5061" s="1">
        <v>45976</v>
      </c>
      <c r="C5061">
        <v>2025</v>
      </c>
      <c r="D5061" t="s">
        <v>1873</v>
      </c>
      <c r="E5061" t="s">
        <v>2108</v>
      </c>
      <c r="F5061" t="s">
        <v>57</v>
      </c>
      <c r="G5061" t="s">
        <v>39</v>
      </c>
      <c r="H5061" t="s">
        <v>48</v>
      </c>
      <c r="I5061" t="s">
        <v>31</v>
      </c>
      <c r="J5061" t="s">
        <v>27</v>
      </c>
      <c r="K5061" t="s">
        <v>32</v>
      </c>
      <c r="L5061" s="2">
        <v>1.5</v>
      </c>
      <c r="M5061" s="3">
        <v>460</v>
      </c>
      <c r="N5061">
        <v>6</v>
      </c>
      <c r="O5061">
        <v>6</v>
      </c>
      <c r="P5061">
        <v>1</v>
      </c>
      <c r="Q5061">
        <v>0</v>
      </c>
      <c r="R5061" s="4">
        <v>8.83</v>
      </c>
      <c r="S5061">
        <v>0</v>
      </c>
      <c r="T5061">
        <v>1</v>
      </c>
    </row>
    <row r="5062" spans="1:20" ht="16.5" x14ac:dyDescent="0.3">
      <c r="A5062" t="s">
        <v>5116</v>
      </c>
      <c r="B5062" s="1">
        <v>45976</v>
      </c>
      <c r="C5062">
        <v>2025</v>
      </c>
      <c r="D5062" t="s">
        <v>1873</v>
      </c>
      <c r="E5062" t="s">
        <v>2108</v>
      </c>
      <c r="F5062" t="s">
        <v>23</v>
      </c>
      <c r="G5062" t="s">
        <v>39</v>
      </c>
      <c r="H5062" t="s">
        <v>36</v>
      </c>
      <c r="I5062" t="s">
        <v>40</v>
      </c>
      <c r="J5062" t="s">
        <v>27</v>
      </c>
      <c r="K5062" t="s">
        <v>32</v>
      </c>
      <c r="L5062" s="2">
        <v>8.6</v>
      </c>
      <c r="M5062" s="3">
        <v>231</v>
      </c>
      <c r="N5062">
        <v>1</v>
      </c>
      <c r="O5062">
        <v>1</v>
      </c>
      <c r="P5062">
        <v>1</v>
      </c>
      <c r="Q5062">
        <v>0</v>
      </c>
      <c r="R5062" s="4">
        <v>27.51</v>
      </c>
      <c r="S5062">
        <v>0</v>
      </c>
      <c r="T5062">
        <v>1</v>
      </c>
    </row>
    <row r="5063" spans="1:20" ht="16.5" x14ac:dyDescent="0.3">
      <c r="A5063" t="s">
        <v>5117</v>
      </c>
      <c r="B5063" s="1">
        <v>45976</v>
      </c>
      <c r="C5063">
        <v>2025</v>
      </c>
      <c r="D5063" t="s">
        <v>1873</v>
      </c>
      <c r="E5063" t="s">
        <v>2108</v>
      </c>
      <c r="F5063" t="s">
        <v>57</v>
      </c>
      <c r="G5063" t="s">
        <v>24</v>
      </c>
      <c r="H5063" t="s">
        <v>48</v>
      </c>
      <c r="I5063" t="s">
        <v>26</v>
      </c>
      <c r="J5063" t="s">
        <v>27</v>
      </c>
      <c r="K5063" t="s">
        <v>28</v>
      </c>
      <c r="L5063" s="2">
        <v>40.9</v>
      </c>
      <c r="M5063" s="3">
        <v>506</v>
      </c>
      <c r="N5063">
        <v>4</v>
      </c>
      <c r="O5063">
        <v>4</v>
      </c>
      <c r="P5063">
        <v>1</v>
      </c>
      <c r="Q5063">
        <v>0</v>
      </c>
      <c r="R5063" s="4">
        <v>38.53</v>
      </c>
      <c r="S5063">
        <v>0</v>
      </c>
      <c r="T5063">
        <v>1</v>
      </c>
    </row>
    <row r="5064" spans="1:20" ht="16.5" x14ac:dyDescent="0.3">
      <c r="A5064" t="s">
        <v>5118</v>
      </c>
      <c r="B5064" s="1">
        <v>45976</v>
      </c>
      <c r="C5064">
        <v>2025</v>
      </c>
      <c r="D5064" t="s">
        <v>1873</v>
      </c>
      <c r="E5064" t="s">
        <v>2108</v>
      </c>
      <c r="F5064" t="s">
        <v>30</v>
      </c>
      <c r="G5064" t="s">
        <v>39</v>
      </c>
      <c r="H5064" t="s">
        <v>36</v>
      </c>
      <c r="I5064" t="s">
        <v>26</v>
      </c>
      <c r="J5064" t="s">
        <v>27</v>
      </c>
      <c r="K5064" t="s">
        <v>28</v>
      </c>
      <c r="L5064" s="2">
        <v>123.7</v>
      </c>
      <c r="M5064" s="3">
        <v>232</v>
      </c>
      <c r="N5064">
        <v>3</v>
      </c>
      <c r="O5064">
        <v>5</v>
      </c>
      <c r="P5064">
        <v>0</v>
      </c>
      <c r="Q5064">
        <v>2</v>
      </c>
      <c r="R5064" s="4">
        <v>68.599999999999994</v>
      </c>
      <c r="S5064">
        <v>0</v>
      </c>
      <c r="T5064">
        <v>1</v>
      </c>
    </row>
    <row r="5065" spans="1:20" ht="16.5" x14ac:dyDescent="0.3">
      <c r="A5065" t="s">
        <v>5119</v>
      </c>
      <c r="B5065" s="1">
        <v>45977</v>
      </c>
      <c r="C5065">
        <v>2025</v>
      </c>
      <c r="D5065" t="s">
        <v>1873</v>
      </c>
      <c r="E5065" t="s">
        <v>2108</v>
      </c>
      <c r="F5065" t="s">
        <v>34</v>
      </c>
      <c r="G5065" t="s">
        <v>39</v>
      </c>
      <c r="H5065" t="s">
        <v>36</v>
      </c>
      <c r="I5065" t="s">
        <v>26</v>
      </c>
      <c r="J5065" t="s">
        <v>27</v>
      </c>
      <c r="K5065" t="s">
        <v>32</v>
      </c>
      <c r="L5065" s="2">
        <v>9.6999999999999993</v>
      </c>
      <c r="M5065" s="3">
        <v>295</v>
      </c>
      <c r="N5065">
        <v>3</v>
      </c>
      <c r="O5065">
        <v>2</v>
      </c>
      <c r="P5065">
        <v>1</v>
      </c>
      <c r="Q5065">
        <v>0</v>
      </c>
      <c r="R5065" s="4">
        <v>14.01</v>
      </c>
      <c r="S5065">
        <v>0</v>
      </c>
      <c r="T5065">
        <v>1</v>
      </c>
    </row>
    <row r="5066" spans="1:20" ht="16.5" x14ac:dyDescent="0.3">
      <c r="A5066" t="s">
        <v>5120</v>
      </c>
      <c r="B5066" s="1">
        <v>45977</v>
      </c>
      <c r="C5066">
        <v>2025</v>
      </c>
      <c r="D5066" t="s">
        <v>1873</v>
      </c>
      <c r="E5066" t="s">
        <v>2108</v>
      </c>
      <c r="F5066" t="s">
        <v>30</v>
      </c>
      <c r="G5066" t="s">
        <v>35</v>
      </c>
      <c r="H5066" t="s">
        <v>48</v>
      </c>
      <c r="I5066" t="s">
        <v>31</v>
      </c>
      <c r="J5066" t="s">
        <v>27</v>
      </c>
      <c r="K5066" t="s">
        <v>32</v>
      </c>
      <c r="L5066" s="2">
        <v>2.5</v>
      </c>
      <c r="M5066" s="3">
        <v>627</v>
      </c>
      <c r="N5066">
        <v>6</v>
      </c>
      <c r="O5066">
        <v>6</v>
      </c>
      <c r="P5066">
        <v>1</v>
      </c>
      <c r="Q5066">
        <v>0</v>
      </c>
      <c r="R5066" s="4">
        <v>11.3</v>
      </c>
      <c r="S5066">
        <v>0</v>
      </c>
      <c r="T5066">
        <v>1</v>
      </c>
    </row>
    <row r="5067" spans="1:20" ht="16.5" x14ac:dyDescent="0.3">
      <c r="A5067" t="s">
        <v>5121</v>
      </c>
      <c r="B5067" s="1">
        <v>45977</v>
      </c>
      <c r="C5067">
        <v>2025</v>
      </c>
      <c r="D5067" t="s">
        <v>1873</v>
      </c>
      <c r="E5067" t="s">
        <v>2108</v>
      </c>
      <c r="F5067" t="s">
        <v>57</v>
      </c>
      <c r="G5067" t="s">
        <v>39</v>
      </c>
      <c r="H5067" t="s">
        <v>25</v>
      </c>
      <c r="I5067" t="s">
        <v>26</v>
      </c>
      <c r="J5067" t="s">
        <v>27</v>
      </c>
      <c r="K5067" t="s">
        <v>28</v>
      </c>
      <c r="L5067" s="2">
        <v>77.900000000000006</v>
      </c>
      <c r="M5067" s="3">
        <v>949</v>
      </c>
      <c r="N5067">
        <v>4</v>
      </c>
      <c r="O5067">
        <v>4</v>
      </c>
      <c r="P5067">
        <v>1</v>
      </c>
      <c r="Q5067">
        <v>0</v>
      </c>
      <c r="R5067" s="4">
        <v>59.7</v>
      </c>
      <c r="S5067">
        <v>0</v>
      </c>
      <c r="T5067">
        <v>1</v>
      </c>
    </row>
    <row r="5068" spans="1:20" ht="16.5" x14ac:dyDescent="0.3">
      <c r="A5068" t="s">
        <v>5122</v>
      </c>
      <c r="B5068" s="1">
        <v>45977</v>
      </c>
      <c r="C5068">
        <v>2025</v>
      </c>
      <c r="D5068" t="s">
        <v>1873</v>
      </c>
      <c r="E5068" t="s">
        <v>2108</v>
      </c>
      <c r="F5068" t="s">
        <v>57</v>
      </c>
      <c r="G5068" t="s">
        <v>39</v>
      </c>
      <c r="H5068" t="s">
        <v>36</v>
      </c>
      <c r="I5068" t="s">
        <v>26</v>
      </c>
      <c r="J5068" t="s">
        <v>27</v>
      </c>
      <c r="K5068" t="s">
        <v>32</v>
      </c>
      <c r="L5068" s="2">
        <v>4.5999999999999996</v>
      </c>
      <c r="M5068" s="3">
        <v>315</v>
      </c>
      <c r="N5068">
        <v>3</v>
      </c>
      <c r="O5068">
        <v>3</v>
      </c>
      <c r="P5068">
        <v>1</v>
      </c>
      <c r="Q5068">
        <v>0</v>
      </c>
      <c r="R5068" s="4">
        <v>13.77</v>
      </c>
      <c r="S5068">
        <v>0</v>
      </c>
      <c r="T5068">
        <v>1</v>
      </c>
    </row>
    <row r="5069" spans="1:20" ht="16.5" x14ac:dyDescent="0.3">
      <c r="A5069" t="s">
        <v>5123</v>
      </c>
      <c r="B5069" s="1">
        <v>45977</v>
      </c>
      <c r="C5069">
        <v>2025</v>
      </c>
      <c r="D5069" t="s">
        <v>1873</v>
      </c>
      <c r="E5069" t="s">
        <v>2108</v>
      </c>
      <c r="F5069" t="s">
        <v>38</v>
      </c>
      <c r="G5069" t="s">
        <v>35</v>
      </c>
      <c r="H5069" t="s">
        <v>36</v>
      </c>
      <c r="I5069" t="s">
        <v>31</v>
      </c>
      <c r="J5069" t="s">
        <v>27</v>
      </c>
      <c r="K5069" t="s">
        <v>28</v>
      </c>
      <c r="L5069" s="2">
        <v>33.5</v>
      </c>
      <c r="M5069" s="3">
        <v>269</v>
      </c>
      <c r="N5069">
        <v>5</v>
      </c>
      <c r="O5069">
        <v>4</v>
      </c>
      <c r="P5069">
        <v>1</v>
      </c>
      <c r="Q5069">
        <v>0</v>
      </c>
      <c r="R5069" s="4">
        <v>23.21</v>
      </c>
      <c r="S5069">
        <v>0</v>
      </c>
      <c r="T5069">
        <v>1</v>
      </c>
    </row>
    <row r="5070" spans="1:20" ht="16.5" x14ac:dyDescent="0.3">
      <c r="A5070" t="s">
        <v>5124</v>
      </c>
      <c r="B5070" s="1">
        <v>45977</v>
      </c>
      <c r="C5070">
        <v>2025</v>
      </c>
      <c r="D5070" t="s">
        <v>1873</v>
      </c>
      <c r="E5070" t="s">
        <v>2108</v>
      </c>
      <c r="F5070" t="s">
        <v>57</v>
      </c>
      <c r="G5070" t="s">
        <v>39</v>
      </c>
      <c r="H5070" t="s">
        <v>43</v>
      </c>
      <c r="I5070" t="s">
        <v>40</v>
      </c>
      <c r="J5070" t="s">
        <v>41</v>
      </c>
      <c r="K5070" t="s">
        <v>32</v>
      </c>
      <c r="L5070" s="2">
        <v>1</v>
      </c>
      <c r="M5070" s="3">
        <v>1281</v>
      </c>
      <c r="N5070">
        <v>3</v>
      </c>
      <c r="O5070">
        <v>2</v>
      </c>
      <c r="P5070">
        <v>1</v>
      </c>
      <c r="Q5070">
        <v>0</v>
      </c>
      <c r="R5070" s="4">
        <v>69.400000000000006</v>
      </c>
      <c r="S5070">
        <v>0</v>
      </c>
      <c r="T5070">
        <v>1</v>
      </c>
    </row>
    <row r="5071" spans="1:20" ht="16.5" x14ac:dyDescent="0.3">
      <c r="A5071" t="s">
        <v>5125</v>
      </c>
      <c r="B5071" s="1">
        <v>45977</v>
      </c>
      <c r="C5071">
        <v>2025</v>
      </c>
      <c r="D5071" t="s">
        <v>1873</v>
      </c>
      <c r="E5071" t="s">
        <v>2108</v>
      </c>
      <c r="F5071" t="s">
        <v>38</v>
      </c>
      <c r="G5071" t="s">
        <v>39</v>
      </c>
      <c r="H5071" t="s">
        <v>48</v>
      </c>
      <c r="I5071" t="s">
        <v>31</v>
      </c>
      <c r="J5071" t="s">
        <v>27</v>
      </c>
      <c r="K5071" t="s">
        <v>28</v>
      </c>
      <c r="L5071" s="2">
        <v>129.30000000000001</v>
      </c>
      <c r="M5071" s="3">
        <v>422</v>
      </c>
      <c r="N5071">
        <v>6</v>
      </c>
      <c r="O5071">
        <v>6</v>
      </c>
      <c r="P5071">
        <v>1</v>
      </c>
      <c r="Q5071">
        <v>0</v>
      </c>
      <c r="R5071" s="4">
        <v>52.57</v>
      </c>
      <c r="S5071">
        <v>0</v>
      </c>
      <c r="T5071">
        <v>1</v>
      </c>
    </row>
    <row r="5072" spans="1:20" ht="16.5" x14ac:dyDescent="0.3">
      <c r="A5072" t="s">
        <v>5126</v>
      </c>
      <c r="B5072" s="1">
        <v>45977</v>
      </c>
      <c r="C5072">
        <v>2025</v>
      </c>
      <c r="D5072" t="s">
        <v>1873</v>
      </c>
      <c r="E5072" t="s">
        <v>2108</v>
      </c>
      <c r="F5072" t="s">
        <v>34</v>
      </c>
      <c r="G5072" t="s">
        <v>39</v>
      </c>
      <c r="H5072" t="s">
        <v>25</v>
      </c>
      <c r="I5072" t="s">
        <v>26</v>
      </c>
      <c r="J5072" t="s">
        <v>27</v>
      </c>
      <c r="K5072" t="s">
        <v>28</v>
      </c>
      <c r="L5072" s="2">
        <v>79.5</v>
      </c>
      <c r="M5072" s="3">
        <v>833</v>
      </c>
      <c r="N5072">
        <v>4</v>
      </c>
      <c r="O5072">
        <v>5</v>
      </c>
      <c r="P5072">
        <v>0</v>
      </c>
      <c r="Q5072">
        <v>1</v>
      </c>
      <c r="R5072" s="4">
        <v>46.84</v>
      </c>
      <c r="S5072">
        <v>0</v>
      </c>
      <c r="T5072">
        <v>1</v>
      </c>
    </row>
    <row r="5073" spans="1:20" ht="16.5" x14ac:dyDescent="0.3">
      <c r="A5073" t="s">
        <v>5127</v>
      </c>
      <c r="B5073" s="1">
        <v>45977</v>
      </c>
      <c r="C5073">
        <v>2025</v>
      </c>
      <c r="D5073" t="s">
        <v>1873</v>
      </c>
      <c r="E5073" t="s">
        <v>2108</v>
      </c>
      <c r="F5073" t="s">
        <v>57</v>
      </c>
      <c r="G5073" t="s">
        <v>35</v>
      </c>
      <c r="H5073" t="s">
        <v>25</v>
      </c>
      <c r="I5073" t="s">
        <v>26</v>
      </c>
      <c r="J5073" t="s">
        <v>27</v>
      </c>
      <c r="K5073" t="s">
        <v>28</v>
      </c>
      <c r="L5073" s="2">
        <v>83.5</v>
      </c>
      <c r="M5073" s="3">
        <v>1067</v>
      </c>
      <c r="N5073">
        <v>4</v>
      </c>
      <c r="O5073">
        <v>4</v>
      </c>
      <c r="P5073">
        <v>1</v>
      </c>
      <c r="Q5073">
        <v>0</v>
      </c>
      <c r="R5073" s="4">
        <v>60.3</v>
      </c>
      <c r="S5073">
        <v>0</v>
      </c>
      <c r="T5073">
        <v>1</v>
      </c>
    </row>
    <row r="5074" spans="1:20" ht="16.5" x14ac:dyDescent="0.3">
      <c r="A5074" t="s">
        <v>5128</v>
      </c>
      <c r="B5074" s="1">
        <v>45978</v>
      </c>
      <c r="C5074">
        <v>2025</v>
      </c>
      <c r="D5074" t="s">
        <v>1873</v>
      </c>
      <c r="E5074" t="s">
        <v>2108</v>
      </c>
      <c r="F5074" t="s">
        <v>34</v>
      </c>
      <c r="G5074" t="s">
        <v>35</v>
      </c>
      <c r="H5074" t="s">
        <v>36</v>
      </c>
      <c r="I5074" t="s">
        <v>31</v>
      </c>
      <c r="J5074" t="s">
        <v>27</v>
      </c>
      <c r="K5074" t="s">
        <v>28</v>
      </c>
      <c r="L5074" s="2">
        <v>156.30000000000001</v>
      </c>
      <c r="M5074" s="3">
        <v>224</v>
      </c>
      <c r="N5074">
        <v>5</v>
      </c>
      <c r="O5074">
        <v>4</v>
      </c>
      <c r="P5074">
        <v>1</v>
      </c>
      <c r="Q5074">
        <v>0</v>
      </c>
      <c r="R5074" s="4">
        <v>43.1</v>
      </c>
      <c r="S5074">
        <v>0</v>
      </c>
      <c r="T5074">
        <v>1</v>
      </c>
    </row>
    <row r="5075" spans="1:20" ht="16.5" x14ac:dyDescent="0.3">
      <c r="A5075" t="s">
        <v>5129</v>
      </c>
      <c r="B5075" s="1">
        <v>45978</v>
      </c>
      <c r="C5075">
        <v>2025</v>
      </c>
      <c r="D5075" t="s">
        <v>1873</v>
      </c>
      <c r="E5075" t="s">
        <v>2108</v>
      </c>
      <c r="F5075" t="s">
        <v>30</v>
      </c>
      <c r="G5075" t="s">
        <v>39</v>
      </c>
      <c r="H5075" t="s">
        <v>48</v>
      </c>
      <c r="I5075" t="s">
        <v>26</v>
      </c>
      <c r="J5075" t="s">
        <v>27</v>
      </c>
      <c r="K5075" t="s">
        <v>32</v>
      </c>
      <c r="L5075" s="2">
        <v>3.6</v>
      </c>
      <c r="M5075" s="3">
        <v>561</v>
      </c>
      <c r="N5075">
        <v>4</v>
      </c>
      <c r="O5075">
        <v>4</v>
      </c>
      <c r="P5075">
        <v>1</v>
      </c>
      <c r="Q5075">
        <v>0</v>
      </c>
      <c r="R5075" s="4">
        <v>15.35</v>
      </c>
      <c r="S5075">
        <v>0</v>
      </c>
      <c r="T5075">
        <v>1</v>
      </c>
    </row>
    <row r="5076" spans="1:20" ht="16.5" x14ac:dyDescent="0.3">
      <c r="A5076" t="s">
        <v>5130</v>
      </c>
      <c r="B5076" s="1">
        <v>45978</v>
      </c>
      <c r="C5076">
        <v>2025</v>
      </c>
      <c r="D5076" t="s">
        <v>1873</v>
      </c>
      <c r="E5076" t="s">
        <v>2108</v>
      </c>
      <c r="F5076" t="s">
        <v>23</v>
      </c>
      <c r="G5076" t="s">
        <v>39</v>
      </c>
      <c r="H5076" t="s">
        <v>25</v>
      </c>
      <c r="I5076" t="s">
        <v>31</v>
      </c>
      <c r="J5076" t="s">
        <v>27</v>
      </c>
      <c r="K5076" t="s">
        <v>32</v>
      </c>
      <c r="L5076" s="2">
        <v>2.2999999999999998</v>
      </c>
      <c r="M5076" s="3">
        <v>853</v>
      </c>
      <c r="N5076">
        <v>6</v>
      </c>
      <c r="O5076">
        <v>5</v>
      </c>
      <c r="P5076">
        <v>1</v>
      </c>
      <c r="Q5076">
        <v>0</v>
      </c>
      <c r="R5076" s="4">
        <v>11.82</v>
      </c>
      <c r="S5076">
        <v>0</v>
      </c>
      <c r="T5076">
        <v>1</v>
      </c>
    </row>
    <row r="5077" spans="1:20" ht="16.5" x14ac:dyDescent="0.3">
      <c r="A5077" t="s">
        <v>5131</v>
      </c>
      <c r="B5077" s="1">
        <v>45978</v>
      </c>
      <c r="C5077">
        <v>2025</v>
      </c>
      <c r="D5077" t="s">
        <v>1873</v>
      </c>
      <c r="E5077" t="s">
        <v>2108</v>
      </c>
      <c r="F5077" t="s">
        <v>34</v>
      </c>
      <c r="G5077" t="s">
        <v>35</v>
      </c>
      <c r="H5077" t="s">
        <v>48</v>
      </c>
      <c r="I5077" t="s">
        <v>26</v>
      </c>
      <c r="J5077" t="s">
        <v>27</v>
      </c>
      <c r="K5077" t="s">
        <v>28</v>
      </c>
      <c r="L5077" s="2">
        <v>73.2</v>
      </c>
      <c r="M5077" s="3">
        <v>626</v>
      </c>
      <c r="N5077">
        <v>4</v>
      </c>
      <c r="O5077">
        <v>3</v>
      </c>
      <c r="P5077">
        <v>1</v>
      </c>
      <c r="Q5077">
        <v>0</v>
      </c>
      <c r="R5077" s="4">
        <v>39.020000000000003</v>
      </c>
      <c r="S5077">
        <v>0</v>
      </c>
      <c r="T5077">
        <v>1</v>
      </c>
    </row>
    <row r="5078" spans="1:20" ht="16.5" x14ac:dyDescent="0.3">
      <c r="A5078" t="s">
        <v>5132</v>
      </c>
      <c r="B5078" s="1">
        <v>45978</v>
      </c>
      <c r="C5078">
        <v>2025</v>
      </c>
      <c r="D5078" t="s">
        <v>1873</v>
      </c>
      <c r="E5078" t="s">
        <v>2108</v>
      </c>
      <c r="F5078" t="s">
        <v>34</v>
      </c>
      <c r="G5078" t="s">
        <v>39</v>
      </c>
      <c r="H5078" t="s">
        <v>36</v>
      </c>
      <c r="I5078" t="s">
        <v>31</v>
      </c>
      <c r="J5078" t="s">
        <v>27</v>
      </c>
      <c r="K5078" t="s">
        <v>32</v>
      </c>
      <c r="L5078" s="2">
        <v>3.5</v>
      </c>
      <c r="M5078" s="3">
        <v>220</v>
      </c>
      <c r="N5078">
        <v>5</v>
      </c>
      <c r="O5078">
        <v>5</v>
      </c>
      <c r="P5078">
        <v>1</v>
      </c>
      <c r="Q5078">
        <v>0</v>
      </c>
      <c r="R5078" s="4">
        <v>6.5</v>
      </c>
      <c r="S5078">
        <v>0</v>
      </c>
      <c r="T5078">
        <v>1</v>
      </c>
    </row>
    <row r="5079" spans="1:20" ht="16.5" x14ac:dyDescent="0.3">
      <c r="A5079" t="s">
        <v>5133</v>
      </c>
      <c r="B5079" s="1">
        <v>45978</v>
      </c>
      <c r="C5079">
        <v>2025</v>
      </c>
      <c r="D5079" t="s">
        <v>1873</v>
      </c>
      <c r="E5079" t="s">
        <v>2108</v>
      </c>
      <c r="F5079" t="s">
        <v>30</v>
      </c>
      <c r="G5079" t="s">
        <v>35</v>
      </c>
      <c r="H5079" t="s">
        <v>51</v>
      </c>
      <c r="I5079" t="s">
        <v>40</v>
      </c>
      <c r="J5079" t="s">
        <v>41</v>
      </c>
      <c r="K5079" t="s">
        <v>28</v>
      </c>
      <c r="L5079" s="2">
        <v>277.39999999999998</v>
      </c>
      <c r="M5079" s="3">
        <v>1159</v>
      </c>
      <c r="N5079">
        <v>3</v>
      </c>
      <c r="O5079">
        <v>4</v>
      </c>
      <c r="P5079">
        <v>0</v>
      </c>
      <c r="Q5079">
        <v>1</v>
      </c>
      <c r="R5079" s="4">
        <v>367.46</v>
      </c>
      <c r="S5079">
        <v>0</v>
      </c>
      <c r="T5079">
        <v>1</v>
      </c>
    </row>
    <row r="5080" spans="1:20" ht="16.5" x14ac:dyDescent="0.3">
      <c r="A5080" t="s">
        <v>5134</v>
      </c>
      <c r="B5080" s="1">
        <v>45978</v>
      </c>
      <c r="C5080">
        <v>2025</v>
      </c>
      <c r="D5080" t="s">
        <v>1873</v>
      </c>
      <c r="E5080" t="s">
        <v>2108</v>
      </c>
      <c r="F5080" t="s">
        <v>23</v>
      </c>
      <c r="G5080" t="s">
        <v>39</v>
      </c>
      <c r="H5080" t="s">
        <v>48</v>
      </c>
      <c r="I5080" t="s">
        <v>26</v>
      </c>
      <c r="J5080" t="s">
        <v>27</v>
      </c>
      <c r="K5080" t="s">
        <v>28</v>
      </c>
      <c r="L5080" s="2">
        <v>161.6</v>
      </c>
      <c r="M5080" s="3">
        <v>455</v>
      </c>
      <c r="N5080">
        <v>4</v>
      </c>
      <c r="O5080">
        <v>4</v>
      </c>
      <c r="P5080">
        <v>1</v>
      </c>
      <c r="Q5080">
        <v>0</v>
      </c>
      <c r="R5080" s="4">
        <v>85.06</v>
      </c>
      <c r="S5080">
        <v>0</v>
      </c>
      <c r="T5080">
        <v>1</v>
      </c>
    </row>
    <row r="5081" spans="1:20" ht="16.5" x14ac:dyDescent="0.3">
      <c r="A5081" t="s">
        <v>5135</v>
      </c>
      <c r="B5081" s="1">
        <v>45978</v>
      </c>
      <c r="C5081">
        <v>2025</v>
      </c>
      <c r="D5081" t="s">
        <v>1873</v>
      </c>
      <c r="E5081" t="s">
        <v>2108</v>
      </c>
      <c r="F5081" t="s">
        <v>57</v>
      </c>
      <c r="G5081" t="s">
        <v>39</v>
      </c>
      <c r="H5081" t="s">
        <v>25</v>
      </c>
      <c r="I5081" t="s">
        <v>31</v>
      </c>
      <c r="J5081" t="s">
        <v>27</v>
      </c>
      <c r="K5081" t="s">
        <v>28</v>
      </c>
      <c r="L5081" s="2">
        <v>31.1</v>
      </c>
      <c r="M5081" s="3">
        <v>858</v>
      </c>
      <c r="N5081">
        <v>6</v>
      </c>
      <c r="O5081">
        <v>6</v>
      </c>
      <c r="P5081">
        <v>1</v>
      </c>
      <c r="Q5081">
        <v>0</v>
      </c>
      <c r="R5081" s="4">
        <v>23.02</v>
      </c>
      <c r="S5081">
        <v>1</v>
      </c>
      <c r="T5081">
        <v>1</v>
      </c>
    </row>
    <row r="5082" spans="1:20" ht="16.5" x14ac:dyDescent="0.3">
      <c r="A5082" t="s">
        <v>5136</v>
      </c>
      <c r="B5082" s="1">
        <v>45978</v>
      </c>
      <c r="C5082">
        <v>2025</v>
      </c>
      <c r="D5082" t="s">
        <v>1873</v>
      </c>
      <c r="E5082" t="s">
        <v>2108</v>
      </c>
      <c r="F5082" t="s">
        <v>34</v>
      </c>
      <c r="G5082" t="s">
        <v>39</v>
      </c>
      <c r="H5082" t="s">
        <v>36</v>
      </c>
      <c r="I5082" t="s">
        <v>26</v>
      </c>
      <c r="J5082" t="s">
        <v>27</v>
      </c>
      <c r="K5082" t="s">
        <v>28</v>
      </c>
      <c r="L5082" s="2">
        <v>28.9</v>
      </c>
      <c r="M5082" s="3">
        <v>249</v>
      </c>
      <c r="N5082">
        <v>3</v>
      </c>
      <c r="O5082">
        <v>5</v>
      </c>
      <c r="P5082">
        <v>0</v>
      </c>
      <c r="Q5082">
        <v>2</v>
      </c>
      <c r="R5082" s="4">
        <v>22.55</v>
      </c>
      <c r="S5082">
        <v>0</v>
      </c>
      <c r="T5082">
        <v>1</v>
      </c>
    </row>
    <row r="5083" spans="1:20" ht="16.5" x14ac:dyDescent="0.3">
      <c r="A5083" t="s">
        <v>5137</v>
      </c>
      <c r="B5083" s="1">
        <v>45978</v>
      </c>
      <c r="C5083">
        <v>2025</v>
      </c>
      <c r="D5083" t="s">
        <v>1873</v>
      </c>
      <c r="E5083" t="s">
        <v>2108</v>
      </c>
      <c r="F5083" t="s">
        <v>34</v>
      </c>
      <c r="G5083" t="s">
        <v>35</v>
      </c>
      <c r="H5083" t="s">
        <v>48</v>
      </c>
      <c r="I5083" t="s">
        <v>26</v>
      </c>
      <c r="J5083" t="s">
        <v>27</v>
      </c>
      <c r="K5083" t="s">
        <v>32</v>
      </c>
      <c r="L5083" s="2">
        <v>2.5</v>
      </c>
      <c r="M5083" s="3">
        <v>529</v>
      </c>
      <c r="N5083">
        <v>4</v>
      </c>
      <c r="O5083">
        <v>5</v>
      </c>
      <c r="P5083">
        <v>0</v>
      </c>
      <c r="Q5083">
        <v>1</v>
      </c>
      <c r="R5083" s="4">
        <v>12.3</v>
      </c>
      <c r="S5083">
        <v>0</v>
      </c>
      <c r="T5083">
        <v>1</v>
      </c>
    </row>
    <row r="5084" spans="1:20" ht="16.5" x14ac:dyDescent="0.3">
      <c r="A5084" t="s">
        <v>5138</v>
      </c>
      <c r="B5084" s="1">
        <v>45978</v>
      </c>
      <c r="C5084">
        <v>2025</v>
      </c>
      <c r="D5084" t="s">
        <v>1873</v>
      </c>
      <c r="E5084" t="s">
        <v>2108</v>
      </c>
      <c r="F5084" t="s">
        <v>23</v>
      </c>
      <c r="G5084" t="s">
        <v>39</v>
      </c>
      <c r="H5084" t="s">
        <v>25</v>
      </c>
      <c r="I5084" t="s">
        <v>26</v>
      </c>
      <c r="J5084" t="s">
        <v>27</v>
      </c>
      <c r="K5084" t="s">
        <v>32</v>
      </c>
      <c r="L5084" s="2">
        <v>2.2000000000000002</v>
      </c>
      <c r="M5084" s="3">
        <v>1005</v>
      </c>
      <c r="N5084">
        <v>4</v>
      </c>
      <c r="O5084">
        <v>4</v>
      </c>
      <c r="P5084">
        <v>1</v>
      </c>
      <c r="Q5084">
        <v>0</v>
      </c>
      <c r="R5084" s="4">
        <v>17.43</v>
      </c>
      <c r="S5084">
        <v>0</v>
      </c>
      <c r="T5084">
        <v>1</v>
      </c>
    </row>
    <row r="5085" spans="1:20" ht="16.5" x14ac:dyDescent="0.3">
      <c r="A5085" t="s">
        <v>5139</v>
      </c>
      <c r="B5085" s="1">
        <v>45979</v>
      </c>
      <c r="C5085">
        <v>2025</v>
      </c>
      <c r="D5085" t="s">
        <v>1873</v>
      </c>
      <c r="E5085" t="s">
        <v>2108</v>
      </c>
      <c r="F5085" t="s">
        <v>34</v>
      </c>
      <c r="G5085" t="s">
        <v>35</v>
      </c>
      <c r="H5085" t="s">
        <v>48</v>
      </c>
      <c r="I5085" t="s">
        <v>31</v>
      </c>
      <c r="J5085" t="s">
        <v>27</v>
      </c>
      <c r="K5085" t="s">
        <v>28</v>
      </c>
      <c r="L5085" s="2">
        <v>195.8</v>
      </c>
      <c r="M5085" s="3">
        <v>456</v>
      </c>
      <c r="N5085">
        <v>6</v>
      </c>
      <c r="O5085">
        <v>6</v>
      </c>
      <c r="P5085">
        <v>1</v>
      </c>
      <c r="Q5085">
        <v>0</v>
      </c>
      <c r="R5085" s="4">
        <v>55.13</v>
      </c>
      <c r="S5085">
        <v>0</v>
      </c>
      <c r="T5085">
        <v>1</v>
      </c>
    </row>
    <row r="5086" spans="1:20" ht="16.5" x14ac:dyDescent="0.3">
      <c r="A5086" t="s">
        <v>5140</v>
      </c>
      <c r="B5086" s="1">
        <v>45979</v>
      </c>
      <c r="C5086">
        <v>2025</v>
      </c>
      <c r="D5086" t="s">
        <v>1873</v>
      </c>
      <c r="E5086" t="s">
        <v>2108</v>
      </c>
      <c r="F5086" t="s">
        <v>57</v>
      </c>
      <c r="G5086" t="s">
        <v>35</v>
      </c>
      <c r="H5086" t="s">
        <v>25</v>
      </c>
      <c r="I5086" t="s">
        <v>26</v>
      </c>
      <c r="J5086" t="s">
        <v>27</v>
      </c>
      <c r="K5086" t="s">
        <v>32</v>
      </c>
      <c r="L5086" s="2">
        <v>3</v>
      </c>
      <c r="M5086" s="3">
        <v>883</v>
      </c>
      <c r="N5086">
        <v>4</v>
      </c>
      <c r="O5086">
        <v>4</v>
      </c>
      <c r="P5086">
        <v>1</v>
      </c>
      <c r="Q5086">
        <v>0</v>
      </c>
      <c r="R5086" s="4">
        <v>17.100000000000001</v>
      </c>
      <c r="S5086">
        <v>0</v>
      </c>
      <c r="T5086">
        <v>1</v>
      </c>
    </row>
    <row r="5087" spans="1:20" ht="16.5" x14ac:dyDescent="0.3">
      <c r="A5087" t="s">
        <v>5141</v>
      </c>
      <c r="B5087" s="1">
        <v>45979</v>
      </c>
      <c r="C5087">
        <v>2025</v>
      </c>
      <c r="D5087" t="s">
        <v>1873</v>
      </c>
      <c r="E5087" t="s">
        <v>2108</v>
      </c>
      <c r="F5087" t="s">
        <v>34</v>
      </c>
      <c r="G5087" t="s">
        <v>24</v>
      </c>
      <c r="H5087" t="s">
        <v>48</v>
      </c>
      <c r="I5087" t="s">
        <v>26</v>
      </c>
      <c r="J5087" t="s">
        <v>27</v>
      </c>
      <c r="K5087" t="s">
        <v>32</v>
      </c>
      <c r="L5087" s="2">
        <v>2</v>
      </c>
      <c r="M5087" s="3">
        <v>580</v>
      </c>
      <c r="N5087">
        <v>4</v>
      </c>
      <c r="O5087">
        <v>4</v>
      </c>
      <c r="P5087">
        <v>1</v>
      </c>
      <c r="Q5087">
        <v>0</v>
      </c>
      <c r="R5087" s="4">
        <v>11.43</v>
      </c>
      <c r="S5087">
        <v>0</v>
      </c>
      <c r="T5087">
        <v>1</v>
      </c>
    </row>
    <row r="5088" spans="1:20" ht="16.5" x14ac:dyDescent="0.3">
      <c r="A5088" t="s">
        <v>5142</v>
      </c>
      <c r="B5088" s="1">
        <v>45979</v>
      </c>
      <c r="C5088">
        <v>2025</v>
      </c>
      <c r="D5088" t="s">
        <v>1873</v>
      </c>
      <c r="E5088" t="s">
        <v>2108</v>
      </c>
      <c r="F5088" t="s">
        <v>30</v>
      </c>
      <c r="G5088" t="s">
        <v>39</v>
      </c>
      <c r="H5088" t="s">
        <v>51</v>
      </c>
      <c r="I5088" t="s">
        <v>26</v>
      </c>
      <c r="J5088" t="s">
        <v>27</v>
      </c>
      <c r="K5088" t="s">
        <v>32</v>
      </c>
      <c r="L5088" s="2">
        <v>7.5</v>
      </c>
      <c r="M5088" s="3">
        <v>928</v>
      </c>
      <c r="N5088">
        <v>5</v>
      </c>
      <c r="O5088">
        <v>5</v>
      </c>
      <c r="P5088">
        <v>1</v>
      </c>
      <c r="Q5088">
        <v>0</v>
      </c>
      <c r="R5088" s="4">
        <v>22.39</v>
      </c>
      <c r="S5088">
        <v>0</v>
      </c>
      <c r="T5088">
        <v>1</v>
      </c>
    </row>
    <row r="5089" spans="1:20" ht="16.5" x14ac:dyDescent="0.3">
      <c r="A5089" t="s">
        <v>5143</v>
      </c>
      <c r="B5089" s="1">
        <v>45979</v>
      </c>
      <c r="C5089">
        <v>2025</v>
      </c>
      <c r="D5089" t="s">
        <v>1873</v>
      </c>
      <c r="E5089" t="s">
        <v>2108</v>
      </c>
      <c r="F5089" t="s">
        <v>34</v>
      </c>
      <c r="G5089" t="s">
        <v>35</v>
      </c>
      <c r="H5089" t="s">
        <v>25</v>
      </c>
      <c r="I5089" t="s">
        <v>26</v>
      </c>
      <c r="J5089" t="s">
        <v>27</v>
      </c>
      <c r="K5089" t="s">
        <v>28</v>
      </c>
      <c r="L5089" s="2">
        <v>190.3</v>
      </c>
      <c r="M5089" s="3">
        <v>901</v>
      </c>
      <c r="N5089">
        <v>4</v>
      </c>
      <c r="O5089">
        <v>6</v>
      </c>
      <c r="P5089">
        <v>0</v>
      </c>
      <c r="Q5089">
        <v>2</v>
      </c>
      <c r="R5089" s="4">
        <v>73.31</v>
      </c>
      <c r="S5089">
        <v>0</v>
      </c>
      <c r="T5089">
        <v>1</v>
      </c>
    </row>
    <row r="5090" spans="1:20" ht="16.5" x14ac:dyDescent="0.3">
      <c r="A5090" t="s">
        <v>5144</v>
      </c>
      <c r="B5090" s="1">
        <v>45979</v>
      </c>
      <c r="C5090">
        <v>2025</v>
      </c>
      <c r="D5090" t="s">
        <v>1873</v>
      </c>
      <c r="E5090" t="s">
        <v>2108</v>
      </c>
      <c r="F5090" t="s">
        <v>57</v>
      </c>
      <c r="G5090" t="s">
        <v>39</v>
      </c>
      <c r="H5090" t="s">
        <v>43</v>
      </c>
      <c r="I5090" t="s">
        <v>31</v>
      </c>
      <c r="J5090" t="s">
        <v>27</v>
      </c>
      <c r="K5090" t="s">
        <v>32</v>
      </c>
      <c r="L5090" s="2">
        <v>10.8</v>
      </c>
      <c r="M5090" s="3">
        <v>1388</v>
      </c>
      <c r="N5090">
        <v>7</v>
      </c>
      <c r="O5090">
        <v>7</v>
      </c>
      <c r="P5090">
        <v>1</v>
      </c>
      <c r="Q5090">
        <v>0</v>
      </c>
      <c r="R5090" s="4">
        <v>20.49</v>
      </c>
      <c r="S5090">
        <v>0</v>
      </c>
      <c r="T5090">
        <v>1</v>
      </c>
    </row>
    <row r="5091" spans="1:20" ht="16.5" x14ac:dyDescent="0.3">
      <c r="A5091" t="s">
        <v>5145</v>
      </c>
      <c r="B5091" s="1">
        <v>45979</v>
      </c>
      <c r="C5091">
        <v>2025</v>
      </c>
      <c r="D5091" t="s">
        <v>1873</v>
      </c>
      <c r="E5091" t="s">
        <v>2108</v>
      </c>
      <c r="F5091" t="s">
        <v>23</v>
      </c>
      <c r="G5091" t="s">
        <v>35</v>
      </c>
      <c r="H5091" t="s">
        <v>51</v>
      </c>
      <c r="I5091" t="s">
        <v>26</v>
      </c>
      <c r="J5091" t="s">
        <v>27</v>
      </c>
      <c r="K5091" t="s">
        <v>28</v>
      </c>
      <c r="L5091" s="2">
        <v>246.1</v>
      </c>
      <c r="M5091" s="3">
        <v>1046</v>
      </c>
      <c r="N5091">
        <v>5</v>
      </c>
      <c r="O5091">
        <v>5</v>
      </c>
      <c r="P5091">
        <v>1</v>
      </c>
      <c r="Q5091">
        <v>0</v>
      </c>
      <c r="R5091" s="4">
        <v>109.18</v>
      </c>
      <c r="S5091">
        <v>0</v>
      </c>
      <c r="T5091">
        <v>1</v>
      </c>
    </row>
    <row r="5092" spans="1:20" ht="16.5" x14ac:dyDescent="0.3">
      <c r="A5092" t="s">
        <v>5146</v>
      </c>
      <c r="B5092" s="1">
        <v>45979</v>
      </c>
      <c r="C5092">
        <v>2025</v>
      </c>
      <c r="D5092" t="s">
        <v>1873</v>
      </c>
      <c r="E5092" t="s">
        <v>2108</v>
      </c>
      <c r="F5092" t="s">
        <v>38</v>
      </c>
      <c r="G5092" t="s">
        <v>24</v>
      </c>
      <c r="H5092" t="s">
        <v>25</v>
      </c>
      <c r="I5092" t="s">
        <v>26</v>
      </c>
      <c r="J5092" t="s">
        <v>27</v>
      </c>
      <c r="K5092" t="s">
        <v>32</v>
      </c>
      <c r="L5092" s="2">
        <v>8.9</v>
      </c>
      <c r="M5092" s="3">
        <v>772</v>
      </c>
      <c r="N5092">
        <v>4</v>
      </c>
      <c r="O5092">
        <v>3</v>
      </c>
      <c r="P5092">
        <v>1</v>
      </c>
      <c r="Q5092">
        <v>0</v>
      </c>
      <c r="R5092" s="4">
        <v>23.97</v>
      </c>
      <c r="S5092">
        <v>0</v>
      </c>
      <c r="T5092">
        <v>1</v>
      </c>
    </row>
    <row r="5093" spans="1:20" ht="16.5" x14ac:dyDescent="0.3">
      <c r="A5093" t="s">
        <v>5147</v>
      </c>
      <c r="B5093" s="1">
        <v>45979</v>
      </c>
      <c r="C5093">
        <v>2025</v>
      </c>
      <c r="D5093" t="s">
        <v>1873</v>
      </c>
      <c r="E5093" t="s">
        <v>2108</v>
      </c>
      <c r="F5093" t="s">
        <v>57</v>
      </c>
      <c r="G5093" t="s">
        <v>39</v>
      </c>
      <c r="H5093" t="s">
        <v>48</v>
      </c>
      <c r="I5093" t="s">
        <v>40</v>
      </c>
      <c r="J5093" t="s">
        <v>27</v>
      </c>
      <c r="K5093" t="s">
        <v>32</v>
      </c>
      <c r="L5093" s="2">
        <v>10.9</v>
      </c>
      <c r="M5093" s="3">
        <v>490</v>
      </c>
      <c r="N5093">
        <v>2</v>
      </c>
      <c r="O5093">
        <v>1</v>
      </c>
      <c r="P5093">
        <v>1</v>
      </c>
      <c r="Q5093">
        <v>0</v>
      </c>
      <c r="R5093" s="4">
        <v>38.28</v>
      </c>
      <c r="S5093">
        <v>0</v>
      </c>
      <c r="T5093">
        <v>1</v>
      </c>
    </row>
    <row r="5094" spans="1:20" ht="16.5" x14ac:dyDescent="0.3">
      <c r="A5094" t="s">
        <v>5148</v>
      </c>
      <c r="B5094" s="1">
        <v>45979</v>
      </c>
      <c r="C5094">
        <v>2025</v>
      </c>
      <c r="D5094" t="s">
        <v>1873</v>
      </c>
      <c r="E5094" t="s">
        <v>2108</v>
      </c>
      <c r="F5094" t="s">
        <v>38</v>
      </c>
      <c r="G5094" t="s">
        <v>39</v>
      </c>
      <c r="H5094" t="s">
        <v>36</v>
      </c>
      <c r="I5094" t="s">
        <v>31</v>
      </c>
      <c r="J5094" t="s">
        <v>27</v>
      </c>
      <c r="K5094" t="s">
        <v>32</v>
      </c>
      <c r="L5094" s="2">
        <v>2.9</v>
      </c>
      <c r="M5094" s="3">
        <v>291</v>
      </c>
      <c r="N5094">
        <v>5</v>
      </c>
      <c r="O5094">
        <v>5</v>
      </c>
      <c r="P5094">
        <v>1</v>
      </c>
      <c r="Q5094">
        <v>0</v>
      </c>
      <c r="R5094" s="4">
        <v>9.76</v>
      </c>
      <c r="S5094">
        <v>0</v>
      </c>
      <c r="T5094">
        <v>1</v>
      </c>
    </row>
    <row r="5095" spans="1:20" ht="16.5" x14ac:dyDescent="0.3">
      <c r="A5095" t="s">
        <v>5149</v>
      </c>
      <c r="B5095" s="1">
        <v>45979</v>
      </c>
      <c r="C5095">
        <v>2025</v>
      </c>
      <c r="D5095" t="s">
        <v>1873</v>
      </c>
      <c r="E5095" t="s">
        <v>2108</v>
      </c>
      <c r="F5095" t="s">
        <v>38</v>
      </c>
      <c r="G5095" t="s">
        <v>39</v>
      </c>
      <c r="H5095" t="s">
        <v>43</v>
      </c>
      <c r="I5095" t="s">
        <v>40</v>
      </c>
      <c r="J5095" t="s">
        <v>41</v>
      </c>
      <c r="K5095" t="s">
        <v>32</v>
      </c>
      <c r="L5095" s="2">
        <v>5.9</v>
      </c>
      <c r="M5095" s="3">
        <v>1237</v>
      </c>
      <c r="N5095">
        <v>3</v>
      </c>
      <c r="O5095">
        <v>2</v>
      </c>
      <c r="P5095">
        <v>1</v>
      </c>
      <c r="Q5095">
        <v>0</v>
      </c>
      <c r="R5095" s="4">
        <v>83.98</v>
      </c>
      <c r="S5095">
        <v>0</v>
      </c>
      <c r="T5095">
        <v>1</v>
      </c>
    </row>
    <row r="5096" spans="1:20" ht="16.5" x14ac:dyDescent="0.3">
      <c r="A5096" t="s">
        <v>5150</v>
      </c>
      <c r="B5096" s="1">
        <v>45979</v>
      </c>
      <c r="C5096">
        <v>2025</v>
      </c>
      <c r="D5096" t="s">
        <v>1873</v>
      </c>
      <c r="E5096" t="s">
        <v>2108</v>
      </c>
      <c r="F5096" t="s">
        <v>38</v>
      </c>
      <c r="G5096" t="s">
        <v>39</v>
      </c>
      <c r="H5096" t="s">
        <v>48</v>
      </c>
      <c r="I5096" t="s">
        <v>40</v>
      </c>
      <c r="J5096" t="s">
        <v>27</v>
      </c>
      <c r="K5096" t="s">
        <v>32</v>
      </c>
      <c r="L5096" s="2">
        <v>7.5</v>
      </c>
      <c r="M5096" s="3">
        <v>360</v>
      </c>
      <c r="N5096">
        <v>2</v>
      </c>
      <c r="O5096">
        <v>2</v>
      </c>
      <c r="P5096">
        <v>1</v>
      </c>
      <c r="Q5096">
        <v>0</v>
      </c>
      <c r="R5096" s="4">
        <v>32.47</v>
      </c>
      <c r="S5096">
        <v>0</v>
      </c>
      <c r="T5096">
        <v>1</v>
      </c>
    </row>
    <row r="5097" spans="1:20" ht="16.5" x14ac:dyDescent="0.3">
      <c r="A5097" t="s">
        <v>5151</v>
      </c>
      <c r="B5097" s="1">
        <v>45979</v>
      </c>
      <c r="C5097">
        <v>2025</v>
      </c>
      <c r="D5097" t="s">
        <v>1873</v>
      </c>
      <c r="E5097" t="s">
        <v>2108</v>
      </c>
      <c r="F5097" t="s">
        <v>57</v>
      </c>
      <c r="G5097" t="s">
        <v>39</v>
      </c>
      <c r="H5097" t="s">
        <v>48</v>
      </c>
      <c r="I5097" t="s">
        <v>26</v>
      </c>
      <c r="J5097" t="s">
        <v>27</v>
      </c>
      <c r="K5097" t="s">
        <v>32</v>
      </c>
      <c r="L5097" s="2">
        <v>9.3000000000000007</v>
      </c>
      <c r="M5097" s="3">
        <v>544</v>
      </c>
      <c r="N5097">
        <v>4</v>
      </c>
      <c r="O5097">
        <v>4</v>
      </c>
      <c r="P5097">
        <v>1</v>
      </c>
      <c r="Q5097">
        <v>0</v>
      </c>
      <c r="R5097" s="4">
        <v>19.739999999999998</v>
      </c>
      <c r="S5097">
        <v>0</v>
      </c>
      <c r="T5097">
        <v>1</v>
      </c>
    </row>
    <row r="5098" spans="1:20" ht="16.5" x14ac:dyDescent="0.3">
      <c r="A5098" t="s">
        <v>5152</v>
      </c>
      <c r="B5098" s="1">
        <v>45979</v>
      </c>
      <c r="C5098">
        <v>2025</v>
      </c>
      <c r="D5098" t="s">
        <v>1873</v>
      </c>
      <c r="E5098" t="s">
        <v>2108</v>
      </c>
      <c r="F5098" t="s">
        <v>38</v>
      </c>
      <c r="G5098" t="s">
        <v>35</v>
      </c>
      <c r="H5098" t="s">
        <v>48</v>
      </c>
      <c r="I5098" t="s">
        <v>31</v>
      </c>
      <c r="J5098" t="s">
        <v>27</v>
      </c>
      <c r="K5098" t="s">
        <v>28</v>
      </c>
      <c r="L5098" s="2">
        <v>25.2</v>
      </c>
      <c r="M5098" s="3">
        <v>452</v>
      </c>
      <c r="N5098">
        <v>6</v>
      </c>
      <c r="O5098">
        <v>5</v>
      </c>
      <c r="P5098">
        <v>1</v>
      </c>
      <c r="Q5098">
        <v>0</v>
      </c>
      <c r="R5098" s="4">
        <v>19.14</v>
      </c>
      <c r="S5098">
        <v>0</v>
      </c>
      <c r="T5098">
        <v>1</v>
      </c>
    </row>
    <row r="5099" spans="1:20" ht="16.5" x14ac:dyDescent="0.3">
      <c r="A5099" t="s">
        <v>5153</v>
      </c>
      <c r="B5099" s="1">
        <v>45979</v>
      </c>
      <c r="C5099">
        <v>2025</v>
      </c>
      <c r="D5099" t="s">
        <v>1873</v>
      </c>
      <c r="E5099" t="s">
        <v>2108</v>
      </c>
      <c r="F5099" t="s">
        <v>34</v>
      </c>
      <c r="G5099" t="s">
        <v>39</v>
      </c>
      <c r="H5099" t="s">
        <v>25</v>
      </c>
      <c r="I5099" t="s">
        <v>40</v>
      </c>
      <c r="J5099" t="s">
        <v>41</v>
      </c>
      <c r="K5099" t="s">
        <v>32</v>
      </c>
      <c r="L5099" s="2">
        <v>2.1</v>
      </c>
      <c r="M5099" s="3">
        <v>890</v>
      </c>
      <c r="N5099">
        <v>2</v>
      </c>
      <c r="O5099">
        <v>1</v>
      </c>
      <c r="P5099">
        <v>1</v>
      </c>
      <c r="Q5099">
        <v>0</v>
      </c>
      <c r="R5099" s="4">
        <v>48.9</v>
      </c>
      <c r="S5099">
        <v>0</v>
      </c>
      <c r="T5099">
        <v>1</v>
      </c>
    </row>
    <row r="5100" spans="1:20" ht="16.5" x14ac:dyDescent="0.3">
      <c r="A5100" t="s">
        <v>5154</v>
      </c>
      <c r="B5100" s="1">
        <v>45979</v>
      </c>
      <c r="C5100">
        <v>2025</v>
      </c>
      <c r="D5100" t="s">
        <v>1873</v>
      </c>
      <c r="E5100" t="s">
        <v>2108</v>
      </c>
      <c r="F5100" t="s">
        <v>23</v>
      </c>
      <c r="G5100" t="s">
        <v>24</v>
      </c>
      <c r="H5100" t="s">
        <v>48</v>
      </c>
      <c r="I5100" t="s">
        <v>31</v>
      </c>
      <c r="J5100" t="s">
        <v>27</v>
      </c>
      <c r="K5100" t="s">
        <v>32</v>
      </c>
      <c r="L5100" s="2">
        <v>3.3</v>
      </c>
      <c r="M5100" s="3">
        <v>569</v>
      </c>
      <c r="N5100">
        <v>6</v>
      </c>
      <c r="O5100">
        <v>6</v>
      </c>
      <c r="P5100">
        <v>1</v>
      </c>
      <c r="Q5100">
        <v>0</v>
      </c>
      <c r="R5100" s="4">
        <v>10.6</v>
      </c>
      <c r="S5100">
        <v>0</v>
      </c>
      <c r="T5100">
        <v>1</v>
      </c>
    </row>
    <row r="5101" spans="1:20" ht="16.5" x14ac:dyDescent="0.3">
      <c r="A5101" t="s">
        <v>5155</v>
      </c>
      <c r="B5101" s="1">
        <v>45979</v>
      </c>
      <c r="C5101">
        <v>2025</v>
      </c>
      <c r="D5101" t="s">
        <v>1873</v>
      </c>
      <c r="E5101" t="s">
        <v>2108</v>
      </c>
      <c r="F5101" t="s">
        <v>38</v>
      </c>
      <c r="G5101" t="s">
        <v>39</v>
      </c>
      <c r="H5101" t="s">
        <v>48</v>
      </c>
      <c r="I5101" t="s">
        <v>26</v>
      </c>
      <c r="J5101" t="s">
        <v>27</v>
      </c>
      <c r="K5101" t="s">
        <v>32</v>
      </c>
      <c r="L5101" s="2">
        <v>11.8</v>
      </c>
      <c r="M5101" s="3">
        <v>487</v>
      </c>
      <c r="N5101">
        <v>4</v>
      </c>
      <c r="O5101">
        <v>4</v>
      </c>
      <c r="P5101">
        <v>1</v>
      </c>
      <c r="Q5101">
        <v>0</v>
      </c>
      <c r="R5101" s="4">
        <v>21.82</v>
      </c>
      <c r="S5101">
        <v>0</v>
      </c>
      <c r="T5101">
        <v>1</v>
      </c>
    </row>
    <row r="5102" spans="1:20" ht="16.5" x14ac:dyDescent="0.3">
      <c r="A5102" t="s">
        <v>5156</v>
      </c>
      <c r="B5102" s="1">
        <v>45979</v>
      </c>
      <c r="C5102">
        <v>2025</v>
      </c>
      <c r="D5102" t="s">
        <v>1873</v>
      </c>
      <c r="E5102" t="s">
        <v>2108</v>
      </c>
      <c r="F5102" t="s">
        <v>57</v>
      </c>
      <c r="G5102" t="s">
        <v>35</v>
      </c>
      <c r="H5102" t="s">
        <v>43</v>
      </c>
      <c r="I5102" t="s">
        <v>40</v>
      </c>
      <c r="J5102" t="s">
        <v>41</v>
      </c>
      <c r="K5102" t="s">
        <v>32</v>
      </c>
      <c r="L5102" s="2">
        <v>10</v>
      </c>
      <c r="M5102" s="3">
        <v>1381</v>
      </c>
      <c r="N5102">
        <v>3</v>
      </c>
      <c r="O5102">
        <v>3</v>
      </c>
      <c r="P5102">
        <v>1</v>
      </c>
      <c r="Q5102">
        <v>0</v>
      </c>
      <c r="R5102" s="4">
        <v>94.71</v>
      </c>
      <c r="S5102">
        <v>0</v>
      </c>
      <c r="T5102">
        <v>1</v>
      </c>
    </row>
    <row r="5103" spans="1:20" ht="16.5" x14ac:dyDescent="0.3">
      <c r="A5103" t="s">
        <v>5157</v>
      </c>
      <c r="B5103" s="1">
        <v>45980</v>
      </c>
      <c r="C5103">
        <v>2025</v>
      </c>
      <c r="D5103" t="s">
        <v>1873</v>
      </c>
      <c r="E5103" t="s">
        <v>2108</v>
      </c>
      <c r="F5103" t="s">
        <v>57</v>
      </c>
      <c r="G5103" t="s">
        <v>24</v>
      </c>
      <c r="H5103" t="s">
        <v>36</v>
      </c>
      <c r="I5103" t="s">
        <v>26</v>
      </c>
      <c r="J5103" t="s">
        <v>27</v>
      </c>
      <c r="K5103" t="s">
        <v>32</v>
      </c>
      <c r="L5103" s="2">
        <v>3.2</v>
      </c>
      <c r="M5103" s="3">
        <v>279</v>
      </c>
      <c r="N5103">
        <v>3</v>
      </c>
      <c r="O5103">
        <v>3</v>
      </c>
      <c r="P5103">
        <v>1</v>
      </c>
      <c r="Q5103">
        <v>0</v>
      </c>
      <c r="R5103" s="4">
        <v>9.25</v>
      </c>
      <c r="S5103">
        <v>0</v>
      </c>
      <c r="T5103">
        <v>1</v>
      </c>
    </row>
    <row r="5104" spans="1:20" ht="16.5" x14ac:dyDescent="0.3">
      <c r="A5104" t="s">
        <v>5158</v>
      </c>
      <c r="B5104" s="1">
        <v>45980</v>
      </c>
      <c r="C5104">
        <v>2025</v>
      </c>
      <c r="D5104" t="s">
        <v>1873</v>
      </c>
      <c r="E5104" t="s">
        <v>2108</v>
      </c>
      <c r="F5104" t="s">
        <v>34</v>
      </c>
      <c r="G5104" t="s">
        <v>35</v>
      </c>
      <c r="H5104" t="s">
        <v>25</v>
      </c>
      <c r="I5104" t="s">
        <v>26</v>
      </c>
      <c r="J5104" t="s">
        <v>27</v>
      </c>
      <c r="K5104" t="s">
        <v>28</v>
      </c>
      <c r="L5104" s="2">
        <v>335.9</v>
      </c>
      <c r="M5104" s="3">
        <v>924</v>
      </c>
      <c r="N5104">
        <v>4</v>
      </c>
      <c r="O5104">
        <v>4</v>
      </c>
      <c r="P5104">
        <v>1</v>
      </c>
      <c r="Q5104">
        <v>0</v>
      </c>
      <c r="R5104" s="4">
        <v>123.5</v>
      </c>
      <c r="S5104">
        <v>0</v>
      </c>
      <c r="T5104">
        <v>1</v>
      </c>
    </row>
    <row r="5105" spans="1:20" ht="16.5" x14ac:dyDescent="0.3">
      <c r="A5105" t="s">
        <v>5159</v>
      </c>
      <c r="B5105" s="1">
        <v>45980</v>
      </c>
      <c r="C5105">
        <v>2025</v>
      </c>
      <c r="D5105" t="s">
        <v>1873</v>
      </c>
      <c r="E5105" t="s">
        <v>2108</v>
      </c>
      <c r="F5105" t="s">
        <v>57</v>
      </c>
      <c r="G5105" t="s">
        <v>35</v>
      </c>
      <c r="H5105" t="s">
        <v>25</v>
      </c>
      <c r="I5105" t="s">
        <v>26</v>
      </c>
      <c r="J5105" t="s">
        <v>27</v>
      </c>
      <c r="K5105" t="s">
        <v>32</v>
      </c>
      <c r="L5105" s="2">
        <v>5.3</v>
      </c>
      <c r="M5105" s="3">
        <v>832</v>
      </c>
      <c r="N5105">
        <v>4</v>
      </c>
      <c r="O5105">
        <v>4</v>
      </c>
      <c r="P5105">
        <v>1</v>
      </c>
      <c r="Q5105">
        <v>0</v>
      </c>
      <c r="R5105" s="4">
        <v>18.920000000000002</v>
      </c>
      <c r="S5105">
        <v>0</v>
      </c>
      <c r="T5105">
        <v>1</v>
      </c>
    </row>
    <row r="5106" spans="1:20" ht="16.5" x14ac:dyDescent="0.3">
      <c r="A5106" t="s">
        <v>5160</v>
      </c>
      <c r="B5106" s="1">
        <v>45980</v>
      </c>
      <c r="C5106">
        <v>2025</v>
      </c>
      <c r="D5106" t="s">
        <v>1873</v>
      </c>
      <c r="E5106" t="s">
        <v>2108</v>
      </c>
      <c r="F5106" t="s">
        <v>38</v>
      </c>
      <c r="G5106" t="s">
        <v>35</v>
      </c>
      <c r="H5106" t="s">
        <v>43</v>
      </c>
      <c r="I5106" t="s">
        <v>26</v>
      </c>
      <c r="J5106" t="s">
        <v>27</v>
      </c>
      <c r="K5106" t="s">
        <v>28</v>
      </c>
      <c r="L5106" s="2">
        <v>87.4</v>
      </c>
      <c r="M5106" s="3">
        <v>1275</v>
      </c>
      <c r="N5106">
        <v>5</v>
      </c>
      <c r="O5106">
        <v>9</v>
      </c>
      <c r="P5106">
        <v>0</v>
      </c>
      <c r="Q5106">
        <v>4</v>
      </c>
      <c r="R5106" s="4">
        <v>63.16</v>
      </c>
      <c r="S5106">
        <v>0</v>
      </c>
      <c r="T5106">
        <v>1</v>
      </c>
    </row>
    <row r="5107" spans="1:20" ht="16.5" x14ac:dyDescent="0.3">
      <c r="A5107" t="s">
        <v>5161</v>
      </c>
      <c r="B5107" s="1">
        <v>45980</v>
      </c>
      <c r="C5107">
        <v>2025</v>
      </c>
      <c r="D5107" t="s">
        <v>1873</v>
      </c>
      <c r="E5107" t="s">
        <v>2108</v>
      </c>
      <c r="F5107" t="s">
        <v>38</v>
      </c>
      <c r="G5107" t="s">
        <v>39</v>
      </c>
      <c r="H5107" t="s">
        <v>25</v>
      </c>
      <c r="I5107" t="s">
        <v>26</v>
      </c>
      <c r="J5107" t="s">
        <v>27</v>
      </c>
      <c r="K5107" t="s">
        <v>28</v>
      </c>
      <c r="L5107" s="2">
        <v>152.4</v>
      </c>
      <c r="M5107" s="3">
        <v>830</v>
      </c>
      <c r="N5107">
        <v>4</v>
      </c>
      <c r="O5107">
        <v>4</v>
      </c>
      <c r="P5107">
        <v>1</v>
      </c>
      <c r="Q5107">
        <v>0</v>
      </c>
      <c r="R5107" s="4">
        <v>81.260000000000005</v>
      </c>
      <c r="S5107">
        <v>0</v>
      </c>
      <c r="T5107">
        <v>1</v>
      </c>
    </row>
    <row r="5108" spans="1:20" ht="16.5" x14ac:dyDescent="0.3">
      <c r="A5108" t="s">
        <v>5162</v>
      </c>
      <c r="B5108" s="1">
        <v>45980</v>
      </c>
      <c r="C5108">
        <v>2025</v>
      </c>
      <c r="D5108" t="s">
        <v>1873</v>
      </c>
      <c r="E5108" t="s">
        <v>2108</v>
      </c>
      <c r="F5108" t="s">
        <v>30</v>
      </c>
      <c r="G5108" t="s">
        <v>35</v>
      </c>
      <c r="H5108" t="s">
        <v>25</v>
      </c>
      <c r="I5108" t="s">
        <v>26</v>
      </c>
      <c r="J5108" t="s">
        <v>27</v>
      </c>
      <c r="K5108" t="s">
        <v>28</v>
      </c>
      <c r="L5108" s="2">
        <v>247.2</v>
      </c>
      <c r="M5108" s="3">
        <v>985</v>
      </c>
      <c r="N5108">
        <v>4</v>
      </c>
      <c r="O5108">
        <v>4</v>
      </c>
      <c r="P5108">
        <v>1</v>
      </c>
      <c r="Q5108">
        <v>0</v>
      </c>
      <c r="R5108" s="4">
        <v>116.59</v>
      </c>
      <c r="S5108">
        <v>0</v>
      </c>
      <c r="T5108">
        <v>1</v>
      </c>
    </row>
    <row r="5109" spans="1:20" ht="16.5" x14ac:dyDescent="0.3">
      <c r="A5109" t="s">
        <v>5163</v>
      </c>
      <c r="B5109" s="1">
        <v>45980</v>
      </c>
      <c r="C5109">
        <v>2025</v>
      </c>
      <c r="D5109" t="s">
        <v>1873</v>
      </c>
      <c r="E5109" t="s">
        <v>2108</v>
      </c>
      <c r="F5109" t="s">
        <v>57</v>
      </c>
      <c r="G5109" t="s">
        <v>35</v>
      </c>
      <c r="H5109" t="s">
        <v>36</v>
      </c>
      <c r="I5109" t="s">
        <v>40</v>
      </c>
      <c r="J5109" t="s">
        <v>27</v>
      </c>
      <c r="K5109" t="s">
        <v>32</v>
      </c>
      <c r="L5109" s="2">
        <v>14.4</v>
      </c>
      <c r="M5109" s="3">
        <v>284</v>
      </c>
      <c r="N5109">
        <v>1</v>
      </c>
      <c r="O5109">
        <v>1</v>
      </c>
      <c r="P5109">
        <v>1</v>
      </c>
      <c r="Q5109">
        <v>0</v>
      </c>
      <c r="R5109" s="4">
        <v>32.69</v>
      </c>
      <c r="S5109">
        <v>0</v>
      </c>
      <c r="T5109">
        <v>1</v>
      </c>
    </row>
    <row r="5110" spans="1:20" ht="16.5" x14ac:dyDescent="0.3">
      <c r="A5110" t="s">
        <v>5164</v>
      </c>
      <c r="B5110" s="1">
        <v>45980</v>
      </c>
      <c r="C5110">
        <v>2025</v>
      </c>
      <c r="D5110" t="s">
        <v>1873</v>
      </c>
      <c r="E5110" t="s">
        <v>2108</v>
      </c>
      <c r="F5110" t="s">
        <v>57</v>
      </c>
      <c r="G5110" t="s">
        <v>39</v>
      </c>
      <c r="H5110" t="s">
        <v>25</v>
      </c>
      <c r="I5110" t="s">
        <v>31</v>
      </c>
      <c r="J5110" t="s">
        <v>27</v>
      </c>
      <c r="K5110" t="s">
        <v>28</v>
      </c>
      <c r="L5110" s="2">
        <v>26.6</v>
      </c>
      <c r="M5110" s="3">
        <v>1069</v>
      </c>
      <c r="N5110">
        <v>6</v>
      </c>
      <c r="O5110">
        <v>6</v>
      </c>
      <c r="P5110">
        <v>1</v>
      </c>
      <c r="Q5110">
        <v>0</v>
      </c>
      <c r="R5110" s="4">
        <v>22.86</v>
      </c>
      <c r="S5110">
        <v>0</v>
      </c>
      <c r="T5110">
        <v>1</v>
      </c>
    </row>
    <row r="5111" spans="1:20" ht="16.5" x14ac:dyDescent="0.3">
      <c r="A5111" t="s">
        <v>5165</v>
      </c>
      <c r="B5111" s="1">
        <v>45980</v>
      </c>
      <c r="C5111">
        <v>2025</v>
      </c>
      <c r="D5111" t="s">
        <v>1873</v>
      </c>
      <c r="E5111" t="s">
        <v>2108</v>
      </c>
      <c r="F5111" t="s">
        <v>38</v>
      </c>
      <c r="G5111" t="s">
        <v>39</v>
      </c>
      <c r="H5111" t="s">
        <v>36</v>
      </c>
      <c r="I5111" t="s">
        <v>40</v>
      </c>
      <c r="J5111" t="s">
        <v>27</v>
      </c>
      <c r="K5111" t="s">
        <v>32</v>
      </c>
      <c r="L5111" s="2">
        <v>1.9</v>
      </c>
      <c r="M5111" s="3">
        <v>205</v>
      </c>
      <c r="N5111">
        <v>1</v>
      </c>
      <c r="O5111">
        <v>4</v>
      </c>
      <c r="P5111">
        <v>0</v>
      </c>
      <c r="Q5111">
        <v>3</v>
      </c>
      <c r="R5111" s="4">
        <v>19.3</v>
      </c>
      <c r="S5111">
        <v>0</v>
      </c>
      <c r="T5111">
        <v>1</v>
      </c>
    </row>
    <row r="5112" spans="1:20" ht="16.5" x14ac:dyDescent="0.3">
      <c r="A5112" t="s">
        <v>5166</v>
      </c>
      <c r="B5112" s="1">
        <v>45980</v>
      </c>
      <c r="C5112">
        <v>2025</v>
      </c>
      <c r="D5112" t="s">
        <v>1873</v>
      </c>
      <c r="E5112" t="s">
        <v>2108</v>
      </c>
      <c r="F5112" t="s">
        <v>30</v>
      </c>
      <c r="G5112" t="s">
        <v>39</v>
      </c>
      <c r="H5112" t="s">
        <v>25</v>
      </c>
      <c r="I5112" t="s">
        <v>26</v>
      </c>
      <c r="J5112" t="s">
        <v>27</v>
      </c>
      <c r="K5112" t="s">
        <v>32</v>
      </c>
      <c r="L5112" s="2">
        <v>4.7</v>
      </c>
      <c r="M5112" s="3">
        <v>838</v>
      </c>
      <c r="N5112">
        <v>4</v>
      </c>
      <c r="O5112">
        <v>4</v>
      </c>
      <c r="P5112">
        <v>1</v>
      </c>
      <c r="Q5112">
        <v>0</v>
      </c>
      <c r="R5112" s="4">
        <v>18.579999999999998</v>
      </c>
      <c r="S5112">
        <v>0</v>
      </c>
      <c r="T5112">
        <v>1</v>
      </c>
    </row>
    <row r="5113" spans="1:20" ht="16.5" x14ac:dyDescent="0.3">
      <c r="A5113" t="s">
        <v>5167</v>
      </c>
      <c r="B5113" s="1">
        <v>45980</v>
      </c>
      <c r="C5113">
        <v>2025</v>
      </c>
      <c r="D5113" t="s">
        <v>1873</v>
      </c>
      <c r="E5113" t="s">
        <v>2108</v>
      </c>
      <c r="F5113" t="s">
        <v>34</v>
      </c>
      <c r="G5113" t="s">
        <v>35</v>
      </c>
      <c r="H5113" t="s">
        <v>48</v>
      </c>
      <c r="I5113" t="s">
        <v>40</v>
      </c>
      <c r="J5113" t="s">
        <v>27</v>
      </c>
      <c r="K5113" t="s">
        <v>28</v>
      </c>
      <c r="L5113" s="2">
        <v>36</v>
      </c>
      <c r="M5113" s="3">
        <v>386</v>
      </c>
      <c r="N5113">
        <v>2</v>
      </c>
      <c r="O5113">
        <v>2</v>
      </c>
      <c r="P5113">
        <v>1</v>
      </c>
      <c r="Q5113">
        <v>0</v>
      </c>
      <c r="R5113" s="4">
        <v>50.1</v>
      </c>
      <c r="S5113">
        <v>0</v>
      </c>
      <c r="T5113">
        <v>1</v>
      </c>
    </row>
    <row r="5114" spans="1:20" ht="16.5" x14ac:dyDescent="0.3">
      <c r="A5114" t="s">
        <v>5168</v>
      </c>
      <c r="B5114" s="1">
        <v>45980</v>
      </c>
      <c r="C5114">
        <v>2025</v>
      </c>
      <c r="D5114" t="s">
        <v>1873</v>
      </c>
      <c r="E5114" t="s">
        <v>2108</v>
      </c>
      <c r="F5114" t="s">
        <v>30</v>
      </c>
      <c r="G5114" t="s">
        <v>35</v>
      </c>
      <c r="H5114" t="s">
        <v>36</v>
      </c>
      <c r="I5114" t="s">
        <v>31</v>
      </c>
      <c r="J5114" t="s">
        <v>27</v>
      </c>
      <c r="K5114" t="s">
        <v>28</v>
      </c>
      <c r="L5114" s="2">
        <v>212.9</v>
      </c>
      <c r="M5114" s="3">
        <v>330</v>
      </c>
      <c r="N5114">
        <v>5</v>
      </c>
      <c r="O5114">
        <v>4</v>
      </c>
      <c r="P5114">
        <v>1</v>
      </c>
      <c r="Q5114">
        <v>0</v>
      </c>
      <c r="R5114" s="4">
        <v>75.19</v>
      </c>
      <c r="S5114">
        <v>0</v>
      </c>
      <c r="T5114">
        <v>1</v>
      </c>
    </row>
    <row r="5115" spans="1:20" ht="16.5" x14ac:dyDescent="0.3">
      <c r="A5115" t="s">
        <v>5169</v>
      </c>
      <c r="B5115" s="1">
        <v>45980</v>
      </c>
      <c r="C5115">
        <v>2025</v>
      </c>
      <c r="D5115" t="s">
        <v>1873</v>
      </c>
      <c r="E5115" t="s">
        <v>2108</v>
      </c>
      <c r="F5115" t="s">
        <v>34</v>
      </c>
      <c r="G5115" t="s">
        <v>35</v>
      </c>
      <c r="H5115" t="s">
        <v>36</v>
      </c>
      <c r="I5115" t="s">
        <v>26</v>
      </c>
      <c r="J5115" t="s">
        <v>27</v>
      </c>
      <c r="K5115" t="s">
        <v>32</v>
      </c>
      <c r="L5115" s="2">
        <v>16.5</v>
      </c>
      <c r="M5115" s="3">
        <v>307</v>
      </c>
      <c r="N5115">
        <v>3</v>
      </c>
      <c r="O5115">
        <v>6</v>
      </c>
      <c r="P5115">
        <v>0</v>
      </c>
      <c r="Q5115">
        <v>3</v>
      </c>
      <c r="R5115" s="4">
        <v>15.06</v>
      </c>
      <c r="S5115">
        <v>0</v>
      </c>
      <c r="T5115">
        <v>1</v>
      </c>
    </row>
    <row r="5116" spans="1:20" ht="16.5" x14ac:dyDescent="0.3">
      <c r="A5116" t="s">
        <v>5170</v>
      </c>
      <c r="B5116" s="1">
        <v>45980</v>
      </c>
      <c r="C5116">
        <v>2025</v>
      </c>
      <c r="D5116" t="s">
        <v>1873</v>
      </c>
      <c r="E5116" t="s">
        <v>2108</v>
      </c>
      <c r="F5116" t="s">
        <v>34</v>
      </c>
      <c r="G5116" t="s">
        <v>35</v>
      </c>
      <c r="H5116" t="s">
        <v>25</v>
      </c>
      <c r="I5116" t="s">
        <v>26</v>
      </c>
      <c r="J5116" t="s">
        <v>27</v>
      </c>
      <c r="K5116" t="s">
        <v>28</v>
      </c>
      <c r="L5116" s="2">
        <v>157.30000000000001</v>
      </c>
      <c r="M5116" s="3">
        <v>1138</v>
      </c>
      <c r="N5116">
        <v>4</v>
      </c>
      <c r="O5116">
        <v>5</v>
      </c>
      <c r="P5116">
        <v>0</v>
      </c>
      <c r="Q5116">
        <v>1</v>
      </c>
      <c r="R5116" s="4">
        <v>71.56</v>
      </c>
      <c r="S5116">
        <v>0</v>
      </c>
      <c r="T5116">
        <v>1</v>
      </c>
    </row>
    <row r="5117" spans="1:20" ht="16.5" x14ac:dyDescent="0.3">
      <c r="A5117" t="s">
        <v>5171</v>
      </c>
      <c r="B5117" s="1">
        <v>45980</v>
      </c>
      <c r="C5117">
        <v>2025</v>
      </c>
      <c r="D5117" t="s">
        <v>1873</v>
      </c>
      <c r="E5117" t="s">
        <v>2108</v>
      </c>
      <c r="F5117" t="s">
        <v>38</v>
      </c>
      <c r="G5117" t="s">
        <v>24</v>
      </c>
      <c r="H5117" t="s">
        <v>48</v>
      </c>
      <c r="I5117" t="s">
        <v>26</v>
      </c>
      <c r="J5117" t="s">
        <v>27</v>
      </c>
      <c r="K5117" t="s">
        <v>32</v>
      </c>
      <c r="L5117" s="2">
        <v>24.1</v>
      </c>
      <c r="M5117" s="3">
        <v>427</v>
      </c>
      <c r="N5117">
        <v>4</v>
      </c>
      <c r="O5117">
        <v>3</v>
      </c>
      <c r="P5117">
        <v>1</v>
      </c>
      <c r="Q5117">
        <v>0</v>
      </c>
      <c r="R5117" s="4">
        <v>23.64</v>
      </c>
      <c r="S5117">
        <v>0</v>
      </c>
      <c r="T5117">
        <v>1</v>
      </c>
    </row>
    <row r="5118" spans="1:20" ht="16.5" x14ac:dyDescent="0.3">
      <c r="A5118" t="s">
        <v>5172</v>
      </c>
      <c r="B5118" s="1">
        <v>45980</v>
      </c>
      <c r="C5118">
        <v>2025</v>
      </c>
      <c r="D5118" t="s">
        <v>1873</v>
      </c>
      <c r="E5118" t="s">
        <v>2108</v>
      </c>
      <c r="F5118" t="s">
        <v>34</v>
      </c>
      <c r="G5118" t="s">
        <v>39</v>
      </c>
      <c r="H5118" t="s">
        <v>51</v>
      </c>
      <c r="I5118" t="s">
        <v>26</v>
      </c>
      <c r="J5118" t="s">
        <v>27</v>
      </c>
      <c r="K5118" t="s">
        <v>32</v>
      </c>
      <c r="L5118" s="2">
        <v>2.9</v>
      </c>
      <c r="M5118" s="3">
        <v>825</v>
      </c>
      <c r="N5118">
        <v>5</v>
      </c>
      <c r="O5118">
        <v>8</v>
      </c>
      <c r="P5118">
        <v>0</v>
      </c>
      <c r="Q5118">
        <v>3</v>
      </c>
      <c r="R5118" s="4">
        <v>14.96</v>
      </c>
      <c r="S5118">
        <v>0</v>
      </c>
      <c r="T5118">
        <v>1</v>
      </c>
    </row>
    <row r="5119" spans="1:20" ht="16.5" x14ac:dyDescent="0.3">
      <c r="A5119" t="s">
        <v>5173</v>
      </c>
      <c r="B5119" s="1">
        <v>45980</v>
      </c>
      <c r="C5119">
        <v>2025</v>
      </c>
      <c r="D5119" t="s">
        <v>1873</v>
      </c>
      <c r="E5119" t="s">
        <v>2108</v>
      </c>
      <c r="F5119" t="s">
        <v>34</v>
      </c>
      <c r="G5119" t="s">
        <v>39</v>
      </c>
      <c r="H5119" t="s">
        <v>36</v>
      </c>
      <c r="I5119" t="s">
        <v>40</v>
      </c>
      <c r="J5119" t="s">
        <v>27</v>
      </c>
      <c r="K5119" t="s">
        <v>28</v>
      </c>
      <c r="L5119" s="2">
        <v>98.5</v>
      </c>
      <c r="M5119" s="3">
        <v>252</v>
      </c>
      <c r="N5119">
        <v>1</v>
      </c>
      <c r="O5119">
        <v>1</v>
      </c>
      <c r="P5119">
        <v>1</v>
      </c>
      <c r="Q5119">
        <v>0</v>
      </c>
      <c r="R5119" s="4">
        <v>83.18</v>
      </c>
      <c r="S5119">
        <v>0</v>
      </c>
      <c r="T5119">
        <v>1</v>
      </c>
    </row>
    <row r="5120" spans="1:20" ht="16.5" x14ac:dyDescent="0.3">
      <c r="A5120" t="s">
        <v>5174</v>
      </c>
      <c r="B5120" s="1">
        <v>45980</v>
      </c>
      <c r="C5120">
        <v>2025</v>
      </c>
      <c r="D5120" t="s">
        <v>1873</v>
      </c>
      <c r="E5120" t="s">
        <v>2108</v>
      </c>
      <c r="F5120" t="s">
        <v>38</v>
      </c>
      <c r="G5120" t="s">
        <v>39</v>
      </c>
      <c r="H5120" t="s">
        <v>48</v>
      </c>
      <c r="I5120" t="s">
        <v>31</v>
      </c>
      <c r="J5120" t="s">
        <v>27</v>
      </c>
      <c r="K5120" t="s">
        <v>32</v>
      </c>
      <c r="L5120" s="2">
        <v>4.2</v>
      </c>
      <c r="M5120" s="3">
        <v>519</v>
      </c>
      <c r="N5120">
        <v>6</v>
      </c>
      <c r="O5120">
        <v>5</v>
      </c>
      <c r="P5120">
        <v>1</v>
      </c>
      <c r="Q5120">
        <v>0</v>
      </c>
      <c r="R5120" s="4">
        <v>11.77</v>
      </c>
      <c r="S5120">
        <v>0</v>
      </c>
      <c r="T5120">
        <v>1</v>
      </c>
    </row>
    <row r="5121" spans="1:20" ht="16.5" x14ac:dyDescent="0.3">
      <c r="A5121" t="s">
        <v>5175</v>
      </c>
      <c r="B5121" s="1">
        <v>45980</v>
      </c>
      <c r="C5121">
        <v>2025</v>
      </c>
      <c r="D5121" t="s">
        <v>1873</v>
      </c>
      <c r="E5121" t="s">
        <v>2108</v>
      </c>
      <c r="F5121" t="s">
        <v>57</v>
      </c>
      <c r="G5121" t="s">
        <v>39</v>
      </c>
      <c r="H5121" t="s">
        <v>51</v>
      </c>
      <c r="I5121" t="s">
        <v>40</v>
      </c>
      <c r="J5121" t="s">
        <v>41</v>
      </c>
      <c r="K5121" t="s">
        <v>32</v>
      </c>
      <c r="L5121" s="2">
        <v>5.3</v>
      </c>
      <c r="M5121" s="3">
        <v>1250</v>
      </c>
      <c r="N5121">
        <v>3</v>
      </c>
      <c r="O5121">
        <v>2</v>
      </c>
      <c r="P5121">
        <v>1</v>
      </c>
      <c r="Q5121">
        <v>0</v>
      </c>
      <c r="R5121" s="4">
        <v>75.489999999999995</v>
      </c>
      <c r="S5121">
        <v>0</v>
      </c>
      <c r="T5121">
        <v>1</v>
      </c>
    </row>
    <row r="5122" spans="1:20" ht="16.5" x14ac:dyDescent="0.3">
      <c r="A5122" t="s">
        <v>5176</v>
      </c>
      <c r="B5122" s="1">
        <v>45980</v>
      </c>
      <c r="C5122">
        <v>2025</v>
      </c>
      <c r="D5122" t="s">
        <v>1873</v>
      </c>
      <c r="E5122" t="s">
        <v>2108</v>
      </c>
      <c r="F5122" t="s">
        <v>57</v>
      </c>
      <c r="G5122" t="s">
        <v>39</v>
      </c>
      <c r="H5122" t="s">
        <v>36</v>
      </c>
      <c r="I5122" t="s">
        <v>26</v>
      </c>
      <c r="J5122" t="s">
        <v>27</v>
      </c>
      <c r="K5122" t="s">
        <v>28</v>
      </c>
      <c r="L5122" s="2">
        <v>107.5</v>
      </c>
      <c r="M5122" s="3">
        <v>242</v>
      </c>
      <c r="N5122">
        <v>3</v>
      </c>
      <c r="O5122">
        <v>3</v>
      </c>
      <c r="P5122">
        <v>1</v>
      </c>
      <c r="Q5122">
        <v>0</v>
      </c>
      <c r="R5122" s="4">
        <v>61.55</v>
      </c>
      <c r="S5122">
        <v>0</v>
      </c>
      <c r="T5122">
        <v>1</v>
      </c>
    </row>
    <row r="5123" spans="1:20" ht="16.5" x14ac:dyDescent="0.3">
      <c r="A5123" t="s">
        <v>5177</v>
      </c>
      <c r="B5123" s="1">
        <v>45981</v>
      </c>
      <c r="C5123">
        <v>2025</v>
      </c>
      <c r="D5123" t="s">
        <v>1873</v>
      </c>
      <c r="E5123" t="s">
        <v>2108</v>
      </c>
      <c r="F5123" t="s">
        <v>57</v>
      </c>
      <c r="G5123" t="s">
        <v>24</v>
      </c>
      <c r="H5123" t="s">
        <v>36</v>
      </c>
      <c r="I5123" t="s">
        <v>26</v>
      </c>
      <c r="J5123" t="s">
        <v>27</v>
      </c>
      <c r="K5123" t="s">
        <v>32</v>
      </c>
      <c r="L5123" s="2">
        <v>2.7</v>
      </c>
      <c r="M5123" s="3">
        <v>288</v>
      </c>
      <c r="N5123">
        <v>3</v>
      </c>
      <c r="O5123">
        <v>2</v>
      </c>
      <c r="P5123">
        <v>1</v>
      </c>
      <c r="Q5123">
        <v>0</v>
      </c>
      <c r="R5123" s="4">
        <v>11.53</v>
      </c>
      <c r="S5123">
        <v>0</v>
      </c>
      <c r="T5123">
        <v>1</v>
      </c>
    </row>
    <row r="5124" spans="1:20" ht="16.5" x14ac:dyDescent="0.3">
      <c r="A5124" t="s">
        <v>5178</v>
      </c>
      <c r="B5124" s="1">
        <v>45981</v>
      </c>
      <c r="C5124">
        <v>2025</v>
      </c>
      <c r="D5124" t="s">
        <v>1873</v>
      </c>
      <c r="E5124" t="s">
        <v>2108</v>
      </c>
      <c r="F5124" t="s">
        <v>34</v>
      </c>
      <c r="G5124" t="s">
        <v>35</v>
      </c>
      <c r="H5124" t="s">
        <v>25</v>
      </c>
      <c r="I5124" t="s">
        <v>26</v>
      </c>
      <c r="J5124" t="s">
        <v>27</v>
      </c>
      <c r="K5124" t="s">
        <v>32</v>
      </c>
      <c r="L5124" s="2">
        <v>3.2</v>
      </c>
      <c r="M5124" s="3">
        <v>991</v>
      </c>
      <c r="N5124">
        <v>4</v>
      </c>
      <c r="O5124">
        <v>4</v>
      </c>
      <c r="P5124">
        <v>1</v>
      </c>
      <c r="Q5124">
        <v>0</v>
      </c>
      <c r="R5124" s="4">
        <v>17.72</v>
      </c>
      <c r="S5124">
        <v>0</v>
      </c>
      <c r="T5124">
        <v>1</v>
      </c>
    </row>
    <row r="5125" spans="1:20" ht="16.5" x14ac:dyDescent="0.3">
      <c r="A5125" t="s">
        <v>5179</v>
      </c>
      <c r="B5125" s="1">
        <v>45981</v>
      </c>
      <c r="C5125">
        <v>2025</v>
      </c>
      <c r="D5125" t="s">
        <v>1873</v>
      </c>
      <c r="E5125" t="s">
        <v>2108</v>
      </c>
      <c r="F5125" t="s">
        <v>23</v>
      </c>
      <c r="G5125" t="s">
        <v>39</v>
      </c>
      <c r="H5125" t="s">
        <v>43</v>
      </c>
      <c r="I5125" t="s">
        <v>26</v>
      </c>
      <c r="J5125" t="s">
        <v>27</v>
      </c>
      <c r="K5125" t="s">
        <v>32</v>
      </c>
      <c r="L5125" s="2">
        <v>4</v>
      </c>
      <c r="M5125" s="3">
        <v>824</v>
      </c>
      <c r="N5125">
        <v>5</v>
      </c>
      <c r="O5125">
        <v>5</v>
      </c>
      <c r="P5125">
        <v>1</v>
      </c>
      <c r="Q5125">
        <v>0</v>
      </c>
      <c r="R5125" s="4">
        <v>18.02</v>
      </c>
      <c r="S5125">
        <v>0</v>
      </c>
      <c r="T5125">
        <v>1</v>
      </c>
    </row>
    <row r="5126" spans="1:20" ht="16.5" x14ac:dyDescent="0.3">
      <c r="A5126" t="s">
        <v>5180</v>
      </c>
      <c r="B5126" s="1">
        <v>45981</v>
      </c>
      <c r="C5126">
        <v>2025</v>
      </c>
      <c r="D5126" t="s">
        <v>1873</v>
      </c>
      <c r="E5126" t="s">
        <v>2108</v>
      </c>
      <c r="F5126" t="s">
        <v>34</v>
      </c>
      <c r="G5126" t="s">
        <v>39</v>
      </c>
      <c r="H5126" t="s">
        <v>51</v>
      </c>
      <c r="I5126" t="s">
        <v>40</v>
      </c>
      <c r="J5126" t="s">
        <v>41</v>
      </c>
      <c r="K5126" t="s">
        <v>28</v>
      </c>
      <c r="L5126" s="2">
        <v>210.7</v>
      </c>
      <c r="M5126" s="3">
        <v>1087</v>
      </c>
      <c r="N5126">
        <v>3</v>
      </c>
      <c r="O5126">
        <v>3</v>
      </c>
      <c r="P5126">
        <v>1</v>
      </c>
      <c r="Q5126">
        <v>0</v>
      </c>
      <c r="R5126" s="4">
        <v>261.39</v>
      </c>
      <c r="S5126">
        <v>0</v>
      </c>
      <c r="T5126">
        <v>1</v>
      </c>
    </row>
    <row r="5127" spans="1:20" ht="16.5" x14ac:dyDescent="0.3">
      <c r="A5127" t="s">
        <v>5181</v>
      </c>
      <c r="B5127" s="1">
        <v>45981</v>
      </c>
      <c r="C5127">
        <v>2025</v>
      </c>
      <c r="D5127" t="s">
        <v>1873</v>
      </c>
      <c r="E5127" t="s">
        <v>2108</v>
      </c>
      <c r="F5127" t="s">
        <v>23</v>
      </c>
      <c r="G5127" t="s">
        <v>35</v>
      </c>
      <c r="H5127" t="s">
        <v>48</v>
      </c>
      <c r="I5127" t="s">
        <v>26</v>
      </c>
      <c r="J5127" t="s">
        <v>27</v>
      </c>
      <c r="K5127" t="s">
        <v>32</v>
      </c>
      <c r="L5127" s="2">
        <v>8.5</v>
      </c>
      <c r="M5127" s="3">
        <v>517</v>
      </c>
      <c r="N5127">
        <v>4</v>
      </c>
      <c r="O5127">
        <v>4</v>
      </c>
      <c r="P5127">
        <v>1</v>
      </c>
      <c r="Q5127">
        <v>0</v>
      </c>
      <c r="R5127" s="4">
        <v>16.420000000000002</v>
      </c>
      <c r="S5127">
        <v>0</v>
      </c>
      <c r="T5127">
        <v>1</v>
      </c>
    </row>
    <row r="5128" spans="1:20" ht="16.5" x14ac:dyDescent="0.3">
      <c r="A5128" t="s">
        <v>5182</v>
      </c>
      <c r="B5128" s="1">
        <v>45981</v>
      </c>
      <c r="C5128">
        <v>2025</v>
      </c>
      <c r="D5128" t="s">
        <v>1873</v>
      </c>
      <c r="E5128" t="s">
        <v>2108</v>
      </c>
      <c r="F5128" t="s">
        <v>57</v>
      </c>
      <c r="G5128" t="s">
        <v>35</v>
      </c>
      <c r="H5128" t="s">
        <v>25</v>
      </c>
      <c r="I5128" t="s">
        <v>31</v>
      </c>
      <c r="J5128" t="s">
        <v>27</v>
      </c>
      <c r="K5128" t="s">
        <v>28</v>
      </c>
      <c r="L5128" s="2">
        <v>58.5</v>
      </c>
      <c r="M5128" s="3">
        <v>722</v>
      </c>
      <c r="N5128">
        <v>6</v>
      </c>
      <c r="O5128">
        <v>6</v>
      </c>
      <c r="P5128">
        <v>1</v>
      </c>
      <c r="Q5128">
        <v>0</v>
      </c>
      <c r="R5128" s="4">
        <v>29.48</v>
      </c>
      <c r="S5128">
        <v>0</v>
      </c>
      <c r="T5128">
        <v>1</v>
      </c>
    </row>
    <row r="5129" spans="1:20" ht="16.5" x14ac:dyDescent="0.3">
      <c r="A5129" t="s">
        <v>5183</v>
      </c>
      <c r="B5129" s="1">
        <v>45981</v>
      </c>
      <c r="C5129">
        <v>2025</v>
      </c>
      <c r="D5129" t="s">
        <v>1873</v>
      </c>
      <c r="E5129" t="s">
        <v>2108</v>
      </c>
      <c r="F5129" t="s">
        <v>34</v>
      </c>
      <c r="G5129" t="s">
        <v>24</v>
      </c>
      <c r="H5129" t="s">
        <v>51</v>
      </c>
      <c r="I5129" t="s">
        <v>31</v>
      </c>
      <c r="J5129" t="s">
        <v>27</v>
      </c>
      <c r="K5129" t="s">
        <v>28</v>
      </c>
      <c r="L5129" s="2">
        <v>44.3</v>
      </c>
      <c r="M5129" s="3">
        <v>1031</v>
      </c>
      <c r="N5129">
        <v>7</v>
      </c>
      <c r="O5129">
        <v>7</v>
      </c>
      <c r="P5129">
        <v>1</v>
      </c>
      <c r="Q5129">
        <v>0</v>
      </c>
      <c r="R5129" s="4">
        <v>24.61</v>
      </c>
      <c r="S5129">
        <v>0</v>
      </c>
      <c r="T5129">
        <v>1</v>
      </c>
    </row>
    <row r="5130" spans="1:20" ht="16.5" x14ac:dyDescent="0.3">
      <c r="A5130" t="s">
        <v>5184</v>
      </c>
      <c r="B5130" s="1">
        <v>45981</v>
      </c>
      <c r="C5130">
        <v>2025</v>
      </c>
      <c r="D5130" t="s">
        <v>1873</v>
      </c>
      <c r="E5130" t="s">
        <v>2108</v>
      </c>
      <c r="F5130" t="s">
        <v>30</v>
      </c>
      <c r="G5130" t="s">
        <v>39</v>
      </c>
      <c r="H5130" t="s">
        <v>48</v>
      </c>
      <c r="I5130" t="s">
        <v>31</v>
      </c>
      <c r="J5130" t="s">
        <v>27</v>
      </c>
      <c r="K5130" t="s">
        <v>28</v>
      </c>
      <c r="L5130" s="2">
        <v>85.9</v>
      </c>
      <c r="M5130" s="3">
        <v>410</v>
      </c>
      <c r="N5130">
        <v>6</v>
      </c>
      <c r="O5130">
        <v>5</v>
      </c>
      <c r="P5130">
        <v>1</v>
      </c>
      <c r="Q5130">
        <v>0</v>
      </c>
      <c r="R5130" s="4">
        <v>34.049999999999997</v>
      </c>
      <c r="S5130">
        <v>0</v>
      </c>
      <c r="T5130">
        <v>1</v>
      </c>
    </row>
    <row r="5131" spans="1:20" ht="16.5" x14ac:dyDescent="0.3">
      <c r="A5131" t="s">
        <v>5185</v>
      </c>
      <c r="B5131" s="1">
        <v>45981</v>
      </c>
      <c r="C5131">
        <v>2025</v>
      </c>
      <c r="D5131" t="s">
        <v>1873</v>
      </c>
      <c r="E5131" t="s">
        <v>2108</v>
      </c>
      <c r="F5131" t="s">
        <v>38</v>
      </c>
      <c r="G5131" t="s">
        <v>39</v>
      </c>
      <c r="H5131" t="s">
        <v>51</v>
      </c>
      <c r="I5131" t="s">
        <v>40</v>
      </c>
      <c r="J5131" t="s">
        <v>41</v>
      </c>
      <c r="K5131" t="s">
        <v>28</v>
      </c>
      <c r="L5131" s="2">
        <v>218</v>
      </c>
      <c r="M5131" s="3">
        <v>946</v>
      </c>
      <c r="N5131">
        <v>3</v>
      </c>
      <c r="O5131">
        <v>3</v>
      </c>
      <c r="P5131">
        <v>1</v>
      </c>
      <c r="Q5131">
        <v>0</v>
      </c>
      <c r="R5131" s="4">
        <v>362.57</v>
      </c>
      <c r="S5131">
        <v>0</v>
      </c>
      <c r="T5131">
        <v>1</v>
      </c>
    </row>
    <row r="5132" spans="1:20" ht="16.5" x14ac:dyDescent="0.3">
      <c r="A5132" t="s">
        <v>5186</v>
      </c>
      <c r="B5132" s="1">
        <v>45981</v>
      </c>
      <c r="C5132">
        <v>2025</v>
      </c>
      <c r="D5132" t="s">
        <v>1873</v>
      </c>
      <c r="E5132" t="s">
        <v>2108</v>
      </c>
      <c r="F5132" t="s">
        <v>38</v>
      </c>
      <c r="G5132" t="s">
        <v>35</v>
      </c>
      <c r="H5132" t="s">
        <v>51</v>
      </c>
      <c r="I5132" t="s">
        <v>26</v>
      </c>
      <c r="J5132" t="s">
        <v>27</v>
      </c>
      <c r="K5132" t="s">
        <v>32</v>
      </c>
      <c r="L5132" s="2">
        <v>2.2000000000000002</v>
      </c>
      <c r="M5132" s="3">
        <v>1066</v>
      </c>
      <c r="N5132">
        <v>5</v>
      </c>
      <c r="O5132">
        <v>5</v>
      </c>
      <c r="P5132">
        <v>1</v>
      </c>
      <c r="Q5132">
        <v>0</v>
      </c>
      <c r="R5132" s="4">
        <v>23.24</v>
      </c>
      <c r="S5132">
        <v>0</v>
      </c>
      <c r="T5132">
        <v>1</v>
      </c>
    </row>
    <row r="5133" spans="1:20" ht="16.5" x14ac:dyDescent="0.3">
      <c r="A5133" t="s">
        <v>5187</v>
      </c>
      <c r="B5133" s="1">
        <v>45981</v>
      </c>
      <c r="C5133">
        <v>2025</v>
      </c>
      <c r="D5133" t="s">
        <v>1873</v>
      </c>
      <c r="E5133" t="s">
        <v>2108</v>
      </c>
      <c r="F5133" t="s">
        <v>57</v>
      </c>
      <c r="G5133" t="s">
        <v>39</v>
      </c>
      <c r="H5133" t="s">
        <v>36</v>
      </c>
      <c r="I5133" t="s">
        <v>31</v>
      </c>
      <c r="J5133" t="s">
        <v>27</v>
      </c>
      <c r="K5133" t="s">
        <v>28</v>
      </c>
      <c r="L5133" s="2">
        <v>85.1</v>
      </c>
      <c r="M5133" s="3">
        <v>253</v>
      </c>
      <c r="N5133">
        <v>5</v>
      </c>
      <c r="O5133">
        <v>7</v>
      </c>
      <c r="P5133">
        <v>0</v>
      </c>
      <c r="Q5133">
        <v>2</v>
      </c>
      <c r="R5133" s="4">
        <v>37.42</v>
      </c>
      <c r="S5133">
        <v>0</v>
      </c>
      <c r="T5133">
        <v>1</v>
      </c>
    </row>
    <row r="5134" spans="1:20" ht="16.5" x14ac:dyDescent="0.3">
      <c r="A5134" t="s">
        <v>5188</v>
      </c>
      <c r="B5134" s="1">
        <v>45981</v>
      </c>
      <c r="C5134">
        <v>2025</v>
      </c>
      <c r="D5134" t="s">
        <v>1873</v>
      </c>
      <c r="E5134" t="s">
        <v>2108</v>
      </c>
      <c r="F5134" t="s">
        <v>30</v>
      </c>
      <c r="G5134" t="s">
        <v>35</v>
      </c>
      <c r="H5134" t="s">
        <v>25</v>
      </c>
      <c r="I5134" t="s">
        <v>26</v>
      </c>
      <c r="J5134" t="s">
        <v>27</v>
      </c>
      <c r="K5134" t="s">
        <v>32</v>
      </c>
      <c r="L5134" s="2">
        <v>7.7</v>
      </c>
      <c r="M5134" s="3">
        <v>931</v>
      </c>
      <c r="N5134">
        <v>4</v>
      </c>
      <c r="O5134">
        <v>5</v>
      </c>
      <c r="P5134">
        <v>0</v>
      </c>
      <c r="Q5134">
        <v>1</v>
      </c>
      <c r="R5134" s="4">
        <v>20.7</v>
      </c>
      <c r="S5134">
        <v>0</v>
      </c>
      <c r="T5134">
        <v>1</v>
      </c>
    </row>
    <row r="5135" spans="1:20" ht="16.5" x14ac:dyDescent="0.3">
      <c r="A5135" t="s">
        <v>5189</v>
      </c>
      <c r="B5135" s="1">
        <v>45981</v>
      </c>
      <c r="C5135">
        <v>2025</v>
      </c>
      <c r="D5135" t="s">
        <v>1873</v>
      </c>
      <c r="E5135" t="s">
        <v>2108</v>
      </c>
      <c r="F5135" t="s">
        <v>38</v>
      </c>
      <c r="G5135" t="s">
        <v>39</v>
      </c>
      <c r="H5135" t="s">
        <v>51</v>
      </c>
      <c r="I5135" t="s">
        <v>40</v>
      </c>
      <c r="J5135" t="s">
        <v>41</v>
      </c>
      <c r="K5135" t="s">
        <v>28</v>
      </c>
      <c r="L5135" s="2">
        <v>65.8</v>
      </c>
      <c r="M5135" s="3">
        <v>1140</v>
      </c>
      <c r="N5135">
        <v>3</v>
      </c>
      <c r="O5135">
        <v>2</v>
      </c>
      <c r="P5135">
        <v>1</v>
      </c>
      <c r="Q5135">
        <v>0</v>
      </c>
      <c r="R5135" s="4">
        <v>180.4</v>
      </c>
      <c r="S5135">
        <v>0</v>
      </c>
      <c r="T5135">
        <v>1</v>
      </c>
    </row>
    <row r="5136" spans="1:20" ht="16.5" x14ac:dyDescent="0.3">
      <c r="A5136" t="s">
        <v>5190</v>
      </c>
      <c r="B5136" s="1">
        <v>45981</v>
      </c>
      <c r="C5136">
        <v>2025</v>
      </c>
      <c r="D5136" t="s">
        <v>1873</v>
      </c>
      <c r="E5136" t="s">
        <v>2108</v>
      </c>
      <c r="F5136" t="s">
        <v>57</v>
      </c>
      <c r="G5136" t="s">
        <v>35</v>
      </c>
      <c r="H5136" t="s">
        <v>48</v>
      </c>
      <c r="I5136" t="s">
        <v>26</v>
      </c>
      <c r="J5136" t="s">
        <v>27</v>
      </c>
      <c r="K5136" t="s">
        <v>32</v>
      </c>
      <c r="L5136" s="2">
        <v>2.2000000000000002</v>
      </c>
      <c r="M5136" s="3">
        <v>500</v>
      </c>
      <c r="N5136">
        <v>4</v>
      </c>
      <c r="O5136">
        <v>4</v>
      </c>
      <c r="P5136">
        <v>1</v>
      </c>
      <c r="Q5136">
        <v>0</v>
      </c>
      <c r="R5136" s="4">
        <v>15.13</v>
      </c>
      <c r="S5136">
        <v>0</v>
      </c>
      <c r="T5136">
        <v>1</v>
      </c>
    </row>
    <row r="5137" spans="1:20" ht="16.5" x14ac:dyDescent="0.3">
      <c r="A5137" t="s">
        <v>5191</v>
      </c>
      <c r="B5137" s="1">
        <v>45982</v>
      </c>
      <c r="C5137">
        <v>2025</v>
      </c>
      <c r="D5137" t="s">
        <v>1873</v>
      </c>
      <c r="E5137" t="s">
        <v>2108</v>
      </c>
      <c r="F5137" t="s">
        <v>38</v>
      </c>
      <c r="G5137" t="s">
        <v>35</v>
      </c>
      <c r="H5137" t="s">
        <v>51</v>
      </c>
      <c r="I5137" t="s">
        <v>26</v>
      </c>
      <c r="J5137" t="s">
        <v>27</v>
      </c>
      <c r="K5137" t="s">
        <v>28</v>
      </c>
      <c r="L5137" s="2">
        <v>218.4</v>
      </c>
      <c r="M5137" s="3">
        <v>952</v>
      </c>
      <c r="N5137">
        <v>5</v>
      </c>
      <c r="O5137">
        <v>5</v>
      </c>
      <c r="P5137">
        <v>1</v>
      </c>
      <c r="Q5137">
        <v>0</v>
      </c>
      <c r="R5137" s="4">
        <v>110.38</v>
      </c>
      <c r="S5137">
        <v>0</v>
      </c>
      <c r="T5137">
        <v>1</v>
      </c>
    </row>
    <row r="5138" spans="1:20" ht="16.5" x14ac:dyDescent="0.3">
      <c r="A5138" t="s">
        <v>5192</v>
      </c>
      <c r="B5138" s="1">
        <v>45982</v>
      </c>
      <c r="C5138">
        <v>2025</v>
      </c>
      <c r="D5138" t="s">
        <v>1873</v>
      </c>
      <c r="E5138" t="s">
        <v>2108</v>
      </c>
      <c r="F5138" t="s">
        <v>57</v>
      </c>
      <c r="G5138" t="s">
        <v>39</v>
      </c>
      <c r="H5138" t="s">
        <v>25</v>
      </c>
      <c r="I5138" t="s">
        <v>26</v>
      </c>
      <c r="J5138" t="s">
        <v>27</v>
      </c>
      <c r="K5138" t="s">
        <v>28</v>
      </c>
      <c r="L5138" s="2">
        <v>207.6</v>
      </c>
      <c r="M5138" s="3">
        <v>874</v>
      </c>
      <c r="N5138">
        <v>4</v>
      </c>
      <c r="O5138">
        <v>4</v>
      </c>
      <c r="P5138">
        <v>1</v>
      </c>
      <c r="Q5138">
        <v>0</v>
      </c>
      <c r="R5138" s="4">
        <v>91.17</v>
      </c>
      <c r="S5138">
        <v>0</v>
      </c>
      <c r="T5138">
        <v>1</v>
      </c>
    </row>
    <row r="5139" spans="1:20" ht="16.5" x14ac:dyDescent="0.3">
      <c r="A5139" t="s">
        <v>5193</v>
      </c>
      <c r="B5139" s="1">
        <v>45982</v>
      </c>
      <c r="C5139">
        <v>2025</v>
      </c>
      <c r="D5139" t="s">
        <v>1873</v>
      </c>
      <c r="E5139" t="s">
        <v>2108</v>
      </c>
      <c r="F5139" t="s">
        <v>30</v>
      </c>
      <c r="G5139" t="s">
        <v>24</v>
      </c>
      <c r="H5139" t="s">
        <v>36</v>
      </c>
      <c r="I5139" t="s">
        <v>31</v>
      </c>
      <c r="J5139" t="s">
        <v>27</v>
      </c>
      <c r="K5139" t="s">
        <v>28</v>
      </c>
      <c r="L5139" s="2">
        <v>47.4</v>
      </c>
      <c r="M5139" s="3">
        <v>260</v>
      </c>
      <c r="N5139">
        <v>5</v>
      </c>
      <c r="O5139">
        <v>5</v>
      </c>
      <c r="P5139">
        <v>1</v>
      </c>
      <c r="Q5139">
        <v>0</v>
      </c>
      <c r="R5139" s="4">
        <v>24.16</v>
      </c>
      <c r="S5139">
        <v>0</v>
      </c>
      <c r="T5139">
        <v>1</v>
      </c>
    </row>
    <row r="5140" spans="1:20" ht="16.5" x14ac:dyDescent="0.3">
      <c r="A5140" t="s">
        <v>5194</v>
      </c>
      <c r="B5140" s="1">
        <v>45982</v>
      </c>
      <c r="C5140">
        <v>2025</v>
      </c>
      <c r="D5140" t="s">
        <v>1873</v>
      </c>
      <c r="E5140" t="s">
        <v>2108</v>
      </c>
      <c r="F5140" t="s">
        <v>38</v>
      </c>
      <c r="G5140" t="s">
        <v>24</v>
      </c>
      <c r="H5140" t="s">
        <v>48</v>
      </c>
      <c r="I5140" t="s">
        <v>26</v>
      </c>
      <c r="J5140" t="s">
        <v>27</v>
      </c>
      <c r="K5140" t="s">
        <v>32</v>
      </c>
      <c r="L5140" s="2">
        <v>14.3</v>
      </c>
      <c r="M5140" s="3">
        <v>379</v>
      </c>
      <c r="N5140">
        <v>4</v>
      </c>
      <c r="O5140">
        <v>7</v>
      </c>
      <c r="P5140">
        <v>0</v>
      </c>
      <c r="Q5140">
        <v>3</v>
      </c>
      <c r="R5140" s="4">
        <v>21.98</v>
      </c>
      <c r="S5140">
        <v>0</v>
      </c>
      <c r="T5140">
        <v>1</v>
      </c>
    </row>
    <row r="5141" spans="1:20" ht="16.5" x14ac:dyDescent="0.3">
      <c r="A5141" t="s">
        <v>5195</v>
      </c>
      <c r="B5141" s="1">
        <v>45982</v>
      </c>
      <c r="C5141">
        <v>2025</v>
      </c>
      <c r="D5141" t="s">
        <v>1873</v>
      </c>
      <c r="E5141" t="s">
        <v>2108</v>
      </c>
      <c r="F5141" t="s">
        <v>57</v>
      </c>
      <c r="G5141" t="s">
        <v>35</v>
      </c>
      <c r="H5141" t="s">
        <v>48</v>
      </c>
      <c r="I5141" t="s">
        <v>31</v>
      </c>
      <c r="J5141" t="s">
        <v>27</v>
      </c>
      <c r="K5141" t="s">
        <v>28</v>
      </c>
      <c r="L5141" s="2">
        <v>90.9</v>
      </c>
      <c r="M5141" s="3">
        <v>474</v>
      </c>
      <c r="N5141">
        <v>6</v>
      </c>
      <c r="O5141">
        <v>8</v>
      </c>
      <c r="P5141">
        <v>0</v>
      </c>
      <c r="Q5141">
        <v>2</v>
      </c>
      <c r="R5141" s="4">
        <v>38.19</v>
      </c>
      <c r="S5141">
        <v>0</v>
      </c>
      <c r="T5141">
        <v>1</v>
      </c>
    </row>
    <row r="5142" spans="1:20" ht="16.5" x14ac:dyDescent="0.3">
      <c r="A5142" t="s">
        <v>5196</v>
      </c>
      <c r="B5142" s="1">
        <v>45982</v>
      </c>
      <c r="C5142">
        <v>2025</v>
      </c>
      <c r="D5142" t="s">
        <v>1873</v>
      </c>
      <c r="E5142" t="s">
        <v>2108</v>
      </c>
      <c r="F5142" t="s">
        <v>57</v>
      </c>
      <c r="G5142" t="s">
        <v>35</v>
      </c>
      <c r="H5142" t="s">
        <v>43</v>
      </c>
      <c r="I5142" t="s">
        <v>26</v>
      </c>
      <c r="J5142" t="s">
        <v>27</v>
      </c>
      <c r="K5142" t="s">
        <v>28</v>
      </c>
      <c r="L5142" s="2">
        <v>136.1</v>
      </c>
      <c r="M5142" s="3">
        <v>798</v>
      </c>
      <c r="N5142">
        <v>5</v>
      </c>
      <c r="O5142">
        <v>7</v>
      </c>
      <c r="P5142">
        <v>0</v>
      </c>
      <c r="Q5142">
        <v>2</v>
      </c>
      <c r="R5142" s="4">
        <v>77.23</v>
      </c>
      <c r="S5142">
        <v>0</v>
      </c>
      <c r="T5142">
        <v>1</v>
      </c>
    </row>
    <row r="5143" spans="1:20" ht="16.5" x14ac:dyDescent="0.3">
      <c r="A5143" t="s">
        <v>5197</v>
      </c>
      <c r="B5143" s="1">
        <v>45982</v>
      </c>
      <c r="C5143">
        <v>2025</v>
      </c>
      <c r="D5143" t="s">
        <v>1873</v>
      </c>
      <c r="E5143" t="s">
        <v>2108</v>
      </c>
      <c r="F5143" t="s">
        <v>34</v>
      </c>
      <c r="G5143" t="s">
        <v>24</v>
      </c>
      <c r="H5143" t="s">
        <v>48</v>
      </c>
      <c r="I5143" t="s">
        <v>40</v>
      </c>
      <c r="J5143" t="s">
        <v>27</v>
      </c>
      <c r="K5143" t="s">
        <v>32</v>
      </c>
      <c r="L5143" s="2">
        <v>9.1</v>
      </c>
      <c r="M5143" s="3">
        <v>455</v>
      </c>
      <c r="N5143">
        <v>2</v>
      </c>
      <c r="O5143">
        <v>2</v>
      </c>
      <c r="P5143">
        <v>1</v>
      </c>
      <c r="Q5143">
        <v>0</v>
      </c>
      <c r="R5143" s="4">
        <v>28.98</v>
      </c>
      <c r="S5143">
        <v>0</v>
      </c>
      <c r="T5143">
        <v>1</v>
      </c>
    </row>
    <row r="5144" spans="1:20" ht="16.5" x14ac:dyDescent="0.3">
      <c r="A5144" t="s">
        <v>5198</v>
      </c>
      <c r="B5144" s="1">
        <v>45983</v>
      </c>
      <c r="C5144">
        <v>2025</v>
      </c>
      <c r="D5144" t="s">
        <v>1873</v>
      </c>
      <c r="E5144" t="s">
        <v>2108</v>
      </c>
      <c r="F5144" t="s">
        <v>38</v>
      </c>
      <c r="G5144" t="s">
        <v>39</v>
      </c>
      <c r="H5144" t="s">
        <v>25</v>
      </c>
      <c r="I5144" t="s">
        <v>26</v>
      </c>
      <c r="J5144" t="s">
        <v>27</v>
      </c>
      <c r="K5144" t="s">
        <v>32</v>
      </c>
      <c r="L5144" s="2">
        <v>2.7</v>
      </c>
      <c r="M5144" s="3">
        <v>993</v>
      </c>
      <c r="N5144">
        <v>4</v>
      </c>
      <c r="O5144">
        <v>4</v>
      </c>
      <c r="P5144">
        <v>1</v>
      </c>
      <c r="Q5144">
        <v>0</v>
      </c>
      <c r="R5144" s="4">
        <v>22.92</v>
      </c>
      <c r="S5144">
        <v>0</v>
      </c>
      <c r="T5144">
        <v>1</v>
      </c>
    </row>
    <row r="5145" spans="1:20" ht="16.5" x14ac:dyDescent="0.3">
      <c r="A5145" t="s">
        <v>5199</v>
      </c>
      <c r="B5145" s="1">
        <v>45983</v>
      </c>
      <c r="C5145">
        <v>2025</v>
      </c>
      <c r="D5145" t="s">
        <v>1873</v>
      </c>
      <c r="E5145" t="s">
        <v>2108</v>
      </c>
      <c r="F5145" t="s">
        <v>34</v>
      </c>
      <c r="G5145" t="s">
        <v>39</v>
      </c>
      <c r="H5145" t="s">
        <v>36</v>
      </c>
      <c r="I5145" t="s">
        <v>26</v>
      </c>
      <c r="J5145" t="s">
        <v>27</v>
      </c>
      <c r="K5145" t="s">
        <v>32</v>
      </c>
      <c r="L5145" s="2">
        <v>15.1</v>
      </c>
      <c r="M5145" s="3">
        <v>290</v>
      </c>
      <c r="N5145">
        <v>3</v>
      </c>
      <c r="O5145">
        <v>3</v>
      </c>
      <c r="P5145">
        <v>1</v>
      </c>
      <c r="Q5145">
        <v>0</v>
      </c>
      <c r="R5145" s="4">
        <v>16.239999999999998</v>
      </c>
      <c r="S5145">
        <v>0</v>
      </c>
      <c r="T5145">
        <v>1</v>
      </c>
    </row>
    <row r="5146" spans="1:20" ht="16.5" x14ac:dyDescent="0.3">
      <c r="A5146" t="s">
        <v>5200</v>
      </c>
      <c r="B5146" s="1">
        <v>45983</v>
      </c>
      <c r="C5146">
        <v>2025</v>
      </c>
      <c r="D5146" t="s">
        <v>1873</v>
      </c>
      <c r="E5146" t="s">
        <v>2108</v>
      </c>
      <c r="F5146" t="s">
        <v>30</v>
      </c>
      <c r="G5146" t="s">
        <v>35</v>
      </c>
      <c r="H5146" t="s">
        <v>36</v>
      </c>
      <c r="I5146" t="s">
        <v>26</v>
      </c>
      <c r="J5146" t="s">
        <v>27</v>
      </c>
      <c r="K5146" t="s">
        <v>28</v>
      </c>
      <c r="L5146" s="2">
        <v>34.4</v>
      </c>
      <c r="M5146" s="3">
        <v>277</v>
      </c>
      <c r="N5146">
        <v>3</v>
      </c>
      <c r="O5146">
        <v>3</v>
      </c>
      <c r="P5146">
        <v>1</v>
      </c>
      <c r="Q5146">
        <v>0</v>
      </c>
      <c r="R5146" s="4">
        <v>31.04</v>
      </c>
      <c r="S5146">
        <v>0</v>
      </c>
      <c r="T5146">
        <v>1</v>
      </c>
    </row>
    <row r="5147" spans="1:20" ht="16.5" x14ac:dyDescent="0.3">
      <c r="A5147" t="s">
        <v>5201</v>
      </c>
      <c r="B5147" s="1">
        <v>45983</v>
      </c>
      <c r="C5147">
        <v>2025</v>
      </c>
      <c r="D5147" t="s">
        <v>1873</v>
      </c>
      <c r="E5147" t="s">
        <v>2108</v>
      </c>
      <c r="F5147" t="s">
        <v>23</v>
      </c>
      <c r="G5147" t="s">
        <v>24</v>
      </c>
      <c r="H5147" t="s">
        <v>48</v>
      </c>
      <c r="I5147" t="s">
        <v>26</v>
      </c>
      <c r="J5147" t="s">
        <v>27</v>
      </c>
      <c r="K5147" t="s">
        <v>32</v>
      </c>
      <c r="L5147" s="2">
        <v>3.6</v>
      </c>
      <c r="M5147" s="3">
        <v>486</v>
      </c>
      <c r="N5147">
        <v>4</v>
      </c>
      <c r="O5147">
        <v>4</v>
      </c>
      <c r="P5147">
        <v>1</v>
      </c>
      <c r="Q5147">
        <v>0</v>
      </c>
      <c r="R5147" s="4">
        <v>15.04</v>
      </c>
      <c r="S5147">
        <v>0</v>
      </c>
      <c r="T5147">
        <v>1</v>
      </c>
    </row>
    <row r="5148" spans="1:20" ht="16.5" x14ac:dyDescent="0.3">
      <c r="A5148" t="s">
        <v>5202</v>
      </c>
      <c r="B5148" s="1">
        <v>45984</v>
      </c>
      <c r="C5148">
        <v>2025</v>
      </c>
      <c r="D5148" t="s">
        <v>1873</v>
      </c>
      <c r="E5148" t="s">
        <v>2108</v>
      </c>
      <c r="F5148" t="s">
        <v>38</v>
      </c>
      <c r="G5148" t="s">
        <v>24</v>
      </c>
      <c r="H5148" t="s">
        <v>43</v>
      </c>
      <c r="I5148" t="s">
        <v>31</v>
      </c>
      <c r="J5148" t="s">
        <v>27</v>
      </c>
      <c r="K5148" t="s">
        <v>32</v>
      </c>
      <c r="L5148" s="2">
        <v>12.1</v>
      </c>
      <c r="M5148" s="3">
        <v>1270</v>
      </c>
      <c r="N5148">
        <v>7</v>
      </c>
      <c r="O5148">
        <v>7</v>
      </c>
      <c r="P5148">
        <v>1</v>
      </c>
      <c r="Q5148">
        <v>0</v>
      </c>
      <c r="R5148" s="4">
        <v>24.1</v>
      </c>
      <c r="S5148">
        <v>0</v>
      </c>
      <c r="T5148">
        <v>1</v>
      </c>
    </row>
    <row r="5149" spans="1:20" ht="16.5" x14ac:dyDescent="0.3">
      <c r="A5149" t="s">
        <v>5203</v>
      </c>
      <c r="B5149" s="1">
        <v>45984</v>
      </c>
      <c r="C5149">
        <v>2025</v>
      </c>
      <c r="D5149" t="s">
        <v>1873</v>
      </c>
      <c r="E5149" t="s">
        <v>2108</v>
      </c>
      <c r="F5149" t="s">
        <v>38</v>
      </c>
      <c r="G5149" t="s">
        <v>35</v>
      </c>
      <c r="H5149" t="s">
        <v>48</v>
      </c>
      <c r="I5149" t="s">
        <v>26</v>
      </c>
      <c r="J5149" t="s">
        <v>27</v>
      </c>
      <c r="K5149" t="s">
        <v>28</v>
      </c>
      <c r="L5149" s="2">
        <v>133.30000000000001</v>
      </c>
      <c r="M5149" s="3">
        <v>521</v>
      </c>
      <c r="N5149">
        <v>4</v>
      </c>
      <c r="O5149">
        <v>4</v>
      </c>
      <c r="P5149">
        <v>1</v>
      </c>
      <c r="Q5149">
        <v>0</v>
      </c>
      <c r="R5149" s="4">
        <v>67.83</v>
      </c>
      <c r="S5149">
        <v>0</v>
      </c>
      <c r="T5149">
        <v>1</v>
      </c>
    </row>
    <row r="5150" spans="1:20" ht="16.5" x14ac:dyDescent="0.3">
      <c r="A5150" t="s">
        <v>5204</v>
      </c>
      <c r="B5150" s="1">
        <v>45984</v>
      </c>
      <c r="C5150">
        <v>2025</v>
      </c>
      <c r="D5150" t="s">
        <v>1873</v>
      </c>
      <c r="E5150" t="s">
        <v>2108</v>
      </c>
      <c r="F5150" t="s">
        <v>38</v>
      </c>
      <c r="G5150" t="s">
        <v>24</v>
      </c>
      <c r="H5150" t="s">
        <v>25</v>
      </c>
      <c r="I5150" t="s">
        <v>26</v>
      </c>
      <c r="J5150" t="s">
        <v>27</v>
      </c>
      <c r="K5150" t="s">
        <v>32</v>
      </c>
      <c r="L5150" s="2">
        <v>6.4</v>
      </c>
      <c r="M5150" s="3">
        <v>1178</v>
      </c>
      <c r="N5150">
        <v>4</v>
      </c>
      <c r="O5150">
        <v>3</v>
      </c>
      <c r="P5150">
        <v>1</v>
      </c>
      <c r="Q5150">
        <v>0</v>
      </c>
      <c r="R5150" s="4">
        <v>26.22</v>
      </c>
      <c r="S5150">
        <v>0</v>
      </c>
      <c r="T5150">
        <v>1</v>
      </c>
    </row>
    <row r="5151" spans="1:20" ht="16.5" x14ac:dyDescent="0.3">
      <c r="A5151" t="s">
        <v>5205</v>
      </c>
      <c r="B5151" s="1">
        <v>45984</v>
      </c>
      <c r="C5151">
        <v>2025</v>
      </c>
      <c r="D5151" t="s">
        <v>1873</v>
      </c>
      <c r="E5151" t="s">
        <v>2108</v>
      </c>
      <c r="F5151" t="s">
        <v>57</v>
      </c>
      <c r="G5151" t="s">
        <v>39</v>
      </c>
      <c r="H5151" t="s">
        <v>36</v>
      </c>
      <c r="I5151" t="s">
        <v>26</v>
      </c>
      <c r="J5151" t="s">
        <v>27</v>
      </c>
      <c r="K5151" t="s">
        <v>28</v>
      </c>
      <c r="L5151" s="2">
        <v>99.7</v>
      </c>
      <c r="M5151" s="3">
        <v>294</v>
      </c>
      <c r="N5151">
        <v>3</v>
      </c>
      <c r="O5151">
        <v>5</v>
      </c>
      <c r="P5151">
        <v>0</v>
      </c>
      <c r="Q5151">
        <v>2</v>
      </c>
      <c r="R5151" s="4">
        <v>52.28</v>
      </c>
      <c r="S5151">
        <v>0</v>
      </c>
      <c r="T5151">
        <v>1</v>
      </c>
    </row>
    <row r="5152" spans="1:20" ht="16.5" x14ac:dyDescent="0.3">
      <c r="A5152" t="s">
        <v>5206</v>
      </c>
      <c r="B5152" s="1">
        <v>45984</v>
      </c>
      <c r="C5152">
        <v>2025</v>
      </c>
      <c r="D5152" t="s">
        <v>1873</v>
      </c>
      <c r="E5152" t="s">
        <v>2108</v>
      </c>
      <c r="F5152" t="s">
        <v>23</v>
      </c>
      <c r="G5152" t="s">
        <v>39</v>
      </c>
      <c r="H5152" t="s">
        <v>43</v>
      </c>
      <c r="I5152" t="s">
        <v>31</v>
      </c>
      <c r="J5152" t="s">
        <v>27</v>
      </c>
      <c r="K5152" t="s">
        <v>32</v>
      </c>
      <c r="L5152" s="2">
        <v>17.600000000000001</v>
      </c>
      <c r="M5152" s="3">
        <v>1103</v>
      </c>
      <c r="N5152">
        <v>7</v>
      </c>
      <c r="O5152">
        <v>7</v>
      </c>
      <c r="P5152">
        <v>1</v>
      </c>
      <c r="Q5152">
        <v>0</v>
      </c>
      <c r="R5152" s="4">
        <v>20.29</v>
      </c>
      <c r="S5152">
        <v>0</v>
      </c>
      <c r="T5152">
        <v>1</v>
      </c>
    </row>
    <row r="5153" spans="1:20" ht="16.5" x14ac:dyDescent="0.3">
      <c r="A5153" t="s">
        <v>5207</v>
      </c>
      <c r="B5153" s="1">
        <v>45984</v>
      </c>
      <c r="C5153">
        <v>2025</v>
      </c>
      <c r="D5153" t="s">
        <v>1873</v>
      </c>
      <c r="E5153" t="s">
        <v>2108</v>
      </c>
      <c r="F5153" t="s">
        <v>57</v>
      </c>
      <c r="G5153" t="s">
        <v>35</v>
      </c>
      <c r="H5153" t="s">
        <v>48</v>
      </c>
      <c r="I5153" t="s">
        <v>26</v>
      </c>
      <c r="J5153" t="s">
        <v>27</v>
      </c>
      <c r="K5153" t="s">
        <v>32</v>
      </c>
      <c r="L5153" s="2">
        <v>3.6</v>
      </c>
      <c r="M5153" s="3">
        <v>512</v>
      </c>
      <c r="N5153">
        <v>4</v>
      </c>
      <c r="O5153">
        <v>4</v>
      </c>
      <c r="P5153">
        <v>1</v>
      </c>
      <c r="Q5153">
        <v>0</v>
      </c>
      <c r="R5153" s="4">
        <v>14.63</v>
      </c>
      <c r="S5153">
        <v>0</v>
      </c>
      <c r="T5153">
        <v>1</v>
      </c>
    </row>
    <row r="5154" spans="1:20" ht="16.5" x14ac:dyDescent="0.3">
      <c r="A5154" t="s">
        <v>5208</v>
      </c>
      <c r="B5154" s="1">
        <v>45984</v>
      </c>
      <c r="C5154">
        <v>2025</v>
      </c>
      <c r="D5154" t="s">
        <v>1873</v>
      </c>
      <c r="E5154" t="s">
        <v>2108</v>
      </c>
      <c r="F5154" t="s">
        <v>57</v>
      </c>
      <c r="G5154" t="s">
        <v>39</v>
      </c>
      <c r="H5154" t="s">
        <v>25</v>
      </c>
      <c r="I5154" t="s">
        <v>31</v>
      </c>
      <c r="J5154" t="s">
        <v>27</v>
      </c>
      <c r="K5154" t="s">
        <v>28</v>
      </c>
      <c r="L5154" s="2">
        <v>82</v>
      </c>
      <c r="M5154" s="3">
        <v>812</v>
      </c>
      <c r="N5154">
        <v>6</v>
      </c>
      <c r="O5154">
        <v>6</v>
      </c>
      <c r="P5154">
        <v>1</v>
      </c>
      <c r="Q5154">
        <v>0</v>
      </c>
      <c r="R5154" s="4">
        <v>41.43</v>
      </c>
      <c r="S5154">
        <v>0</v>
      </c>
      <c r="T5154">
        <v>1</v>
      </c>
    </row>
    <row r="5155" spans="1:20" ht="16.5" x14ac:dyDescent="0.3">
      <c r="A5155" t="s">
        <v>5209</v>
      </c>
      <c r="B5155" s="1">
        <v>45984</v>
      </c>
      <c r="C5155">
        <v>2025</v>
      </c>
      <c r="D5155" t="s">
        <v>1873</v>
      </c>
      <c r="E5155" t="s">
        <v>2108</v>
      </c>
      <c r="F5155" t="s">
        <v>34</v>
      </c>
      <c r="G5155" t="s">
        <v>39</v>
      </c>
      <c r="H5155" t="s">
        <v>48</v>
      </c>
      <c r="I5155" t="s">
        <v>26</v>
      </c>
      <c r="J5155" t="s">
        <v>27</v>
      </c>
      <c r="K5155" t="s">
        <v>32</v>
      </c>
      <c r="L5155" s="2">
        <v>13</v>
      </c>
      <c r="M5155" s="3">
        <v>439</v>
      </c>
      <c r="N5155">
        <v>4</v>
      </c>
      <c r="O5155">
        <v>4</v>
      </c>
      <c r="P5155">
        <v>1</v>
      </c>
      <c r="Q5155">
        <v>0</v>
      </c>
      <c r="R5155" s="4">
        <v>16.559999999999999</v>
      </c>
      <c r="S5155">
        <v>0</v>
      </c>
      <c r="T5155">
        <v>1</v>
      </c>
    </row>
    <row r="5156" spans="1:20" ht="16.5" x14ac:dyDescent="0.3">
      <c r="A5156" t="s">
        <v>5210</v>
      </c>
      <c r="B5156" s="1">
        <v>45984</v>
      </c>
      <c r="C5156">
        <v>2025</v>
      </c>
      <c r="D5156" t="s">
        <v>1873</v>
      </c>
      <c r="E5156" t="s">
        <v>2108</v>
      </c>
      <c r="F5156" t="s">
        <v>23</v>
      </c>
      <c r="G5156" t="s">
        <v>35</v>
      </c>
      <c r="H5156" t="s">
        <v>36</v>
      </c>
      <c r="I5156" t="s">
        <v>40</v>
      </c>
      <c r="J5156" t="s">
        <v>27</v>
      </c>
      <c r="K5156" t="s">
        <v>28</v>
      </c>
      <c r="L5156" s="2">
        <v>24.2</v>
      </c>
      <c r="M5156" s="3">
        <v>252</v>
      </c>
      <c r="N5156">
        <v>1</v>
      </c>
      <c r="O5156">
        <v>1</v>
      </c>
      <c r="P5156">
        <v>1</v>
      </c>
      <c r="Q5156">
        <v>0</v>
      </c>
      <c r="R5156" s="4">
        <v>39.83</v>
      </c>
      <c r="S5156">
        <v>0</v>
      </c>
      <c r="T5156">
        <v>1</v>
      </c>
    </row>
    <row r="5157" spans="1:20" ht="16.5" x14ac:dyDescent="0.3">
      <c r="A5157" t="s">
        <v>5211</v>
      </c>
      <c r="B5157" s="1">
        <v>45985</v>
      </c>
      <c r="C5157">
        <v>2025</v>
      </c>
      <c r="D5157" t="s">
        <v>1873</v>
      </c>
      <c r="E5157" t="s">
        <v>2108</v>
      </c>
      <c r="F5157" t="s">
        <v>30</v>
      </c>
      <c r="G5157" t="s">
        <v>39</v>
      </c>
      <c r="H5157" t="s">
        <v>25</v>
      </c>
      <c r="I5157" t="s">
        <v>26</v>
      </c>
      <c r="J5157" t="s">
        <v>27</v>
      </c>
      <c r="K5157" t="s">
        <v>28</v>
      </c>
      <c r="L5157" s="2">
        <v>61</v>
      </c>
      <c r="M5157" s="3">
        <v>985</v>
      </c>
      <c r="N5157">
        <v>4</v>
      </c>
      <c r="O5157">
        <v>4</v>
      </c>
      <c r="P5157">
        <v>1</v>
      </c>
      <c r="Q5157">
        <v>0</v>
      </c>
      <c r="R5157" s="4">
        <v>44.78</v>
      </c>
      <c r="S5157">
        <v>0</v>
      </c>
      <c r="T5157">
        <v>1</v>
      </c>
    </row>
    <row r="5158" spans="1:20" ht="16.5" x14ac:dyDescent="0.3">
      <c r="A5158" t="s">
        <v>5212</v>
      </c>
      <c r="B5158" s="1">
        <v>45985</v>
      </c>
      <c r="C5158">
        <v>2025</v>
      </c>
      <c r="D5158" t="s">
        <v>1873</v>
      </c>
      <c r="E5158" t="s">
        <v>2108</v>
      </c>
      <c r="F5158" t="s">
        <v>23</v>
      </c>
      <c r="G5158" t="s">
        <v>35</v>
      </c>
      <c r="H5158" t="s">
        <v>51</v>
      </c>
      <c r="I5158" t="s">
        <v>26</v>
      </c>
      <c r="J5158" t="s">
        <v>27</v>
      </c>
      <c r="K5158" t="s">
        <v>32</v>
      </c>
      <c r="L5158" s="2">
        <v>20.2</v>
      </c>
      <c r="M5158" s="3">
        <v>1084</v>
      </c>
      <c r="N5158">
        <v>5</v>
      </c>
      <c r="O5158">
        <v>6</v>
      </c>
      <c r="P5158">
        <v>0</v>
      </c>
      <c r="Q5158">
        <v>1</v>
      </c>
      <c r="R5158" s="4">
        <v>29.29</v>
      </c>
      <c r="S5158">
        <v>0</v>
      </c>
      <c r="T5158">
        <v>1</v>
      </c>
    </row>
    <row r="5159" spans="1:20" ht="16.5" x14ac:dyDescent="0.3">
      <c r="A5159" t="s">
        <v>5213</v>
      </c>
      <c r="B5159" s="1">
        <v>45985</v>
      </c>
      <c r="C5159">
        <v>2025</v>
      </c>
      <c r="D5159" t="s">
        <v>1873</v>
      </c>
      <c r="E5159" t="s">
        <v>2108</v>
      </c>
      <c r="F5159" t="s">
        <v>30</v>
      </c>
      <c r="G5159" t="s">
        <v>24</v>
      </c>
      <c r="H5159" t="s">
        <v>25</v>
      </c>
      <c r="I5159" t="s">
        <v>26</v>
      </c>
      <c r="J5159" t="s">
        <v>27</v>
      </c>
      <c r="K5159" t="s">
        <v>32</v>
      </c>
      <c r="L5159" s="2">
        <v>4.4000000000000004</v>
      </c>
      <c r="M5159" s="3">
        <v>963</v>
      </c>
      <c r="N5159">
        <v>4</v>
      </c>
      <c r="O5159">
        <v>4</v>
      </c>
      <c r="P5159">
        <v>1</v>
      </c>
      <c r="Q5159">
        <v>0</v>
      </c>
      <c r="R5159" s="4">
        <v>21.34</v>
      </c>
      <c r="S5159">
        <v>0</v>
      </c>
      <c r="T5159">
        <v>1</v>
      </c>
    </row>
    <row r="5160" spans="1:20" ht="16.5" x14ac:dyDescent="0.3">
      <c r="A5160" t="s">
        <v>5214</v>
      </c>
      <c r="B5160" s="1">
        <v>45985</v>
      </c>
      <c r="C5160">
        <v>2025</v>
      </c>
      <c r="D5160" t="s">
        <v>1873</v>
      </c>
      <c r="E5160" t="s">
        <v>2108</v>
      </c>
      <c r="F5160" t="s">
        <v>30</v>
      </c>
      <c r="G5160" t="s">
        <v>39</v>
      </c>
      <c r="H5160" t="s">
        <v>25</v>
      </c>
      <c r="I5160" t="s">
        <v>26</v>
      </c>
      <c r="J5160" t="s">
        <v>27</v>
      </c>
      <c r="K5160" t="s">
        <v>28</v>
      </c>
      <c r="L5160" s="2">
        <v>85.8</v>
      </c>
      <c r="M5160" s="3">
        <v>1026</v>
      </c>
      <c r="N5160">
        <v>4</v>
      </c>
      <c r="O5160">
        <v>5</v>
      </c>
      <c r="P5160">
        <v>0</v>
      </c>
      <c r="Q5160">
        <v>1</v>
      </c>
      <c r="R5160" s="4">
        <v>63.49</v>
      </c>
      <c r="S5160">
        <v>0</v>
      </c>
      <c r="T5160">
        <v>1</v>
      </c>
    </row>
    <row r="5161" spans="1:20" ht="16.5" x14ac:dyDescent="0.3">
      <c r="A5161" t="s">
        <v>5215</v>
      </c>
      <c r="B5161" s="1">
        <v>45985</v>
      </c>
      <c r="C5161">
        <v>2025</v>
      </c>
      <c r="D5161" t="s">
        <v>1873</v>
      </c>
      <c r="E5161" t="s">
        <v>2108</v>
      </c>
      <c r="F5161" t="s">
        <v>34</v>
      </c>
      <c r="G5161" t="s">
        <v>35</v>
      </c>
      <c r="H5161" t="s">
        <v>51</v>
      </c>
      <c r="I5161" t="s">
        <v>31</v>
      </c>
      <c r="J5161" t="s">
        <v>27</v>
      </c>
      <c r="K5161" t="s">
        <v>28</v>
      </c>
      <c r="L5161" s="2">
        <v>97.4</v>
      </c>
      <c r="M5161" s="3">
        <v>838</v>
      </c>
      <c r="N5161">
        <v>7</v>
      </c>
      <c r="O5161">
        <v>8</v>
      </c>
      <c r="P5161">
        <v>0</v>
      </c>
      <c r="Q5161">
        <v>1</v>
      </c>
      <c r="R5161" s="4">
        <v>34.39</v>
      </c>
      <c r="S5161">
        <v>0</v>
      </c>
      <c r="T5161">
        <v>1</v>
      </c>
    </row>
    <row r="5162" spans="1:20" ht="16.5" x14ac:dyDescent="0.3">
      <c r="A5162" t="s">
        <v>5216</v>
      </c>
      <c r="B5162" s="1">
        <v>45985</v>
      </c>
      <c r="C5162">
        <v>2025</v>
      </c>
      <c r="D5162" t="s">
        <v>1873</v>
      </c>
      <c r="E5162" t="s">
        <v>2108</v>
      </c>
      <c r="F5162" t="s">
        <v>57</v>
      </c>
      <c r="G5162" t="s">
        <v>24</v>
      </c>
      <c r="H5162" t="s">
        <v>48</v>
      </c>
      <c r="I5162" t="s">
        <v>26</v>
      </c>
      <c r="J5162" t="s">
        <v>27</v>
      </c>
      <c r="K5162" t="s">
        <v>28</v>
      </c>
      <c r="L5162" s="2">
        <v>31.2</v>
      </c>
      <c r="M5162" s="3">
        <v>287</v>
      </c>
      <c r="N5162">
        <v>4</v>
      </c>
      <c r="O5162">
        <v>4</v>
      </c>
      <c r="P5162">
        <v>1</v>
      </c>
      <c r="Q5162">
        <v>0</v>
      </c>
      <c r="R5162" s="4">
        <v>27.97</v>
      </c>
      <c r="S5162">
        <v>0</v>
      </c>
      <c r="T5162">
        <v>1</v>
      </c>
    </row>
    <row r="5163" spans="1:20" ht="16.5" x14ac:dyDescent="0.3">
      <c r="A5163" t="s">
        <v>5217</v>
      </c>
      <c r="B5163" s="1">
        <v>45985</v>
      </c>
      <c r="C5163">
        <v>2025</v>
      </c>
      <c r="D5163" t="s">
        <v>1873</v>
      </c>
      <c r="E5163" t="s">
        <v>2108</v>
      </c>
      <c r="F5163" t="s">
        <v>30</v>
      </c>
      <c r="G5163" t="s">
        <v>35</v>
      </c>
      <c r="H5163" t="s">
        <v>36</v>
      </c>
      <c r="I5163" t="s">
        <v>26</v>
      </c>
      <c r="J5163" t="s">
        <v>27</v>
      </c>
      <c r="K5163" t="s">
        <v>28</v>
      </c>
      <c r="L5163" s="2">
        <v>152.1</v>
      </c>
      <c r="M5163" s="3">
        <v>300</v>
      </c>
      <c r="N5163">
        <v>3</v>
      </c>
      <c r="O5163">
        <v>3</v>
      </c>
      <c r="P5163">
        <v>1</v>
      </c>
      <c r="Q5163">
        <v>0</v>
      </c>
      <c r="R5163" s="4">
        <v>70.94</v>
      </c>
      <c r="S5163">
        <v>0</v>
      </c>
      <c r="T5163">
        <v>1</v>
      </c>
    </row>
    <row r="5164" spans="1:20" ht="16.5" x14ac:dyDescent="0.3">
      <c r="A5164" t="s">
        <v>5218</v>
      </c>
      <c r="B5164" s="1">
        <v>45985</v>
      </c>
      <c r="C5164">
        <v>2025</v>
      </c>
      <c r="D5164" t="s">
        <v>1873</v>
      </c>
      <c r="E5164" t="s">
        <v>2108</v>
      </c>
      <c r="F5164" t="s">
        <v>34</v>
      </c>
      <c r="G5164" t="s">
        <v>35</v>
      </c>
      <c r="H5164" t="s">
        <v>25</v>
      </c>
      <c r="I5164" t="s">
        <v>26</v>
      </c>
      <c r="J5164" t="s">
        <v>27</v>
      </c>
      <c r="K5164" t="s">
        <v>32</v>
      </c>
      <c r="L5164" s="2">
        <v>3.9</v>
      </c>
      <c r="M5164" s="3">
        <v>1051</v>
      </c>
      <c r="N5164">
        <v>4</v>
      </c>
      <c r="O5164">
        <v>6</v>
      </c>
      <c r="P5164">
        <v>0</v>
      </c>
      <c r="Q5164">
        <v>2</v>
      </c>
      <c r="R5164" s="4">
        <v>18.95</v>
      </c>
      <c r="S5164">
        <v>0</v>
      </c>
      <c r="T5164">
        <v>1</v>
      </c>
    </row>
    <row r="5165" spans="1:20" ht="16.5" x14ac:dyDescent="0.3">
      <c r="A5165" t="s">
        <v>5219</v>
      </c>
      <c r="B5165" s="1">
        <v>45985</v>
      </c>
      <c r="C5165">
        <v>2025</v>
      </c>
      <c r="D5165" t="s">
        <v>1873</v>
      </c>
      <c r="E5165" t="s">
        <v>2108</v>
      </c>
      <c r="F5165" t="s">
        <v>30</v>
      </c>
      <c r="G5165" t="s">
        <v>35</v>
      </c>
      <c r="H5165" t="s">
        <v>36</v>
      </c>
      <c r="I5165" t="s">
        <v>26</v>
      </c>
      <c r="J5165" t="s">
        <v>27</v>
      </c>
      <c r="K5165" t="s">
        <v>32</v>
      </c>
      <c r="L5165" s="2">
        <v>7.7</v>
      </c>
      <c r="M5165" s="3">
        <v>311</v>
      </c>
      <c r="N5165">
        <v>3</v>
      </c>
      <c r="O5165">
        <v>3</v>
      </c>
      <c r="P5165">
        <v>1</v>
      </c>
      <c r="Q5165">
        <v>0</v>
      </c>
      <c r="R5165" s="4">
        <v>15.26</v>
      </c>
      <c r="S5165">
        <v>0</v>
      </c>
      <c r="T5165">
        <v>1</v>
      </c>
    </row>
    <row r="5166" spans="1:20" ht="16.5" x14ac:dyDescent="0.3">
      <c r="A5166" t="s">
        <v>5220</v>
      </c>
      <c r="B5166" s="1">
        <v>45985</v>
      </c>
      <c r="C5166">
        <v>2025</v>
      </c>
      <c r="D5166" t="s">
        <v>1873</v>
      </c>
      <c r="E5166" t="s">
        <v>2108</v>
      </c>
      <c r="F5166" t="s">
        <v>30</v>
      </c>
      <c r="G5166" t="s">
        <v>24</v>
      </c>
      <c r="H5166" t="s">
        <v>25</v>
      </c>
      <c r="I5166" t="s">
        <v>31</v>
      </c>
      <c r="J5166" t="s">
        <v>27</v>
      </c>
      <c r="K5166" t="s">
        <v>32</v>
      </c>
      <c r="L5166" s="2">
        <v>5.8</v>
      </c>
      <c r="M5166" s="3">
        <v>787</v>
      </c>
      <c r="N5166">
        <v>6</v>
      </c>
      <c r="O5166">
        <v>5</v>
      </c>
      <c r="P5166">
        <v>1</v>
      </c>
      <c r="Q5166">
        <v>0</v>
      </c>
      <c r="R5166" s="4">
        <v>15.4</v>
      </c>
      <c r="S5166">
        <v>0</v>
      </c>
      <c r="T5166">
        <v>1</v>
      </c>
    </row>
    <row r="5167" spans="1:20" ht="16.5" x14ac:dyDescent="0.3">
      <c r="A5167" t="s">
        <v>5221</v>
      </c>
      <c r="B5167" s="1">
        <v>45985</v>
      </c>
      <c r="C5167">
        <v>2025</v>
      </c>
      <c r="D5167" t="s">
        <v>1873</v>
      </c>
      <c r="E5167" t="s">
        <v>2108</v>
      </c>
      <c r="F5167" t="s">
        <v>57</v>
      </c>
      <c r="G5167" t="s">
        <v>39</v>
      </c>
      <c r="H5167" t="s">
        <v>48</v>
      </c>
      <c r="I5167" t="s">
        <v>26</v>
      </c>
      <c r="J5167" t="s">
        <v>27</v>
      </c>
      <c r="K5167" t="s">
        <v>28</v>
      </c>
      <c r="L5167" s="2">
        <v>223.2</v>
      </c>
      <c r="M5167" s="3">
        <v>467</v>
      </c>
      <c r="N5167">
        <v>4</v>
      </c>
      <c r="O5167">
        <v>7</v>
      </c>
      <c r="P5167">
        <v>0</v>
      </c>
      <c r="Q5167">
        <v>3</v>
      </c>
      <c r="R5167" s="4">
        <v>95.12</v>
      </c>
      <c r="S5167">
        <v>0</v>
      </c>
      <c r="T5167">
        <v>1</v>
      </c>
    </row>
    <row r="5168" spans="1:20" ht="16.5" x14ac:dyDescent="0.3">
      <c r="A5168" t="s">
        <v>5222</v>
      </c>
      <c r="B5168" s="1">
        <v>45985</v>
      </c>
      <c r="C5168">
        <v>2025</v>
      </c>
      <c r="D5168" t="s">
        <v>1873</v>
      </c>
      <c r="E5168" t="s">
        <v>2108</v>
      </c>
      <c r="F5168" t="s">
        <v>34</v>
      </c>
      <c r="G5168" t="s">
        <v>39</v>
      </c>
      <c r="H5168" t="s">
        <v>48</v>
      </c>
      <c r="I5168" t="s">
        <v>40</v>
      </c>
      <c r="J5168" t="s">
        <v>27</v>
      </c>
      <c r="K5168" t="s">
        <v>28</v>
      </c>
      <c r="L5168" s="2">
        <v>28.8</v>
      </c>
      <c r="M5168" s="3">
        <v>540</v>
      </c>
      <c r="N5168">
        <v>2</v>
      </c>
      <c r="O5168">
        <v>2</v>
      </c>
      <c r="P5168">
        <v>1</v>
      </c>
      <c r="Q5168">
        <v>0</v>
      </c>
      <c r="R5168" s="4">
        <v>46.09</v>
      </c>
      <c r="S5168">
        <v>0</v>
      </c>
      <c r="T5168">
        <v>1</v>
      </c>
    </row>
    <row r="5169" spans="1:20" ht="16.5" x14ac:dyDescent="0.3">
      <c r="A5169" t="s">
        <v>5223</v>
      </c>
      <c r="B5169" s="1">
        <v>45985</v>
      </c>
      <c r="C5169">
        <v>2025</v>
      </c>
      <c r="D5169" t="s">
        <v>1873</v>
      </c>
      <c r="E5169" t="s">
        <v>2108</v>
      </c>
      <c r="F5169" t="s">
        <v>30</v>
      </c>
      <c r="G5169" t="s">
        <v>24</v>
      </c>
      <c r="H5169" t="s">
        <v>25</v>
      </c>
      <c r="I5169" t="s">
        <v>40</v>
      </c>
      <c r="J5169" t="s">
        <v>41</v>
      </c>
      <c r="K5169" t="s">
        <v>32</v>
      </c>
      <c r="L5169" s="2">
        <v>5.8</v>
      </c>
      <c r="M5169" s="3">
        <v>830</v>
      </c>
      <c r="N5169">
        <v>2</v>
      </c>
      <c r="O5169">
        <v>2</v>
      </c>
      <c r="P5169">
        <v>1</v>
      </c>
      <c r="Q5169">
        <v>0</v>
      </c>
      <c r="R5169" s="4">
        <v>63.44</v>
      </c>
      <c r="S5169">
        <v>0</v>
      </c>
      <c r="T5169">
        <v>1</v>
      </c>
    </row>
    <row r="5170" spans="1:20" ht="16.5" x14ac:dyDescent="0.3">
      <c r="A5170" t="s">
        <v>5224</v>
      </c>
      <c r="B5170" s="1">
        <v>45985</v>
      </c>
      <c r="C5170">
        <v>2025</v>
      </c>
      <c r="D5170" t="s">
        <v>1873</v>
      </c>
      <c r="E5170" t="s">
        <v>2108</v>
      </c>
      <c r="F5170" t="s">
        <v>57</v>
      </c>
      <c r="G5170" t="s">
        <v>39</v>
      </c>
      <c r="H5170" t="s">
        <v>36</v>
      </c>
      <c r="I5170" t="s">
        <v>26</v>
      </c>
      <c r="J5170" t="s">
        <v>27</v>
      </c>
      <c r="K5170" t="s">
        <v>28</v>
      </c>
      <c r="L5170" s="2">
        <v>143.1</v>
      </c>
      <c r="M5170" s="3">
        <v>216</v>
      </c>
      <c r="N5170">
        <v>3</v>
      </c>
      <c r="O5170">
        <v>3</v>
      </c>
      <c r="P5170">
        <v>1</v>
      </c>
      <c r="Q5170">
        <v>0</v>
      </c>
      <c r="R5170" s="4">
        <v>67.33</v>
      </c>
      <c r="S5170">
        <v>0</v>
      </c>
      <c r="T5170">
        <v>1</v>
      </c>
    </row>
    <row r="5171" spans="1:20" ht="16.5" x14ac:dyDescent="0.3">
      <c r="A5171" t="s">
        <v>5225</v>
      </c>
      <c r="B5171" s="1">
        <v>45985</v>
      </c>
      <c r="C5171">
        <v>2025</v>
      </c>
      <c r="D5171" t="s">
        <v>1873</v>
      </c>
      <c r="E5171" t="s">
        <v>2108</v>
      </c>
      <c r="F5171" t="s">
        <v>30</v>
      </c>
      <c r="G5171" t="s">
        <v>39</v>
      </c>
      <c r="H5171" t="s">
        <v>43</v>
      </c>
      <c r="I5171" t="s">
        <v>31</v>
      </c>
      <c r="J5171" t="s">
        <v>27</v>
      </c>
      <c r="K5171" t="s">
        <v>32</v>
      </c>
      <c r="L5171" s="2">
        <v>28.3</v>
      </c>
      <c r="M5171" s="3">
        <v>1046</v>
      </c>
      <c r="N5171">
        <v>7</v>
      </c>
      <c r="O5171">
        <v>7</v>
      </c>
      <c r="P5171">
        <v>1</v>
      </c>
      <c r="Q5171">
        <v>0</v>
      </c>
      <c r="R5171" s="4">
        <v>26.78</v>
      </c>
      <c r="S5171">
        <v>0</v>
      </c>
      <c r="T5171">
        <v>1</v>
      </c>
    </row>
    <row r="5172" spans="1:20" ht="16.5" x14ac:dyDescent="0.3">
      <c r="A5172" t="s">
        <v>5226</v>
      </c>
      <c r="B5172" s="1">
        <v>45985</v>
      </c>
      <c r="C5172">
        <v>2025</v>
      </c>
      <c r="D5172" t="s">
        <v>1873</v>
      </c>
      <c r="E5172" t="s">
        <v>2108</v>
      </c>
      <c r="F5172" t="s">
        <v>38</v>
      </c>
      <c r="G5172" t="s">
        <v>39</v>
      </c>
      <c r="H5172" t="s">
        <v>51</v>
      </c>
      <c r="I5172" t="s">
        <v>26</v>
      </c>
      <c r="J5172" t="s">
        <v>27</v>
      </c>
      <c r="K5172" t="s">
        <v>32</v>
      </c>
      <c r="L5172" s="2">
        <v>19.3</v>
      </c>
      <c r="M5172" s="3">
        <v>1242</v>
      </c>
      <c r="N5172">
        <v>5</v>
      </c>
      <c r="O5172">
        <v>5</v>
      </c>
      <c r="P5172">
        <v>1</v>
      </c>
      <c r="Q5172">
        <v>0</v>
      </c>
      <c r="R5172" s="4">
        <v>36.43</v>
      </c>
      <c r="S5172">
        <v>0</v>
      </c>
      <c r="T5172">
        <v>1</v>
      </c>
    </row>
    <row r="5173" spans="1:20" ht="16.5" x14ac:dyDescent="0.3">
      <c r="A5173" t="s">
        <v>5227</v>
      </c>
      <c r="B5173" s="1">
        <v>45985</v>
      </c>
      <c r="C5173">
        <v>2025</v>
      </c>
      <c r="D5173" t="s">
        <v>1873</v>
      </c>
      <c r="E5173" t="s">
        <v>2108</v>
      </c>
      <c r="F5173" t="s">
        <v>57</v>
      </c>
      <c r="G5173" t="s">
        <v>39</v>
      </c>
      <c r="H5173" t="s">
        <v>36</v>
      </c>
      <c r="I5173" t="s">
        <v>26</v>
      </c>
      <c r="J5173" t="s">
        <v>27</v>
      </c>
      <c r="K5173" t="s">
        <v>32</v>
      </c>
      <c r="L5173" s="2">
        <v>5.3</v>
      </c>
      <c r="M5173" s="3">
        <v>195</v>
      </c>
      <c r="N5173">
        <v>3</v>
      </c>
      <c r="O5173">
        <v>3</v>
      </c>
      <c r="P5173">
        <v>1</v>
      </c>
      <c r="Q5173">
        <v>0</v>
      </c>
      <c r="R5173" s="4">
        <v>12.38</v>
      </c>
      <c r="S5173">
        <v>0</v>
      </c>
      <c r="T5173">
        <v>1</v>
      </c>
    </row>
    <row r="5174" spans="1:20" ht="16.5" x14ac:dyDescent="0.3">
      <c r="A5174" t="s">
        <v>5228</v>
      </c>
      <c r="B5174" s="1">
        <v>45985</v>
      </c>
      <c r="C5174">
        <v>2025</v>
      </c>
      <c r="D5174" t="s">
        <v>1873</v>
      </c>
      <c r="E5174" t="s">
        <v>2108</v>
      </c>
      <c r="F5174" t="s">
        <v>57</v>
      </c>
      <c r="G5174" t="s">
        <v>35</v>
      </c>
      <c r="H5174" t="s">
        <v>48</v>
      </c>
      <c r="I5174" t="s">
        <v>26</v>
      </c>
      <c r="J5174" t="s">
        <v>27</v>
      </c>
      <c r="K5174" t="s">
        <v>28</v>
      </c>
      <c r="L5174" s="2">
        <v>118.6</v>
      </c>
      <c r="M5174" s="3">
        <v>515</v>
      </c>
      <c r="N5174">
        <v>4</v>
      </c>
      <c r="O5174">
        <v>4</v>
      </c>
      <c r="P5174">
        <v>1</v>
      </c>
      <c r="Q5174">
        <v>0</v>
      </c>
      <c r="R5174" s="4">
        <v>68.27</v>
      </c>
      <c r="S5174">
        <v>0</v>
      </c>
      <c r="T5174">
        <v>1</v>
      </c>
    </row>
    <row r="5175" spans="1:20" ht="16.5" x14ac:dyDescent="0.3">
      <c r="A5175" t="s">
        <v>5229</v>
      </c>
      <c r="B5175" s="1">
        <v>45985</v>
      </c>
      <c r="C5175">
        <v>2025</v>
      </c>
      <c r="D5175" t="s">
        <v>1873</v>
      </c>
      <c r="E5175" t="s">
        <v>2108</v>
      </c>
      <c r="F5175" t="s">
        <v>23</v>
      </c>
      <c r="G5175" t="s">
        <v>39</v>
      </c>
      <c r="H5175" t="s">
        <v>25</v>
      </c>
      <c r="I5175" t="s">
        <v>26</v>
      </c>
      <c r="J5175" t="s">
        <v>27</v>
      </c>
      <c r="K5175" t="s">
        <v>32</v>
      </c>
      <c r="L5175" s="2">
        <v>1</v>
      </c>
      <c r="M5175" s="3">
        <v>875</v>
      </c>
      <c r="N5175">
        <v>4</v>
      </c>
      <c r="O5175">
        <v>4</v>
      </c>
      <c r="P5175">
        <v>1</v>
      </c>
      <c r="Q5175">
        <v>0</v>
      </c>
      <c r="R5175" s="4">
        <v>17.170000000000002</v>
      </c>
      <c r="S5175">
        <v>0</v>
      </c>
      <c r="T5175">
        <v>1</v>
      </c>
    </row>
    <row r="5176" spans="1:20" ht="16.5" x14ac:dyDescent="0.3">
      <c r="A5176" t="s">
        <v>5230</v>
      </c>
      <c r="B5176" s="1">
        <v>45985</v>
      </c>
      <c r="C5176">
        <v>2025</v>
      </c>
      <c r="D5176" t="s">
        <v>1873</v>
      </c>
      <c r="E5176" t="s">
        <v>2108</v>
      </c>
      <c r="F5176" t="s">
        <v>57</v>
      </c>
      <c r="G5176" t="s">
        <v>35</v>
      </c>
      <c r="H5176" t="s">
        <v>36</v>
      </c>
      <c r="I5176" t="s">
        <v>31</v>
      </c>
      <c r="J5176" t="s">
        <v>27</v>
      </c>
      <c r="K5176" t="s">
        <v>32</v>
      </c>
      <c r="L5176" s="2">
        <v>3.9</v>
      </c>
      <c r="M5176" s="3">
        <v>243</v>
      </c>
      <c r="N5176">
        <v>5</v>
      </c>
      <c r="O5176">
        <v>7</v>
      </c>
      <c r="P5176">
        <v>0</v>
      </c>
      <c r="Q5176">
        <v>2</v>
      </c>
      <c r="R5176" s="4">
        <v>8.11</v>
      </c>
      <c r="S5176">
        <v>0</v>
      </c>
      <c r="T5176">
        <v>1</v>
      </c>
    </row>
    <row r="5177" spans="1:20" ht="16.5" x14ac:dyDescent="0.3">
      <c r="A5177" t="s">
        <v>5231</v>
      </c>
      <c r="B5177" s="1">
        <v>45985</v>
      </c>
      <c r="C5177">
        <v>2025</v>
      </c>
      <c r="D5177" t="s">
        <v>1873</v>
      </c>
      <c r="E5177" t="s">
        <v>2108</v>
      </c>
      <c r="F5177" t="s">
        <v>57</v>
      </c>
      <c r="G5177" t="s">
        <v>39</v>
      </c>
      <c r="H5177" t="s">
        <v>36</v>
      </c>
      <c r="I5177" t="s">
        <v>26</v>
      </c>
      <c r="J5177" t="s">
        <v>27</v>
      </c>
      <c r="K5177" t="s">
        <v>32</v>
      </c>
      <c r="L5177" s="2">
        <v>1.9</v>
      </c>
      <c r="M5177" s="3">
        <v>154</v>
      </c>
      <c r="N5177">
        <v>3</v>
      </c>
      <c r="O5177">
        <v>4</v>
      </c>
      <c r="P5177">
        <v>0</v>
      </c>
      <c r="Q5177">
        <v>1</v>
      </c>
      <c r="R5177" s="4">
        <v>10.7</v>
      </c>
      <c r="S5177">
        <v>0</v>
      </c>
      <c r="T5177">
        <v>1</v>
      </c>
    </row>
    <row r="5178" spans="1:20" ht="16.5" x14ac:dyDescent="0.3">
      <c r="A5178" t="s">
        <v>5232</v>
      </c>
      <c r="B5178" s="1">
        <v>45985</v>
      </c>
      <c r="C5178">
        <v>2025</v>
      </c>
      <c r="D5178" t="s">
        <v>1873</v>
      </c>
      <c r="E5178" t="s">
        <v>2108</v>
      </c>
      <c r="F5178" t="s">
        <v>57</v>
      </c>
      <c r="G5178" t="s">
        <v>35</v>
      </c>
      <c r="H5178" t="s">
        <v>36</v>
      </c>
      <c r="I5178" t="s">
        <v>26</v>
      </c>
      <c r="J5178" t="s">
        <v>27</v>
      </c>
      <c r="K5178" t="s">
        <v>32</v>
      </c>
      <c r="L5178" s="2">
        <v>1.6</v>
      </c>
      <c r="M5178" s="3">
        <v>191</v>
      </c>
      <c r="N5178">
        <v>3</v>
      </c>
      <c r="O5178">
        <v>3</v>
      </c>
      <c r="P5178">
        <v>1</v>
      </c>
      <c r="Q5178">
        <v>0</v>
      </c>
      <c r="R5178" s="4">
        <v>9.2899999999999991</v>
      </c>
      <c r="S5178">
        <v>0</v>
      </c>
      <c r="T5178">
        <v>1</v>
      </c>
    </row>
    <row r="5179" spans="1:20" ht="16.5" x14ac:dyDescent="0.3">
      <c r="A5179" t="s">
        <v>5233</v>
      </c>
      <c r="B5179" s="1">
        <v>45986</v>
      </c>
      <c r="C5179">
        <v>2025</v>
      </c>
      <c r="D5179" t="s">
        <v>1873</v>
      </c>
      <c r="E5179" t="s">
        <v>2108</v>
      </c>
      <c r="F5179" t="s">
        <v>38</v>
      </c>
      <c r="G5179" t="s">
        <v>39</v>
      </c>
      <c r="H5179" t="s">
        <v>43</v>
      </c>
      <c r="I5179" t="s">
        <v>31</v>
      </c>
      <c r="J5179" t="s">
        <v>27</v>
      </c>
      <c r="K5179" t="s">
        <v>32</v>
      </c>
      <c r="L5179" s="2">
        <v>2.2000000000000002</v>
      </c>
      <c r="M5179" s="3">
        <v>1002</v>
      </c>
      <c r="N5179">
        <v>7</v>
      </c>
      <c r="O5179">
        <v>7</v>
      </c>
      <c r="P5179">
        <v>1</v>
      </c>
      <c r="Q5179">
        <v>0</v>
      </c>
      <c r="R5179" s="4">
        <v>17.34</v>
      </c>
      <c r="S5179">
        <v>0</v>
      </c>
      <c r="T5179">
        <v>1</v>
      </c>
    </row>
    <row r="5180" spans="1:20" ht="16.5" x14ac:dyDescent="0.3">
      <c r="A5180" t="s">
        <v>5234</v>
      </c>
      <c r="B5180" s="1">
        <v>45986</v>
      </c>
      <c r="C5180">
        <v>2025</v>
      </c>
      <c r="D5180" t="s">
        <v>1873</v>
      </c>
      <c r="E5180" t="s">
        <v>2108</v>
      </c>
      <c r="F5180" t="s">
        <v>38</v>
      </c>
      <c r="G5180" t="s">
        <v>39</v>
      </c>
      <c r="H5180" t="s">
        <v>48</v>
      </c>
      <c r="I5180" t="s">
        <v>40</v>
      </c>
      <c r="J5180" t="s">
        <v>27</v>
      </c>
      <c r="K5180" t="s">
        <v>28</v>
      </c>
      <c r="L5180" s="2">
        <v>51.3</v>
      </c>
      <c r="M5180" s="3">
        <v>430</v>
      </c>
      <c r="N5180">
        <v>2</v>
      </c>
      <c r="O5180">
        <v>3</v>
      </c>
      <c r="P5180">
        <v>0</v>
      </c>
      <c r="Q5180">
        <v>1</v>
      </c>
      <c r="R5180" s="4">
        <v>75.38</v>
      </c>
      <c r="S5180">
        <v>0</v>
      </c>
      <c r="T5180">
        <v>1</v>
      </c>
    </row>
    <row r="5181" spans="1:20" ht="16.5" x14ac:dyDescent="0.3">
      <c r="A5181" t="s">
        <v>5235</v>
      </c>
      <c r="B5181" s="1">
        <v>45986</v>
      </c>
      <c r="C5181">
        <v>2025</v>
      </c>
      <c r="D5181" t="s">
        <v>1873</v>
      </c>
      <c r="E5181" t="s">
        <v>2108</v>
      </c>
      <c r="F5181" t="s">
        <v>34</v>
      </c>
      <c r="G5181" t="s">
        <v>39</v>
      </c>
      <c r="H5181" t="s">
        <v>43</v>
      </c>
      <c r="I5181" t="s">
        <v>26</v>
      </c>
      <c r="J5181" t="s">
        <v>27</v>
      </c>
      <c r="K5181" t="s">
        <v>32</v>
      </c>
      <c r="L5181" s="2">
        <v>1.7</v>
      </c>
      <c r="M5181" s="3">
        <v>1277</v>
      </c>
      <c r="N5181">
        <v>5</v>
      </c>
      <c r="O5181">
        <v>5</v>
      </c>
      <c r="P5181">
        <v>1</v>
      </c>
      <c r="Q5181">
        <v>0</v>
      </c>
      <c r="R5181" s="4">
        <v>20.6</v>
      </c>
      <c r="S5181">
        <v>0</v>
      </c>
      <c r="T5181">
        <v>1</v>
      </c>
    </row>
    <row r="5182" spans="1:20" ht="16.5" x14ac:dyDescent="0.3">
      <c r="A5182" t="s">
        <v>5236</v>
      </c>
      <c r="B5182" s="1">
        <v>45986</v>
      </c>
      <c r="C5182">
        <v>2025</v>
      </c>
      <c r="D5182" t="s">
        <v>1873</v>
      </c>
      <c r="E5182" t="s">
        <v>2108</v>
      </c>
      <c r="F5182" t="s">
        <v>38</v>
      </c>
      <c r="G5182" t="s">
        <v>39</v>
      </c>
      <c r="H5182" t="s">
        <v>36</v>
      </c>
      <c r="I5182" t="s">
        <v>31</v>
      </c>
      <c r="J5182" t="s">
        <v>27</v>
      </c>
      <c r="K5182" t="s">
        <v>32</v>
      </c>
      <c r="L5182" s="2">
        <v>12.1</v>
      </c>
      <c r="M5182" s="3">
        <v>232</v>
      </c>
      <c r="N5182">
        <v>5</v>
      </c>
      <c r="O5182">
        <v>5</v>
      </c>
      <c r="P5182">
        <v>1</v>
      </c>
      <c r="Q5182">
        <v>0</v>
      </c>
      <c r="R5182" s="4">
        <v>12.55</v>
      </c>
      <c r="S5182">
        <v>0</v>
      </c>
      <c r="T5182">
        <v>1</v>
      </c>
    </row>
    <row r="5183" spans="1:20" ht="16.5" x14ac:dyDescent="0.3">
      <c r="A5183" t="s">
        <v>5237</v>
      </c>
      <c r="B5183" s="1">
        <v>45986</v>
      </c>
      <c r="C5183">
        <v>2025</v>
      </c>
      <c r="D5183" t="s">
        <v>1873</v>
      </c>
      <c r="E5183" t="s">
        <v>2108</v>
      </c>
      <c r="F5183" t="s">
        <v>34</v>
      </c>
      <c r="G5183" t="s">
        <v>24</v>
      </c>
      <c r="H5183" t="s">
        <v>48</v>
      </c>
      <c r="I5183" t="s">
        <v>31</v>
      </c>
      <c r="J5183" t="s">
        <v>27</v>
      </c>
      <c r="K5183" t="s">
        <v>28</v>
      </c>
      <c r="L5183" s="2">
        <v>12.5</v>
      </c>
      <c r="M5183" s="3">
        <v>365</v>
      </c>
      <c r="N5183">
        <v>6</v>
      </c>
      <c r="O5183">
        <v>6</v>
      </c>
      <c r="P5183">
        <v>1</v>
      </c>
      <c r="Q5183">
        <v>0</v>
      </c>
      <c r="R5183" s="4">
        <v>11.08</v>
      </c>
      <c r="S5183">
        <v>0</v>
      </c>
      <c r="T5183">
        <v>1</v>
      </c>
    </row>
    <row r="5184" spans="1:20" ht="16.5" x14ac:dyDescent="0.3">
      <c r="A5184" t="s">
        <v>5238</v>
      </c>
      <c r="B5184" s="1">
        <v>45986</v>
      </c>
      <c r="C5184">
        <v>2025</v>
      </c>
      <c r="D5184" t="s">
        <v>1873</v>
      </c>
      <c r="E5184" t="s">
        <v>2108</v>
      </c>
      <c r="F5184" t="s">
        <v>30</v>
      </c>
      <c r="G5184" t="s">
        <v>35</v>
      </c>
      <c r="H5184" t="s">
        <v>48</v>
      </c>
      <c r="I5184" t="s">
        <v>26</v>
      </c>
      <c r="J5184" t="s">
        <v>27</v>
      </c>
      <c r="K5184" t="s">
        <v>32</v>
      </c>
      <c r="L5184" s="2">
        <v>7.6</v>
      </c>
      <c r="M5184" s="3">
        <v>563</v>
      </c>
      <c r="N5184">
        <v>4</v>
      </c>
      <c r="O5184">
        <v>4</v>
      </c>
      <c r="P5184">
        <v>1</v>
      </c>
      <c r="Q5184">
        <v>0</v>
      </c>
      <c r="R5184" s="4">
        <v>19.149999999999999</v>
      </c>
      <c r="S5184">
        <v>0</v>
      </c>
      <c r="T5184">
        <v>1</v>
      </c>
    </row>
    <row r="5185" spans="1:20" ht="16.5" x14ac:dyDescent="0.3">
      <c r="A5185" t="s">
        <v>5239</v>
      </c>
      <c r="B5185" s="1">
        <v>45986</v>
      </c>
      <c r="C5185">
        <v>2025</v>
      </c>
      <c r="D5185" t="s">
        <v>1873</v>
      </c>
      <c r="E5185" t="s">
        <v>2108</v>
      </c>
      <c r="F5185" t="s">
        <v>23</v>
      </c>
      <c r="G5185" t="s">
        <v>35</v>
      </c>
      <c r="H5185" t="s">
        <v>48</v>
      </c>
      <c r="I5185" t="s">
        <v>31</v>
      </c>
      <c r="J5185" t="s">
        <v>27</v>
      </c>
      <c r="K5185" t="s">
        <v>32</v>
      </c>
      <c r="L5185" s="2">
        <v>1</v>
      </c>
      <c r="M5185" s="3">
        <v>486</v>
      </c>
      <c r="N5185">
        <v>6</v>
      </c>
      <c r="O5185">
        <v>6</v>
      </c>
      <c r="P5185">
        <v>1</v>
      </c>
      <c r="Q5185">
        <v>0</v>
      </c>
      <c r="R5185" s="4">
        <v>7.26</v>
      </c>
      <c r="S5185">
        <v>0</v>
      </c>
      <c r="T5185">
        <v>1</v>
      </c>
    </row>
    <row r="5186" spans="1:20" ht="16.5" x14ac:dyDescent="0.3">
      <c r="A5186" t="s">
        <v>5240</v>
      </c>
      <c r="B5186" s="1">
        <v>45986</v>
      </c>
      <c r="C5186">
        <v>2025</v>
      </c>
      <c r="D5186" t="s">
        <v>1873</v>
      </c>
      <c r="E5186" t="s">
        <v>2108</v>
      </c>
      <c r="F5186" t="s">
        <v>30</v>
      </c>
      <c r="G5186" t="s">
        <v>39</v>
      </c>
      <c r="H5186" t="s">
        <v>25</v>
      </c>
      <c r="I5186" t="s">
        <v>26</v>
      </c>
      <c r="J5186" t="s">
        <v>27</v>
      </c>
      <c r="K5186" t="s">
        <v>28</v>
      </c>
      <c r="L5186" s="2">
        <v>26.8</v>
      </c>
      <c r="M5186" s="3">
        <v>965</v>
      </c>
      <c r="N5186">
        <v>4</v>
      </c>
      <c r="O5186">
        <v>4</v>
      </c>
      <c r="P5186">
        <v>1</v>
      </c>
      <c r="Q5186">
        <v>0</v>
      </c>
      <c r="R5186" s="4">
        <v>33.11</v>
      </c>
      <c r="S5186">
        <v>0</v>
      </c>
      <c r="T5186">
        <v>1</v>
      </c>
    </row>
    <row r="5187" spans="1:20" ht="16.5" x14ac:dyDescent="0.3">
      <c r="A5187" t="s">
        <v>5241</v>
      </c>
      <c r="B5187" s="1">
        <v>45986</v>
      </c>
      <c r="C5187">
        <v>2025</v>
      </c>
      <c r="D5187" t="s">
        <v>1873</v>
      </c>
      <c r="E5187" t="s">
        <v>2108</v>
      </c>
      <c r="F5187" t="s">
        <v>23</v>
      </c>
      <c r="G5187" t="s">
        <v>39</v>
      </c>
      <c r="H5187" t="s">
        <v>25</v>
      </c>
      <c r="I5187" t="s">
        <v>26</v>
      </c>
      <c r="J5187" t="s">
        <v>27</v>
      </c>
      <c r="K5187" t="s">
        <v>32</v>
      </c>
      <c r="L5187" s="2">
        <v>7.4</v>
      </c>
      <c r="M5187" s="3">
        <v>976</v>
      </c>
      <c r="N5187">
        <v>4</v>
      </c>
      <c r="O5187">
        <v>3</v>
      </c>
      <c r="P5187">
        <v>1</v>
      </c>
      <c r="Q5187">
        <v>0</v>
      </c>
      <c r="R5187" s="4">
        <v>20</v>
      </c>
      <c r="S5187">
        <v>0</v>
      </c>
      <c r="T5187">
        <v>1</v>
      </c>
    </row>
    <row r="5188" spans="1:20" ht="16.5" x14ac:dyDescent="0.3">
      <c r="A5188" t="s">
        <v>5242</v>
      </c>
      <c r="B5188" s="1">
        <v>45986</v>
      </c>
      <c r="C5188">
        <v>2025</v>
      </c>
      <c r="D5188" t="s">
        <v>1873</v>
      </c>
      <c r="E5188" t="s">
        <v>2108</v>
      </c>
      <c r="F5188" t="s">
        <v>38</v>
      </c>
      <c r="G5188" t="s">
        <v>35</v>
      </c>
      <c r="H5188" t="s">
        <v>25</v>
      </c>
      <c r="I5188" t="s">
        <v>31</v>
      </c>
      <c r="J5188" t="s">
        <v>27</v>
      </c>
      <c r="K5188" t="s">
        <v>28</v>
      </c>
      <c r="L5188" s="2">
        <v>78.900000000000006</v>
      </c>
      <c r="M5188" s="3">
        <v>797</v>
      </c>
      <c r="N5188">
        <v>6</v>
      </c>
      <c r="O5188">
        <v>5</v>
      </c>
      <c r="P5188">
        <v>1</v>
      </c>
      <c r="Q5188">
        <v>0</v>
      </c>
      <c r="R5188" s="4">
        <v>40.31</v>
      </c>
      <c r="S5188">
        <v>0</v>
      </c>
      <c r="T5188">
        <v>1</v>
      </c>
    </row>
    <row r="5189" spans="1:20" ht="16.5" x14ac:dyDescent="0.3">
      <c r="A5189" t="s">
        <v>5243</v>
      </c>
      <c r="B5189" s="1">
        <v>45986</v>
      </c>
      <c r="C5189">
        <v>2025</v>
      </c>
      <c r="D5189" t="s">
        <v>1873</v>
      </c>
      <c r="E5189" t="s">
        <v>2108</v>
      </c>
      <c r="F5189" t="s">
        <v>57</v>
      </c>
      <c r="G5189" t="s">
        <v>39</v>
      </c>
      <c r="H5189" t="s">
        <v>51</v>
      </c>
      <c r="I5189" t="s">
        <v>31</v>
      </c>
      <c r="J5189" t="s">
        <v>27</v>
      </c>
      <c r="K5189" t="s">
        <v>32</v>
      </c>
      <c r="L5189" s="2">
        <v>16.399999999999999</v>
      </c>
      <c r="M5189" s="3">
        <v>1193</v>
      </c>
      <c r="N5189">
        <v>7</v>
      </c>
      <c r="O5189">
        <v>7</v>
      </c>
      <c r="P5189">
        <v>1</v>
      </c>
      <c r="Q5189">
        <v>0</v>
      </c>
      <c r="R5189" s="4">
        <v>20.61</v>
      </c>
      <c r="S5189">
        <v>0</v>
      </c>
      <c r="T5189">
        <v>1</v>
      </c>
    </row>
    <row r="5190" spans="1:20" ht="16.5" x14ac:dyDescent="0.3">
      <c r="A5190" t="s">
        <v>5244</v>
      </c>
      <c r="B5190" s="1">
        <v>45986</v>
      </c>
      <c r="C5190">
        <v>2025</v>
      </c>
      <c r="D5190" t="s">
        <v>1873</v>
      </c>
      <c r="E5190" t="s">
        <v>2108</v>
      </c>
      <c r="F5190" t="s">
        <v>23</v>
      </c>
      <c r="G5190" t="s">
        <v>24</v>
      </c>
      <c r="H5190" t="s">
        <v>36</v>
      </c>
      <c r="I5190" t="s">
        <v>26</v>
      </c>
      <c r="J5190" t="s">
        <v>27</v>
      </c>
      <c r="K5190" t="s">
        <v>32</v>
      </c>
      <c r="L5190" s="2">
        <v>6.4</v>
      </c>
      <c r="M5190" s="3">
        <v>250</v>
      </c>
      <c r="N5190">
        <v>3</v>
      </c>
      <c r="O5190">
        <v>3</v>
      </c>
      <c r="P5190">
        <v>1</v>
      </c>
      <c r="Q5190">
        <v>0</v>
      </c>
      <c r="R5190" s="4">
        <v>12.44</v>
      </c>
      <c r="S5190">
        <v>0</v>
      </c>
      <c r="T5190">
        <v>1</v>
      </c>
    </row>
    <row r="5191" spans="1:20" ht="16.5" x14ac:dyDescent="0.3">
      <c r="A5191" t="s">
        <v>5245</v>
      </c>
      <c r="B5191" s="1">
        <v>45986</v>
      </c>
      <c r="C5191">
        <v>2025</v>
      </c>
      <c r="D5191" t="s">
        <v>1873</v>
      </c>
      <c r="E5191" t="s">
        <v>2108</v>
      </c>
      <c r="F5191" t="s">
        <v>38</v>
      </c>
      <c r="G5191" t="s">
        <v>39</v>
      </c>
      <c r="H5191" t="s">
        <v>36</v>
      </c>
      <c r="I5191" t="s">
        <v>26</v>
      </c>
      <c r="J5191" t="s">
        <v>27</v>
      </c>
      <c r="K5191" t="s">
        <v>28</v>
      </c>
      <c r="L5191" s="2">
        <v>401.2</v>
      </c>
      <c r="M5191" s="3">
        <v>245</v>
      </c>
      <c r="N5191">
        <v>3</v>
      </c>
      <c r="O5191">
        <v>3</v>
      </c>
      <c r="P5191">
        <v>1</v>
      </c>
      <c r="Q5191">
        <v>0</v>
      </c>
      <c r="R5191" s="4">
        <v>171.25</v>
      </c>
      <c r="S5191">
        <v>0</v>
      </c>
      <c r="T5191">
        <v>1</v>
      </c>
    </row>
    <row r="5192" spans="1:20" ht="16.5" x14ac:dyDescent="0.3">
      <c r="A5192" t="s">
        <v>5246</v>
      </c>
      <c r="B5192" s="1">
        <v>45986</v>
      </c>
      <c r="C5192">
        <v>2025</v>
      </c>
      <c r="D5192" t="s">
        <v>1873</v>
      </c>
      <c r="E5192" t="s">
        <v>2108</v>
      </c>
      <c r="F5192" t="s">
        <v>57</v>
      </c>
      <c r="G5192" t="s">
        <v>35</v>
      </c>
      <c r="H5192" t="s">
        <v>25</v>
      </c>
      <c r="I5192" t="s">
        <v>26</v>
      </c>
      <c r="J5192" t="s">
        <v>27</v>
      </c>
      <c r="K5192" t="s">
        <v>32</v>
      </c>
      <c r="L5192" s="2">
        <v>8.3000000000000007</v>
      </c>
      <c r="M5192" s="3">
        <v>1064</v>
      </c>
      <c r="N5192">
        <v>4</v>
      </c>
      <c r="O5192">
        <v>4</v>
      </c>
      <c r="P5192">
        <v>1</v>
      </c>
      <c r="Q5192">
        <v>0</v>
      </c>
      <c r="R5192" s="4">
        <v>21.54</v>
      </c>
      <c r="S5192">
        <v>0</v>
      </c>
      <c r="T5192">
        <v>1</v>
      </c>
    </row>
    <row r="5193" spans="1:20" ht="16.5" x14ac:dyDescent="0.3">
      <c r="A5193" t="s">
        <v>5247</v>
      </c>
      <c r="B5193" s="1">
        <v>45986</v>
      </c>
      <c r="C5193">
        <v>2025</v>
      </c>
      <c r="D5193" t="s">
        <v>1873</v>
      </c>
      <c r="E5193" t="s">
        <v>2108</v>
      </c>
      <c r="F5193" t="s">
        <v>30</v>
      </c>
      <c r="G5193" t="s">
        <v>35</v>
      </c>
      <c r="H5193" t="s">
        <v>43</v>
      </c>
      <c r="I5193" t="s">
        <v>26</v>
      </c>
      <c r="J5193" t="s">
        <v>27</v>
      </c>
      <c r="K5193" t="s">
        <v>32</v>
      </c>
      <c r="L5193" s="2">
        <v>5.0999999999999996</v>
      </c>
      <c r="M5193" s="3">
        <v>1429</v>
      </c>
      <c r="N5193">
        <v>5</v>
      </c>
      <c r="O5193">
        <v>5</v>
      </c>
      <c r="P5193">
        <v>1</v>
      </c>
      <c r="Q5193">
        <v>0</v>
      </c>
      <c r="R5193" s="4">
        <v>27.47</v>
      </c>
      <c r="S5193">
        <v>0</v>
      </c>
      <c r="T5193">
        <v>1</v>
      </c>
    </row>
    <row r="5194" spans="1:20" ht="16.5" x14ac:dyDescent="0.3">
      <c r="A5194" t="s">
        <v>5248</v>
      </c>
      <c r="B5194" s="1">
        <v>45987</v>
      </c>
      <c r="C5194">
        <v>2025</v>
      </c>
      <c r="D5194" t="s">
        <v>1873</v>
      </c>
      <c r="E5194" t="s">
        <v>2108</v>
      </c>
      <c r="F5194" t="s">
        <v>38</v>
      </c>
      <c r="G5194" t="s">
        <v>39</v>
      </c>
      <c r="H5194" t="s">
        <v>51</v>
      </c>
      <c r="I5194" t="s">
        <v>26</v>
      </c>
      <c r="J5194" t="s">
        <v>27</v>
      </c>
      <c r="K5194" t="s">
        <v>32</v>
      </c>
      <c r="L5194" s="2">
        <v>8</v>
      </c>
      <c r="M5194" s="3">
        <v>1460</v>
      </c>
      <c r="N5194">
        <v>5</v>
      </c>
      <c r="O5194">
        <v>5</v>
      </c>
      <c r="P5194">
        <v>1</v>
      </c>
      <c r="Q5194">
        <v>0</v>
      </c>
      <c r="R5194" s="4">
        <v>32.369999999999997</v>
      </c>
      <c r="S5194">
        <v>0</v>
      </c>
      <c r="T5194">
        <v>1</v>
      </c>
    </row>
    <row r="5195" spans="1:20" ht="16.5" x14ac:dyDescent="0.3">
      <c r="A5195" t="s">
        <v>5249</v>
      </c>
      <c r="B5195" s="1">
        <v>45987</v>
      </c>
      <c r="C5195">
        <v>2025</v>
      </c>
      <c r="D5195" t="s">
        <v>1873</v>
      </c>
      <c r="E5195" t="s">
        <v>2108</v>
      </c>
      <c r="F5195" t="s">
        <v>38</v>
      </c>
      <c r="G5195" t="s">
        <v>39</v>
      </c>
      <c r="H5195" t="s">
        <v>36</v>
      </c>
      <c r="I5195" t="s">
        <v>40</v>
      </c>
      <c r="J5195" t="s">
        <v>27</v>
      </c>
      <c r="K5195" t="s">
        <v>32</v>
      </c>
      <c r="L5195" s="2">
        <v>9.8000000000000007</v>
      </c>
      <c r="M5195" s="3">
        <v>260</v>
      </c>
      <c r="N5195">
        <v>1</v>
      </c>
      <c r="O5195">
        <v>3</v>
      </c>
      <c r="P5195">
        <v>0</v>
      </c>
      <c r="Q5195">
        <v>2</v>
      </c>
      <c r="R5195" s="4">
        <v>28.84</v>
      </c>
      <c r="S5195">
        <v>0</v>
      </c>
      <c r="T5195">
        <v>1</v>
      </c>
    </row>
    <row r="5196" spans="1:20" ht="16.5" x14ac:dyDescent="0.3">
      <c r="A5196" t="s">
        <v>5250</v>
      </c>
      <c r="B5196" s="1">
        <v>45987</v>
      </c>
      <c r="C5196">
        <v>2025</v>
      </c>
      <c r="D5196" t="s">
        <v>1873</v>
      </c>
      <c r="E5196" t="s">
        <v>2108</v>
      </c>
      <c r="F5196" t="s">
        <v>38</v>
      </c>
      <c r="G5196" t="s">
        <v>35</v>
      </c>
      <c r="H5196" t="s">
        <v>51</v>
      </c>
      <c r="I5196" t="s">
        <v>40</v>
      </c>
      <c r="J5196" t="s">
        <v>41</v>
      </c>
      <c r="K5196" t="s">
        <v>32</v>
      </c>
      <c r="L5196" s="2">
        <v>9.6999999999999993</v>
      </c>
      <c r="M5196" s="3">
        <v>844</v>
      </c>
      <c r="N5196">
        <v>3</v>
      </c>
      <c r="O5196">
        <v>3</v>
      </c>
      <c r="P5196">
        <v>1</v>
      </c>
      <c r="Q5196">
        <v>0</v>
      </c>
      <c r="R5196" s="4">
        <v>75.760000000000005</v>
      </c>
      <c r="S5196">
        <v>0</v>
      </c>
      <c r="T5196">
        <v>1</v>
      </c>
    </row>
    <row r="5197" spans="1:20" ht="16.5" x14ac:dyDescent="0.3">
      <c r="A5197" t="s">
        <v>5251</v>
      </c>
      <c r="B5197" s="1">
        <v>45987</v>
      </c>
      <c r="C5197">
        <v>2025</v>
      </c>
      <c r="D5197" t="s">
        <v>1873</v>
      </c>
      <c r="E5197" t="s">
        <v>2108</v>
      </c>
      <c r="F5197" t="s">
        <v>57</v>
      </c>
      <c r="G5197" t="s">
        <v>35</v>
      </c>
      <c r="H5197" t="s">
        <v>36</v>
      </c>
      <c r="I5197" t="s">
        <v>31</v>
      </c>
      <c r="J5197" t="s">
        <v>27</v>
      </c>
      <c r="K5197" t="s">
        <v>28</v>
      </c>
      <c r="L5197" s="2">
        <v>111.9</v>
      </c>
      <c r="M5197" s="3">
        <v>319</v>
      </c>
      <c r="N5197">
        <v>5</v>
      </c>
      <c r="O5197">
        <v>5</v>
      </c>
      <c r="P5197">
        <v>1</v>
      </c>
      <c r="Q5197">
        <v>0</v>
      </c>
      <c r="R5197" s="4">
        <v>43.83</v>
      </c>
      <c r="S5197">
        <v>0</v>
      </c>
      <c r="T5197">
        <v>1</v>
      </c>
    </row>
    <row r="5198" spans="1:20" ht="16.5" x14ac:dyDescent="0.3">
      <c r="A5198" t="s">
        <v>5252</v>
      </c>
      <c r="B5198" s="1">
        <v>45987</v>
      </c>
      <c r="C5198">
        <v>2025</v>
      </c>
      <c r="D5198" t="s">
        <v>1873</v>
      </c>
      <c r="E5198" t="s">
        <v>2108</v>
      </c>
      <c r="F5198" t="s">
        <v>23</v>
      </c>
      <c r="G5198" t="s">
        <v>35</v>
      </c>
      <c r="H5198" t="s">
        <v>48</v>
      </c>
      <c r="I5198" t="s">
        <v>26</v>
      </c>
      <c r="J5198" t="s">
        <v>27</v>
      </c>
      <c r="K5198" t="s">
        <v>28</v>
      </c>
      <c r="L5198" s="2">
        <v>122.5</v>
      </c>
      <c r="M5198" s="3">
        <v>437</v>
      </c>
      <c r="N5198">
        <v>4</v>
      </c>
      <c r="O5198">
        <v>4</v>
      </c>
      <c r="P5198">
        <v>1</v>
      </c>
      <c r="Q5198">
        <v>0</v>
      </c>
      <c r="R5198" s="4">
        <v>68.849999999999994</v>
      </c>
      <c r="S5198">
        <v>0</v>
      </c>
      <c r="T5198">
        <v>1</v>
      </c>
    </row>
    <row r="5199" spans="1:20" ht="16.5" x14ac:dyDescent="0.3">
      <c r="A5199" t="s">
        <v>5253</v>
      </c>
      <c r="B5199" s="1">
        <v>45987</v>
      </c>
      <c r="C5199">
        <v>2025</v>
      </c>
      <c r="D5199" t="s">
        <v>1873</v>
      </c>
      <c r="E5199" t="s">
        <v>2108</v>
      </c>
      <c r="F5199" t="s">
        <v>57</v>
      </c>
      <c r="G5199" t="s">
        <v>39</v>
      </c>
      <c r="H5199" t="s">
        <v>36</v>
      </c>
      <c r="I5199" t="s">
        <v>26</v>
      </c>
      <c r="J5199" t="s">
        <v>27</v>
      </c>
      <c r="K5199" t="s">
        <v>28</v>
      </c>
      <c r="L5199" s="2">
        <v>78.099999999999994</v>
      </c>
      <c r="M5199" s="3">
        <v>314</v>
      </c>
      <c r="N5199">
        <v>3</v>
      </c>
      <c r="O5199">
        <v>6</v>
      </c>
      <c r="P5199">
        <v>0</v>
      </c>
      <c r="Q5199">
        <v>3</v>
      </c>
      <c r="R5199" s="4">
        <v>47.86</v>
      </c>
      <c r="S5199">
        <v>0</v>
      </c>
      <c r="T5199">
        <v>1</v>
      </c>
    </row>
    <row r="5200" spans="1:20" ht="16.5" x14ac:dyDescent="0.3">
      <c r="A5200" t="s">
        <v>5254</v>
      </c>
      <c r="B5200" s="1">
        <v>45987</v>
      </c>
      <c r="C5200">
        <v>2025</v>
      </c>
      <c r="D5200" t="s">
        <v>1873</v>
      </c>
      <c r="E5200" t="s">
        <v>2108</v>
      </c>
      <c r="F5200" t="s">
        <v>30</v>
      </c>
      <c r="G5200" t="s">
        <v>39</v>
      </c>
      <c r="H5200" t="s">
        <v>36</v>
      </c>
      <c r="I5200" t="s">
        <v>31</v>
      </c>
      <c r="J5200" t="s">
        <v>27</v>
      </c>
      <c r="K5200" t="s">
        <v>28</v>
      </c>
      <c r="L5200" s="2">
        <v>248.9</v>
      </c>
      <c r="M5200" s="3">
        <v>235</v>
      </c>
      <c r="N5200">
        <v>5</v>
      </c>
      <c r="O5200">
        <v>5</v>
      </c>
      <c r="P5200">
        <v>1</v>
      </c>
      <c r="Q5200">
        <v>0</v>
      </c>
      <c r="R5200" s="4">
        <v>84.89</v>
      </c>
      <c r="S5200">
        <v>0</v>
      </c>
      <c r="T5200">
        <v>1</v>
      </c>
    </row>
    <row r="5201" spans="1:20" ht="16.5" x14ac:dyDescent="0.3">
      <c r="A5201" t="s">
        <v>5255</v>
      </c>
      <c r="B5201" s="1">
        <v>45987</v>
      </c>
      <c r="C5201">
        <v>2025</v>
      </c>
      <c r="D5201" t="s">
        <v>1873</v>
      </c>
      <c r="E5201" t="s">
        <v>2108</v>
      </c>
      <c r="F5201" t="s">
        <v>30</v>
      </c>
      <c r="G5201" t="s">
        <v>39</v>
      </c>
      <c r="H5201" t="s">
        <v>48</v>
      </c>
      <c r="I5201" t="s">
        <v>40</v>
      </c>
      <c r="J5201" t="s">
        <v>27</v>
      </c>
      <c r="K5201" t="s">
        <v>28</v>
      </c>
      <c r="L5201" s="2">
        <v>58.2</v>
      </c>
      <c r="M5201" s="3">
        <v>560</v>
      </c>
      <c r="N5201">
        <v>2</v>
      </c>
      <c r="O5201">
        <v>1</v>
      </c>
      <c r="P5201">
        <v>1</v>
      </c>
      <c r="Q5201">
        <v>0</v>
      </c>
      <c r="R5201" s="4">
        <v>73.72</v>
      </c>
      <c r="S5201">
        <v>0</v>
      </c>
      <c r="T5201">
        <v>1</v>
      </c>
    </row>
    <row r="5202" spans="1:20" ht="16.5" x14ac:dyDescent="0.3">
      <c r="A5202" t="s">
        <v>5256</v>
      </c>
      <c r="B5202" s="1">
        <v>45987</v>
      </c>
      <c r="C5202">
        <v>2025</v>
      </c>
      <c r="D5202" t="s">
        <v>1873</v>
      </c>
      <c r="E5202" t="s">
        <v>2108</v>
      </c>
      <c r="F5202" t="s">
        <v>23</v>
      </c>
      <c r="G5202" t="s">
        <v>39</v>
      </c>
      <c r="H5202" t="s">
        <v>25</v>
      </c>
      <c r="I5202" t="s">
        <v>26</v>
      </c>
      <c r="J5202" t="s">
        <v>27</v>
      </c>
      <c r="K5202" t="s">
        <v>32</v>
      </c>
      <c r="L5202" s="2">
        <v>9</v>
      </c>
      <c r="M5202" s="3">
        <v>959</v>
      </c>
      <c r="N5202">
        <v>4</v>
      </c>
      <c r="O5202">
        <v>3</v>
      </c>
      <c r="P5202">
        <v>1</v>
      </c>
      <c r="Q5202">
        <v>0</v>
      </c>
      <c r="R5202" s="4">
        <v>24.91</v>
      </c>
      <c r="S5202">
        <v>0</v>
      </c>
      <c r="T5202">
        <v>1</v>
      </c>
    </row>
    <row r="5203" spans="1:20" ht="16.5" x14ac:dyDescent="0.3">
      <c r="A5203" t="s">
        <v>5257</v>
      </c>
      <c r="B5203" s="1">
        <v>45987</v>
      </c>
      <c r="C5203">
        <v>2025</v>
      </c>
      <c r="D5203" t="s">
        <v>1873</v>
      </c>
      <c r="E5203" t="s">
        <v>2108</v>
      </c>
      <c r="F5203" t="s">
        <v>30</v>
      </c>
      <c r="G5203" t="s">
        <v>39</v>
      </c>
      <c r="H5203" t="s">
        <v>25</v>
      </c>
      <c r="I5203" t="s">
        <v>31</v>
      </c>
      <c r="J5203" t="s">
        <v>27</v>
      </c>
      <c r="K5203" t="s">
        <v>28</v>
      </c>
      <c r="L5203" s="2">
        <v>271.8</v>
      </c>
      <c r="M5203" s="3">
        <v>1030</v>
      </c>
      <c r="N5203">
        <v>6</v>
      </c>
      <c r="O5203">
        <v>6</v>
      </c>
      <c r="P5203">
        <v>1</v>
      </c>
      <c r="Q5203">
        <v>0</v>
      </c>
      <c r="R5203" s="4">
        <v>88.15</v>
      </c>
      <c r="S5203">
        <v>0</v>
      </c>
      <c r="T5203">
        <v>1</v>
      </c>
    </row>
    <row r="5204" spans="1:20" ht="16.5" x14ac:dyDescent="0.3">
      <c r="A5204" t="s">
        <v>5258</v>
      </c>
      <c r="B5204" s="1">
        <v>45987</v>
      </c>
      <c r="C5204">
        <v>2025</v>
      </c>
      <c r="D5204" t="s">
        <v>1873</v>
      </c>
      <c r="E5204" t="s">
        <v>2108</v>
      </c>
      <c r="F5204" t="s">
        <v>30</v>
      </c>
      <c r="G5204" t="s">
        <v>39</v>
      </c>
      <c r="H5204" t="s">
        <v>36</v>
      </c>
      <c r="I5204" t="s">
        <v>26</v>
      </c>
      <c r="J5204" t="s">
        <v>27</v>
      </c>
      <c r="K5204" t="s">
        <v>32</v>
      </c>
      <c r="L5204" s="2">
        <v>12.3</v>
      </c>
      <c r="M5204" s="3">
        <v>202</v>
      </c>
      <c r="N5204">
        <v>3</v>
      </c>
      <c r="O5204">
        <v>3</v>
      </c>
      <c r="P5204">
        <v>1</v>
      </c>
      <c r="Q5204">
        <v>0</v>
      </c>
      <c r="R5204" s="4">
        <v>15.77</v>
      </c>
      <c r="S5204">
        <v>0</v>
      </c>
      <c r="T5204">
        <v>1</v>
      </c>
    </row>
    <row r="5205" spans="1:20" ht="16.5" x14ac:dyDescent="0.3">
      <c r="A5205" t="s">
        <v>5259</v>
      </c>
      <c r="B5205" s="1">
        <v>45987</v>
      </c>
      <c r="C5205">
        <v>2025</v>
      </c>
      <c r="D5205" t="s">
        <v>1873</v>
      </c>
      <c r="E5205" t="s">
        <v>2108</v>
      </c>
      <c r="F5205" t="s">
        <v>57</v>
      </c>
      <c r="G5205" t="s">
        <v>39</v>
      </c>
      <c r="H5205" t="s">
        <v>51</v>
      </c>
      <c r="I5205" t="s">
        <v>26</v>
      </c>
      <c r="J5205" t="s">
        <v>27</v>
      </c>
      <c r="K5205" t="s">
        <v>32</v>
      </c>
      <c r="L5205" s="2">
        <v>9</v>
      </c>
      <c r="M5205" s="3">
        <v>1088</v>
      </c>
      <c r="N5205">
        <v>5</v>
      </c>
      <c r="O5205">
        <v>9</v>
      </c>
      <c r="P5205">
        <v>0</v>
      </c>
      <c r="Q5205">
        <v>4</v>
      </c>
      <c r="R5205" s="4">
        <v>23.82</v>
      </c>
      <c r="S5205">
        <v>0</v>
      </c>
      <c r="T5205">
        <v>1</v>
      </c>
    </row>
    <row r="5206" spans="1:20" ht="16.5" x14ac:dyDescent="0.3">
      <c r="A5206" t="s">
        <v>5260</v>
      </c>
      <c r="B5206" s="1">
        <v>45987</v>
      </c>
      <c r="C5206">
        <v>2025</v>
      </c>
      <c r="D5206" t="s">
        <v>1873</v>
      </c>
      <c r="E5206" t="s">
        <v>2108</v>
      </c>
      <c r="F5206" t="s">
        <v>57</v>
      </c>
      <c r="G5206" t="s">
        <v>35</v>
      </c>
      <c r="H5206" t="s">
        <v>43</v>
      </c>
      <c r="I5206" t="s">
        <v>26</v>
      </c>
      <c r="J5206" t="s">
        <v>27</v>
      </c>
      <c r="K5206" t="s">
        <v>32</v>
      </c>
      <c r="L5206" s="2">
        <v>17.8</v>
      </c>
      <c r="M5206" s="3">
        <v>1484</v>
      </c>
      <c r="N5206">
        <v>5</v>
      </c>
      <c r="O5206">
        <v>4</v>
      </c>
      <c r="P5206">
        <v>1</v>
      </c>
      <c r="Q5206">
        <v>0</v>
      </c>
      <c r="R5206" s="4">
        <v>33.03</v>
      </c>
      <c r="S5206">
        <v>0</v>
      </c>
      <c r="T5206">
        <v>1</v>
      </c>
    </row>
    <row r="5207" spans="1:20" ht="16.5" x14ac:dyDescent="0.3">
      <c r="A5207" t="s">
        <v>5261</v>
      </c>
      <c r="B5207" s="1">
        <v>45987</v>
      </c>
      <c r="C5207">
        <v>2025</v>
      </c>
      <c r="D5207" t="s">
        <v>1873</v>
      </c>
      <c r="E5207" t="s">
        <v>2108</v>
      </c>
      <c r="F5207" t="s">
        <v>34</v>
      </c>
      <c r="G5207" t="s">
        <v>39</v>
      </c>
      <c r="H5207" t="s">
        <v>25</v>
      </c>
      <c r="I5207" t="s">
        <v>40</v>
      </c>
      <c r="J5207" t="s">
        <v>41</v>
      </c>
      <c r="K5207" t="s">
        <v>28</v>
      </c>
      <c r="L5207" s="2">
        <v>202.9</v>
      </c>
      <c r="M5207" s="3">
        <v>1027</v>
      </c>
      <c r="N5207">
        <v>2</v>
      </c>
      <c r="O5207">
        <v>5</v>
      </c>
      <c r="P5207">
        <v>0</v>
      </c>
      <c r="Q5207">
        <v>3</v>
      </c>
      <c r="R5207" s="4">
        <v>271.39</v>
      </c>
      <c r="S5207">
        <v>0</v>
      </c>
      <c r="T5207">
        <v>1</v>
      </c>
    </row>
    <row r="5208" spans="1:20" ht="16.5" x14ac:dyDescent="0.3">
      <c r="A5208" t="s">
        <v>5262</v>
      </c>
      <c r="B5208" s="1">
        <v>45987</v>
      </c>
      <c r="C5208">
        <v>2025</v>
      </c>
      <c r="D5208" t="s">
        <v>1873</v>
      </c>
      <c r="E5208" t="s">
        <v>2108</v>
      </c>
      <c r="F5208" t="s">
        <v>34</v>
      </c>
      <c r="G5208" t="s">
        <v>35</v>
      </c>
      <c r="H5208" t="s">
        <v>25</v>
      </c>
      <c r="I5208" t="s">
        <v>31</v>
      </c>
      <c r="J5208" t="s">
        <v>27</v>
      </c>
      <c r="K5208" t="s">
        <v>32</v>
      </c>
      <c r="L5208" s="2">
        <v>1.7</v>
      </c>
      <c r="M5208" s="3">
        <v>832</v>
      </c>
      <c r="N5208">
        <v>6</v>
      </c>
      <c r="O5208">
        <v>6</v>
      </c>
      <c r="P5208">
        <v>1</v>
      </c>
      <c r="Q5208">
        <v>0</v>
      </c>
      <c r="R5208" s="4">
        <v>10.84</v>
      </c>
      <c r="S5208">
        <v>0</v>
      </c>
      <c r="T5208">
        <v>1</v>
      </c>
    </row>
    <row r="5209" spans="1:20" ht="16.5" x14ac:dyDescent="0.3">
      <c r="A5209" t="s">
        <v>5263</v>
      </c>
      <c r="B5209" s="1">
        <v>45987</v>
      </c>
      <c r="C5209">
        <v>2025</v>
      </c>
      <c r="D5209" t="s">
        <v>1873</v>
      </c>
      <c r="E5209" t="s">
        <v>2108</v>
      </c>
      <c r="F5209" t="s">
        <v>57</v>
      </c>
      <c r="G5209" t="s">
        <v>24</v>
      </c>
      <c r="H5209" t="s">
        <v>51</v>
      </c>
      <c r="I5209" t="s">
        <v>40</v>
      </c>
      <c r="J5209" t="s">
        <v>41</v>
      </c>
      <c r="K5209" t="s">
        <v>32</v>
      </c>
      <c r="L5209" s="2">
        <v>12.7</v>
      </c>
      <c r="M5209" s="3">
        <v>1160</v>
      </c>
      <c r="N5209">
        <v>3</v>
      </c>
      <c r="O5209">
        <v>5</v>
      </c>
      <c r="P5209">
        <v>0</v>
      </c>
      <c r="Q5209">
        <v>2</v>
      </c>
      <c r="R5209" s="4">
        <v>94.34</v>
      </c>
      <c r="S5209">
        <v>0</v>
      </c>
      <c r="T5209">
        <v>1</v>
      </c>
    </row>
    <row r="5210" spans="1:20" ht="16.5" x14ac:dyDescent="0.3">
      <c r="A5210" t="s">
        <v>5264</v>
      </c>
      <c r="B5210" s="1">
        <v>45987</v>
      </c>
      <c r="C5210">
        <v>2025</v>
      </c>
      <c r="D5210" t="s">
        <v>1873</v>
      </c>
      <c r="E5210" t="s">
        <v>2108</v>
      </c>
      <c r="F5210" t="s">
        <v>23</v>
      </c>
      <c r="G5210" t="s">
        <v>35</v>
      </c>
      <c r="H5210" t="s">
        <v>48</v>
      </c>
      <c r="I5210" t="s">
        <v>40</v>
      </c>
      <c r="J5210" t="s">
        <v>27</v>
      </c>
      <c r="K5210" t="s">
        <v>32</v>
      </c>
      <c r="L5210" s="2">
        <v>11.4</v>
      </c>
      <c r="M5210" s="3">
        <v>459</v>
      </c>
      <c r="N5210">
        <v>2</v>
      </c>
      <c r="O5210">
        <v>1</v>
      </c>
      <c r="P5210">
        <v>1</v>
      </c>
      <c r="Q5210">
        <v>0</v>
      </c>
      <c r="R5210" s="4">
        <v>32.869999999999997</v>
      </c>
      <c r="S5210">
        <v>0</v>
      </c>
      <c r="T5210">
        <v>1</v>
      </c>
    </row>
    <row r="5211" spans="1:20" ht="16.5" x14ac:dyDescent="0.3">
      <c r="A5211" t="s">
        <v>5265</v>
      </c>
      <c r="B5211" s="1">
        <v>45987</v>
      </c>
      <c r="C5211">
        <v>2025</v>
      </c>
      <c r="D5211" t="s">
        <v>1873</v>
      </c>
      <c r="E5211" t="s">
        <v>2108</v>
      </c>
      <c r="F5211" t="s">
        <v>38</v>
      </c>
      <c r="G5211" t="s">
        <v>39</v>
      </c>
      <c r="H5211" t="s">
        <v>25</v>
      </c>
      <c r="I5211" t="s">
        <v>40</v>
      </c>
      <c r="J5211" t="s">
        <v>41</v>
      </c>
      <c r="K5211" t="s">
        <v>32</v>
      </c>
      <c r="L5211" s="2">
        <v>3</v>
      </c>
      <c r="M5211" s="3">
        <v>1004</v>
      </c>
      <c r="N5211">
        <v>2</v>
      </c>
      <c r="O5211">
        <v>2</v>
      </c>
      <c r="P5211">
        <v>1</v>
      </c>
      <c r="Q5211">
        <v>0</v>
      </c>
      <c r="R5211" s="4">
        <v>72.53</v>
      </c>
      <c r="S5211">
        <v>0</v>
      </c>
      <c r="T5211">
        <v>1</v>
      </c>
    </row>
    <row r="5212" spans="1:20" ht="16.5" x14ac:dyDescent="0.3">
      <c r="A5212" t="s">
        <v>5266</v>
      </c>
      <c r="B5212" s="1">
        <v>45988</v>
      </c>
      <c r="C5212">
        <v>2025</v>
      </c>
      <c r="D5212" t="s">
        <v>1873</v>
      </c>
      <c r="E5212" t="s">
        <v>2108</v>
      </c>
      <c r="F5212" t="s">
        <v>38</v>
      </c>
      <c r="G5212" t="s">
        <v>39</v>
      </c>
      <c r="H5212" t="s">
        <v>43</v>
      </c>
      <c r="I5212" t="s">
        <v>31</v>
      </c>
      <c r="J5212" t="s">
        <v>27</v>
      </c>
      <c r="K5212" t="s">
        <v>32</v>
      </c>
      <c r="L5212" s="2">
        <v>3.4</v>
      </c>
      <c r="M5212" s="3">
        <v>1063</v>
      </c>
      <c r="N5212">
        <v>7</v>
      </c>
      <c r="O5212">
        <v>8</v>
      </c>
      <c r="P5212">
        <v>0</v>
      </c>
      <c r="Q5212">
        <v>1</v>
      </c>
      <c r="R5212" s="4">
        <v>18.690000000000001</v>
      </c>
      <c r="S5212">
        <v>0</v>
      </c>
      <c r="T5212">
        <v>1</v>
      </c>
    </row>
    <row r="5213" spans="1:20" ht="16.5" x14ac:dyDescent="0.3">
      <c r="A5213" t="s">
        <v>5267</v>
      </c>
      <c r="B5213" s="1">
        <v>45988</v>
      </c>
      <c r="C5213">
        <v>2025</v>
      </c>
      <c r="D5213" t="s">
        <v>1873</v>
      </c>
      <c r="E5213" t="s">
        <v>2108</v>
      </c>
      <c r="F5213" t="s">
        <v>34</v>
      </c>
      <c r="G5213" t="s">
        <v>24</v>
      </c>
      <c r="H5213" t="s">
        <v>48</v>
      </c>
      <c r="I5213" t="s">
        <v>26</v>
      </c>
      <c r="J5213" t="s">
        <v>27</v>
      </c>
      <c r="K5213" t="s">
        <v>32</v>
      </c>
      <c r="L5213" s="2">
        <v>8</v>
      </c>
      <c r="M5213" s="3">
        <v>540</v>
      </c>
      <c r="N5213">
        <v>4</v>
      </c>
      <c r="O5213">
        <v>4</v>
      </c>
      <c r="P5213">
        <v>1</v>
      </c>
      <c r="Q5213">
        <v>0</v>
      </c>
      <c r="R5213" s="4">
        <v>15.34</v>
      </c>
      <c r="S5213">
        <v>0</v>
      </c>
      <c r="T5213">
        <v>1</v>
      </c>
    </row>
    <row r="5214" spans="1:20" ht="16.5" x14ac:dyDescent="0.3">
      <c r="A5214" t="s">
        <v>5268</v>
      </c>
      <c r="B5214" s="1">
        <v>45988</v>
      </c>
      <c r="C5214">
        <v>2025</v>
      </c>
      <c r="D5214" t="s">
        <v>1873</v>
      </c>
      <c r="E5214" t="s">
        <v>2108</v>
      </c>
      <c r="F5214" t="s">
        <v>23</v>
      </c>
      <c r="G5214" t="s">
        <v>39</v>
      </c>
      <c r="H5214" t="s">
        <v>36</v>
      </c>
      <c r="I5214" t="s">
        <v>31</v>
      </c>
      <c r="J5214" t="s">
        <v>27</v>
      </c>
      <c r="K5214" t="s">
        <v>32</v>
      </c>
      <c r="L5214" s="2">
        <v>3.7</v>
      </c>
      <c r="M5214" s="3">
        <v>246</v>
      </c>
      <c r="N5214">
        <v>5</v>
      </c>
      <c r="O5214">
        <v>7</v>
      </c>
      <c r="P5214">
        <v>0</v>
      </c>
      <c r="Q5214">
        <v>2</v>
      </c>
      <c r="R5214" s="4">
        <v>8.24</v>
      </c>
      <c r="S5214">
        <v>0</v>
      </c>
      <c r="T5214">
        <v>1</v>
      </c>
    </row>
    <row r="5215" spans="1:20" ht="16.5" x14ac:dyDescent="0.3">
      <c r="A5215" t="s">
        <v>5269</v>
      </c>
      <c r="B5215" s="1">
        <v>45988</v>
      </c>
      <c r="C5215">
        <v>2025</v>
      </c>
      <c r="D5215" t="s">
        <v>1873</v>
      </c>
      <c r="E5215" t="s">
        <v>2108</v>
      </c>
      <c r="F5215" t="s">
        <v>23</v>
      </c>
      <c r="G5215" t="s">
        <v>24</v>
      </c>
      <c r="H5215" t="s">
        <v>43</v>
      </c>
      <c r="I5215" t="s">
        <v>26</v>
      </c>
      <c r="J5215" t="s">
        <v>27</v>
      </c>
      <c r="K5215" t="s">
        <v>32</v>
      </c>
      <c r="L5215" s="2">
        <v>17</v>
      </c>
      <c r="M5215" s="3">
        <v>1174</v>
      </c>
      <c r="N5215">
        <v>5</v>
      </c>
      <c r="O5215">
        <v>5</v>
      </c>
      <c r="P5215">
        <v>1</v>
      </c>
      <c r="Q5215">
        <v>0</v>
      </c>
      <c r="R5215" s="4">
        <v>25.62</v>
      </c>
      <c r="S5215">
        <v>0</v>
      </c>
      <c r="T5215">
        <v>1</v>
      </c>
    </row>
    <row r="5216" spans="1:20" ht="16.5" x14ac:dyDescent="0.3">
      <c r="A5216" t="s">
        <v>5270</v>
      </c>
      <c r="B5216" s="1">
        <v>45988</v>
      </c>
      <c r="C5216">
        <v>2025</v>
      </c>
      <c r="D5216" t="s">
        <v>1873</v>
      </c>
      <c r="E5216" t="s">
        <v>2108</v>
      </c>
      <c r="F5216" t="s">
        <v>23</v>
      </c>
      <c r="G5216" t="s">
        <v>24</v>
      </c>
      <c r="H5216" t="s">
        <v>36</v>
      </c>
      <c r="I5216" t="s">
        <v>26</v>
      </c>
      <c r="J5216" t="s">
        <v>27</v>
      </c>
      <c r="K5216" t="s">
        <v>32</v>
      </c>
      <c r="L5216" s="2">
        <v>38.9</v>
      </c>
      <c r="M5216" s="3">
        <v>315</v>
      </c>
      <c r="N5216">
        <v>3</v>
      </c>
      <c r="O5216">
        <v>4</v>
      </c>
      <c r="P5216">
        <v>0</v>
      </c>
      <c r="Q5216">
        <v>1</v>
      </c>
      <c r="R5216" s="4">
        <v>27.56</v>
      </c>
      <c r="S5216">
        <v>0</v>
      </c>
      <c r="T5216">
        <v>1</v>
      </c>
    </row>
    <row r="5217" spans="1:20" ht="16.5" x14ac:dyDescent="0.3">
      <c r="A5217" t="s">
        <v>5271</v>
      </c>
      <c r="B5217" s="1">
        <v>45988</v>
      </c>
      <c r="C5217">
        <v>2025</v>
      </c>
      <c r="D5217" t="s">
        <v>1873</v>
      </c>
      <c r="E5217" t="s">
        <v>2108</v>
      </c>
      <c r="F5217" t="s">
        <v>38</v>
      </c>
      <c r="G5217" t="s">
        <v>39</v>
      </c>
      <c r="H5217" t="s">
        <v>43</v>
      </c>
      <c r="I5217" t="s">
        <v>31</v>
      </c>
      <c r="J5217" t="s">
        <v>27</v>
      </c>
      <c r="K5217" t="s">
        <v>32</v>
      </c>
      <c r="L5217" s="2">
        <v>8.6999999999999993</v>
      </c>
      <c r="M5217" s="3">
        <v>1035</v>
      </c>
      <c r="N5217">
        <v>7</v>
      </c>
      <c r="O5217">
        <v>7</v>
      </c>
      <c r="P5217">
        <v>1</v>
      </c>
      <c r="Q5217">
        <v>0</v>
      </c>
      <c r="R5217" s="4">
        <v>19.579999999999998</v>
      </c>
      <c r="S5217">
        <v>0</v>
      </c>
      <c r="T5217">
        <v>1</v>
      </c>
    </row>
    <row r="5218" spans="1:20" ht="16.5" x14ac:dyDescent="0.3">
      <c r="A5218" t="s">
        <v>5272</v>
      </c>
      <c r="B5218" s="1">
        <v>45988</v>
      </c>
      <c r="C5218">
        <v>2025</v>
      </c>
      <c r="D5218" t="s">
        <v>1873</v>
      </c>
      <c r="E5218" t="s">
        <v>2108</v>
      </c>
      <c r="F5218" t="s">
        <v>30</v>
      </c>
      <c r="G5218" t="s">
        <v>39</v>
      </c>
      <c r="H5218" t="s">
        <v>48</v>
      </c>
      <c r="I5218" t="s">
        <v>26</v>
      </c>
      <c r="J5218" t="s">
        <v>27</v>
      </c>
      <c r="K5218" t="s">
        <v>32</v>
      </c>
      <c r="L5218" s="2">
        <v>0.8</v>
      </c>
      <c r="M5218" s="3">
        <v>459</v>
      </c>
      <c r="N5218">
        <v>4</v>
      </c>
      <c r="O5218">
        <v>4</v>
      </c>
      <c r="P5218">
        <v>1</v>
      </c>
      <c r="Q5218">
        <v>0</v>
      </c>
      <c r="R5218" s="4">
        <v>13.31</v>
      </c>
      <c r="S5218">
        <v>0</v>
      </c>
      <c r="T5218">
        <v>1</v>
      </c>
    </row>
    <row r="5219" spans="1:20" ht="16.5" x14ac:dyDescent="0.3">
      <c r="A5219" t="s">
        <v>5273</v>
      </c>
      <c r="B5219" s="1">
        <v>45988</v>
      </c>
      <c r="C5219">
        <v>2025</v>
      </c>
      <c r="D5219" t="s">
        <v>1873</v>
      </c>
      <c r="E5219" t="s">
        <v>2108</v>
      </c>
      <c r="F5219" t="s">
        <v>57</v>
      </c>
      <c r="G5219" t="s">
        <v>39</v>
      </c>
      <c r="H5219" t="s">
        <v>36</v>
      </c>
      <c r="I5219" t="s">
        <v>26</v>
      </c>
      <c r="J5219" t="s">
        <v>27</v>
      </c>
      <c r="K5219" t="s">
        <v>32</v>
      </c>
      <c r="L5219" s="2">
        <v>8.6999999999999993</v>
      </c>
      <c r="M5219" s="3">
        <v>189</v>
      </c>
      <c r="N5219">
        <v>3</v>
      </c>
      <c r="O5219">
        <v>3</v>
      </c>
      <c r="P5219">
        <v>1</v>
      </c>
      <c r="Q5219">
        <v>0</v>
      </c>
      <c r="R5219" s="4">
        <v>13.19</v>
      </c>
      <c r="S5219">
        <v>0</v>
      </c>
      <c r="T5219">
        <v>1</v>
      </c>
    </row>
    <row r="5220" spans="1:20" ht="16.5" x14ac:dyDescent="0.3">
      <c r="A5220" t="s">
        <v>5274</v>
      </c>
      <c r="B5220" s="1">
        <v>45988</v>
      </c>
      <c r="C5220">
        <v>2025</v>
      </c>
      <c r="D5220" t="s">
        <v>1873</v>
      </c>
      <c r="E5220" t="s">
        <v>2108</v>
      </c>
      <c r="F5220" t="s">
        <v>30</v>
      </c>
      <c r="G5220" t="s">
        <v>35</v>
      </c>
      <c r="H5220" t="s">
        <v>51</v>
      </c>
      <c r="I5220" t="s">
        <v>31</v>
      </c>
      <c r="J5220" t="s">
        <v>27</v>
      </c>
      <c r="K5220" t="s">
        <v>32</v>
      </c>
      <c r="L5220" s="2">
        <v>9.9</v>
      </c>
      <c r="M5220" s="3">
        <v>716</v>
      </c>
      <c r="N5220">
        <v>7</v>
      </c>
      <c r="O5220">
        <v>7</v>
      </c>
      <c r="P5220">
        <v>1</v>
      </c>
      <c r="Q5220">
        <v>0</v>
      </c>
      <c r="R5220" s="4">
        <v>16.190000000000001</v>
      </c>
      <c r="S5220">
        <v>0</v>
      </c>
      <c r="T5220">
        <v>1</v>
      </c>
    </row>
    <row r="5221" spans="1:20" ht="16.5" x14ac:dyDescent="0.3">
      <c r="A5221" t="s">
        <v>5275</v>
      </c>
      <c r="B5221" s="1">
        <v>45988</v>
      </c>
      <c r="C5221">
        <v>2025</v>
      </c>
      <c r="D5221" t="s">
        <v>1873</v>
      </c>
      <c r="E5221" t="s">
        <v>2108</v>
      </c>
      <c r="F5221" t="s">
        <v>38</v>
      </c>
      <c r="G5221" t="s">
        <v>24</v>
      </c>
      <c r="H5221" t="s">
        <v>43</v>
      </c>
      <c r="I5221" t="s">
        <v>26</v>
      </c>
      <c r="J5221" t="s">
        <v>27</v>
      </c>
      <c r="K5221" t="s">
        <v>28</v>
      </c>
      <c r="L5221" s="2">
        <v>72.599999999999994</v>
      </c>
      <c r="M5221" s="3">
        <v>1446</v>
      </c>
      <c r="N5221">
        <v>5</v>
      </c>
      <c r="O5221">
        <v>5</v>
      </c>
      <c r="P5221">
        <v>1</v>
      </c>
      <c r="Q5221">
        <v>0</v>
      </c>
      <c r="R5221" s="4">
        <v>68.13</v>
      </c>
      <c r="S5221">
        <v>0</v>
      </c>
      <c r="T5221">
        <v>1</v>
      </c>
    </row>
    <row r="5222" spans="1:20" ht="16.5" x14ac:dyDescent="0.3">
      <c r="A5222" t="s">
        <v>5276</v>
      </c>
      <c r="B5222" s="1">
        <v>45988</v>
      </c>
      <c r="C5222">
        <v>2025</v>
      </c>
      <c r="D5222" t="s">
        <v>1873</v>
      </c>
      <c r="E5222" t="s">
        <v>2108</v>
      </c>
      <c r="F5222" t="s">
        <v>57</v>
      </c>
      <c r="G5222" t="s">
        <v>39</v>
      </c>
      <c r="H5222" t="s">
        <v>25</v>
      </c>
      <c r="I5222" t="s">
        <v>31</v>
      </c>
      <c r="J5222" t="s">
        <v>27</v>
      </c>
      <c r="K5222" t="s">
        <v>32</v>
      </c>
      <c r="L5222" s="2">
        <v>18.8</v>
      </c>
      <c r="M5222" s="3">
        <v>910</v>
      </c>
      <c r="N5222">
        <v>6</v>
      </c>
      <c r="O5222">
        <v>5</v>
      </c>
      <c r="P5222">
        <v>1</v>
      </c>
      <c r="Q5222">
        <v>0</v>
      </c>
      <c r="R5222" s="4">
        <v>21.08</v>
      </c>
      <c r="S5222">
        <v>0</v>
      </c>
      <c r="T5222">
        <v>1</v>
      </c>
    </row>
    <row r="5223" spans="1:20" ht="16.5" x14ac:dyDescent="0.3">
      <c r="A5223" t="s">
        <v>5277</v>
      </c>
      <c r="B5223" s="1">
        <v>45989</v>
      </c>
      <c r="C5223">
        <v>2025</v>
      </c>
      <c r="D5223" t="s">
        <v>1873</v>
      </c>
      <c r="E5223" t="s">
        <v>2108</v>
      </c>
      <c r="F5223" t="s">
        <v>34</v>
      </c>
      <c r="G5223" t="s">
        <v>39</v>
      </c>
      <c r="H5223" t="s">
        <v>48</v>
      </c>
      <c r="I5223" t="s">
        <v>26</v>
      </c>
      <c r="J5223" t="s">
        <v>27</v>
      </c>
      <c r="K5223" t="s">
        <v>32</v>
      </c>
      <c r="L5223" s="2">
        <v>3.4</v>
      </c>
      <c r="M5223" s="3">
        <v>558</v>
      </c>
      <c r="N5223">
        <v>4</v>
      </c>
      <c r="O5223">
        <v>4</v>
      </c>
      <c r="P5223">
        <v>1</v>
      </c>
      <c r="Q5223">
        <v>0</v>
      </c>
      <c r="R5223" s="4">
        <v>12.25</v>
      </c>
      <c r="S5223">
        <v>0</v>
      </c>
      <c r="T5223">
        <v>1</v>
      </c>
    </row>
    <row r="5224" spans="1:20" ht="16.5" x14ac:dyDescent="0.3">
      <c r="A5224" t="s">
        <v>5278</v>
      </c>
      <c r="B5224" s="1">
        <v>45989</v>
      </c>
      <c r="C5224">
        <v>2025</v>
      </c>
      <c r="D5224" t="s">
        <v>1873</v>
      </c>
      <c r="E5224" t="s">
        <v>2108</v>
      </c>
      <c r="F5224" t="s">
        <v>34</v>
      </c>
      <c r="G5224" t="s">
        <v>39</v>
      </c>
      <c r="H5224" t="s">
        <v>25</v>
      </c>
      <c r="I5224" t="s">
        <v>26</v>
      </c>
      <c r="J5224" t="s">
        <v>27</v>
      </c>
      <c r="K5224" t="s">
        <v>32</v>
      </c>
      <c r="L5224" s="2">
        <v>2.2000000000000002</v>
      </c>
      <c r="M5224" s="3">
        <v>969</v>
      </c>
      <c r="N5224">
        <v>4</v>
      </c>
      <c r="O5224">
        <v>3</v>
      </c>
      <c r="P5224">
        <v>1</v>
      </c>
      <c r="Q5224">
        <v>0</v>
      </c>
      <c r="R5224" s="4">
        <v>15.27</v>
      </c>
      <c r="S5224">
        <v>0</v>
      </c>
      <c r="T5224">
        <v>1</v>
      </c>
    </row>
    <row r="5225" spans="1:20" ht="16.5" x14ac:dyDescent="0.3">
      <c r="A5225" t="s">
        <v>5279</v>
      </c>
      <c r="B5225" s="1">
        <v>45989</v>
      </c>
      <c r="C5225">
        <v>2025</v>
      </c>
      <c r="D5225" t="s">
        <v>1873</v>
      </c>
      <c r="E5225" t="s">
        <v>2108</v>
      </c>
      <c r="F5225" t="s">
        <v>23</v>
      </c>
      <c r="G5225" t="s">
        <v>35</v>
      </c>
      <c r="H5225" t="s">
        <v>36</v>
      </c>
      <c r="I5225" t="s">
        <v>26</v>
      </c>
      <c r="J5225" t="s">
        <v>27</v>
      </c>
      <c r="K5225" t="s">
        <v>28</v>
      </c>
      <c r="L5225" s="2">
        <v>94.2</v>
      </c>
      <c r="M5225" s="3">
        <v>244</v>
      </c>
      <c r="N5225">
        <v>3</v>
      </c>
      <c r="O5225">
        <v>3</v>
      </c>
      <c r="P5225">
        <v>1</v>
      </c>
      <c r="Q5225">
        <v>0</v>
      </c>
      <c r="R5225" s="4">
        <v>49.6</v>
      </c>
      <c r="S5225">
        <v>0</v>
      </c>
      <c r="T5225">
        <v>1</v>
      </c>
    </row>
    <row r="5226" spans="1:20" ht="16.5" x14ac:dyDescent="0.3">
      <c r="A5226" t="s">
        <v>5280</v>
      </c>
      <c r="B5226" s="1">
        <v>45989</v>
      </c>
      <c r="C5226">
        <v>2025</v>
      </c>
      <c r="D5226" t="s">
        <v>1873</v>
      </c>
      <c r="E5226" t="s">
        <v>2108</v>
      </c>
      <c r="F5226" t="s">
        <v>34</v>
      </c>
      <c r="G5226" t="s">
        <v>35</v>
      </c>
      <c r="H5226" t="s">
        <v>36</v>
      </c>
      <c r="I5226" t="s">
        <v>31</v>
      </c>
      <c r="J5226" t="s">
        <v>27</v>
      </c>
      <c r="K5226" t="s">
        <v>28</v>
      </c>
      <c r="L5226" s="2">
        <v>57.7</v>
      </c>
      <c r="M5226" s="3">
        <v>258</v>
      </c>
      <c r="N5226">
        <v>5</v>
      </c>
      <c r="O5226">
        <v>9</v>
      </c>
      <c r="P5226">
        <v>0</v>
      </c>
      <c r="Q5226">
        <v>4</v>
      </c>
      <c r="R5226" s="4">
        <v>21.29</v>
      </c>
      <c r="S5226">
        <v>0</v>
      </c>
      <c r="T5226">
        <v>1</v>
      </c>
    </row>
    <row r="5227" spans="1:20" ht="16.5" x14ac:dyDescent="0.3">
      <c r="A5227" t="s">
        <v>5281</v>
      </c>
      <c r="B5227" s="1">
        <v>45989</v>
      </c>
      <c r="C5227">
        <v>2025</v>
      </c>
      <c r="D5227" t="s">
        <v>1873</v>
      </c>
      <c r="E5227" t="s">
        <v>2108</v>
      </c>
      <c r="F5227" t="s">
        <v>23</v>
      </c>
      <c r="G5227" t="s">
        <v>35</v>
      </c>
      <c r="H5227" t="s">
        <v>36</v>
      </c>
      <c r="I5227" t="s">
        <v>40</v>
      </c>
      <c r="J5227" t="s">
        <v>27</v>
      </c>
      <c r="K5227" t="s">
        <v>32</v>
      </c>
      <c r="L5227" s="2">
        <v>2.2000000000000002</v>
      </c>
      <c r="M5227" s="3">
        <v>293</v>
      </c>
      <c r="N5227">
        <v>1</v>
      </c>
      <c r="O5227">
        <v>1</v>
      </c>
      <c r="P5227">
        <v>1</v>
      </c>
      <c r="Q5227">
        <v>0</v>
      </c>
      <c r="R5227" s="4">
        <v>21.29</v>
      </c>
      <c r="S5227">
        <v>0</v>
      </c>
      <c r="T5227">
        <v>1</v>
      </c>
    </row>
    <row r="5228" spans="1:20" ht="16.5" x14ac:dyDescent="0.3">
      <c r="A5228" t="s">
        <v>5282</v>
      </c>
      <c r="B5228" s="1">
        <v>45989</v>
      </c>
      <c r="C5228">
        <v>2025</v>
      </c>
      <c r="D5228" t="s">
        <v>1873</v>
      </c>
      <c r="E5228" t="s">
        <v>2108</v>
      </c>
      <c r="F5228" t="s">
        <v>23</v>
      </c>
      <c r="G5228" t="s">
        <v>24</v>
      </c>
      <c r="H5228" t="s">
        <v>51</v>
      </c>
      <c r="I5228" t="s">
        <v>26</v>
      </c>
      <c r="J5228" t="s">
        <v>27</v>
      </c>
      <c r="K5228" t="s">
        <v>28</v>
      </c>
      <c r="L5228" s="2">
        <v>48.2</v>
      </c>
      <c r="M5228" s="3">
        <v>1031</v>
      </c>
      <c r="N5228">
        <v>5</v>
      </c>
      <c r="O5228">
        <v>5</v>
      </c>
      <c r="P5228">
        <v>1</v>
      </c>
      <c r="Q5228">
        <v>0</v>
      </c>
      <c r="R5228" s="4">
        <v>43.74</v>
      </c>
      <c r="S5228">
        <v>0</v>
      </c>
      <c r="T5228">
        <v>1</v>
      </c>
    </row>
    <row r="5229" spans="1:20" ht="16.5" x14ac:dyDescent="0.3">
      <c r="A5229" t="s">
        <v>5283</v>
      </c>
      <c r="B5229" s="1">
        <v>45989</v>
      </c>
      <c r="C5229">
        <v>2025</v>
      </c>
      <c r="D5229" t="s">
        <v>1873</v>
      </c>
      <c r="E5229" t="s">
        <v>2108</v>
      </c>
      <c r="F5229" t="s">
        <v>34</v>
      </c>
      <c r="G5229" t="s">
        <v>39</v>
      </c>
      <c r="H5229" t="s">
        <v>36</v>
      </c>
      <c r="I5229" t="s">
        <v>40</v>
      </c>
      <c r="J5229" t="s">
        <v>27</v>
      </c>
      <c r="K5229" t="s">
        <v>32</v>
      </c>
      <c r="L5229" s="2">
        <v>11.1</v>
      </c>
      <c r="M5229" s="3">
        <v>164</v>
      </c>
      <c r="N5229">
        <v>1</v>
      </c>
      <c r="O5229">
        <v>1</v>
      </c>
      <c r="P5229">
        <v>1</v>
      </c>
      <c r="Q5229">
        <v>0</v>
      </c>
      <c r="R5229" s="4">
        <v>27.32</v>
      </c>
      <c r="S5229">
        <v>1</v>
      </c>
      <c r="T5229">
        <v>1</v>
      </c>
    </row>
    <row r="5230" spans="1:20" ht="16.5" x14ac:dyDescent="0.3">
      <c r="A5230" t="s">
        <v>5284</v>
      </c>
      <c r="B5230" s="1">
        <v>45989</v>
      </c>
      <c r="C5230">
        <v>2025</v>
      </c>
      <c r="D5230" t="s">
        <v>1873</v>
      </c>
      <c r="E5230" t="s">
        <v>2108</v>
      </c>
      <c r="F5230" t="s">
        <v>23</v>
      </c>
      <c r="G5230" t="s">
        <v>39</v>
      </c>
      <c r="H5230" t="s">
        <v>36</v>
      </c>
      <c r="I5230" t="s">
        <v>26</v>
      </c>
      <c r="J5230" t="s">
        <v>27</v>
      </c>
      <c r="K5230" t="s">
        <v>32</v>
      </c>
      <c r="L5230" s="2">
        <v>16.8</v>
      </c>
      <c r="M5230" s="3">
        <v>221</v>
      </c>
      <c r="N5230">
        <v>3</v>
      </c>
      <c r="O5230">
        <v>2</v>
      </c>
      <c r="P5230">
        <v>1</v>
      </c>
      <c r="Q5230">
        <v>0</v>
      </c>
      <c r="R5230" s="4">
        <v>16.57</v>
      </c>
      <c r="S5230">
        <v>0</v>
      </c>
      <c r="T5230">
        <v>1</v>
      </c>
    </row>
    <row r="5231" spans="1:20" ht="16.5" x14ac:dyDescent="0.3">
      <c r="A5231" t="s">
        <v>5285</v>
      </c>
      <c r="B5231" s="1">
        <v>45989</v>
      </c>
      <c r="C5231">
        <v>2025</v>
      </c>
      <c r="D5231" t="s">
        <v>1873</v>
      </c>
      <c r="E5231" t="s">
        <v>2108</v>
      </c>
      <c r="F5231" t="s">
        <v>38</v>
      </c>
      <c r="G5231" t="s">
        <v>24</v>
      </c>
      <c r="H5231" t="s">
        <v>25</v>
      </c>
      <c r="I5231" t="s">
        <v>26</v>
      </c>
      <c r="J5231" t="s">
        <v>27</v>
      </c>
      <c r="K5231" t="s">
        <v>32</v>
      </c>
      <c r="L5231" s="2">
        <v>1.1000000000000001</v>
      </c>
      <c r="M5231" s="3">
        <v>773</v>
      </c>
      <c r="N5231">
        <v>4</v>
      </c>
      <c r="O5231">
        <v>4</v>
      </c>
      <c r="P5231">
        <v>1</v>
      </c>
      <c r="Q5231">
        <v>0</v>
      </c>
      <c r="R5231" s="4">
        <v>18.649999999999999</v>
      </c>
      <c r="S5231">
        <v>0</v>
      </c>
      <c r="T5231">
        <v>1</v>
      </c>
    </row>
    <row r="5232" spans="1:20" ht="16.5" x14ac:dyDescent="0.3">
      <c r="A5232" t="s">
        <v>5286</v>
      </c>
      <c r="B5232" s="1">
        <v>45989</v>
      </c>
      <c r="C5232">
        <v>2025</v>
      </c>
      <c r="D5232" t="s">
        <v>1873</v>
      </c>
      <c r="E5232" t="s">
        <v>2108</v>
      </c>
      <c r="F5232" t="s">
        <v>30</v>
      </c>
      <c r="G5232" t="s">
        <v>35</v>
      </c>
      <c r="H5232" t="s">
        <v>36</v>
      </c>
      <c r="I5232" t="s">
        <v>31</v>
      </c>
      <c r="J5232" t="s">
        <v>27</v>
      </c>
      <c r="K5232" t="s">
        <v>32</v>
      </c>
      <c r="L5232" s="2">
        <v>0.7</v>
      </c>
      <c r="M5232" s="3">
        <v>277</v>
      </c>
      <c r="N5232">
        <v>5</v>
      </c>
      <c r="O5232">
        <v>5</v>
      </c>
      <c r="P5232">
        <v>1</v>
      </c>
      <c r="Q5232">
        <v>0</v>
      </c>
      <c r="R5232" s="4">
        <v>6.94</v>
      </c>
      <c r="S5232">
        <v>0</v>
      </c>
      <c r="T5232">
        <v>1</v>
      </c>
    </row>
    <row r="5233" spans="1:20" ht="16.5" x14ac:dyDescent="0.3">
      <c r="A5233" t="s">
        <v>5287</v>
      </c>
      <c r="B5233" s="1">
        <v>45989</v>
      </c>
      <c r="C5233">
        <v>2025</v>
      </c>
      <c r="D5233" t="s">
        <v>1873</v>
      </c>
      <c r="E5233" t="s">
        <v>2108</v>
      </c>
      <c r="F5233" t="s">
        <v>38</v>
      </c>
      <c r="G5233" t="s">
        <v>24</v>
      </c>
      <c r="H5233" t="s">
        <v>51</v>
      </c>
      <c r="I5233" t="s">
        <v>31</v>
      </c>
      <c r="J5233" t="s">
        <v>27</v>
      </c>
      <c r="K5233" t="s">
        <v>32</v>
      </c>
      <c r="L5233" s="2">
        <v>3.7</v>
      </c>
      <c r="M5233" s="3">
        <v>1190</v>
      </c>
      <c r="N5233">
        <v>7</v>
      </c>
      <c r="O5233">
        <v>7</v>
      </c>
      <c r="P5233">
        <v>1</v>
      </c>
      <c r="Q5233">
        <v>0</v>
      </c>
      <c r="R5233" s="4">
        <v>16.82</v>
      </c>
      <c r="S5233">
        <v>0</v>
      </c>
      <c r="T5233">
        <v>1</v>
      </c>
    </row>
    <row r="5234" spans="1:20" ht="16.5" x14ac:dyDescent="0.3">
      <c r="A5234" t="s">
        <v>5288</v>
      </c>
      <c r="B5234" s="1">
        <v>45989</v>
      </c>
      <c r="C5234">
        <v>2025</v>
      </c>
      <c r="D5234" t="s">
        <v>1873</v>
      </c>
      <c r="E5234" t="s">
        <v>2108</v>
      </c>
      <c r="F5234" t="s">
        <v>57</v>
      </c>
      <c r="G5234" t="s">
        <v>39</v>
      </c>
      <c r="H5234" t="s">
        <v>43</v>
      </c>
      <c r="I5234" t="s">
        <v>31</v>
      </c>
      <c r="J5234" t="s">
        <v>27</v>
      </c>
      <c r="K5234" t="s">
        <v>28</v>
      </c>
      <c r="L5234" s="2">
        <v>93.6</v>
      </c>
      <c r="M5234" s="3">
        <v>1257</v>
      </c>
      <c r="N5234">
        <v>7</v>
      </c>
      <c r="O5234">
        <v>12</v>
      </c>
      <c r="P5234">
        <v>0</v>
      </c>
      <c r="Q5234">
        <v>5</v>
      </c>
      <c r="R5234" s="4">
        <v>51.71</v>
      </c>
      <c r="S5234">
        <v>0</v>
      </c>
      <c r="T5234">
        <v>1</v>
      </c>
    </row>
    <row r="5235" spans="1:20" ht="16.5" x14ac:dyDescent="0.3">
      <c r="A5235" t="s">
        <v>5289</v>
      </c>
      <c r="B5235" s="1">
        <v>45989</v>
      </c>
      <c r="C5235">
        <v>2025</v>
      </c>
      <c r="D5235" t="s">
        <v>1873</v>
      </c>
      <c r="E5235" t="s">
        <v>2108</v>
      </c>
      <c r="F5235" t="s">
        <v>34</v>
      </c>
      <c r="G5235" t="s">
        <v>35</v>
      </c>
      <c r="H5235" t="s">
        <v>51</v>
      </c>
      <c r="I5235" t="s">
        <v>40</v>
      </c>
      <c r="J5235" t="s">
        <v>41</v>
      </c>
      <c r="K5235" t="s">
        <v>32</v>
      </c>
      <c r="L5235" s="2">
        <v>3.2</v>
      </c>
      <c r="M5235" s="3">
        <v>1013</v>
      </c>
      <c r="N5235">
        <v>3</v>
      </c>
      <c r="O5235">
        <v>3</v>
      </c>
      <c r="P5235">
        <v>1</v>
      </c>
      <c r="Q5235">
        <v>0</v>
      </c>
      <c r="R5235" s="4">
        <v>55.52</v>
      </c>
      <c r="S5235">
        <v>0</v>
      </c>
      <c r="T5235">
        <v>1</v>
      </c>
    </row>
    <row r="5236" spans="1:20" ht="16.5" x14ac:dyDescent="0.3">
      <c r="A5236" t="s">
        <v>5290</v>
      </c>
      <c r="B5236" s="1">
        <v>45989</v>
      </c>
      <c r="C5236">
        <v>2025</v>
      </c>
      <c r="D5236" t="s">
        <v>1873</v>
      </c>
      <c r="E5236" t="s">
        <v>2108</v>
      </c>
      <c r="F5236" t="s">
        <v>30</v>
      </c>
      <c r="G5236" t="s">
        <v>24</v>
      </c>
      <c r="H5236" t="s">
        <v>48</v>
      </c>
      <c r="I5236" t="s">
        <v>31</v>
      </c>
      <c r="J5236" t="s">
        <v>27</v>
      </c>
      <c r="K5236" t="s">
        <v>28</v>
      </c>
      <c r="L5236" s="2">
        <v>47.8</v>
      </c>
      <c r="M5236" s="3">
        <v>350</v>
      </c>
      <c r="N5236">
        <v>6</v>
      </c>
      <c r="O5236">
        <v>6</v>
      </c>
      <c r="P5236">
        <v>1</v>
      </c>
      <c r="Q5236">
        <v>0</v>
      </c>
      <c r="R5236" s="4">
        <v>24.67</v>
      </c>
      <c r="S5236">
        <v>0</v>
      </c>
      <c r="T5236">
        <v>1</v>
      </c>
    </row>
    <row r="5237" spans="1:20" ht="16.5" x14ac:dyDescent="0.3">
      <c r="A5237" t="s">
        <v>5291</v>
      </c>
      <c r="B5237" s="1">
        <v>45989</v>
      </c>
      <c r="C5237">
        <v>2025</v>
      </c>
      <c r="D5237" t="s">
        <v>1873</v>
      </c>
      <c r="E5237" t="s">
        <v>2108</v>
      </c>
      <c r="F5237" t="s">
        <v>57</v>
      </c>
      <c r="G5237" t="s">
        <v>24</v>
      </c>
      <c r="H5237" t="s">
        <v>48</v>
      </c>
      <c r="I5237" t="s">
        <v>40</v>
      </c>
      <c r="J5237" t="s">
        <v>27</v>
      </c>
      <c r="K5237" t="s">
        <v>32</v>
      </c>
      <c r="L5237" s="2">
        <v>5.6</v>
      </c>
      <c r="M5237" s="3">
        <v>625</v>
      </c>
      <c r="N5237">
        <v>2</v>
      </c>
      <c r="O5237">
        <v>2</v>
      </c>
      <c r="P5237">
        <v>1</v>
      </c>
      <c r="Q5237">
        <v>0</v>
      </c>
      <c r="R5237" s="4">
        <v>32.729999999999997</v>
      </c>
      <c r="S5237">
        <v>0</v>
      </c>
      <c r="T5237">
        <v>1</v>
      </c>
    </row>
    <row r="5238" spans="1:20" ht="16.5" x14ac:dyDescent="0.3">
      <c r="A5238" t="s">
        <v>5292</v>
      </c>
      <c r="B5238" s="1">
        <v>45990</v>
      </c>
      <c r="C5238">
        <v>2025</v>
      </c>
      <c r="D5238" t="s">
        <v>1873</v>
      </c>
      <c r="E5238" t="s">
        <v>2108</v>
      </c>
      <c r="F5238" t="s">
        <v>23</v>
      </c>
      <c r="G5238" t="s">
        <v>35</v>
      </c>
      <c r="H5238" t="s">
        <v>48</v>
      </c>
      <c r="I5238" t="s">
        <v>40</v>
      </c>
      <c r="J5238" t="s">
        <v>27</v>
      </c>
      <c r="K5238" t="s">
        <v>32</v>
      </c>
      <c r="L5238" s="2">
        <v>4.5</v>
      </c>
      <c r="M5238" s="3">
        <v>391</v>
      </c>
      <c r="N5238">
        <v>2</v>
      </c>
      <c r="O5238">
        <v>2</v>
      </c>
      <c r="P5238">
        <v>1</v>
      </c>
      <c r="Q5238">
        <v>0</v>
      </c>
      <c r="R5238" s="4">
        <v>26.17</v>
      </c>
      <c r="S5238">
        <v>0</v>
      </c>
      <c r="T5238">
        <v>1</v>
      </c>
    </row>
    <row r="5239" spans="1:20" ht="16.5" x14ac:dyDescent="0.3">
      <c r="A5239" t="s">
        <v>5293</v>
      </c>
      <c r="B5239" s="1">
        <v>45990</v>
      </c>
      <c r="C5239">
        <v>2025</v>
      </c>
      <c r="D5239" t="s">
        <v>1873</v>
      </c>
      <c r="E5239" t="s">
        <v>2108</v>
      </c>
      <c r="F5239" t="s">
        <v>38</v>
      </c>
      <c r="G5239" t="s">
        <v>39</v>
      </c>
      <c r="H5239" t="s">
        <v>43</v>
      </c>
      <c r="I5239" t="s">
        <v>26</v>
      </c>
      <c r="J5239" t="s">
        <v>27</v>
      </c>
      <c r="K5239" t="s">
        <v>28</v>
      </c>
      <c r="L5239" s="2">
        <v>19.3</v>
      </c>
      <c r="M5239" s="3">
        <v>1221</v>
      </c>
      <c r="N5239">
        <v>5</v>
      </c>
      <c r="O5239">
        <v>6</v>
      </c>
      <c r="P5239">
        <v>0</v>
      </c>
      <c r="Q5239">
        <v>1</v>
      </c>
      <c r="R5239" s="4">
        <v>30.5</v>
      </c>
      <c r="S5239">
        <v>0</v>
      </c>
      <c r="T5239">
        <v>1</v>
      </c>
    </row>
    <row r="5240" spans="1:20" ht="16.5" x14ac:dyDescent="0.3">
      <c r="A5240" t="s">
        <v>5294</v>
      </c>
      <c r="B5240" s="1">
        <v>45990</v>
      </c>
      <c r="C5240">
        <v>2025</v>
      </c>
      <c r="D5240" t="s">
        <v>1873</v>
      </c>
      <c r="E5240" t="s">
        <v>2108</v>
      </c>
      <c r="F5240" t="s">
        <v>38</v>
      </c>
      <c r="G5240" t="s">
        <v>35</v>
      </c>
      <c r="H5240" t="s">
        <v>36</v>
      </c>
      <c r="I5240" t="s">
        <v>40</v>
      </c>
      <c r="J5240" t="s">
        <v>27</v>
      </c>
      <c r="K5240" t="s">
        <v>32</v>
      </c>
      <c r="L5240" s="2">
        <v>11.9</v>
      </c>
      <c r="M5240" s="3">
        <v>235</v>
      </c>
      <c r="N5240">
        <v>1</v>
      </c>
      <c r="O5240">
        <v>1</v>
      </c>
      <c r="P5240">
        <v>1</v>
      </c>
      <c r="Q5240">
        <v>0</v>
      </c>
      <c r="R5240" s="4">
        <v>32.58</v>
      </c>
      <c r="S5240">
        <v>0</v>
      </c>
      <c r="T5240">
        <v>1</v>
      </c>
    </row>
    <row r="5241" spans="1:20" ht="16.5" x14ac:dyDescent="0.3">
      <c r="A5241" t="s">
        <v>5295</v>
      </c>
      <c r="B5241" s="1">
        <v>45991</v>
      </c>
      <c r="C5241">
        <v>2025</v>
      </c>
      <c r="D5241" t="s">
        <v>1873</v>
      </c>
      <c r="E5241" t="s">
        <v>2108</v>
      </c>
      <c r="F5241" t="s">
        <v>34</v>
      </c>
      <c r="G5241" t="s">
        <v>24</v>
      </c>
      <c r="H5241" t="s">
        <v>36</v>
      </c>
      <c r="I5241" t="s">
        <v>26</v>
      </c>
      <c r="J5241" t="s">
        <v>27</v>
      </c>
      <c r="K5241" t="s">
        <v>28</v>
      </c>
      <c r="L5241" s="2">
        <v>182.9</v>
      </c>
      <c r="M5241" s="3">
        <v>265</v>
      </c>
      <c r="N5241">
        <v>3</v>
      </c>
      <c r="O5241">
        <v>6</v>
      </c>
      <c r="P5241">
        <v>0</v>
      </c>
      <c r="Q5241">
        <v>3</v>
      </c>
      <c r="R5241" s="4">
        <v>81.099999999999994</v>
      </c>
      <c r="S5241">
        <v>0</v>
      </c>
      <c r="T5241">
        <v>1</v>
      </c>
    </row>
    <row r="5242" spans="1:20" ht="16.5" x14ac:dyDescent="0.3">
      <c r="A5242" t="s">
        <v>5296</v>
      </c>
      <c r="B5242" s="1">
        <v>45991</v>
      </c>
      <c r="C5242">
        <v>2025</v>
      </c>
      <c r="D5242" t="s">
        <v>1873</v>
      </c>
      <c r="E5242" t="s">
        <v>2108</v>
      </c>
      <c r="F5242" t="s">
        <v>38</v>
      </c>
      <c r="G5242" t="s">
        <v>39</v>
      </c>
      <c r="H5242" t="s">
        <v>48</v>
      </c>
      <c r="I5242" t="s">
        <v>26</v>
      </c>
      <c r="J5242" t="s">
        <v>27</v>
      </c>
      <c r="K5242" t="s">
        <v>32</v>
      </c>
      <c r="L5242" s="2">
        <v>2.8</v>
      </c>
      <c r="M5242" s="3">
        <v>519</v>
      </c>
      <c r="N5242">
        <v>4</v>
      </c>
      <c r="O5242">
        <v>3</v>
      </c>
      <c r="P5242">
        <v>1</v>
      </c>
      <c r="Q5242">
        <v>0</v>
      </c>
      <c r="R5242" s="4">
        <v>16.23</v>
      </c>
      <c r="S5242">
        <v>0</v>
      </c>
      <c r="T5242">
        <v>1</v>
      </c>
    </row>
    <row r="5243" spans="1:20" ht="16.5" x14ac:dyDescent="0.3">
      <c r="A5243" t="s">
        <v>5297</v>
      </c>
      <c r="B5243" s="1">
        <v>45991</v>
      </c>
      <c r="C5243">
        <v>2025</v>
      </c>
      <c r="D5243" t="s">
        <v>1873</v>
      </c>
      <c r="E5243" t="s">
        <v>2108</v>
      </c>
      <c r="F5243" t="s">
        <v>34</v>
      </c>
      <c r="G5243" t="s">
        <v>39</v>
      </c>
      <c r="H5243" t="s">
        <v>48</v>
      </c>
      <c r="I5243" t="s">
        <v>26</v>
      </c>
      <c r="J5243" t="s">
        <v>27</v>
      </c>
      <c r="K5243" t="s">
        <v>28</v>
      </c>
      <c r="L5243" s="2">
        <v>239.7</v>
      </c>
      <c r="M5243" s="3">
        <v>524</v>
      </c>
      <c r="N5243">
        <v>4</v>
      </c>
      <c r="O5243">
        <v>5</v>
      </c>
      <c r="P5243">
        <v>0</v>
      </c>
      <c r="Q5243">
        <v>1</v>
      </c>
      <c r="R5243" s="4">
        <v>95.24</v>
      </c>
      <c r="S5243">
        <v>0</v>
      </c>
      <c r="T5243">
        <v>1</v>
      </c>
    </row>
    <row r="5244" spans="1:20" ht="16.5" x14ac:dyDescent="0.3">
      <c r="A5244" t="s">
        <v>5298</v>
      </c>
      <c r="B5244" s="1">
        <v>45991</v>
      </c>
      <c r="C5244">
        <v>2025</v>
      </c>
      <c r="D5244" t="s">
        <v>1873</v>
      </c>
      <c r="E5244" t="s">
        <v>2108</v>
      </c>
      <c r="F5244" t="s">
        <v>57</v>
      </c>
      <c r="G5244" t="s">
        <v>35</v>
      </c>
      <c r="H5244" t="s">
        <v>48</v>
      </c>
      <c r="I5244" t="s">
        <v>31</v>
      </c>
      <c r="J5244" t="s">
        <v>27</v>
      </c>
      <c r="K5244" t="s">
        <v>28</v>
      </c>
      <c r="L5244" s="2">
        <v>140.4</v>
      </c>
      <c r="M5244" s="3">
        <v>510</v>
      </c>
      <c r="N5244">
        <v>6</v>
      </c>
      <c r="O5244">
        <v>5</v>
      </c>
      <c r="P5244">
        <v>1</v>
      </c>
      <c r="Q5244">
        <v>0</v>
      </c>
      <c r="R5244" s="4">
        <v>49.98</v>
      </c>
      <c r="S5244">
        <v>0</v>
      </c>
      <c r="T5244">
        <v>1</v>
      </c>
    </row>
    <row r="5245" spans="1:20" ht="16.5" x14ac:dyDescent="0.3">
      <c r="A5245" t="s">
        <v>5299</v>
      </c>
      <c r="B5245" s="1">
        <v>45991</v>
      </c>
      <c r="C5245">
        <v>2025</v>
      </c>
      <c r="D5245" t="s">
        <v>1873</v>
      </c>
      <c r="E5245" t="s">
        <v>2108</v>
      </c>
      <c r="F5245" t="s">
        <v>57</v>
      </c>
      <c r="G5245" t="s">
        <v>35</v>
      </c>
      <c r="H5245" t="s">
        <v>36</v>
      </c>
      <c r="I5245" t="s">
        <v>40</v>
      </c>
      <c r="J5245" t="s">
        <v>27</v>
      </c>
      <c r="K5245" t="s">
        <v>28</v>
      </c>
      <c r="L5245" s="2">
        <v>8.5</v>
      </c>
      <c r="M5245" s="3">
        <v>231</v>
      </c>
      <c r="N5245">
        <v>1</v>
      </c>
      <c r="O5245">
        <v>1</v>
      </c>
      <c r="P5245">
        <v>1</v>
      </c>
      <c r="Q5245">
        <v>0</v>
      </c>
      <c r="R5245" s="4">
        <v>25.23</v>
      </c>
      <c r="S5245">
        <v>0</v>
      </c>
      <c r="T5245">
        <v>1</v>
      </c>
    </row>
    <row r="5246" spans="1:20" ht="16.5" x14ac:dyDescent="0.3">
      <c r="A5246" t="s">
        <v>5300</v>
      </c>
      <c r="B5246" s="1">
        <v>45991</v>
      </c>
      <c r="C5246">
        <v>2025</v>
      </c>
      <c r="D5246" t="s">
        <v>1873</v>
      </c>
      <c r="E5246" t="s">
        <v>2108</v>
      </c>
      <c r="F5246" t="s">
        <v>30</v>
      </c>
      <c r="G5246" t="s">
        <v>39</v>
      </c>
      <c r="H5246" t="s">
        <v>36</v>
      </c>
      <c r="I5246" t="s">
        <v>26</v>
      </c>
      <c r="J5246" t="s">
        <v>27</v>
      </c>
      <c r="K5246" t="s">
        <v>28</v>
      </c>
      <c r="L5246" s="2">
        <v>35.299999999999997</v>
      </c>
      <c r="M5246" s="3">
        <v>280</v>
      </c>
      <c r="N5246">
        <v>3</v>
      </c>
      <c r="O5246">
        <v>5</v>
      </c>
      <c r="P5246">
        <v>0</v>
      </c>
      <c r="Q5246">
        <v>2</v>
      </c>
      <c r="R5246" s="4">
        <v>28.94</v>
      </c>
      <c r="S5246">
        <v>0</v>
      </c>
      <c r="T5246">
        <v>1</v>
      </c>
    </row>
    <row r="5247" spans="1:20" ht="16.5" x14ac:dyDescent="0.3">
      <c r="A5247" t="s">
        <v>5301</v>
      </c>
      <c r="B5247" s="1">
        <v>45991</v>
      </c>
      <c r="C5247">
        <v>2025</v>
      </c>
      <c r="D5247" t="s">
        <v>1873</v>
      </c>
      <c r="E5247" t="s">
        <v>2108</v>
      </c>
      <c r="F5247" t="s">
        <v>57</v>
      </c>
      <c r="G5247" t="s">
        <v>39</v>
      </c>
      <c r="H5247" t="s">
        <v>36</v>
      </c>
      <c r="I5247" t="s">
        <v>40</v>
      </c>
      <c r="J5247" t="s">
        <v>27</v>
      </c>
      <c r="K5247" t="s">
        <v>28</v>
      </c>
      <c r="L5247" s="2">
        <v>65.2</v>
      </c>
      <c r="M5247" s="3">
        <v>277</v>
      </c>
      <c r="N5247">
        <v>1</v>
      </c>
      <c r="O5247">
        <v>1</v>
      </c>
      <c r="P5247">
        <v>1</v>
      </c>
      <c r="Q5247">
        <v>0</v>
      </c>
      <c r="R5247" s="4">
        <v>68.75</v>
      </c>
      <c r="S5247">
        <v>0</v>
      </c>
      <c r="T5247">
        <v>1</v>
      </c>
    </row>
    <row r="5248" spans="1:20" ht="16.5" x14ac:dyDescent="0.3">
      <c r="A5248" t="s">
        <v>5302</v>
      </c>
      <c r="B5248" s="1">
        <v>45991</v>
      </c>
      <c r="C5248">
        <v>2025</v>
      </c>
      <c r="D5248" t="s">
        <v>1873</v>
      </c>
      <c r="E5248" t="s">
        <v>2108</v>
      </c>
      <c r="F5248" t="s">
        <v>57</v>
      </c>
      <c r="G5248" t="s">
        <v>35</v>
      </c>
      <c r="H5248" t="s">
        <v>51</v>
      </c>
      <c r="I5248" t="s">
        <v>31</v>
      </c>
      <c r="J5248" t="s">
        <v>27</v>
      </c>
      <c r="K5248" t="s">
        <v>32</v>
      </c>
      <c r="L5248" s="2">
        <v>12</v>
      </c>
      <c r="M5248" s="3">
        <v>1095</v>
      </c>
      <c r="N5248">
        <v>7</v>
      </c>
      <c r="O5248">
        <v>6</v>
      </c>
      <c r="P5248">
        <v>1</v>
      </c>
      <c r="Q5248">
        <v>0</v>
      </c>
      <c r="R5248" s="4">
        <v>18.149999999999999</v>
      </c>
      <c r="S5248">
        <v>0</v>
      </c>
      <c r="T5248">
        <v>1</v>
      </c>
    </row>
    <row r="5249" spans="1:20" ht="16.5" x14ac:dyDescent="0.3">
      <c r="A5249" t="s">
        <v>5303</v>
      </c>
      <c r="B5249" s="1">
        <v>45992</v>
      </c>
      <c r="C5249">
        <v>2025</v>
      </c>
      <c r="D5249" t="s">
        <v>1873</v>
      </c>
      <c r="E5249" t="s">
        <v>2413</v>
      </c>
      <c r="F5249" t="s">
        <v>34</v>
      </c>
      <c r="G5249" t="s">
        <v>35</v>
      </c>
      <c r="H5249" t="s">
        <v>36</v>
      </c>
      <c r="I5249" t="s">
        <v>26</v>
      </c>
      <c r="J5249" t="s">
        <v>27</v>
      </c>
      <c r="K5249" t="s">
        <v>28</v>
      </c>
      <c r="L5249" s="2">
        <v>111.9</v>
      </c>
      <c r="M5249" s="3">
        <v>283</v>
      </c>
      <c r="N5249">
        <v>3</v>
      </c>
      <c r="O5249">
        <v>2</v>
      </c>
      <c r="P5249">
        <v>1</v>
      </c>
      <c r="Q5249">
        <v>0</v>
      </c>
      <c r="R5249" s="4">
        <v>50.1</v>
      </c>
      <c r="S5249">
        <v>0</v>
      </c>
      <c r="T5249">
        <v>1</v>
      </c>
    </row>
    <row r="5250" spans="1:20" ht="16.5" x14ac:dyDescent="0.3">
      <c r="A5250" t="s">
        <v>5304</v>
      </c>
      <c r="B5250" s="1">
        <v>45992</v>
      </c>
      <c r="C5250">
        <v>2025</v>
      </c>
      <c r="D5250" t="s">
        <v>1873</v>
      </c>
      <c r="E5250" t="s">
        <v>2413</v>
      </c>
      <c r="F5250" t="s">
        <v>23</v>
      </c>
      <c r="G5250" t="s">
        <v>24</v>
      </c>
      <c r="H5250" t="s">
        <v>25</v>
      </c>
      <c r="I5250" t="s">
        <v>40</v>
      </c>
      <c r="J5250" t="s">
        <v>41</v>
      </c>
      <c r="K5250" t="s">
        <v>28</v>
      </c>
      <c r="L5250" s="2">
        <v>98.2</v>
      </c>
      <c r="M5250" s="3">
        <v>872</v>
      </c>
      <c r="N5250">
        <v>2</v>
      </c>
      <c r="O5250">
        <v>1</v>
      </c>
      <c r="P5250">
        <v>1</v>
      </c>
      <c r="Q5250">
        <v>0</v>
      </c>
      <c r="R5250" s="4">
        <v>174.93</v>
      </c>
      <c r="S5250">
        <v>0</v>
      </c>
      <c r="T5250">
        <v>1</v>
      </c>
    </row>
    <row r="5251" spans="1:20" ht="16.5" x14ac:dyDescent="0.3">
      <c r="A5251" t="s">
        <v>5305</v>
      </c>
      <c r="B5251" s="1">
        <v>45992</v>
      </c>
      <c r="C5251">
        <v>2025</v>
      </c>
      <c r="D5251" t="s">
        <v>1873</v>
      </c>
      <c r="E5251" t="s">
        <v>2413</v>
      </c>
      <c r="F5251" t="s">
        <v>57</v>
      </c>
      <c r="G5251" t="s">
        <v>39</v>
      </c>
      <c r="H5251" t="s">
        <v>25</v>
      </c>
      <c r="I5251" t="s">
        <v>26</v>
      </c>
      <c r="J5251" t="s">
        <v>27</v>
      </c>
      <c r="K5251" t="s">
        <v>28</v>
      </c>
      <c r="L5251" s="2">
        <v>220.3</v>
      </c>
      <c r="M5251" s="3">
        <v>824</v>
      </c>
      <c r="N5251">
        <v>4</v>
      </c>
      <c r="O5251">
        <v>4</v>
      </c>
      <c r="P5251">
        <v>1</v>
      </c>
      <c r="Q5251">
        <v>0</v>
      </c>
      <c r="R5251" s="4">
        <v>102.33</v>
      </c>
      <c r="S5251">
        <v>0</v>
      </c>
      <c r="T5251">
        <v>1</v>
      </c>
    </row>
    <row r="5252" spans="1:20" ht="16.5" x14ac:dyDescent="0.3">
      <c r="A5252" t="s">
        <v>5306</v>
      </c>
      <c r="B5252" s="1">
        <v>45992</v>
      </c>
      <c r="C5252">
        <v>2025</v>
      </c>
      <c r="D5252" t="s">
        <v>1873</v>
      </c>
      <c r="E5252" t="s">
        <v>2413</v>
      </c>
      <c r="F5252" t="s">
        <v>23</v>
      </c>
      <c r="G5252" t="s">
        <v>35</v>
      </c>
      <c r="H5252" t="s">
        <v>48</v>
      </c>
      <c r="I5252" t="s">
        <v>31</v>
      </c>
      <c r="J5252" t="s">
        <v>27</v>
      </c>
      <c r="K5252" t="s">
        <v>28</v>
      </c>
      <c r="L5252" s="2">
        <v>100</v>
      </c>
      <c r="M5252" s="3">
        <v>393</v>
      </c>
      <c r="N5252">
        <v>6</v>
      </c>
      <c r="O5252">
        <v>6</v>
      </c>
      <c r="P5252">
        <v>1</v>
      </c>
      <c r="Q5252">
        <v>0</v>
      </c>
      <c r="R5252" s="4">
        <v>37.85</v>
      </c>
      <c r="S5252">
        <v>0</v>
      </c>
      <c r="T5252">
        <v>1</v>
      </c>
    </row>
    <row r="5253" spans="1:20" ht="16.5" x14ac:dyDescent="0.3">
      <c r="A5253" t="s">
        <v>5307</v>
      </c>
      <c r="B5253" s="1">
        <v>45992</v>
      </c>
      <c r="C5253">
        <v>2025</v>
      </c>
      <c r="D5253" t="s">
        <v>1873</v>
      </c>
      <c r="E5253" t="s">
        <v>2413</v>
      </c>
      <c r="F5253" t="s">
        <v>34</v>
      </c>
      <c r="G5253" t="s">
        <v>39</v>
      </c>
      <c r="H5253" t="s">
        <v>48</v>
      </c>
      <c r="I5253" t="s">
        <v>31</v>
      </c>
      <c r="J5253" t="s">
        <v>27</v>
      </c>
      <c r="K5253" t="s">
        <v>32</v>
      </c>
      <c r="L5253" s="2">
        <v>2.8</v>
      </c>
      <c r="M5253" s="3">
        <v>519</v>
      </c>
      <c r="N5253">
        <v>6</v>
      </c>
      <c r="O5253">
        <v>8</v>
      </c>
      <c r="P5253">
        <v>0</v>
      </c>
      <c r="Q5253">
        <v>2</v>
      </c>
      <c r="R5253" s="4">
        <v>8.85</v>
      </c>
      <c r="S5253">
        <v>0</v>
      </c>
      <c r="T5253">
        <v>1</v>
      </c>
    </row>
    <row r="5254" spans="1:20" ht="16.5" x14ac:dyDescent="0.3">
      <c r="A5254" t="s">
        <v>5308</v>
      </c>
      <c r="B5254" s="1">
        <v>45992</v>
      </c>
      <c r="C5254">
        <v>2025</v>
      </c>
      <c r="D5254" t="s">
        <v>1873</v>
      </c>
      <c r="E5254" t="s">
        <v>2413</v>
      </c>
      <c r="F5254" t="s">
        <v>38</v>
      </c>
      <c r="G5254" t="s">
        <v>24</v>
      </c>
      <c r="H5254" t="s">
        <v>51</v>
      </c>
      <c r="I5254" t="s">
        <v>31</v>
      </c>
      <c r="J5254" t="s">
        <v>27</v>
      </c>
      <c r="K5254" t="s">
        <v>28</v>
      </c>
      <c r="L5254" s="2">
        <v>161.9</v>
      </c>
      <c r="M5254" s="3">
        <v>1169</v>
      </c>
      <c r="N5254">
        <v>7</v>
      </c>
      <c r="O5254">
        <v>6</v>
      </c>
      <c r="P5254">
        <v>1</v>
      </c>
      <c r="Q5254">
        <v>0</v>
      </c>
      <c r="R5254" s="4">
        <v>67.13</v>
      </c>
      <c r="S5254">
        <v>0</v>
      </c>
      <c r="T5254">
        <v>1</v>
      </c>
    </row>
    <row r="5255" spans="1:20" ht="16.5" x14ac:dyDescent="0.3">
      <c r="A5255" t="s">
        <v>5309</v>
      </c>
      <c r="B5255" s="1">
        <v>45992</v>
      </c>
      <c r="C5255">
        <v>2025</v>
      </c>
      <c r="D5255" t="s">
        <v>1873</v>
      </c>
      <c r="E5255" t="s">
        <v>2413</v>
      </c>
      <c r="F5255" t="s">
        <v>23</v>
      </c>
      <c r="G5255" t="s">
        <v>24</v>
      </c>
      <c r="H5255" t="s">
        <v>48</v>
      </c>
      <c r="I5255" t="s">
        <v>31</v>
      </c>
      <c r="J5255" t="s">
        <v>27</v>
      </c>
      <c r="K5255" t="s">
        <v>32</v>
      </c>
      <c r="L5255" s="2">
        <v>4.2</v>
      </c>
      <c r="M5255" s="3">
        <v>433</v>
      </c>
      <c r="N5255">
        <v>6</v>
      </c>
      <c r="O5255">
        <v>7</v>
      </c>
      <c r="P5255">
        <v>0</v>
      </c>
      <c r="Q5255">
        <v>1</v>
      </c>
      <c r="R5255" s="4">
        <v>10.29</v>
      </c>
      <c r="S5255">
        <v>0</v>
      </c>
      <c r="T5255">
        <v>1</v>
      </c>
    </row>
    <row r="5256" spans="1:20" ht="16.5" x14ac:dyDescent="0.3">
      <c r="A5256" t="s">
        <v>5310</v>
      </c>
      <c r="B5256" s="1">
        <v>45992</v>
      </c>
      <c r="C5256">
        <v>2025</v>
      </c>
      <c r="D5256" t="s">
        <v>1873</v>
      </c>
      <c r="E5256" t="s">
        <v>2413</v>
      </c>
      <c r="F5256" t="s">
        <v>23</v>
      </c>
      <c r="G5256" t="s">
        <v>24</v>
      </c>
      <c r="H5256" t="s">
        <v>48</v>
      </c>
      <c r="I5256" t="s">
        <v>31</v>
      </c>
      <c r="J5256" t="s">
        <v>27</v>
      </c>
      <c r="K5256" t="s">
        <v>28</v>
      </c>
      <c r="L5256" s="2">
        <v>78.8</v>
      </c>
      <c r="M5256" s="3">
        <v>459</v>
      </c>
      <c r="N5256">
        <v>6</v>
      </c>
      <c r="O5256">
        <v>6</v>
      </c>
      <c r="P5256">
        <v>1</v>
      </c>
      <c r="Q5256">
        <v>0</v>
      </c>
      <c r="R5256" s="4">
        <v>35.33</v>
      </c>
      <c r="S5256">
        <v>0</v>
      </c>
      <c r="T5256">
        <v>1</v>
      </c>
    </row>
    <row r="5257" spans="1:20" ht="16.5" x14ac:dyDescent="0.3">
      <c r="A5257" t="s">
        <v>5311</v>
      </c>
      <c r="B5257" s="1">
        <v>45992</v>
      </c>
      <c r="C5257">
        <v>2025</v>
      </c>
      <c r="D5257" t="s">
        <v>1873</v>
      </c>
      <c r="E5257" t="s">
        <v>2413</v>
      </c>
      <c r="F5257" t="s">
        <v>57</v>
      </c>
      <c r="G5257" t="s">
        <v>24</v>
      </c>
      <c r="H5257" t="s">
        <v>36</v>
      </c>
      <c r="I5257" t="s">
        <v>26</v>
      </c>
      <c r="J5257" t="s">
        <v>27</v>
      </c>
      <c r="K5257" t="s">
        <v>32</v>
      </c>
      <c r="L5257" s="2">
        <v>2.4</v>
      </c>
      <c r="M5257" s="3">
        <v>215</v>
      </c>
      <c r="N5257">
        <v>3</v>
      </c>
      <c r="O5257">
        <v>3</v>
      </c>
      <c r="P5257">
        <v>1</v>
      </c>
      <c r="Q5257">
        <v>0</v>
      </c>
      <c r="R5257" s="4">
        <v>11.77</v>
      </c>
      <c r="S5257">
        <v>0</v>
      </c>
      <c r="T5257">
        <v>1</v>
      </c>
    </row>
    <row r="5258" spans="1:20" ht="16.5" x14ac:dyDescent="0.3">
      <c r="A5258" t="s">
        <v>5312</v>
      </c>
      <c r="B5258" s="1">
        <v>45992</v>
      </c>
      <c r="C5258">
        <v>2025</v>
      </c>
      <c r="D5258" t="s">
        <v>1873</v>
      </c>
      <c r="E5258" t="s">
        <v>2413</v>
      </c>
      <c r="F5258" t="s">
        <v>34</v>
      </c>
      <c r="G5258" t="s">
        <v>24</v>
      </c>
      <c r="H5258" t="s">
        <v>36</v>
      </c>
      <c r="I5258" t="s">
        <v>40</v>
      </c>
      <c r="J5258" t="s">
        <v>27</v>
      </c>
      <c r="K5258" t="s">
        <v>28</v>
      </c>
      <c r="L5258" s="2">
        <v>24.3</v>
      </c>
      <c r="M5258" s="3">
        <v>233</v>
      </c>
      <c r="N5258">
        <v>1</v>
      </c>
      <c r="O5258">
        <v>6</v>
      </c>
      <c r="P5258">
        <v>0</v>
      </c>
      <c r="Q5258">
        <v>5</v>
      </c>
      <c r="R5258" s="4">
        <v>36.71</v>
      </c>
      <c r="S5258">
        <v>0</v>
      </c>
      <c r="T5258">
        <v>1</v>
      </c>
    </row>
    <row r="5259" spans="1:20" ht="16.5" x14ac:dyDescent="0.3">
      <c r="A5259" t="s">
        <v>5313</v>
      </c>
      <c r="B5259" s="1">
        <v>45992</v>
      </c>
      <c r="C5259">
        <v>2025</v>
      </c>
      <c r="D5259" t="s">
        <v>1873</v>
      </c>
      <c r="E5259" t="s">
        <v>2413</v>
      </c>
      <c r="F5259" t="s">
        <v>34</v>
      </c>
      <c r="G5259" t="s">
        <v>35</v>
      </c>
      <c r="H5259" t="s">
        <v>25</v>
      </c>
      <c r="I5259" t="s">
        <v>26</v>
      </c>
      <c r="J5259" t="s">
        <v>27</v>
      </c>
      <c r="K5259" t="s">
        <v>32</v>
      </c>
      <c r="L5259" s="2">
        <v>5.5</v>
      </c>
      <c r="M5259" s="3">
        <v>1054</v>
      </c>
      <c r="N5259">
        <v>4</v>
      </c>
      <c r="O5259">
        <v>7</v>
      </c>
      <c r="P5259">
        <v>0</v>
      </c>
      <c r="Q5259">
        <v>3</v>
      </c>
      <c r="R5259" s="4">
        <v>19.36</v>
      </c>
      <c r="S5259">
        <v>0</v>
      </c>
      <c r="T5259">
        <v>1</v>
      </c>
    </row>
    <row r="5260" spans="1:20" ht="16.5" x14ac:dyDescent="0.3">
      <c r="A5260" t="s">
        <v>5314</v>
      </c>
      <c r="B5260" s="1">
        <v>45993</v>
      </c>
      <c r="C5260">
        <v>2025</v>
      </c>
      <c r="D5260" t="s">
        <v>1873</v>
      </c>
      <c r="E5260" t="s">
        <v>2413</v>
      </c>
      <c r="F5260" t="s">
        <v>57</v>
      </c>
      <c r="G5260" t="s">
        <v>39</v>
      </c>
      <c r="H5260" t="s">
        <v>36</v>
      </c>
      <c r="I5260" t="s">
        <v>26</v>
      </c>
      <c r="J5260" t="s">
        <v>27</v>
      </c>
      <c r="K5260" t="s">
        <v>32</v>
      </c>
      <c r="L5260" s="2">
        <v>8.6</v>
      </c>
      <c r="M5260" s="3">
        <v>267</v>
      </c>
      <c r="N5260">
        <v>3</v>
      </c>
      <c r="O5260">
        <v>3</v>
      </c>
      <c r="P5260">
        <v>1</v>
      </c>
      <c r="Q5260">
        <v>0</v>
      </c>
      <c r="R5260" s="4">
        <v>14.51</v>
      </c>
      <c r="S5260">
        <v>0</v>
      </c>
      <c r="T5260">
        <v>1</v>
      </c>
    </row>
    <row r="5261" spans="1:20" ht="16.5" x14ac:dyDescent="0.3">
      <c r="A5261" t="s">
        <v>5315</v>
      </c>
      <c r="B5261" s="1">
        <v>45993</v>
      </c>
      <c r="C5261">
        <v>2025</v>
      </c>
      <c r="D5261" t="s">
        <v>1873</v>
      </c>
      <c r="E5261" t="s">
        <v>2413</v>
      </c>
      <c r="F5261" t="s">
        <v>38</v>
      </c>
      <c r="G5261" t="s">
        <v>24</v>
      </c>
      <c r="H5261" t="s">
        <v>43</v>
      </c>
      <c r="I5261" t="s">
        <v>26</v>
      </c>
      <c r="J5261" t="s">
        <v>27</v>
      </c>
      <c r="K5261" t="s">
        <v>28</v>
      </c>
      <c r="L5261" s="2">
        <v>229.3</v>
      </c>
      <c r="M5261" s="3">
        <v>1151</v>
      </c>
      <c r="N5261">
        <v>5</v>
      </c>
      <c r="O5261">
        <v>5</v>
      </c>
      <c r="P5261">
        <v>1</v>
      </c>
      <c r="Q5261">
        <v>0</v>
      </c>
      <c r="R5261" s="4">
        <v>120.93</v>
      </c>
      <c r="S5261">
        <v>0</v>
      </c>
      <c r="T5261">
        <v>1</v>
      </c>
    </row>
    <row r="5262" spans="1:20" ht="16.5" x14ac:dyDescent="0.3">
      <c r="A5262" t="s">
        <v>5316</v>
      </c>
      <c r="B5262" s="1">
        <v>45993</v>
      </c>
      <c r="C5262">
        <v>2025</v>
      </c>
      <c r="D5262" t="s">
        <v>1873</v>
      </c>
      <c r="E5262" t="s">
        <v>2413</v>
      </c>
      <c r="F5262" t="s">
        <v>57</v>
      </c>
      <c r="G5262" t="s">
        <v>35</v>
      </c>
      <c r="H5262" t="s">
        <v>25</v>
      </c>
      <c r="I5262" t="s">
        <v>26</v>
      </c>
      <c r="J5262" t="s">
        <v>27</v>
      </c>
      <c r="K5262" t="s">
        <v>32</v>
      </c>
      <c r="L5262" s="2">
        <v>2.2999999999999998</v>
      </c>
      <c r="M5262" s="3">
        <v>642</v>
      </c>
      <c r="N5262">
        <v>4</v>
      </c>
      <c r="O5262">
        <v>7</v>
      </c>
      <c r="P5262">
        <v>0</v>
      </c>
      <c r="Q5262">
        <v>3</v>
      </c>
      <c r="R5262" s="4">
        <v>16.440000000000001</v>
      </c>
      <c r="S5262">
        <v>0</v>
      </c>
      <c r="T5262">
        <v>1</v>
      </c>
    </row>
    <row r="5263" spans="1:20" ht="16.5" x14ac:dyDescent="0.3">
      <c r="A5263" t="s">
        <v>5317</v>
      </c>
      <c r="B5263" s="1">
        <v>45993</v>
      </c>
      <c r="C5263">
        <v>2025</v>
      </c>
      <c r="D5263" t="s">
        <v>1873</v>
      </c>
      <c r="E5263" t="s">
        <v>2413</v>
      </c>
      <c r="F5263" t="s">
        <v>23</v>
      </c>
      <c r="G5263" t="s">
        <v>39</v>
      </c>
      <c r="H5263" t="s">
        <v>48</v>
      </c>
      <c r="I5263" t="s">
        <v>26</v>
      </c>
      <c r="J5263" t="s">
        <v>27</v>
      </c>
      <c r="K5263" t="s">
        <v>28</v>
      </c>
      <c r="L5263" s="2">
        <v>89.8</v>
      </c>
      <c r="M5263" s="3">
        <v>411</v>
      </c>
      <c r="N5263">
        <v>4</v>
      </c>
      <c r="O5263">
        <v>4</v>
      </c>
      <c r="P5263">
        <v>1</v>
      </c>
      <c r="Q5263">
        <v>0</v>
      </c>
      <c r="R5263" s="4">
        <v>49.54</v>
      </c>
      <c r="S5263">
        <v>0</v>
      </c>
      <c r="T5263">
        <v>1</v>
      </c>
    </row>
    <row r="5264" spans="1:20" ht="16.5" x14ac:dyDescent="0.3">
      <c r="A5264" t="s">
        <v>5318</v>
      </c>
      <c r="B5264" s="1">
        <v>45993</v>
      </c>
      <c r="C5264">
        <v>2025</v>
      </c>
      <c r="D5264" t="s">
        <v>1873</v>
      </c>
      <c r="E5264" t="s">
        <v>2413</v>
      </c>
      <c r="F5264" t="s">
        <v>57</v>
      </c>
      <c r="G5264" t="s">
        <v>35</v>
      </c>
      <c r="H5264" t="s">
        <v>25</v>
      </c>
      <c r="I5264" t="s">
        <v>31</v>
      </c>
      <c r="J5264" t="s">
        <v>27</v>
      </c>
      <c r="K5264" t="s">
        <v>32</v>
      </c>
      <c r="L5264" s="2">
        <v>9.3000000000000007</v>
      </c>
      <c r="M5264" s="3">
        <v>897</v>
      </c>
      <c r="N5264">
        <v>6</v>
      </c>
      <c r="O5264">
        <v>6</v>
      </c>
      <c r="P5264">
        <v>1</v>
      </c>
      <c r="Q5264">
        <v>0</v>
      </c>
      <c r="R5264" s="4">
        <v>15.9</v>
      </c>
      <c r="S5264">
        <v>0</v>
      </c>
      <c r="T5264">
        <v>1</v>
      </c>
    </row>
    <row r="5265" spans="1:20" ht="16.5" x14ac:dyDescent="0.3">
      <c r="A5265" t="s">
        <v>5319</v>
      </c>
      <c r="B5265" s="1">
        <v>45993</v>
      </c>
      <c r="C5265">
        <v>2025</v>
      </c>
      <c r="D5265" t="s">
        <v>1873</v>
      </c>
      <c r="E5265" t="s">
        <v>2413</v>
      </c>
      <c r="F5265" t="s">
        <v>38</v>
      </c>
      <c r="G5265" t="s">
        <v>24</v>
      </c>
      <c r="H5265" t="s">
        <v>48</v>
      </c>
      <c r="I5265" t="s">
        <v>40</v>
      </c>
      <c r="J5265" t="s">
        <v>27</v>
      </c>
      <c r="K5265" t="s">
        <v>28</v>
      </c>
      <c r="L5265" s="2">
        <v>59.5</v>
      </c>
      <c r="M5265" s="3">
        <v>470</v>
      </c>
      <c r="N5265">
        <v>2</v>
      </c>
      <c r="O5265">
        <v>2</v>
      </c>
      <c r="P5265">
        <v>1</v>
      </c>
      <c r="Q5265">
        <v>0</v>
      </c>
      <c r="R5265" s="4">
        <v>83.34</v>
      </c>
      <c r="S5265">
        <v>0</v>
      </c>
      <c r="T5265">
        <v>1</v>
      </c>
    </row>
    <row r="5266" spans="1:20" ht="16.5" x14ac:dyDescent="0.3">
      <c r="A5266" t="s">
        <v>5320</v>
      </c>
      <c r="B5266" s="1">
        <v>45993</v>
      </c>
      <c r="C5266">
        <v>2025</v>
      </c>
      <c r="D5266" t="s">
        <v>1873</v>
      </c>
      <c r="E5266" t="s">
        <v>2413</v>
      </c>
      <c r="F5266" t="s">
        <v>38</v>
      </c>
      <c r="G5266" t="s">
        <v>39</v>
      </c>
      <c r="H5266" t="s">
        <v>51</v>
      </c>
      <c r="I5266" t="s">
        <v>26</v>
      </c>
      <c r="J5266" t="s">
        <v>27</v>
      </c>
      <c r="K5266" t="s">
        <v>32</v>
      </c>
      <c r="L5266" s="2">
        <v>19.5</v>
      </c>
      <c r="M5266" s="3">
        <v>903</v>
      </c>
      <c r="N5266">
        <v>5</v>
      </c>
      <c r="O5266">
        <v>5</v>
      </c>
      <c r="P5266">
        <v>1</v>
      </c>
      <c r="Q5266">
        <v>0</v>
      </c>
      <c r="R5266" s="4">
        <v>30.95</v>
      </c>
      <c r="S5266">
        <v>0</v>
      </c>
      <c r="T5266">
        <v>1</v>
      </c>
    </row>
    <row r="5267" spans="1:20" ht="16.5" x14ac:dyDescent="0.3">
      <c r="A5267" t="s">
        <v>5321</v>
      </c>
      <c r="B5267" s="1">
        <v>45993</v>
      </c>
      <c r="C5267">
        <v>2025</v>
      </c>
      <c r="D5267" t="s">
        <v>1873</v>
      </c>
      <c r="E5267" t="s">
        <v>2413</v>
      </c>
      <c r="F5267" t="s">
        <v>23</v>
      </c>
      <c r="G5267" t="s">
        <v>39</v>
      </c>
      <c r="H5267" t="s">
        <v>48</v>
      </c>
      <c r="I5267" t="s">
        <v>31</v>
      </c>
      <c r="J5267" t="s">
        <v>27</v>
      </c>
      <c r="K5267" t="s">
        <v>28</v>
      </c>
      <c r="L5267" s="2">
        <v>81.599999999999994</v>
      </c>
      <c r="M5267" s="3">
        <v>472</v>
      </c>
      <c r="N5267">
        <v>6</v>
      </c>
      <c r="O5267">
        <v>7</v>
      </c>
      <c r="P5267">
        <v>0</v>
      </c>
      <c r="Q5267">
        <v>1</v>
      </c>
      <c r="R5267" s="4">
        <v>34.979999999999997</v>
      </c>
      <c r="S5267">
        <v>0</v>
      </c>
      <c r="T5267">
        <v>1</v>
      </c>
    </row>
    <row r="5268" spans="1:20" ht="16.5" x14ac:dyDescent="0.3">
      <c r="A5268" t="s">
        <v>5322</v>
      </c>
      <c r="B5268" s="1">
        <v>45993</v>
      </c>
      <c r="C5268">
        <v>2025</v>
      </c>
      <c r="D5268" t="s">
        <v>1873</v>
      </c>
      <c r="E5268" t="s">
        <v>2413</v>
      </c>
      <c r="F5268" t="s">
        <v>57</v>
      </c>
      <c r="G5268" t="s">
        <v>35</v>
      </c>
      <c r="H5268" t="s">
        <v>48</v>
      </c>
      <c r="I5268" t="s">
        <v>26</v>
      </c>
      <c r="J5268" t="s">
        <v>27</v>
      </c>
      <c r="K5268" t="s">
        <v>28</v>
      </c>
      <c r="L5268" s="2">
        <v>29</v>
      </c>
      <c r="M5268" s="3">
        <v>496</v>
      </c>
      <c r="N5268">
        <v>4</v>
      </c>
      <c r="O5268">
        <v>4</v>
      </c>
      <c r="P5268">
        <v>1</v>
      </c>
      <c r="Q5268">
        <v>0</v>
      </c>
      <c r="R5268" s="4">
        <v>28.24</v>
      </c>
      <c r="S5268">
        <v>0</v>
      </c>
      <c r="T5268">
        <v>1</v>
      </c>
    </row>
    <row r="5269" spans="1:20" ht="16.5" x14ac:dyDescent="0.3">
      <c r="A5269" t="s">
        <v>5323</v>
      </c>
      <c r="B5269" s="1">
        <v>45993</v>
      </c>
      <c r="C5269">
        <v>2025</v>
      </c>
      <c r="D5269" t="s">
        <v>1873</v>
      </c>
      <c r="E5269" t="s">
        <v>2413</v>
      </c>
      <c r="F5269" t="s">
        <v>34</v>
      </c>
      <c r="G5269" t="s">
        <v>35</v>
      </c>
      <c r="H5269" t="s">
        <v>36</v>
      </c>
      <c r="I5269" t="s">
        <v>31</v>
      </c>
      <c r="J5269" t="s">
        <v>27</v>
      </c>
      <c r="K5269" t="s">
        <v>32</v>
      </c>
      <c r="L5269" s="2">
        <v>1.7</v>
      </c>
      <c r="M5269" s="3">
        <v>288</v>
      </c>
      <c r="N5269">
        <v>5</v>
      </c>
      <c r="O5269">
        <v>5</v>
      </c>
      <c r="P5269">
        <v>1</v>
      </c>
      <c r="Q5269">
        <v>0</v>
      </c>
      <c r="R5269" s="4">
        <v>6.59</v>
      </c>
      <c r="S5269">
        <v>0</v>
      </c>
      <c r="T5269">
        <v>1</v>
      </c>
    </row>
    <row r="5270" spans="1:20" ht="16.5" x14ac:dyDescent="0.3">
      <c r="A5270" t="s">
        <v>5324</v>
      </c>
      <c r="B5270" s="1">
        <v>45993</v>
      </c>
      <c r="C5270">
        <v>2025</v>
      </c>
      <c r="D5270" t="s">
        <v>1873</v>
      </c>
      <c r="E5270" t="s">
        <v>2413</v>
      </c>
      <c r="F5270" t="s">
        <v>34</v>
      </c>
      <c r="G5270" t="s">
        <v>39</v>
      </c>
      <c r="H5270" t="s">
        <v>36</v>
      </c>
      <c r="I5270" t="s">
        <v>31</v>
      </c>
      <c r="J5270" t="s">
        <v>27</v>
      </c>
      <c r="K5270" t="s">
        <v>32</v>
      </c>
      <c r="L5270" s="2">
        <v>14.1</v>
      </c>
      <c r="M5270" s="3">
        <v>248</v>
      </c>
      <c r="N5270">
        <v>5</v>
      </c>
      <c r="O5270">
        <v>7</v>
      </c>
      <c r="P5270">
        <v>0</v>
      </c>
      <c r="Q5270">
        <v>2</v>
      </c>
      <c r="R5270" s="4">
        <v>10.36</v>
      </c>
      <c r="S5270">
        <v>0</v>
      </c>
      <c r="T5270">
        <v>1</v>
      </c>
    </row>
    <row r="5271" spans="1:20" ht="16.5" x14ac:dyDescent="0.3">
      <c r="A5271" t="s">
        <v>5325</v>
      </c>
      <c r="B5271" s="1">
        <v>45993</v>
      </c>
      <c r="C5271">
        <v>2025</v>
      </c>
      <c r="D5271" t="s">
        <v>1873</v>
      </c>
      <c r="E5271" t="s">
        <v>2413</v>
      </c>
      <c r="F5271" t="s">
        <v>38</v>
      </c>
      <c r="G5271" t="s">
        <v>35</v>
      </c>
      <c r="H5271" t="s">
        <v>25</v>
      </c>
      <c r="I5271" t="s">
        <v>26</v>
      </c>
      <c r="J5271" t="s">
        <v>27</v>
      </c>
      <c r="K5271" t="s">
        <v>28</v>
      </c>
      <c r="L5271" s="2">
        <v>237.8</v>
      </c>
      <c r="M5271" s="3">
        <v>514</v>
      </c>
      <c r="N5271">
        <v>4</v>
      </c>
      <c r="O5271">
        <v>4</v>
      </c>
      <c r="P5271">
        <v>1</v>
      </c>
      <c r="Q5271">
        <v>0</v>
      </c>
      <c r="R5271" s="4">
        <v>120.2</v>
      </c>
      <c r="S5271">
        <v>0</v>
      </c>
      <c r="T5271">
        <v>1</v>
      </c>
    </row>
    <row r="5272" spans="1:20" ht="16.5" x14ac:dyDescent="0.3">
      <c r="A5272" t="s">
        <v>5326</v>
      </c>
      <c r="B5272" s="1">
        <v>45993</v>
      </c>
      <c r="C5272">
        <v>2025</v>
      </c>
      <c r="D5272" t="s">
        <v>1873</v>
      </c>
      <c r="E5272" t="s">
        <v>2413</v>
      </c>
      <c r="F5272" t="s">
        <v>38</v>
      </c>
      <c r="G5272" t="s">
        <v>39</v>
      </c>
      <c r="H5272" t="s">
        <v>48</v>
      </c>
      <c r="I5272" t="s">
        <v>26</v>
      </c>
      <c r="J5272" t="s">
        <v>27</v>
      </c>
      <c r="K5272" t="s">
        <v>28</v>
      </c>
      <c r="L5272" s="2">
        <v>275.2</v>
      </c>
      <c r="M5272" s="3">
        <v>337</v>
      </c>
      <c r="N5272">
        <v>4</v>
      </c>
      <c r="O5272">
        <v>4</v>
      </c>
      <c r="P5272">
        <v>1</v>
      </c>
      <c r="Q5272">
        <v>0</v>
      </c>
      <c r="R5272" s="4">
        <v>136.16</v>
      </c>
      <c r="S5272">
        <v>0</v>
      </c>
      <c r="T5272">
        <v>1</v>
      </c>
    </row>
    <row r="5273" spans="1:20" ht="16.5" x14ac:dyDescent="0.3">
      <c r="A5273" t="s">
        <v>5327</v>
      </c>
      <c r="B5273" s="1">
        <v>45993</v>
      </c>
      <c r="C5273">
        <v>2025</v>
      </c>
      <c r="D5273" t="s">
        <v>1873</v>
      </c>
      <c r="E5273" t="s">
        <v>2413</v>
      </c>
      <c r="F5273" t="s">
        <v>34</v>
      </c>
      <c r="G5273" t="s">
        <v>24</v>
      </c>
      <c r="H5273" t="s">
        <v>25</v>
      </c>
      <c r="I5273" t="s">
        <v>31</v>
      </c>
      <c r="J5273" t="s">
        <v>27</v>
      </c>
      <c r="K5273" t="s">
        <v>32</v>
      </c>
      <c r="L5273" s="2">
        <v>4</v>
      </c>
      <c r="M5273" s="3">
        <v>740</v>
      </c>
      <c r="N5273">
        <v>6</v>
      </c>
      <c r="O5273">
        <v>6</v>
      </c>
      <c r="P5273">
        <v>1</v>
      </c>
      <c r="Q5273">
        <v>0</v>
      </c>
      <c r="R5273" s="4">
        <v>11.02</v>
      </c>
      <c r="S5273">
        <v>1</v>
      </c>
      <c r="T5273">
        <v>1</v>
      </c>
    </row>
    <row r="5274" spans="1:20" ht="16.5" x14ac:dyDescent="0.3">
      <c r="A5274" t="s">
        <v>5328</v>
      </c>
      <c r="B5274" s="1">
        <v>45993</v>
      </c>
      <c r="C5274">
        <v>2025</v>
      </c>
      <c r="D5274" t="s">
        <v>1873</v>
      </c>
      <c r="E5274" t="s">
        <v>2413</v>
      </c>
      <c r="F5274" t="s">
        <v>34</v>
      </c>
      <c r="G5274" t="s">
        <v>35</v>
      </c>
      <c r="H5274" t="s">
        <v>25</v>
      </c>
      <c r="I5274" t="s">
        <v>31</v>
      </c>
      <c r="J5274" t="s">
        <v>27</v>
      </c>
      <c r="K5274" t="s">
        <v>32</v>
      </c>
      <c r="L5274" s="2">
        <v>17.899999999999999</v>
      </c>
      <c r="M5274" s="3">
        <v>983</v>
      </c>
      <c r="N5274">
        <v>6</v>
      </c>
      <c r="O5274">
        <v>6</v>
      </c>
      <c r="P5274">
        <v>1</v>
      </c>
      <c r="Q5274">
        <v>0</v>
      </c>
      <c r="R5274" s="4">
        <v>16.98</v>
      </c>
      <c r="S5274">
        <v>0</v>
      </c>
      <c r="T5274">
        <v>1</v>
      </c>
    </row>
    <row r="5275" spans="1:20" ht="16.5" x14ac:dyDescent="0.3">
      <c r="A5275" t="s">
        <v>5329</v>
      </c>
      <c r="B5275" s="1">
        <v>45993</v>
      </c>
      <c r="C5275">
        <v>2025</v>
      </c>
      <c r="D5275" t="s">
        <v>1873</v>
      </c>
      <c r="E5275" t="s">
        <v>2413</v>
      </c>
      <c r="F5275" t="s">
        <v>38</v>
      </c>
      <c r="G5275" t="s">
        <v>24</v>
      </c>
      <c r="H5275" t="s">
        <v>25</v>
      </c>
      <c r="I5275" t="s">
        <v>26</v>
      </c>
      <c r="J5275" t="s">
        <v>27</v>
      </c>
      <c r="K5275" t="s">
        <v>32</v>
      </c>
      <c r="L5275" s="2">
        <v>4.8</v>
      </c>
      <c r="M5275" s="3">
        <v>837</v>
      </c>
      <c r="N5275">
        <v>4</v>
      </c>
      <c r="O5275">
        <v>4</v>
      </c>
      <c r="P5275">
        <v>1</v>
      </c>
      <c r="Q5275">
        <v>0</v>
      </c>
      <c r="R5275" s="4">
        <v>19.489999999999998</v>
      </c>
      <c r="S5275">
        <v>0</v>
      </c>
      <c r="T5275">
        <v>1</v>
      </c>
    </row>
    <row r="5276" spans="1:20" ht="16.5" x14ac:dyDescent="0.3">
      <c r="A5276" t="s">
        <v>5330</v>
      </c>
      <c r="B5276" s="1">
        <v>45993</v>
      </c>
      <c r="C5276">
        <v>2025</v>
      </c>
      <c r="D5276" t="s">
        <v>1873</v>
      </c>
      <c r="E5276" t="s">
        <v>2413</v>
      </c>
      <c r="F5276" t="s">
        <v>23</v>
      </c>
      <c r="G5276" t="s">
        <v>35</v>
      </c>
      <c r="H5276" t="s">
        <v>48</v>
      </c>
      <c r="I5276" t="s">
        <v>40</v>
      </c>
      <c r="J5276" t="s">
        <v>27</v>
      </c>
      <c r="K5276" t="s">
        <v>28</v>
      </c>
      <c r="L5276" s="2">
        <v>76.3</v>
      </c>
      <c r="M5276" s="3">
        <v>550</v>
      </c>
      <c r="N5276">
        <v>2</v>
      </c>
      <c r="O5276">
        <v>2</v>
      </c>
      <c r="P5276">
        <v>1</v>
      </c>
      <c r="Q5276">
        <v>0</v>
      </c>
      <c r="R5276" s="4">
        <v>91.83</v>
      </c>
      <c r="S5276">
        <v>0</v>
      </c>
      <c r="T5276">
        <v>1</v>
      </c>
    </row>
    <row r="5277" spans="1:20" ht="16.5" x14ac:dyDescent="0.3">
      <c r="A5277" t="s">
        <v>5331</v>
      </c>
      <c r="B5277" s="1">
        <v>45994</v>
      </c>
      <c r="C5277">
        <v>2025</v>
      </c>
      <c r="D5277" t="s">
        <v>1873</v>
      </c>
      <c r="E5277" t="s">
        <v>2413</v>
      </c>
      <c r="F5277" t="s">
        <v>30</v>
      </c>
      <c r="G5277" t="s">
        <v>24</v>
      </c>
      <c r="H5277" t="s">
        <v>51</v>
      </c>
      <c r="I5277" t="s">
        <v>26</v>
      </c>
      <c r="J5277" t="s">
        <v>27</v>
      </c>
      <c r="K5277" t="s">
        <v>32</v>
      </c>
      <c r="L5277" s="2">
        <v>12.1</v>
      </c>
      <c r="M5277" s="3">
        <v>872</v>
      </c>
      <c r="N5277">
        <v>5</v>
      </c>
      <c r="O5277">
        <v>4</v>
      </c>
      <c r="P5277">
        <v>1</v>
      </c>
      <c r="Q5277">
        <v>0</v>
      </c>
      <c r="R5277" s="4">
        <v>24.31</v>
      </c>
      <c r="S5277">
        <v>0</v>
      </c>
      <c r="T5277">
        <v>1</v>
      </c>
    </row>
    <row r="5278" spans="1:20" ht="16.5" x14ac:dyDescent="0.3">
      <c r="A5278" t="s">
        <v>5332</v>
      </c>
      <c r="B5278" s="1">
        <v>45994</v>
      </c>
      <c r="C5278">
        <v>2025</v>
      </c>
      <c r="D5278" t="s">
        <v>1873</v>
      </c>
      <c r="E5278" t="s">
        <v>2413</v>
      </c>
      <c r="F5278" t="s">
        <v>34</v>
      </c>
      <c r="G5278" t="s">
        <v>39</v>
      </c>
      <c r="H5278" t="s">
        <v>36</v>
      </c>
      <c r="I5278" t="s">
        <v>26</v>
      </c>
      <c r="J5278" t="s">
        <v>27</v>
      </c>
      <c r="K5278" t="s">
        <v>32</v>
      </c>
      <c r="L5278" s="2">
        <v>2.2999999999999998</v>
      </c>
      <c r="M5278" s="3">
        <v>293</v>
      </c>
      <c r="N5278">
        <v>3</v>
      </c>
      <c r="O5278">
        <v>3</v>
      </c>
      <c r="P5278">
        <v>1</v>
      </c>
      <c r="Q5278">
        <v>0</v>
      </c>
      <c r="R5278" s="4">
        <v>9.77</v>
      </c>
      <c r="S5278">
        <v>0</v>
      </c>
      <c r="T5278">
        <v>1</v>
      </c>
    </row>
    <row r="5279" spans="1:20" ht="16.5" x14ac:dyDescent="0.3">
      <c r="A5279" t="s">
        <v>5333</v>
      </c>
      <c r="B5279" s="1">
        <v>45994</v>
      </c>
      <c r="C5279">
        <v>2025</v>
      </c>
      <c r="D5279" t="s">
        <v>1873</v>
      </c>
      <c r="E5279" t="s">
        <v>2413</v>
      </c>
      <c r="F5279" t="s">
        <v>57</v>
      </c>
      <c r="G5279" t="s">
        <v>39</v>
      </c>
      <c r="H5279" t="s">
        <v>51</v>
      </c>
      <c r="I5279" t="s">
        <v>40</v>
      </c>
      <c r="J5279" t="s">
        <v>41</v>
      </c>
      <c r="K5279" t="s">
        <v>32</v>
      </c>
      <c r="L5279" s="2">
        <v>7</v>
      </c>
      <c r="M5279" s="3">
        <v>1033</v>
      </c>
      <c r="N5279">
        <v>3</v>
      </c>
      <c r="O5279">
        <v>3</v>
      </c>
      <c r="P5279">
        <v>1</v>
      </c>
      <c r="Q5279">
        <v>0</v>
      </c>
      <c r="R5279" s="4">
        <v>79.47</v>
      </c>
      <c r="S5279">
        <v>0</v>
      </c>
      <c r="T5279">
        <v>1</v>
      </c>
    </row>
    <row r="5280" spans="1:20" ht="16.5" x14ac:dyDescent="0.3">
      <c r="A5280" t="s">
        <v>5334</v>
      </c>
      <c r="B5280" s="1">
        <v>45994</v>
      </c>
      <c r="C5280">
        <v>2025</v>
      </c>
      <c r="D5280" t="s">
        <v>1873</v>
      </c>
      <c r="E5280" t="s">
        <v>2413</v>
      </c>
      <c r="F5280" t="s">
        <v>34</v>
      </c>
      <c r="G5280" t="s">
        <v>39</v>
      </c>
      <c r="H5280" t="s">
        <v>51</v>
      </c>
      <c r="I5280" t="s">
        <v>26</v>
      </c>
      <c r="J5280" t="s">
        <v>27</v>
      </c>
      <c r="K5280" t="s">
        <v>32</v>
      </c>
      <c r="L5280" s="2">
        <v>6.4</v>
      </c>
      <c r="M5280" s="3">
        <v>1194</v>
      </c>
      <c r="N5280">
        <v>5</v>
      </c>
      <c r="O5280">
        <v>4</v>
      </c>
      <c r="P5280">
        <v>1</v>
      </c>
      <c r="Q5280">
        <v>0</v>
      </c>
      <c r="R5280" s="4">
        <v>19.95</v>
      </c>
      <c r="S5280">
        <v>0</v>
      </c>
      <c r="T5280">
        <v>1</v>
      </c>
    </row>
    <row r="5281" spans="1:20" ht="16.5" x14ac:dyDescent="0.3">
      <c r="A5281" t="s">
        <v>5335</v>
      </c>
      <c r="B5281" s="1">
        <v>45994</v>
      </c>
      <c r="C5281">
        <v>2025</v>
      </c>
      <c r="D5281" t="s">
        <v>1873</v>
      </c>
      <c r="E5281" t="s">
        <v>2413</v>
      </c>
      <c r="F5281" t="s">
        <v>23</v>
      </c>
      <c r="G5281" t="s">
        <v>35</v>
      </c>
      <c r="H5281" t="s">
        <v>36</v>
      </c>
      <c r="I5281" t="s">
        <v>31</v>
      </c>
      <c r="J5281" t="s">
        <v>27</v>
      </c>
      <c r="K5281" t="s">
        <v>32</v>
      </c>
      <c r="L5281" s="2">
        <v>8.9</v>
      </c>
      <c r="M5281" s="3">
        <v>289</v>
      </c>
      <c r="N5281">
        <v>5</v>
      </c>
      <c r="O5281">
        <v>5</v>
      </c>
      <c r="P5281">
        <v>1</v>
      </c>
      <c r="Q5281">
        <v>0</v>
      </c>
      <c r="R5281" s="4">
        <v>11.51</v>
      </c>
      <c r="S5281">
        <v>1</v>
      </c>
      <c r="T5281">
        <v>1</v>
      </c>
    </row>
    <row r="5282" spans="1:20" ht="16.5" x14ac:dyDescent="0.3">
      <c r="A5282" t="s">
        <v>5336</v>
      </c>
      <c r="B5282" s="1">
        <v>45994</v>
      </c>
      <c r="C5282">
        <v>2025</v>
      </c>
      <c r="D5282" t="s">
        <v>1873</v>
      </c>
      <c r="E5282" t="s">
        <v>2413</v>
      </c>
      <c r="F5282" t="s">
        <v>34</v>
      </c>
      <c r="G5282" t="s">
        <v>35</v>
      </c>
      <c r="H5282" t="s">
        <v>51</v>
      </c>
      <c r="I5282" t="s">
        <v>26</v>
      </c>
      <c r="J5282" t="s">
        <v>27</v>
      </c>
      <c r="K5282" t="s">
        <v>28</v>
      </c>
      <c r="L5282" s="2">
        <v>154.30000000000001</v>
      </c>
      <c r="M5282" s="3">
        <v>1147</v>
      </c>
      <c r="N5282">
        <v>5</v>
      </c>
      <c r="O5282">
        <v>5</v>
      </c>
      <c r="P5282">
        <v>1</v>
      </c>
      <c r="Q5282">
        <v>0</v>
      </c>
      <c r="R5282" s="4">
        <v>72.28</v>
      </c>
      <c r="S5282">
        <v>0</v>
      </c>
      <c r="T5282">
        <v>1</v>
      </c>
    </row>
    <row r="5283" spans="1:20" ht="16.5" x14ac:dyDescent="0.3">
      <c r="A5283" t="s">
        <v>5337</v>
      </c>
      <c r="B5283" s="1">
        <v>45994</v>
      </c>
      <c r="C5283">
        <v>2025</v>
      </c>
      <c r="D5283" t="s">
        <v>1873</v>
      </c>
      <c r="E5283" t="s">
        <v>2413</v>
      </c>
      <c r="F5283" t="s">
        <v>34</v>
      </c>
      <c r="G5283" t="s">
        <v>35</v>
      </c>
      <c r="H5283" t="s">
        <v>25</v>
      </c>
      <c r="I5283" t="s">
        <v>31</v>
      </c>
      <c r="J5283" t="s">
        <v>27</v>
      </c>
      <c r="K5283" t="s">
        <v>32</v>
      </c>
      <c r="L5283" s="2">
        <v>6.9</v>
      </c>
      <c r="M5283" s="3">
        <v>929</v>
      </c>
      <c r="N5283">
        <v>6</v>
      </c>
      <c r="O5283">
        <v>5</v>
      </c>
      <c r="P5283">
        <v>1</v>
      </c>
      <c r="Q5283">
        <v>0</v>
      </c>
      <c r="R5283" s="4">
        <v>12.74</v>
      </c>
      <c r="S5283">
        <v>0</v>
      </c>
      <c r="T5283">
        <v>1</v>
      </c>
    </row>
    <row r="5284" spans="1:20" ht="16.5" x14ac:dyDescent="0.3">
      <c r="A5284" t="s">
        <v>5338</v>
      </c>
      <c r="B5284" s="1">
        <v>45994</v>
      </c>
      <c r="C5284">
        <v>2025</v>
      </c>
      <c r="D5284" t="s">
        <v>1873</v>
      </c>
      <c r="E5284" t="s">
        <v>2413</v>
      </c>
      <c r="F5284" t="s">
        <v>34</v>
      </c>
      <c r="G5284" t="s">
        <v>39</v>
      </c>
      <c r="H5284" t="s">
        <v>48</v>
      </c>
      <c r="I5284" t="s">
        <v>26</v>
      </c>
      <c r="J5284" t="s">
        <v>27</v>
      </c>
      <c r="K5284" t="s">
        <v>28</v>
      </c>
      <c r="L5284" s="2">
        <v>42.8</v>
      </c>
      <c r="M5284" s="3">
        <v>614</v>
      </c>
      <c r="N5284">
        <v>4</v>
      </c>
      <c r="O5284">
        <v>3</v>
      </c>
      <c r="P5284">
        <v>1</v>
      </c>
      <c r="Q5284">
        <v>0</v>
      </c>
      <c r="R5284" s="4">
        <v>30.38</v>
      </c>
      <c r="S5284">
        <v>0</v>
      </c>
      <c r="T5284">
        <v>1</v>
      </c>
    </row>
    <row r="5285" spans="1:20" ht="16.5" x14ac:dyDescent="0.3">
      <c r="A5285" t="s">
        <v>5339</v>
      </c>
      <c r="B5285" s="1">
        <v>45994</v>
      </c>
      <c r="C5285">
        <v>2025</v>
      </c>
      <c r="D5285" t="s">
        <v>1873</v>
      </c>
      <c r="E5285" t="s">
        <v>2413</v>
      </c>
      <c r="F5285" t="s">
        <v>30</v>
      </c>
      <c r="G5285" t="s">
        <v>35</v>
      </c>
      <c r="H5285" t="s">
        <v>25</v>
      </c>
      <c r="I5285" t="s">
        <v>31</v>
      </c>
      <c r="J5285" t="s">
        <v>27</v>
      </c>
      <c r="K5285" t="s">
        <v>28</v>
      </c>
      <c r="L5285" s="2">
        <v>181.2</v>
      </c>
      <c r="M5285" s="3">
        <v>979</v>
      </c>
      <c r="N5285">
        <v>6</v>
      </c>
      <c r="O5285">
        <v>6</v>
      </c>
      <c r="P5285">
        <v>1</v>
      </c>
      <c r="Q5285">
        <v>0</v>
      </c>
      <c r="R5285" s="4">
        <v>74.05</v>
      </c>
      <c r="S5285">
        <v>0</v>
      </c>
      <c r="T5285">
        <v>1</v>
      </c>
    </row>
    <row r="5286" spans="1:20" ht="16.5" x14ac:dyDescent="0.3">
      <c r="A5286" t="s">
        <v>5340</v>
      </c>
      <c r="B5286" s="1">
        <v>45994</v>
      </c>
      <c r="C5286">
        <v>2025</v>
      </c>
      <c r="D5286" t="s">
        <v>1873</v>
      </c>
      <c r="E5286" t="s">
        <v>2413</v>
      </c>
      <c r="F5286" t="s">
        <v>57</v>
      </c>
      <c r="G5286" t="s">
        <v>35</v>
      </c>
      <c r="H5286" t="s">
        <v>48</v>
      </c>
      <c r="I5286" t="s">
        <v>40</v>
      </c>
      <c r="J5286" t="s">
        <v>27</v>
      </c>
      <c r="K5286" t="s">
        <v>28</v>
      </c>
      <c r="L5286" s="2">
        <v>161.69999999999999</v>
      </c>
      <c r="M5286" s="3">
        <v>513</v>
      </c>
      <c r="N5286">
        <v>2</v>
      </c>
      <c r="O5286">
        <v>2</v>
      </c>
      <c r="P5286">
        <v>1</v>
      </c>
      <c r="Q5286">
        <v>0</v>
      </c>
      <c r="R5286" s="4">
        <v>147.27000000000001</v>
      </c>
      <c r="S5286">
        <v>0</v>
      </c>
      <c r="T5286">
        <v>1</v>
      </c>
    </row>
    <row r="5287" spans="1:20" ht="16.5" x14ac:dyDescent="0.3">
      <c r="A5287" t="s">
        <v>5341</v>
      </c>
      <c r="B5287" s="1">
        <v>45994</v>
      </c>
      <c r="C5287">
        <v>2025</v>
      </c>
      <c r="D5287" t="s">
        <v>1873</v>
      </c>
      <c r="E5287" t="s">
        <v>2413</v>
      </c>
      <c r="F5287" t="s">
        <v>38</v>
      </c>
      <c r="G5287" t="s">
        <v>24</v>
      </c>
      <c r="H5287" t="s">
        <v>25</v>
      </c>
      <c r="I5287" t="s">
        <v>26</v>
      </c>
      <c r="J5287" t="s">
        <v>27</v>
      </c>
      <c r="K5287" t="s">
        <v>28</v>
      </c>
      <c r="L5287" s="2">
        <v>88.8</v>
      </c>
      <c r="M5287" s="3">
        <v>694</v>
      </c>
      <c r="N5287">
        <v>4</v>
      </c>
      <c r="O5287">
        <v>4</v>
      </c>
      <c r="P5287">
        <v>1</v>
      </c>
      <c r="Q5287">
        <v>0</v>
      </c>
      <c r="R5287" s="4">
        <v>63.25</v>
      </c>
      <c r="S5287">
        <v>0</v>
      </c>
      <c r="T5287">
        <v>1</v>
      </c>
    </row>
    <row r="5288" spans="1:20" ht="16.5" x14ac:dyDescent="0.3">
      <c r="A5288" t="s">
        <v>5342</v>
      </c>
      <c r="B5288" s="1">
        <v>45994</v>
      </c>
      <c r="C5288">
        <v>2025</v>
      </c>
      <c r="D5288" t="s">
        <v>1873</v>
      </c>
      <c r="E5288" t="s">
        <v>2413</v>
      </c>
      <c r="F5288" t="s">
        <v>57</v>
      </c>
      <c r="G5288" t="s">
        <v>39</v>
      </c>
      <c r="H5288" t="s">
        <v>48</v>
      </c>
      <c r="I5288" t="s">
        <v>40</v>
      </c>
      <c r="J5288" t="s">
        <v>27</v>
      </c>
      <c r="K5288" t="s">
        <v>32</v>
      </c>
      <c r="L5288" s="2">
        <v>2.4</v>
      </c>
      <c r="M5288" s="3">
        <v>365</v>
      </c>
      <c r="N5288">
        <v>2</v>
      </c>
      <c r="O5288">
        <v>1</v>
      </c>
      <c r="P5288">
        <v>1</v>
      </c>
      <c r="Q5288">
        <v>0</v>
      </c>
      <c r="R5288" s="4">
        <v>23.78</v>
      </c>
      <c r="S5288">
        <v>0</v>
      </c>
      <c r="T5288">
        <v>1</v>
      </c>
    </row>
    <row r="5289" spans="1:20" ht="16.5" x14ac:dyDescent="0.3">
      <c r="A5289" t="s">
        <v>5343</v>
      </c>
      <c r="B5289" s="1">
        <v>45994</v>
      </c>
      <c r="C5289">
        <v>2025</v>
      </c>
      <c r="D5289" t="s">
        <v>1873</v>
      </c>
      <c r="E5289" t="s">
        <v>2413</v>
      </c>
      <c r="F5289" t="s">
        <v>30</v>
      </c>
      <c r="G5289" t="s">
        <v>35</v>
      </c>
      <c r="H5289" t="s">
        <v>43</v>
      </c>
      <c r="I5289" t="s">
        <v>31</v>
      </c>
      <c r="J5289" t="s">
        <v>27</v>
      </c>
      <c r="K5289" t="s">
        <v>32</v>
      </c>
      <c r="L5289" s="2">
        <v>4.9000000000000004</v>
      </c>
      <c r="M5289" s="3">
        <v>1174</v>
      </c>
      <c r="N5289">
        <v>7</v>
      </c>
      <c r="O5289">
        <v>9</v>
      </c>
      <c r="P5289">
        <v>0</v>
      </c>
      <c r="Q5289">
        <v>2</v>
      </c>
      <c r="R5289" s="4">
        <v>18.48</v>
      </c>
      <c r="S5289">
        <v>0</v>
      </c>
      <c r="T5289">
        <v>1</v>
      </c>
    </row>
    <row r="5290" spans="1:20" ht="16.5" x14ac:dyDescent="0.3">
      <c r="A5290" t="s">
        <v>5344</v>
      </c>
      <c r="B5290" s="1">
        <v>45994</v>
      </c>
      <c r="C5290">
        <v>2025</v>
      </c>
      <c r="D5290" t="s">
        <v>1873</v>
      </c>
      <c r="E5290" t="s">
        <v>2413</v>
      </c>
      <c r="F5290" t="s">
        <v>38</v>
      </c>
      <c r="G5290" t="s">
        <v>35</v>
      </c>
      <c r="H5290" t="s">
        <v>36</v>
      </c>
      <c r="I5290" t="s">
        <v>31</v>
      </c>
      <c r="J5290" t="s">
        <v>27</v>
      </c>
      <c r="K5290" t="s">
        <v>32</v>
      </c>
      <c r="L5290" s="2">
        <v>4</v>
      </c>
      <c r="M5290" s="3">
        <v>203</v>
      </c>
      <c r="N5290">
        <v>5</v>
      </c>
      <c r="O5290">
        <v>5</v>
      </c>
      <c r="P5290">
        <v>1</v>
      </c>
      <c r="Q5290">
        <v>0</v>
      </c>
      <c r="R5290" s="4">
        <v>9.5500000000000007</v>
      </c>
      <c r="S5290">
        <v>0</v>
      </c>
      <c r="T5290">
        <v>1</v>
      </c>
    </row>
    <row r="5291" spans="1:20" ht="16.5" x14ac:dyDescent="0.3">
      <c r="A5291" t="s">
        <v>5345</v>
      </c>
      <c r="B5291" s="1">
        <v>45995</v>
      </c>
      <c r="C5291">
        <v>2025</v>
      </c>
      <c r="D5291" t="s">
        <v>1873</v>
      </c>
      <c r="E5291" t="s">
        <v>2413</v>
      </c>
      <c r="F5291" t="s">
        <v>34</v>
      </c>
      <c r="G5291" t="s">
        <v>39</v>
      </c>
      <c r="H5291" t="s">
        <v>25</v>
      </c>
      <c r="I5291" t="s">
        <v>40</v>
      </c>
      <c r="J5291" t="s">
        <v>41</v>
      </c>
      <c r="K5291" t="s">
        <v>32</v>
      </c>
      <c r="L5291" s="2">
        <v>5.7</v>
      </c>
      <c r="M5291" s="3">
        <v>1205</v>
      </c>
      <c r="N5291">
        <v>2</v>
      </c>
      <c r="O5291">
        <v>4</v>
      </c>
      <c r="P5291">
        <v>0</v>
      </c>
      <c r="Q5291">
        <v>2</v>
      </c>
      <c r="R5291" s="4">
        <v>61.73</v>
      </c>
      <c r="S5291">
        <v>0</v>
      </c>
      <c r="T5291">
        <v>1</v>
      </c>
    </row>
    <row r="5292" spans="1:20" ht="16.5" x14ac:dyDescent="0.3">
      <c r="A5292" t="s">
        <v>5346</v>
      </c>
      <c r="B5292" s="1">
        <v>45995</v>
      </c>
      <c r="C5292">
        <v>2025</v>
      </c>
      <c r="D5292" t="s">
        <v>1873</v>
      </c>
      <c r="E5292" t="s">
        <v>2413</v>
      </c>
      <c r="F5292" t="s">
        <v>38</v>
      </c>
      <c r="G5292" t="s">
        <v>39</v>
      </c>
      <c r="H5292" t="s">
        <v>36</v>
      </c>
      <c r="I5292" t="s">
        <v>40</v>
      </c>
      <c r="J5292" t="s">
        <v>27</v>
      </c>
      <c r="K5292" t="s">
        <v>32</v>
      </c>
      <c r="L5292" s="2">
        <v>1.8</v>
      </c>
      <c r="M5292" s="3">
        <v>234</v>
      </c>
      <c r="N5292">
        <v>1</v>
      </c>
      <c r="O5292">
        <v>2</v>
      </c>
      <c r="P5292">
        <v>0</v>
      </c>
      <c r="Q5292">
        <v>1</v>
      </c>
      <c r="R5292" s="4">
        <v>23.7</v>
      </c>
      <c r="S5292">
        <v>0</v>
      </c>
      <c r="T5292">
        <v>1</v>
      </c>
    </row>
    <row r="5293" spans="1:20" ht="16.5" x14ac:dyDescent="0.3">
      <c r="A5293" t="s">
        <v>5347</v>
      </c>
      <c r="B5293" s="1">
        <v>45995</v>
      </c>
      <c r="C5293">
        <v>2025</v>
      </c>
      <c r="D5293" t="s">
        <v>1873</v>
      </c>
      <c r="E5293" t="s">
        <v>2413</v>
      </c>
      <c r="F5293" t="s">
        <v>34</v>
      </c>
      <c r="G5293" t="s">
        <v>39</v>
      </c>
      <c r="H5293" t="s">
        <v>36</v>
      </c>
      <c r="I5293" t="s">
        <v>26</v>
      </c>
      <c r="J5293" t="s">
        <v>27</v>
      </c>
      <c r="K5293" t="s">
        <v>32</v>
      </c>
      <c r="L5293" s="2">
        <v>8.1999999999999993</v>
      </c>
      <c r="M5293" s="3">
        <v>310</v>
      </c>
      <c r="N5293">
        <v>3</v>
      </c>
      <c r="O5293">
        <v>5</v>
      </c>
      <c r="P5293">
        <v>0</v>
      </c>
      <c r="Q5293">
        <v>2</v>
      </c>
      <c r="R5293" s="4">
        <v>12.72</v>
      </c>
      <c r="S5293">
        <v>0</v>
      </c>
      <c r="T5293">
        <v>1</v>
      </c>
    </row>
    <row r="5294" spans="1:20" ht="16.5" x14ac:dyDescent="0.3">
      <c r="A5294" t="s">
        <v>5348</v>
      </c>
      <c r="B5294" s="1">
        <v>45995</v>
      </c>
      <c r="C5294">
        <v>2025</v>
      </c>
      <c r="D5294" t="s">
        <v>1873</v>
      </c>
      <c r="E5294" t="s">
        <v>2413</v>
      </c>
      <c r="F5294" t="s">
        <v>38</v>
      </c>
      <c r="G5294" t="s">
        <v>24</v>
      </c>
      <c r="H5294" t="s">
        <v>25</v>
      </c>
      <c r="I5294" t="s">
        <v>31</v>
      </c>
      <c r="J5294" t="s">
        <v>27</v>
      </c>
      <c r="K5294" t="s">
        <v>32</v>
      </c>
      <c r="L5294" s="2">
        <v>2.8</v>
      </c>
      <c r="M5294" s="3">
        <v>1028</v>
      </c>
      <c r="N5294">
        <v>6</v>
      </c>
      <c r="O5294">
        <v>6</v>
      </c>
      <c r="P5294">
        <v>1</v>
      </c>
      <c r="Q5294">
        <v>0</v>
      </c>
      <c r="R5294" s="4">
        <v>16.09</v>
      </c>
      <c r="S5294">
        <v>0</v>
      </c>
      <c r="T5294">
        <v>1</v>
      </c>
    </row>
    <row r="5295" spans="1:20" ht="16.5" x14ac:dyDescent="0.3">
      <c r="A5295" t="s">
        <v>5349</v>
      </c>
      <c r="B5295" s="1">
        <v>45995</v>
      </c>
      <c r="C5295">
        <v>2025</v>
      </c>
      <c r="D5295" t="s">
        <v>1873</v>
      </c>
      <c r="E5295" t="s">
        <v>2413</v>
      </c>
      <c r="F5295" t="s">
        <v>30</v>
      </c>
      <c r="G5295" t="s">
        <v>39</v>
      </c>
      <c r="H5295" t="s">
        <v>36</v>
      </c>
      <c r="I5295" t="s">
        <v>26</v>
      </c>
      <c r="J5295" t="s">
        <v>27</v>
      </c>
      <c r="K5295" t="s">
        <v>32</v>
      </c>
      <c r="L5295" s="2">
        <v>2.7</v>
      </c>
      <c r="M5295" s="3">
        <v>247</v>
      </c>
      <c r="N5295">
        <v>3</v>
      </c>
      <c r="O5295">
        <v>3</v>
      </c>
      <c r="P5295">
        <v>1</v>
      </c>
      <c r="Q5295">
        <v>0</v>
      </c>
      <c r="R5295" s="4">
        <v>11.66</v>
      </c>
      <c r="S5295">
        <v>0</v>
      </c>
      <c r="T5295">
        <v>1</v>
      </c>
    </row>
    <row r="5296" spans="1:20" ht="16.5" x14ac:dyDescent="0.3">
      <c r="A5296" t="s">
        <v>5350</v>
      </c>
      <c r="B5296" s="1">
        <v>45995</v>
      </c>
      <c r="C5296">
        <v>2025</v>
      </c>
      <c r="D5296" t="s">
        <v>1873</v>
      </c>
      <c r="E5296" t="s">
        <v>2413</v>
      </c>
      <c r="F5296" t="s">
        <v>38</v>
      </c>
      <c r="G5296" t="s">
        <v>35</v>
      </c>
      <c r="H5296" t="s">
        <v>43</v>
      </c>
      <c r="I5296" t="s">
        <v>31</v>
      </c>
      <c r="J5296" t="s">
        <v>27</v>
      </c>
      <c r="K5296" t="s">
        <v>28</v>
      </c>
      <c r="L5296" s="2">
        <v>245.9</v>
      </c>
      <c r="M5296" s="3">
        <v>1160</v>
      </c>
      <c r="N5296">
        <v>7</v>
      </c>
      <c r="O5296">
        <v>7</v>
      </c>
      <c r="P5296">
        <v>1</v>
      </c>
      <c r="Q5296">
        <v>0</v>
      </c>
      <c r="R5296" s="4">
        <v>94.01</v>
      </c>
      <c r="S5296">
        <v>0</v>
      </c>
      <c r="T5296">
        <v>1</v>
      </c>
    </row>
    <row r="5297" spans="1:20" ht="16.5" x14ac:dyDescent="0.3">
      <c r="A5297" t="s">
        <v>5351</v>
      </c>
      <c r="B5297" s="1">
        <v>45995</v>
      </c>
      <c r="C5297">
        <v>2025</v>
      </c>
      <c r="D5297" t="s">
        <v>1873</v>
      </c>
      <c r="E5297" t="s">
        <v>2413</v>
      </c>
      <c r="F5297" t="s">
        <v>57</v>
      </c>
      <c r="G5297" t="s">
        <v>39</v>
      </c>
      <c r="H5297" t="s">
        <v>36</v>
      </c>
      <c r="I5297" t="s">
        <v>26</v>
      </c>
      <c r="J5297" t="s">
        <v>27</v>
      </c>
      <c r="K5297" t="s">
        <v>28</v>
      </c>
      <c r="L5297" s="2">
        <v>182.4</v>
      </c>
      <c r="M5297" s="3">
        <v>251</v>
      </c>
      <c r="N5297">
        <v>3</v>
      </c>
      <c r="O5297">
        <v>2</v>
      </c>
      <c r="P5297">
        <v>1</v>
      </c>
      <c r="Q5297">
        <v>0</v>
      </c>
      <c r="R5297" s="4">
        <v>87.49</v>
      </c>
      <c r="S5297">
        <v>0</v>
      </c>
      <c r="T5297">
        <v>1</v>
      </c>
    </row>
    <row r="5298" spans="1:20" ht="16.5" x14ac:dyDescent="0.3">
      <c r="A5298" t="s">
        <v>5352</v>
      </c>
      <c r="B5298" s="1">
        <v>45995</v>
      </c>
      <c r="C5298">
        <v>2025</v>
      </c>
      <c r="D5298" t="s">
        <v>1873</v>
      </c>
      <c r="E5298" t="s">
        <v>2413</v>
      </c>
      <c r="F5298" t="s">
        <v>38</v>
      </c>
      <c r="G5298" t="s">
        <v>39</v>
      </c>
      <c r="H5298" t="s">
        <v>48</v>
      </c>
      <c r="I5298" t="s">
        <v>26</v>
      </c>
      <c r="J5298" t="s">
        <v>27</v>
      </c>
      <c r="K5298" t="s">
        <v>28</v>
      </c>
      <c r="L5298" s="2">
        <v>162.30000000000001</v>
      </c>
      <c r="M5298" s="3">
        <v>450</v>
      </c>
      <c r="N5298">
        <v>4</v>
      </c>
      <c r="O5298">
        <v>3</v>
      </c>
      <c r="P5298">
        <v>1</v>
      </c>
      <c r="Q5298">
        <v>0</v>
      </c>
      <c r="R5298" s="4">
        <v>92.54</v>
      </c>
      <c r="S5298">
        <v>0</v>
      </c>
      <c r="T5298">
        <v>1</v>
      </c>
    </row>
    <row r="5299" spans="1:20" ht="16.5" x14ac:dyDescent="0.3">
      <c r="A5299" t="s">
        <v>5353</v>
      </c>
      <c r="B5299" s="1">
        <v>45995</v>
      </c>
      <c r="C5299">
        <v>2025</v>
      </c>
      <c r="D5299" t="s">
        <v>1873</v>
      </c>
      <c r="E5299" t="s">
        <v>2413</v>
      </c>
      <c r="F5299" t="s">
        <v>38</v>
      </c>
      <c r="G5299" t="s">
        <v>39</v>
      </c>
      <c r="H5299" t="s">
        <v>51</v>
      </c>
      <c r="I5299" t="s">
        <v>40</v>
      </c>
      <c r="J5299" t="s">
        <v>41</v>
      </c>
      <c r="K5299" t="s">
        <v>32</v>
      </c>
      <c r="L5299" s="2">
        <v>3.3</v>
      </c>
      <c r="M5299" s="3">
        <v>977</v>
      </c>
      <c r="N5299">
        <v>3</v>
      </c>
      <c r="O5299">
        <v>3</v>
      </c>
      <c r="P5299">
        <v>1</v>
      </c>
      <c r="Q5299">
        <v>0</v>
      </c>
      <c r="R5299" s="4">
        <v>73.02</v>
      </c>
      <c r="S5299">
        <v>0</v>
      </c>
      <c r="T5299">
        <v>1</v>
      </c>
    </row>
    <row r="5300" spans="1:20" ht="16.5" x14ac:dyDescent="0.3">
      <c r="A5300" t="s">
        <v>5354</v>
      </c>
      <c r="B5300" s="1">
        <v>45995</v>
      </c>
      <c r="C5300">
        <v>2025</v>
      </c>
      <c r="D5300" t="s">
        <v>1873</v>
      </c>
      <c r="E5300" t="s">
        <v>2413</v>
      </c>
      <c r="F5300" t="s">
        <v>38</v>
      </c>
      <c r="G5300" t="s">
        <v>24</v>
      </c>
      <c r="H5300" t="s">
        <v>51</v>
      </c>
      <c r="I5300" t="s">
        <v>31</v>
      </c>
      <c r="J5300" t="s">
        <v>27</v>
      </c>
      <c r="K5300" t="s">
        <v>28</v>
      </c>
      <c r="L5300" s="2">
        <v>14</v>
      </c>
      <c r="M5300" s="3">
        <v>1083</v>
      </c>
      <c r="N5300">
        <v>7</v>
      </c>
      <c r="O5300">
        <v>7</v>
      </c>
      <c r="P5300">
        <v>1</v>
      </c>
      <c r="Q5300">
        <v>0</v>
      </c>
      <c r="R5300" s="4">
        <v>23.18</v>
      </c>
      <c r="S5300">
        <v>0</v>
      </c>
      <c r="T5300">
        <v>1</v>
      </c>
    </row>
    <row r="5301" spans="1:20" ht="16.5" x14ac:dyDescent="0.3">
      <c r="A5301" t="s">
        <v>5355</v>
      </c>
      <c r="B5301" s="1">
        <v>45995</v>
      </c>
      <c r="C5301">
        <v>2025</v>
      </c>
      <c r="D5301" t="s">
        <v>1873</v>
      </c>
      <c r="E5301" t="s">
        <v>2413</v>
      </c>
      <c r="F5301" t="s">
        <v>38</v>
      </c>
      <c r="G5301" t="s">
        <v>39</v>
      </c>
      <c r="H5301" t="s">
        <v>48</v>
      </c>
      <c r="I5301" t="s">
        <v>40</v>
      </c>
      <c r="J5301" t="s">
        <v>27</v>
      </c>
      <c r="K5301" t="s">
        <v>28</v>
      </c>
      <c r="L5301" s="2">
        <v>74.400000000000006</v>
      </c>
      <c r="M5301" s="3">
        <v>635</v>
      </c>
      <c r="N5301">
        <v>2</v>
      </c>
      <c r="O5301">
        <v>3</v>
      </c>
      <c r="P5301">
        <v>0</v>
      </c>
      <c r="Q5301">
        <v>1</v>
      </c>
      <c r="R5301" s="4">
        <v>108.29</v>
      </c>
      <c r="S5301">
        <v>0</v>
      </c>
      <c r="T5301">
        <v>1</v>
      </c>
    </row>
    <row r="5302" spans="1:20" ht="16.5" x14ac:dyDescent="0.3">
      <c r="A5302" t="s">
        <v>5356</v>
      </c>
      <c r="B5302" s="1">
        <v>45995</v>
      </c>
      <c r="C5302">
        <v>2025</v>
      </c>
      <c r="D5302" t="s">
        <v>1873</v>
      </c>
      <c r="E5302" t="s">
        <v>2413</v>
      </c>
      <c r="F5302" t="s">
        <v>23</v>
      </c>
      <c r="G5302" t="s">
        <v>39</v>
      </c>
      <c r="H5302" t="s">
        <v>43</v>
      </c>
      <c r="I5302" t="s">
        <v>26</v>
      </c>
      <c r="J5302" t="s">
        <v>27</v>
      </c>
      <c r="K5302" t="s">
        <v>32</v>
      </c>
      <c r="L5302" s="2">
        <v>7.4</v>
      </c>
      <c r="M5302" s="3">
        <v>1173</v>
      </c>
      <c r="N5302">
        <v>5</v>
      </c>
      <c r="O5302">
        <v>5</v>
      </c>
      <c r="P5302">
        <v>1</v>
      </c>
      <c r="Q5302">
        <v>0</v>
      </c>
      <c r="R5302" s="4">
        <v>24.98</v>
      </c>
      <c r="S5302">
        <v>0</v>
      </c>
      <c r="T5302">
        <v>1</v>
      </c>
    </row>
    <row r="5303" spans="1:20" ht="16.5" x14ac:dyDescent="0.3">
      <c r="A5303" t="s">
        <v>5357</v>
      </c>
      <c r="B5303" s="1">
        <v>45995</v>
      </c>
      <c r="C5303">
        <v>2025</v>
      </c>
      <c r="D5303" t="s">
        <v>1873</v>
      </c>
      <c r="E5303" t="s">
        <v>2413</v>
      </c>
      <c r="F5303" t="s">
        <v>57</v>
      </c>
      <c r="G5303" t="s">
        <v>35</v>
      </c>
      <c r="H5303" t="s">
        <v>48</v>
      </c>
      <c r="I5303" t="s">
        <v>40</v>
      </c>
      <c r="J5303" t="s">
        <v>27</v>
      </c>
      <c r="K5303" t="s">
        <v>28</v>
      </c>
      <c r="L5303" s="2">
        <v>76.5</v>
      </c>
      <c r="M5303" s="3">
        <v>445</v>
      </c>
      <c r="N5303">
        <v>2</v>
      </c>
      <c r="O5303">
        <v>2</v>
      </c>
      <c r="P5303">
        <v>1</v>
      </c>
      <c r="Q5303">
        <v>0</v>
      </c>
      <c r="R5303" s="4">
        <v>90.28</v>
      </c>
      <c r="S5303">
        <v>0</v>
      </c>
      <c r="T5303">
        <v>1</v>
      </c>
    </row>
    <row r="5304" spans="1:20" ht="16.5" x14ac:dyDescent="0.3">
      <c r="A5304" t="s">
        <v>5358</v>
      </c>
      <c r="B5304" s="1">
        <v>45995</v>
      </c>
      <c r="C5304">
        <v>2025</v>
      </c>
      <c r="D5304" t="s">
        <v>1873</v>
      </c>
      <c r="E5304" t="s">
        <v>2413</v>
      </c>
      <c r="F5304" t="s">
        <v>38</v>
      </c>
      <c r="G5304" t="s">
        <v>39</v>
      </c>
      <c r="H5304" t="s">
        <v>48</v>
      </c>
      <c r="I5304" t="s">
        <v>26</v>
      </c>
      <c r="J5304" t="s">
        <v>27</v>
      </c>
      <c r="K5304" t="s">
        <v>28</v>
      </c>
      <c r="L5304" s="2">
        <v>30.5</v>
      </c>
      <c r="M5304" s="3">
        <v>505</v>
      </c>
      <c r="N5304">
        <v>4</v>
      </c>
      <c r="O5304">
        <v>4</v>
      </c>
      <c r="P5304">
        <v>1</v>
      </c>
      <c r="Q5304">
        <v>0</v>
      </c>
      <c r="R5304" s="4">
        <v>35.56</v>
      </c>
      <c r="S5304">
        <v>0</v>
      </c>
      <c r="T5304">
        <v>1</v>
      </c>
    </row>
    <row r="5305" spans="1:20" ht="16.5" x14ac:dyDescent="0.3">
      <c r="A5305" t="s">
        <v>5359</v>
      </c>
      <c r="B5305" s="1">
        <v>45995</v>
      </c>
      <c r="C5305">
        <v>2025</v>
      </c>
      <c r="D5305" t="s">
        <v>1873</v>
      </c>
      <c r="E5305" t="s">
        <v>2413</v>
      </c>
      <c r="F5305" t="s">
        <v>34</v>
      </c>
      <c r="G5305" t="s">
        <v>39</v>
      </c>
      <c r="H5305" t="s">
        <v>25</v>
      </c>
      <c r="I5305" t="s">
        <v>31</v>
      </c>
      <c r="J5305" t="s">
        <v>27</v>
      </c>
      <c r="K5305" t="s">
        <v>28</v>
      </c>
      <c r="L5305" s="2">
        <v>199.5</v>
      </c>
      <c r="M5305" s="3">
        <v>895</v>
      </c>
      <c r="N5305">
        <v>6</v>
      </c>
      <c r="O5305">
        <v>6</v>
      </c>
      <c r="P5305">
        <v>1</v>
      </c>
      <c r="Q5305">
        <v>0</v>
      </c>
      <c r="R5305" s="4">
        <v>53.32</v>
      </c>
      <c r="S5305">
        <v>0</v>
      </c>
      <c r="T5305">
        <v>1</v>
      </c>
    </row>
    <row r="5306" spans="1:20" ht="16.5" x14ac:dyDescent="0.3">
      <c r="A5306" t="s">
        <v>5360</v>
      </c>
      <c r="B5306" s="1">
        <v>45995</v>
      </c>
      <c r="C5306">
        <v>2025</v>
      </c>
      <c r="D5306" t="s">
        <v>1873</v>
      </c>
      <c r="E5306" t="s">
        <v>2413</v>
      </c>
      <c r="F5306" t="s">
        <v>57</v>
      </c>
      <c r="G5306" t="s">
        <v>39</v>
      </c>
      <c r="H5306" t="s">
        <v>48</v>
      </c>
      <c r="I5306" t="s">
        <v>40</v>
      </c>
      <c r="J5306" t="s">
        <v>27</v>
      </c>
      <c r="K5306" t="s">
        <v>32</v>
      </c>
      <c r="L5306" s="2">
        <v>1.8</v>
      </c>
      <c r="M5306" s="3">
        <v>389</v>
      </c>
      <c r="N5306">
        <v>2</v>
      </c>
      <c r="O5306">
        <v>2</v>
      </c>
      <c r="P5306">
        <v>1</v>
      </c>
      <c r="Q5306">
        <v>0</v>
      </c>
      <c r="R5306" s="4">
        <v>21.16</v>
      </c>
      <c r="S5306">
        <v>0</v>
      </c>
      <c r="T5306">
        <v>1</v>
      </c>
    </row>
    <row r="5307" spans="1:20" ht="16.5" x14ac:dyDescent="0.3">
      <c r="A5307" t="s">
        <v>5361</v>
      </c>
      <c r="B5307" s="1">
        <v>45996</v>
      </c>
      <c r="C5307">
        <v>2025</v>
      </c>
      <c r="D5307" t="s">
        <v>1873</v>
      </c>
      <c r="E5307" t="s">
        <v>2413</v>
      </c>
      <c r="F5307" t="s">
        <v>57</v>
      </c>
      <c r="G5307" t="s">
        <v>35</v>
      </c>
      <c r="H5307" t="s">
        <v>51</v>
      </c>
      <c r="I5307" t="s">
        <v>26</v>
      </c>
      <c r="J5307" t="s">
        <v>27</v>
      </c>
      <c r="K5307" t="s">
        <v>32</v>
      </c>
      <c r="L5307" s="2">
        <v>1.5</v>
      </c>
      <c r="M5307" s="3">
        <v>1075</v>
      </c>
      <c r="N5307">
        <v>5</v>
      </c>
      <c r="O5307">
        <v>4</v>
      </c>
      <c r="P5307">
        <v>1</v>
      </c>
      <c r="Q5307">
        <v>0</v>
      </c>
      <c r="R5307" s="4">
        <v>19.28</v>
      </c>
      <c r="S5307">
        <v>0</v>
      </c>
      <c r="T5307">
        <v>1</v>
      </c>
    </row>
    <row r="5308" spans="1:20" ht="16.5" x14ac:dyDescent="0.3">
      <c r="A5308" t="s">
        <v>5362</v>
      </c>
      <c r="B5308" s="1">
        <v>45996</v>
      </c>
      <c r="C5308">
        <v>2025</v>
      </c>
      <c r="D5308" t="s">
        <v>1873</v>
      </c>
      <c r="E5308" t="s">
        <v>2413</v>
      </c>
      <c r="F5308" t="s">
        <v>57</v>
      </c>
      <c r="G5308" t="s">
        <v>39</v>
      </c>
      <c r="H5308" t="s">
        <v>43</v>
      </c>
      <c r="I5308" t="s">
        <v>26</v>
      </c>
      <c r="J5308" t="s">
        <v>27</v>
      </c>
      <c r="K5308" t="s">
        <v>32</v>
      </c>
      <c r="L5308" s="2">
        <v>7.7</v>
      </c>
      <c r="M5308" s="3">
        <v>820</v>
      </c>
      <c r="N5308">
        <v>5</v>
      </c>
      <c r="O5308">
        <v>5</v>
      </c>
      <c r="P5308">
        <v>1</v>
      </c>
      <c r="Q5308">
        <v>0</v>
      </c>
      <c r="R5308" s="4">
        <v>19.010000000000002</v>
      </c>
      <c r="S5308">
        <v>0</v>
      </c>
      <c r="T5308">
        <v>1</v>
      </c>
    </row>
    <row r="5309" spans="1:20" ht="16.5" x14ac:dyDescent="0.3">
      <c r="A5309" t="s">
        <v>5363</v>
      </c>
      <c r="B5309" s="1">
        <v>45996</v>
      </c>
      <c r="C5309">
        <v>2025</v>
      </c>
      <c r="D5309" t="s">
        <v>1873</v>
      </c>
      <c r="E5309" t="s">
        <v>2413</v>
      </c>
      <c r="F5309" t="s">
        <v>34</v>
      </c>
      <c r="G5309" t="s">
        <v>39</v>
      </c>
      <c r="H5309" t="s">
        <v>36</v>
      </c>
      <c r="I5309" t="s">
        <v>31</v>
      </c>
      <c r="J5309" t="s">
        <v>27</v>
      </c>
      <c r="K5309" t="s">
        <v>32</v>
      </c>
      <c r="L5309" s="2">
        <v>6.8</v>
      </c>
      <c r="M5309" s="3">
        <v>212</v>
      </c>
      <c r="N5309">
        <v>5</v>
      </c>
      <c r="O5309">
        <v>5</v>
      </c>
      <c r="P5309">
        <v>1</v>
      </c>
      <c r="Q5309">
        <v>0</v>
      </c>
      <c r="R5309" s="4">
        <v>7.8</v>
      </c>
      <c r="S5309">
        <v>0</v>
      </c>
      <c r="T5309">
        <v>1</v>
      </c>
    </row>
    <row r="5310" spans="1:20" ht="16.5" x14ac:dyDescent="0.3">
      <c r="A5310" t="s">
        <v>5364</v>
      </c>
      <c r="B5310" s="1">
        <v>45996</v>
      </c>
      <c r="C5310">
        <v>2025</v>
      </c>
      <c r="D5310" t="s">
        <v>1873</v>
      </c>
      <c r="E5310" t="s">
        <v>2413</v>
      </c>
      <c r="F5310" t="s">
        <v>38</v>
      </c>
      <c r="G5310" t="s">
        <v>39</v>
      </c>
      <c r="H5310" t="s">
        <v>25</v>
      </c>
      <c r="I5310" t="s">
        <v>26</v>
      </c>
      <c r="J5310" t="s">
        <v>27</v>
      </c>
      <c r="K5310" t="s">
        <v>28</v>
      </c>
      <c r="L5310" s="2">
        <v>410.3</v>
      </c>
      <c r="M5310" s="3">
        <v>780</v>
      </c>
      <c r="N5310">
        <v>4</v>
      </c>
      <c r="O5310">
        <v>4</v>
      </c>
      <c r="P5310">
        <v>1</v>
      </c>
      <c r="Q5310">
        <v>0</v>
      </c>
      <c r="R5310" s="4">
        <v>180.21</v>
      </c>
      <c r="S5310">
        <v>0</v>
      </c>
      <c r="T5310">
        <v>1</v>
      </c>
    </row>
    <row r="5311" spans="1:20" ht="16.5" x14ac:dyDescent="0.3">
      <c r="A5311" t="s">
        <v>5365</v>
      </c>
      <c r="B5311" s="1">
        <v>45996</v>
      </c>
      <c r="C5311">
        <v>2025</v>
      </c>
      <c r="D5311" t="s">
        <v>1873</v>
      </c>
      <c r="E5311" t="s">
        <v>2413</v>
      </c>
      <c r="F5311" t="s">
        <v>23</v>
      </c>
      <c r="G5311" t="s">
        <v>24</v>
      </c>
      <c r="H5311" t="s">
        <v>48</v>
      </c>
      <c r="I5311" t="s">
        <v>26</v>
      </c>
      <c r="J5311" t="s">
        <v>27</v>
      </c>
      <c r="K5311" t="s">
        <v>28</v>
      </c>
      <c r="L5311" s="2">
        <v>185.9</v>
      </c>
      <c r="M5311" s="3">
        <v>414</v>
      </c>
      <c r="N5311">
        <v>4</v>
      </c>
      <c r="O5311">
        <v>5</v>
      </c>
      <c r="P5311">
        <v>0</v>
      </c>
      <c r="Q5311">
        <v>1</v>
      </c>
      <c r="R5311" s="4">
        <v>82.83</v>
      </c>
      <c r="S5311">
        <v>0</v>
      </c>
      <c r="T5311">
        <v>1</v>
      </c>
    </row>
    <row r="5312" spans="1:20" ht="16.5" x14ac:dyDescent="0.3">
      <c r="A5312" t="s">
        <v>5366</v>
      </c>
      <c r="B5312" s="1">
        <v>45996</v>
      </c>
      <c r="C5312">
        <v>2025</v>
      </c>
      <c r="D5312" t="s">
        <v>1873</v>
      </c>
      <c r="E5312" t="s">
        <v>2413</v>
      </c>
      <c r="F5312" t="s">
        <v>57</v>
      </c>
      <c r="G5312" t="s">
        <v>39</v>
      </c>
      <c r="H5312" t="s">
        <v>48</v>
      </c>
      <c r="I5312" t="s">
        <v>26</v>
      </c>
      <c r="J5312" t="s">
        <v>27</v>
      </c>
      <c r="K5312" t="s">
        <v>32</v>
      </c>
      <c r="L5312" s="2">
        <v>1.1000000000000001</v>
      </c>
      <c r="M5312" s="3">
        <v>504</v>
      </c>
      <c r="N5312">
        <v>4</v>
      </c>
      <c r="O5312">
        <v>4</v>
      </c>
      <c r="P5312">
        <v>1</v>
      </c>
      <c r="Q5312">
        <v>0</v>
      </c>
      <c r="R5312" s="4">
        <v>13.09</v>
      </c>
      <c r="S5312">
        <v>0</v>
      </c>
      <c r="T5312">
        <v>1</v>
      </c>
    </row>
    <row r="5313" spans="1:20" ht="16.5" x14ac:dyDescent="0.3">
      <c r="A5313" t="s">
        <v>5367</v>
      </c>
      <c r="B5313" s="1">
        <v>45996</v>
      </c>
      <c r="C5313">
        <v>2025</v>
      </c>
      <c r="D5313" t="s">
        <v>1873</v>
      </c>
      <c r="E5313" t="s">
        <v>2413</v>
      </c>
      <c r="F5313" t="s">
        <v>57</v>
      </c>
      <c r="G5313" t="s">
        <v>24</v>
      </c>
      <c r="H5313" t="s">
        <v>36</v>
      </c>
      <c r="I5313" t="s">
        <v>26</v>
      </c>
      <c r="J5313" t="s">
        <v>27</v>
      </c>
      <c r="K5313" t="s">
        <v>32</v>
      </c>
      <c r="L5313" s="2">
        <v>1.8</v>
      </c>
      <c r="M5313" s="3">
        <v>244</v>
      </c>
      <c r="N5313">
        <v>3</v>
      </c>
      <c r="O5313">
        <v>3</v>
      </c>
      <c r="P5313">
        <v>1</v>
      </c>
      <c r="Q5313">
        <v>0</v>
      </c>
      <c r="R5313" s="4">
        <v>10.91</v>
      </c>
      <c r="S5313">
        <v>0</v>
      </c>
      <c r="T5313">
        <v>1</v>
      </c>
    </row>
    <row r="5314" spans="1:20" ht="16.5" x14ac:dyDescent="0.3">
      <c r="A5314" t="s">
        <v>5368</v>
      </c>
      <c r="B5314" s="1">
        <v>45996</v>
      </c>
      <c r="C5314">
        <v>2025</v>
      </c>
      <c r="D5314" t="s">
        <v>1873</v>
      </c>
      <c r="E5314" t="s">
        <v>2413</v>
      </c>
      <c r="F5314" t="s">
        <v>30</v>
      </c>
      <c r="G5314" t="s">
        <v>39</v>
      </c>
      <c r="H5314" t="s">
        <v>25</v>
      </c>
      <c r="I5314" t="s">
        <v>26</v>
      </c>
      <c r="J5314" t="s">
        <v>27</v>
      </c>
      <c r="K5314" t="s">
        <v>32</v>
      </c>
      <c r="L5314" s="2">
        <v>1.3</v>
      </c>
      <c r="M5314" s="3">
        <v>794</v>
      </c>
      <c r="N5314">
        <v>4</v>
      </c>
      <c r="O5314">
        <v>4</v>
      </c>
      <c r="P5314">
        <v>1</v>
      </c>
      <c r="Q5314">
        <v>0</v>
      </c>
      <c r="R5314" s="4">
        <v>18.399999999999999</v>
      </c>
      <c r="S5314">
        <v>0</v>
      </c>
      <c r="T5314">
        <v>1</v>
      </c>
    </row>
    <row r="5315" spans="1:20" ht="16.5" x14ac:dyDescent="0.3">
      <c r="A5315" t="s">
        <v>5369</v>
      </c>
      <c r="B5315" s="1">
        <v>45996</v>
      </c>
      <c r="C5315">
        <v>2025</v>
      </c>
      <c r="D5315" t="s">
        <v>1873</v>
      </c>
      <c r="E5315" t="s">
        <v>2413</v>
      </c>
      <c r="F5315" t="s">
        <v>38</v>
      </c>
      <c r="G5315" t="s">
        <v>39</v>
      </c>
      <c r="H5315" t="s">
        <v>36</v>
      </c>
      <c r="I5315" t="s">
        <v>26</v>
      </c>
      <c r="J5315" t="s">
        <v>27</v>
      </c>
      <c r="K5315" t="s">
        <v>28</v>
      </c>
      <c r="L5315" s="2">
        <v>37.5</v>
      </c>
      <c r="M5315" s="3">
        <v>177</v>
      </c>
      <c r="N5315">
        <v>3</v>
      </c>
      <c r="O5315">
        <v>4</v>
      </c>
      <c r="P5315">
        <v>0</v>
      </c>
      <c r="Q5315">
        <v>1</v>
      </c>
      <c r="R5315" s="4">
        <v>34.19</v>
      </c>
      <c r="S5315">
        <v>0</v>
      </c>
      <c r="T5315">
        <v>1</v>
      </c>
    </row>
    <row r="5316" spans="1:20" ht="16.5" x14ac:dyDescent="0.3">
      <c r="A5316" t="s">
        <v>5370</v>
      </c>
      <c r="B5316" s="1">
        <v>45996</v>
      </c>
      <c r="C5316">
        <v>2025</v>
      </c>
      <c r="D5316" t="s">
        <v>1873</v>
      </c>
      <c r="E5316" t="s">
        <v>2413</v>
      </c>
      <c r="F5316" t="s">
        <v>34</v>
      </c>
      <c r="G5316" t="s">
        <v>35</v>
      </c>
      <c r="H5316" t="s">
        <v>48</v>
      </c>
      <c r="I5316" t="s">
        <v>26</v>
      </c>
      <c r="J5316" t="s">
        <v>27</v>
      </c>
      <c r="K5316" t="s">
        <v>32</v>
      </c>
      <c r="L5316" s="2">
        <v>14.7</v>
      </c>
      <c r="M5316" s="3">
        <v>582</v>
      </c>
      <c r="N5316">
        <v>4</v>
      </c>
      <c r="O5316">
        <v>4</v>
      </c>
      <c r="P5316">
        <v>1</v>
      </c>
      <c r="Q5316">
        <v>0</v>
      </c>
      <c r="R5316" s="4">
        <v>19.61</v>
      </c>
      <c r="S5316">
        <v>0</v>
      </c>
      <c r="T5316">
        <v>1</v>
      </c>
    </row>
    <row r="5317" spans="1:20" ht="16.5" x14ac:dyDescent="0.3">
      <c r="A5317" t="s">
        <v>5371</v>
      </c>
      <c r="B5317" s="1">
        <v>45996</v>
      </c>
      <c r="C5317">
        <v>2025</v>
      </c>
      <c r="D5317" t="s">
        <v>1873</v>
      </c>
      <c r="E5317" t="s">
        <v>2413</v>
      </c>
      <c r="F5317" t="s">
        <v>34</v>
      </c>
      <c r="G5317" t="s">
        <v>39</v>
      </c>
      <c r="H5317" t="s">
        <v>43</v>
      </c>
      <c r="I5317" t="s">
        <v>26</v>
      </c>
      <c r="J5317" t="s">
        <v>27</v>
      </c>
      <c r="K5317" t="s">
        <v>32</v>
      </c>
      <c r="L5317" s="2">
        <v>4.4000000000000004</v>
      </c>
      <c r="M5317" s="3">
        <v>1184</v>
      </c>
      <c r="N5317">
        <v>5</v>
      </c>
      <c r="O5317">
        <v>5</v>
      </c>
      <c r="P5317">
        <v>1</v>
      </c>
      <c r="Q5317">
        <v>0</v>
      </c>
      <c r="R5317" s="4">
        <v>21.91</v>
      </c>
      <c r="S5317">
        <v>0</v>
      </c>
      <c r="T5317">
        <v>1</v>
      </c>
    </row>
    <row r="5318" spans="1:20" ht="16.5" x14ac:dyDescent="0.3">
      <c r="A5318" t="s">
        <v>5372</v>
      </c>
      <c r="B5318" s="1">
        <v>45996</v>
      </c>
      <c r="C5318">
        <v>2025</v>
      </c>
      <c r="D5318" t="s">
        <v>1873</v>
      </c>
      <c r="E5318" t="s">
        <v>2413</v>
      </c>
      <c r="F5318" t="s">
        <v>30</v>
      </c>
      <c r="G5318" t="s">
        <v>39</v>
      </c>
      <c r="H5318" t="s">
        <v>36</v>
      </c>
      <c r="I5318" t="s">
        <v>40</v>
      </c>
      <c r="J5318" t="s">
        <v>27</v>
      </c>
      <c r="K5318" t="s">
        <v>32</v>
      </c>
      <c r="L5318" s="2">
        <v>8.6</v>
      </c>
      <c r="M5318" s="3">
        <v>252</v>
      </c>
      <c r="N5318">
        <v>1</v>
      </c>
      <c r="O5318">
        <v>1</v>
      </c>
      <c r="P5318">
        <v>1</v>
      </c>
      <c r="Q5318">
        <v>0</v>
      </c>
      <c r="R5318" s="4">
        <v>30.4</v>
      </c>
      <c r="S5318">
        <v>0</v>
      </c>
      <c r="T5318">
        <v>1</v>
      </c>
    </row>
    <row r="5319" spans="1:20" ht="16.5" x14ac:dyDescent="0.3">
      <c r="A5319" t="s">
        <v>5373</v>
      </c>
      <c r="B5319" s="1">
        <v>45996</v>
      </c>
      <c r="C5319">
        <v>2025</v>
      </c>
      <c r="D5319" t="s">
        <v>1873</v>
      </c>
      <c r="E5319" t="s">
        <v>2413</v>
      </c>
      <c r="F5319" t="s">
        <v>57</v>
      </c>
      <c r="G5319" t="s">
        <v>39</v>
      </c>
      <c r="H5319" t="s">
        <v>25</v>
      </c>
      <c r="I5319" t="s">
        <v>31</v>
      </c>
      <c r="J5319" t="s">
        <v>27</v>
      </c>
      <c r="K5319" t="s">
        <v>32</v>
      </c>
      <c r="L5319" s="2">
        <v>16.8</v>
      </c>
      <c r="M5319" s="3">
        <v>729</v>
      </c>
      <c r="N5319">
        <v>6</v>
      </c>
      <c r="O5319">
        <v>8</v>
      </c>
      <c r="P5319">
        <v>0</v>
      </c>
      <c r="Q5319">
        <v>2</v>
      </c>
      <c r="R5319" s="4">
        <v>17.84</v>
      </c>
      <c r="S5319">
        <v>0</v>
      </c>
      <c r="T5319">
        <v>1</v>
      </c>
    </row>
    <row r="5320" spans="1:20" ht="16.5" x14ac:dyDescent="0.3">
      <c r="A5320" t="s">
        <v>5374</v>
      </c>
      <c r="B5320" s="1">
        <v>45996</v>
      </c>
      <c r="C5320">
        <v>2025</v>
      </c>
      <c r="D5320" t="s">
        <v>1873</v>
      </c>
      <c r="E5320" t="s">
        <v>2413</v>
      </c>
      <c r="F5320" t="s">
        <v>23</v>
      </c>
      <c r="G5320" t="s">
        <v>24</v>
      </c>
      <c r="H5320" t="s">
        <v>43</v>
      </c>
      <c r="I5320" t="s">
        <v>26</v>
      </c>
      <c r="J5320" t="s">
        <v>27</v>
      </c>
      <c r="K5320" t="s">
        <v>32</v>
      </c>
      <c r="L5320" s="2">
        <v>7.5</v>
      </c>
      <c r="M5320" s="3">
        <v>1228</v>
      </c>
      <c r="N5320">
        <v>5</v>
      </c>
      <c r="O5320">
        <v>5</v>
      </c>
      <c r="P5320">
        <v>1</v>
      </c>
      <c r="Q5320">
        <v>0</v>
      </c>
      <c r="R5320" s="4">
        <v>25.82</v>
      </c>
      <c r="S5320">
        <v>0</v>
      </c>
      <c r="T5320">
        <v>1</v>
      </c>
    </row>
    <row r="5321" spans="1:20" ht="16.5" x14ac:dyDescent="0.3">
      <c r="A5321" t="s">
        <v>5375</v>
      </c>
      <c r="B5321" s="1">
        <v>45997</v>
      </c>
      <c r="C5321">
        <v>2025</v>
      </c>
      <c r="D5321" t="s">
        <v>1873</v>
      </c>
      <c r="E5321" t="s">
        <v>2413</v>
      </c>
      <c r="F5321" t="s">
        <v>23</v>
      </c>
      <c r="G5321" t="s">
        <v>39</v>
      </c>
      <c r="H5321" t="s">
        <v>36</v>
      </c>
      <c r="I5321" t="s">
        <v>31</v>
      </c>
      <c r="J5321" t="s">
        <v>27</v>
      </c>
      <c r="K5321" t="s">
        <v>32</v>
      </c>
      <c r="L5321" s="2">
        <v>2.2999999999999998</v>
      </c>
      <c r="M5321" s="3">
        <v>303</v>
      </c>
      <c r="N5321">
        <v>5</v>
      </c>
      <c r="O5321">
        <v>4</v>
      </c>
      <c r="P5321">
        <v>1</v>
      </c>
      <c r="Q5321">
        <v>0</v>
      </c>
      <c r="R5321" s="4">
        <v>7.45</v>
      </c>
      <c r="S5321">
        <v>0</v>
      </c>
      <c r="T5321">
        <v>1</v>
      </c>
    </row>
    <row r="5322" spans="1:20" ht="16.5" x14ac:dyDescent="0.3">
      <c r="A5322" t="s">
        <v>5376</v>
      </c>
      <c r="B5322" s="1">
        <v>45997</v>
      </c>
      <c r="C5322">
        <v>2025</v>
      </c>
      <c r="D5322" t="s">
        <v>1873</v>
      </c>
      <c r="E5322" t="s">
        <v>2413</v>
      </c>
      <c r="F5322" t="s">
        <v>30</v>
      </c>
      <c r="G5322" t="s">
        <v>39</v>
      </c>
      <c r="H5322" t="s">
        <v>25</v>
      </c>
      <c r="I5322" t="s">
        <v>26</v>
      </c>
      <c r="J5322" t="s">
        <v>27</v>
      </c>
      <c r="K5322" t="s">
        <v>32</v>
      </c>
      <c r="L5322" s="2">
        <v>11.3</v>
      </c>
      <c r="M5322" s="3">
        <v>930</v>
      </c>
      <c r="N5322">
        <v>4</v>
      </c>
      <c r="O5322">
        <v>8</v>
      </c>
      <c r="P5322">
        <v>0</v>
      </c>
      <c r="Q5322">
        <v>4</v>
      </c>
      <c r="R5322" s="4">
        <v>23.48</v>
      </c>
      <c r="S5322">
        <v>0</v>
      </c>
      <c r="T5322">
        <v>1</v>
      </c>
    </row>
    <row r="5323" spans="1:20" ht="16.5" x14ac:dyDescent="0.3">
      <c r="A5323" t="s">
        <v>5377</v>
      </c>
      <c r="B5323" s="1">
        <v>45997</v>
      </c>
      <c r="C5323">
        <v>2025</v>
      </c>
      <c r="D5323" t="s">
        <v>1873</v>
      </c>
      <c r="E5323" t="s">
        <v>2413</v>
      </c>
      <c r="F5323" t="s">
        <v>30</v>
      </c>
      <c r="G5323" t="s">
        <v>39</v>
      </c>
      <c r="H5323" t="s">
        <v>51</v>
      </c>
      <c r="I5323" t="s">
        <v>40</v>
      </c>
      <c r="J5323" t="s">
        <v>41</v>
      </c>
      <c r="K5323" t="s">
        <v>32</v>
      </c>
      <c r="L5323" s="2">
        <v>2.2000000000000002</v>
      </c>
      <c r="M5323" s="3">
        <v>951</v>
      </c>
      <c r="N5323">
        <v>3</v>
      </c>
      <c r="O5323">
        <v>3</v>
      </c>
      <c r="P5323">
        <v>1</v>
      </c>
      <c r="Q5323">
        <v>0</v>
      </c>
      <c r="R5323" s="4">
        <v>64.77</v>
      </c>
      <c r="S5323">
        <v>0</v>
      </c>
      <c r="T5323">
        <v>1</v>
      </c>
    </row>
    <row r="5324" spans="1:20" ht="16.5" x14ac:dyDescent="0.3">
      <c r="A5324" t="s">
        <v>5378</v>
      </c>
      <c r="B5324" s="1">
        <v>45998</v>
      </c>
      <c r="C5324">
        <v>2025</v>
      </c>
      <c r="D5324" t="s">
        <v>1873</v>
      </c>
      <c r="E5324" t="s">
        <v>2413</v>
      </c>
      <c r="F5324" t="s">
        <v>57</v>
      </c>
      <c r="G5324" t="s">
        <v>35</v>
      </c>
      <c r="H5324" t="s">
        <v>36</v>
      </c>
      <c r="I5324" t="s">
        <v>26</v>
      </c>
      <c r="J5324" t="s">
        <v>27</v>
      </c>
      <c r="K5324" t="s">
        <v>32</v>
      </c>
      <c r="L5324" s="2">
        <v>8.6</v>
      </c>
      <c r="M5324" s="3">
        <v>233</v>
      </c>
      <c r="N5324">
        <v>3</v>
      </c>
      <c r="O5324">
        <v>5</v>
      </c>
      <c r="P5324">
        <v>0</v>
      </c>
      <c r="Q5324">
        <v>2</v>
      </c>
      <c r="R5324" s="4">
        <v>15.19</v>
      </c>
      <c r="S5324">
        <v>0</v>
      </c>
      <c r="T5324">
        <v>1</v>
      </c>
    </row>
    <row r="5325" spans="1:20" ht="16.5" x14ac:dyDescent="0.3">
      <c r="A5325" t="s">
        <v>5379</v>
      </c>
      <c r="B5325" s="1">
        <v>45998</v>
      </c>
      <c r="C5325">
        <v>2025</v>
      </c>
      <c r="D5325" t="s">
        <v>1873</v>
      </c>
      <c r="E5325" t="s">
        <v>2413</v>
      </c>
      <c r="F5325" t="s">
        <v>38</v>
      </c>
      <c r="G5325" t="s">
        <v>39</v>
      </c>
      <c r="H5325" t="s">
        <v>25</v>
      </c>
      <c r="I5325" t="s">
        <v>31</v>
      </c>
      <c r="J5325" t="s">
        <v>27</v>
      </c>
      <c r="K5325" t="s">
        <v>32</v>
      </c>
      <c r="L5325" s="2">
        <v>8.5</v>
      </c>
      <c r="M5325" s="3">
        <v>854</v>
      </c>
      <c r="N5325">
        <v>6</v>
      </c>
      <c r="O5325">
        <v>6</v>
      </c>
      <c r="P5325">
        <v>1</v>
      </c>
      <c r="Q5325">
        <v>0</v>
      </c>
      <c r="R5325" s="4">
        <v>18.010000000000002</v>
      </c>
      <c r="S5325">
        <v>0</v>
      </c>
      <c r="T5325">
        <v>1</v>
      </c>
    </row>
    <row r="5326" spans="1:20" ht="16.5" x14ac:dyDescent="0.3">
      <c r="A5326" t="s">
        <v>5380</v>
      </c>
      <c r="B5326" s="1">
        <v>45998</v>
      </c>
      <c r="C5326">
        <v>2025</v>
      </c>
      <c r="D5326" t="s">
        <v>1873</v>
      </c>
      <c r="E5326" t="s">
        <v>2413</v>
      </c>
      <c r="F5326" t="s">
        <v>38</v>
      </c>
      <c r="G5326" t="s">
        <v>35</v>
      </c>
      <c r="H5326" t="s">
        <v>48</v>
      </c>
      <c r="I5326" t="s">
        <v>40</v>
      </c>
      <c r="J5326" t="s">
        <v>27</v>
      </c>
      <c r="K5326" t="s">
        <v>32</v>
      </c>
      <c r="L5326" s="2">
        <v>11.4</v>
      </c>
      <c r="M5326" s="3">
        <v>605</v>
      </c>
      <c r="N5326">
        <v>2</v>
      </c>
      <c r="O5326">
        <v>2</v>
      </c>
      <c r="P5326">
        <v>1</v>
      </c>
      <c r="Q5326">
        <v>0</v>
      </c>
      <c r="R5326" s="4">
        <v>45.93</v>
      </c>
      <c r="S5326">
        <v>0</v>
      </c>
      <c r="T5326">
        <v>1</v>
      </c>
    </row>
    <row r="5327" spans="1:20" ht="16.5" x14ac:dyDescent="0.3">
      <c r="A5327" t="s">
        <v>5381</v>
      </c>
      <c r="B5327" s="1">
        <v>45998</v>
      </c>
      <c r="C5327">
        <v>2025</v>
      </c>
      <c r="D5327" t="s">
        <v>1873</v>
      </c>
      <c r="E5327" t="s">
        <v>2413</v>
      </c>
      <c r="F5327" t="s">
        <v>30</v>
      </c>
      <c r="G5327" t="s">
        <v>39</v>
      </c>
      <c r="H5327" t="s">
        <v>25</v>
      </c>
      <c r="I5327" t="s">
        <v>40</v>
      </c>
      <c r="J5327" t="s">
        <v>41</v>
      </c>
      <c r="K5327" t="s">
        <v>28</v>
      </c>
      <c r="L5327" s="2">
        <v>126.5</v>
      </c>
      <c r="M5327" s="3">
        <v>983</v>
      </c>
      <c r="N5327">
        <v>2</v>
      </c>
      <c r="O5327">
        <v>2</v>
      </c>
      <c r="P5327">
        <v>1</v>
      </c>
      <c r="Q5327">
        <v>0</v>
      </c>
      <c r="R5327" s="4">
        <v>227.87</v>
      </c>
      <c r="S5327">
        <v>0</v>
      </c>
      <c r="T5327">
        <v>1</v>
      </c>
    </row>
    <row r="5328" spans="1:20" ht="16.5" x14ac:dyDescent="0.3">
      <c r="A5328" t="s">
        <v>5382</v>
      </c>
      <c r="B5328" s="1">
        <v>45998</v>
      </c>
      <c r="C5328">
        <v>2025</v>
      </c>
      <c r="D5328" t="s">
        <v>1873</v>
      </c>
      <c r="E5328" t="s">
        <v>2413</v>
      </c>
      <c r="F5328" t="s">
        <v>34</v>
      </c>
      <c r="G5328" t="s">
        <v>24</v>
      </c>
      <c r="H5328" t="s">
        <v>51</v>
      </c>
      <c r="I5328" t="s">
        <v>31</v>
      </c>
      <c r="J5328" t="s">
        <v>27</v>
      </c>
      <c r="K5328" t="s">
        <v>32</v>
      </c>
      <c r="L5328" s="2">
        <v>6.1</v>
      </c>
      <c r="M5328" s="3">
        <v>1256</v>
      </c>
      <c r="N5328">
        <v>7</v>
      </c>
      <c r="O5328">
        <v>7</v>
      </c>
      <c r="P5328">
        <v>1</v>
      </c>
      <c r="Q5328">
        <v>0</v>
      </c>
      <c r="R5328" s="4">
        <v>16.59</v>
      </c>
      <c r="S5328">
        <v>0</v>
      </c>
      <c r="T5328">
        <v>1</v>
      </c>
    </row>
    <row r="5329" spans="1:20" ht="16.5" x14ac:dyDescent="0.3">
      <c r="A5329" t="s">
        <v>5383</v>
      </c>
      <c r="B5329" s="1">
        <v>45998</v>
      </c>
      <c r="C5329">
        <v>2025</v>
      </c>
      <c r="D5329" t="s">
        <v>1873</v>
      </c>
      <c r="E5329" t="s">
        <v>2413</v>
      </c>
      <c r="F5329" t="s">
        <v>57</v>
      </c>
      <c r="G5329" t="s">
        <v>39</v>
      </c>
      <c r="H5329" t="s">
        <v>25</v>
      </c>
      <c r="I5329" t="s">
        <v>26</v>
      </c>
      <c r="J5329" t="s">
        <v>27</v>
      </c>
      <c r="K5329" t="s">
        <v>32</v>
      </c>
      <c r="L5329" s="2">
        <v>1.6</v>
      </c>
      <c r="M5329" s="3">
        <v>677</v>
      </c>
      <c r="N5329">
        <v>4</v>
      </c>
      <c r="O5329">
        <v>4</v>
      </c>
      <c r="P5329">
        <v>1</v>
      </c>
      <c r="Q5329">
        <v>0</v>
      </c>
      <c r="R5329" s="4">
        <v>15.81</v>
      </c>
      <c r="S5329">
        <v>0</v>
      </c>
      <c r="T5329">
        <v>1</v>
      </c>
    </row>
    <row r="5330" spans="1:20" ht="16.5" x14ac:dyDescent="0.3">
      <c r="A5330" t="s">
        <v>5384</v>
      </c>
      <c r="B5330" s="1">
        <v>45999</v>
      </c>
      <c r="C5330">
        <v>2025</v>
      </c>
      <c r="D5330" t="s">
        <v>1873</v>
      </c>
      <c r="E5330" t="s">
        <v>2413</v>
      </c>
      <c r="F5330" t="s">
        <v>57</v>
      </c>
      <c r="G5330" t="s">
        <v>39</v>
      </c>
      <c r="H5330" t="s">
        <v>43</v>
      </c>
      <c r="I5330" t="s">
        <v>31</v>
      </c>
      <c r="J5330" t="s">
        <v>27</v>
      </c>
      <c r="K5330" t="s">
        <v>32</v>
      </c>
      <c r="L5330" s="2">
        <v>14.2</v>
      </c>
      <c r="M5330" s="3">
        <v>1156</v>
      </c>
      <c r="N5330">
        <v>7</v>
      </c>
      <c r="O5330">
        <v>9</v>
      </c>
      <c r="P5330">
        <v>0</v>
      </c>
      <c r="Q5330">
        <v>2</v>
      </c>
      <c r="R5330" s="4">
        <v>19.41</v>
      </c>
      <c r="S5330">
        <v>0</v>
      </c>
      <c r="T5330">
        <v>1</v>
      </c>
    </row>
    <row r="5331" spans="1:20" ht="16.5" x14ac:dyDescent="0.3">
      <c r="A5331" t="s">
        <v>5385</v>
      </c>
      <c r="B5331" s="1">
        <v>45999</v>
      </c>
      <c r="C5331">
        <v>2025</v>
      </c>
      <c r="D5331" t="s">
        <v>1873</v>
      </c>
      <c r="E5331" t="s">
        <v>2413</v>
      </c>
      <c r="F5331" t="s">
        <v>57</v>
      </c>
      <c r="G5331" t="s">
        <v>39</v>
      </c>
      <c r="H5331" t="s">
        <v>36</v>
      </c>
      <c r="I5331" t="s">
        <v>40</v>
      </c>
      <c r="J5331" t="s">
        <v>27</v>
      </c>
      <c r="K5331" t="s">
        <v>28</v>
      </c>
      <c r="L5331" s="2">
        <v>180.2</v>
      </c>
      <c r="M5331" s="3">
        <v>232</v>
      </c>
      <c r="N5331">
        <v>1</v>
      </c>
      <c r="O5331">
        <v>5</v>
      </c>
      <c r="P5331">
        <v>0</v>
      </c>
      <c r="Q5331">
        <v>4</v>
      </c>
      <c r="R5331" s="4">
        <v>157.94</v>
      </c>
      <c r="S5331">
        <v>0</v>
      </c>
      <c r="T5331">
        <v>1</v>
      </c>
    </row>
    <row r="5332" spans="1:20" ht="16.5" x14ac:dyDescent="0.3">
      <c r="A5332" t="s">
        <v>5386</v>
      </c>
      <c r="B5332" s="1">
        <v>45999</v>
      </c>
      <c r="C5332">
        <v>2025</v>
      </c>
      <c r="D5332" t="s">
        <v>1873</v>
      </c>
      <c r="E5332" t="s">
        <v>2413</v>
      </c>
      <c r="F5332" t="s">
        <v>23</v>
      </c>
      <c r="G5332" t="s">
        <v>39</v>
      </c>
      <c r="H5332" t="s">
        <v>25</v>
      </c>
      <c r="I5332" t="s">
        <v>31</v>
      </c>
      <c r="J5332" t="s">
        <v>27</v>
      </c>
      <c r="K5332" t="s">
        <v>28</v>
      </c>
      <c r="L5332" s="2">
        <v>166</v>
      </c>
      <c r="M5332" s="3">
        <v>620</v>
      </c>
      <c r="N5332">
        <v>6</v>
      </c>
      <c r="O5332">
        <v>5</v>
      </c>
      <c r="P5332">
        <v>1</v>
      </c>
      <c r="Q5332">
        <v>0</v>
      </c>
      <c r="R5332" s="4">
        <v>60.14</v>
      </c>
      <c r="S5332">
        <v>0</v>
      </c>
      <c r="T5332">
        <v>1</v>
      </c>
    </row>
    <row r="5333" spans="1:20" ht="16.5" x14ac:dyDescent="0.3">
      <c r="A5333" t="s">
        <v>5387</v>
      </c>
      <c r="B5333" s="1">
        <v>45999</v>
      </c>
      <c r="C5333">
        <v>2025</v>
      </c>
      <c r="D5333" t="s">
        <v>1873</v>
      </c>
      <c r="E5333" t="s">
        <v>2413</v>
      </c>
      <c r="F5333" t="s">
        <v>23</v>
      </c>
      <c r="G5333" t="s">
        <v>39</v>
      </c>
      <c r="H5333" t="s">
        <v>36</v>
      </c>
      <c r="I5333" t="s">
        <v>26</v>
      </c>
      <c r="J5333" t="s">
        <v>27</v>
      </c>
      <c r="K5333" t="s">
        <v>32</v>
      </c>
      <c r="L5333" s="2">
        <v>6.7</v>
      </c>
      <c r="M5333" s="3">
        <v>235</v>
      </c>
      <c r="N5333">
        <v>3</v>
      </c>
      <c r="O5333">
        <v>3</v>
      </c>
      <c r="P5333">
        <v>1</v>
      </c>
      <c r="Q5333">
        <v>0</v>
      </c>
      <c r="R5333" s="4">
        <v>13.56</v>
      </c>
      <c r="S5333">
        <v>0</v>
      </c>
      <c r="T5333">
        <v>1</v>
      </c>
    </row>
    <row r="5334" spans="1:20" ht="16.5" x14ac:dyDescent="0.3">
      <c r="A5334" t="s">
        <v>5388</v>
      </c>
      <c r="B5334" s="1">
        <v>45999</v>
      </c>
      <c r="C5334">
        <v>2025</v>
      </c>
      <c r="D5334" t="s">
        <v>1873</v>
      </c>
      <c r="E5334" t="s">
        <v>2413</v>
      </c>
      <c r="F5334" t="s">
        <v>38</v>
      </c>
      <c r="G5334" t="s">
        <v>24</v>
      </c>
      <c r="H5334" t="s">
        <v>48</v>
      </c>
      <c r="I5334" t="s">
        <v>26</v>
      </c>
      <c r="J5334" t="s">
        <v>27</v>
      </c>
      <c r="K5334" t="s">
        <v>32</v>
      </c>
      <c r="L5334" s="2">
        <v>8.1999999999999993</v>
      </c>
      <c r="M5334" s="3">
        <v>584</v>
      </c>
      <c r="N5334">
        <v>4</v>
      </c>
      <c r="O5334">
        <v>4</v>
      </c>
      <c r="P5334">
        <v>1</v>
      </c>
      <c r="Q5334">
        <v>0</v>
      </c>
      <c r="R5334" s="4">
        <v>22.77</v>
      </c>
      <c r="S5334">
        <v>0</v>
      </c>
      <c r="T5334">
        <v>1</v>
      </c>
    </row>
    <row r="5335" spans="1:20" ht="16.5" x14ac:dyDescent="0.3">
      <c r="A5335" t="s">
        <v>5389</v>
      </c>
      <c r="B5335" s="1">
        <v>45999</v>
      </c>
      <c r="C5335">
        <v>2025</v>
      </c>
      <c r="D5335" t="s">
        <v>1873</v>
      </c>
      <c r="E5335" t="s">
        <v>2413</v>
      </c>
      <c r="F5335" t="s">
        <v>38</v>
      </c>
      <c r="G5335" t="s">
        <v>24</v>
      </c>
      <c r="H5335" t="s">
        <v>36</v>
      </c>
      <c r="I5335" t="s">
        <v>26</v>
      </c>
      <c r="J5335" t="s">
        <v>27</v>
      </c>
      <c r="K5335" t="s">
        <v>32</v>
      </c>
      <c r="L5335" s="2">
        <v>22.3</v>
      </c>
      <c r="M5335" s="3">
        <v>162</v>
      </c>
      <c r="N5335">
        <v>3</v>
      </c>
      <c r="O5335">
        <v>2</v>
      </c>
      <c r="P5335">
        <v>1</v>
      </c>
      <c r="Q5335">
        <v>0</v>
      </c>
      <c r="R5335" s="4">
        <v>25.67</v>
      </c>
      <c r="S5335">
        <v>0</v>
      </c>
      <c r="T5335">
        <v>1</v>
      </c>
    </row>
    <row r="5336" spans="1:20" ht="16.5" x14ac:dyDescent="0.3">
      <c r="A5336" t="s">
        <v>5390</v>
      </c>
      <c r="B5336" s="1">
        <v>45999</v>
      </c>
      <c r="C5336">
        <v>2025</v>
      </c>
      <c r="D5336" t="s">
        <v>1873</v>
      </c>
      <c r="E5336" t="s">
        <v>2413</v>
      </c>
      <c r="F5336" t="s">
        <v>57</v>
      </c>
      <c r="G5336" t="s">
        <v>39</v>
      </c>
      <c r="H5336" t="s">
        <v>48</v>
      </c>
      <c r="I5336" t="s">
        <v>31</v>
      </c>
      <c r="J5336" t="s">
        <v>27</v>
      </c>
      <c r="K5336" t="s">
        <v>32</v>
      </c>
      <c r="L5336" s="2">
        <v>4.0999999999999996</v>
      </c>
      <c r="M5336" s="3">
        <v>478</v>
      </c>
      <c r="N5336">
        <v>6</v>
      </c>
      <c r="O5336">
        <v>6</v>
      </c>
      <c r="P5336">
        <v>1</v>
      </c>
      <c r="Q5336">
        <v>0</v>
      </c>
      <c r="R5336" s="4">
        <v>10.5</v>
      </c>
      <c r="S5336">
        <v>0</v>
      </c>
      <c r="T5336">
        <v>1</v>
      </c>
    </row>
    <row r="5337" spans="1:20" ht="16.5" x14ac:dyDescent="0.3">
      <c r="A5337" t="s">
        <v>5391</v>
      </c>
      <c r="B5337" s="1">
        <v>45999</v>
      </c>
      <c r="C5337">
        <v>2025</v>
      </c>
      <c r="D5337" t="s">
        <v>1873</v>
      </c>
      <c r="E5337" t="s">
        <v>2413</v>
      </c>
      <c r="F5337" t="s">
        <v>38</v>
      </c>
      <c r="G5337" t="s">
        <v>39</v>
      </c>
      <c r="H5337" t="s">
        <v>25</v>
      </c>
      <c r="I5337" t="s">
        <v>26</v>
      </c>
      <c r="J5337" t="s">
        <v>27</v>
      </c>
      <c r="K5337" t="s">
        <v>28</v>
      </c>
      <c r="L5337" s="2">
        <v>120.8</v>
      </c>
      <c r="M5337" s="3">
        <v>853</v>
      </c>
      <c r="N5337">
        <v>4</v>
      </c>
      <c r="O5337">
        <v>3</v>
      </c>
      <c r="P5337">
        <v>1</v>
      </c>
      <c r="Q5337">
        <v>0</v>
      </c>
      <c r="R5337" s="4">
        <v>66.040000000000006</v>
      </c>
      <c r="S5337">
        <v>0</v>
      </c>
      <c r="T5337">
        <v>1</v>
      </c>
    </row>
    <row r="5338" spans="1:20" ht="16.5" x14ac:dyDescent="0.3">
      <c r="A5338" t="s">
        <v>5392</v>
      </c>
      <c r="B5338" s="1">
        <v>45999</v>
      </c>
      <c r="C5338">
        <v>2025</v>
      </c>
      <c r="D5338" t="s">
        <v>1873</v>
      </c>
      <c r="E5338" t="s">
        <v>2413</v>
      </c>
      <c r="F5338" t="s">
        <v>57</v>
      </c>
      <c r="G5338" t="s">
        <v>39</v>
      </c>
      <c r="H5338" t="s">
        <v>43</v>
      </c>
      <c r="I5338" t="s">
        <v>26</v>
      </c>
      <c r="J5338" t="s">
        <v>27</v>
      </c>
      <c r="K5338" t="s">
        <v>32</v>
      </c>
      <c r="L5338" s="2">
        <v>4.2</v>
      </c>
      <c r="M5338" s="3">
        <v>849</v>
      </c>
      <c r="N5338">
        <v>5</v>
      </c>
      <c r="O5338">
        <v>5</v>
      </c>
      <c r="P5338">
        <v>1</v>
      </c>
      <c r="Q5338">
        <v>0</v>
      </c>
      <c r="R5338" s="4">
        <v>18.829999999999998</v>
      </c>
      <c r="S5338">
        <v>0</v>
      </c>
      <c r="T5338">
        <v>1</v>
      </c>
    </row>
    <row r="5339" spans="1:20" ht="16.5" x14ac:dyDescent="0.3">
      <c r="A5339" t="s">
        <v>5393</v>
      </c>
      <c r="B5339" s="1">
        <v>45999</v>
      </c>
      <c r="C5339">
        <v>2025</v>
      </c>
      <c r="D5339" t="s">
        <v>1873</v>
      </c>
      <c r="E5339" t="s">
        <v>2413</v>
      </c>
      <c r="F5339" t="s">
        <v>30</v>
      </c>
      <c r="G5339" t="s">
        <v>39</v>
      </c>
      <c r="H5339" t="s">
        <v>48</v>
      </c>
      <c r="I5339" t="s">
        <v>31</v>
      </c>
      <c r="J5339" t="s">
        <v>27</v>
      </c>
      <c r="K5339" t="s">
        <v>32</v>
      </c>
      <c r="L5339" s="2">
        <v>2.9</v>
      </c>
      <c r="M5339" s="3">
        <v>491</v>
      </c>
      <c r="N5339">
        <v>6</v>
      </c>
      <c r="O5339">
        <v>6</v>
      </c>
      <c r="P5339">
        <v>1</v>
      </c>
      <c r="Q5339">
        <v>0</v>
      </c>
      <c r="R5339" s="4">
        <v>11.03</v>
      </c>
      <c r="S5339">
        <v>0</v>
      </c>
      <c r="T5339">
        <v>1</v>
      </c>
    </row>
    <row r="5340" spans="1:20" ht="16.5" x14ac:dyDescent="0.3">
      <c r="A5340" t="s">
        <v>5394</v>
      </c>
      <c r="B5340" s="1">
        <v>45999</v>
      </c>
      <c r="C5340">
        <v>2025</v>
      </c>
      <c r="D5340" t="s">
        <v>1873</v>
      </c>
      <c r="E5340" t="s">
        <v>2413</v>
      </c>
      <c r="F5340" t="s">
        <v>38</v>
      </c>
      <c r="G5340" t="s">
        <v>39</v>
      </c>
      <c r="H5340" t="s">
        <v>25</v>
      </c>
      <c r="I5340" t="s">
        <v>31</v>
      </c>
      <c r="J5340" t="s">
        <v>27</v>
      </c>
      <c r="K5340" t="s">
        <v>32</v>
      </c>
      <c r="L5340" s="2">
        <v>3.2</v>
      </c>
      <c r="M5340" s="3">
        <v>1002</v>
      </c>
      <c r="N5340">
        <v>6</v>
      </c>
      <c r="O5340">
        <v>6</v>
      </c>
      <c r="P5340">
        <v>1</v>
      </c>
      <c r="Q5340">
        <v>0</v>
      </c>
      <c r="R5340" s="4">
        <v>15.62</v>
      </c>
      <c r="S5340">
        <v>0</v>
      </c>
      <c r="T5340">
        <v>1</v>
      </c>
    </row>
    <row r="5341" spans="1:20" ht="16.5" x14ac:dyDescent="0.3">
      <c r="A5341" t="s">
        <v>5395</v>
      </c>
      <c r="B5341" s="1">
        <v>46000</v>
      </c>
      <c r="C5341">
        <v>2025</v>
      </c>
      <c r="D5341" t="s">
        <v>1873</v>
      </c>
      <c r="E5341" t="s">
        <v>2413</v>
      </c>
      <c r="F5341" t="s">
        <v>38</v>
      </c>
      <c r="G5341" t="s">
        <v>39</v>
      </c>
      <c r="H5341" t="s">
        <v>25</v>
      </c>
      <c r="I5341" t="s">
        <v>26</v>
      </c>
      <c r="J5341" t="s">
        <v>27</v>
      </c>
      <c r="K5341" t="s">
        <v>32</v>
      </c>
      <c r="L5341" s="2">
        <v>1.1000000000000001</v>
      </c>
      <c r="M5341" s="3">
        <v>1016</v>
      </c>
      <c r="N5341">
        <v>4</v>
      </c>
      <c r="O5341">
        <v>4</v>
      </c>
      <c r="P5341">
        <v>1</v>
      </c>
      <c r="Q5341">
        <v>0</v>
      </c>
      <c r="R5341" s="4">
        <v>21.25</v>
      </c>
      <c r="S5341">
        <v>0</v>
      </c>
      <c r="T5341">
        <v>1</v>
      </c>
    </row>
    <row r="5342" spans="1:20" ht="16.5" x14ac:dyDescent="0.3">
      <c r="A5342" t="s">
        <v>5396</v>
      </c>
      <c r="B5342" s="1">
        <v>46000</v>
      </c>
      <c r="C5342">
        <v>2025</v>
      </c>
      <c r="D5342" t="s">
        <v>1873</v>
      </c>
      <c r="E5342" t="s">
        <v>2413</v>
      </c>
      <c r="F5342" t="s">
        <v>38</v>
      </c>
      <c r="G5342" t="s">
        <v>35</v>
      </c>
      <c r="H5342" t="s">
        <v>48</v>
      </c>
      <c r="I5342" t="s">
        <v>26</v>
      </c>
      <c r="J5342" t="s">
        <v>27</v>
      </c>
      <c r="K5342" t="s">
        <v>28</v>
      </c>
      <c r="L5342" s="2">
        <v>92.5</v>
      </c>
      <c r="M5342" s="3">
        <v>560</v>
      </c>
      <c r="N5342">
        <v>4</v>
      </c>
      <c r="O5342">
        <v>4</v>
      </c>
      <c r="P5342">
        <v>1</v>
      </c>
      <c r="Q5342">
        <v>0</v>
      </c>
      <c r="R5342" s="4">
        <v>58.3</v>
      </c>
      <c r="S5342">
        <v>0</v>
      </c>
      <c r="T5342">
        <v>1</v>
      </c>
    </row>
    <row r="5343" spans="1:20" ht="16.5" x14ac:dyDescent="0.3">
      <c r="A5343" t="s">
        <v>5397</v>
      </c>
      <c r="B5343" s="1">
        <v>46000</v>
      </c>
      <c r="C5343">
        <v>2025</v>
      </c>
      <c r="D5343" t="s">
        <v>1873</v>
      </c>
      <c r="E5343" t="s">
        <v>2413</v>
      </c>
      <c r="F5343" t="s">
        <v>57</v>
      </c>
      <c r="G5343" t="s">
        <v>24</v>
      </c>
      <c r="H5343" t="s">
        <v>36</v>
      </c>
      <c r="I5343" t="s">
        <v>31</v>
      </c>
      <c r="J5343" t="s">
        <v>27</v>
      </c>
      <c r="K5343" t="s">
        <v>32</v>
      </c>
      <c r="L5343" s="2">
        <v>6.4</v>
      </c>
      <c r="M5343" s="3">
        <v>281</v>
      </c>
      <c r="N5343">
        <v>5</v>
      </c>
      <c r="O5343">
        <v>5</v>
      </c>
      <c r="P5343">
        <v>1</v>
      </c>
      <c r="Q5343">
        <v>0</v>
      </c>
      <c r="R5343" s="4">
        <v>10.14</v>
      </c>
      <c r="S5343">
        <v>0</v>
      </c>
      <c r="T5343">
        <v>1</v>
      </c>
    </row>
    <row r="5344" spans="1:20" ht="16.5" x14ac:dyDescent="0.3">
      <c r="A5344" t="s">
        <v>5398</v>
      </c>
      <c r="B5344" s="1">
        <v>46000</v>
      </c>
      <c r="C5344">
        <v>2025</v>
      </c>
      <c r="D5344" t="s">
        <v>1873</v>
      </c>
      <c r="E5344" t="s">
        <v>2413</v>
      </c>
      <c r="F5344" t="s">
        <v>57</v>
      </c>
      <c r="G5344" t="s">
        <v>39</v>
      </c>
      <c r="H5344" t="s">
        <v>48</v>
      </c>
      <c r="I5344" t="s">
        <v>31</v>
      </c>
      <c r="J5344" t="s">
        <v>27</v>
      </c>
      <c r="K5344" t="s">
        <v>28</v>
      </c>
      <c r="L5344" s="2">
        <v>341.8</v>
      </c>
      <c r="M5344" s="3">
        <v>450</v>
      </c>
      <c r="N5344">
        <v>6</v>
      </c>
      <c r="O5344">
        <v>5</v>
      </c>
      <c r="P5344">
        <v>1</v>
      </c>
      <c r="Q5344">
        <v>0</v>
      </c>
      <c r="R5344" s="4">
        <v>91.19</v>
      </c>
      <c r="S5344">
        <v>0</v>
      </c>
      <c r="T5344">
        <v>1</v>
      </c>
    </row>
    <row r="5345" spans="1:20" ht="16.5" x14ac:dyDescent="0.3">
      <c r="A5345" t="s">
        <v>5399</v>
      </c>
      <c r="B5345" s="1">
        <v>46000</v>
      </c>
      <c r="C5345">
        <v>2025</v>
      </c>
      <c r="D5345" t="s">
        <v>1873</v>
      </c>
      <c r="E5345" t="s">
        <v>2413</v>
      </c>
      <c r="F5345" t="s">
        <v>34</v>
      </c>
      <c r="G5345" t="s">
        <v>39</v>
      </c>
      <c r="H5345" t="s">
        <v>36</v>
      </c>
      <c r="I5345" t="s">
        <v>26</v>
      </c>
      <c r="J5345" t="s">
        <v>27</v>
      </c>
      <c r="K5345" t="s">
        <v>32</v>
      </c>
      <c r="L5345" s="2">
        <v>4.8</v>
      </c>
      <c r="M5345" s="3">
        <v>257</v>
      </c>
      <c r="N5345">
        <v>3</v>
      </c>
      <c r="O5345">
        <v>2</v>
      </c>
      <c r="P5345">
        <v>1</v>
      </c>
      <c r="Q5345">
        <v>0</v>
      </c>
      <c r="R5345" s="4">
        <v>9.93</v>
      </c>
      <c r="S5345">
        <v>0</v>
      </c>
      <c r="T5345">
        <v>1</v>
      </c>
    </row>
    <row r="5346" spans="1:20" ht="16.5" x14ac:dyDescent="0.3">
      <c r="A5346" t="s">
        <v>5400</v>
      </c>
      <c r="B5346" s="1">
        <v>46000</v>
      </c>
      <c r="C5346">
        <v>2025</v>
      </c>
      <c r="D5346" t="s">
        <v>1873</v>
      </c>
      <c r="E5346" t="s">
        <v>2413</v>
      </c>
      <c r="F5346" t="s">
        <v>34</v>
      </c>
      <c r="G5346" t="s">
        <v>35</v>
      </c>
      <c r="H5346" t="s">
        <v>43</v>
      </c>
      <c r="I5346" t="s">
        <v>26</v>
      </c>
      <c r="J5346" t="s">
        <v>27</v>
      </c>
      <c r="K5346" t="s">
        <v>28</v>
      </c>
      <c r="L5346" s="2">
        <v>67.5</v>
      </c>
      <c r="M5346" s="3">
        <v>1381</v>
      </c>
      <c r="N5346">
        <v>5</v>
      </c>
      <c r="O5346">
        <v>7</v>
      </c>
      <c r="P5346">
        <v>0</v>
      </c>
      <c r="Q5346">
        <v>2</v>
      </c>
      <c r="R5346" s="4">
        <v>42.52</v>
      </c>
      <c r="S5346">
        <v>0</v>
      </c>
      <c r="T5346">
        <v>1</v>
      </c>
    </row>
    <row r="5347" spans="1:20" ht="16.5" x14ac:dyDescent="0.3">
      <c r="A5347" t="s">
        <v>5401</v>
      </c>
      <c r="B5347" s="1">
        <v>46001</v>
      </c>
      <c r="C5347">
        <v>2025</v>
      </c>
      <c r="D5347" t="s">
        <v>1873</v>
      </c>
      <c r="E5347" t="s">
        <v>2413</v>
      </c>
      <c r="F5347" t="s">
        <v>23</v>
      </c>
      <c r="G5347" t="s">
        <v>35</v>
      </c>
      <c r="H5347" t="s">
        <v>43</v>
      </c>
      <c r="I5347" t="s">
        <v>40</v>
      </c>
      <c r="J5347" t="s">
        <v>41</v>
      </c>
      <c r="K5347" t="s">
        <v>28</v>
      </c>
      <c r="L5347" s="2">
        <v>144.6</v>
      </c>
      <c r="M5347" s="3">
        <v>1050</v>
      </c>
      <c r="N5347">
        <v>3</v>
      </c>
      <c r="O5347">
        <v>3</v>
      </c>
      <c r="P5347">
        <v>1</v>
      </c>
      <c r="Q5347">
        <v>0</v>
      </c>
      <c r="R5347" s="4">
        <v>236.64</v>
      </c>
      <c r="S5347">
        <v>0</v>
      </c>
      <c r="T5347">
        <v>1</v>
      </c>
    </row>
    <row r="5348" spans="1:20" ht="16.5" x14ac:dyDescent="0.3">
      <c r="A5348" t="s">
        <v>5402</v>
      </c>
      <c r="B5348" s="1">
        <v>46001</v>
      </c>
      <c r="C5348">
        <v>2025</v>
      </c>
      <c r="D5348" t="s">
        <v>1873</v>
      </c>
      <c r="E5348" t="s">
        <v>2413</v>
      </c>
      <c r="F5348" t="s">
        <v>30</v>
      </c>
      <c r="G5348" t="s">
        <v>39</v>
      </c>
      <c r="H5348" t="s">
        <v>51</v>
      </c>
      <c r="I5348" t="s">
        <v>40</v>
      </c>
      <c r="J5348" t="s">
        <v>41</v>
      </c>
      <c r="K5348" t="s">
        <v>28</v>
      </c>
      <c r="L5348" s="2">
        <v>22.7</v>
      </c>
      <c r="M5348" s="3">
        <v>1062</v>
      </c>
      <c r="N5348">
        <v>3</v>
      </c>
      <c r="O5348">
        <v>2</v>
      </c>
      <c r="P5348">
        <v>1</v>
      </c>
      <c r="Q5348">
        <v>0</v>
      </c>
      <c r="R5348" s="4">
        <v>105.43</v>
      </c>
      <c r="S5348">
        <v>0</v>
      </c>
      <c r="T5348">
        <v>1</v>
      </c>
    </row>
    <row r="5349" spans="1:20" ht="16.5" x14ac:dyDescent="0.3">
      <c r="A5349" t="s">
        <v>5403</v>
      </c>
      <c r="B5349" s="1">
        <v>46001</v>
      </c>
      <c r="C5349">
        <v>2025</v>
      </c>
      <c r="D5349" t="s">
        <v>1873</v>
      </c>
      <c r="E5349" t="s">
        <v>2413</v>
      </c>
      <c r="F5349" t="s">
        <v>38</v>
      </c>
      <c r="G5349" t="s">
        <v>39</v>
      </c>
      <c r="H5349" t="s">
        <v>48</v>
      </c>
      <c r="I5349" t="s">
        <v>26</v>
      </c>
      <c r="J5349" t="s">
        <v>27</v>
      </c>
      <c r="K5349" t="s">
        <v>32</v>
      </c>
      <c r="L5349" s="2">
        <v>1.2</v>
      </c>
      <c r="M5349" s="3">
        <v>451</v>
      </c>
      <c r="N5349">
        <v>4</v>
      </c>
      <c r="O5349">
        <v>4</v>
      </c>
      <c r="P5349">
        <v>1</v>
      </c>
      <c r="Q5349">
        <v>0</v>
      </c>
      <c r="R5349" s="4">
        <v>14.14</v>
      </c>
      <c r="S5349">
        <v>0</v>
      </c>
      <c r="T5349">
        <v>1</v>
      </c>
    </row>
    <row r="5350" spans="1:20" ht="16.5" x14ac:dyDescent="0.3">
      <c r="A5350" t="s">
        <v>5404</v>
      </c>
      <c r="B5350" s="1">
        <v>46001</v>
      </c>
      <c r="C5350">
        <v>2025</v>
      </c>
      <c r="D5350" t="s">
        <v>1873</v>
      </c>
      <c r="E5350" t="s">
        <v>2413</v>
      </c>
      <c r="F5350" t="s">
        <v>30</v>
      </c>
      <c r="G5350" t="s">
        <v>35</v>
      </c>
      <c r="H5350" t="s">
        <v>36</v>
      </c>
      <c r="I5350" t="s">
        <v>40</v>
      </c>
      <c r="J5350" t="s">
        <v>27</v>
      </c>
      <c r="K5350" t="s">
        <v>28</v>
      </c>
      <c r="L5350" s="2">
        <v>137</v>
      </c>
      <c r="M5350" s="3">
        <v>274</v>
      </c>
      <c r="N5350">
        <v>1</v>
      </c>
      <c r="O5350">
        <v>1</v>
      </c>
      <c r="P5350">
        <v>1</v>
      </c>
      <c r="Q5350">
        <v>0</v>
      </c>
      <c r="R5350" s="4">
        <v>138.52000000000001</v>
      </c>
      <c r="S5350">
        <v>0</v>
      </c>
      <c r="T5350">
        <v>1</v>
      </c>
    </row>
    <row r="5351" spans="1:20" ht="16.5" x14ac:dyDescent="0.3">
      <c r="A5351" t="s">
        <v>5405</v>
      </c>
      <c r="B5351" s="1">
        <v>46001</v>
      </c>
      <c r="C5351">
        <v>2025</v>
      </c>
      <c r="D5351" t="s">
        <v>1873</v>
      </c>
      <c r="E5351" t="s">
        <v>2413</v>
      </c>
      <c r="F5351" t="s">
        <v>30</v>
      </c>
      <c r="G5351" t="s">
        <v>35</v>
      </c>
      <c r="H5351" t="s">
        <v>36</v>
      </c>
      <c r="I5351" t="s">
        <v>31</v>
      </c>
      <c r="J5351" t="s">
        <v>27</v>
      </c>
      <c r="K5351" t="s">
        <v>32</v>
      </c>
      <c r="L5351" s="2">
        <v>2.1</v>
      </c>
      <c r="M5351" s="3">
        <v>244</v>
      </c>
      <c r="N5351">
        <v>5</v>
      </c>
      <c r="O5351">
        <v>9</v>
      </c>
      <c r="P5351">
        <v>0</v>
      </c>
      <c r="Q5351">
        <v>4</v>
      </c>
      <c r="R5351" s="4">
        <v>7.68</v>
      </c>
      <c r="S5351">
        <v>0</v>
      </c>
      <c r="T5351">
        <v>1</v>
      </c>
    </row>
    <row r="5352" spans="1:20" ht="16.5" x14ac:dyDescent="0.3">
      <c r="A5352" t="s">
        <v>5406</v>
      </c>
      <c r="B5352" s="1">
        <v>46001</v>
      </c>
      <c r="C5352">
        <v>2025</v>
      </c>
      <c r="D5352" t="s">
        <v>1873</v>
      </c>
      <c r="E5352" t="s">
        <v>2413</v>
      </c>
      <c r="F5352" t="s">
        <v>34</v>
      </c>
      <c r="G5352" t="s">
        <v>24</v>
      </c>
      <c r="H5352" t="s">
        <v>48</v>
      </c>
      <c r="I5352" t="s">
        <v>26</v>
      </c>
      <c r="J5352" t="s">
        <v>27</v>
      </c>
      <c r="K5352" t="s">
        <v>32</v>
      </c>
      <c r="L5352" s="2">
        <v>3.9</v>
      </c>
      <c r="M5352" s="3">
        <v>647</v>
      </c>
      <c r="N5352">
        <v>4</v>
      </c>
      <c r="O5352">
        <v>4</v>
      </c>
      <c r="P5352">
        <v>1</v>
      </c>
      <c r="Q5352">
        <v>0</v>
      </c>
      <c r="R5352" s="4">
        <v>15.19</v>
      </c>
      <c r="S5352">
        <v>0</v>
      </c>
      <c r="T5352">
        <v>1</v>
      </c>
    </row>
    <row r="5353" spans="1:20" ht="16.5" x14ac:dyDescent="0.3">
      <c r="A5353" t="s">
        <v>5407</v>
      </c>
      <c r="B5353" s="1">
        <v>46001</v>
      </c>
      <c r="C5353">
        <v>2025</v>
      </c>
      <c r="D5353" t="s">
        <v>1873</v>
      </c>
      <c r="E5353" t="s">
        <v>2413</v>
      </c>
      <c r="F5353" t="s">
        <v>34</v>
      </c>
      <c r="G5353" t="s">
        <v>39</v>
      </c>
      <c r="H5353" t="s">
        <v>25</v>
      </c>
      <c r="I5353" t="s">
        <v>40</v>
      </c>
      <c r="J5353" t="s">
        <v>41</v>
      </c>
      <c r="K5353" t="s">
        <v>28</v>
      </c>
      <c r="L5353" s="2">
        <v>81.8</v>
      </c>
      <c r="M5353" s="3">
        <v>1180</v>
      </c>
      <c r="N5353">
        <v>2</v>
      </c>
      <c r="O5353">
        <v>2</v>
      </c>
      <c r="P5353">
        <v>1</v>
      </c>
      <c r="Q5353">
        <v>0</v>
      </c>
      <c r="R5353" s="4">
        <v>157.63999999999999</v>
      </c>
      <c r="S5353">
        <v>1</v>
      </c>
      <c r="T5353">
        <v>1</v>
      </c>
    </row>
    <row r="5354" spans="1:20" ht="16.5" x14ac:dyDescent="0.3">
      <c r="A5354" t="s">
        <v>5408</v>
      </c>
      <c r="B5354" s="1">
        <v>46001</v>
      </c>
      <c r="C5354">
        <v>2025</v>
      </c>
      <c r="D5354" t="s">
        <v>1873</v>
      </c>
      <c r="E5354" t="s">
        <v>2413</v>
      </c>
      <c r="F5354" t="s">
        <v>23</v>
      </c>
      <c r="G5354" t="s">
        <v>35</v>
      </c>
      <c r="H5354" t="s">
        <v>48</v>
      </c>
      <c r="I5354" t="s">
        <v>26</v>
      </c>
      <c r="J5354" t="s">
        <v>27</v>
      </c>
      <c r="K5354" t="s">
        <v>28</v>
      </c>
      <c r="L5354" s="2">
        <v>236.9</v>
      </c>
      <c r="M5354" s="3">
        <v>425</v>
      </c>
      <c r="N5354">
        <v>4</v>
      </c>
      <c r="O5354">
        <v>6</v>
      </c>
      <c r="P5354">
        <v>0</v>
      </c>
      <c r="Q5354">
        <v>2</v>
      </c>
      <c r="R5354" s="4">
        <v>91.66</v>
      </c>
      <c r="S5354">
        <v>0</v>
      </c>
      <c r="T5354">
        <v>1</v>
      </c>
    </row>
    <row r="5355" spans="1:20" ht="16.5" x14ac:dyDescent="0.3">
      <c r="A5355" t="s">
        <v>5409</v>
      </c>
      <c r="B5355" s="1">
        <v>46001</v>
      </c>
      <c r="C5355">
        <v>2025</v>
      </c>
      <c r="D5355" t="s">
        <v>1873</v>
      </c>
      <c r="E5355" t="s">
        <v>2413</v>
      </c>
      <c r="F5355" t="s">
        <v>38</v>
      </c>
      <c r="G5355" t="s">
        <v>35</v>
      </c>
      <c r="H5355" t="s">
        <v>25</v>
      </c>
      <c r="I5355" t="s">
        <v>26</v>
      </c>
      <c r="J5355" t="s">
        <v>27</v>
      </c>
      <c r="K5355" t="s">
        <v>32</v>
      </c>
      <c r="L5355" s="2">
        <v>1.9</v>
      </c>
      <c r="M5355" s="3">
        <v>927</v>
      </c>
      <c r="N5355">
        <v>4</v>
      </c>
      <c r="O5355">
        <v>4</v>
      </c>
      <c r="P5355">
        <v>1</v>
      </c>
      <c r="Q5355">
        <v>0</v>
      </c>
      <c r="R5355" s="4">
        <v>22.51</v>
      </c>
      <c r="S5355">
        <v>0</v>
      </c>
      <c r="T5355">
        <v>1</v>
      </c>
    </row>
    <row r="5356" spans="1:20" ht="16.5" x14ac:dyDescent="0.3">
      <c r="A5356" t="s">
        <v>5410</v>
      </c>
      <c r="B5356" s="1">
        <v>46001</v>
      </c>
      <c r="C5356">
        <v>2025</v>
      </c>
      <c r="D5356" t="s">
        <v>1873</v>
      </c>
      <c r="E5356" t="s">
        <v>2413</v>
      </c>
      <c r="F5356" t="s">
        <v>57</v>
      </c>
      <c r="G5356" t="s">
        <v>39</v>
      </c>
      <c r="H5356" t="s">
        <v>36</v>
      </c>
      <c r="I5356" t="s">
        <v>40</v>
      </c>
      <c r="J5356" t="s">
        <v>27</v>
      </c>
      <c r="K5356" t="s">
        <v>32</v>
      </c>
      <c r="L5356" s="2">
        <v>8.6999999999999993</v>
      </c>
      <c r="M5356" s="3">
        <v>288</v>
      </c>
      <c r="N5356">
        <v>1</v>
      </c>
      <c r="O5356">
        <v>1</v>
      </c>
      <c r="P5356">
        <v>1</v>
      </c>
      <c r="Q5356">
        <v>0</v>
      </c>
      <c r="R5356" s="4">
        <v>28.36</v>
      </c>
      <c r="S5356">
        <v>0</v>
      </c>
      <c r="T5356">
        <v>1</v>
      </c>
    </row>
    <row r="5357" spans="1:20" ht="16.5" x14ac:dyDescent="0.3">
      <c r="A5357" t="s">
        <v>5411</v>
      </c>
      <c r="B5357" s="1">
        <v>46002</v>
      </c>
      <c r="C5357">
        <v>2025</v>
      </c>
      <c r="D5357" t="s">
        <v>1873</v>
      </c>
      <c r="E5357" t="s">
        <v>2413</v>
      </c>
      <c r="F5357" t="s">
        <v>34</v>
      </c>
      <c r="G5357" t="s">
        <v>39</v>
      </c>
      <c r="H5357" t="s">
        <v>51</v>
      </c>
      <c r="I5357" t="s">
        <v>26</v>
      </c>
      <c r="J5357" t="s">
        <v>27</v>
      </c>
      <c r="K5357" t="s">
        <v>32</v>
      </c>
      <c r="L5357" s="2">
        <v>6.7</v>
      </c>
      <c r="M5357" s="3">
        <v>1110</v>
      </c>
      <c r="N5357">
        <v>5</v>
      </c>
      <c r="O5357">
        <v>9</v>
      </c>
      <c r="P5357">
        <v>0</v>
      </c>
      <c r="Q5357">
        <v>4</v>
      </c>
      <c r="R5357" s="4">
        <v>19.21</v>
      </c>
      <c r="S5357">
        <v>0</v>
      </c>
      <c r="T5357">
        <v>1</v>
      </c>
    </row>
    <row r="5358" spans="1:20" ht="16.5" x14ac:dyDescent="0.3">
      <c r="A5358" t="s">
        <v>5412</v>
      </c>
      <c r="B5358" s="1">
        <v>46002</v>
      </c>
      <c r="C5358">
        <v>2025</v>
      </c>
      <c r="D5358" t="s">
        <v>1873</v>
      </c>
      <c r="E5358" t="s">
        <v>2413</v>
      </c>
      <c r="F5358" t="s">
        <v>57</v>
      </c>
      <c r="G5358" t="s">
        <v>24</v>
      </c>
      <c r="H5358" t="s">
        <v>36</v>
      </c>
      <c r="I5358" t="s">
        <v>31</v>
      </c>
      <c r="J5358" t="s">
        <v>27</v>
      </c>
      <c r="K5358" t="s">
        <v>28</v>
      </c>
      <c r="L5358" s="2">
        <v>197.4</v>
      </c>
      <c r="M5358" s="3">
        <v>214</v>
      </c>
      <c r="N5358">
        <v>5</v>
      </c>
      <c r="O5358">
        <v>5</v>
      </c>
      <c r="P5358">
        <v>1</v>
      </c>
      <c r="Q5358">
        <v>0</v>
      </c>
      <c r="R5358" s="4">
        <v>55.37</v>
      </c>
      <c r="S5358">
        <v>0</v>
      </c>
      <c r="T5358">
        <v>1</v>
      </c>
    </row>
    <row r="5359" spans="1:20" ht="16.5" x14ac:dyDescent="0.3">
      <c r="A5359" t="s">
        <v>5413</v>
      </c>
      <c r="B5359" s="1">
        <v>46002</v>
      </c>
      <c r="C5359">
        <v>2025</v>
      </c>
      <c r="D5359" t="s">
        <v>1873</v>
      </c>
      <c r="E5359" t="s">
        <v>2413</v>
      </c>
      <c r="F5359" t="s">
        <v>30</v>
      </c>
      <c r="G5359" t="s">
        <v>39</v>
      </c>
      <c r="H5359" t="s">
        <v>51</v>
      </c>
      <c r="I5359" t="s">
        <v>26</v>
      </c>
      <c r="J5359" t="s">
        <v>27</v>
      </c>
      <c r="K5359" t="s">
        <v>28</v>
      </c>
      <c r="L5359" s="2">
        <v>304</v>
      </c>
      <c r="M5359" s="3">
        <v>1032</v>
      </c>
      <c r="N5359">
        <v>5</v>
      </c>
      <c r="O5359">
        <v>5</v>
      </c>
      <c r="P5359">
        <v>1</v>
      </c>
      <c r="Q5359">
        <v>0</v>
      </c>
      <c r="R5359" s="4">
        <v>132.32</v>
      </c>
      <c r="S5359">
        <v>0</v>
      </c>
      <c r="T5359">
        <v>1</v>
      </c>
    </row>
    <row r="5360" spans="1:20" ht="16.5" x14ac:dyDescent="0.3">
      <c r="A5360" t="s">
        <v>5414</v>
      </c>
      <c r="B5360" s="1">
        <v>46002</v>
      </c>
      <c r="C5360">
        <v>2025</v>
      </c>
      <c r="D5360" t="s">
        <v>1873</v>
      </c>
      <c r="E5360" t="s">
        <v>2413</v>
      </c>
      <c r="F5360" t="s">
        <v>57</v>
      </c>
      <c r="G5360" t="s">
        <v>35</v>
      </c>
      <c r="H5360" t="s">
        <v>25</v>
      </c>
      <c r="I5360" t="s">
        <v>40</v>
      </c>
      <c r="J5360" t="s">
        <v>41</v>
      </c>
      <c r="K5360" t="s">
        <v>28</v>
      </c>
      <c r="L5360" s="2">
        <v>28.4</v>
      </c>
      <c r="M5360" s="3">
        <v>861</v>
      </c>
      <c r="N5360">
        <v>2</v>
      </c>
      <c r="O5360">
        <v>2</v>
      </c>
      <c r="P5360">
        <v>1</v>
      </c>
      <c r="Q5360">
        <v>0</v>
      </c>
      <c r="R5360" s="4">
        <v>92.13</v>
      </c>
      <c r="S5360">
        <v>0</v>
      </c>
      <c r="T5360">
        <v>1</v>
      </c>
    </row>
    <row r="5361" spans="1:20" ht="16.5" x14ac:dyDescent="0.3">
      <c r="A5361" t="s">
        <v>5415</v>
      </c>
      <c r="B5361" s="1">
        <v>46002</v>
      </c>
      <c r="C5361">
        <v>2025</v>
      </c>
      <c r="D5361" t="s">
        <v>1873</v>
      </c>
      <c r="E5361" t="s">
        <v>2413</v>
      </c>
      <c r="F5361" t="s">
        <v>38</v>
      </c>
      <c r="G5361" t="s">
        <v>39</v>
      </c>
      <c r="H5361" t="s">
        <v>48</v>
      </c>
      <c r="I5361" t="s">
        <v>26</v>
      </c>
      <c r="J5361" t="s">
        <v>27</v>
      </c>
      <c r="K5361" t="s">
        <v>32</v>
      </c>
      <c r="L5361" s="2">
        <v>5.4</v>
      </c>
      <c r="M5361" s="3">
        <v>400</v>
      </c>
      <c r="N5361">
        <v>4</v>
      </c>
      <c r="O5361">
        <v>4</v>
      </c>
      <c r="P5361">
        <v>1</v>
      </c>
      <c r="Q5361">
        <v>0</v>
      </c>
      <c r="R5361" s="4">
        <v>15.38</v>
      </c>
      <c r="S5361">
        <v>0</v>
      </c>
      <c r="T5361">
        <v>1</v>
      </c>
    </row>
    <row r="5362" spans="1:20" ht="16.5" x14ac:dyDescent="0.3">
      <c r="A5362" t="s">
        <v>5416</v>
      </c>
      <c r="B5362" s="1">
        <v>46002</v>
      </c>
      <c r="C5362">
        <v>2025</v>
      </c>
      <c r="D5362" t="s">
        <v>1873</v>
      </c>
      <c r="E5362" t="s">
        <v>2413</v>
      </c>
      <c r="F5362" t="s">
        <v>30</v>
      </c>
      <c r="G5362" t="s">
        <v>24</v>
      </c>
      <c r="H5362" t="s">
        <v>36</v>
      </c>
      <c r="I5362" t="s">
        <v>26</v>
      </c>
      <c r="J5362" t="s">
        <v>27</v>
      </c>
      <c r="K5362" t="s">
        <v>28</v>
      </c>
      <c r="L5362" s="2">
        <v>159.69999999999999</v>
      </c>
      <c r="M5362" s="3">
        <v>215</v>
      </c>
      <c r="N5362">
        <v>3</v>
      </c>
      <c r="O5362">
        <v>3</v>
      </c>
      <c r="P5362">
        <v>1</v>
      </c>
      <c r="Q5362">
        <v>0</v>
      </c>
      <c r="R5362" s="4">
        <v>77.84</v>
      </c>
      <c r="S5362">
        <v>0</v>
      </c>
      <c r="T5362">
        <v>1</v>
      </c>
    </row>
    <row r="5363" spans="1:20" ht="16.5" x14ac:dyDescent="0.3">
      <c r="A5363" t="s">
        <v>5417</v>
      </c>
      <c r="B5363" s="1">
        <v>46002</v>
      </c>
      <c r="C5363">
        <v>2025</v>
      </c>
      <c r="D5363" t="s">
        <v>1873</v>
      </c>
      <c r="E5363" t="s">
        <v>2413</v>
      </c>
      <c r="F5363" t="s">
        <v>57</v>
      </c>
      <c r="G5363" t="s">
        <v>39</v>
      </c>
      <c r="H5363" t="s">
        <v>36</v>
      </c>
      <c r="I5363" t="s">
        <v>31</v>
      </c>
      <c r="J5363" t="s">
        <v>27</v>
      </c>
      <c r="K5363" t="s">
        <v>32</v>
      </c>
      <c r="L5363" s="2">
        <v>8.6</v>
      </c>
      <c r="M5363" s="3">
        <v>238</v>
      </c>
      <c r="N5363">
        <v>5</v>
      </c>
      <c r="O5363">
        <v>5</v>
      </c>
      <c r="P5363">
        <v>1</v>
      </c>
      <c r="Q5363">
        <v>0</v>
      </c>
      <c r="R5363" s="4">
        <v>10.32</v>
      </c>
      <c r="S5363">
        <v>0</v>
      </c>
      <c r="T5363">
        <v>1</v>
      </c>
    </row>
    <row r="5364" spans="1:20" ht="16.5" x14ac:dyDescent="0.3">
      <c r="A5364" t="s">
        <v>5418</v>
      </c>
      <c r="B5364" s="1">
        <v>46002</v>
      </c>
      <c r="C5364">
        <v>2025</v>
      </c>
      <c r="D5364" t="s">
        <v>1873</v>
      </c>
      <c r="E5364" t="s">
        <v>2413</v>
      </c>
      <c r="F5364" t="s">
        <v>38</v>
      </c>
      <c r="G5364" t="s">
        <v>39</v>
      </c>
      <c r="H5364" t="s">
        <v>25</v>
      </c>
      <c r="I5364" t="s">
        <v>40</v>
      </c>
      <c r="J5364" t="s">
        <v>41</v>
      </c>
      <c r="K5364" t="s">
        <v>28</v>
      </c>
      <c r="L5364" s="2">
        <v>158.9</v>
      </c>
      <c r="M5364" s="3">
        <v>877</v>
      </c>
      <c r="N5364">
        <v>2</v>
      </c>
      <c r="O5364">
        <v>2</v>
      </c>
      <c r="P5364">
        <v>1</v>
      </c>
      <c r="Q5364">
        <v>0</v>
      </c>
      <c r="R5364" s="4">
        <v>290.58</v>
      </c>
      <c r="S5364">
        <v>0</v>
      </c>
      <c r="T5364">
        <v>1</v>
      </c>
    </row>
    <row r="5365" spans="1:20" ht="16.5" x14ac:dyDescent="0.3">
      <c r="A5365" t="s">
        <v>5419</v>
      </c>
      <c r="B5365" s="1">
        <v>46002</v>
      </c>
      <c r="C5365">
        <v>2025</v>
      </c>
      <c r="D5365" t="s">
        <v>1873</v>
      </c>
      <c r="E5365" t="s">
        <v>2413</v>
      </c>
      <c r="F5365" t="s">
        <v>30</v>
      </c>
      <c r="G5365" t="s">
        <v>35</v>
      </c>
      <c r="H5365" t="s">
        <v>43</v>
      </c>
      <c r="I5365" t="s">
        <v>31</v>
      </c>
      <c r="J5365" t="s">
        <v>27</v>
      </c>
      <c r="K5365" t="s">
        <v>28</v>
      </c>
      <c r="L5365" s="2">
        <v>63.4</v>
      </c>
      <c r="M5365" s="3">
        <v>1318</v>
      </c>
      <c r="N5365">
        <v>7</v>
      </c>
      <c r="O5365">
        <v>6</v>
      </c>
      <c r="P5365">
        <v>1</v>
      </c>
      <c r="Q5365">
        <v>0</v>
      </c>
      <c r="R5365" s="4">
        <v>41.9</v>
      </c>
      <c r="S5365">
        <v>0</v>
      </c>
      <c r="T5365">
        <v>1</v>
      </c>
    </row>
    <row r="5366" spans="1:20" ht="16.5" x14ac:dyDescent="0.3">
      <c r="A5366" t="s">
        <v>5420</v>
      </c>
      <c r="B5366" s="1">
        <v>46002</v>
      </c>
      <c r="C5366">
        <v>2025</v>
      </c>
      <c r="D5366" t="s">
        <v>1873</v>
      </c>
      <c r="E5366" t="s">
        <v>2413</v>
      </c>
      <c r="F5366" t="s">
        <v>38</v>
      </c>
      <c r="G5366" t="s">
        <v>35</v>
      </c>
      <c r="H5366" t="s">
        <v>36</v>
      </c>
      <c r="I5366" t="s">
        <v>26</v>
      </c>
      <c r="J5366" t="s">
        <v>27</v>
      </c>
      <c r="K5366" t="s">
        <v>32</v>
      </c>
      <c r="L5366" s="2">
        <v>0.6</v>
      </c>
      <c r="M5366" s="3">
        <v>246</v>
      </c>
      <c r="N5366">
        <v>3</v>
      </c>
      <c r="O5366">
        <v>3</v>
      </c>
      <c r="P5366">
        <v>1</v>
      </c>
      <c r="Q5366">
        <v>0</v>
      </c>
      <c r="R5366" s="4">
        <v>10.72</v>
      </c>
      <c r="S5366">
        <v>0</v>
      </c>
      <c r="T5366">
        <v>1</v>
      </c>
    </row>
    <row r="5367" spans="1:20" ht="16.5" x14ac:dyDescent="0.3">
      <c r="A5367" t="s">
        <v>5421</v>
      </c>
      <c r="B5367" s="1">
        <v>46002</v>
      </c>
      <c r="C5367">
        <v>2025</v>
      </c>
      <c r="D5367" t="s">
        <v>1873</v>
      </c>
      <c r="E5367" t="s">
        <v>2413</v>
      </c>
      <c r="F5367" t="s">
        <v>57</v>
      </c>
      <c r="G5367" t="s">
        <v>35</v>
      </c>
      <c r="H5367" t="s">
        <v>48</v>
      </c>
      <c r="I5367" t="s">
        <v>26</v>
      </c>
      <c r="J5367" t="s">
        <v>27</v>
      </c>
      <c r="K5367" t="s">
        <v>28</v>
      </c>
      <c r="L5367" s="2">
        <v>200.2</v>
      </c>
      <c r="M5367" s="3">
        <v>540</v>
      </c>
      <c r="N5367">
        <v>4</v>
      </c>
      <c r="O5367">
        <v>4</v>
      </c>
      <c r="P5367">
        <v>1</v>
      </c>
      <c r="Q5367">
        <v>0</v>
      </c>
      <c r="R5367" s="4">
        <v>93.36</v>
      </c>
      <c r="S5367">
        <v>0</v>
      </c>
      <c r="T5367">
        <v>1</v>
      </c>
    </row>
    <row r="5368" spans="1:20" ht="16.5" x14ac:dyDescent="0.3">
      <c r="A5368" t="s">
        <v>5422</v>
      </c>
      <c r="B5368" s="1">
        <v>46003</v>
      </c>
      <c r="C5368">
        <v>2025</v>
      </c>
      <c r="D5368" t="s">
        <v>1873</v>
      </c>
      <c r="E5368" t="s">
        <v>2413</v>
      </c>
      <c r="F5368" t="s">
        <v>38</v>
      </c>
      <c r="G5368" t="s">
        <v>35</v>
      </c>
      <c r="H5368" t="s">
        <v>25</v>
      </c>
      <c r="I5368" t="s">
        <v>26</v>
      </c>
      <c r="J5368" t="s">
        <v>27</v>
      </c>
      <c r="K5368" t="s">
        <v>32</v>
      </c>
      <c r="L5368" s="2">
        <v>13.1</v>
      </c>
      <c r="M5368" s="3">
        <v>786</v>
      </c>
      <c r="N5368">
        <v>4</v>
      </c>
      <c r="O5368">
        <v>4</v>
      </c>
      <c r="P5368">
        <v>1</v>
      </c>
      <c r="Q5368">
        <v>0</v>
      </c>
      <c r="R5368" s="4">
        <v>24.96</v>
      </c>
      <c r="S5368">
        <v>0</v>
      </c>
      <c r="T5368">
        <v>1</v>
      </c>
    </row>
    <row r="5369" spans="1:20" ht="16.5" x14ac:dyDescent="0.3">
      <c r="A5369" t="s">
        <v>5423</v>
      </c>
      <c r="B5369" s="1">
        <v>46003</v>
      </c>
      <c r="C5369">
        <v>2025</v>
      </c>
      <c r="D5369" t="s">
        <v>1873</v>
      </c>
      <c r="E5369" t="s">
        <v>2413</v>
      </c>
      <c r="F5369" t="s">
        <v>34</v>
      </c>
      <c r="G5369" t="s">
        <v>35</v>
      </c>
      <c r="H5369" t="s">
        <v>48</v>
      </c>
      <c r="I5369" t="s">
        <v>31</v>
      </c>
      <c r="J5369" t="s">
        <v>27</v>
      </c>
      <c r="K5369" t="s">
        <v>32</v>
      </c>
      <c r="L5369" s="2">
        <v>6.7</v>
      </c>
      <c r="M5369" s="3">
        <v>413</v>
      </c>
      <c r="N5369">
        <v>6</v>
      </c>
      <c r="O5369">
        <v>6</v>
      </c>
      <c r="P5369">
        <v>1</v>
      </c>
      <c r="Q5369">
        <v>0</v>
      </c>
      <c r="R5369" s="4">
        <v>10.16</v>
      </c>
      <c r="S5369">
        <v>0</v>
      </c>
      <c r="T5369">
        <v>1</v>
      </c>
    </row>
    <row r="5370" spans="1:20" ht="16.5" x14ac:dyDescent="0.3">
      <c r="A5370" t="s">
        <v>5424</v>
      </c>
      <c r="B5370" s="1">
        <v>46003</v>
      </c>
      <c r="C5370">
        <v>2025</v>
      </c>
      <c r="D5370" t="s">
        <v>1873</v>
      </c>
      <c r="E5370" t="s">
        <v>2413</v>
      </c>
      <c r="F5370" t="s">
        <v>30</v>
      </c>
      <c r="G5370" t="s">
        <v>39</v>
      </c>
      <c r="H5370" t="s">
        <v>25</v>
      </c>
      <c r="I5370" t="s">
        <v>26</v>
      </c>
      <c r="J5370" t="s">
        <v>27</v>
      </c>
      <c r="K5370" t="s">
        <v>28</v>
      </c>
      <c r="L5370" s="2">
        <v>314</v>
      </c>
      <c r="M5370" s="3">
        <v>854</v>
      </c>
      <c r="N5370">
        <v>4</v>
      </c>
      <c r="O5370">
        <v>4</v>
      </c>
      <c r="P5370">
        <v>1</v>
      </c>
      <c r="Q5370">
        <v>0</v>
      </c>
      <c r="R5370" s="4">
        <v>152.44</v>
      </c>
      <c r="S5370">
        <v>1</v>
      </c>
      <c r="T5370">
        <v>1</v>
      </c>
    </row>
    <row r="5371" spans="1:20" ht="16.5" x14ac:dyDescent="0.3">
      <c r="A5371" t="s">
        <v>5425</v>
      </c>
      <c r="B5371" s="1">
        <v>46003</v>
      </c>
      <c r="C5371">
        <v>2025</v>
      </c>
      <c r="D5371" t="s">
        <v>1873</v>
      </c>
      <c r="E5371" t="s">
        <v>2413</v>
      </c>
      <c r="F5371" t="s">
        <v>38</v>
      </c>
      <c r="G5371" t="s">
        <v>39</v>
      </c>
      <c r="H5371" t="s">
        <v>36</v>
      </c>
      <c r="I5371" t="s">
        <v>26</v>
      </c>
      <c r="J5371" t="s">
        <v>27</v>
      </c>
      <c r="K5371" t="s">
        <v>32</v>
      </c>
      <c r="L5371" s="2">
        <v>2.1</v>
      </c>
      <c r="M5371" s="3">
        <v>234</v>
      </c>
      <c r="N5371">
        <v>3</v>
      </c>
      <c r="O5371">
        <v>3</v>
      </c>
      <c r="P5371">
        <v>1</v>
      </c>
      <c r="Q5371">
        <v>0</v>
      </c>
      <c r="R5371" s="4">
        <v>11.65</v>
      </c>
      <c r="S5371">
        <v>0</v>
      </c>
      <c r="T5371">
        <v>1</v>
      </c>
    </row>
    <row r="5372" spans="1:20" ht="16.5" x14ac:dyDescent="0.3">
      <c r="A5372" t="s">
        <v>5426</v>
      </c>
      <c r="B5372" s="1">
        <v>46003</v>
      </c>
      <c r="C5372">
        <v>2025</v>
      </c>
      <c r="D5372" t="s">
        <v>1873</v>
      </c>
      <c r="E5372" t="s">
        <v>2413</v>
      </c>
      <c r="F5372" t="s">
        <v>34</v>
      </c>
      <c r="G5372" t="s">
        <v>35</v>
      </c>
      <c r="H5372" t="s">
        <v>25</v>
      </c>
      <c r="I5372" t="s">
        <v>31</v>
      </c>
      <c r="J5372" t="s">
        <v>27</v>
      </c>
      <c r="K5372" t="s">
        <v>28</v>
      </c>
      <c r="L5372" s="2">
        <v>210.7</v>
      </c>
      <c r="M5372" s="3">
        <v>761</v>
      </c>
      <c r="N5372">
        <v>6</v>
      </c>
      <c r="O5372">
        <v>6</v>
      </c>
      <c r="P5372">
        <v>1</v>
      </c>
      <c r="Q5372">
        <v>0</v>
      </c>
      <c r="R5372" s="4">
        <v>64.2</v>
      </c>
      <c r="S5372">
        <v>0</v>
      </c>
      <c r="T5372">
        <v>1</v>
      </c>
    </row>
    <row r="5373" spans="1:20" ht="16.5" x14ac:dyDescent="0.3">
      <c r="A5373" t="s">
        <v>5427</v>
      </c>
      <c r="B5373" s="1">
        <v>46003</v>
      </c>
      <c r="C5373">
        <v>2025</v>
      </c>
      <c r="D5373" t="s">
        <v>1873</v>
      </c>
      <c r="E5373" t="s">
        <v>2413</v>
      </c>
      <c r="F5373" t="s">
        <v>57</v>
      </c>
      <c r="G5373" t="s">
        <v>35</v>
      </c>
      <c r="H5373" t="s">
        <v>43</v>
      </c>
      <c r="I5373" t="s">
        <v>26</v>
      </c>
      <c r="J5373" t="s">
        <v>27</v>
      </c>
      <c r="K5373" t="s">
        <v>32</v>
      </c>
      <c r="L5373" s="2">
        <v>2.7</v>
      </c>
      <c r="M5373" s="3">
        <v>1320</v>
      </c>
      <c r="N5373">
        <v>5</v>
      </c>
      <c r="O5373">
        <v>5</v>
      </c>
      <c r="P5373">
        <v>1</v>
      </c>
      <c r="Q5373">
        <v>0</v>
      </c>
      <c r="R5373" s="4">
        <v>22.5</v>
      </c>
      <c r="S5373">
        <v>0</v>
      </c>
      <c r="T5373">
        <v>1</v>
      </c>
    </row>
    <row r="5374" spans="1:20" ht="16.5" x14ac:dyDescent="0.3">
      <c r="A5374" t="s">
        <v>5428</v>
      </c>
      <c r="B5374" s="1">
        <v>46003</v>
      </c>
      <c r="C5374">
        <v>2025</v>
      </c>
      <c r="D5374" t="s">
        <v>1873</v>
      </c>
      <c r="E5374" t="s">
        <v>2413</v>
      </c>
      <c r="F5374" t="s">
        <v>57</v>
      </c>
      <c r="G5374" t="s">
        <v>39</v>
      </c>
      <c r="H5374" t="s">
        <v>36</v>
      </c>
      <c r="I5374" t="s">
        <v>26</v>
      </c>
      <c r="J5374" t="s">
        <v>27</v>
      </c>
      <c r="K5374" t="s">
        <v>32</v>
      </c>
      <c r="L5374" s="2">
        <v>2.2999999999999998</v>
      </c>
      <c r="M5374" s="3">
        <v>261</v>
      </c>
      <c r="N5374">
        <v>3</v>
      </c>
      <c r="O5374">
        <v>3</v>
      </c>
      <c r="P5374">
        <v>1</v>
      </c>
      <c r="Q5374">
        <v>0</v>
      </c>
      <c r="R5374" s="4">
        <v>11.64</v>
      </c>
      <c r="S5374">
        <v>0</v>
      </c>
      <c r="T5374">
        <v>1</v>
      </c>
    </row>
    <row r="5375" spans="1:20" ht="16.5" x14ac:dyDescent="0.3">
      <c r="A5375" t="s">
        <v>5429</v>
      </c>
      <c r="B5375" s="1">
        <v>46003</v>
      </c>
      <c r="C5375">
        <v>2025</v>
      </c>
      <c r="D5375" t="s">
        <v>1873</v>
      </c>
      <c r="E5375" t="s">
        <v>2413</v>
      </c>
      <c r="F5375" t="s">
        <v>57</v>
      </c>
      <c r="G5375" t="s">
        <v>39</v>
      </c>
      <c r="H5375" t="s">
        <v>48</v>
      </c>
      <c r="I5375" t="s">
        <v>26</v>
      </c>
      <c r="J5375" t="s">
        <v>27</v>
      </c>
      <c r="K5375" t="s">
        <v>28</v>
      </c>
      <c r="L5375" s="2">
        <v>19.899999999999999</v>
      </c>
      <c r="M5375" s="3">
        <v>393</v>
      </c>
      <c r="N5375">
        <v>4</v>
      </c>
      <c r="O5375">
        <v>4</v>
      </c>
      <c r="P5375">
        <v>1</v>
      </c>
      <c r="Q5375">
        <v>0</v>
      </c>
      <c r="R5375" s="4">
        <v>24.1</v>
      </c>
      <c r="S5375">
        <v>0</v>
      </c>
      <c r="T5375">
        <v>1</v>
      </c>
    </row>
    <row r="5376" spans="1:20" ht="16.5" x14ac:dyDescent="0.3">
      <c r="A5376" t="s">
        <v>5430</v>
      </c>
      <c r="B5376" s="1">
        <v>46003</v>
      </c>
      <c r="C5376">
        <v>2025</v>
      </c>
      <c r="D5376" t="s">
        <v>1873</v>
      </c>
      <c r="E5376" t="s">
        <v>2413</v>
      </c>
      <c r="F5376" t="s">
        <v>57</v>
      </c>
      <c r="G5376" t="s">
        <v>39</v>
      </c>
      <c r="H5376" t="s">
        <v>48</v>
      </c>
      <c r="I5376" t="s">
        <v>31</v>
      </c>
      <c r="J5376" t="s">
        <v>27</v>
      </c>
      <c r="K5376" t="s">
        <v>32</v>
      </c>
      <c r="L5376" s="2">
        <v>9.3000000000000007</v>
      </c>
      <c r="M5376" s="3">
        <v>621</v>
      </c>
      <c r="N5376">
        <v>6</v>
      </c>
      <c r="O5376">
        <v>6</v>
      </c>
      <c r="P5376">
        <v>1</v>
      </c>
      <c r="Q5376">
        <v>0</v>
      </c>
      <c r="R5376" s="4">
        <v>13.67</v>
      </c>
      <c r="S5376">
        <v>0</v>
      </c>
      <c r="T5376">
        <v>1</v>
      </c>
    </row>
    <row r="5377" spans="1:20" ht="16.5" x14ac:dyDescent="0.3">
      <c r="A5377" t="s">
        <v>5431</v>
      </c>
      <c r="B5377" s="1">
        <v>46003</v>
      </c>
      <c r="C5377">
        <v>2025</v>
      </c>
      <c r="D5377" t="s">
        <v>1873</v>
      </c>
      <c r="E5377" t="s">
        <v>2413</v>
      </c>
      <c r="F5377" t="s">
        <v>34</v>
      </c>
      <c r="G5377" t="s">
        <v>24</v>
      </c>
      <c r="H5377" t="s">
        <v>48</v>
      </c>
      <c r="I5377" t="s">
        <v>26</v>
      </c>
      <c r="J5377" t="s">
        <v>27</v>
      </c>
      <c r="K5377" t="s">
        <v>32</v>
      </c>
      <c r="L5377" s="2">
        <v>10.5</v>
      </c>
      <c r="M5377" s="3">
        <v>435</v>
      </c>
      <c r="N5377">
        <v>4</v>
      </c>
      <c r="O5377">
        <v>4</v>
      </c>
      <c r="P5377">
        <v>1</v>
      </c>
      <c r="Q5377">
        <v>0</v>
      </c>
      <c r="R5377" s="4">
        <v>13.98</v>
      </c>
      <c r="S5377">
        <v>0</v>
      </c>
      <c r="T5377">
        <v>1</v>
      </c>
    </row>
    <row r="5378" spans="1:20" ht="16.5" x14ac:dyDescent="0.3">
      <c r="A5378" t="s">
        <v>5432</v>
      </c>
      <c r="B5378" s="1">
        <v>46003</v>
      </c>
      <c r="C5378">
        <v>2025</v>
      </c>
      <c r="D5378" t="s">
        <v>1873</v>
      </c>
      <c r="E5378" t="s">
        <v>2413</v>
      </c>
      <c r="F5378" t="s">
        <v>38</v>
      </c>
      <c r="G5378" t="s">
        <v>35</v>
      </c>
      <c r="H5378" t="s">
        <v>36</v>
      </c>
      <c r="I5378" t="s">
        <v>31</v>
      </c>
      <c r="J5378" t="s">
        <v>27</v>
      </c>
      <c r="K5378" t="s">
        <v>32</v>
      </c>
      <c r="L5378" s="2">
        <v>10.199999999999999</v>
      </c>
      <c r="M5378" s="3">
        <v>225</v>
      </c>
      <c r="N5378">
        <v>5</v>
      </c>
      <c r="O5378">
        <v>4</v>
      </c>
      <c r="P5378">
        <v>1</v>
      </c>
      <c r="Q5378">
        <v>0</v>
      </c>
      <c r="R5378" s="4">
        <v>10.8</v>
      </c>
      <c r="S5378">
        <v>0</v>
      </c>
      <c r="T5378">
        <v>1</v>
      </c>
    </row>
    <row r="5379" spans="1:20" ht="16.5" x14ac:dyDescent="0.3">
      <c r="A5379" t="s">
        <v>5433</v>
      </c>
      <c r="B5379" s="1">
        <v>46003</v>
      </c>
      <c r="C5379">
        <v>2025</v>
      </c>
      <c r="D5379" t="s">
        <v>1873</v>
      </c>
      <c r="E5379" t="s">
        <v>2413</v>
      </c>
      <c r="F5379" t="s">
        <v>34</v>
      </c>
      <c r="G5379" t="s">
        <v>35</v>
      </c>
      <c r="H5379" t="s">
        <v>48</v>
      </c>
      <c r="I5379" t="s">
        <v>26</v>
      </c>
      <c r="J5379" t="s">
        <v>27</v>
      </c>
      <c r="K5379" t="s">
        <v>28</v>
      </c>
      <c r="L5379" s="2">
        <v>120.3</v>
      </c>
      <c r="M5379" s="3">
        <v>460</v>
      </c>
      <c r="N5379">
        <v>4</v>
      </c>
      <c r="O5379">
        <v>4</v>
      </c>
      <c r="P5379">
        <v>1</v>
      </c>
      <c r="Q5379">
        <v>0</v>
      </c>
      <c r="R5379" s="4">
        <v>57.35</v>
      </c>
      <c r="S5379">
        <v>0</v>
      </c>
      <c r="T5379">
        <v>1</v>
      </c>
    </row>
    <row r="5380" spans="1:20" ht="16.5" x14ac:dyDescent="0.3">
      <c r="A5380" t="s">
        <v>5434</v>
      </c>
      <c r="B5380" s="1">
        <v>46003</v>
      </c>
      <c r="C5380">
        <v>2025</v>
      </c>
      <c r="D5380" t="s">
        <v>1873</v>
      </c>
      <c r="E5380" t="s">
        <v>2413</v>
      </c>
      <c r="F5380" t="s">
        <v>38</v>
      </c>
      <c r="G5380" t="s">
        <v>24</v>
      </c>
      <c r="H5380" t="s">
        <v>36</v>
      </c>
      <c r="I5380" t="s">
        <v>31</v>
      </c>
      <c r="J5380" t="s">
        <v>27</v>
      </c>
      <c r="K5380" t="s">
        <v>32</v>
      </c>
      <c r="L5380" s="2">
        <v>1.1000000000000001</v>
      </c>
      <c r="M5380" s="3">
        <v>275</v>
      </c>
      <c r="N5380">
        <v>5</v>
      </c>
      <c r="O5380">
        <v>4</v>
      </c>
      <c r="P5380">
        <v>1</v>
      </c>
      <c r="Q5380">
        <v>0</v>
      </c>
      <c r="R5380" s="4">
        <v>7.7</v>
      </c>
      <c r="S5380">
        <v>0</v>
      </c>
      <c r="T5380">
        <v>1</v>
      </c>
    </row>
    <row r="5381" spans="1:20" ht="16.5" x14ac:dyDescent="0.3">
      <c r="A5381" t="s">
        <v>5435</v>
      </c>
      <c r="B5381" s="1">
        <v>46003</v>
      </c>
      <c r="C5381">
        <v>2025</v>
      </c>
      <c r="D5381" t="s">
        <v>1873</v>
      </c>
      <c r="E5381" t="s">
        <v>2413</v>
      </c>
      <c r="F5381" t="s">
        <v>34</v>
      </c>
      <c r="G5381" t="s">
        <v>35</v>
      </c>
      <c r="H5381" t="s">
        <v>36</v>
      </c>
      <c r="I5381" t="s">
        <v>40</v>
      </c>
      <c r="J5381" t="s">
        <v>27</v>
      </c>
      <c r="K5381" t="s">
        <v>32</v>
      </c>
      <c r="L5381" s="2">
        <v>2</v>
      </c>
      <c r="M5381" s="3">
        <v>224</v>
      </c>
      <c r="N5381">
        <v>1</v>
      </c>
      <c r="O5381">
        <v>4</v>
      </c>
      <c r="P5381">
        <v>0</v>
      </c>
      <c r="Q5381">
        <v>3</v>
      </c>
      <c r="R5381" s="4">
        <v>16.43</v>
      </c>
      <c r="S5381">
        <v>0</v>
      </c>
      <c r="T5381">
        <v>1</v>
      </c>
    </row>
    <row r="5382" spans="1:20" ht="16.5" x14ac:dyDescent="0.3">
      <c r="A5382" t="s">
        <v>5436</v>
      </c>
      <c r="B5382" s="1">
        <v>46003</v>
      </c>
      <c r="C5382">
        <v>2025</v>
      </c>
      <c r="D5382" t="s">
        <v>1873</v>
      </c>
      <c r="E5382" t="s">
        <v>2413</v>
      </c>
      <c r="F5382" t="s">
        <v>57</v>
      </c>
      <c r="G5382" t="s">
        <v>39</v>
      </c>
      <c r="H5382" t="s">
        <v>36</v>
      </c>
      <c r="I5382" t="s">
        <v>31</v>
      </c>
      <c r="J5382" t="s">
        <v>27</v>
      </c>
      <c r="K5382" t="s">
        <v>28</v>
      </c>
      <c r="L5382" s="2">
        <v>103.6</v>
      </c>
      <c r="M5382" s="3">
        <v>302</v>
      </c>
      <c r="N5382">
        <v>5</v>
      </c>
      <c r="O5382">
        <v>5</v>
      </c>
      <c r="P5382">
        <v>1</v>
      </c>
      <c r="Q5382">
        <v>0</v>
      </c>
      <c r="R5382" s="4">
        <v>41.39</v>
      </c>
      <c r="S5382">
        <v>1</v>
      </c>
      <c r="T5382">
        <v>1</v>
      </c>
    </row>
    <row r="5383" spans="1:20" ht="16.5" x14ac:dyDescent="0.3">
      <c r="A5383" t="s">
        <v>5437</v>
      </c>
      <c r="B5383" s="1">
        <v>46004</v>
      </c>
      <c r="C5383">
        <v>2025</v>
      </c>
      <c r="D5383" t="s">
        <v>1873</v>
      </c>
      <c r="E5383" t="s">
        <v>2413</v>
      </c>
      <c r="F5383" t="s">
        <v>30</v>
      </c>
      <c r="G5383" t="s">
        <v>39</v>
      </c>
      <c r="H5383" t="s">
        <v>43</v>
      </c>
      <c r="I5383" t="s">
        <v>40</v>
      </c>
      <c r="J5383" t="s">
        <v>41</v>
      </c>
      <c r="K5383" t="s">
        <v>28</v>
      </c>
      <c r="L5383" s="2">
        <v>18.2</v>
      </c>
      <c r="M5383" s="3">
        <v>663</v>
      </c>
      <c r="N5383">
        <v>3</v>
      </c>
      <c r="O5383">
        <v>3</v>
      </c>
      <c r="P5383">
        <v>1</v>
      </c>
      <c r="Q5383">
        <v>0</v>
      </c>
      <c r="R5383" s="4">
        <v>91.16</v>
      </c>
      <c r="S5383">
        <v>0</v>
      </c>
      <c r="T5383">
        <v>1</v>
      </c>
    </row>
    <row r="5384" spans="1:20" ht="16.5" x14ac:dyDescent="0.3">
      <c r="A5384" t="s">
        <v>5438</v>
      </c>
      <c r="B5384" s="1">
        <v>46004</v>
      </c>
      <c r="C5384">
        <v>2025</v>
      </c>
      <c r="D5384" t="s">
        <v>1873</v>
      </c>
      <c r="E5384" t="s">
        <v>2413</v>
      </c>
      <c r="F5384" t="s">
        <v>30</v>
      </c>
      <c r="G5384" t="s">
        <v>35</v>
      </c>
      <c r="H5384" t="s">
        <v>36</v>
      </c>
      <c r="I5384" t="s">
        <v>26</v>
      </c>
      <c r="J5384" t="s">
        <v>27</v>
      </c>
      <c r="K5384" t="s">
        <v>28</v>
      </c>
      <c r="L5384" s="2">
        <v>46.5</v>
      </c>
      <c r="M5384" s="3">
        <v>292</v>
      </c>
      <c r="N5384">
        <v>3</v>
      </c>
      <c r="O5384">
        <v>3</v>
      </c>
      <c r="P5384">
        <v>1</v>
      </c>
      <c r="Q5384">
        <v>0</v>
      </c>
      <c r="R5384" s="4">
        <v>33.799999999999997</v>
      </c>
      <c r="S5384">
        <v>0</v>
      </c>
      <c r="T5384">
        <v>1</v>
      </c>
    </row>
    <row r="5385" spans="1:20" ht="16.5" x14ac:dyDescent="0.3">
      <c r="A5385" t="s">
        <v>5439</v>
      </c>
      <c r="B5385" s="1">
        <v>46004</v>
      </c>
      <c r="C5385">
        <v>2025</v>
      </c>
      <c r="D5385" t="s">
        <v>1873</v>
      </c>
      <c r="E5385" t="s">
        <v>2413</v>
      </c>
      <c r="F5385" t="s">
        <v>30</v>
      </c>
      <c r="G5385" t="s">
        <v>35</v>
      </c>
      <c r="H5385" t="s">
        <v>25</v>
      </c>
      <c r="I5385" t="s">
        <v>26</v>
      </c>
      <c r="J5385" t="s">
        <v>27</v>
      </c>
      <c r="K5385" t="s">
        <v>28</v>
      </c>
      <c r="L5385" s="2">
        <v>67.099999999999994</v>
      </c>
      <c r="M5385" s="3">
        <v>735</v>
      </c>
      <c r="N5385">
        <v>4</v>
      </c>
      <c r="O5385">
        <v>3</v>
      </c>
      <c r="P5385">
        <v>1</v>
      </c>
      <c r="Q5385">
        <v>0</v>
      </c>
      <c r="R5385" s="4">
        <v>50.15</v>
      </c>
      <c r="S5385">
        <v>0</v>
      </c>
      <c r="T5385">
        <v>1</v>
      </c>
    </row>
    <row r="5386" spans="1:20" ht="16.5" x14ac:dyDescent="0.3">
      <c r="A5386" t="s">
        <v>5440</v>
      </c>
      <c r="B5386" s="1">
        <v>46004</v>
      </c>
      <c r="C5386">
        <v>2025</v>
      </c>
      <c r="D5386" t="s">
        <v>1873</v>
      </c>
      <c r="E5386" t="s">
        <v>2413</v>
      </c>
      <c r="F5386" t="s">
        <v>57</v>
      </c>
      <c r="G5386" t="s">
        <v>39</v>
      </c>
      <c r="H5386" t="s">
        <v>48</v>
      </c>
      <c r="I5386" t="s">
        <v>26</v>
      </c>
      <c r="J5386" t="s">
        <v>27</v>
      </c>
      <c r="K5386" t="s">
        <v>28</v>
      </c>
      <c r="L5386" s="2">
        <v>42.6</v>
      </c>
      <c r="M5386" s="3">
        <v>439</v>
      </c>
      <c r="N5386">
        <v>4</v>
      </c>
      <c r="O5386">
        <v>4</v>
      </c>
      <c r="P5386">
        <v>1</v>
      </c>
      <c r="Q5386">
        <v>0</v>
      </c>
      <c r="R5386" s="4">
        <v>32.119999999999997</v>
      </c>
      <c r="S5386">
        <v>0</v>
      </c>
      <c r="T5386">
        <v>1</v>
      </c>
    </row>
    <row r="5387" spans="1:20" ht="16.5" x14ac:dyDescent="0.3">
      <c r="A5387" t="s">
        <v>5441</v>
      </c>
      <c r="B5387" s="1">
        <v>46004</v>
      </c>
      <c r="C5387">
        <v>2025</v>
      </c>
      <c r="D5387" t="s">
        <v>1873</v>
      </c>
      <c r="E5387" t="s">
        <v>2413</v>
      </c>
      <c r="F5387" t="s">
        <v>38</v>
      </c>
      <c r="G5387" t="s">
        <v>24</v>
      </c>
      <c r="H5387" t="s">
        <v>43</v>
      </c>
      <c r="I5387" t="s">
        <v>40</v>
      </c>
      <c r="J5387" t="s">
        <v>41</v>
      </c>
      <c r="K5387" t="s">
        <v>28</v>
      </c>
      <c r="L5387" s="2">
        <v>43.8</v>
      </c>
      <c r="M5387" s="3">
        <v>1050</v>
      </c>
      <c r="N5387">
        <v>3</v>
      </c>
      <c r="O5387">
        <v>2</v>
      </c>
      <c r="P5387">
        <v>1</v>
      </c>
      <c r="Q5387">
        <v>0</v>
      </c>
      <c r="R5387" s="4">
        <v>133.27000000000001</v>
      </c>
      <c r="S5387">
        <v>0</v>
      </c>
      <c r="T5387">
        <v>1</v>
      </c>
    </row>
    <row r="5388" spans="1:20" ht="16.5" x14ac:dyDescent="0.3">
      <c r="A5388" t="s">
        <v>5442</v>
      </c>
      <c r="B5388" s="1">
        <v>46004</v>
      </c>
      <c r="C5388">
        <v>2025</v>
      </c>
      <c r="D5388" t="s">
        <v>1873</v>
      </c>
      <c r="E5388" t="s">
        <v>2413</v>
      </c>
      <c r="F5388" t="s">
        <v>23</v>
      </c>
      <c r="G5388" t="s">
        <v>39</v>
      </c>
      <c r="H5388" t="s">
        <v>48</v>
      </c>
      <c r="I5388" t="s">
        <v>26</v>
      </c>
      <c r="J5388" t="s">
        <v>27</v>
      </c>
      <c r="K5388" t="s">
        <v>28</v>
      </c>
      <c r="L5388" s="2">
        <v>123.9</v>
      </c>
      <c r="M5388" s="3">
        <v>579</v>
      </c>
      <c r="N5388">
        <v>4</v>
      </c>
      <c r="O5388">
        <v>6</v>
      </c>
      <c r="P5388">
        <v>0</v>
      </c>
      <c r="Q5388">
        <v>2</v>
      </c>
      <c r="R5388" s="4">
        <v>67.84</v>
      </c>
      <c r="S5388">
        <v>0</v>
      </c>
      <c r="T5388">
        <v>1</v>
      </c>
    </row>
    <row r="5389" spans="1:20" ht="16.5" x14ac:dyDescent="0.3">
      <c r="A5389" t="s">
        <v>5443</v>
      </c>
      <c r="B5389" s="1">
        <v>46005</v>
      </c>
      <c r="C5389">
        <v>2025</v>
      </c>
      <c r="D5389" t="s">
        <v>1873</v>
      </c>
      <c r="E5389" t="s">
        <v>2413</v>
      </c>
      <c r="F5389" t="s">
        <v>34</v>
      </c>
      <c r="G5389" t="s">
        <v>39</v>
      </c>
      <c r="H5389" t="s">
        <v>25</v>
      </c>
      <c r="I5389" t="s">
        <v>26</v>
      </c>
      <c r="J5389" t="s">
        <v>27</v>
      </c>
      <c r="K5389" t="s">
        <v>32</v>
      </c>
      <c r="L5389" s="2">
        <v>1.1000000000000001</v>
      </c>
      <c r="M5389" s="3">
        <v>949</v>
      </c>
      <c r="N5389">
        <v>4</v>
      </c>
      <c r="O5389">
        <v>4</v>
      </c>
      <c r="P5389">
        <v>1</v>
      </c>
      <c r="Q5389">
        <v>0</v>
      </c>
      <c r="R5389" s="4">
        <v>15.36</v>
      </c>
      <c r="S5389">
        <v>0</v>
      </c>
      <c r="T5389">
        <v>1</v>
      </c>
    </row>
    <row r="5390" spans="1:20" ht="16.5" x14ac:dyDescent="0.3">
      <c r="A5390" t="s">
        <v>5444</v>
      </c>
      <c r="B5390" s="1">
        <v>46005</v>
      </c>
      <c r="C5390">
        <v>2025</v>
      </c>
      <c r="D5390" t="s">
        <v>1873</v>
      </c>
      <c r="E5390" t="s">
        <v>2413</v>
      </c>
      <c r="F5390" t="s">
        <v>30</v>
      </c>
      <c r="G5390" t="s">
        <v>35</v>
      </c>
      <c r="H5390" t="s">
        <v>36</v>
      </c>
      <c r="I5390" t="s">
        <v>26</v>
      </c>
      <c r="J5390" t="s">
        <v>27</v>
      </c>
      <c r="K5390" t="s">
        <v>28</v>
      </c>
      <c r="L5390" s="2">
        <v>76.099999999999994</v>
      </c>
      <c r="M5390" s="3">
        <v>243</v>
      </c>
      <c r="N5390">
        <v>3</v>
      </c>
      <c r="O5390">
        <v>4</v>
      </c>
      <c r="P5390">
        <v>0</v>
      </c>
      <c r="Q5390">
        <v>1</v>
      </c>
      <c r="R5390" s="4">
        <v>50.84</v>
      </c>
      <c r="S5390">
        <v>0</v>
      </c>
      <c r="T5390">
        <v>1</v>
      </c>
    </row>
    <row r="5391" spans="1:20" ht="16.5" x14ac:dyDescent="0.3">
      <c r="A5391" t="s">
        <v>5445</v>
      </c>
      <c r="B5391" s="1">
        <v>46005</v>
      </c>
      <c r="C5391">
        <v>2025</v>
      </c>
      <c r="D5391" t="s">
        <v>1873</v>
      </c>
      <c r="E5391" t="s">
        <v>2413</v>
      </c>
      <c r="F5391" t="s">
        <v>30</v>
      </c>
      <c r="G5391" t="s">
        <v>39</v>
      </c>
      <c r="H5391" t="s">
        <v>51</v>
      </c>
      <c r="I5391" t="s">
        <v>31</v>
      </c>
      <c r="J5391" t="s">
        <v>27</v>
      </c>
      <c r="K5391" t="s">
        <v>32</v>
      </c>
      <c r="L5391" s="2">
        <v>3.7</v>
      </c>
      <c r="M5391" s="3">
        <v>929</v>
      </c>
      <c r="N5391">
        <v>7</v>
      </c>
      <c r="O5391">
        <v>7</v>
      </c>
      <c r="P5391">
        <v>1</v>
      </c>
      <c r="Q5391">
        <v>0</v>
      </c>
      <c r="R5391" s="4">
        <v>16.489999999999998</v>
      </c>
      <c r="S5391">
        <v>0</v>
      </c>
      <c r="T5391">
        <v>1</v>
      </c>
    </row>
    <row r="5392" spans="1:20" ht="16.5" x14ac:dyDescent="0.3">
      <c r="A5392" t="s">
        <v>5446</v>
      </c>
      <c r="B5392" s="1">
        <v>46005</v>
      </c>
      <c r="C5392">
        <v>2025</v>
      </c>
      <c r="D5392" t="s">
        <v>1873</v>
      </c>
      <c r="E5392" t="s">
        <v>2413</v>
      </c>
      <c r="F5392" t="s">
        <v>30</v>
      </c>
      <c r="G5392" t="s">
        <v>35</v>
      </c>
      <c r="H5392" t="s">
        <v>48</v>
      </c>
      <c r="I5392" t="s">
        <v>31</v>
      </c>
      <c r="J5392" t="s">
        <v>27</v>
      </c>
      <c r="K5392" t="s">
        <v>32</v>
      </c>
      <c r="L5392" s="2">
        <v>9.4</v>
      </c>
      <c r="M5392" s="3">
        <v>562</v>
      </c>
      <c r="N5392">
        <v>6</v>
      </c>
      <c r="O5392">
        <v>6</v>
      </c>
      <c r="P5392">
        <v>1</v>
      </c>
      <c r="Q5392">
        <v>0</v>
      </c>
      <c r="R5392" s="4">
        <v>15.06</v>
      </c>
      <c r="S5392">
        <v>0</v>
      </c>
      <c r="T5392">
        <v>1</v>
      </c>
    </row>
    <row r="5393" spans="1:20" ht="16.5" x14ac:dyDescent="0.3">
      <c r="A5393" t="s">
        <v>5447</v>
      </c>
      <c r="B5393" s="1">
        <v>46005</v>
      </c>
      <c r="C5393">
        <v>2025</v>
      </c>
      <c r="D5393" t="s">
        <v>1873</v>
      </c>
      <c r="E5393" t="s">
        <v>2413</v>
      </c>
      <c r="F5393" t="s">
        <v>23</v>
      </c>
      <c r="G5393" t="s">
        <v>24</v>
      </c>
      <c r="H5393" t="s">
        <v>25</v>
      </c>
      <c r="I5393" t="s">
        <v>31</v>
      </c>
      <c r="J5393" t="s">
        <v>27</v>
      </c>
      <c r="K5393" t="s">
        <v>32</v>
      </c>
      <c r="L5393" s="2">
        <v>12.6</v>
      </c>
      <c r="M5393" s="3">
        <v>1133</v>
      </c>
      <c r="N5393">
        <v>6</v>
      </c>
      <c r="O5393">
        <v>6</v>
      </c>
      <c r="P5393">
        <v>1</v>
      </c>
      <c r="Q5393">
        <v>0</v>
      </c>
      <c r="R5393" s="4">
        <v>20</v>
      </c>
      <c r="S5393">
        <v>0</v>
      </c>
      <c r="T5393">
        <v>1</v>
      </c>
    </row>
    <row r="5394" spans="1:20" ht="16.5" x14ac:dyDescent="0.3">
      <c r="A5394" t="s">
        <v>5448</v>
      </c>
      <c r="B5394" s="1">
        <v>46005</v>
      </c>
      <c r="C5394">
        <v>2025</v>
      </c>
      <c r="D5394" t="s">
        <v>1873</v>
      </c>
      <c r="E5394" t="s">
        <v>2413</v>
      </c>
      <c r="F5394" t="s">
        <v>34</v>
      </c>
      <c r="G5394" t="s">
        <v>35</v>
      </c>
      <c r="H5394" t="s">
        <v>36</v>
      </c>
      <c r="I5394" t="s">
        <v>26</v>
      </c>
      <c r="J5394" t="s">
        <v>27</v>
      </c>
      <c r="K5394" t="s">
        <v>28</v>
      </c>
      <c r="L5394" s="2">
        <v>216.3</v>
      </c>
      <c r="M5394" s="3">
        <v>208</v>
      </c>
      <c r="N5394">
        <v>3</v>
      </c>
      <c r="O5394">
        <v>4</v>
      </c>
      <c r="P5394">
        <v>0</v>
      </c>
      <c r="Q5394">
        <v>1</v>
      </c>
      <c r="R5394" s="4">
        <v>87.7</v>
      </c>
      <c r="S5394">
        <v>0</v>
      </c>
      <c r="T5394">
        <v>1</v>
      </c>
    </row>
    <row r="5395" spans="1:20" ht="16.5" x14ac:dyDescent="0.3">
      <c r="A5395" t="s">
        <v>5449</v>
      </c>
      <c r="B5395" s="1">
        <v>46006</v>
      </c>
      <c r="C5395">
        <v>2025</v>
      </c>
      <c r="D5395" t="s">
        <v>1873</v>
      </c>
      <c r="E5395" t="s">
        <v>2413</v>
      </c>
      <c r="F5395" t="s">
        <v>57</v>
      </c>
      <c r="G5395" t="s">
        <v>35</v>
      </c>
      <c r="H5395" t="s">
        <v>25</v>
      </c>
      <c r="I5395" t="s">
        <v>26</v>
      </c>
      <c r="J5395" t="s">
        <v>27</v>
      </c>
      <c r="K5395" t="s">
        <v>28</v>
      </c>
      <c r="L5395" s="2">
        <v>279.39999999999998</v>
      </c>
      <c r="M5395" s="3">
        <v>1008</v>
      </c>
      <c r="N5395">
        <v>4</v>
      </c>
      <c r="O5395">
        <v>4</v>
      </c>
      <c r="P5395">
        <v>1</v>
      </c>
      <c r="Q5395">
        <v>0</v>
      </c>
      <c r="R5395" s="4">
        <v>125.84</v>
      </c>
      <c r="S5395">
        <v>0</v>
      </c>
      <c r="T5395">
        <v>1</v>
      </c>
    </row>
    <row r="5396" spans="1:20" ht="16.5" x14ac:dyDescent="0.3">
      <c r="A5396" t="s">
        <v>5450</v>
      </c>
      <c r="B5396" s="1">
        <v>46006</v>
      </c>
      <c r="C5396">
        <v>2025</v>
      </c>
      <c r="D5396" t="s">
        <v>1873</v>
      </c>
      <c r="E5396" t="s">
        <v>2413</v>
      </c>
      <c r="F5396" t="s">
        <v>30</v>
      </c>
      <c r="G5396" t="s">
        <v>39</v>
      </c>
      <c r="H5396" t="s">
        <v>51</v>
      </c>
      <c r="I5396" t="s">
        <v>26</v>
      </c>
      <c r="J5396" t="s">
        <v>27</v>
      </c>
      <c r="K5396" t="s">
        <v>32</v>
      </c>
      <c r="L5396" s="2">
        <v>15.8</v>
      </c>
      <c r="M5396" s="3">
        <v>1202</v>
      </c>
      <c r="N5396">
        <v>5</v>
      </c>
      <c r="O5396">
        <v>5</v>
      </c>
      <c r="P5396">
        <v>1</v>
      </c>
      <c r="Q5396">
        <v>0</v>
      </c>
      <c r="R5396" s="4">
        <v>32.06</v>
      </c>
      <c r="S5396">
        <v>0</v>
      </c>
      <c r="T5396">
        <v>1</v>
      </c>
    </row>
    <row r="5397" spans="1:20" ht="16.5" x14ac:dyDescent="0.3">
      <c r="A5397" t="s">
        <v>5451</v>
      </c>
      <c r="B5397" s="1">
        <v>46006</v>
      </c>
      <c r="C5397">
        <v>2025</v>
      </c>
      <c r="D5397" t="s">
        <v>1873</v>
      </c>
      <c r="E5397" t="s">
        <v>2413</v>
      </c>
      <c r="F5397" t="s">
        <v>34</v>
      </c>
      <c r="G5397" t="s">
        <v>39</v>
      </c>
      <c r="H5397" t="s">
        <v>51</v>
      </c>
      <c r="I5397" t="s">
        <v>26</v>
      </c>
      <c r="J5397" t="s">
        <v>27</v>
      </c>
      <c r="K5397" t="s">
        <v>32</v>
      </c>
      <c r="L5397" s="2">
        <v>6.2</v>
      </c>
      <c r="M5397" s="3">
        <v>1242</v>
      </c>
      <c r="N5397">
        <v>5</v>
      </c>
      <c r="O5397">
        <v>5</v>
      </c>
      <c r="P5397">
        <v>1</v>
      </c>
      <c r="Q5397">
        <v>0</v>
      </c>
      <c r="R5397" s="4">
        <v>22.99</v>
      </c>
      <c r="S5397">
        <v>0</v>
      </c>
      <c r="T5397">
        <v>1</v>
      </c>
    </row>
    <row r="5398" spans="1:20" ht="16.5" x14ac:dyDescent="0.3">
      <c r="A5398" t="s">
        <v>5452</v>
      </c>
      <c r="B5398" s="1">
        <v>46006</v>
      </c>
      <c r="C5398">
        <v>2025</v>
      </c>
      <c r="D5398" t="s">
        <v>1873</v>
      </c>
      <c r="E5398" t="s">
        <v>2413</v>
      </c>
      <c r="F5398" t="s">
        <v>23</v>
      </c>
      <c r="G5398" t="s">
        <v>39</v>
      </c>
      <c r="H5398" t="s">
        <v>36</v>
      </c>
      <c r="I5398" t="s">
        <v>26</v>
      </c>
      <c r="J5398" t="s">
        <v>27</v>
      </c>
      <c r="K5398" t="s">
        <v>28</v>
      </c>
      <c r="L5398" s="2">
        <v>225.2</v>
      </c>
      <c r="M5398" s="3">
        <v>222</v>
      </c>
      <c r="N5398">
        <v>3</v>
      </c>
      <c r="O5398">
        <v>3</v>
      </c>
      <c r="P5398">
        <v>1</v>
      </c>
      <c r="Q5398">
        <v>0</v>
      </c>
      <c r="R5398" s="4">
        <v>101.36</v>
      </c>
      <c r="S5398">
        <v>0</v>
      </c>
      <c r="T5398">
        <v>1</v>
      </c>
    </row>
    <row r="5399" spans="1:20" ht="16.5" x14ac:dyDescent="0.3">
      <c r="A5399" t="s">
        <v>5453</v>
      </c>
      <c r="B5399" s="1">
        <v>46006</v>
      </c>
      <c r="C5399">
        <v>2025</v>
      </c>
      <c r="D5399" t="s">
        <v>1873</v>
      </c>
      <c r="E5399" t="s">
        <v>2413</v>
      </c>
      <c r="F5399" t="s">
        <v>38</v>
      </c>
      <c r="G5399" t="s">
        <v>35</v>
      </c>
      <c r="H5399" t="s">
        <v>25</v>
      </c>
      <c r="I5399" t="s">
        <v>31</v>
      </c>
      <c r="J5399" t="s">
        <v>27</v>
      </c>
      <c r="K5399" t="s">
        <v>32</v>
      </c>
      <c r="L5399" s="2">
        <v>0.7</v>
      </c>
      <c r="M5399" s="3">
        <v>1023</v>
      </c>
      <c r="N5399">
        <v>6</v>
      </c>
      <c r="O5399">
        <v>6</v>
      </c>
      <c r="P5399">
        <v>1</v>
      </c>
      <c r="Q5399">
        <v>0</v>
      </c>
      <c r="R5399" s="4">
        <v>15.25</v>
      </c>
      <c r="S5399">
        <v>0</v>
      </c>
      <c r="T5399">
        <v>1</v>
      </c>
    </row>
    <row r="5400" spans="1:20" ht="16.5" x14ac:dyDescent="0.3">
      <c r="A5400" t="s">
        <v>5454</v>
      </c>
      <c r="B5400" s="1">
        <v>46006</v>
      </c>
      <c r="C5400">
        <v>2025</v>
      </c>
      <c r="D5400" t="s">
        <v>1873</v>
      </c>
      <c r="E5400" t="s">
        <v>2413</v>
      </c>
      <c r="F5400" t="s">
        <v>30</v>
      </c>
      <c r="G5400" t="s">
        <v>35</v>
      </c>
      <c r="H5400" t="s">
        <v>36</v>
      </c>
      <c r="I5400" t="s">
        <v>31</v>
      </c>
      <c r="J5400" t="s">
        <v>27</v>
      </c>
      <c r="K5400" t="s">
        <v>28</v>
      </c>
      <c r="L5400" s="2">
        <v>13.9</v>
      </c>
      <c r="M5400" s="3">
        <v>231</v>
      </c>
      <c r="N5400">
        <v>5</v>
      </c>
      <c r="O5400">
        <v>5</v>
      </c>
      <c r="P5400">
        <v>1</v>
      </c>
      <c r="Q5400">
        <v>0</v>
      </c>
      <c r="R5400" s="4">
        <v>13.26</v>
      </c>
      <c r="S5400">
        <v>0</v>
      </c>
      <c r="T5400">
        <v>1</v>
      </c>
    </row>
    <row r="5401" spans="1:20" ht="16.5" x14ac:dyDescent="0.3">
      <c r="A5401" t="s">
        <v>5455</v>
      </c>
      <c r="B5401" s="1">
        <v>46006</v>
      </c>
      <c r="C5401">
        <v>2025</v>
      </c>
      <c r="D5401" t="s">
        <v>1873</v>
      </c>
      <c r="E5401" t="s">
        <v>2413</v>
      </c>
      <c r="F5401" t="s">
        <v>38</v>
      </c>
      <c r="G5401" t="s">
        <v>39</v>
      </c>
      <c r="H5401" t="s">
        <v>36</v>
      </c>
      <c r="I5401" t="s">
        <v>40</v>
      </c>
      <c r="J5401" t="s">
        <v>27</v>
      </c>
      <c r="K5401" t="s">
        <v>32</v>
      </c>
      <c r="L5401" s="2">
        <v>0.8</v>
      </c>
      <c r="M5401" s="3">
        <v>279</v>
      </c>
      <c r="N5401">
        <v>1</v>
      </c>
      <c r="O5401">
        <v>1</v>
      </c>
      <c r="P5401">
        <v>1</v>
      </c>
      <c r="Q5401">
        <v>0</v>
      </c>
      <c r="R5401" s="4">
        <v>21.34</v>
      </c>
      <c r="S5401">
        <v>1</v>
      </c>
      <c r="T5401">
        <v>1</v>
      </c>
    </row>
    <row r="5402" spans="1:20" ht="16.5" x14ac:dyDescent="0.3">
      <c r="A5402" t="s">
        <v>5456</v>
      </c>
      <c r="B5402" s="1">
        <v>46006</v>
      </c>
      <c r="C5402">
        <v>2025</v>
      </c>
      <c r="D5402" t="s">
        <v>1873</v>
      </c>
      <c r="E5402" t="s">
        <v>2413</v>
      </c>
      <c r="F5402" t="s">
        <v>38</v>
      </c>
      <c r="G5402" t="s">
        <v>39</v>
      </c>
      <c r="H5402" t="s">
        <v>48</v>
      </c>
      <c r="I5402" t="s">
        <v>26</v>
      </c>
      <c r="J5402" t="s">
        <v>27</v>
      </c>
      <c r="K5402" t="s">
        <v>28</v>
      </c>
      <c r="L5402" s="2">
        <v>90.2</v>
      </c>
      <c r="M5402" s="3">
        <v>433</v>
      </c>
      <c r="N5402">
        <v>4</v>
      </c>
      <c r="O5402">
        <v>4</v>
      </c>
      <c r="P5402">
        <v>1</v>
      </c>
      <c r="Q5402">
        <v>0</v>
      </c>
      <c r="R5402" s="4">
        <v>58.65</v>
      </c>
      <c r="S5402">
        <v>0</v>
      </c>
      <c r="T5402">
        <v>1</v>
      </c>
    </row>
    <row r="5403" spans="1:20" ht="16.5" x14ac:dyDescent="0.3">
      <c r="A5403" t="s">
        <v>5457</v>
      </c>
      <c r="B5403" s="1">
        <v>46006</v>
      </c>
      <c r="C5403">
        <v>2025</v>
      </c>
      <c r="D5403" t="s">
        <v>1873</v>
      </c>
      <c r="E5403" t="s">
        <v>2413</v>
      </c>
      <c r="F5403" t="s">
        <v>23</v>
      </c>
      <c r="G5403" t="s">
        <v>39</v>
      </c>
      <c r="H5403" t="s">
        <v>36</v>
      </c>
      <c r="I5403" t="s">
        <v>26</v>
      </c>
      <c r="J5403" t="s">
        <v>27</v>
      </c>
      <c r="K5403" t="s">
        <v>28</v>
      </c>
      <c r="L5403" s="2">
        <v>62.9</v>
      </c>
      <c r="M5403" s="3">
        <v>273</v>
      </c>
      <c r="N5403">
        <v>3</v>
      </c>
      <c r="O5403">
        <v>2</v>
      </c>
      <c r="P5403">
        <v>1</v>
      </c>
      <c r="Q5403">
        <v>0</v>
      </c>
      <c r="R5403" s="4">
        <v>38.24</v>
      </c>
      <c r="S5403">
        <v>0</v>
      </c>
      <c r="T5403">
        <v>1</v>
      </c>
    </row>
    <row r="5404" spans="1:20" ht="16.5" x14ac:dyDescent="0.3">
      <c r="A5404" t="s">
        <v>5458</v>
      </c>
      <c r="B5404" s="1">
        <v>46006</v>
      </c>
      <c r="C5404">
        <v>2025</v>
      </c>
      <c r="D5404" t="s">
        <v>1873</v>
      </c>
      <c r="E5404" t="s">
        <v>2413</v>
      </c>
      <c r="F5404" t="s">
        <v>57</v>
      </c>
      <c r="G5404" t="s">
        <v>39</v>
      </c>
      <c r="H5404" t="s">
        <v>51</v>
      </c>
      <c r="I5404" t="s">
        <v>40</v>
      </c>
      <c r="J5404" t="s">
        <v>41</v>
      </c>
      <c r="K5404" t="s">
        <v>32</v>
      </c>
      <c r="L5404" s="2">
        <v>9.3000000000000007</v>
      </c>
      <c r="M5404" s="3">
        <v>1204</v>
      </c>
      <c r="N5404">
        <v>3</v>
      </c>
      <c r="O5404">
        <v>2</v>
      </c>
      <c r="P5404">
        <v>1</v>
      </c>
      <c r="Q5404">
        <v>0</v>
      </c>
      <c r="R5404" s="4">
        <v>85.58</v>
      </c>
      <c r="S5404">
        <v>0</v>
      </c>
      <c r="T5404">
        <v>1</v>
      </c>
    </row>
    <row r="5405" spans="1:20" ht="16.5" x14ac:dyDescent="0.3">
      <c r="A5405" t="s">
        <v>5459</v>
      </c>
      <c r="B5405" s="1">
        <v>46006</v>
      </c>
      <c r="C5405">
        <v>2025</v>
      </c>
      <c r="D5405" t="s">
        <v>1873</v>
      </c>
      <c r="E5405" t="s">
        <v>2413</v>
      </c>
      <c r="F5405" t="s">
        <v>30</v>
      </c>
      <c r="G5405" t="s">
        <v>24</v>
      </c>
      <c r="H5405" t="s">
        <v>51</v>
      </c>
      <c r="I5405" t="s">
        <v>26</v>
      </c>
      <c r="J5405" t="s">
        <v>27</v>
      </c>
      <c r="K5405" t="s">
        <v>28</v>
      </c>
      <c r="L5405" s="2">
        <v>56.5</v>
      </c>
      <c r="M5405" s="3">
        <v>1109</v>
      </c>
      <c r="N5405">
        <v>5</v>
      </c>
      <c r="O5405">
        <v>6</v>
      </c>
      <c r="P5405">
        <v>0</v>
      </c>
      <c r="Q5405">
        <v>1</v>
      </c>
      <c r="R5405" s="4">
        <v>45.43</v>
      </c>
      <c r="S5405">
        <v>0</v>
      </c>
      <c r="T5405">
        <v>1</v>
      </c>
    </row>
    <row r="5406" spans="1:20" ht="16.5" x14ac:dyDescent="0.3">
      <c r="A5406" t="s">
        <v>5460</v>
      </c>
      <c r="B5406" s="1">
        <v>46006</v>
      </c>
      <c r="C5406">
        <v>2025</v>
      </c>
      <c r="D5406" t="s">
        <v>1873</v>
      </c>
      <c r="E5406" t="s">
        <v>2413</v>
      </c>
      <c r="F5406" t="s">
        <v>57</v>
      </c>
      <c r="G5406" t="s">
        <v>39</v>
      </c>
      <c r="H5406" t="s">
        <v>48</v>
      </c>
      <c r="I5406" t="s">
        <v>40</v>
      </c>
      <c r="J5406" t="s">
        <v>27</v>
      </c>
      <c r="K5406" t="s">
        <v>32</v>
      </c>
      <c r="L5406" s="2">
        <v>0.9</v>
      </c>
      <c r="M5406" s="3">
        <v>485</v>
      </c>
      <c r="N5406">
        <v>2</v>
      </c>
      <c r="O5406">
        <v>2</v>
      </c>
      <c r="P5406">
        <v>1</v>
      </c>
      <c r="Q5406">
        <v>0</v>
      </c>
      <c r="R5406" s="4">
        <v>21.91</v>
      </c>
      <c r="S5406">
        <v>0</v>
      </c>
      <c r="T5406">
        <v>1</v>
      </c>
    </row>
    <row r="5407" spans="1:20" ht="16.5" x14ac:dyDescent="0.3">
      <c r="A5407" t="s">
        <v>5461</v>
      </c>
      <c r="B5407" s="1">
        <v>46006</v>
      </c>
      <c r="C5407">
        <v>2025</v>
      </c>
      <c r="D5407" t="s">
        <v>1873</v>
      </c>
      <c r="E5407" t="s">
        <v>2413</v>
      </c>
      <c r="F5407" t="s">
        <v>38</v>
      </c>
      <c r="G5407" t="s">
        <v>39</v>
      </c>
      <c r="H5407" t="s">
        <v>48</v>
      </c>
      <c r="I5407" t="s">
        <v>26</v>
      </c>
      <c r="J5407" t="s">
        <v>27</v>
      </c>
      <c r="K5407" t="s">
        <v>32</v>
      </c>
      <c r="L5407" s="2">
        <v>1.9</v>
      </c>
      <c r="M5407" s="3">
        <v>459</v>
      </c>
      <c r="N5407">
        <v>4</v>
      </c>
      <c r="O5407">
        <v>3</v>
      </c>
      <c r="P5407">
        <v>1</v>
      </c>
      <c r="Q5407">
        <v>0</v>
      </c>
      <c r="R5407" s="4">
        <v>14.68</v>
      </c>
      <c r="S5407">
        <v>0</v>
      </c>
      <c r="T5407">
        <v>1</v>
      </c>
    </row>
    <row r="5408" spans="1:20" ht="16.5" x14ac:dyDescent="0.3">
      <c r="A5408" t="s">
        <v>5462</v>
      </c>
      <c r="B5408" s="1">
        <v>46006</v>
      </c>
      <c r="C5408">
        <v>2025</v>
      </c>
      <c r="D5408" t="s">
        <v>1873</v>
      </c>
      <c r="E5408" t="s">
        <v>2413</v>
      </c>
      <c r="F5408" t="s">
        <v>30</v>
      </c>
      <c r="G5408" t="s">
        <v>39</v>
      </c>
      <c r="H5408" t="s">
        <v>25</v>
      </c>
      <c r="I5408" t="s">
        <v>31</v>
      </c>
      <c r="J5408" t="s">
        <v>27</v>
      </c>
      <c r="K5408" t="s">
        <v>32</v>
      </c>
      <c r="L5408" s="2">
        <v>2.7</v>
      </c>
      <c r="M5408" s="3">
        <v>926</v>
      </c>
      <c r="N5408">
        <v>6</v>
      </c>
      <c r="O5408">
        <v>11</v>
      </c>
      <c r="P5408">
        <v>0</v>
      </c>
      <c r="Q5408">
        <v>5</v>
      </c>
      <c r="R5408" s="4">
        <v>14.13</v>
      </c>
      <c r="S5408">
        <v>0</v>
      </c>
      <c r="T5408">
        <v>1</v>
      </c>
    </row>
    <row r="5409" spans="1:20" ht="16.5" x14ac:dyDescent="0.3">
      <c r="A5409" t="s">
        <v>5463</v>
      </c>
      <c r="B5409" s="1">
        <v>46007</v>
      </c>
      <c r="C5409">
        <v>2025</v>
      </c>
      <c r="D5409" t="s">
        <v>1873</v>
      </c>
      <c r="E5409" t="s">
        <v>2413</v>
      </c>
      <c r="F5409" t="s">
        <v>38</v>
      </c>
      <c r="G5409" t="s">
        <v>35</v>
      </c>
      <c r="H5409" t="s">
        <v>36</v>
      </c>
      <c r="I5409" t="s">
        <v>26</v>
      </c>
      <c r="J5409" t="s">
        <v>27</v>
      </c>
      <c r="K5409" t="s">
        <v>32</v>
      </c>
      <c r="L5409" s="2">
        <v>4</v>
      </c>
      <c r="M5409" s="3">
        <v>251</v>
      </c>
      <c r="N5409">
        <v>3</v>
      </c>
      <c r="O5409">
        <v>3</v>
      </c>
      <c r="P5409">
        <v>1</v>
      </c>
      <c r="Q5409">
        <v>0</v>
      </c>
      <c r="R5409" s="4">
        <v>13.15</v>
      </c>
      <c r="S5409">
        <v>0</v>
      </c>
      <c r="T5409">
        <v>1</v>
      </c>
    </row>
    <row r="5410" spans="1:20" ht="16.5" x14ac:dyDescent="0.3">
      <c r="A5410" t="s">
        <v>5464</v>
      </c>
      <c r="B5410" s="1">
        <v>46007</v>
      </c>
      <c r="C5410">
        <v>2025</v>
      </c>
      <c r="D5410" t="s">
        <v>1873</v>
      </c>
      <c r="E5410" t="s">
        <v>2413</v>
      </c>
      <c r="F5410" t="s">
        <v>34</v>
      </c>
      <c r="G5410" t="s">
        <v>24</v>
      </c>
      <c r="H5410" t="s">
        <v>36</v>
      </c>
      <c r="I5410" t="s">
        <v>26</v>
      </c>
      <c r="J5410" t="s">
        <v>27</v>
      </c>
      <c r="K5410" t="s">
        <v>32</v>
      </c>
      <c r="L5410" s="2">
        <v>9.4</v>
      </c>
      <c r="M5410" s="3">
        <v>270</v>
      </c>
      <c r="N5410">
        <v>3</v>
      </c>
      <c r="O5410">
        <v>3</v>
      </c>
      <c r="P5410">
        <v>1</v>
      </c>
      <c r="Q5410">
        <v>0</v>
      </c>
      <c r="R5410" s="4">
        <v>12.72</v>
      </c>
      <c r="S5410">
        <v>0</v>
      </c>
      <c r="T5410">
        <v>1</v>
      </c>
    </row>
    <row r="5411" spans="1:20" ht="16.5" x14ac:dyDescent="0.3">
      <c r="A5411" t="s">
        <v>5465</v>
      </c>
      <c r="B5411" s="1">
        <v>46007</v>
      </c>
      <c r="C5411">
        <v>2025</v>
      </c>
      <c r="D5411" t="s">
        <v>1873</v>
      </c>
      <c r="E5411" t="s">
        <v>2413</v>
      </c>
      <c r="F5411" t="s">
        <v>30</v>
      </c>
      <c r="G5411" t="s">
        <v>24</v>
      </c>
      <c r="H5411" t="s">
        <v>48</v>
      </c>
      <c r="I5411" t="s">
        <v>26</v>
      </c>
      <c r="J5411" t="s">
        <v>27</v>
      </c>
      <c r="K5411" t="s">
        <v>32</v>
      </c>
      <c r="L5411" s="2">
        <v>4.5</v>
      </c>
      <c r="M5411" s="3">
        <v>348</v>
      </c>
      <c r="N5411">
        <v>4</v>
      </c>
      <c r="O5411">
        <v>3</v>
      </c>
      <c r="P5411">
        <v>1</v>
      </c>
      <c r="Q5411">
        <v>0</v>
      </c>
      <c r="R5411" s="4">
        <v>14.65</v>
      </c>
      <c r="S5411">
        <v>0</v>
      </c>
      <c r="T5411">
        <v>1</v>
      </c>
    </row>
    <row r="5412" spans="1:20" ht="16.5" x14ac:dyDescent="0.3">
      <c r="A5412" t="s">
        <v>5466</v>
      </c>
      <c r="B5412" s="1">
        <v>46007</v>
      </c>
      <c r="C5412">
        <v>2025</v>
      </c>
      <c r="D5412" t="s">
        <v>1873</v>
      </c>
      <c r="E5412" t="s">
        <v>2413</v>
      </c>
      <c r="F5412" t="s">
        <v>57</v>
      </c>
      <c r="G5412" t="s">
        <v>35</v>
      </c>
      <c r="H5412" t="s">
        <v>43</v>
      </c>
      <c r="I5412" t="s">
        <v>31</v>
      </c>
      <c r="J5412" t="s">
        <v>27</v>
      </c>
      <c r="K5412" t="s">
        <v>32</v>
      </c>
      <c r="L5412" s="2">
        <v>6.6</v>
      </c>
      <c r="M5412" s="3">
        <v>1310</v>
      </c>
      <c r="N5412">
        <v>7</v>
      </c>
      <c r="O5412">
        <v>7</v>
      </c>
      <c r="P5412">
        <v>1</v>
      </c>
      <c r="Q5412">
        <v>0</v>
      </c>
      <c r="R5412" s="4">
        <v>17.14</v>
      </c>
      <c r="S5412">
        <v>0</v>
      </c>
      <c r="T5412">
        <v>1</v>
      </c>
    </row>
    <row r="5413" spans="1:20" ht="16.5" x14ac:dyDescent="0.3">
      <c r="A5413" t="s">
        <v>5467</v>
      </c>
      <c r="B5413" s="1">
        <v>46007</v>
      </c>
      <c r="C5413">
        <v>2025</v>
      </c>
      <c r="D5413" t="s">
        <v>1873</v>
      </c>
      <c r="E5413" t="s">
        <v>2413</v>
      </c>
      <c r="F5413" t="s">
        <v>34</v>
      </c>
      <c r="G5413" t="s">
        <v>35</v>
      </c>
      <c r="H5413" t="s">
        <v>36</v>
      </c>
      <c r="I5413" t="s">
        <v>26</v>
      </c>
      <c r="J5413" t="s">
        <v>27</v>
      </c>
      <c r="K5413" t="s">
        <v>28</v>
      </c>
      <c r="L5413" s="2">
        <v>80.8</v>
      </c>
      <c r="M5413" s="3">
        <v>248</v>
      </c>
      <c r="N5413">
        <v>3</v>
      </c>
      <c r="O5413">
        <v>6</v>
      </c>
      <c r="P5413">
        <v>0</v>
      </c>
      <c r="Q5413">
        <v>3</v>
      </c>
      <c r="R5413" s="4">
        <v>38.08</v>
      </c>
      <c r="S5413">
        <v>0</v>
      </c>
      <c r="T5413">
        <v>1</v>
      </c>
    </row>
    <row r="5414" spans="1:20" ht="16.5" x14ac:dyDescent="0.3">
      <c r="A5414" t="s">
        <v>5468</v>
      </c>
      <c r="B5414" s="1">
        <v>46007</v>
      </c>
      <c r="C5414">
        <v>2025</v>
      </c>
      <c r="D5414" t="s">
        <v>1873</v>
      </c>
      <c r="E5414" t="s">
        <v>2413</v>
      </c>
      <c r="F5414" t="s">
        <v>34</v>
      </c>
      <c r="G5414" t="s">
        <v>39</v>
      </c>
      <c r="H5414" t="s">
        <v>48</v>
      </c>
      <c r="I5414" t="s">
        <v>26</v>
      </c>
      <c r="J5414" t="s">
        <v>27</v>
      </c>
      <c r="K5414" t="s">
        <v>32</v>
      </c>
      <c r="L5414" s="2">
        <v>7.9</v>
      </c>
      <c r="M5414" s="3">
        <v>483</v>
      </c>
      <c r="N5414">
        <v>4</v>
      </c>
      <c r="O5414">
        <v>4</v>
      </c>
      <c r="P5414">
        <v>1</v>
      </c>
      <c r="Q5414">
        <v>0</v>
      </c>
      <c r="R5414" s="4">
        <v>16.059999999999999</v>
      </c>
      <c r="S5414">
        <v>0</v>
      </c>
      <c r="T5414">
        <v>1</v>
      </c>
    </row>
    <row r="5415" spans="1:20" ht="16.5" x14ac:dyDescent="0.3">
      <c r="A5415" t="s">
        <v>5469</v>
      </c>
      <c r="B5415" s="1">
        <v>46007</v>
      </c>
      <c r="C5415">
        <v>2025</v>
      </c>
      <c r="D5415" t="s">
        <v>1873</v>
      </c>
      <c r="E5415" t="s">
        <v>2413</v>
      </c>
      <c r="F5415" t="s">
        <v>34</v>
      </c>
      <c r="G5415" t="s">
        <v>24</v>
      </c>
      <c r="H5415" t="s">
        <v>25</v>
      </c>
      <c r="I5415" t="s">
        <v>26</v>
      </c>
      <c r="J5415" t="s">
        <v>27</v>
      </c>
      <c r="K5415" t="s">
        <v>32</v>
      </c>
      <c r="L5415" s="2">
        <v>2.9</v>
      </c>
      <c r="M5415" s="3">
        <v>969</v>
      </c>
      <c r="N5415">
        <v>4</v>
      </c>
      <c r="O5415">
        <v>6</v>
      </c>
      <c r="P5415">
        <v>0</v>
      </c>
      <c r="Q5415">
        <v>2</v>
      </c>
      <c r="R5415" s="4">
        <v>16.510000000000002</v>
      </c>
      <c r="S5415">
        <v>0</v>
      </c>
      <c r="T5415">
        <v>1</v>
      </c>
    </row>
    <row r="5416" spans="1:20" ht="16.5" x14ac:dyDescent="0.3">
      <c r="A5416" t="s">
        <v>5470</v>
      </c>
      <c r="B5416" s="1">
        <v>46007</v>
      </c>
      <c r="C5416">
        <v>2025</v>
      </c>
      <c r="D5416" t="s">
        <v>1873</v>
      </c>
      <c r="E5416" t="s">
        <v>2413</v>
      </c>
      <c r="F5416" t="s">
        <v>57</v>
      </c>
      <c r="G5416" t="s">
        <v>39</v>
      </c>
      <c r="H5416" t="s">
        <v>36</v>
      </c>
      <c r="I5416" t="s">
        <v>26</v>
      </c>
      <c r="J5416" t="s">
        <v>27</v>
      </c>
      <c r="K5416" t="s">
        <v>32</v>
      </c>
      <c r="L5416" s="2">
        <v>9.9</v>
      </c>
      <c r="M5416" s="3">
        <v>249</v>
      </c>
      <c r="N5416">
        <v>3</v>
      </c>
      <c r="O5416">
        <v>3</v>
      </c>
      <c r="P5416">
        <v>1</v>
      </c>
      <c r="Q5416">
        <v>0</v>
      </c>
      <c r="R5416" s="4">
        <v>16.34</v>
      </c>
      <c r="S5416">
        <v>0</v>
      </c>
      <c r="T5416">
        <v>1</v>
      </c>
    </row>
    <row r="5417" spans="1:20" ht="16.5" x14ac:dyDescent="0.3">
      <c r="A5417" t="s">
        <v>5471</v>
      </c>
      <c r="B5417" s="1">
        <v>46007</v>
      </c>
      <c r="C5417">
        <v>2025</v>
      </c>
      <c r="D5417" t="s">
        <v>1873</v>
      </c>
      <c r="E5417" t="s">
        <v>2413</v>
      </c>
      <c r="F5417" t="s">
        <v>38</v>
      </c>
      <c r="G5417" t="s">
        <v>39</v>
      </c>
      <c r="H5417" t="s">
        <v>51</v>
      </c>
      <c r="I5417" t="s">
        <v>26</v>
      </c>
      <c r="J5417" t="s">
        <v>27</v>
      </c>
      <c r="K5417" t="s">
        <v>32</v>
      </c>
      <c r="L5417" s="2">
        <v>4.0999999999999996</v>
      </c>
      <c r="M5417" s="3">
        <v>1180</v>
      </c>
      <c r="N5417">
        <v>5</v>
      </c>
      <c r="O5417">
        <v>5</v>
      </c>
      <c r="P5417">
        <v>1</v>
      </c>
      <c r="Q5417">
        <v>0</v>
      </c>
      <c r="R5417" s="4">
        <v>29.03</v>
      </c>
      <c r="S5417">
        <v>0</v>
      </c>
      <c r="T5417">
        <v>1</v>
      </c>
    </row>
    <row r="5418" spans="1:20" ht="16.5" x14ac:dyDescent="0.3">
      <c r="A5418" t="s">
        <v>5472</v>
      </c>
      <c r="B5418" s="1">
        <v>46007</v>
      </c>
      <c r="C5418">
        <v>2025</v>
      </c>
      <c r="D5418" t="s">
        <v>1873</v>
      </c>
      <c r="E5418" t="s">
        <v>2413</v>
      </c>
      <c r="F5418" t="s">
        <v>30</v>
      </c>
      <c r="G5418" t="s">
        <v>35</v>
      </c>
      <c r="H5418" t="s">
        <v>25</v>
      </c>
      <c r="I5418" t="s">
        <v>26</v>
      </c>
      <c r="J5418" t="s">
        <v>27</v>
      </c>
      <c r="K5418" t="s">
        <v>32</v>
      </c>
      <c r="L5418" s="2">
        <v>9.6</v>
      </c>
      <c r="M5418" s="3">
        <v>688</v>
      </c>
      <c r="N5418">
        <v>4</v>
      </c>
      <c r="O5418">
        <v>3</v>
      </c>
      <c r="P5418">
        <v>1</v>
      </c>
      <c r="Q5418">
        <v>0</v>
      </c>
      <c r="R5418" s="4">
        <v>21.78</v>
      </c>
      <c r="S5418">
        <v>0</v>
      </c>
      <c r="T5418">
        <v>1</v>
      </c>
    </row>
    <row r="5419" spans="1:20" ht="16.5" x14ac:dyDescent="0.3">
      <c r="A5419" t="s">
        <v>5473</v>
      </c>
      <c r="B5419" s="1">
        <v>46007</v>
      </c>
      <c r="C5419">
        <v>2025</v>
      </c>
      <c r="D5419" t="s">
        <v>1873</v>
      </c>
      <c r="E5419" t="s">
        <v>2413</v>
      </c>
      <c r="F5419" t="s">
        <v>34</v>
      </c>
      <c r="G5419" t="s">
        <v>35</v>
      </c>
      <c r="H5419" t="s">
        <v>48</v>
      </c>
      <c r="I5419" t="s">
        <v>26</v>
      </c>
      <c r="J5419" t="s">
        <v>27</v>
      </c>
      <c r="K5419" t="s">
        <v>32</v>
      </c>
      <c r="L5419" s="2">
        <v>16.100000000000001</v>
      </c>
      <c r="M5419" s="3">
        <v>477</v>
      </c>
      <c r="N5419">
        <v>4</v>
      </c>
      <c r="O5419">
        <v>3</v>
      </c>
      <c r="P5419">
        <v>1</v>
      </c>
      <c r="Q5419">
        <v>0</v>
      </c>
      <c r="R5419" s="4">
        <v>19.82</v>
      </c>
      <c r="S5419">
        <v>0</v>
      </c>
      <c r="T5419">
        <v>1</v>
      </c>
    </row>
    <row r="5420" spans="1:20" ht="16.5" x14ac:dyDescent="0.3">
      <c r="A5420" t="s">
        <v>5474</v>
      </c>
      <c r="B5420" s="1">
        <v>46007</v>
      </c>
      <c r="C5420">
        <v>2025</v>
      </c>
      <c r="D5420" t="s">
        <v>1873</v>
      </c>
      <c r="E5420" t="s">
        <v>2413</v>
      </c>
      <c r="F5420" t="s">
        <v>57</v>
      </c>
      <c r="G5420" t="s">
        <v>39</v>
      </c>
      <c r="H5420" t="s">
        <v>25</v>
      </c>
      <c r="I5420" t="s">
        <v>31</v>
      </c>
      <c r="J5420" t="s">
        <v>27</v>
      </c>
      <c r="K5420" t="s">
        <v>32</v>
      </c>
      <c r="L5420" s="2">
        <v>6.5</v>
      </c>
      <c r="M5420" s="3">
        <v>960</v>
      </c>
      <c r="N5420">
        <v>6</v>
      </c>
      <c r="O5420">
        <v>5</v>
      </c>
      <c r="P5420">
        <v>1</v>
      </c>
      <c r="Q5420">
        <v>0</v>
      </c>
      <c r="R5420" s="4">
        <v>15.49</v>
      </c>
      <c r="S5420">
        <v>0</v>
      </c>
      <c r="T5420">
        <v>1</v>
      </c>
    </row>
    <row r="5421" spans="1:20" ht="16.5" x14ac:dyDescent="0.3">
      <c r="A5421" t="s">
        <v>5475</v>
      </c>
      <c r="B5421" s="1">
        <v>46007</v>
      </c>
      <c r="C5421">
        <v>2025</v>
      </c>
      <c r="D5421" t="s">
        <v>1873</v>
      </c>
      <c r="E5421" t="s">
        <v>2413</v>
      </c>
      <c r="F5421" t="s">
        <v>38</v>
      </c>
      <c r="G5421" t="s">
        <v>35</v>
      </c>
      <c r="H5421" t="s">
        <v>25</v>
      </c>
      <c r="I5421" t="s">
        <v>26</v>
      </c>
      <c r="J5421" t="s">
        <v>27</v>
      </c>
      <c r="K5421" t="s">
        <v>28</v>
      </c>
      <c r="L5421" s="2">
        <v>175.2</v>
      </c>
      <c r="M5421" s="3">
        <v>1091</v>
      </c>
      <c r="N5421">
        <v>4</v>
      </c>
      <c r="O5421">
        <v>3</v>
      </c>
      <c r="P5421">
        <v>1</v>
      </c>
      <c r="Q5421">
        <v>0</v>
      </c>
      <c r="R5421" s="4">
        <v>105.33</v>
      </c>
      <c r="S5421">
        <v>0</v>
      </c>
      <c r="T5421">
        <v>1</v>
      </c>
    </row>
    <row r="5422" spans="1:20" ht="16.5" x14ac:dyDescent="0.3">
      <c r="A5422" t="s">
        <v>5476</v>
      </c>
      <c r="B5422" s="1">
        <v>46007</v>
      </c>
      <c r="C5422">
        <v>2025</v>
      </c>
      <c r="D5422" t="s">
        <v>1873</v>
      </c>
      <c r="E5422" t="s">
        <v>2413</v>
      </c>
      <c r="F5422" t="s">
        <v>23</v>
      </c>
      <c r="G5422" t="s">
        <v>35</v>
      </c>
      <c r="H5422" t="s">
        <v>25</v>
      </c>
      <c r="I5422" t="s">
        <v>31</v>
      </c>
      <c r="J5422" t="s">
        <v>27</v>
      </c>
      <c r="K5422" t="s">
        <v>32</v>
      </c>
      <c r="L5422" s="2">
        <v>0.9</v>
      </c>
      <c r="M5422" s="3">
        <v>827</v>
      </c>
      <c r="N5422">
        <v>6</v>
      </c>
      <c r="O5422">
        <v>6</v>
      </c>
      <c r="P5422">
        <v>1</v>
      </c>
      <c r="Q5422">
        <v>0</v>
      </c>
      <c r="R5422" s="4">
        <v>11.18</v>
      </c>
      <c r="S5422">
        <v>0</v>
      </c>
      <c r="T5422">
        <v>1</v>
      </c>
    </row>
    <row r="5423" spans="1:20" ht="16.5" x14ac:dyDescent="0.3">
      <c r="A5423" t="s">
        <v>5477</v>
      </c>
      <c r="B5423" s="1">
        <v>46007</v>
      </c>
      <c r="C5423">
        <v>2025</v>
      </c>
      <c r="D5423" t="s">
        <v>1873</v>
      </c>
      <c r="E5423" t="s">
        <v>2413</v>
      </c>
      <c r="F5423" t="s">
        <v>57</v>
      </c>
      <c r="G5423" t="s">
        <v>24</v>
      </c>
      <c r="H5423" t="s">
        <v>51</v>
      </c>
      <c r="I5423" t="s">
        <v>26</v>
      </c>
      <c r="J5423" t="s">
        <v>27</v>
      </c>
      <c r="K5423" t="s">
        <v>32</v>
      </c>
      <c r="L5423" s="2">
        <v>18.399999999999999</v>
      </c>
      <c r="M5423" s="3">
        <v>1233</v>
      </c>
      <c r="N5423">
        <v>5</v>
      </c>
      <c r="O5423">
        <v>8</v>
      </c>
      <c r="P5423">
        <v>0</v>
      </c>
      <c r="Q5423">
        <v>3</v>
      </c>
      <c r="R5423" s="4">
        <v>29.3</v>
      </c>
      <c r="S5423">
        <v>0</v>
      </c>
      <c r="T5423">
        <v>1</v>
      </c>
    </row>
    <row r="5424" spans="1:20" ht="16.5" x14ac:dyDescent="0.3">
      <c r="A5424" t="s">
        <v>5478</v>
      </c>
      <c r="B5424" s="1">
        <v>46007</v>
      </c>
      <c r="C5424">
        <v>2025</v>
      </c>
      <c r="D5424" t="s">
        <v>1873</v>
      </c>
      <c r="E5424" t="s">
        <v>2413</v>
      </c>
      <c r="F5424" t="s">
        <v>57</v>
      </c>
      <c r="G5424" t="s">
        <v>35</v>
      </c>
      <c r="H5424" t="s">
        <v>51</v>
      </c>
      <c r="I5424" t="s">
        <v>26</v>
      </c>
      <c r="J5424" t="s">
        <v>27</v>
      </c>
      <c r="K5424" t="s">
        <v>32</v>
      </c>
      <c r="L5424" s="2">
        <v>8.4</v>
      </c>
      <c r="M5424" s="3">
        <v>865</v>
      </c>
      <c r="N5424">
        <v>5</v>
      </c>
      <c r="O5424">
        <v>4</v>
      </c>
      <c r="P5424">
        <v>1</v>
      </c>
      <c r="Q5424">
        <v>0</v>
      </c>
      <c r="R5424" s="4">
        <v>22.66</v>
      </c>
      <c r="S5424">
        <v>0</v>
      </c>
      <c r="T5424">
        <v>1</v>
      </c>
    </row>
    <row r="5425" spans="1:20" ht="16.5" x14ac:dyDescent="0.3">
      <c r="A5425" t="s">
        <v>5479</v>
      </c>
      <c r="B5425" s="1">
        <v>46008</v>
      </c>
      <c r="C5425">
        <v>2025</v>
      </c>
      <c r="D5425" t="s">
        <v>1873</v>
      </c>
      <c r="E5425" t="s">
        <v>2413</v>
      </c>
      <c r="F5425" t="s">
        <v>57</v>
      </c>
      <c r="G5425" t="s">
        <v>39</v>
      </c>
      <c r="H5425" t="s">
        <v>36</v>
      </c>
      <c r="I5425" t="s">
        <v>26</v>
      </c>
      <c r="J5425" t="s">
        <v>27</v>
      </c>
      <c r="K5425" t="s">
        <v>32</v>
      </c>
      <c r="L5425" s="2">
        <v>7.6</v>
      </c>
      <c r="M5425" s="3">
        <v>287</v>
      </c>
      <c r="N5425">
        <v>3</v>
      </c>
      <c r="O5425">
        <v>5</v>
      </c>
      <c r="P5425">
        <v>0</v>
      </c>
      <c r="Q5425">
        <v>2</v>
      </c>
      <c r="R5425" s="4">
        <v>15.59</v>
      </c>
      <c r="S5425">
        <v>0</v>
      </c>
      <c r="T5425">
        <v>1</v>
      </c>
    </row>
    <row r="5426" spans="1:20" ht="16.5" x14ac:dyDescent="0.3">
      <c r="A5426" t="s">
        <v>5480</v>
      </c>
      <c r="B5426" s="1">
        <v>46008</v>
      </c>
      <c r="C5426">
        <v>2025</v>
      </c>
      <c r="D5426" t="s">
        <v>1873</v>
      </c>
      <c r="E5426" t="s">
        <v>2413</v>
      </c>
      <c r="F5426" t="s">
        <v>57</v>
      </c>
      <c r="G5426" t="s">
        <v>39</v>
      </c>
      <c r="H5426" t="s">
        <v>36</v>
      </c>
      <c r="I5426" t="s">
        <v>26</v>
      </c>
      <c r="J5426" t="s">
        <v>27</v>
      </c>
      <c r="K5426" t="s">
        <v>28</v>
      </c>
      <c r="L5426" s="2">
        <v>81.8</v>
      </c>
      <c r="M5426" s="3">
        <v>235</v>
      </c>
      <c r="N5426">
        <v>3</v>
      </c>
      <c r="O5426">
        <v>3</v>
      </c>
      <c r="P5426">
        <v>1</v>
      </c>
      <c r="Q5426">
        <v>0</v>
      </c>
      <c r="R5426" s="4">
        <v>50.29</v>
      </c>
      <c r="S5426">
        <v>0</v>
      </c>
      <c r="T5426">
        <v>1</v>
      </c>
    </row>
    <row r="5427" spans="1:20" ht="16.5" x14ac:dyDescent="0.3">
      <c r="A5427" t="s">
        <v>5481</v>
      </c>
      <c r="B5427" s="1">
        <v>46008</v>
      </c>
      <c r="C5427">
        <v>2025</v>
      </c>
      <c r="D5427" t="s">
        <v>1873</v>
      </c>
      <c r="E5427" t="s">
        <v>2413</v>
      </c>
      <c r="F5427" t="s">
        <v>34</v>
      </c>
      <c r="G5427" t="s">
        <v>39</v>
      </c>
      <c r="H5427" t="s">
        <v>36</v>
      </c>
      <c r="I5427" t="s">
        <v>31</v>
      </c>
      <c r="J5427" t="s">
        <v>27</v>
      </c>
      <c r="K5427" t="s">
        <v>32</v>
      </c>
      <c r="L5427" s="2">
        <v>9.3000000000000007</v>
      </c>
      <c r="M5427" s="3">
        <v>266</v>
      </c>
      <c r="N5427">
        <v>5</v>
      </c>
      <c r="O5427">
        <v>7</v>
      </c>
      <c r="P5427">
        <v>0</v>
      </c>
      <c r="Q5427">
        <v>2</v>
      </c>
      <c r="R5427" s="4">
        <v>8.57</v>
      </c>
      <c r="S5427">
        <v>0</v>
      </c>
      <c r="T5427">
        <v>1</v>
      </c>
    </row>
    <row r="5428" spans="1:20" ht="16.5" x14ac:dyDescent="0.3">
      <c r="A5428" t="s">
        <v>5482</v>
      </c>
      <c r="B5428" s="1">
        <v>46008</v>
      </c>
      <c r="C5428">
        <v>2025</v>
      </c>
      <c r="D5428" t="s">
        <v>1873</v>
      </c>
      <c r="E5428" t="s">
        <v>2413</v>
      </c>
      <c r="F5428" t="s">
        <v>30</v>
      </c>
      <c r="G5428" t="s">
        <v>35</v>
      </c>
      <c r="H5428" t="s">
        <v>25</v>
      </c>
      <c r="I5428" t="s">
        <v>31</v>
      </c>
      <c r="J5428" t="s">
        <v>27</v>
      </c>
      <c r="K5428" t="s">
        <v>32</v>
      </c>
      <c r="L5428" s="2">
        <v>5.9</v>
      </c>
      <c r="M5428" s="3">
        <v>929</v>
      </c>
      <c r="N5428">
        <v>6</v>
      </c>
      <c r="O5428">
        <v>6</v>
      </c>
      <c r="P5428">
        <v>1</v>
      </c>
      <c r="Q5428">
        <v>0</v>
      </c>
      <c r="R5428" s="4">
        <v>15.98</v>
      </c>
      <c r="S5428">
        <v>0</v>
      </c>
      <c r="T5428">
        <v>1</v>
      </c>
    </row>
    <row r="5429" spans="1:20" ht="16.5" x14ac:dyDescent="0.3">
      <c r="A5429" t="s">
        <v>5483</v>
      </c>
      <c r="B5429" s="1">
        <v>46008</v>
      </c>
      <c r="C5429">
        <v>2025</v>
      </c>
      <c r="D5429" t="s">
        <v>1873</v>
      </c>
      <c r="E5429" t="s">
        <v>2413</v>
      </c>
      <c r="F5429" t="s">
        <v>30</v>
      </c>
      <c r="G5429" t="s">
        <v>39</v>
      </c>
      <c r="H5429" t="s">
        <v>51</v>
      </c>
      <c r="I5429" t="s">
        <v>26</v>
      </c>
      <c r="J5429" t="s">
        <v>27</v>
      </c>
      <c r="K5429" t="s">
        <v>32</v>
      </c>
      <c r="L5429" s="2">
        <v>9.1999999999999993</v>
      </c>
      <c r="M5429" s="3">
        <v>919</v>
      </c>
      <c r="N5429">
        <v>5</v>
      </c>
      <c r="O5429">
        <v>5</v>
      </c>
      <c r="P5429">
        <v>1</v>
      </c>
      <c r="Q5429">
        <v>0</v>
      </c>
      <c r="R5429" s="4">
        <v>25.09</v>
      </c>
      <c r="S5429">
        <v>0</v>
      </c>
      <c r="T5429">
        <v>1</v>
      </c>
    </row>
    <row r="5430" spans="1:20" ht="16.5" x14ac:dyDescent="0.3">
      <c r="A5430" t="s">
        <v>5484</v>
      </c>
      <c r="B5430" s="1">
        <v>46008</v>
      </c>
      <c r="C5430">
        <v>2025</v>
      </c>
      <c r="D5430" t="s">
        <v>1873</v>
      </c>
      <c r="E5430" t="s">
        <v>2413</v>
      </c>
      <c r="F5430" t="s">
        <v>38</v>
      </c>
      <c r="G5430" t="s">
        <v>35</v>
      </c>
      <c r="H5430" t="s">
        <v>51</v>
      </c>
      <c r="I5430" t="s">
        <v>26</v>
      </c>
      <c r="J5430" t="s">
        <v>27</v>
      </c>
      <c r="K5430" t="s">
        <v>28</v>
      </c>
      <c r="L5430" s="2">
        <v>146.4</v>
      </c>
      <c r="M5430" s="3">
        <v>1111</v>
      </c>
      <c r="N5430">
        <v>5</v>
      </c>
      <c r="O5430">
        <v>5</v>
      </c>
      <c r="P5430">
        <v>1</v>
      </c>
      <c r="Q5430">
        <v>0</v>
      </c>
      <c r="R5430" s="4">
        <v>91.13</v>
      </c>
      <c r="S5430">
        <v>0</v>
      </c>
      <c r="T5430">
        <v>1</v>
      </c>
    </row>
    <row r="5431" spans="1:20" ht="16.5" x14ac:dyDescent="0.3">
      <c r="A5431" t="s">
        <v>5485</v>
      </c>
      <c r="B5431" s="1">
        <v>46008</v>
      </c>
      <c r="C5431">
        <v>2025</v>
      </c>
      <c r="D5431" t="s">
        <v>1873</v>
      </c>
      <c r="E5431" t="s">
        <v>2413</v>
      </c>
      <c r="F5431" t="s">
        <v>23</v>
      </c>
      <c r="G5431" t="s">
        <v>39</v>
      </c>
      <c r="H5431" t="s">
        <v>51</v>
      </c>
      <c r="I5431" t="s">
        <v>31</v>
      </c>
      <c r="J5431" t="s">
        <v>27</v>
      </c>
      <c r="K5431" t="s">
        <v>28</v>
      </c>
      <c r="L5431" s="2">
        <v>56.3</v>
      </c>
      <c r="M5431" s="3">
        <v>1253</v>
      </c>
      <c r="N5431">
        <v>7</v>
      </c>
      <c r="O5431">
        <v>6</v>
      </c>
      <c r="P5431">
        <v>1</v>
      </c>
      <c r="Q5431">
        <v>0</v>
      </c>
      <c r="R5431" s="4">
        <v>36.31</v>
      </c>
      <c r="S5431">
        <v>0</v>
      </c>
      <c r="T5431">
        <v>1</v>
      </c>
    </row>
    <row r="5432" spans="1:20" ht="16.5" x14ac:dyDescent="0.3">
      <c r="A5432" t="s">
        <v>5486</v>
      </c>
      <c r="B5432" s="1">
        <v>46008</v>
      </c>
      <c r="C5432">
        <v>2025</v>
      </c>
      <c r="D5432" t="s">
        <v>1873</v>
      </c>
      <c r="E5432" t="s">
        <v>2413</v>
      </c>
      <c r="F5432" t="s">
        <v>30</v>
      </c>
      <c r="G5432" t="s">
        <v>39</v>
      </c>
      <c r="H5432" t="s">
        <v>36</v>
      </c>
      <c r="I5432" t="s">
        <v>31</v>
      </c>
      <c r="J5432" t="s">
        <v>27</v>
      </c>
      <c r="K5432" t="s">
        <v>32</v>
      </c>
      <c r="L5432" s="2">
        <v>1.5</v>
      </c>
      <c r="M5432" s="3">
        <v>272</v>
      </c>
      <c r="N5432">
        <v>5</v>
      </c>
      <c r="O5432">
        <v>6</v>
      </c>
      <c r="P5432">
        <v>0</v>
      </c>
      <c r="Q5432">
        <v>1</v>
      </c>
      <c r="R5432" s="4">
        <v>7.92</v>
      </c>
      <c r="S5432">
        <v>0</v>
      </c>
      <c r="T5432">
        <v>1</v>
      </c>
    </row>
    <row r="5433" spans="1:20" ht="16.5" x14ac:dyDescent="0.3">
      <c r="A5433" t="s">
        <v>5487</v>
      </c>
      <c r="B5433" s="1">
        <v>46008</v>
      </c>
      <c r="C5433">
        <v>2025</v>
      </c>
      <c r="D5433" t="s">
        <v>1873</v>
      </c>
      <c r="E5433" t="s">
        <v>2413</v>
      </c>
      <c r="F5433" t="s">
        <v>38</v>
      </c>
      <c r="G5433" t="s">
        <v>39</v>
      </c>
      <c r="H5433" t="s">
        <v>36</v>
      </c>
      <c r="I5433" t="s">
        <v>26</v>
      </c>
      <c r="J5433" t="s">
        <v>27</v>
      </c>
      <c r="K5433" t="s">
        <v>28</v>
      </c>
      <c r="L5433" s="2">
        <v>53.3</v>
      </c>
      <c r="M5433" s="3">
        <v>238</v>
      </c>
      <c r="N5433">
        <v>3</v>
      </c>
      <c r="O5433">
        <v>2</v>
      </c>
      <c r="P5433">
        <v>1</v>
      </c>
      <c r="Q5433">
        <v>0</v>
      </c>
      <c r="R5433" s="4">
        <v>38.47</v>
      </c>
      <c r="S5433">
        <v>1</v>
      </c>
      <c r="T5433">
        <v>1</v>
      </c>
    </row>
    <row r="5434" spans="1:20" ht="16.5" x14ac:dyDescent="0.3">
      <c r="A5434" t="s">
        <v>5488</v>
      </c>
      <c r="B5434" s="1">
        <v>46008</v>
      </c>
      <c r="C5434">
        <v>2025</v>
      </c>
      <c r="D5434" t="s">
        <v>1873</v>
      </c>
      <c r="E5434" t="s">
        <v>2413</v>
      </c>
      <c r="F5434" t="s">
        <v>30</v>
      </c>
      <c r="G5434" t="s">
        <v>39</v>
      </c>
      <c r="H5434" t="s">
        <v>36</v>
      </c>
      <c r="I5434" t="s">
        <v>26</v>
      </c>
      <c r="J5434" t="s">
        <v>27</v>
      </c>
      <c r="K5434" t="s">
        <v>32</v>
      </c>
      <c r="L5434" s="2">
        <v>6.3</v>
      </c>
      <c r="M5434" s="3">
        <v>250</v>
      </c>
      <c r="N5434">
        <v>3</v>
      </c>
      <c r="O5434">
        <v>2</v>
      </c>
      <c r="P5434">
        <v>1</v>
      </c>
      <c r="Q5434">
        <v>0</v>
      </c>
      <c r="R5434" s="4">
        <v>14.21</v>
      </c>
      <c r="S5434">
        <v>0</v>
      </c>
      <c r="T5434">
        <v>1</v>
      </c>
    </row>
    <row r="5435" spans="1:20" ht="16.5" x14ac:dyDescent="0.3">
      <c r="A5435" t="s">
        <v>5489</v>
      </c>
      <c r="B5435" s="1">
        <v>46008</v>
      </c>
      <c r="C5435">
        <v>2025</v>
      </c>
      <c r="D5435" t="s">
        <v>1873</v>
      </c>
      <c r="E5435" t="s">
        <v>2413</v>
      </c>
      <c r="F5435" t="s">
        <v>57</v>
      </c>
      <c r="G5435" t="s">
        <v>39</v>
      </c>
      <c r="H5435" t="s">
        <v>36</v>
      </c>
      <c r="I5435" t="s">
        <v>26</v>
      </c>
      <c r="J5435" t="s">
        <v>27</v>
      </c>
      <c r="K5435" t="s">
        <v>32</v>
      </c>
      <c r="L5435" s="2">
        <v>8.4</v>
      </c>
      <c r="M5435" s="3">
        <v>270</v>
      </c>
      <c r="N5435">
        <v>3</v>
      </c>
      <c r="O5435">
        <v>5</v>
      </c>
      <c r="P5435">
        <v>0</v>
      </c>
      <c r="Q5435">
        <v>2</v>
      </c>
      <c r="R5435" s="4">
        <v>13.86</v>
      </c>
      <c r="S5435">
        <v>0</v>
      </c>
      <c r="T5435">
        <v>1</v>
      </c>
    </row>
    <row r="5436" spans="1:20" ht="16.5" x14ac:dyDescent="0.3">
      <c r="A5436" t="s">
        <v>5490</v>
      </c>
      <c r="B5436" s="1">
        <v>46008</v>
      </c>
      <c r="C5436">
        <v>2025</v>
      </c>
      <c r="D5436" t="s">
        <v>1873</v>
      </c>
      <c r="E5436" t="s">
        <v>2413</v>
      </c>
      <c r="F5436" t="s">
        <v>34</v>
      </c>
      <c r="G5436" t="s">
        <v>39</v>
      </c>
      <c r="H5436" t="s">
        <v>25</v>
      </c>
      <c r="I5436" t="s">
        <v>26</v>
      </c>
      <c r="J5436" t="s">
        <v>27</v>
      </c>
      <c r="K5436" t="s">
        <v>28</v>
      </c>
      <c r="L5436" s="2">
        <v>98.7</v>
      </c>
      <c r="M5436" s="3">
        <v>916</v>
      </c>
      <c r="N5436">
        <v>4</v>
      </c>
      <c r="O5436">
        <v>4</v>
      </c>
      <c r="P5436">
        <v>1</v>
      </c>
      <c r="Q5436">
        <v>0</v>
      </c>
      <c r="R5436" s="4">
        <v>49.44</v>
      </c>
      <c r="S5436">
        <v>0</v>
      </c>
      <c r="T5436">
        <v>1</v>
      </c>
    </row>
    <row r="5437" spans="1:20" ht="16.5" x14ac:dyDescent="0.3">
      <c r="A5437" t="s">
        <v>5491</v>
      </c>
      <c r="B5437" s="1">
        <v>46008</v>
      </c>
      <c r="C5437">
        <v>2025</v>
      </c>
      <c r="D5437" t="s">
        <v>1873</v>
      </c>
      <c r="E5437" t="s">
        <v>2413</v>
      </c>
      <c r="F5437" t="s">
        <v>38</v>
      </c>
      <c r="G5437" t="s">
        <v>39</v>
      </c>
      <c r="H5437" t="s">
        <v>36</v>
      </c>
      <c r="I5437" t="s">
        <v>26</v>
      </c>
      <c r="J5437" t="s">
        <v>27</v>
      </c>
      <c r="K5437" t="s">
        <v>32</v>
      </c>
      <c r="L5437" s="2">
        <v>5.6</v>
      </c>
      <c r="M5437" s="3">
        <v>243</v>
      </c>
      <c r="N5437">
        <v>3</v>
      </c>
      <c r="O5437">
        <v>3</v>
      </c>
      <c r="P5437">
        <v>1</v>
      </c>
      <c r="Q5437">
        <v>0</v>
      </c>
      <c r="R5437" s="4">
        <v>15.09</v>
      </c>
      <c r="S5437">
        <v>0</v>
      </c>
      <c r="T5437">
        <v>1</v>
      </c>
    </row>
    <row r="5438" spans="1:20" ht="16.5" x14ac:dyDescent="0.3">
      <c r="A5438" t="s">
        <v>5492</v>
      </c>
      <c r="B5438" s="1">
        <v>46009</v>
      </c>
      <c r="C5438">
        <v>2025</v>
      </c>
      <c r="D5438" t="s">
        <v>1873</v>
      </c>
      <c r="E5438" t="s">
        <v>2413</v>
      </c>
      <c r="F5438" t="s">
        <v>57</v>
      </c>
      <c r="G5438" t="s">
        <v>39</v>
      </c>
      <c r="H5438" t="s">
        <v>25</v>
      </c>
      <c r="I5438" t="s">
        <v>26</v>
      </c>
      <c r="J5438" t="s">
        <v>27</v>
      </c>
      <c r="K5438" t="s">
        <v>32</v>
      </c>
      <c r="L5438" s="2">
        <v>2.9</v>
      </c>
      <c r="M5438" s="3">
        <v>790</v>
      </c>
      <c r="N5438">
        <v>4</v>
      </c>
      <c r="O5438">
        <v>4</v>
      </c>
      <c r="P5438">
        <v>1</v>
      </c>
      <c r="Q5438">
        <v>0</v>
      </c>
      <c r="R5438" s="4">
        <v>17.43</v>
      </c>
      <c r="S5438">
        <v>0</v>
      </c>
      <c r="T5438">
        <v>1</v>
      </c>
    </row>
    <row r="5439" spans="1:20" ht="16.5" x14ac:dyDescent="0.3">
      <c r="A5439" t="s">
        <v>5493</v>
      </c>
      <c r="B5439" s="1">
        <v>46009</v>
      </c>
      <c r="C5439">
        <v>2025</v>
      </c>
      <c r="D5439" t="s">
        <v>1873</v>
      </c>
      <c r="E5439" t="s">
        <v>2413</v>
      </c>
      <c r="F5439" t="s">
        <v>30</v>
      </c>
      <c r="G5439" t="s">
        <v>39</v>
      </c>
      <c r="H5439" t="s">
        <v>43</v>
      </c>
      <c r="I5439" t="s">
        <v>31</v>
      </c>
      <c r="J5439" t="s">
        <v>27</v>
      </c>
      <c r="K5439" t="s">
        <v>32</v>
      </c>
      <c r="L5439" s="2">
        <v>4.4000000000000004</v>
      </c>
      <c r="M5439" s="3">
        <v>1023</v>
      </c>
      <c r="N5439">
        <v>7</v>
      </c>
      <c r="O5439">
        <v>7</v>
      </c>
      <c r="P5439">
        <v>1</v>
      </c>
      <c r="Q5439">
        <v>0</v>
      </c>
      <c r="R5439" s="4">
        <v>16.489999999999998</v>
      </c>
      <c r="S5439">
        <v>0</v>
      </c>
      <c r="T5439">
        <v>1</v>
      </c>
    </row>
    <row r="5440" spans="1:20" ht="16.5" x14ac:dyDescent="0.3">
      <c r="A5440" t="s">
        <v>5494</v>
      </c>
      <c r="B5440" s="1">
        <v>46009</v>
      </c>
      <c r="C5440">
        <v>2025</v>
      </c>
      <c r="D5440" t="s">
        <v>1873</v>
      </c>
      <c r="E5440" t="s">
        <v>2413</v>
      </c>
      <c r="F5440" t="s">
        <v>38</v>
      </c>
      <c r="G5440" t="s">
        <v>35</v>
      </c>
      <c r="H5440" t="s">
        <v>36</v>
      </c>
      <c r="I5440" t="s">
        <v>26</v>
      </c>
      <c r="J5440" t="s">
        <v>27</v>
      </c>
      <c r="K5440" t="s">
        <v>32</v>
      </c>
      <c r="L5440" s="2">
        <v>1.7</v>
      </c>
      <c r="M5440" s="3">
        <v>223</v>
      </c>
      <c r="N5440">
        <v>3</v>
      </c>
      <c r="O5440">
        <v>3</v>
      </c>
      <c r="P5440">
        <v>1</v>
      </c>
      <c r="Q5440">
        <v>0</v>
      </c>
      <c r="R5440" s="4">
        <v>11.26</v>
      </c>
      <c r="S5440">
        <v>0</v>
      </c>
      <c r="T5440">
        <v>1</v>
      </c>
    </row>
    <row r="5441" spans="1:20" ht="16.5" x14ac:dyDescent="0.3">
      <c r="A5441" t="s">
        <v>5495</v>
      </c>
      <c r="B5441" s="1">
        <v>46009</v>
      </c>
      <c r="C5441">
        <v>2025</v>
      </c>
      <c r="D5441" t="s">
        <v>1873</v>
      </c>
      <c r="E5441" t="s">
        <v>2413</v>
      </c>
      <c r="F5441" t="s">
        <v>38</v>
      </c>
      <c r="G5441" t="s">
        <v>24</v>
      </c>
      <c r="H5441" t="s">
        <v>43</v>
      </c>
      <c r="I5441" t="s">
        <v>26</v>
      </c>
      <c r="J5441" t="s">
        <v>27</v>
      </c>
      <c r="K5441" t="s">
        <v>32</v>
      </c>
      <c r="L5441" s="2">
        <v>3.8</v>
      </c>
      <c r="M5441" s="3">
        <v>1214</v>
      </c>
      <c r="N5441">
        <v>5</v>
      </c>
      <c r="O5441">
        <v>5</v>
      </c>
      <c r="P5441">
        <v>1</v>
      </c>
      <c r="Q5441">
        <v>0</v>
      </c>
      <c r="R5441" s="4">
        <v>27.2</v>
      </c>
      <c r="S5441">
        <v>0</v>
      </c>
      <c r="T5441">
        <v>1</v>
      </c>
    </row>
    <row r="5442" spans="1:20" ht="16.5" x14ac:dyDescent="0.3">
      <c r="A5442" t="s">
        <v>5496</v>
      </c>
      <c r="B5442" s="1">
        <v>46009</v>
      </c>
      <c r="C5442">
        <v>2025</v>
      </c>
      <c r="D5442" t="s">
        <v>1873</v>
      </c>
      <c r="E5442" t="s">
        <v>2413</v>
      </c>
      <c r="F5442" t="s">
        <v>57</v>
      </c>
      <c r="G5442" t="s">
        <v>24</v>
      </c>
      <c r="H5442" t="s">
        <v>25</v>
      </c>
      <c r="I5442" t="s">
        <v>26</v>
      </c>
      <c r="J5442" t="s">
        <v>27</v>
      </c>
      <c r="K5442" t="s">
        <v>32</v>
      </c>
      <c r="L5442" s="2">
        <v>1</v>
      </c>
      <c r="M5442" s="3">
        <v>958</v>
      </c>
      <c r="N5442">
        <v>4</v>
      </c>
      <c r="O5442">
        <v>4</v>
      </c>
      <c r="P5442">
        <v>1</v>
      </c>
      <c r="Q5442">
        <v>0</v>
      </c>
      <c r="R5442" s="4">
        <v>18.649999999999999</v>
      </c>
      <c r="S5442">
        <v>0</v>
      </c>
      <c r="T5442">
        <v>1</v>
      </c>
    </row>
    <row r="5443" spans="1:20" ht="16.5" x14ac:dyDescent="0.3">
      <c r="A5443" t="s">
        <v>5497</v>
      </c>
      <c r="B5443" s="1">
        <v>46009</v>
      </c>
      <c r="C5443">
        <v>2025</v>
      </c>
      <c r="D5443" t="s">
        <v>1873</v>
      </c>
      <c r="E5443" t="s">
        <v>2413</v>
      </c>
      <c r="F5443" t="s">
        <v>38</v>
      </c>
      <c r="G5443" t="s">
        <v>24</v>
      </c>
      <c r="H5443" t="s">
        <v>48</v>
      </c>
      <c r="I5443" t="s">
        <v>26</v>
      </c>
      <c r="J5443" t="s">
        <v>27</v>
      </c>
      <c r="K5443" t="s">
        <v>28</v>
      </c>
      <c r="L5443" s="2">
        <v>63.4</v>
      </c>
      <c r="M5443" s="3">
        <v>554</v>
      </c>
      <c r="N5443">
        <v>4</v>
      </c>
      <c r="O5443">
        <v>4</v>
      </c>
      <c r="P5443">
        <v>1</v>
      </c>
      <c r="Q5443">
        <v>0</v>
      </c>
      <c r="R5443" s="4">
        <v>50.07</v>
      </c>
      <c r="S5443">
        <v>0</v>
      </c>
      <c r="T5443">
        <v>1</v>
      </c>
    </row>
    <row r="5444" spans="1:20" ht="16.5" x14ac:dyDescent="0.3">
      <c r="A5444" t="s">
        <v>5498</v>
      </c>
      <c r="B5444" s="1">
        <v>46009</v>
      </c>
      <c r="C5444">
        <v>2025</v>
      </c>
      <c r="D5444" t="s">
        <v>1873</v>
      </c>
      <c r="E5444" t="s">
        <v>2413</v>
      </c>
      <c r="F5444" t="s">
        <v>38</v>
      </c>
      <c r="G5444" t="s">
        <v>35</v>
      </c>
      <c r="H5444" t="s">
        <v>36</v>
      </c>
      <c r="I5444" t="s">
        <v>26</v>
      </c>
      <c r="J5444" t="s">
        <v>27</v>
      </c>
      <c r="K5444" t="s">
        <v>28</v>
      </c>
      <c r="L5444" s="2">
        <v>177.1</v>
      </c>
      <c r="M5444" s="3">
        <v>278</v>
      </c>
      <c r="N5444">
        <v>3</v>
      </c>
      <c r="O5444">
        <v>3</v>
      </c>
      <c r="P5444">
        <v>1</v>
      </c>
      <c r="Q5444">
        <v>0</v>
      </c>
      <c r="R5444" s="4">
        <v>95.55</v>
      </c>
      <c r="S5444">
        <v>0</v>
      </c>
      <c r="T5444">
        <v>1</v>
      </c>
    </row>
    <row r="5445" spans="1:20" ht="16.5" x14ac:dyDescent="0.3">
      <c r="A5445" t="s">
        <v>5499</v>
      </c>
      <c r="B5445" s="1">
        <v>46009</v>
      </c>
      <c r="C5445">
        <v>2025</v>
      </c>
      <c r="D5445" t="s">
        <v>1873</v>
      </c>
      <c r="E5445" t="s">
        <v>2413</v>
      </c>
      <c r="F5445" t="s">
        <v>57</v>
      </c>
      <c r="G5445" t="s">
        <v>35</v>
      </c>
      <c r="H5445" t="s">
        <v>51</v>
      </c>
      <c r="I5445" t="s">
        <v>26</v>
      </c>
      <c r="J5445" t="s">
        <v>27</v>
      </c>
      <c r="K5445" t="s">
        <v>28</v>
      </c>
      <c r="L5445" s="2">
        <v>32.299999999999997</v>
      </c>
      <c r="M5445" s="3">
        <v>960</v>
      </c>
      <c r="N5445">
        <v>5</v>
      </c>
      <c r="O5445">
        <v>4</v>
      </c>
      <c r="P5445">
        <v>1</v>
      </c>
      <c r="Q5445">
        <v>0</v>
      </c>
      <c r="R5445" s="4">
        <v>36.22</v>
      </c>
      <c r="S5445">
        <v>0</v>
      </c>
      <c r="T5445">
        <v>1</v>
      </c>
    </row>
    <row r="5446" spans="1:20" ht="16.5" x14ac:dyDescent="0.3">
      <c r="A5446" t="s">
        <v>5500</v>
      </c>
      <c r="B5446" s="1">
        <v>46009</v>
      </c>
      <c r="C5446">
        <v>2025</v>
      </c>
      <c r="D5446" t="s">
        <v>1873</v>
      </c>
      <c r="E5446" t="s">
        <v>2413</v>
      </c>
      <c r="F5446" t="s">
        <v>38</v>
      </c>
      <c r="G5446" t="s">
        <v>35</v>
      </c>
      <c r="H5446" t="s">
        <v>25</v>
      </c>
      <c r="I5446" t="s">
        <v>26</v>
      </c>
      <c r="J5446" t="s">
        <v>27</v>
      </c>
      <c r="K5446" t="s">
        <v>28</v>
      </c>
      <c r="L5446" s="2">
        <v>67.400000000000006</v>
      </c>
      <c r="M5446" s="3">
        <v>969</v>
      </c>
      <c r="N5446">
        <v>4</v>
      </c>
      <c r="O5446">
        <v>4</v>
      </c>
      <c r="P5446">
        <v>1</v>
      </c>
      <c r="Q5446">
        <v>0</v>
      </c>
      <c r="R5446" s="4">
        <v>54.84</v>
      </c>
      <c r="S5446">
        <v>0</v>
      </c>
      <c r="T5446">
        <v>1</v>
      </c>
    </row>
    <row r="5447" spans="1:20" ht="16.5" x14ac:dyDescent="0.3">
      <c r="A5447" t="s">
        <v>5501</v>
      </c>
      <c r="B5447" s="1">
        <v>46009</v>
      </c>
      <c r="C5447">
        <v>2025</v>
      </c>
      <c r="D5447" t="s">
        <v>1873</v>
      </c>
      <c r="E5447" t="s">
        <v>2413</v>
      </c>
      <c r="F5447" t="s">
        <v>34</v>
      </c>
      <c r="G5447" t="s">
        <v>35</v>
      </c>
      <c r="H5447" t="s">
        <v>36</v>
      </c>
      <c r="I5447" t="s">
        <v>26</v>
      </c>
      <c r="J5447" t="s">
        <v>27</v>
      </c>
      <c r="K5447" t="s">
        <v>28</v>
      </c>
      <c r="L5447" s="2">
        <v>108.9</v>
      </c>
      <c r="M5447" s="3">
        <v>221</v>
      </c>
      <c r="N5447">
        <v>3</v>
      </c>
      <c r="O5447">
        <v>3</v>
      </c>
      <c r="P5447">
        <v>1</v>
      </c>
      <c r="Q5447">
        <v>0</v>
      </c>
      <c r="R5447" s="4">
        <v>44.81</v>
      </c>
      <c r="S5447">
        <v>0</v>
      </c>
      <c r="T5447">
        <v>1</v>
      </c>
    </row>
    <row r="5448" spans="1:20" ht="16.5" x14ac:dyDescent="0.3">
      <c r="A5448" t="s">
        <v>5502</v>
      </c>
      <c r="B5448" s="1">
        <v>46009</v>
      </c>
      <c r="C5448">
        <v>2025</v>
      </c>
      <c r="D5448" t="s">
        <v>1873</v>
      </c>
      <c r="E5448" t="s">
        <v>2413</v>
      </c>
      <c r="F5448" t="s">
        <v>23</v>
      </c>
      <c r="G5448" t="s">
        <v>39</v>
      </c>
      <c r="H5448" t="s">
        <v>25</v>
      </c>
      <c r="I5448" t="s">
        <v>26</v>
      </c>
      <c r="J5448" t="s">
        <v>27</v>
      </c>
      <c r="K5448" t="s">
        <v>32</v>
      </c>
      <c r="L5448" s="2">
        <v>5.0999999999999996</v>
      </c>
      <c r="M5448" s="3">
        <v>663</v>
      </c>
      <c r="N5448">
        <v>4</v>
      </c>
      <c r="O5448">
        <v>5</v>
      </c>
      <c r="P5448">
        <v>0</v>
      </c>
      <c r="Q5448">
        <v>1</v>
      </c>
      <c r="R5448" s="4">
        <v>18.2</v>
      </c>
      <c r="S5448">
        <v>0</v>
      </c>
      <c r="T5448">
        <v>1</v>
      </c>
    </row>
    <row r="5449" spans="1:20" ht="16.5" x14ac:dyDescent="0.3">
      <c r="A5449" t="s">
        <v>5503</v>
      </c>
      <c r="B5449" s="1">
        <v>46009</v>
      </c>
      <c r="C5449">
        <v>2025</v>
      </c>
      <c r="D5449" t="s">
        <v>1873</v>
      </c>
      <c r="E5449" t="s">
        <v>2413</v>
      </c>
      <c r="F5449" t="s">
        <v>34</v>
      </c>
      <c r="G5449" t="s">
        <v>24</v>
      </c>
      <c r="H5449" t="s">
        <v>36</v>
      </c>
      <c r="I5449" t="s">
        <v>26</v>
      </c>
      <c r="J5449" t="s">
        <v>27</v>
      </c>
      <c r="K5449" t="s">
        <v>28</v>
      </c>
      <c r="L5449" s="2">
        <v>273.39999999999998</v>
      </c>
      <c r="M5449" s="3">
        <v>257</v>
      </c>
      <c r="N5449">
        <v>3</v>
      </c>
      <c r="O5449">
        <v>5</v>
      </c>
      <c r="P5449">
        <v>0</v>
      </c>
      <c r="Q5449">
        <v>2</v>
      </c>
      <c r="R5449" s="4">
        <v>98.9</v>
      </c>
      <c r="S5449">
        <v>0</v>
      </c>
      <c r="T5449">
        <v>1</v>
      </c>
    </row>
    <row r="5450" spans="1:20" ht="16.5" x14ac:dyDescent="0.3">
      <c r="A5450" t="s">
        <v>5504</v>
      </c>
      <c r="B5450" s="1">
        <v>46009</v>
      </c>
      <c r="C5450">
        <v>2025</v>
      </c>
      <c r="D5450" t="s">
        <v>1873</v>
      </c>
      <c r="E5450" t="s">
        <v>2413</v>
      </c>
      <c r="F5450" t="s">
        <v>23</v>
      </c>
      <c r="G5450" t="s">
        <v>35</v>
      </c>
      <c r="H5450" t="s">
        <v>25</v>
      </c>
      <c r="I5450" t="s">
        <v>31</v>
      </c>
      <c r="J5450" t="s">
        <v>27</v>
      </c>
      <c r="K5450" t="s">
        <v>32</v>
      </c>
      <c r="L5450" s="2">
        <v>3</v>
      </c>
      <c r="M5450" s="3">
        <v>937</v>
      </c>
      <c r="N5450">
        <v>6</v>
      </c>
      <c r="O5450">
        <v>8</v>
      </c>
      <c r="P5450">
        <v>0</v>
      </c>
      <c r="Q5450">
        <v>2</v>
      </c>
      <c r="R5450" s="4">
        <v>14.04</v>
      </c>
      <c r="S5450">
        <v>0</v>
      </c>
      <c r="T5450">
        <v>1</v>
      </c>
    </row>
    <row r="5451" spans="1:20" ht="16.5" x14ac:dyDescent="0.3">
      <c r="A5451" t="s">
        <v>5505</v>
      </c>
      <c r="B5451" s="1">
        <v>46010</v>
      </c>
      <c r="C5451">
        <v>2025</v>
      </c>
      <c r="D5451" t="s">
        <v>1873</v>
      </c>
      <c r="E5451" t="s">
        <v>2413</v>
      </c>
      <c r="F5451" t="s">
        <v>38</v>
      </c>
      <c r="G5451" t="s">
        <v>39</v>
      </c>
      <c r="H5451" t="s">
        <v>36</v>
      </c>
      <c r="I5451" t="s">
        <v>40</v>
      </c>
      <c r="J5451" t="s">
        <v>27</v>
      </c>
      <c r="K5451" t="s">
        <v>32</v>
      </c>
      <c r="L5451" s="2">
        <v>4.7</v>
      </c>
      <c r="M5451" s="3">
        <v>230</v>
      </c>
      <c r="N5451">
        <v>1</v>
      </c>
      <c r="O5451">
        <v>1</v>
      </c>
      <c r="P5451">
        <v>1</v>
      </c>
      <c r="Q5451">
        <v>0</v>
      </c>
      <c r="R5451" s="4">
        <v>25.89</v>
      </c>
      <c r="S5451">
        <v>0</v>
      </c>
      <c r="T5451">
        <v>1</v>
      </c>
    </row>
    <row r="5452" spans="1:20" ht="16.5" x14ac:dyDescent="0.3">
      <c r="A5452" t="s">
        <v>5506</v>
      </c>
      <c r="B5452" s="1">
        <v>46010</v>
      </c>
      <c r="C5452">
        <v>2025</v>
      </c>
      <c r="D5452" t="s">
        <v>1873</v>
      </c>
      <c r="E5452" t="s">
        <v>2413</v>
      </c>
      <c r="F5452" t="s">
        <v>38</v>
      </c>
      <c r="G5452" t="s">
        <v>39</v>
      </c>
      <c r="H5452" t="s">
        <v>48</v>
      </c>
      <c r="I5452" t="s">
        <v>26</v>
      </c>
      <c r="J5452" t="s">
        <v>27</v>
      </c>
      <c r="K5452" t="s">
        <v>32</v>
      </c>
      <c r="L5452" s="2">
        <v>5.0999999999999996</v>
      </c>
      <c r="M5452" s="3">
        <v>558</v>
      </c>
      <c r="N5452">
        <v>4</v>
      </c>
      <c r="O5452">
        <v>9</v>
      </c>
      <c r="P5452">
        <v>0</v>
      </c>
      <c r="Q5452">
        <v>5</v>
      </c>
      <c r="R5452" s="4">
        <v>18.82</v>
      </c>
      <c r="S5452">
        <v>0</v>
      </c>
      <c r="T5452">
        <v>1</v>
      </c>
    </row>
    <row r="5453" spans="1:20" ht="16.5" x14ac:dyDescent="0.3">
      <c r="A5453" t="s">
        <v>5507</v>
      </c>
      <c r="B5453" s="1">
        <v>46010</v>
      </c>
      <c r="C5453">
        <v>2025</v>
      </c>
      <c r="D5453" t="s">
        <v>1873</v>
      </c>
      <c r="E5453" t="s">
        <v>2413</v>
      </c>
      <c r="F5453" t="s">
        <v>23</v>
      </c>
      <c r="G5453" t="s">
        <v>39</v>
      </c>
      <c r="H5453" t="s">
        <v>25</v>
      </c>
      <c r="I5453" t="s">
        <v>31</v>
      </c>
      <c r="J5453" t="s">
        <v>27</v>
      </c>
      <c r="K5453" t="s">
        <v>28</v>
      </c>
      <c r="L5453" s="2">
        <v>184.8</v>
      </c>
      <c r="M5453" s="3">
        <v>809</v>
      </c>
      <c r="N5453">
        <v>6</v>
      </c>
      <c r="O5453">
        <v>6</v>
      </c>
      <c r="P5453">
        <v>1</v>
      </c>
      <c r="Q5453">
        <v>0</v>
      </c>
      <c r="R5453" s="4">
        <v>63.49</v>
      </c>
      <c r="S5453">
        <v>0</v>
      </c>
      <c r="T5453">
        <v>1</v>
      </c>
    </row>
    <row r="5454" spans="1:20" ht="16.5" x14ac:dyDescent="0.3">
      <c r="A5454" t="s">
        <v>5508</v>
      </c>
      <c r="B5454" s="1">
        <v>46010</v>
      </c>
      <c r="C5454">
        <v>2025</v>
      </c>
      <c r="D5454" t="s">
        <v>1873</v>
      </c>
      <c r="E5454" t="s">
        <v>2413</v>
      </c>
      <c r="F5454" t="s">
        <v>34</v>
      </c>
      <c r="G5454" t="s">
        <v>24</v>
      </c>
      <c r="H5454" t="s">
        <v>48</v>
      </c>
      <c r="I5454" t="s">
        <v>26</v>
      </c>
      <c r="J5454" t="s">
        <v>27</v>
      </c>
      <c r="K5454" t="s">
        <v>28</v>
      </c>
      <c r="L5454" s="2">
        <v>64</v>
      </c>
      <c r="M5454" s="3">
        <v>437</v>
      </c>
      <c r="N5454">
        <v>4</v>
      </c>
      <c r="O5454">
        <v>4</v>
      </c>
      <c r="P5454">
        <v>1</v>
      </c>
      <c r="Q5454">
        <v>0</v>
      </c>
      <c r="R5454" s="4">
        <v>34.950000000000003</v>
      </c>
      <c r="S5454">
        <v>0</v>
      </c>
      <c r="T5454">
        <v>1</v>
      </c>
    </row>
    <row r="5455" spans="1:20" ht="16.5" x14ac:dyDescent="0.3">
      <c r="A5455" t="s">
        <v>5509</v>
      </c>
      <c r="B5455" s="1">
        <v>46010</v>
      </c>
      <c r="C5455">
        <v>2025</v>
      </c>
      <c r="D5455" t="s">
        <v>1873</v>
      </c>
      <c r="E5455" t="s">
        <v>2413</v>
      </c>
      <c r="F5455" t="s">
        <v>34</v>
      </c>
      <c r="G5455" t="s">
        <v>24</v>
      </c>
      <c r="H5455" t="s">
        <v>51</v>
      </c>
      <c r="I5455" t="s">
        <v>26</v>
      </c>
      <c r="J5455" t="s">
        <v>27</v>
      </c>
      <c r="K5455" t="s">
        <v>32</v>
      </c>
      <c r="L5455" s="2">
        <v>20.3</v>
      </c>
      <c r="M5455" s="3">
        <v>1182</v>
      </c>
      <c r="N5455">
        <v>5</v>
      </c>
      <c r="O5455">
        <v>4</v>
      </c>
      <c r="P5455">
        <v>1</v>
      </c>
      <c r="Q5455">
        <v>0</v>
      </c>
      <c r="R5455" s="4">
        <v>27.69</v>
      </c>
      <c r="S5455">
        <v>1</v>
      </c>
      <c r="T5455">
        <v>1</v>
      </c>
    </row>
    <row r="5456" spans="1:20" ht="16.5" x14ac:dyDescent="0.3">
      <c r="A5456" t="s">
        <v>5510</v>
      </c>
      <c r="B5456" s="1">
        <v>46010</v>
      </c>
      <c r="C5456">
        <v>2025</v>
      </c>
      <c r="D5456" t="s">
        <v>1873</v>
      </c>
      <c r="E5456" t="s">
        <v>2413</v>
      </c>
      <c r="F5456" t="s">
        <v>30</v>
      </c>
      <c r="G5456" t="s">
        <v>24</v>
      </c>
      <c r="H5456" t="s">
        <v>36</v>
      </c>
      <c r="I5456" t="s">
        <v>40</v>
      </c>
      <c r="J5456" t="s">
        <v>27</v>
      </c>
      <c r="K5456" t="s">
        <v>32</v>
      </c>
      <c r="L5456" s="2">
        <v>7.5</v>
      </c>
      <c r="M5456" s="3">
        <v>223</v>
      </c>
      <c r="N5456">
        <v>1</v>
      </c>
      <c r="O5456">
        <v>1</v>
      </c>
      <c r="P5456">
        <v>1</v>
      </c>
      <c r="Q5456">
        <v>0</v>
      </c>
      <c r="R5456" s="4">
        <v>25.04</v>
      </c>
      <c r="S5456">
        <v>0</v>
      </c>
      <c r="T5456">
        <v>1</v>
      </c>
    </row>
    <row r="5457" spans="1:20" ht="16.5" x14ac:dyDescent="0.3">
      <c r="A5457" t="s">
        <v>5511</v>
      </c>
      <c r="B5457" s="1">
        <v>46010</v>
      </c>
      <c r="C5457">
        <v>2025</v>
      </c>
      <c r="D5457" t="s">
        <v>1873</v>
      </c>
      <c r="E5457" t="s">
        <v>2413</v>
      </c>
      <c r="F5457" t="s">
        <v>30</v>
      </c>
      <c r="G5457" t="s">
        <v>35</v>
      </c>
      <c r="H5457" t="s">
        <v>43</v>
      </c>
      <c r="I5457" t="s">
        <v>26</v>
      </c>
      <c r="J5457" t="s">
        <v>27</v>
      </c>
      <c r="K5457" t="s">
        <v>32</v>
      </c>
      <c r="L5457" s="2">
        <v>11.1</v>
      </c>
      <c r="M5457" s="3">
        <v>1326</v>
      </c>
      <c r="N5457">
        <v>5</v>
      </c>
      <c r="O5457">
        <v>4</v>
      </c>
      <c r="P5457">
        <v>1</v>
      </c>
      <c r="Q5457">
        <v>0</v>
      </c>
      <c r="R5457" s="4">
        <v>31.96</v>
      </c>
      <c r="S5457">
        <v>0</v>
      </c>
      <c r="T5457">
        <v>1</v>
      </c>
    </row>
    <row r="5458" spans="1:20" ht="16.5" x14ac:dyDescent="0.3">
      <c r="A5458" t="s">
        <v>5512</v>
      </c>
      <c r="B5458" s="1">
        <v>46010</v>
      </c>
      <c r="C5458">
        <v>2025</v>
      </c>
      <c r="D5458" t="s">
        <v>1873</v>
      </c>
      <c r="E5458" t="s">
        <v>2413</v>
      </c>
      <c r="F5458" t="s">
        <v>23</v>
      </c>
      <c r="G5458" t="s">
        <v>39</v>
      </c>
      <c r="H5458" t="s">
        <v>25</v>
      </c>
      <c r="I5458" t="s">
        <v>40</v>
      </c>
      <c r="J5458" t="s">
        <v>41</v>
      </c>
      <c r="K5458" t="s">
        <v>32</v>
      </c>
      <c r="L5458" s="2">
        <v>2.9</v>
      </c>
      <c r="M5458" s="3">
        <v>782</v>
      </c>
      <c r="N5458">
        <v>2</v>
      </c>
      <c r="O5458">
        <v>1</v>
      </c>
      <c r="P5458">
        <v>1</v>
      </c>
      <c r="Q5458">
        <v>0</v>
      </c>
      <c r="R5458" s="4">
        <v>53.83</v>
      </c>
      <c r="S5458">
        <v>0</v>
      </c>
      <c r="T5458">
        <v>1</v>
      </c>
    </row>
    <row r="5459" spans="1:20" ht="16.5" x14ac:dyDescent="0.3">
      <c r="A5459" t="s">
        <v>5513</v>
      </c>
      <c r="B5459" s="1">
        <v>46010</v>
      </c>
      <c r="C5459">
        <v>2025</v>
      </c>
      <c r="D5459" t="s">
        <v>1873</v>
      </c>
      <c r="E5459" t="s">
        <v>2413</v>
      </c>
      <c r="F5459" t="s">
        <v>38</v>
      </c>
      <c r="G5459" t="s">
        <v>35</v>
      </c>
      <c r="H5459" t="s">
        <v>51</v>
      </c>
      <c r="I5459" t="s">
        <v>31</v>
      </c>
      <c r="J5459" t="s">
        <v>27</v>
      </c>
      <c r="K5459" t="s">
        <v>32</v>
      </c>
      <c r="L5459" s="2">
        <v>11.5</v>
      </c>
      <c r="M5459" s="3">
        <v>1052</v>
      </c>
      <c r="N5459">
        <v>7</v>
      </c>
      <c r="O5459">
        <v>7</v>
      </c>
      <c r="P5459">
        <v>1</v>
      </c>
      <c r="Q5459">
        <v>0</v>
      </c>
      <c r="R5459" s="4">
        <v>21.21</v>
      </c>
      <c r="S5459">
        <v>0</v>
      </c>
      <c r="T5459">
        <v>1</v>
      </c>
    </row>
    <row r="5460" spans="1:20" ht="16.5" x14ac:dyDescent="0.3">
      <c r="A5460" t="s">
        <v>5514</v>
      </c>
      <c r="B5460" s="1">
        <v>46010</v>
      </c>
      <c r="C5460">
        <v>2025</v>
      </c>
      <c r="D5460" t="s">
        <v>1873</v>
      </c>
      <c r="E5460" t="s">
        <v>2413</v>
      </c>
      <c r="F5460" t="s">
        <v>57</v>
      </c>
      <c r="G5460" t="s">
        <v>39</v>
      </c>
      <c r="H5460" t="s">
        <v>25</v>
      </c>
      <c r="I5460" t="s">
        <v>26</v>
      </c>
      <c r="J5460" t="s">
        <v>27</v>
      </c>
      <c r="K5460" t="s">
        <v>32</v>
      </c>
      <c r="L5460" s="2">
        <v>9.8000000000000007</v>
      </c>
      <c r="M5460" s="3">
        <v>739</v>
      </c>
      <c r="N5460">
        <v>4</v>
      </c>
      <c r="O5460">
        <v>4</v>
      </c>
      <c r="P5460">
        <v>1</v>
      </c>
      <c r="Q5460">
        <v>0</v>
      </c>
      <c r="R5460" s="4">
        <v>20.16</v>
      </c>
      <c r="S5460">
        <v>0</v>
      </c>
      <c r="T5460">
        <v>1</v>
      </c>
    </row>
    <row r="5461" spans="1:20" ht="16.5" x14ac:dyDescent="0.3">
      <c r="A5461" t="s">
        <v>5515</v>
      </c>
      <c r="B5461" s="1">
        <v>46010</v>
      </c>
      <c r="C5461">
        <v>2025</v>
      </c>
      <c r="D5461" t="s">
        <v>1873</v>
      </c>
      <c r="E5461" t="s">
        <v>2413</v>
      </c>
      <c r="F5461" t="s">
        <v>34</v>
      </c>
      <c r="G5461" t="s">
        <v>35</v>
      </c>
      <c r="H5461" t="s">
        <v>25</v>
      </c>
      <c r="I5461" t="s">
        <v>31</v>
      </c>
      <c r="J5461" t="s">
        <v>27</v>
      </c>
      <c r="K5461" t="s">
        <v>28</v>
      </c>
      <c r="L5461" s="2">
        <v>126.1</v>
      </c>
      <c r="M5461" s="3">
        <v>1059</v>
      </c>
      <c r="N5461">
        <v>6</v>
      </c>
      <c r="O5461">
        <v>9</v>
      </c>
      <c r="P5461">
        <v>0</v>
      </c>
      <c r="Q5461">
        <v>3</v>
      </c>
      <c r="R5461" s="4">
        <v>43.89</v>
      </c>
      <c r="S5461">
        <v>0</v>
      </c>
      <c r="T5461">
        <v>1</v>
      </c>
    </row>
    <row r="5462" spans="1:20" ht="16.5" x14ac:dyDescent="0.3">
      <c r="A5462" t="s">
        <v>5516</v>
      </c>
      <c r="B5462" s="1">
        <v>46010</v>
      </c>
      <c r="C5462">
        <v>2025</v>
      </c>
      <c r="D5462" t="s">
        <v>1873</v>
      </c>
      <c r="E5462" t="s">
        <v>2413</v>
      </c>
      <c r="F5462" t="s">
        <v>34</v>
      </c>
      <c r="G5462" t="s">
        <v>35</v>
      </c>
      <c r="H5462" t="s">
        <v>36</v>
      </c>
      <c r="I5462" t="s">
        <v>40</v>
      </c>
      <c r="J5462" t="s">
        <v>27</v>
      </c>
      <c r="K5462" t="s">
        <v>28</v>
      </c>
      <c r="L5462" s="2">
        <v>59.5</v>
      </c>
      <c r="M5462" s="3">
        <v>201</v>
      </c>
      <c r="N5462">
        <v>1</v>
      </c>
      <c r="O5462">
        <v>1</v>
      </c>
      <c r="P5462">
        <v>1</v>
      </c>
      <c r="Q5462">
        <v>0</v>
      </c>
      <c r="R5462" s="4">
        <v>64.069999999999993</v>
      </c>
      <c r="S5462">
        <v>0</v>
      </c>
      <c r="T5462">
        <v>1</v>
      </c>
    </row>
    <row r="5463" spans="1:20" ht="16.5" x14ac:dyDescent="0.3">
      <c r="A5463" t="s">
        <v>5517</v>
      </c>
      <c r="B5463" s="1">
        <v>46011</v>
      </c>
      <c r="C5463">
        <v>2025</v>
      </c>
      <c r="D5463" t="s">
        <v>1873</v>
      </c>
      <c r="E5463" t="s">
        <v>2413</v>
      </c>
      <c r="F5463" t="s">
        <v>34</v>
      </c>
      <c r="G5463" t="s">
        <v>39</v>
      </c>
      <c r="H5463" t="s">
        <v>36</v>
      </c>
      <c r="I5463" t="s">
        <v>26</v>
      </c>
      <c r="J5463" t="s">
        <v>27</v>
      </c>
      <c r="K5463" t="s">
        <v>32</v>
      </c>
      <c r="L5463" s="2">
        <v>2.9</v>
      </c>
      <c r="M5463" s="3">
        <v>234</v>
      </c>
      <c r="N5463">
        <v>3</v>
      </c>
      <c r="O5463">
        <v>7</v>
      </c>
      <c r="P5463">
        <v>0</v>
      </c>
      <c r="Q5463">
        <v>4</v>
      </c>
      <c r="R5463" s="4">
        <v>9.2799999999999994</v>
      </c>
      <c r="S5463">
        <v>0</v>
      </c>
      <c r="T5463">
        <v>1</v>
      </c>
    </row>
    <row r="5464" spans="1:20" ht="16.5" x14ac:dyDescent="0.3">
      <c r="A5464" t="s">
        <v>5518</v>
      </c>
      <c r="B5464" s="1">
        <v>46011</v>
      </c>
      <c r="C5464">
        <v>2025</v>
      </c>
      <c r="D5464" t="s">
        <v>1873</v>
      </c>
      <c r="E5464" t="s">
        <v>2413</v>
      </c>
      <c r="F5464" t="s">
        <v>23</v>
      </c>
      <c r="G5464" t="s">
        <v>24</v>
      </c>
      <c r="H5464" t="s">
        <v>25</v>
      </c>
      <c r="I5464" t="s">
        <v>26</v>
      </c>
      <c r="J5464" t="s">
        <v>27</v>
      </c>
      <c r="K5464" t="s">
        <v>32</v>
      </c>
      <c r="L5464" s="2">
        <v>3.3</v>
      </c>
      <c r="M5464" s="3">
        <v>757</v>
      </c>
      <c r="N5464">
        <v>4</v>
      </c>
      <c r="O5464">
        <v>3</v>
      </c>
      <c r="P5464">
        <v>1</v>
      </c>
      <c r="Q5464">
        <v>0</v>
      </c>
      <c r="R5464" s="4">
        <v>19.09</v>
      </c>
      <c r="S5464">
        <v>0</v>
      </c>
      <c r="T5464">
        <v>1</v>
      </c>
    </row>
    <row r="5465" spans="1:20" ht="16.5" x14ac:dyDescent="0.3">
      <c r="A5465" t="s">
        <v>5519</v>
      </c>
      <c r="B5465" s="1">
        <v>46011</v>
      </c>
      <c r="C5465">
        <v>2025</v>
      </c>
      <c r="D5465" t="s">
        <v>1873</v>
      </c>
      <c r="E5465" t="s">
        <v>2413</v>
      </c>
      <c r="F5465" t="s">
        <v>38</v>
      </c>
      <c r="G5465" t="s">
        <v>35</v>
      </c>
      <c r="H5465" t="s">
        <v>25</v>
      </c>
      <c r="I5465" t="s">
        <v>31</v>
      </c>
      <c r="J5465" t="s">
        <v>27</v>
      </c>
      <c r="K5465" t="s">
        <v>28</v>
      </c>
      <c r="L5465" s="2">
        <v>269.60000000000002</v>
      </c>
      <c r="M5465" s="3">
        <v>1038</v>
      </c>
      <c r="N5465">
        <v>6</v>
      </c>
      <c r="O5465">
        <v>6</v>
      </c>
      <c r="P5465">
        <v>1</v>
      </c>
      <c r="Q5465">
        <v>0</v>
      </c>
      <c r="R5465" s="4">
        <v>93.98</v>
      </c>
      <c r="S5465">
        <v>0</v>
      </c>
      <c r="T5465">
        <v>1</v>
      </c>
    </row>
    <row r="5466" spans="1:20" ht="16.5" x14ac:dyDescent="0.3">
      <c r="A5466" t="s">
        <v>5520</v>
      </c>
      <c r="B5466" s="1">
        <v>46011</v>
      </c>
      <c r="C5466">
        <v>2025</v>
      </c>
      <c r="D5466" t="s">
        <v>1873</v>
      </c>
      <c r="E5466" t="s">
        <v>2413</v>
      </c>
      <c r="F5466" t="s">
        <v>30</v>
      </c>
      <c r="G5466" t="s">
        <v>35</v>
      </c>
      <c r="H5466" t="s">
        <v>25</v>
      </c>
      <c r="I5466" t="s">
        <v>26</v>
      </c>
      <c r="J5466" t="s">
        <v>27</v>
      </c>
      <c r="K5466" t="s">
        <v>32</v>
      </c>
      <c r="L5466" s="2">
        <v>0.9</v>
      </c>
      <c r="M5466" s="3">
        <v>603</v>
      </c>
      <c r="N5466">
        <v>4</v>
      </c>
      <c r="O5466">
        <v>5</v>
      </c>
      <c r="P5466">
        <v>0</v>
      </c>
      <c r="Q5466">
        <v>1</v>
      </c>
      <c r="R5466" s="4">
        <v>13.58</v>
      </c>
      <c r="S5466">
        <v>0</v>
      </c>
      <c r="T5466">
        <v>1</v>
      </c>
    </row>
    <row r="5467" spans="1:20" ht="16.5" x14ac:dyDescent="0.3">
      <c r="A5467" t="s">
        <v>5521</v>
      </c>
      <c r="B5467" s="1">
        <v>46011</v>
      </c>
      <c r="C5467">
        <v>2025</v>
      </c>
      <c r="D5467" t="s">
        <v>1873</v>
      </c>
      <c r="E5467" t="s">
        <v>2413</v>
      </c>
      <c r="F5467" t="s">
        <v>38</v>
      </c>
      <c r="G5467" t="s">
        <v>39</v>
      </c>
      <c r="H5467" t="s">
        <v>36</v>
      </c>
      <c r="I5467" t="s">
        <v>26</v>
      </c>
      <c r="J5467" t="s">
        <v>27</v>
      </c>
      <c r="K5467" t="s">
        <v>28</v>
      </c>
      <c r="L5467" s="2">
        <v>231.8</v>
      </c>
      <c r="M5467" s="3">
        <v>245</v>
      </c>
      <c r="N5467">
        <v>3</v>
      </c>
      <c r="O5467">
        <v>3</v>
      </c>
      <c r="P5467">
        <v>1</v>
      </c>
      <c r="Q5467">
        <v>0</v>
      </c>
      <c r="R5467" s="4">
        <v>117.08</v>
      </c>
      <c r="S5467">
        <v>0</v>
      </c>
      <c r="T5467">
        <v>1</v>
      </c>
    </row>
    <row r="5468" spans="1:20" ht="16.5" x14ac:dyDescent="0.3">
      <c r="A5468" t="s">
        <v>5522</v>
      </c>
      <c r="B5468" s="1">
        <v>46011</v>
      </c>
      <c r="C5468">
        <v>2025</v>
      </c>
      <c r="D5468" t="s">
        <v>1873</v>
      </c>
      <c r="E5468" t="s">
        <v>2413</v>
      </c>
      <c r="F5468" t="s">
        <v>57</v>
      </c>
      <c r="G5468" t="s">
        <v>24</v>
      </c>
      <c r="H5468" t="s">
        <v>36</v>
      </c>
      <c r="I5468" t="s">
        <v>31</v>
      </c>
      <c r="J5468" t="s">
        <v>27</v>
      </c>
      <c r="K5468" t="s">
        <v>28</v>
      </c>
      <c r="L5468" s="2">
        <v>141.69999999999999</v>
      </c>
      <c r="M5468" s="3">
        <v>252</v>
      </c>
      <c r="N5468">
        <v>5</v>
      </c>
      <c r="O5468">
        <v>5</v>
      </c>
      <c r="P5468">
        <v>1</v>
      </c>
      <c r="Q5468">
        <v>0</v>
      </c>
      <c r="R5468" s="4">
        <v>52.39</v>
      </c>
      <c r="S5468">
        <v>0</v>
      </c>
      <c r="T5468">
        <v>1</v>
      </c>
    </row>
    <row r="5469" spans="1:20" ht="16.5" x14ac:dyDescent="0.3">
      <c r="A5469" t="s">
        <v>5523</v>
      </c>
      <c r="B5469" s="1">
        <v>46012</v>
      </c>
      <c r="C5469">
        <v>2025</v>
      </c>
      <c r="D5469" t="s">
        <v>1873</v>
      </c>
      <c r="E5469" t="s">
        <v>2413</v>
      </c>
      <c r="F5469" t="s">
        <v>30</v>
      </c>
      <c r="G5469" t="s">
        <v>39</v>
      </c>
      <c r="H5469" t="s">
        <v>36</v>
      </c>
      <c r="I5469" t="s">
        <v>31</v>
      </c>
      <c r="J5469" t="s">
        <v>27</v>
      </c>
      <c r="K5469" t="s">
        <v>32</v>
      </c>
      <c r="L5469" s="2">
        <v>4.0999999999999996</v>
      </c>
      <c r="M5469" s="3">
        <v>205</v>
      </c>
      <c r="N5469">
        <v>5</v>
      </c>
      <c r="O5469">
        <v>5</v>
      </c>
      <c r="P5469">
        <v>1</v>
      </c>
      <c r="Q5469">
        <v>0</v>
      </c>
      <c r="R5469" s="4">
        <v>9.1300000000000008</v>
      </c>
      <c r="S5469">
        <v>0</v>
      </c>
      <c r="T5469">
        <v>1</v>
      </c>
    </row>
    <row r="5470" spans="1:20" ht="16.5" x14ac:dyDescent="0.3">
      <c r="A5470" t="s">
        <v>5524</v>
      </c>
      <c r="B5470" s="1">
        <v>46012</v>
      </c>
      <c r="C5470">
        <v>2025</v>
      </c>
      <c r="D5470" t="s">
        <v>1873</v>
      </c>
      <c r="E5470" t="s">
        <v>2413</v>
      </c>
      <c r="F5470" t="s">
        <v>57</v>
      </c>
      <c r="G5470" t="s">
        <v>39</v>
      </c>
      <c r="H5470" t="s">
        <v>36</v>
      </c>
      <c r="I5470" t="s">
        <v>26</v>
      </c>
      <c r="J5470" t="s">
        <v>27</v>
      </c>
      <c r="K5470" t="s">
        <v>28</v>
      </c>
      <c r="L5470" s="2">
        <v>106</v>
      </c>
      <c r="M5470" s="3">
        <v>244</v>
      </c>
      <c r="N5470">
        <v>3</v>
      </c>
      <c r="O5470">
        <v>3</v>
      </c>
      <c r="P5470">
        <v>1</v>
      </c>
      <c r="Q5470">
        <v>0</v>
      </c>
      <c r="R5470" s="4">
        <v>58.39</v>
      </c>
      <c r="S5470">
        <v>0</v>
      </c>
      <c r="T5470">
        <v>1</v>
      </c>
    </row>
    <row r="5471" spans="1:20" ht="16.5" x14ac:dyDescent="0.3">
      <c r="A5471" t="s">
        <v>5525</v>
      </c>
      <c r="B5471" s="1">
        <v>46012</v>
      </c>
      <c r="C5471">
        <v>2025</v>
      </c>
      <c r="D5471" t="s">
        <v>1873</v>
      </c>
      <c r="E5471" t="s">
        <v>2413</v>
      </c>
      <c r="F5471" t="s">
        <v>34</v>
      </c>
      <c r="G5471" t="s">
        <v>39</v>
      </c>
      <c r="H5471" t="s">
        <v>48</v>
      </c>
      <c r="I5471" t="s">
        <v>26</v>
      </c>
      <c r="J5471" t="s">
        <v>27</v>
      </c>
      <c r="K5471" t="s">
        <v>32</v>
      </c>
      <c r="L5471" s="2">
        <v>6.3</v>
      </c>
      <c r="M5471" s="3">
        <v>543</v>
      </c>
      <c r="N5471">
        <v>4</v>
      </c>
      <c r="O5471">
        <v>4</v>
      </c>
      <c r="P5471">
        <v>1</v>
      </c>
      <c r="Q5471">
        <v>0</v>
      </c>
      <c r="R5471" s="4">
        <v>14.37</v>
      </c>
      <c r="S5471">
        <v>0</v>
      </c>
      <c r="T5471">
        <v>1</v>
      </c>
    </row>
    <row r="5472" spans="1:20" ht="16.5" x14ac:dyDescent="0.3">
      <c r="A5472" t="s">
        <v>5526</v>
      </c>
      <c r="B5472" s="1">
        <v>46012</v>
      </c>
      <c r="C5472">
        <v>2025</v>
      </c>
      <c r="D5472" t="s">
        <v>1873</v>
      </c>
      <c r="E5472" t="s">
        <v>2413</v>
      </c>
      <c r="F5472" t="s">
        <v>38</v>
      </c>
      <c r="G5472" t="s">
        <v>35</v>
      </c>
      <c r="H5472" t="s">
        <v>36</v>
      </c>
      <c r="I5472" t="s">
        <v>26</v>
      </c>
      <c r="J5472" t="s">
        <v>27</v>
      </c>
      <c r="K5472" t="s">
        <v>32</v>
      </c>
      <c r="L5472" s="2">
        <v>2.7</v>
      </c>
      <c r="M5472" s="3">
        <v>230</v>
      </c>
      <c r="N5472">
        <v>3</v>
      </c>
      <c r="O5472">
        <v>3</v>
      </c>
      <c r="P5472">
        <v>1</v>
      </c>
      <c r="Q5472">
        <v>0</v>
      </c>
      <c r="R5472" s="4">
        <v>13.18</v>
      </c>
      <c r="S5472">
        <v>0</v>
      </c>
      <c r="T5472">
        <v>1</v>
      </c>
    </row>
    <row r="5473" spans="1:20" ht="16.5" x14ac:dyDescent="0.3">
      <c r="A5473" t="s">
        <v>5527</v>
      </c>
      <c r="B5473" s="1">
        <v>46013</v>
      </c>
      <c r="C5473">
        <v>2025</v>
      </c>
      <c r="D5473" t="s">
        <v>1873</v>
      </c>
      <c r="E5473" t="s">
        <v>2413</v>
      </c>
      <c r="F5473" t="s">
        <v>57</v>
      </c>
      <c r="G5473" t="s">
        <v>39</v>
      </c>
      <c r="H5473" t="s">
        <v>48</v>
      </c>
      <c r="I5473" t="s">
        <v>40</v>
      </c>
      <c r="J5473" t="s">
        <v>27</v>
      </c>
      <c r="K5473" t="s">
        <v>32</v>
      </c>
      <c r="L5473" s="2">
        <v>0.6</v>
      </c>
      <c r="M5473" s="3">
        <v>551</v>
      </c>
      <c r="N5473">
        <v>2</v>
      </c>
      <c r="O5473">
        <v>2</v>
      </c>
      <c r="P5473">
        <v>1</v>
      </c>
      <c r="Q5473">
        <v>0</v>
      </c>
      <c r="R5473" s="4">
        <v>24.77</v>
      </c>
      <c r="S5473">
        <v>0</v>
      </c>
      <c r="T5473">
        <v>1</v>
      </c>
    </row>
    <row r="5474" spans="1:20" ht="16.5" x14ac:dyDescent="0.3">
      <c r="A5474" t="s">
        <v>5528</v>
      </c>
      <c r="B5474" s="1">
        <v>46013</v>
      </c>
      <c r="C5474">
        <v>2025</v>
      </c>
      <c r="D5474" t="s">
        <v>1873</v>
      </c>
      <c r="E5474" t="s">
        <v>2413</v>
      </c>
      <c r="F5474" t="s">
        <v>38</v>
      </c>
      <c r="G5474" t="s">
        <v>39</v>
      </c>
      <c r="H5474" t="s">
        <v>48</v>
      </c>
      <c r="I5474" t="s">
        <v>26</v>
      </c>
      <c r="J5474" t="s">
        <v>27</v>
      </c>
      <c r="K5474" t="s">
        <v>32</v>
      </c>
      <c r="L5474" s="2">
        <v>2.9</v>
      </c>
      <c r="M5474" s="3">
        <v>447</v>
      </c>
      <c r="N5474">
        <v>4</v>
      </c>
      <c r="O5474">
        <v>4</v>
      </c>
      <c r="P5474">
        <v>1</v>
      </c>
      <c r="Q5474">
        <v>0</v>
      </c>
      <c r="R5474" s="4">
        <v>15.22</v>
      </c>
      <c r="S5474">
        <v>0</v>
      </c>
      <c r="T5474">
        <v>1</v>
      </c>
    </row>
    <row r="5475" spans="1:20" ht="16.5" x14ac:dyDescent="0.3">
      <c r="A5475" t="s">
        <v>5529</v>
      </c>
      <c r="B5475" s="1">
        <v>46013</v>
      </c>
      <c r="C5475">
        <v>2025</v>
      </c>
      <c r="D5475" t="s">
        <v>1873</v>
      </c>
      <c r="E5475" t="s">
        <v>2413</v>
      </c>
      <c r="F5475" t="s">
        <v>34</v>
      </c>
      <c r="G5475" t="s">
        <v>24</v>
      </c>
      <c r="H5475" t="s">
        <v>48</v>
      </c>
      <c r="I5475" t="s">
        <v>26</v>
      </c>
      <c r="J5475" t="s">
        <v>27</v>
      </c>
      <c r="K5475" t="s">
        <v>32</v>
      </c>
      <c r="L5475" s="2">
        <v>23.8</v>
      </c>
      <c r="M5475" s="3">
        <v>430</v>
      </c>
      <c r="N5475">
        <v>4</v>
      </c>
      <c r="O5475">
        <v>4</v>
      </c>
      <c r="P5475">
        <v>1</v>
      </c>
      <c r="Q5475">
        <v>0</v>
      </c>
      <c r="R5475" s="4">
        <v>20.239999999999998</v>
      </c>
      <c r="S5475">
        <v>0</v>
      </c>
      <c r="T5475">
        <v>1</v>
      </c>
    </row>
    <row r="5476" spans="1:20" ht="16.5" x14ac:dyDescent="0.3">
      <c r="A5476" t="s">
        <v>5530</v>
      </c>
      <c r="B5476" s="1">
        <v>46013</v>
      </c>
      <c r="C5476">
        <v>2025</v>
      </c>
      <c r="D5476" t="s">
        <v>1873</v>
      </c>
      <c r="E5476" t="s">
        <v>2413</v>
      </c>
      <c r="F5476" t="s">
        <v>57</v>
      </c>
      <c r="G5476" t="s">
        <v>35</v>
      </c>
      <c r="H5476" t="s">
        <v>48</v>
      </c>
      <c r="I5476" t="s">
        <v>26</v>
      </c>
      <c r="J5476" t="s">
        <v>27</v>
      </c>
      <c r="K5476" t="s">
        <v>32</v>
      </c>
      <c r="L5476" s="2">
        <v>2.9</v>
      </c>
      <c r="M5476" s="3">
        <v>437</v>
      </c>
      <c r="N5476">
        <v>4</v>
      </c>
      <c r="O5476">
        <v>4</v>
      </c>
      <c r="P5476">
        <v>1</v>
      </c>
      <c r="Q5476">
        <v>0</v>
      </c>
      <c r="R5476" s="4">
        <v>13.64</v>
      </c>
      <c r="S5476">
        <v>0</v>
      </c>
      <c r="T5476">
        <v>1</v>
      </c>
    </row>
    <row r="5477" spans="1:20" ht="16.5" x14ac:dyDescent="0.3">
      <c r="A5477" t="s">
        <v>5531</v>
      </c>
      <c r="B5477" s="1">
        <v>46013</v>
      </c>
      <c r="C5477">
        <v>2025</v>
      </c>
      <c r="D5477" t="s">
        <v>1873</v>
      </c>
      <c r="E5477" t="s">
        <v>2413</v>
      </c>
      <c r="F5477" t="s">
        <v>57</v>
      </c>
      <c r="G5477" t="s">
        <v>39</v>
      </c>
      <c r="H5477" t="s">
        <v>36</v>
      </c>
      <c r="I5477" t="s">
        <v>31</v>
      </c>
      <c r="J5477" t="s">
        <v>27</v>
      </c>
      <c r="K5477" t="s">
        <v>32</v>
      </c>
      <c r="L5477" s="2">
        <v>1.6</v>
      </c>
      <c r="M5477" s="3">
        <v>257</v>
      </c>
      <c r="N5477">
        <v>5</v>
      </c>
      <c r="O5477">
        <v>4</v>
      </c>
      <c r="P5477">
        <v>1</v>
      </c>
      <c r="Q5477">
        <v>0</v>
      </c>
      <c r="R5477" s="4">
        <v>7.24</v>
      </c>
      <c r="S5477">
        <v>0</v>
      </c>
      <c r="T5477">
        <v>1</v>
      </c>
    </row>
    <row r="5478" spans="1:20" ht="16.5" x14ac:dyDescent="0.3">
      <c r="A5478" t="s">
        <v>5532</v>
      </c>
      <c r="B5478" s="1">
        <v>46013</v>
      </c>
      <c r="C5478">
        <v>2025</v>
      </c>
      <c r="D5478" t="s">
        <v>1873</v>
      </c>
      <c r="E5478" t="s">
        <v>2413</v>
      </c>
      <c r="F5478" t="s">
        <v>57</v>
      </c>
      <c r="G5478" t="s">
        <v>39</v>
      </c>
      <c r="H5478" t="s">
        <v>36</v>
      </c>
      <c r="I5478" t="s">
        <v>31</v>
      </c>
      <c r="J5478" t="s">
        <v>27</v>
      </c>
      <c r="K5478" t="s">
        <v>28</v>
      </c>
      <c r="L5478" s="2">
        <v>180</v>
      </c>
      <c r="M5478" s="3">
        <v>272</v>
      </c>
      <c r="N5478">
        <v>5</v>
      </c>
      <c r="O5478">
        <v>4</v>
      </c>
      <c r="P5478">
        <v>1</v>
      </c>
      <c r="Q5478">
        <v>0</v>
      </c>
      <c r="R5478" s="4">
        <v>59.63</v>
      </c>
      <c r="S5478">
        <v>0</v>
      </c>
      <c r="T5478">
        <v>1</v>
      </c>
    </row>
    <row r="5479" spans="1:20" ht="16.5" x14ac:dyDescent="0.3">
      <c r="A5479" t="s">
        <v>5533</v>
      </c>
      <c r="B5479" s="1">
        <v>46013</v>
      </c>
      <c r="C5479">
        <v>2025</v>
      </c>
      <c r="D5479" t="s">
        <v>1873</v>
      </c>
      <c r="E5479" t="s">
        <v>2413</v>
      </c>
      <c r="F5479" t="s">
        <v>30</v>
      </c>
      <c r="G5479" t="s">
        <v>35</v>
      </c>
      <c r="H5479" t="s">
        <v>48</v>
      </c>
      <c r="I5479" t="s">
        <v>26</v>
      </c>
      <c r="J5479" t="s">
        <v>27</v>
      </c>
      <c r="K5479" t="s">
        <v>28</v>
      </c>
      <c r="L5479" s="2">
        <v>228.6</v>
      </c>
      <c r="M5479" s="3">
        <v>473</v>
      </c>
      <c r="N5479">
        <v>4</v>
      </c>
      <c r="O5479">
        <v>4</v>
      </c>
      <c r="P5479">
        <v>1</v>
      </c>
      <c r="Q5479">
        <v>0</v>
      </c>
      <c r="R5479" s="4">
        <v>111.2</v>
      </c>
      <c r="S5479">
        <v>0</v>
      </c>
      <c r="T5479">
        <v>1</v>
      </c>
    </row>
    <row r="5480" spans="1:20" ht="16.5" x14ac:dyDescent="0.3">
      <c r="A5480" t="s">
        <v>5534</v>
      </c>
      <c r="B5480" s="1">
        <v>46013</v>
      </c>
      <c r="C5480">
        <v>2025</v>
      </c>
      <c r="D5480" t="s">
        <v>1873</v>
      </c>
      <c r="E5480" t="s">
        <v>2413</v>
      </c>
      <c r="F5480" t="s">
        <v>57</v>
      </c>
      <c r="G5480" t="s">
        <v>35</v>
      </c>
      <c r="H5480" t="s">
        <v>25</v>
      </c>
      <c r="I5480" t="s">
        <v>26</v>
      </c>
      <c r="J5480" t="s">
        <v>27</v>
      </c>
      <c r="K5480" t="s">
        <v>28</v>
      </c>
      <c r="L5480" s="2">
        <v>227.7</v>
      </c>
      <c r="M5480" s="3">
        <v>955</v>
      </c>
      <c r="N5480">
        <v>4</v>
      </c>
      <c r="O5480">
        <v>4</v>
      </c>
      <c r="P5480">
        <v>1</v>
      </c>
      <c r="Q5480">
        <v>0</v>
      </c>
      <c r="R5480" s="4">
        <v>110.49</v>
      </c>
      <c r="S5480">
        <v>0</v>
      </c>
      <c r="T5480">
        <v>1</v>
      </c>
    </row>
    <row r="5481" spans="1:20" ht="16.5" x14ac:dyDescent="0.3">
      <c r="A5481" t="s">
        <v>5535</v>
      </c>
      <c r="B5481" s="1">
        <v>46013</v>
      </c>
      <c r="C5481">
        <v>2025</v>
      </c>
      <c r="D5481" t="s">
        <v>1873</v>
      </c>
      <c r="E5481" t="s">
        <v>2413</v>
      </c>
      <c r="F5481" t="s">
        <v>57</v>
      </c>
      <c r="G5481" t="s">
        <v>39</v>
      </c>
      <c r="H5481" t="s">
        <v>43</v>
      </c>
      <c r="I5481" t="s">
        <v>40</v>
      </c>
      <c r="J5481" t="s">
        <v>41</v>
      </c>
      <c r="K5481" t="s">
        <v>32</v>
      </c>
      <c r="L5481" s="2">
        <v>8.1999999999999993</v>
      </c>
      <c r="M5481" s="3">
        <v>1210</v>
      </c>
      <c r="N5481">
        <v>3</v>
      </c>
      <c r="O5481">
        <v>3</v>
      </c>
      <c r="P5481">
        <v>1</v>
      </c>
      <c r="Q5481">
        <v>0</v>
      </c>
      <c r="R5481" s="4">
        <v>72.59</v>
      </c>
      <c r="S5481">
        <v>0</v>
      </c>
      <c r="T5481">
        <v>1</v>
      </c>
    </row>
    <row r="5482" spans="1:20" ht="16.5" x14ac:dyDescent="0.3">
      <c r="A5482" t="s">
        <v>5536</v>
      </c>
      <c r="B5482" s="1">
        <v>46013</v>
      </c>
      <c r="C5482">
        <v>2025</v>
      </c>
      <c r="D5482" t="s">
        <v>1873</v>
      </c>
      <c r="E5482" t="s">
        <v>2413</v>
      </c>
      <c r="F5482" t="s">
        <v>38</v>
      </c>
      <c r="G5482" t="s">
        <v>24</v>
      </c>
      <c r="H5482" t="s">
        <v>48</v>
      </c>
      <c r="I5482" t="s">
        <v>26</v>
      </c>
      <c r="J5482" t="s">
        <v>27</v>
      </c>
      <c r="K5482" t="s">
        <v>32</v>
      </c>
      <c r="L5482" s="2">
        <v>7.7</v>
      </c>
      <c r="M5482" s="3">
        <v>479</v>
      </c>
      <c r="N5482">
        <v>4</v>
      </c>
      <c r="O5482">
        <v>4</v>
      </c>
      <c r="P5482">
        <v>1</v>
      </c>
      <c r="Q5482">
        <v>0</v>
      </c>
      <c r="R5482" s="4">
        <v>16.75</v>
      </c>
      <c r="S5482">
        <v>0</v>
      </c>
      <c r="T5482">
        <v>1</v>
      </c>
    </row>
    <row r="5483" spans="1:20" ht="16.5" x14ac:dyDescent="0.3">
      <c r="A5483" t="s">
        <v>5537</v>
      </c>
      <c r="B5483" s="1">
        <v>46013</v>
      </c>
      <c r="C5483">
        <v>2025</v>
      </c>
      <c r="D5483" t="s">
        <v>1873</v>
      </c>
      <c r="E5483" t="s">
        <v>2413</v>
      </c>
      <c r="F5483" t="s">
        <v>57</v>
      </c>
      <c r="G5483" t="s">
        <v>39</v>
      </c>
      <c r="H5483" t="s">
        <v>43</v>
      </c>
      <c r="I5483" t="s">
        <v>31</v>
      </c>
      <c r="J5483" t="s">
        <v>27</v>
      </c>
      <c r="K5483" t="s">
        <v>32</v>
      </c>
      <c r="L5483" s="2">
        <v>1.5</v>
      </c>
      <c r="M5483" s="3">
        <v>996</v>
      </c>
      <c r="N5483">
        <v>7</v>
      </c>
      <c r="O5483">
        <v>9</v>
      </c>
      <c r="P5483">
        <v>0</v>
      </c>
      <c r="Q5483">
        <v>2</v>
      </c>
      <c r="R5483" s="4">
        <v>13.98</v>
      </c>
      <c r="S5483">
        <v>0</v>
      </c>
      <c r="T5483">
        <v>1</v>
      </c>
    </row>
    <row r="5484" spans="1:20" ht="16.5" x14ac:dyDescent="0.3">
      <c r="A5484" t="s">
        <v>5538</v>
      </c>
      <c r="B5484" s="1">
        <v>46013</v>
      </c>
      <c r="C5484">
        <v>2025</v>
      </c>
      <c r="D5484" t="s">
        <v>1873</v>
      </c>
      <c r="E5484" t="s">
        <v>2413</v>
      </c>
      <c r="F5484" t="s">
        <v>57</v>
      </c>
      <c r="G5484" t="s">
        <v>35</v>
      </c>
      <c r="H5484" t="s">
        <v>25</v>
      </c>
      <c r="I5484" t="s">
        <v>31</v>
      </c>
      <c r="J5484" t="s">
        <v>27</v>
      </c>
      <c r="K5484" t="s">
        <v>28</v>
      </c>
      <c r="L5484" s="2">
        <v>329.4</v>
      </c>
      <c r="M5484" s="3">
        <v>912</v>
      </c>
      <c r="N5484">
        <v>6</v>
      </c>
      <c r="O5484">
        <v>5</v>
      </c>
      <c r="P5484">
        <v>1</v>
      </c>
      <c r="Q5484">
        <v>0</v>
      </c>
      <c r="R5484" s="4">
        <v>98.33</v>
      </c>
      <c r="S5484">
        <v>0</v>
      </c>
      <c r="T5484">
        <v>1</v>
      </c>
    </row>
    <row r="5485" spans="1:20" ht="16.5" x14ac:dyDescent="0.3">
      <c r="A5485" t="s">
        <v>5539</v>
      </c>
      <c r="B5485" s="1">
        <v>46013</v>
      </c>
      <c r="C5485">
        <v>2025</v>
      </c>
      <c r="D5485" t="s">
        <v>1873</v>
      </c>
      <c r="E5485" t="s">
        <v>2413</v>
      </c>
      <c r="F5485" t="s">
        <v>23</v>
      </c>
      <c r="G5485" t="s">
        <v>35</v>
      </c>
      <c r="H5485" t="s">
        <v>36</v>
      </c>
      <c r="I5485" t="s">
        <v>26</v>
      </c>
      <c r="J5485" t="s">
        <v>27</v>
      </c>
      <c r="K5485" t="s">
        <v>32</v>
      </c>
      <c r="L5485" s="2">
        <v>4.5</v>
      </c>
      <c r="M5485" s="3">
        <v>246</v>
      </c>
      <c r="N5485">
        <v>3</v>
      </c>
      <c r="O5485">
        <v>6</v>
      </c>
      <c r="P5485">
        <v>0</v>
      </c>
      <c r="Q5485">
        <v>3</v>
      </c>
      <c r="R5485" s="4">
        <v>11.25</v>
      </c>
      <c r="S5485">
        <v>0</v>
      </c>
      <c r="T5485">
        <v>1</v>
      </c>
    </row>
    <row r="5486" spans="1:20" ht="16.5" x14ac:dyDescent="0.3">
      <c r="A5486" t="s">
        <v>5540</v>
      </c>
      <c r="B5486" s="1">
        <v>46013</v>
      </c>
      <c r="C5486">
        <v>2025</v>
      </c>
      <c r="D5486" t="s">
        <v>1873</v>
      </c>
      <c r="E5486" t="s">
        <v>2413</v>
      </c>
      <c r="F5486" t="s">
        <v>57</v>
      </c>
      <c r="G5486" t="s">
        <v>39</v>
      </c>
      <c r="H5486" t="s">
        <v>36</v>
      </c>
      <c r="I5486" t="s">
        <v>26</v>
      </c>
      <c r="J5486" t="s">
        <v>27</v>
      </c>
      <c r="K5486" t="s">
        <v>28</v>
      </c>
      <c r="L5486" s="2">
        <v>24.9</v>
      </c>
      <c r="M5486" s="3">
        <v>277</v>
      </c>
      <c r="N5486">
        <v>3</v>
      </c>
      <c r="O5486">
        <v>3</v>
      </c>
      <c r="P5486">
        <v>1</v>
      </c>
      <c r="Q5486">
        <v>0</v>
      </c>
      <c r="R5486" s="4">
        <v>24.68</v>
      </c>
      <c r="S5486">
        <v>0</v>
      </c>
      <c r="T5486">
        <v>1</v>
      </c>
    </row>
    <row r="5487" spans="1:20" ht="16.5" x14ac:dyDescent="0.3">
      <c r="A5487" t="s">
        <v>5541</v>
      </c>
      <c r="B5487" s="1">
        <v>46014</v>
      </c>
      <c r="C5487">
        <v>2025</v>
      </c>
      <c r="D5487" t="s">
        <v>1873</v>
      </c>
      <c r="E5487" t="s">
        <v>2413</v>
      </c>
      <c r="F5487" t="s">
        <v>38</v>
      </c>
      <c r="G5487" t="s">
        <v>39</v>
      </c>
      <c r="H5487" t="s">
        <v>25</v>
      </c>
      <c r="I5487" t="s">
        <v>26</v>
      </c>
      <c r="J5487" t="s">
        <v>27</v>
      </c>
      <c r="K5487" t="s">
        <v>28</v>
      </c>
      <c r="L5487" s="2">
        <v>189.8</v>
      </c>
      <c r="M5487" s="3">
        <v>924</v>
      </c>
      <c r="N5487">
        <v>4</v>
      </c>
      <c r="O5487">
        <v>4</v>
      </c>
      <c r="P5487">
        <v>1</v>
      </c>
      <c r="Q5487">
        <v>0</v>
      </c>
      <c r="R5487" s="4">
        <v>116.07</v>
      </c>
      <c r="S5487">
        <v>0</v>
      </c>
      <c r="T5487">
        <v>1</v>
      </c>
    </row>
    <row r="5488" spans="1:20" ht="16.5" x14ac:dyDescent="0.3">
      <c r="A5488" t="s">
        <v>5542</v>
      </c>
      <c r="B5488" s="1">
        <v>46014</v>
      </c>
      <c r="C5488">
        <v>2025</v>
      </c>
      <c r="D5488" t="s">
        <v>1873</v>
      </c>
      <c r="E5488" t="s">
        <v>2413</v>
      </c>
      <c r="F5488" t="s">
        <v>23</v>
      </c>
      <c r="G5488" t="s">
        <v>24</v>
      </c>
      <c r="H5488" t="s">
        <v>51</v>
      </c>
      <c r="I5488" t="s">
        <v>26</v>
      </c>
      <c r="J5488" t="s">
        <v>27</v>
      </c>
      <c r="K5488" t="s">
        <v>28</v>
      </c>
      <c r="L5488" s="2">
        <v>97.3</v>
      </c>
      <c r="M5488" s="3">
        <v>1015</v>
      </c>
      <c r="N5488">
        <v>5</v>
      </c>
      <c r="O5488">
        <v>5</v>
      </c>
      <c r="P5488">
        <v>1</v>
      </c>
      <c r="Q5488">
        <v>0</v>
      </c>
      <c r="R5488" s="4">
        <v>64.91</v>
      </c>
      <c r="S5488">
        <v>0</v>
      </c>
      <c r="T5488">
        <v>1</v>
      </c>
    </row>
    <row r="5489" spans="1:20" ht="16.5" x14ac:dyDescent="0.3">
      <c r="A5489" t="s">
        <v>5543</v>
      </c>
      <c r="B5489" s="1">
        <v>46014</v>
      </c>
      <c r="C5489">
        <v>2025</v>
      </c>
      <c r="D5489" t="s">
        <v>1873</v>
      </c>
      <c r="E5489" t="s">
        <v>2413</v>
      </c>
      <c r="F5489" t="s">
        <v>34</v>
      </c>
      <c r="G5489" t="s">
        <v>39</v>
      </c>
      <c r="H5489" t="s">
        <v>25</v>
      </c>
      <c r="I5489" t="s">
        <v>31</v>
      </c>
      <c r="J5489" t="s">
        <v>27</v>
      </c>
      <c r="K5489" t="s">
        <v>28</v>
      </c>
      <c r="L5489" s="2">
        <v>57.2</v>
      </c>
      <c r="M5489" s="3">
        <v>829</v>
      </c>
      <c r="N5489">
        <v>6</v>
      </c>
      <c r="O5489">
        <v>6</v>
      </c>
      <c r="P5489">
        <v>1</v>
      </c>
      <c r="Q5489">
        <v>0</v>
      </c>
      <c r="R5489" s="4">
        <v>26.47</v>
      </c>
      <c r="S5489">
        <v>0</v>
      </c>
      <c r="T5489">
        <v>1</v>
      </c>
    </row>
    <row r="5490" spans="1:20" ht="16.5" x14ac:dyDescent="0.3">
      <c r="A5490" t="s">
        <v>5544</v>
      </c>
      <c r="B5490" s="1">
        <v>46014</v>
      </c>
      <c r="C5490">
        <v>2025</v>
      </c>
      <c r="D5490" t="s">
        <v>1873</v>
      </c>
      <c r="E5490" t="s">
        <v>2413</v>
      </c>
      <c r="F5490" t="s">
        <v>57</v>
      </c>
      <c r="G5490" t="s">
        <v>39</v>
      </c>
      <c r="H5490" t="s">
        <v>43</v>
      </c>
      <c r="I5490" t="s">
        <v>40</v>
      </c>
      <c r="J5490" t="s">
        <v>41</v>
      </c>
      <c r="K5490" t="s">
        <v>28</v>
      </c>
      <c r="L5490" s="2">
        <v>39.1</v>
      </c>
      <c r="M5490" s="3">
        <v>1229</v>
      </c>
      <c r="N5490">
        <v>3</v>
      </c>
      <c r="O5490">
        <v>3</v>
      </c>
      <c r="P5490">
        <v>1</v>
      </c>
      <c r="Q5490">
        <v>0</v>
      </c>
      <c r="R5490" s="4">
        <v>122.92</v>
      </c>
      <c r="S5490">
        <v>0</v>
      </c>
      <c r="T5490">
        <v>1</v>
      </c>
    </row>
    <row r="5491" spans="1:20" ht="16.5" x14ac:dyDescent="0.3">
      <c r="A5491" t="s">
        <v>5545</v>
      </c>
      <c r="B5491" s="1">
        <v>46014</v>
      </c>
      <c r="C5491">
        <v>2025</v>
      </c>
      <c r="D5491" t="s">
        <v>1873</v>
      </c>
      <c r="E5491" t="s">
        <v>2413</v>
      </c>
      <c r="F5491" t="s">
        <v>30</v>
      </c>
      <c r="G5491" t="s">
        <v>39</v>
      </c>
      <c r="H5491" t="s">
        <v>36</v>
      </c>
      <c r="I5491" t="s">
        <v>26</v>
      </c>
      <c r="J5491" t="s">
        <v>27</v>
      </c>
      <c r="K5491" t="s">
        <v>28</v>
      </c>
      <c r="L5491" s="2">
        <v>206.9</v>
      </c>
      <c r="M5491" s="3">
        <v>135</v>
      </c>
      <c r="N5491">
        <v>3</v>
      </c>
      <c r="O5491">
        <v>2</v>
      </c>
      <c r="P5491">
        <v>1</v>
      </c>
      <c r="Q5491">
        <v>0</v>
      </c>
      <c r="R5491" s="4">
        <v>88.75</v>
      </c>
      <c r="S5491">
        <v>0</v>
      </c>
      <c r="T5491">
        <v>1</v>
      </c>
    </row>
    <row r="5492" spans="1:20" ht="16.5" x14ac:dyDescent="0.3">
      <c r="A5492" t="s">
        <v>5546</v>
      </c>
      <c r="B5492" s="1">
        <v>46014</v>
      </c>
      <c r="C5492">
        <v>2025</v>
      </c>
      <c r="D5492" t="s">
        <v>1873</v>
      </c>
      <c r="E5492" t="s">
        <v>2413</v>
      </c>
      <c r="F5492" t="s">
        <v>34</v>
      </c>
      <c r="G5492" t="s">
        <v>39</v>
      </c>
      <c r="H5492" t="s">
        <v>51</v>
      </c>
      <c r="I5492" t="s">
        <v>40</v>
      </c>
      <c r="J5492" t="s">
        <v>41</v>
      </c>
      <c r="K5492" t="s">
        <v>32</v>
      </c>
      <c r="L5492" s="2">
        <v>10.5</v>
      </c>
      <c r="M5492" s="3">
        <v>1202</v>
      </c>
      <c r="N5492">
        <v>3</v>
      </c>
      <c r="O5492">
        <v>2</v>
      </c>
      <c r="P5492">
        <v>1</v>
      </c>
      <c r="Q5492">
        <v>0</v>
      </c>
      <c r="R5492" s="4">
        <v>63.65</v>
      </c>
      <c r="S5492">
        <v>0</v>
      </c>
      <c r="T5492">
        <v>1</v>
      </c>
    </row>
    <row r="5493" spans="1:20" ht="16.5" x14ac:dyDescent="0.3">
      <c r="A5493" t="s">
        <v>5547</v>
      </c>
      <c r="B5493" s="1">
        <v>46014</v>
      </c>
      <c r="C5493">
        <v>2025</v>
      </c>
      <c r="D5493" t="s">
        <v>1873</v>
      </c>
      <c r="E5493" t="s">
        <v>2413</v>
      </c>
      <c r="F5493" t="s">
        <v>23</v>
      </c>
      <c r="G5493" t="s">
        <v>39</v>
      </c>
      <c r="H5493" t="s">
        <v>36</v>
      </c>
      <c r="I5493" t="s">
        <v>31</v>
      </c>
      <c r="J5493" t="s">
        <v>27</v>
      </c>
      <c r="K5493" t="s">
        <v>32</v>
      </c>
      <c r="L5493" s="2">
        <v>0.6</v>
      </c>
      <c r="M5493" s="3">
        <v>241</v>
      </c>
      <c r="N5493">
        <v>5</v>
      </c>
      <c r="O5493">
        <v>4</v>
      </c>
      <c r="P5493">
        <v>1</v>
      </c>
      <c r="Q5493">
        <v>0</v>
      </c>
      <c r="R5493" s="4">
        <v>6.06</v>
      </c>
      <c r="S5493">
        <v>0</v>
      </c>
      <c r="T5493">
        <v>1</v>
      </c>
    </row>
    <row r="5494" spans="1:20" ht="16.5" x14ac:dyDescent="0.3">
      <c r="A5494" t="s">
        <v>5548</v>
      </c>
      <c r="B5494" s="1">
        <v>46014</v>
      </c>
      <c r="C5494">
        <v>2025</v>
      </c>
      <c r="D5494" t="s">
        <v>1873</v>
      </c>
      <c r="E5494" t="s">
        <v>2413</v>
      </c>
      <c r="F5494" t="s">
        <v>38</v>
      </c>
      <c r="G5494" t="s">
        <v>35</v>
      </c>
      <c r="H5494" t="s">
        <v>48</v>
      </c>
      <c r="I5494" t="s">
        <v>26</v>
      </c>
      <c r="J5494" t="s">
        <v>27</v>
      </c>
      <c r="K5494" t="s">
        <v>32</v>
      </c>
      <c r="L5494" s="2">
        <v>5</v>
      </c>
      <c r="M5494" s="3">
        <v>352</v>
      </c>
      <c r="N5494">
        <v>4</v>
      </c>
      <c r="O5494">
        <v>4</v>
      </c>
      <c r="P5494">
        <v>1</v>
      </c>
      <c r="Q5494">
        <v>0</v>
      </c>
      <c r="R5494" s="4">
        <v>16.2</v>
      </c>
      <c r="S5494">
        <v>0</v>
      </c>
      <c r="T5494">
        <v>1</v>
      </c>
    </row>
    <row r="5495" spans="1:20" ht="16.5" x14ac:dyDescent="0.3">
      <c r="A5495" t="s">
        <v>5549</v>
      </c>
      <c r="B5495" s="1">
        <v>46014</v>
      </c>
      <c r="C5495">
        <v>2025</v>
      </c>
      <c r="D5495" t="s">
        <v>1873</v>
      </c>
      <c r="E5495" t="s">
        <v>2413</v>
      </c>
      <c r="F5495" t="s">
        <v>34</v>
      </c>
      <c r="G5495" t="s">
        <v>39</v>
      </c>
      <c r="H5495" t="s">
        <v>25</v>
      </c>
      <c r="I5495" t="s">
        <v>26</v>
      </c>
      <c r="J5495" t="s">
        <v>27</v>
      </c>
      <c r="K5495" t="s">
        <v>28</v>
      </c>
      <c r="L5495" s="2">
        <v>107.5</v>
      </c>
      <c r="M5495" s="3">
        <v>698</v>
      </c>
      <c r="N5495">
        <v>4</v>
      </c>
      <c r="O5495">
        <v>4</v>
      </c>
      <c r="P5495">
        <v>1</v>
      </c>
      <c r="Q5495">
        <v>0</v>
      </c>
      <c r="R5495" s="4">
        <v>58.06</v>
      </c>
      <c r="S5495">
        <v>0</v>
      </c>
      <c r="T5495">
        <v>1</v>
      </c>
    </row>
    <row r="5496" spans="1:20" ht="16.5" x14ac:dyDescent="0.3">
      <c r="A5496" t="s">
        <v>5550</v>
      </c>
      <c r="B5496" s="1">
        <v>46014</v>
      </c>
      <c r="C5496">
        <v>2025</v>
      </c>
      <c r="D5496" t="s">
        <v>1873</v>
      </c>
      <c r="E5496" t="s">
        <v>2413</v>
      </c>
      <c r="F5496" t="s">
        <v>38</v>
      </c>
      <c r="G5496" t="s">
        <v>39</v>
      </c>
      <c r="H5496" t="s">
        <v>48</v>
      </c>
      <c r="I5496" t="s">
        <v>26</v>
      </c>
      <c r="J5496" t="s">
        <v>27</v>
      </c>
      <c r="K5496" t="s">
        <v>32</v>
      </c>
      <c r="L5496" s="2">
        <v>14.5</v>
      </c>
      <c r="M5496" s="3">
        <v>417</v>
      </c>
      <c r="N5496">
        <v>4</v>
      </c>
      <c r="O5496">
        <v>4</v>
      </c>
      <c r="P5496">
        <v>1</v>
      </c>
      <c r="Q5496">
        <v>0</v>
      </c>
      <c r="R5496" s="4">
        <v>19.309999999999999</v>
      </c>
      <c r="S5496">
        <v>0</v>
      </c>
      <c r="T5496">
        <v>1</v>
      </c>
    </row>
    <row r="5497" spans="1:20" ht="16.5" x14ac:dyDescent="0.3">
      <c r="A5497" t="s">
        <v>5551</v>
      </c>
      <c r="B5497" s="1">
        <v>46014</v>
      </c>
      <c r="C5497">
        <v>2025</v>
      </c>
      <c r="D5497" t="s">
        <v>1873</v>
      </c>
      <c r="E5497" t="s">
        <v>2413</v>
      </c>
      <c r="F5497" t="s">
        <v>30</v>
      </c>
      <c r="G5497" t="s">
        <v>39</v>
      </c>
      <c r="H5497" t="s">
        <v>51</v>
      </c>
      <c r="I5497" t="s">
        <v>31</v>
      </c>
      <c r="J5497" t="s">
        <v>27</v>
      </c>
      <c r="K5497" t="s">
        <v>32</v>
      </c>
      <c r="L5497" s="2">
        <v>19.7</v>
      </c>
      <c r="M5497" s="3">
        <v>1045</v>
      </c>
      <c r="N5497">
        <v>7</v>
      </c>
      <c r="O5497">
        <v>10</v>
      </c>
      <c r="P5497">
        <v>0</v>
      </c>
      <c r="Q5497">
        <v>3</v>
      </c>
      <c r="R5497" s="4">
        <v>23.3</v>
      </c>
      <c r="S5497">
        <v>0</v>
      </c>
      <c r="T5497">
        <v>1</v>
      </c>
    </row>
    <row r="5498" spans="1:20" ht="16.5" x14ac:dyDescent="0.3">
      <c r="A5498" t="s">
        <v>5552</v>
      </c>
      <c r="B5498" s="1">
        <v>46014</v>
      </c>
      <c r="C5498">
        <v>2025</v>
      </c>
      <c r="D5498" t="s">
        <v>1873</v>
      </c>
      <c r="E5498" t="s">
        <v>2413</v>
      </c>
      <c r="F5498" t="s">
        <v>23</v>
      </c>
      <c r="G5498" t="s">
        <v>39</v>
      </c>
      <c r="H5498" t="s">
        <v>36</v>
      </c>
      <c r="I5498" t="s">
        <v>40</v>
      </c>
      <c r="J5498" t="s">
        <v>27</v>
      </c>
      <c r="K5498" t="s">
        <v>28</v>
      </c>
      <c r="L5498" s="2">
        <v>23</v>
      </c>
      <c r="M5498" s="3">
        <v>285</v>
      </c>
      <c r="N5498">
        <v>1</v>
      </c>
      <c r="O5498">
        <v>1</v>
      </c>
      <c r="P5498">
        <v>1</v>
      </c>
      <c r="Q5498">
        <v>0</v>
      </c>
      <c r="R5498" s="4">
        <v>40.159999999999997</v>
      </c>
      <c r="S5498">
        <v>0</v>
      </c>
      <c r="T5498">
        <v>1</v>
      </c>
    </row>
    <row r="5499" spans="1:20" ht="16.5" x14ac:dyDescent="0.3">
      <c r="A5499" t="s">
        <v>5553</v>
      </c>
      <c r="B5499" s="1">
        <v>46014</v>
      </c>
      <c r="C5499">
        <v>2025</v>
      </c>
      <c r="D5499" t="s">
        <v>1873</v>
      </c>
      <c r="E5499" t="s">
        <v>2413</v>
      </c>
      <c r="F5499" t="s">
        <v>38</v>
      </c>
      <c r="G5499" t="s">
        <v>24</v>
      </c>
      <c r="H5499" t="s">
        <v>51</v>
      </c>
      <c r="I5499" t="s">
        <v>31</v>
      </c>
      <c r="J5499" t="s">
        <v>27</v>
      </c>
      <c r="K5499" t="s">
        <v>28</v>
      </c>
      <c r="L5499" s="2">
        <v>112.4</v>
      </c>
      <c r="M5499" s="3">
        <v>908</v>
      </c>
      <c r="N5499">
        <v>7</v>
      </c>
      <c r="O5499">
        <v>7</v>
      </c>
      <c r="P5499">
        <v>1</v>
      </c>
      <c r="Q5499">
        <v>0</v>
      </c>
      <c r="R5499" s="4">
        <v>53.37</v>
      </c>
      <c r="S5499">
        <v>0</v>
      </c>
      <c r="T5499">
        <v>1</v>
      </c>
    </row>
    <row r="5500" spans="1:20" ht="16.5" x14ac:dyDescent="0.3">
      <c r="A5500" t="s">
        <v>5554</v>
      </c>
      <c r="B5500" s="1">
        <v>46014</v>
      </c>
      <c r="C5500">
        <v>2025</v>
      </c>
      <c r="D5500" t="s">
        <v>1873</v>
      </c>
      <c r="E5500" t="s">
        <v>2413</v>
      </c>
      <c r="F5500" t="s">
        <v>57</v>
      </c>
      <c r="G5500" t="s">
        <v>35</v>
      </c>
      <c r="H5500" t="s">
        <v>36</v>
      </c>
      <c r="I5500" t="s">
        <v>26</v>
      </c>
      <c r="J5500" t="s">
        <v>27</v>
      </c>
      <c r="K5500" t="s">
        <v>32</v>
      </c>
      <c r="L5500" s="2">
        <v>6.3</v>
      </c>
      <c r="M5500" s="3">
        <v>230</v>
      </c>
      <c r="N5500">
        <v>3</v>
      </c>
      <c r="O5500">
        <v>3</v>
      </c>
      <c r="P5500">
        <v>1</v>
      </c>
      <c r="Q5500">
        <v>0</v>
      </c>
      <c r="R5500" s="4">
        <v>13.36</v>
      </c>
      <c r="S5500">
        <v>0</v>
      </c>
      <c r="T5500">
        <v>1</v>
      </c>
    </row>
    <row r="5501" spans="1:20" ht="16.5" x14ac:dyDescent="0.3">
      <c r="A5501" t="s">
        <v>5555</v>
      </c>
      <c r="B5501" s="1">
        <v>46015</v>
      </c>
      <c r="C5501">
        <v>2025</v>
      </c>
      <c r="D5501" t="s">
        <v>1873</v>
      </c>
      <c r="E5501" t="s">
        <v>2413</v>
      </c>
      <c r="F5501" t="s">
        <v>23</v>
      </c>
      <c r="G5501" t="s">
        <v>35</v>
      </c>
      <c r="H5501" t="s">
        <v>25</v>
      </c>
      <c r="I5501" t="s">
        <v>31</v>
      </c>
      <c r="J5501" t="s">
        <v>27</v>
      </c>
      <c r="K5501" t="s">
        <v>32</v>
      </c>
      <c r="L5501" s="2">
        <v>3.7</v>
      </c>
      <c r="M5501" s="3">
        <v>1066</v>
      </c>
      <c r="N5501">
        <v>6</v>
      </c>
      <c r="O5501">
        <v>6</v>
      </c>
      <c r="P5501">
        <v>1</v>
      </c>
      <c r="Q5501">
        <v>0</v>
      </c>
      <c r="R5501" s="4">
        <v>15.55</v>
      </c>
      <c r="S5501">
        <v>0</v>
      </c>
      <c r="T5501">
        <v>1</v>
      </c>
    </row>
    <row r="5502" spans="1:20" ht="16.5" x14ac:dyDescent="0.3">
      <c r="A5502" t="s">
        <v>5556</v>
      </c>
      <c r="B5502" s="1">
        <v>46015</v>
      </c>
      <c r="C5502">
        <v>2025</v>
      </c>
      <c r="D5502" t="s">
        <v>1873</v>
      </c>
      <c r="E5502" t="s">
        <v>2413</v>
      </c>
      <c r="F5502" t="s">
        <v>38</v>
      </c>
      <c r="G5502" t="s">
        <v>24</v>
      </c>
      <c r="H5502" t="s">
        <v>43</v>
      </c>
      <c r="I5502" t="s">
        <v>31</v>
      </c>
      <c r="J5502" t="s">
        <v>27</v>
      </c>
      <c r="K5502" t="s">
        <v>32</v>
      </c>
      <c r="L5502" s="2">
        <v>3.3</v>
      </c>
      <c r="M5502" s="3">
        <v>1389</v>
      </c>
      <c r="N5502">
        <v>7</v>
      </c>
      <c r="O5502">
        <v>7</v>
      </c>
      <c r="P5502">
        <v>1</v>
      </c>
      <c r="Q5502">
        <v>0</v>
      </c>
      <c r="R5502" s="4">
        <v>19.239999999999998</v>
      </c>
      <c r="S5502">
        <v>0</v>
      </c>
      <c r="T5502">
        <v>1</v>
      </c>
    </row>
    <row r="5503" spans="1:20" ht="16.5" x14ac:dyDescent="0.3">
      <c r="A5503" t="s">
        <v>5557</v>
      </c>
      <c r="B5503" s="1">
        <v>46015</v>
      </c>
      <c r="C5503">
        <v>2025</v>
      </c>
      <c r="D5503" t="s">
        <v>1873</v>
      </c>
      <c r="E5503" t="s">
        <v>2413</v>
      </c>
      <c r="F5503" t="s">
        <v>23</v>
      </c>
      <c r="G5503" t="s">
        <v>35</v>
      </c>
      <c r="H5503" t="s">
        <v>25</v>
      </c>
      <c r="I5503" t="s">
        <v>26</v>
      </c>
      <c r="J5503" t="s">
        <v>27</v>
      </c>
      <c r="K5503" t="s">
        <v>32</v>
      </c>
      <c r="L5503" s="2">
        <v>10.199999999999999</v>
      </c>
      <c r="M5503" s="3">
        <v>694</v>
      </c>
      <c r="N5503">
        <v>4</v>
      </c>
      <c r="O5503">
        <v>3</v>
      </c>
      <c r="P5503">
        <v>1</v>
      </c>
      <c r="Q5503">
        <v>0</v>
      </c>
      <c r="R5503" s="4">
        <v>20</v>
      </c>
      <c r="S5503">
        <v>0</v>
      </c>
      <c r="T5503">
        <v>1</v>
      </c>
    </row>
    <row r="5504" spans="1:20" ht="16.5" x14ac:dyDescent="0.3">
      <c r="A5504" t="s">
        <v>5558</v>
      </c>
      <c r="B5504" s="1">
        <v>46015</v>
      </c>
      <c r="C5504">
        <v>2025</v>
      </c>
      <c r="D5504" t="s">
        <v>1873</v>
      </c>
      <c r="E5504" t="s">
        <v>2413</v>
      </c>
      <c r="F5504" t="s">
        <v>57</v>
      </c>
      <c r="G5504" t="s">
        <v>35</v>
      </c>
      <c r="H5504" t="s">
        <v>36</v>
      </c>
      <c r="I5504" t="s">
        <v>31</v>
      </c>
      <c r="J5504" t="s">
        <v>27</v>
      </c>
      <c r="K5504" t="s">
        <v>32</v>
      </c>
      <c r="L5504" s="2">
        <v>4.0999999999999996</v>
      </c>
      <c r="M5504" s="3">
        <v>298</v>
      </c>
      <c r="N5504">
        <v>5</v>
      </c>
      <c r="O5504">
        <v>5</v>
      </c>
      <c r="P5504">
        <v>1</v>
      </c>
      <c r="Q5504">
        <v>0</v>
      </c>
      <c r="R5504" s="4">
        <v>9.3800000000000008</v>
      </c>
      <c r="S5504">
        <v>0</v>
      </c>
      <c r="T5504">
        <v>1</v>
      </c>
    </row>
    <row r="5505" spans="1:20" ht="16.5" x14ac:dyDescent="0.3">
      <c r="A5505" t="s">
        <v>5559</v>
      </c>
      <c r="B5505" s="1">
        <v>46015</v>
      </c>
      <c r="C5505">
        <v>2025</v>
      </c>
      <c r="D5505" t="s">
        <v>1873</v>
      </c>
      <c r="E5505" t="s">
        <v>2413</v>
      </c>
      <c r="F5505" t="s">
        <v>34</v>
      </c>
      <c r="G5505" t="s">
        <v>24</v>
      </c>
      <c r="H5505" t="s">
        <v>51</v>
      </c>
      <c r="I5505" t="s">
        <v>26</v>
      </c>
      <c r="J5505" t="s">
        <v>27</v>
      </c>
      <c r="K5505" t="s">
        <v>28</v>
      </c>
      <c r="L5505" s="2">
        <v>132.30000000000001</v>
      </c>
      <c r="M5505" s="3">
        <v>719</v>
      </c>
      <c r="N5505">
        <v>5</v>
      </c>
      <c r="O5505">
        <v>4</v>
      </c>
      <c r="P5505">
        <v>1</v>
      </c>
      <c r="Q5505">
        <v>0</v>
      </c>
      <c r="R5505" s="4">
        <v>59.95</v>
      </c>
      <c r="S5505">
        <v>0</v>
      </c>
      <c r="T5505">
        <v>1</v>
      </c>
    </row>
    <row r="5506" spans="1:20" ht="16.5" x14ac:dyDescent="0.3">
      <c r="A5506" t="s">
        <v>5560</v>
      </c>
      <c r="B5506" s="1">
        <v>46015</v>
      </c>
      <c r="C5506">
        <v>2025</v>
      </c>
      <c r="D5506" t="s">
        <v>1873</v>
      </c>
      <c r="E5506" t="s">
        <v>2413</v>
      </c>
      <c r="F5506" t="s">
        <v>30</v>
      </c>
      <c r="G5506" t="s">
        <v>35</v>
      </c>
      <c r="H5506" t="s">
        <v>36</v>
      </c>
      <c r="I5506" t="s">
        <v>31</v>
      </c>
      <c r="J5506" t="s">
        <v>27</v>
      </c>
      <c r="K5506" t="s">
        <v>32</v>
      </c>
      <c r="L5506" s="2">
        <v>8.3000000000000007</v>
      </c>
      <c r="M5506" s="3">
        <v>231</v>
      </c>
      <c r="N5506">
        <v>5</v>
      </c>
      <c r="O5506">
        <v>5</v>
      </c>
      <c r="P5506">
        <v>1</v>
      </c>
      <c r="Q5506">
        <v>0</v>
      </c>
      <c r="R5506" s="4">
        <v>10.32</v>
      </c>
      <c r="S5506">
        <v>0</v>
      </c>
      <c r="T5506">
        <v>1</v>
      </c>
    </row>
    <row r="5507" spans="1:20" ht="16.5" x14ac:dyDescent="0.3">
      <c r="A5507" t="s">
        <v>5561</v>
      </c>
      <c r="B5507" s="1">
        <v>46015</v>
      </c>
      <c r="C5507">
        <v>2025</v>
      </c>
      <c r="D5507" t="s">
        <v>1873</v>
      </c>
      <c r="E5507" t="s">
        <v>2413</v>
      </c>
      <c r="F5507" t="s">
        <v>38</v>
      </c>
      <c r="G5507" t="s">
        <v>39</v>
      </c>
      <c r="H5507" t="s">
        <v>43</v>
      </c>
      <c r="I5507" t="s">
        <v>26</v>
      </c>
      <c r="J5507" t="s">
        <v>27</v>
      </c>
      <c r="K5507" t="s">
        <v>32</v>
      </c>
      <c r="L5507" s="2">
        <v>23.4</v>
      </c>
      <c r="M5507" s="3">
        <v>1066</v>
      </c>
      <c r="N5507">
        <v>5</v>
      </c>
      <c r="O5507">
        <v>5</v>
      </c>
      <c r="P5507">
        <v>1</v>
      </c>
      <c r="Q5507">
        <v>0</v>
      </c>
      <c r="R5507" s="4">
        <v>36.69</v>
      </c>
      <c r="S5507">
        <v>0</v>
      </c>
      <c r="T5507">
        <v>1</v>
      </c>
    </row>
    <row r="5508" spans="1:20" ht="16.5" x14ac:dyDescent="0.3">
      <c r="A5508" t="s">
        <v>5562</v>
      </c>
      <c r="B5508" s="1">
        <v>46015</v>
      </c>
      <c r="C5508">
        <v>2025</v>
      </c>
      <c r="D5508" t="s">
        <v>1873</v>
      </c>
      <c r="E5508" t="s">
        <v>2413</v>
      </c>
      <c r="F5508" t="s">
        <v>38</v>
      </c>
      <c r="G5508" t="s">
        <v>24</v>
      </c>
      <c r="H5508" t="s">
        <v>25</v>
      </c>
      <c r="I5508" t="s">
        <v>26</v>
      </c>
      <c r="J5508" t="s">
        <v>27</v>
      </c>
      <c r="K5508" t="s">
        <v>32</v>
      </c>
      <c r="L5508" s="2">
        <v>5.5</v>
      </c>
      <c r="M5508" s="3">
        <v>717</v>
      </c>
      <c r="N5508">
        <v>4</v>
      </c>
      <c r="O5508">
        <v>4</v>
      </c>
      <c r="P5508">
        <v>1</v>
      </c>
      <c r="Q5508">
        <v>0</v>
      </c>
      <c r="R5508" s="4">
        <v>19.899999999999999</v>
      </c>
      <c r="S5508">
        <v>0</v>
      </c>
      <c r="T5508">
        <v>1</v>
      </c>
    </row>
    <row r="5509" spans="1:20" ht="16.5" x14ac:dyDescent="0.3">
      <c r="A5509" t="s">
        <v>5563</v>
      </c>
      <c r="B5509" s="1">
        <v>46015</v>
      </c>
      <c r="C5509">
        <v>2025</v>
      </c>
      <c r="D5509" t="s">
        <v>1873</v>
      </c>
      <c r="E5509" t="s">
        <v>2413</v>
      </c>
      <c r="F5509" t="s">
        <v>34</v>
      </c>
      <c r="G5509" t="s">
        <v>35</v>
      </c>
      <c r="H5509" t="s">
        <v>48</v>
      </c>
      <c r="I5509" t="s">
        <v>31</v>
      </c>
      <c r="J5509" t="s">
        <v>27</v>
      </c>
      <c r="K5509" t="s">
        <v>28</v>
      </c>
      <c r="L5509" s="2">
        <v>52.7</v>
      </c>
      <c r="M5509" s="3">
        <v>547</v>
      </c>
      <c r="N5509">
        <v>6</v>
      </c>
      <c r="O5509">
        <v>6</v>
      </c>
      <c r="P5509">
        <v>1</v>
      </c>
      <c r="Q5509">
        <v>0</v>
      </c>
      <c r="R5509" s="4">
        <v>24</v>
      </c>
      <c r="S5509">
        <v>0</v>
      </c>
      <c r="T5509">
        <v>1</v>
      </c>
    </row>
    <row r="5510" spans="1:20" ht="16.5" x14ac:dyDescent="0.3">
      <c r="A5510" t="s">
        <v>5564</v>
      </c>
      <c r="B5510" s="1">
        <v>46015</v>
      </c>
      <c r="C5510">
        <v>2025</v>
      </c>
      <c r="D5510" t="s">
        <v>1873</v>
      </c>
      <c r="E5510" t="s">
        <v>2413</v>
      </c>
      <c r="F5510" t="s">
        <v>57</v>
      </c>
      <c r="G5510" t="s">
        <v>39</v>
      </c>
      <c r="H5510" t="s">
        <v>51</v>
      </c>
      <c r="I5510" t="s">
        <v>26</v>
      </c>
      <c r="J5510" t="s">
        <v>27</v>
      </c>
      <c r="K5510" t="s">
        <v>28</v>
      </c>
      <c r="L5510" s="2">
        <v>216.7</v>
      </c>
      <c r="M5510" s="3">
        <v>1254</v>
      </c>
      <c r="N5510">
        <v>5</v>
      </c>
      <c r="O5510">
        <v>5</v>
      </c>
      <c r="P5510">
        <v>1</v>
      </c>
      <c r="Q5510">
        <v>0</v>
      </c>
      <c r="R5510" s="4">
        <v>97.17</v>
      </c>
      <c r="S5510">
        <v>0</v>
      </c>
      <c r="T5510">
        <v>1</v>
      </c>
    </row>
    <row r="5511" spans="1:20" ht="16.5" x14ac:dyDescent="0.3">
      <c r="A5511" t="s">
        <v>5565</v>
      </c>
      <c r="B5511" s="1">
        <v>46015</v>
      </c>
      <c r="C5511">
        <v>2025</v>
      </c>
      <c r="D5511" t="s">
        <v>1873</v>
      </c>
      <c r="E5511" t="s">
        <v>2413</v>
      </c>
      <c r="F5511" t="s">
        <v>38</v>
      </c>
      <c r="G5511" t="s">
        <v>35</v>
      </c>
      <c r="H5511" t="s">
        <v>43</v>
      </c>
      <c r="I5511" t="s">
        <v>26</v>
      </c>
      <c r="J5511" t="s">
        <v>27</v>
      </c>
      <c r="K5511" t="s">
        <v>32</v>
      </c>
      <c r="L5511" s="2">
        <v>3.7</v>
      </c>
      <c r="M5511" s="3">
        <v>1047</v>
      </c>
      <c r="N5511">
        <v>5</v>
      </c>
      <c r="O5511">
        <v>5</v>
      </c>
      <c r="P5511">
        <v>1</v>
      </c>
      <c r="Q5511">
        <v>0</v>
      </c>
      <c r="R5511" s="4">
        <v>22.6</v>
      </c>
      <c r="S5511">
        <v>0</v>
      </c>
      <c r="T5511">
        <v>1</v>
      </c>
    </row>
    <row r="5512" spans="1:20" ht="16.5" x14ac:dyDescent="0.3">
      <c r="A5512" t="s">
        <v>5566</v>
      </c>
      <c r="B5512" s="1">
        <v>46015</v>
      </c>
      <c r="C5512">
        <v>2025</v>
      </c>
      <c r="D5512" t="s">
        <v>1873</v>
      </c>
      <c r="E5512" t="s">
        <v>2413</v>
      </c>
      <c r="F5512" t="s">
        <v>38</v>
      </c>
      <c r="G5512" t="s">
        <v>35</v>
      </c>
      <c r="H5512" t="s">
        <v>43</v>
      </c>
      <c r="I5512" t="s">
        <v>40</v>
      </c>
      <c r="J5512" t="s">
        <v>41</v>
      </c>
      <c r="K5512" t="s">
        <v>28</v>
      </c>
      <c r="L5512" s="2">
        <v>78.8</v>
      </c>
      <c r="M5512" s="3">
        <v>1092</v>
      </c>
      <c r="N5512">
        <v>3</v>
      </c>
      <c r="O5512">
        <v>2</v>
      </c>
      <c r="P5512">
        <v>1</v>
      </c>
      <c r="Q5512">
        <v>0</v>
      </c>
      <c r="R5512" s="4">
        <v>186.32</v>
      </c>
      <c r="S5512">
        <v>0</v>
      </c>
      <c r="T5512">
        <v>1</v>
      </c>
    </row>
    <row r="5513" spans="1:20" ht="16.5" x14ac:dyDescent="0.3">
      <c r="A5513" t="s">
        <v>5567</v>
      </c>
      <c r="B5513" s="1">
        <v>46015</v>
      </c>
      <c r="C5513">
        <v>2025</v>
      </c>
      <c r="D5513" t="s">
        <v>1873</v>
      </c>
      <c r="E5513" t="s">
        <v>2413</v>
      </c>
      <c r="F5513" t="s">
        <v>34</v>
      </c>
      <c r="G5513" t="s">
        <v>35</v>
      </c>
      <c r="H5513" t="s">
        <v>25</v>
      </c>
      <c r="I5513" t="s">
        <v>26</v>
      </c>
      <c r="J5513" t="s">
        <v>27</v>
      </c>
      <c r="K5513" t="s">
        <v>28</v>
      </c>
      <c r="L5513" s="2">
        <v>18.7</v>
      </c>
      <c r="M5513" s="3">
        <v>992</v>
      </c>
      <c r="N5513">
        <v>4</v>
      </c>
      <c r="O5513">
        <v>3</v>
      </c>
      <c r="P5513">
        <v>1</v>
      </c>
      <c r="Q5513">
        <v>0</v>
      </c>
      <c r="R5513" s="4">
        <v>24.62</v>
      </c>
      <c r="S5513">
        <v>0</v>
      </c>
      <c r="T5513">
        <v>1</v>
      </c>
    </row>
    <row r="5514" spans="1:20" ht="16.5" x14ac:dyDescent="0.3">
      <c r="A5514" t="s">
        <v>5568</v>
      </c>
      <c r="B5514" s="1">
        <v>46015</v>
      </c>
      <c r="C5514">
        <v>2025</v>
      </c>
      <c r="D5514" t="s">
        <v>1873</v>
      </c>
      <c r="E5514" t="s">
        <v>2413</v>
      </c>
      <c r="F5514" t="s">
        <v>38</v>
      </c>
      <c r="G5514" t="s">
        <v>39</v>
      </c>
      <c r="H5514" t="s">
        <v>51</v>
      </c>
      <c r="I5514" t="s">
        <v>26</v>
      </c>
      <c r="J5514" t="s">
        <v>27</v>
      </c>
      <c r="K5514" t="s">
        <v>28</v>
      </c>
      <c r="L5514" s="2">
        <v>87.9</v>
      </c>
      <c r="M5514" s="3">
        <v>777</v>
      </c>
      <c r="N5514">
        <v>5</v>
      </c>
      <c r="O5514">
        <v>5</v>
      </c>
      <c r="P5514">
        <v>1</v>
      </c>
      <c r="Q5514">
        <v>0</v>
      </c>
      <c r="R5514" s="4">
        <v>65.52</v>
      </c>
      <c r="S5514">
        <v>0</v>
      </c>
      <c r="T5514">
        <v>1</v>
      </c>
    </row>
    <row r="5515" spans="1:20" ht="16.5" x14ac:dyDescent="0.3">
      <c r="A5515" t="s">
        <v>5569</v>
      </c>
      <c r="B5515" s="1">
        <v>46016</v>
      </c>
      <c r="C5515">
        <v>2025</v>
      </c>
      <c r="D5515" t="s">
        <v>1873</v>
      </c>
      <c r="E5515" t="s">
        <v>2413</v>
      </c>
      <c r="F5515" t="s">
        <v>57</v>
      </c>
      <c r="G5515" t="s">
        <v>39</v>
      </c>
      <c r="H5515" t="s">
        <v>48</v>
      </c>
      <c r="I5515" t="s">
        <v>31</v>
      </c>
      <c r="J5515" t="s">
        <v>27</v>
      </c>
      <c r="K5515" t="s">
        <v>32</v>
      </c>
      <c r="L5515" s="2">
        <v>1</v>
      </c>
      <c r="M5515" s="3">
        <v>478</v>
      </c>
      <c r="N5515">
        <v>6</v>
      </c>
      <c r="O5515">
        <v>6</v>
      </c>
      <c r="P5515">
        <v>1</v>
      </c>
      <c r="Q5515">
        <v>0</v>
      </c>
      <c r="R5515" s="4">
        <v>8.6199999999999992</v>
      </c>
      <c r="S5515">
        <v>0</v>
      </c>
      <c r="T5515">
        <v>1</v>
      </c>
    </row>
    <row r="5516" spans="1:20" ht="16.5" x14ac:dyDescent="0.3">
      <c r="A5516" t="s">
        <v>5570</v>
      </c>
      <c r="B5516" s="1">
        <v>46016</v>
      </c>
      <c r="C5516">
        <v>2025</v>
      </c>
      <c r="D5516" t="s">
        <v>1873</v>
      </c>
      <c r="E5516" t="s">
        <v>2413</v>
      </c>
      <c r="F5516" t="s">
        <v>30</v>
      </c>
      <c r="G5516" t="s">
        <v>35</v>
      </c>
      <c r="H5516" t="s">
        <v>36</v>
      </c>
      <c r="I5516" t="s">
        <v>26</v>
      </c>
      <c r="J5516" t="s">
        <v>27</v>
      </c>
      <c r="K5516" t="s">
        <v>32</v>
      </c>
      <c r="L5516" s="2">
        <v>1.3</v>
      </c>
      <c r="M5516" s="3">
        <v>242</v>
      </c>
      <c r="N5516">
        <v>3</v>
      </c>
      <c r="O5516">
        <v>3</v>
      </c>
      <c r="P5516">
        <v>1</v>
      </c>
      <c r="Q5516">
        <v>0</v>
      </c>
      <c r="R5516" s="4">
        <v>10.89</v>
      </c>
      <c r="S5516">
        <v>0</v>
      </c>
      <c r="T5516">
        <v>1</v>
      </c>
    </row>
    <row r="5517" spans="1:20" ht="16.5" x14ac:dyDescent="0.3">
      <c r="A5517" t="s">
        <v>5571</v>
      </c>
      <c r="B5517" s="1">
        <v>46016</v>
      </c>
      <c r="C5517">
        <v>2025</v>
      </c>
      <c r="D5517" t="s">
        <v>1873</v>
      </c>
      <c r="E5517" t="s">
        <v>2413</v>
      </c>
      <c r="F5517" t="s">
        <v>30</v>
      </c>
      <c r="G5517" t="s">
        <v>35</v>
      </c>
      <c r="H5517" t="s">
        <v>43</v>
      </c>
      <c r="I5517" t="s">
        <v>31</v>
      </c>
      <c r="J5517" t="s">
        <v>27</v>
      </c>
      <c r="K5517" t="s">
        <v>28</v>
      </c>
      <c r="L5517" s="2">
        <v>55.6</v>
      </c>
      <c r="M5517" s="3">
        <v>1093</v>
      </c>
      <c r="N5517">
        <v>7</v>
      </c>
      <c r="O5517">
        <v>7</v>
      </c>
      <c r="P5517">
        <v>1</v>
      </c>
      <c r="Q5517">
        <v>0</v>
      </c>
      <c r="R5517" s="4">
        <v>35.71</v>
      </c>
      <c r="S5517">
        <v>0</v>
      </c>
      <c r="T5517">
        <v>1</v>
      </c>
    </row>
    <row r="5518" spans="1:20" ht="16.5" x14ac:dyDescent="0.3">
      <c r="A5518" t="s">
        <v>5572</v>
      </c>
      <c r="B5518" s="1">
        <v>46016</v>
      </c>
      <c r="C5518">
        <v>2025</v>
      </c>
      <c r="D5518" t="s">
        <v>1873</v>
      </c>
      <c r="E5518" t="s">
        <v>2413</v>
      </c>
      <c r="F5518" t="s">
        <v>23</v>
      </c>
      <c r="G5518" t="s">
        <v>39</v>
      </c>
      <c r="H5518" t="s">
        <v>48</v>
      </c>
      <c r="I5518" t="s">
        <v>26</v>
      </c>
      <c r="J5518" t="s">
        <v>27</v>
      </c>
      <c r="K5518" t="s">
        <v>28</v>
      </c>
      <c r="L5518" s="2">
        <v>96.6</v>
      </c>
      <c r="M5518" s="3">
        <v>457</v>
      </c>
      <c r="N5518">
        <v>4</v>
      </c>
      <c r="O5518">
        <v>4</v>
      </c>
      <c r="P5518">
        <v>1</v>
      </c>
      <c r="Q5518">
        <v>0</v>
      </c>
      <c r="R5518" s="4">
        <v>54.69</v>
      </c>
      <c r="S5518">
        <v>0</v>
      </c>
      <c r="T5518">
        <v>1</v>
      </c>
    </row>
    <row r="5519" spans="1:20" ht="16.5" x14ac:dyDescent="0.3">
      <c r="A5519" t="s">
        <v>5573</v>
      </c>
      <c r="B5519" s="1">
        <v>46016</v>
      </c>
      <c r="C5519">
        <v>2025</v>
      </c>
      <c r="D5519" t="s">
        <v>1873</v>
      </c>
      <c r="E5519" t="s">
        <v>2413</v>
      </c>
      <c r="F5519" t="s">
        <v>57</v>
      </c>
      <c r="G5519" t="s">
        <v>39</v>
      </c>
      <c r="H5519" t="s">
        <v>48</v>
      </c>
      <c r="I5519" t="s">
        <v>26</v>
      </c>
      <c r="J5519" t="s">
        <v>27</v>
      </c>
      <c r="K5519" t="s">
        <v>32</v>
      </c>
      <c r="L5519" s="2">
        <v>1.3</v>
      </c>
      <c r="M5519" s="3">
        <v>481</v>
      </c>
      <c r="N5519">
        <v>4</v>
      </c>
      <c r="O5519">
        <v>6</v>
      </c>
      <c r="P5519">
        <v>0</v>
      </c>
      <c r="Q5519">
        <v>2</v>
      </c>
      <c r="R5519" s="4">
        <v>12.91</v>
      </c>
      <c r="S5519">
        <v>0</v>
      </c>
      <c r="T5519">
        <v>1</v>
      </c>
    </row>
    <row r="5520" spans="1:20" ht="16.5" x14ac:dyDescent="0.3">
      <c r="A5520" t="s">
        <v>5574</v>
      </c>
      <c r="B5520" s="1">
        <v>46016</v>
      </c>
      <c r="C5520">
        <v>2025</v>
      </c>
      <c r="D5520" t="s">
        <v>1873</v>
      </c>
      <c r="E5520" t="s">
        <v>2413</v>
      </c>
      <c r="F5520" t="s">
        <v>23</v>
      </c>
      <c r="G5520" t="s">
        <v>39</v>
      </c>
      <c r="H5520" t="s">
        <v>51</v>
      </c>
      <c r="I5520" t="s">
        <v>26</v>
      </c>
      <c r="J5520" t="s">
        <v>27</v>
      </c>
      <c r="K5520" t="s">
        <v>28</v>
      </c>
      <c r="L5520" s="2">
        <v>235.3</v>
      </c>
      <c r="M5520" s="3">
        <v>1313</v>
      </c>
      <c r="N5520">
        <v>5</v>
      </c>
      <c r="O5520">
        <v>5</v>
      </c>
      <c r="P5520">
        <v>1</v>
      </c>
      <c r="Q5520">
        <v>0</v>
      </c>
      <c r="R5520" s="4">
        <v>112.1</v>
      </c>
      <c r="S5520">
        <v>0</v>
      </c>
      <c r="T5520">
        <v>1</v>
      </c>
    </row>
    <row r="5521" spans="1:20" ht="16.5" x14ac:dyDescent="0.3">
      <c r="A5521" t="s">
        <v>5575</v>
      </c>
      <c r="B5521" s="1">
        <v>46016</v>
      </c>
      <c r="C5521">
        <v>2025</v>
      </c>
      <c r="D5521" t="s">
        <v>1873</v>
      </c>
      <c r="E5521" t="s">
        <v>2413</v>
      </c>
      <c r="F5521" t="s">
        <v>38</v>
      </c>
      <c r="G5521" t="s">
        <v>24</v>
      </c>
      <c r="H5521" t="s">
        <v>25</v>
      </c>
      <c r="I5521" t="s">
        <v>40</v>
      </c>
      <c r="J5521" t="s">
        <v>41</v>
      </c>
      <c r="K5521" t="s">
        <v>28</v>
      </c>
      <c r="L5521" s="2">
        <v>240.2</v>
      </c>
      <c r="M5521" s="3">
        <v>681</v>
      </c>
      <c r="N5521">
        <v>2</v>
      </c>
      <c r="O5521">
        <v>2</v>
      </c>
      <c r="P5521">
        <v>1</v>
      </c>
      <c r="Q5521">
        <v>0</v>
      </c>
      <c r="R5521" s="4">
        <v>424.53</v>
      </c>
      <c r="S5521">
        <v>0</v>
      </c>
      <c r="T5521">
        <v>1</v>
      </c>
    </row>
    <row r="5522" spans="1:20" ht="16.5" x14ac:dyDescent="0.3">
      <c r="A5522" t="s">
        <v>5576</v>
      </c>
      <c r="B5522" s="1">
        <v>46016</v>
      </c>
      <c r="C5522">
        <v>2025</v>
      </c>
      <c r="D5522" t="s">
        <v>1873</v>
      </c>
      <c r="E5522" t="s">
        <v>2413</v>
      </c>
      <c r="F5522" t="s">
        <v>57</v>
      </c>
      <c r="G5522" t="s">
        <v>39</v>
      </c>
      <c r="H5522" t="s">
        <v>36</v>
      </c>
      <c r="I5522" t="s">
        <v>26</v>
      </c>
      <c r="J5522" t="s">
        <v>27</v>
      </c>
      <c r="K5522" t="s">
        <v>28</v>
      </c>
      <c r="L5522" s="2">
        <v>20.3</v>
      </c>
      <c r="M5522" s="3">
        <v>173</v>
      </c>
      <c r="N5522">
        <v>3</v>
      </c>
      <c r="O5522">
        <v>3</v>
      </c>
      <c r="P5522">
        <v>1</v>
      </c>
      <c r="Q5522">
        <v>0</v>
      </c>
      <c r="R5522" s="4">
        <v>19.71</v>
      </c>
      <c r="S5522">
        <v>0</v>
      </c>
      <c r="T5522">
        <v>1</v>
      </c>
    </row>
    <row r="5523" spans="1:20" ht="16.5" x14ac:dyDescent="0.3">
      <c r="A5523" t="s">
        <v>5577</v>
      </c>
      <c r="B5523" s="1">
        <v>46016</v>
      </c>
      <c r="C5523">
        <v>2025</v>
      </c>
      <c r="D5523" t="s">
        <v>1873</v>
      </c>
      <c r="E5523" t="s">
        <v>2413</v>
      </c>
      <c r="F5523" t="s">
        <v>57</v>
      </c>
      <c r="G5523" t="s">
        <v>24</v>
      </c>
      <c r="H5523" t="s">
        <v>36</v>
      </c>
      <c r="I5523" t="s">
        <v>31</v>
      </c>
      <c r="J5523" t="s">
        <v>27</v>
      </c>
      <c r="K5523" t="s">
        <v>32</v>
      </c>
      <c r="L5523" s="2">
        <v>5.6</v>
      </c>
      <c r="M5523" s="3">
        <v>165</v>
      </c>
      <c r="N5523">
        <v>5</v>
      </c>
      <c r="O5523">
        <v>6</v>
      </c>
      <c r="P5523">
        <v>0</v>
      </c>
      <c r="Q5523">
        <v>1</v>
      </c>
      <c r="R5523" s="4">
        <v>9.3000000000000007</v>
      </c>
      <c r="S5523">
        <v>0</v>
      </c>
      <c r="T5523">
        <v>1</v>
      </c>
    </row>
    <row r="5524" spans="1:20" ht="16.5" x14ac:dyDescent="0.3">
      <c r="A5524" t="s">
        <v>5578</v>
      </c>
      <c r="B5524" s="1">
        <v>46016</v>
      </c>
      <c r="C5524">
        <v>2025</v>
      </c>
      <c r="D5524" t="s">
        <v>1873</v>
      </c>
      <c r="E5524" t="s">
        <v>2413</v>
      </c>
      <c r="F5524" t="s">
        <v>38</v>
      </c>
      <c r="G5524" t="s">
        <v>39</v>
      </c>
      <c r="H5524" t="s">
        <v>48</v>
      </c>
      <c r="I5524" t="s">
        <v>26</v>
      </c>
      <c r="J5524" t="s">
        <v>27</v>
      </c>
      <c r="K5524" t="s">
        <v>32</v>
      </c>
      <c r="L5524" s="2">
        <v>5.8</v>
      </c>
      <c r="M5524" s="3">
        <v>398</v>
      </c>
      <c r="N5524">
        <v>4</v>
      </c>
      <c r="O5524">
        <v>4</v>
      </c>
      <c r="P5524">
        <v>1</v>
      </c>
      <c r="Q5524">
        <v>0</v>
      </c>
      <c r="R5524" s="4">
        <v>16.79</v>
      </c>
      <c r="S5524">
        <v>0</v>
      </c>
      <c r="T5524">
        <v>1</v>
      </c>
    </row>
    <row r="5525" spans="1:20" ht="16.5" x14ac:dyDescent="0.3">
      <c r="A5525" t="s">
        <v>5579</v>
      </c>
      <c r="B5525" s="1">
        <v>46016</v>
      </c>
      <c r="C5525">
        <v>2025</v>
      </c>
      <c r="D5525" t="s">
        <v>1873</v>
      </c>
      <c r="E5525" t="s">
        <v>2413</v>
      </c>
      <c r="F5525" t="s">
        <v>23</v>
      </c>
      <c r="G5525" t="s">
        <v>24</v>
      </c>
      <c r="H5525" t="s">
        <v>25</v>
      </c>
      <c r="I5525" t="s">
        <v>31</v>
      </c>
      <c r="J5525" t="s">
        <v>27</v>
      </c>
      <c r="K5525" t="s">
        <v>28</v>
      </c>
      <c r="L5525" s="2">
        <v>41.1</v>
      </c>
      <c r="M5525" s="3">
        <v>851</v>
      </c>
      <c r="N5525">
        <v>6</v>
      </c>
      <c r="O5525">
        <v>9</v>
      </c>
      <c r="P5525">
        <v>0</v>
      </c>
      <c r="Q5525">
        <v>3</v>
      </c>
      <c r="R5525" s="4">
        <v>26.11</v>
      </c>
      <c r="S5525">
        <v>0</v>
      </c>
      <c r="T5525">
        <v>1</v>
      </c>
    </row>
    <row r="5526" spans="1:20" ht="16.5" x14ac:dyDescent="0.3">
      <c r="A5526" t="s">
        <v>5580</v>
      </c>
      <c r="B5526" s="1">
        <v>46016</v>
      </c>
      <c r="C5526">
        <v>2025</v>
      </c>
      <c r="D5526" t="s">
        <v>1873</v>
      </c>
      <c r="E5526" t="s">
        <v>2413</v>
      </c>
      <c r="F5526" t="s">
        <v>30</v>
      </c>
      <c r="G5526" t="s">
        <v>39</v>
      </c>
      <c r="H5526" t="s">
        <v>36</v>
      </c>
      <c r="I5526" t="s">
        <v>31</v>
      </c>
      <c r="J5526" t="s">
        <v>27</v>
      </c>
      <c r="K5526" t="s">
        <v>32</v>
      </c>
      <c r="L5526" s="2">
        <v>3.2</v>
      </c>
      <c r="M5526" s="3">
        <v>238</v>
      </c>
      <c r="N5526">
        <v>5</v>
      </c>
      <c r="O5526">
        <v>5</v>
      </c>
      <c r="P5526">
        <v>1</v>
      </c>
      <c r="Q5526">
        <v>0</v>
      </c>
      <c r="R5526" s="4">
        <v>8.4499999999999993</v>
      </c>
      <c r="S5526">
        <v>0</v>
      </c>
      <c r="T5526">
        <v>1</v>
      </c>
    </row>
    <row r="5527" spans="1:20" ht="16.5" x14ac:dyDescent="0.3">
      <c r="A5527" t="s">
        <v>5581</v>
      </c>
      <c r="B5527" s="1">
        <v>46016</v>
      </c>
      <c r="C5527">
        <v>2025</v>
      </c>
      <c r="D5527" t="s">
        <v>1873</v>
      </c>
      <c r="E5527" t="s">
        <v>2413</v>
      </c>
      <c r="F5527" t="s">
        <v>30</v>
      </c>
      <c r="G5527" t="s">
        <v>35</v>
      </c>
      <c r="H5527" t="s">
        <v>25</v>
      </c>
      <c r="I5527" t="s">
        <v>26</v>
      </c>
      <c r="J5527" t="s">
        <v>27</v>
      </c>
      <c r="K5527" t="s">
        <v>28</v>
      </c>
      <c r="L5527" s="2">
        <v>94.8</v>
      </c>
      <c r="M5527" s="3">
        <v>765</v>
      </c>
      <c r="N5527">
        <v>4</v>
      </c>
      <c r="O5527">
        <v>4</v>
      </c>
      <c r="P5527">
        <v>1</v>
      </c>
      <c r="Q5527">
        <v>0</v>
      </c>
      <c r="R5527" s="4">
        <v>67.069999999999993</v>
      </c>
      <c r="S5527">
        <v>0</v>
      </c>
      <c r="T5527">
        <v>1</v>
      </c>
    </row>
    <row r="5528" spans="1:20" ht="16.5" x14ac:dyDescent="0.3">
      <c r="A5528" t="s">
        <v>5582</v>
      </c>
      <c r="B5528" s="1">
        <v>46016</v>
      </c>
      <c r="C5528">
        <v>2025</v>
      </c>
      <c r="D5528" t="s">
        <v>1873</v>
      </c>
      <c r="E5528" t="s">
        <v>2413</v>
      </c>
      <c r="F5528" t="s">
        <v>38</v>
      </c>
      <c r="G5528" t="s">
        <v>39</v>
      </c>
      <c r="H5528" t="s">
        <v>51</v>
      </c>
      <c r="I5528" t="s">
        <v>26</v>
      </c>
      <c r="J5528" t="s">
        <v>27</v>
      </c>
      <c r="K5528" t="s">
        <v>32</v>
      </c>
      <c r="L5528" s="2">
        <v>3.6</v>
      </c>
      <c r="M5528" s="3">
        <v>962</v>
      </c>
      <c r="N5528">
        <v>5</v>
      </c>
      <c r="O5528">
        <v>5</v>
      </c>
      <c r="P5528">
        <v>1</v>
      </c>
      <c r="Q5528">
        <v>0</v>
      </c>
      <c r="R5528" s="4">
        <v>22.45</v>
      </c>
      <c r="S5528">
        <v>0</v>
      </c>
      <c r="T5528">
        <v>1</v>
      </c>
    </row>
    <row r="5529" spans="1:20" ht="16.5" x14ac:dyDescent="0.3">
      <c r="A5529" t="s">
        <v>5583</v>
      </c>
      <c r="B5529" s="1">
        <v>46016</v>
      </c>
      <c r="C5529">
        <v>2025</v>
      </c>
      <c r="D5529" t="s">
        <v>1873</v>
      </c>
      <c r="E5529" t="s">
        <v>2413</v>
      </c>
      <c r="F5529" t="s">
        <v>23</v>
      </c>
      <c r="G5529" t="s">
        <v>39</v>
      </c>
      <c r="H5529" t="s">
        <v>48</v>
      </c>
      <c r="I5529" t="s">
        <v>31</v>
      </c>
      <c r="J5529" t="s">
        <v>27</v>
      </c>
      <c r="K5529" t="s">
        <v>32</v>
      </c>
      <c r="L5529" s="2">
        <v>3.8</v>
      </c>
      <c r="M5529" s="3">
        <v>563</v>
      </c>
      <c r="N5529">
        <v>6</v>
      </c>
      <c r="O5529">
        <v>6</v>
      </c>
      <c r="P5529">
        <v>1</v>
      </c>
      <c r="Q5529">
        <v>0</v>
      </c>
      <c r="R5529" s="4">
        <v>10.4</v>
      </c>
      <c r="S5529">
        <v>0</v>
      </c>
      <c r="T5529">
        <v>1</v>
      </c>
    </row>
    <row r="5530" spans="1:20" ht="16.5" x14ac:dyDescent="0.3">
      <c r="A5530" t="s">
        <v>5584</v>
      </c>
      <c r="B5530" s="1">
        <v>46016</v>
      </c>
      <c r="C5530">
        <v>2025</v>
      </c>
      <c r="D5530" t="s">
        <v>1873</v>
      </c>
      <c r="E5530" t="s">
        <v>2413</v>
      </c>
      <c r="F5530" t="s">
        <v>34</v>
      </c>
      <c r="G5530" t="s">
        <v>35</v>
      </c>
      <c r="H5530" t="s">
        <v>36</v>
      </c>
      <c r="I5530" t="s">
        <v>31</v>
      </c>
      <c r="J5530" t="s">
        <v>27</v>
      </c>
      <c r="K5530" t="s">
        <v>32</v>
      </c>
      <c r="L5530" s="2">
        <v>3.5</v>
      </c>
      <c r="M5530" s="3">
        <v>294</v>
      </c>
      <c r="N5530">
        <v>5</v>
      </c>
      <c r="O5530">
        <v>5</v>
      </c>
      <c r="P5530">
        <v>1</v>
      </c>
      <c r="Q5530">
        <v>0</v>
      </c>
      <c r="R5530" s="4">
        <v>8.3000000000000007</v>
      </c>
      <c r="S5530">
        <v>0</v>
      </c>
      <c r="T5530">
        <v>1</v>
      </c>
    </row>
    <row r="5531" spans="1:20" ht="16.5" x14ac:dyDescent="0.3">
      <c r="A5531" t="s">
        <v>5585</v>
      </c>
      <c r="B5531" s="1">
        <v>46017</v>
      </c>
      <c r="C5531">
        <v>2025</v>
      </c>
      <c r="D5531" t="s">
        <v>1873</v>
      </c>
      <c r="E5531" t="s">
        <v>2413</v>
      </c>
      <c r="F5531" t="s">
        <v>34</v>
      </c>
      <c r="G5531" t="s">
        <v>24</v>
      </c>
      <c r="H5531" t="s">
        <v>51</v>
      </c>
      <c r="I5531" t="s">
        <v>26</v>
      </c>
      <c r="J5531" t="s">
        <v>27</v>
      </c>
      <c r="K5531" t="s">
        <v>32</v>
      </c>
      <c r="L5531" s="2">
        <v>11.6</v>
      </c>
      <c r="M5531" s="3">
        <v>1133</v>
      </c>
      <c r="N5531">
        <v>5</v>
      </c>
      <c r="O5531">
        <v>7</v>
      </c>
      <c r="P5531">
        <v>0</v>
      </c>
      <c r="Q5531">
        <v>2</v>
      </c>
      <c r="R5531" s="4">
        <v>23.27</v>
      </c>
      <c r="S5531">
        <v>0</v>
      </c>
      <c r="T5531">
        <v>1</v>
      </c>
    </row>
    <row r="5532" spans="1:20" ht="16.5" x14ac:dyDescent="0.3">
      <c r="A5532" t="s">
        <v>5586</v>
      </c>
      <c r="B5532" s="1">
        <v>46017</v>
      </c>
      <c r="C5532">
        <v>2025</v>
      </c>
      <c r="D5532" t="s">
        <v>1873</v>
      </c>
      <c r="E5532" t="s">
        <v>2413</v>
      </c>
      <c r="F5532" t="s">
        <v>38</v>
      </c>
      <c r="G5532" t="s">
        <v>24</v>
      </c>
      <c r="H5532" t="s">
        <v>51</v>
      </c>
      <c r="I5532" t="s">
        <v>31</v>
      </c>
      <c r="J5532" t="s">
        <v>27</v>
      </c>
      <c r="K5532" t="s">
        <v>28</v>
      </c>
      <c r="L5532" s="2">
        <v>225.8</v>
      </c>
      <c r="M5532" s="3">
        <v>1036</v>
      </c>
      <c r="N5532">
        <v>7</v>
      </c>
      <c r="O5532">
        <v>7</v>
      </c>
      <c r="P5532">
        <v>1</v>
      </c>
      <c r="Q5532">
        <v>0</v>
      </c>
      <c r="R5532" s="4">
        <v>85.66</v>
      </c>
      <c r="S5532">
        <v>0</v>
      </c>
      <c r="T5532">
        <v>1</v>
      </c>
    </row>
    <row r="5533" spans="1:20" ht="16.5" x14ac:dyDescent="0.3">
      <c r="A5533" t="s">
        <v>5587</v>
      </c>
      <c r="B5533" s="1">
        <v>46017</v>
      </c>
      <c r="C5533">
        <v>2025</v>
      </c>
      <c r="D5533" t="s">
        <v>1873</v>
      </c>
      <c r="E5533" t="s">
        <v>2413</v>
      </c>
      <c r="F5533" t="s">
        <v>34</v>
      </c>
      <c r="G5533" t="s">
        <v>35</v>
      </c>
      <c r="H5533" t="s">
        <v>43</v>
      </c>
      <c r="I5533" t="s">
        <v>40</v>
      </c>
      <c r="J5533" t="s">
        <v>41</v>
      </c>
      <c r="K5533" t="s">
        <v>32</v>
      </c>
      <c r="L5533" s="2">
        <v>3.1</v>
      </c>
      <c r="M5533" s="3">
        <v>1144</v>
      </c>
      <c r="N5533">
        <v>3</v>
      </c>
      <c r="O5533">
        <v>6</v>
      </c>
      <c r="P5533">
        <v>0</v>
      </c>
      <c r="Q5533">
        <v>3</v>
      </c>
      <c r="R5533" s="4">
        <v>55.78</v>
      </c>
      <c r="S5533">
        <v>0</v>
      </c>
      <c r="T5533">
        <v>1</v>
      </c>
    </row>
    <row r="5534" spans="1:20" ht="16.5" x14ac:dyDescent="0.3">
      <c r="A5534" t="s">
        <v>5588</v>
      </c>
      <c r="B5534" s="1">
        <v>46017</v>
      </c>
      <c r="C5534">
        <v>2025</v>
      </c>
      <c r="D5534" t="s">
        <v>1873</v>
      </c>
      <c r="E5534" t="s">
        <v>2413</v>
      </c>
      <c r="F5534" t="s">
        <v>34</v>
      </c>
      <c r="G5534" t="s">
        <v>39</v>
      </c>
      <c r="H5534" t="s">
        <v>25</v>
      </c>
      <c r="I5534" t="s">
        <v>26</v>
      </c>
      <c r="J5534" t="s">
        <v>27</v>
      </c>
      <c r="K5534" t="s">
        <v>32</v>
      </c>
      <c r="L5534" s="2">
        <v>8.6</v>
      </c>
      <c r="M5534" s="3">
        <v>940</v>
      </c>
      <c r="N5534">
        <v>4</v>
      </c>
      <c r="O5534">
        <v>4</v>
      </c>
      <c r="P5534">
        <v>1</v>
      </c>
      <c r="Q5534">
        <v>0</v>
      </c>
      <c r="R5534" s="4">
        <v>19.559999999999999</v>
      </c>
      <c r="S5534">
        <v>0</v>
      </c>
      <c r="T5534">
        <v>1</v>
      </c>
    </row>
    <row r="5535" spans="1:20" ht="16.5" x14ac:dyDescent="0.3">
      <c r="A5535" t="s">
        <v>5589</v>
      </c>
      <c r="B5535" s="1">
        <v>46017</v>
      </c>
      <c r="C5535">
        <v>2025</v>
      </c>
      <c r="D5535" t="s">
        <v>1873</v>
      </c>
      <c r="E5535" t="s">
        <v>2413</v>
      </c>
      <c r="F5535" t="s">
        <v>23</v>
      </c>
      <c r="G5535" t="s">
        <v>39</v>
      </c>
      <c r="H5535" t="s">
        <v>48</v>
      </c>
      <c r="I5535" t="s">
        <v>26</v>
      </c>
      <c r="J5535" t="s">
        <v>27</v>
      </c>
      <c r="K5535" t="s">
        <v>28</v>
      </c>
      <c r="L5535" s="2">
        <v>88.2</v>
      </c>
      <c r="M5535" s="3">
        <v>395</v>
      </c>
      <c r="N5535">
        <v>4</v>
      </c>
      <c r="O5535">
        <v>4</v>
      </c>
      <c r="P5535">
        <v>1</v>
      </c>
      <c r="Q5535">
        <v>0</v>
      </c>
      <c r="R5535" s="4">
        <v>49.13</v>
      </c>
      <c r="S5535">
        <v>0</v>
      </c>
      <c r="T5535">
        <v>1</v>
      </c>
    </row>
    <row r="5536" spans="1:20" ht="16.5" x14ac:dyDescent="0.3">
      <c r="A5536" t="s">
        <v>5590</v>
      </c>
      <c r="B5536" s="1">
        <v>46017</v>
      </c>
      <c r="C5536">
        <v>2025</v>
      </c>
      <c r="D5536" t="s">
        <v>1873</v>
      </c>
      <c r="E5536" t="s">
        <v>2413</v>
      </c>
      <c r="F5536" t="s">
        <v>38</v>
      </c>
      <c r="G5536" t="s">
        <v>39</v>
      </c>
      <c r="H5536" t="s">
        <v>36</v>
      </c>
      <c r="I5536" t="s">
        <v>26</v>
      </c>
      <c r="J5536" t="s">
        <v>27</v>
      </c>
      <c r="K5536" t="s">
        <v>28</v>
      </c>
      <c r="L5536" s="2">
        <v>88.8</v>
      </c>
      <c r="M5536" s="3">
        <v>278</v>
      </c>
      <c r="N5536">
        <v>3</v>
      </c>
      <c r="O5536">
        <v>3</v>
      </c>
      <c r="P5536">
        <v>1</v>
      </c>
      <c r="Q5536">
        <v>0</v>
      </c>
      <c r="R5536" s="4">
        <v>53.14</v>
      </c>
      <c r="S5536">
        <v>0</v>
      </c>
      <c r="T5536">
        <v>1</v>
      </c>
    </row>
    <row r="5537" spans="1:20" ht="16.5" x14ac:dyDescent="0.3">
      <c r="A5537" t="s">
        <v>5591</v>
      </c>
      <c r="B5537" s="1">
        <v>46017</v>
      </c>
      <c r="C5537">
        <v>2025</v>
      </c>
      <c r="D5537" t="s">
        <v>1873</v>
      </c>
      <c r="E5537" t="s">
        <v>2413</v>
      </c>
      <c r="F5537" t="s">
        <v>30</v>
      </c>
      <c r="G5537" t="s">
        <v>35</v>
      </c>
      <c r="H5537" t="s">
        <v>48</v>
      </c>
      <c r="I5537" t="s">
        <v>31</v>
      </c>
      <c r="J5537" t="s">
        <v>27</v>
      </c>
      <c r="K5537" t="s">
        <v>32</v>
      </c>
      <c r="L5537" s="2">
        <v>6.4</v>
      </c>
      <c r="M5537" s="3">
        <v>418</v>
      </c>
      <c r="N5537">
        <v>6</v>
      </c>
      <c r="O5537">
        <v>6</v>
      </c>
      <c r="P5537">
        <v>1</v>
      </c>
      <c r="Q5537">
        <v>0</v>
      </c>
      <c r="R5537" s="4">
        <v>11.67</v>
      </c>
      <c r="S5537">
        <v>0</v>
      </c>
      <c r="T5537">
        <v>1</v>
      </c>
    </row>
    <row r="5538" spans="1:20" ht="16.5" x14ac:dyDescent="0.3">
      <c r="A5538" t="s">
        <v>5592</v>
      </c>
      <c r="B5538" s="1">
        <v>46017</v>
      </c>
      <c r="C5538">
        <v>2025</v>
      </c>
      <c r="D5538" t="s">
        <v>1873</v>
      </c>
      <c r="E5538" t="s">
        <v>2413</v>
      </c>
      <c r="F5538" t="s">
        <v>57</v>
      </c>
      <c r="G5538" t="s">
        <v>39</v>
      </c>
      <c r="H5538" t="s">
        <v>36</v>
      </c>
      <c r="I5538" t="s">
        <v>26</v>
      </c>
      <c r="J5538" t="s">
        <v>27</v>
      </c>
      <c r="K5538" t="s">
        <v>28</v>
      </c>
      <c r="L5538" s="2">
        <v>83.3</v>
      </c>
      <c r="M5538" s="3">
        <v>277</v>
      </c>
      <c r="N5538">
        <v>3</v>
      </c>
      <c r="O5538">
        <v>3</v>
      </c>
      <c r="P5538">
        <v>1</v>
      </c>
      <c r="Q5538">
        <v>0</v>
      </c>
      <c r="R5538" s="4">
        <v>49.88</v>
      </c>
      <c r="S5538">
        <v>0</v>
      </c>
      <c r="T5538">
        <v>1</v>
      </c>
    </row>
    <row r="5539" spans="1:20" ht="16.5" x14ac:dyDescent="0.3">
      <c r="A5539" t="s">
        <v>5593</v>
      </c>
      <c r="B5539" s="1">
        <v>46017</v>
      </c>
      <c r="C5539">
        <v>2025</v>
      </c>
      <c r="D5539" t="s">
        <v>1873</v>
      </c>
      <c r="E5539" t="s">
        <v>2413</v>
      </c>
      <c r="F5539" t="s">
        <v>23</v>
      </c>
      <c r="G5539" t="s">
        <v>35</v>
      </c>
      <c r="H5539" t="s">
        <v>25</v>
      </c>
      <c r="I5539" t="s">
        <v>26</v>
      </c>
      <c r="J5539" t="s">
        <v>27</v>
      </c>
      <c r="K5539" t="s">
        <v>28</v>
      </c>
      <c r="L5539" s="2">
        <v>96.6</v>
      </c>
      <c r="M5539" s="3">
        <v>822</v>
      </c>
      <c r="N5539">
        <v>4</v>
      </c>
      <c r="O5539">
        <v>3</v>
      </c>
      <c r="P5539">
        <v>1</v>
      </c>
      <c r="Q5539">
        <v>0</v>
      </c>
      <c r="R5539" s="4">
        <v>56.06</v>
      </c>
      <c r="S5539">
        <v>0</v>
      </c>
      <c r="T5539">
        <v>1</v>
      </c>
    </row>
    <row r="5540" spans="1:20" ht="16.5" x14ac:dyDescent="0.3">
      <c r="A5540" t="s">
        <v>5594</v>
      </c>
      <c r="B5540" s="1">
        <v>46017</v>
      </c>
      <c r="C5540">
        <v>2025</v>
      </c>
      <c r="D5540" t="s">
        <v>1873</v>
      </c>
      <c r="E5540" t="s">
        <v>2413</v>
      </c>
      <c r="F5540" t="s">
        <v>34</v>
      </c>
      <c r="G5540" t="s">
        <v>39</v>
      </c>
      <c r="H5540" t="s">
        <v>25</v>
      </c>
      <c r="I5540" t="s">
        <v>26</v>
      </c>
      <c r="J5540" t="s">
        <v>27</v>
      </c>
      <c r="K5540" t="s">
        <v>32</v>
      </c>
      <c r="L5540" s="2">
        <v>5.8</v>
      </c>
      <c r="M5540" s="3">
        <v>1074</v>
      </c>
      <c r="N5540">
        <v>4</v>
      </c>
      <c r="O5540">
        <v>6</v>
      </c>
      <c r="P5540">
        <v>0</v>
      </c>
      <c r="Q5540">
        <v>2</v>
      </c>
      <c r="R5540" s="4">
        <v>18.600000000000001</v>
      </c>
      <c r="S5540">
        <v>0</v>
      </c>
      <c r="T5540">
        <v>1</v>
      </c>
    </row>
    <row r="5541" spans="1:20" ht="16.5" x14ac:dyDescent="0.3">
      <c r="A5541" t="s">
        <v>5595</v>
      </c>
      <c r="B5541" s="1">
        <v>46017</v>
      </c>
      <c r="C5541">
        <v>2025</v>
      </c>
      <c r="D5541" t="s">
        <v>1873</v>
      </c>
      <c r="E5541" t="s">
        <v>2413</v>
      </c>
      <c r="F5541" t="s">
        <v>34</v>
      </c>
      <c r="G5541" t="s">
        <v>35</v>
      </c>
      <c r="H5541" t="s">
        <v>51</v>
      </c>
      <c r="I5541" t="s">
        <v>26</v>
      </c>
      <c r="J5541" t="s">
        <v>27</v>
      </c>
      <c r="K5541" t="s">
        <v>28</v>
      </c>
      <c r="L5541" s="2">
        <v>206.6</v>
      </c>
      <c r="M5541" s="3">
        <v>1320</v>
      </c>
      <c r="N5541">
        <v>5</v>
      </c>
      <c r="O5541">
        <v>5</v>
      </c>
      <c r="P5541">
        <v>1</v>
      </c>
      <c r="Q5541">
        <v>0</v>
      </c>
      <c r="R5541" s="4">
        <v>88.24</v>
      </c>
      <c r="S5541">
        <v>0</v>
      </c>
      <c r="T5541">
        <v>1</v>
      </c>
    </row>
    <row r="5542" spans="1:20" ht="16.5" x14ac:dyDescent="0.3">
      <c r="A5542" t="s">
        <v>5596</v>
      </c>
      <c r="B5542" s="1">
        <v>46017</v>
      </c>
      <c r="C5542">
        <v>2025</v>
      </c>
      <c r="D5542" t="s">
        <v>1873</v>
      </c>
      <c r="E5542" t="s">
        <v>2413</v>
      </c>
      <c r="F5542" t="s">
        <v>38</v>
      </c>
      <c r="G5542" t="s">
        <v>39</v>
      </c>
      <c r="H5542" t="s">
        <v>25</v>
      </c>
      <c r="I5542" t="s">
        <v>26</v>
      </c>
      <c r="J5542" t="s">
        <v>27</v>
      </c>
      <c r="K5542" t="s">
        <v>28</v>
      </c>
      <c r="L5542" s="2">
        <v>135.30000000000001</v>
      </c>
      <c r="M5542" s="3">
        <v>1038</v>
      </c>
      <c r="N5542">
        <v>4</v>
      </c>
      <c r="O5542">
        <v>4</v>
      </c>
      <c r="P5542">
        <v>1</v>
      </c>
      <c r="Q5542">
        <v>0</v>
      </c>
      <c r="R5542" s="4">
        <v>86.47</v>
      </c>
      <c r="S5542">
        <v>0</v>
      </c>
      <c r="T5542">
        <v>1</v>
      </c>
    </row>
    <row r="5543" spans="1:20" ht="16.5" x14ac:dyDescent="0.3">
      <c r="A5543" t="s">
        <v>5597</v>
      </c>
      <c r="B5543" s="1">
        <v>46017</v>
      </c>
      <c r="C5543">
        <v>2025</v>
      </c>
      <c r="D5543" t="s">
        <v>1873</v>
      </c>
      <c r="E5543" t="s">
        <v>2413</v>
      </c>
      <c r="F5543" t="s">
        <v>38</v>
      </c>
      <c r="G5543" t="s">
        <v>35</v>
      </c>
      <c r="H5543" t="s">
        <v>48</v>
      </c>
      <c r="I5543" t="s">
        <v>31</v>
      </c>
      <c r="J5543" t="s">
        <v>27</v>
      </c>
      <c r="K5543" t="s">
        <v>28</v>
      </c>
      <c r="L5543" s="2">
        <v>199.1</v>
      </c>
      <c r="M5543" s="3">
        <v>457</v>
      </c>
      <c r="N5543">
        <v>6</v>
      </c>
      <c r="O5543">
        <v>6</v>
      </c>
      <c r="P5543">
        <v>1</v>
      </c>
      <c r="Q5543">
        <v>0</v>
      </c>
      <c r="R5543" s="4">
        <v>72.150000000000006</v>
      </c>
      <c r="S5543">
        <v>0</v>
      </c>
      <c r="T5543">
        <v>1</v>
      </c>
    </row>
    <row r="5544" spans="1:20" ht="16.5" x14ac:dyDescent="0.3">
      <c r="A5544" t="s">
        <v>5598</v>
      </c>
      <c r="B5544" s="1">
        <v>46017</v>
      </c>
      <c r="C5544">
        <v>2025</v>
      </c>
      <c r="D5544" t="s">
        <v>1873</v>
      </c>
      <c r="E5544" t="s">
        <v>2413</v>
      </c>
      <c r="F5544" t="s">
        <v>57</v>
      </c>
      <c r="G5544" t="s">
        <v>24</v>
      </c>
      <c r="H5544" t="s">
        <v>36</v>
      </c>
      <c r="I5544" t="s">
        <v>26</v>
      </c>
      <c r="J5544" t="s">
        <v>27</v>
      </c>
      <c r="K5544" t="s">
        <v>32</v>
      </c>
      <c r="L5544" s="2">
        <v>3.4</v>
      </c>
      <c r="M5544" s="3">
        <v>289</v>
      </c>
      <c r="N5544">
        <v>3</v>
      </c>
      <c r="O5544">
        <v>3</v>
      </c>
      <c r="P5544">
        <v>1</v>
      </c>
      <c r="Q5544">
        <v>0</v>
      </c>
      <c r="R5544" s="4">
        <v>12.19</v>
      </c>
      <c r="S5544">
        <v>0</v>
      </c>
      <c r="T5544">
        <v>1</v>
      </c>
    </row>
    <row r="5545" spans="1:20" ht="16.5" x14ac:dyDescent="0.3">
      <c r="A5545" t="s">
        <v>5599</v>
      </c>
      <c r="B5545" s="1">
        <v>46018</v>
      </c>
      <c r="C5545">
        <v>2025</v>
      </c>
      <c r="D5545" t="s">
        <v>1873</v>
      </c>
      <c r="E5545" t="s">
        <v>2413</v>
      </c>
      <c r="F5545" t="s">
        <v>30</v>
      </c>
      <c r="G5545" t="s">
        <v>39</v>
      </c>
      <c r="H5545" t="s">
        <v>51</v>
      </c>
      <c r="I5545" t="s">
        <v>26</v>
      </c>
      <c r="J5545" t="s">
        <v>27</v>
      </c>
      <c r="K5545" t="s">
        <v>28</v>
      </c>
      <c r="L5545" s="2">
        <v>116.3</v>
      </c>
      <c r="M5545" s="3">
        <v>1053</v>
      </c>
      <c r="N5545">
        <v>5</v>
      </c>
      <c r="O5545">
        <v>5</v>
      </c>
      <c r="P5545">
        <v>1</v>
      </c>
      <c r="Q5545">
        <v>0</v>
      </c>
      <c r="R5545" s="4">
        <v>74.25</v>
      </c>
      <c r="S5545">
        <v>0</v>
      </c>
      <c r="T5545">
        <v>1</v>
      </c>
    </row>
    <row r="5546" spans="1:20" ht="16.5" x14ac:dyDescent="0.3">
      <c r="A5546" t="s">
        <v>5600</v>
      </c>
      <c r="B5546" s="1">
        <v>46018</v>
      </c>
      <c r="C5546">
        <v>2025</v>
      </c>
      <c r="D5546" t="s">
        <v>1873</v>
      </c>
      <c r="E5546" t="s">
        <v>2413</v>
      </c>
      <c r="F5546" t="s">
        <v>57</v>
      </c>
      <c r="G5546" t="s">
        <v>39</v>
      </c>
      <c r="H5546" t="s">
        <v>43</v>
      </c>
      <c r="I5546" t="s">
        <v>26</v>
      </c>
      <c r="J5546" t="s">
        <v>27</v>
      </c>
      <c r="K5546" t="s">
        <v>28</v>
      </c>
      <c r="L5546" s="2">
        <v>3</v>
      </c>
      <c r="M5546" s="3">
        <v>1052</v>
      </c>
      <c r="N5546">
        <v>5</v>
      </c>
      <c r="O5546">
        <v>5</v>
      </c>
      <c r="P5546">
        <v>1</v>
      </c>
      <c r="Q5546">
        <v>0</v>
      </c>
      <c r="R5546" s="4">
        <v>21.81</v>
      </c>
      <c r="S5546">
        <v>0</v>
      </c>
      <c r="T5546">
        <v>1</v>
      </c>
    </row>
    <row r="5547" spans="1:20" ht="16.5" x14ac:dyDescent="0.3">
      <c r="A5547" t="s">
        <v>5601</v>
      </c>
      <c r="B5547" s="1">
        <v>46018</v>
      </c>
      <c r="C5547">
        <v>2025</v>
      </c>
      <c r="D5547" t="s">
        <v>1873</v>
      </c>
      <c r="E5547" t="s">
        <v>2413</v>
      </c>
      <c r="F5547" t="s">
        <v>57</v>
      </c>
      <c r="G5547" t="s">
        <v>39</v>
      </c>
      <c r="H5547" t="s">
        <v>48</v>
      </c>
      <c r="I5547" t="s">
        <v>40</v>
      </c>
      <c r="J5547" t="s">
        <v>27</v>
      </c>
      <c r="K5547" t="s">
        <v>32</v>
      </c>
      <c r="L5547" s="2">
        <v>3.7</v>
      </c>
      <c r="M5547" s="3">
        <v>501</v>
      </c>
      <c r="N5547">
        <v>2</v>
      </c>
      <c r="O5547">
        <v>2</v>
      </c>
      <c r="P5547">
        <v>1</v>
      </c>
      <c r="Q5547">
        <v>0</v>
      </c>
      <c r="R5547" s="4">
        <v>26.36</v>
      </c>
      <c r="S5547">
        <v>0</v>
      </c>
      <c r="T5547">
        <v>1</v>
      </c>
    </row>
    <row r="5548" spans="1:20" ht="16.5" x14ac:dyDescent="0.3">
      <c r="A5548" t="s">
        <v>5602</v>
      </c>
      <c r="B5548" s="1">
        <v>46018</v>
      </c>
      <c r="C5548">
        <v>2025</v>
      </c>
      <c r="D5548" t="s">
        <v>1873</v>
      </c>
      <c r="E5548" t="s">
        <v>2413</v>
      </c>
      <c r="F5548" t="s">
        <v>38</v>
      </c>
      <c r="G5548" t="s">
        <v>39</v>
      </c>
      <c r="H5548" t="s">
        <v>48</v>
      </c>
      <c r="I5548" t="s">
        <v>26</v>
      </c>
      <c r="J5548" t="s">
        <v>27</v>
      </c>
      <c r="K5548" t="s">
        <v>32</v>
      </c>
      <c r="L5548" s="2">
        <v>9.1</v>
      </c>
      <c r="M5548" s="3">
        <v>528</v>
      </c>
      <c r="N5548">
        <v>4</v>
      </c>
      <c r="O5548">
        <v>5</v>
      </c>
      <c r="P5548">
        <v>0</v>
      </c>
      <c r="Q5548">
        <v>1</v>
      </c>
      <c r="R5548" s="4">
        <v>22.09</v>
      </c>
      <c r="S5548">
        <v>0</v>
      </c>
      <c r="T5548">
        <v>1</v>
      </c>
    </row>
    <row r="5549" spans="1:20" ht="16.5" x14ac:dyDescent="0.3">
      <c r="A5549" t="s">
        <v>5603</v>
      </c>
      <c r="B5549" s="1">
        <v>46018</v>
      </c>
      <c r="C5549">
        <v>2025</v>
      </c>
      <c r="D5549" t="s">
        <v>1873</v>
      </c>
      <c r="E5549" t="s">
        <v>2413</v>
      </c>
      <c r="F5549" t="s">
        <v>34</v>
      </c>
      <c r="G5549" t="s">
        <v>35</v>
      </c>
      <c r="H5549" t="s">
        <v>25</v>
      </c>
      <c r="I5549" t="s">
        <v>26</v>
      </c>
      <c r="J5549" t="s">
        <v>27</v>
      </c>
      <c r="K5549" t="s">
        <v>28</v>
      </c>
      <c r="L5549" s="2">
        <v>19.399999999999999</v>
      </c>
      <c r="M5549" s="3">
        <v>807</v>
      </c>
      <c r="N5549">
        <v>4</v>
      </c>
      <c r="O5549">
        <v>4</v>
      </c>
      <c r="P5549">
        <v>1</v>
      </c>
      <c r="Q5549">
        <v>0</v>
      </c>
      <c r="R5549" s="4">
        <v>24.15</v>
      </c>
      <c r="S5549">
        <v>0</v>
      </c>
      <c r="T5549">
        <v>1</v>
      </c>
    </row>
    <row r="5550" spans="1:20" ht="16.5" x14ac:dyDescent="0.3">
      <c r="A5550" t="s">
        <v>5604</v>
      </c>
      <c r="B5550" s="1">
        <v>46018</v>
      </c>
      <c r="C5550">
        <v>2025</v>
      </c>
      <c r="D5550" t="s">
        <v>1873</v>
      </c>
      <c r="E5550" t="s">
        <v>2413</v>
      </c>
      <c r="F5550" t="s">
        <v>38</v>
      </c>
      <c r="G5550" t="s">
        <v>24</v>
      </c>
      <c r="H5550" t="s">
        <v>48</v>
      </c>
      <c r="I5550" t="s">
        <v>40</v>
      </c>
      <c r="J5550" t="s">
        <v>27</v>
      </c>
      <c r="K5550" t="s">
        <v>32</v>
      </c>
      <c r="L5550" s="2">
        <v>2.9</v>
      </c>
      <c r="M5550" s="3">
        <v>392</v>
      </c>
      <c r="N5550">
        <v>2</v>
      </c>
      <c r="O5550">
        <v>2</v>
      </c>
      <c r="P5550">
        <v>1</v>
      </c>
      <c r="Q5550">
        <v>0</v>
      </c>
      <c r="R5550" s="4">
        <v>28.07</v>
      </c>
      <c r="S5550">
        <v>0</v>
      </c>
      <c r="T5550">
        <v>1</v>
      </c>
    </row>
    <row r="5551" spans="1:20" ht="16.5" x14ac:dyDescent="0.3">
      <c r="A5551" t="s">
        <v>5605</v>
      </c>
      <c r="B5551" s="1">
        <v>46019</v>
      </c>
      <c r="C5551">
        <v>2025</v>
      </c>
      <c r="D5551" t="s">
        <v>1873</v>
      </c>
      <c r="E5551" t="s">
        <v>2413</v>
      </c>
      <c r="F5551" t="s">
        <v>30</v>
      </c>
      <c r="G5551" t="s">
        <v>39</v>
      </c>
      <c r="H5551" t="s">
        <v>36</v>
      </c>
      <c r="I5551" t="s">
        <v>26</v>
      </c>
      <c r="J5551" t="s">
        <v>27</v>
      </c>
      <c r="K5551" t="s">
        <v>32</v>
      </c>
      <c r="L5551" s="2">
        <v>3.8</v>
      </c>
      <c r="M5551" s="3">
        <v>240</v>
      </c>
      <c r="N5551">
        <v>3</v>
      </c>
      <c r="O5551">
        <v>3</v>
      </c>
      <c r="P5551">
        <v>1</v>
      </c>
      <c r="Q5551">
        <v>0</v>
      </c>
      <c r="R5551" s="4">
        <v>11.17</v>
      </c>
      <c r="S5551">
        <v>0</v>
      </c>
      <c r="T5551">
        <v>1</v>
      </c>
    </row>
    <row r="5552" spans="1:20" ht="16.5" x14ac:dyDescent="0.3">
      <c r="A5552" t="s">
        <v>5606</v>
      </c>
      <c r="B5552" s="1">
        <v>46019</v>
      </c>
      <c r="C5552">
        <v>2025</v>
      </c>
      <c r="D5552" t="s">
        <v>1873</v>
      </c>
      <c r="E5552" t="s">
        <v>2413</v>
      </c>
      <c r="F5552" t="s">
        <v>23</v>
      </c>
      <c r="G5552" t="s">
        <v>35</v>
      </c>
      <c r="H5552" t="s">
        <v>25</v>
      </c>
      <c r="I5552" t="s">
        <v>26</v>
      </c>
      <c r="J5552" t="s">
        <v>27</v>
      </c>
      <c r="K5552" t="s">
        <v>32</v>
      </c>
      <c r="L5552" s="2">
        <v>5.4</v>
      </c>
      <c r="M5552" s="3">
        <v>1026</v>
      </c>
      <c r="N5552">
        <v>4</v>
      </c>
      <c r="O5552">
        <v>4</v>
      </c>
      <c r="P5552">
        <v>1</v>
      </c>
      <c r="Q5552">
        <v>0</v>
      </c>
      <c r="R5552" s="4">
        <v>20.92</v>
      </c>
      <c r="S5552">
        <v>1</v>
      </c>
      <c r="T5552">
        <v>1</v>
      </c>
    </row>
    <row r="5553" spans="1:20" ht="16.5" x14ac:dyDescent="0.3">
      <c r="A5553" t="s">
        <v>5607</v>
      </c>
      <c r="B5553" s="1">
        <v>46019</v>
      </c>
      <c r="C5553">
        <v>2025</v>
      </c>
      <c r="D5553" t="s">
        <v>1873</v>
      </c>
      <c r="E5553" t="s">
        <v>2413</v>
      </c>
      <c r="F5553" t="s">
        <v>34</v>
      </c>
      <c r="G5553" t="s">
        <v>24</v>
      </c>
      <c r="H5553" t="s">
        <v>51</v>
      </c>
      <c r="I5553" t="s">
        <v>26</v>
      </c>
      <c r="J5553" t="s">
        <v>27</v>
      </c>
      <c r="K5553" t="s">
        <v>32</v>
      </c>
      <c r="L5553" s="2">
        <v>3.2</v>
      </c>
      <c r="M5553" s="3">
        <v>795</v>
      </c>
      <c r="N5553">
        <v>5</v>
      </c>
      <c r="O5553">
        <v>8</v>
      </c>
      <c r="P5553">
        <v>0</v>
      </c>
      <c r="Q5553">
        <v>3</v>
      </c>
      <c r="R5553" s="4">
        <v>16.96</v>
      </c>
      <c r="S5553">
        <v>0</v>
      </c>
      <c r="T5553">
        <v>1</v>
      </c>
    </row>
    <row r="5554" spans="1:20" ht="16.5" x14ac:dyDescent="0.3">
      <c r="A5554" t="s">
        <v>5608</v>
      </c>
      <c r="B5554" s="1">
        <v>46019</v>
      </c>
      <c r="C5554">
        <v>2025</v>
      </c>
      <c r="D5554" t="s">
        <v>1873</v>
      </c>
      <c r="E5554" t="s">
        <v>2413</v>
      </c>
      <c r="F5554" t="s">
        <v>57</v>
      </c>
      <c r="G5554" t="s">
        <v>35</v>
      </c>
      <c r="H5554" t="s">
        <v>43</v>
      </c>
      <c r="I5554" t="s">
        <v>26</v>
      </c>
      <c r="J5554" t="s">
        <v>27</v>
      </c>
      <c r="K5554" t="s">
        <v>32</v>
      </c>
      <c r="L5554" s="2">
        <v>6.3</v>
      </c>
      <c r="M5554" s="3">
        <v>1107</v>
      </c>
      <c r="N5554">
        <v>5</v>
      </c>
      <c r="O5554">
        <v>5</v>
      </c>
      <c r="P5554">
        <v>1</v>
      </c>
      <c r="Q5554">
        <v>0</v>
      </c>
      <c r="R5554" s="4">
        <v>23.71</v>
      </c>
      <c r="S5554">
        <v>0</v>
      </c>
      <c r="T5554">
        <v>1</v>
      </c>
    </row>
    <row r="5555" spans="1:20" ht="16.5" x14ac:dyDescent="0.3">
      <c r="A5555" t="s">
        <v>5609</v>
      </c>
      <c r="B5555" s="1">
        <v>46019</v>
      </c>
      <c r="C5555">
        <v>2025</v>
      </c>
      <c r="D5555" t="s">
        <v>1873</v>
      </c>
      <c r="E5555" t="s">
        <v>2413</v>
      </c>
      <c r="F5555" t="s">
        <v>38</v>
      </c>
      <c r="G5555" t="s">
        <v>35</v>
      </c>
      <c r="H5555" t="s">
        <v>51</v>
      </c>
      <c r="I5555" t="s">
        <v>31</v>
      </c>
      <c r="J5555" t="s">
        <v>27</v>
      </c>
      <c r="K5555" t="s">
        <v>28</v>
      </c>
      <c r="L5555" s="2">
        <v>55</v>
      </c>
      <c r="M5555" s="3">
        <v>1096</v>
      </c>
      <c r="N5555">
        <v>7</v>
      </c>
      <c r="O5555">
        <v>7</v>
      </c>
      <c r="P5555">
        <v>1</v>
      </c>
      <c r="Q5555">
        <v>0</v>
      </c>
      <c r="R5555" s="4">
        <v>36.11</v>
      </c>
      <c r="S5555">
        <v>0</v>
      </c>
      <c r="T5555">
        <v>1</v>
      </c>
    </row>
    <row r="5556" spans="1:20" ht="16.5" x14ac:dyDescent="0.3">
      <c r="A5556" t="s">
        <v>5610</v>
      </c>
      <c r="B5556" s="1">
        <v>46020</v>
      </c>
      <c r="C5556">
        <v>2025</v>
      </c>
      <c r="D5556" t="s">
        <v>1873</v>
      </c>
      <c r="E5556" t="s">
        <v>2413</v>
      </c>
      <c r="F5556" t="s">
        <v>23</v>
      </c>
      <c r="G5556" t="s">
        <v>35</v>
      </c>
      <c r="H5556" t="s">
        <v>51</v>
      </c>
      <c r="I5556" t="s">
        <v>40</v>
      </c>
      <c r="J5556" t="s">
        <v>41</v>
      </c>
      <c r="K5556" t="s">
        <v>32</v>
      </c>
      <c r="L5556" s="2">
        <v>12.1</v>
      </c>
      <c r="M5556" s="3">
        <v>868</v>
      </c>
      <c r="N5556">
        <v>3</v>
      </c>
      <c r="O5556">
        <v>3</v>
      </c>
      <c r="P5556">
        <v>1</v>
      </c>
      <c r="Q5556">
        <v>0</v>
      </c>
      <c r="R5556" s="4">
        <v>75.62</v>
      </c>
      <c r="S5556">
        <v>0</v>
      </c>
      <c r="T5556">
        <v>1</v>
      </c>
    </row>
    <row r="5557" spans="1:20" ht="16.5" x14ac:dyDescent="0.3">
      <c r="A5557" t="s">
        <v>5611</v>
      </c>
      <c r="B5557" s="1">
        <v>46020</v>
      </c>
      <c r="C5557">
        <v>2025</v>
      </c>
      <c r="D5557" t="s">
        <v>1873</v>
      </c>
      <c r="E5557" t="s">
        <v>2413</v>
      </c>
      <c r="F5557" t="s">
        <v>23</v>
      </c>
      <c r="G5557" t="s">
        <v>24</v>
      </c>
      <c r="H5557" t="s">
        <v>25</v>
      </c>
      <c r="I5557" t="s">
        <v>26</v>
      </c>
      <c r="J5557" t="s">
        <v>27</v>
      </c>
      <c r="K5557" t="s">
        <v>32</v>
      </c>
      <c r="L5557" s="2">
        <v>1.1000000000000001</v>
      </c>
      <c r="M5557" s="3">
        <v>986</v>
      </c>
      <c r="N5557">
        <v>4</v>
      </c>
      <c r="O5557">
        <v>4</v>
      </c>
      <c r="P5557">
        <v>1</v>
      </c>
      <c r="Q5557">
        <v>0</v>
      </c>
      <c r="R5557" s="4">
        <v>20.02</v>
      </c>
      <c r="S5557">
        <v>0</v>
      </c>
      <c r="T5557">
        <v>1</v>
      </c>
    </row>
    <row r="5558" spans="1:20" ht="16.5" x14ac:dyDescent="0.3">
      <c r="A5558" t="s">
        <v>5612</v>
      </c>
      <c r="B5558" s="1">
        <v>46020</v>
      </c>
      <c r="C5558">
        <v>2025</v>
      </c>
      <c r="D5558" t="s">
        <v>1873</v>
      </c>
      <c r="E5558" t="s">
        <v>2413</v>
      </c>
      <c r="F5558" t="s">
        <v>30</v>
      </c>
      <c r="G5558" t="s">
        <v>39</v>
      </c>
      <c r="H5558" t="s">
        <v>36</v>
      </c>
      <c r="I5558" t="s">
        <v>31</v>
      </c>
      <c r="J5558" t="s">
        <v>27</v>
      </c>
      <c r="K5558" t="s">
        <v>32</v>
      </c>
      <c r="L5558" s="2">
        <v>4.4000000000000004</v>
      </c>
      <c r="M5558" s="3">
        <v>257</v>
      </c>
      <c r="N5558">
        <v>5</v>
      </c>
      <c r="O5558">
        <v>5</v>
      </c>
      <c r="P5558">
        <v>1</v>
      </c>
      <c r="Q5558">
        <v>0</v>
      </c>
      <c r="R5558" s="4">
        <v>9.44</v>
      </c>
      <c r="S5558">
        <v>0</v>
      </c>
      <c r="T5558">
        <v>1</v>
      </c>
    </row>
    <row r="5559" spans="1:20" ht="16.5" x14ac:dyDescent="0.3">
      <c r="A5559" t="s">
        <v>5613</v>
      </c>
      <c r="B5559" s="1">
        <v>46020</v>
      </c>
      <c r="C5559">
        <v>2025</v>
      </c>
      <c r="D5559" t="s">
        <v>1873</v>
      </c>
      <c r="E5559" t="s">
        <v>2413</v>
      </c>
      <c r="F5559" t="s">
        <v>38</v>
      </c>
      <c r="G5559" t="s">
        <v>35</v>
      </c>
      <c r="H5559" t="s">
        <v>25</v>
      </c>
      <c r="I5559" t="s">
        <v>26</v>
      </c>
      <c r="J5559" t="s">
        <v>27</v>
      </c>
      <c r="K5559" t="s">
        <v>28</v>
      </c>
      <c r="L5559" s="2">
        <v>297.39999999999998</v>
      </c>
      <c r="M5559" s="3">
        <v>883</v>
      </c>
      <c r="N5559">
        <v>4</v>
      </c>
      <c r="O5559">
        <v>4</v>
      </c>
      <c r="P5559">
        <v>1</v>
      </c>
      <c r="Q5559">
        <v>0</v>
      </c>
      <c r="R5559" s="4">
        <v>147.91999999999999</v>
      </c>
      <c r="S5559">
        <v>0</v>
      </c>
      <c r="T5559">
        <v>1</v>
      </c>
    </row>
    <row r="5560" spans="1:20" ht="16.5" x14ac:dyDescent="0.3">
      <c r="A5560" t="s">
        <v>5614</v>
      </c>
      <c r="B5560" s="1">
        <v>46020</v>
      </c>
      <c r="C5560">
        <v>2025</v>
      </c>
      <c r="D5560" t="s">
        <v>1873</v>
      </c>
      <c r="E5560" t="s">
        <v>2413</v>
      </c>
      <c r="F5560" t="s">
        <v>38</v>
      </c>
      <c r="G5560" t="s">
        <v>35</v>
      </c>
      <c r="H5560" t="s">
        <v>25</v>
      </c>
      <c r="I5560" t="s">
        <v>26</v>
      </c>
      <c r="J5560" t="s">
        <v>27</v>
      </c>
      <c r="K5560" t="s">
        <v>32</v>
      </c>
      <c r="L5560" s="2">
        <v>12.4</v>
      </c>
      <c r="M5560" s="3">
        <v>995</v>
      </c>
      <c r="N5560">
        <v>4</v>
      </c>
      <c r="O5560">
        <v>4</v>
      </c>
      <c r="P5560">
        <v>1</v>
      </c>
      <c r="Q5560">
        <v>0</v>
      </c>
      <c r="R5560" s="4">
        <v>28.2</v>
      </c>
      <c r="S5560">
        <v>0</v>
      </c>
      <c r="T5560">
        <v>1</v>
      </c>
    </row>
    <row r="5561" spans="1:20" ht="16.5" x14ac:dyDescent="0.3">
      <c r="A5561" t="s">
        <v>5615</v>
      </c>
      <c r="B5561" s="1">
        <v>46020</v>
      </c>
      <c r="C5561">
        <v>2025</v>
      </c>
      <c r="D5561" t="s">
        <v>1873</v>
      </c>
      <c r="E5561" t="s">
        <v>2413</v>
      </c>
      <c r="F5561" t="s">
        <v>38</v>
      </c>
      <c r="G5561" t="s">
        <v>39</v>
      </c>
      <c r="H5561" t="s">
        <v>48</v>
      </c>
      <c r="I5561" t="s">
        <v>40</v>
      </c>
      <c r="J5561" t="s">
        <v>27</v>
      </c>
      <c r="K5561" t="s">
        <v>32</v>
      </c>
      <c r="L5561" s="2">
        <v>1.9</v>
      </c>
      <c r="M5561" s="3">
        <v>419</v>
      </c>
      <c r="N5561">
        <v>2</v>
      </c>
      <c r="O5561">
        <v>3</v>
      </c>
      <c r="P5561">
        <v>0</v>
      </c>
      <c r="Q5561">
        <v>1</v>
      </c>
      <c r="R5561" s="4">
        <v>26.33</v>
      </c>
      <c r="S5561">
        <v>0</v>
      </c>
      <c r="T5561">
        <v>1</v>
      </c>
    </row>
    <row r="5562" spans="1:20" ht="16.5" x14ac:dyDescent="0.3">
      <c r="A5562" t="s">
        <v>5616</v>
      </c>
      <c r="B5562" s="1">
        <v>46020</v>
      </c>
      <c r="C5562">
        <v>2025</v>
      </c>
      <c r="D5562" t="s">
        <v>1873</v>
      </c>
      <c r="E5562" t="s">
        <v>2413</v>
      </c>
      <c r="F5562" t="s">
        <v>30</v>
      </c>
      <c r="G5562" t="s">
        <v>39</v>
      </c>
      <c r="H5562" t="s">
        <v>48</v>
      </c>
      <c r="I5562" t="s">
        <v>26</v>
      </c>
      <c r="J5562" t="s">
        <v>27</v>
      </c>
      <c r="K5562" t="s">
        <v>32</v>
      </c>
      <c r="L5562" s="2">
        <v>11.8</v>
      </c>
      <c r="M5562" s="3">
        <v>472</v>
      </c>
      <c r="N5562">
        <v>4</v>
      </c>
      <c r="O5562">
        <v>3</v>
      </c>
      <c r="P5562">
        <v>1</v>
      </c>
      <c r="Q5562">
        <v>0</v>
      </c>
      <c r="R5562" s="4">
        <v>19.399999999999999</v>
      </c>
      <c r="S5562">
        <v>0</v>
      </c>
      <c r="T5562">
        <v>1</v>
      </c>
    </row>
    <row r="5563" spans="1:20" ht="16.5" x14ac:dyDescent="0.3">
      <c r="A5563" t="s">
        <v>5617</v>
      </c>
      <c r="B5563" s="1">
        <v>46020</v>
      </c>
      <c r="C5563">
        <v>2025</v>
      </c>
      <c r="D5563" t="s">
        <v>1873</v>
      </c>
      <c r="E5563" t="s">
        <v>2413</v>
      </c>
      <c r="F5563" t="s">
        <v>30</v>
      </c>
      <c r="G5563" t="s">
        <v>35</v>
      </c>
      <c r="H5563" t="s">
        <v>25</v>
      </c>
      <c r="I5563" t="s">
        <v>26</v>
      </c>
      <c r="J5563" t="s">
        <v>27</v>
      </c>
      <c r="K5563" t="s">
        <v>28</v>
      </c>
      <c r="L5563" s="2">
        <v>91.3</v>
      </c>
      <c r="M5563" s="3">
        <v>729</v>
      </c>
      <c r="N5563">
        <v>4</v>
      </c>
      <c r="O5563">
        <v>4</v>
      </c>
      <c r="P5563">
        <v>1</v>
      </c>
      <c r="Q5563">
        <v>0</v>
      </c>
      <c r="R5563" s="4">
        <v>60.36</v>
      </c>
      <c r="S5563">
        <v>0</v>
      </c>
      <c r="T5563">
        <v>1</v>
      </c>
    </row>
    <row r="5564" spans="1:20" ht="16.5" x14ac:dyDescent="0.3">
      <c r="A5564" t="s">
        <v>5618</v>
      </c>
      <c r="B5564" s="1">
        <v>46020</v>
      </c>
      <c r="C5564">
        <v>2025</v>
      </c>
      <c r="D5564" t="s">
        <v>1873</v>
      </c>
      <c r="E5564" t="s">
        <v>2413</v>
      </c>
      <c r="F5564" t="s">
        <v>57</v>
      </c>
      <c r="G5564" t="s">
        <v>35</v>
      </c>
      <c r="H5564" t="s">
        <v>43</v>
      </c>
      <c r="I5564" t="s">
        <v>31</v>
      </c>
      <c r="J5564" t="s">
        <v>27</v>
      </c>
      <c r="K5564" t="s">
        <v>32</v>
      </c>
      <c r="L5564" s="2">
        <v>3.1</v>
      </c>
      <c r="M5564" s="3">
        <v>1147</v>
      </c>
      <c r="N5564">
        <v>7</v>
      </c>
      <c r="O5564">
        <v>8</v>
      </c>
      <c r="P5564">
        <v>0</v>
      </c>
      <c r="Q5564">
        <v>1</v>
      </c>
      <c r="R5564" s="4">
        <v>16</v>
      </c>
      <c r="S5564">
        <v>0</v>
      </c>
      <c r="T5564">
        <v>1</v>
      </c>
    </row>
    <row r="5565" spans="1:20" ht="16.5" x14ac:dyDescent="0.3">
      <c r="A5565" t="s">
        <v>5619</v>
      </c>
      <c r="B5565" s="1">
        <v>46020</v>
      </c>
      <c r="C5565">
        <v>2025</v>
      </c>
      <c r="D5565" t="s">
        <v>1873</v>
      </c>
      <c r="E5565" t="s">
        <v>2413</v>
      </c>
      <c r="F5565" t="s">
        <v>34</v>
      </c>
      <c r="G5565" t="s">
        <v>35</v>
      </c>
      <c r="H5565" t="s">
        <v>36</v>
      </c>
      <c r="I5565" t="s">
        <v>31</v>
      </c>
      <c r="J5565" t="s">
        <v>27</v>
      </c>
      <c r="K5565" t="s">
        <v>28</v>
      </c>
      <c r="L5565" s="2">
        <v>39.299999999999997</v>
      </c>
      <c r="M5565" s="3">
        <v>234</v>
      </c>
      <c r="N5565">
        <v>5</v>
      </c>
      <c r="O5565">
        <v>5</v>
      </c>
      <c r="P5565">
        <v>1</v>
      </c>
      <c r="Q5565">
        <v>0</v>
      </c>
      <c r="R5565" s="4">
        <v>18.98</v>
      </c>
      <c r="S5565">
        <v>0</v>
      </c>
      <c r="T5565">
        <v>1</v>
      </c>
    </row>
    <row r="5566" spans="1:20" ht="16.5" x14ac:dyDescent="0.3">
      <c r="A5566" t="s">
        <v>5620</v>
      </c>
      <c r="B5566" s="1">
        <v>46020</v>
      </c>
      <c r="C5566">
        <v>2025</v>
      </c>
      <c r="D5566" t="s">
        <v>1873</v>
      </c>
      <c r="E5566" t="s">
        <v>2413</v>
      </c>
      <c r="F5566" t="s">
        <v>23</v>
      </c>
      <c r="G5566" t="s">
        <v>35</v>
      </c>
      <c r="H5566" t="s">
        <v>48</v>
      </c>
      <c r="I5566" t="s">
        <v>26</v>
      </c>
      <c r="J5566" t="s">
        <v>27</v>
      </c>
      <c r="K5566" t="s">
        <v>32</v>
      </c>
      <c r="L5566" s="2">
        <v>32.299999999999997</v>
      </c>
      <c r="M5566" s="3">
        <v>519</v>
      </c>
      <c r="N5566">
        <v>4</v>
      </c>
      <c r="O5566">
        <v>3</v>
      </c>
      <c r="P5566">
        <v>1</v>
      </c>
      <c r="Q5566">
        <v>0</v>
      </c>
      <c r="R5566" s="4">
        <v>28.59</v>
      </c>
      <c r="S5566">
        <v>0</v>
      </c>
      <c r="T5566">
        <v>1</v>
      </c>
    </row>
    <row r="5567" spans="1:20" ht="16.5" x14ac:dyDescent="0.3">
      <c r="A5567" t="s">
        <v>5621</v>
      </c>
      <c r="B5567" s="1">
        <v>46020</v>
      </c>
      <c r="C5567">
        <v>2025</v>
      </c>
      <c r="D5567" t="s">
        <v>1873</v>
      </c>
      <c r="E5567" t="s">
        <v>2413</v>
      </c>
      <c r="F5567" t="s">
        <v>23</v>
      </c>
      <c r="G5567" t="s">
        <v>24</v>
      </c>
      <c r="H5567" t="s">
        <v>36</v>
      </c>
      <c r="I5567" t="s">
        <v>26</v>
      </c>
      <c r="J5567" t="s">
        <v>27</v>
      </c>
      <c r="K5567" t="s">
        <v>32</v>
      </c>
      <c r="L5567" s="2">
        <v>5.3</v>
      </c>
      <c r="M5567" s="3">
        <v>231</v>
      </c>
      <c r="N5567">
        <v>3</v>
      </c>
      <c r="O5567">
        <v>3</v>
      </c>
      <c r="P5567">
        <v>1</v>
      </c>
      <c r="Q5567">
        <v>0</v>
      </c>
      <c r="R5567" s="4">
        <v>11.03</v>
      </c>
      <c r="S5567">
        <v>0</v>
      </c>
      <c r="T5567">
        <v>1</v>
      </c>
    </row>
    <row r="5568" spans="1:20" ht="16.5" x14ac:dyDescent="0.3">
      <c r="A5568" t="s">
        <v>5622</v>
      </c>
      <c r="B5568" s="1">
        <v>46020</v>
      </c>
      <c r="C5568">
        <v>2025</v>
      </c>
      <c r="D5568" t="s">
        <v>1873</v>
      </c>
      <c r="E5568" t="s">
        <v>2413</v>
      </c>
      <c r="F5568" t="s">
        <v>30</v>
      </c>
      <c r="G5568" t="s">
        <v>35</v>
      </c>
      <c r="H5568" t="s">
        <v>36</v>
      </c>
      <c r="I5568" t="s">
        <v>31</v>
      </c>
      <c r="J5568" t="s">
        <v>27</v>
      </c>
      <c r="K5568" t="s">
        <v>28</v>
      </c>
      <c r="L5568" s="2">
        <v>62.6</v>
      </c>
      <c r="M5568" s="3">
        <v>199</v>
      </c>
      <c r="N5568">
        <v>5</v>
      </c>
      <c r="O5568">
        <v>8</v>
      </c>
      <c r="P5568">
        <v>0</v>
      </c>
      <c r="Q5568">
        <v>3</v>
      </c>
      <c r="R5568" s="4">
        <v>29.93</v>
      </c>
      <c r="S5568">
        <v>0</v>
      </c>
      <c r="T5568">
        <v>1</v>
      </c>
    </row>
    <row r="5569" spans="1:20" ht="16.5" x14ac:dyDescent="0.3">
      <c r="A5569" t="s">
        <v>5623</v>
      </c>
      <c r="B5569" s="1">
        <v>46020</v>
      </c>
      <c r="C5569">
        <v>2025</v>
      </c>
      <c r="D5569" t="s">
        <v>1873</v>
      </c>
      <c r="E5569" t="s">
        <v>2413</v>
      </c>
      <c r="F5569" t="s">
        <v>38</v>
      </c>
      <c r="G5569" t="s">
        <v>35</v>
      </c>
      <c r="H5569" t="s">
        <v>51</v>
      </c>
      <c r="I5569" t="s">
        <v>26</v>
      </c>
      <c r="J5569" t="s">
        <v>27</v>
      </c>
      <c r="K5569" t="s">
        <v>32</v>
      </c>
      <c r="L5569" s="2">
        <v>6.2</v>
      </c>
      <c r="M5569" s="3">
        <v>892</v>
      </c>
      <c r="N5569">
        <v>5</v>
      </c>
      <c r="O5569">
        <v>5</v>
      </c>
      <c r="P5569">
        <v>1</v>
      </c>
      <c r="Q5569">
        <v>0</v>
      </c>
      <c r="R5569" s="4">
        <v>21.71</v>
      </c>
      <c r="S5569">
        <v>0</v>
      </c>
      <c r="T5569">
        <v>1</v>
      </c>
    </row>
    <row r="5570" spans="1:20" ht="16.5" x14ac:dyDescent="0.3">
      <c r="A5570" t="s">
        <v>5624</v>
      </c>
      <c r="B5570" s="1">
        <v>46021</v>
      </c>
      <c r="C5570">
        <v>2025</v>
      </c>
      <c r="D5570" t="s">
        <v>1873</v>
      </c>
      <c r="E5570" t="s">
        <v>2413</v>
      </c>
      <c r="F5570" t="s">
        <v>34</v>
      </c>
      <c r="G5570" t="s">
        <v>35</v>
      </c>
      <c r="H5570" t="s">
        <v>25</v>
      </c>
      <c r="I5570" t="s">
        <v>40</v>
      </c>
      <c r="J5570" t="s">
        <v>41</v>
      </c>
      <c r="K5570" t="s">
        <v>28</v>
      </c>
      <c r="L5570" s="2">
        <v>52.7</v>
      </c>
      <c r="M5570" s="3">
        <v>847</v>
      </c>
      <c r="N5570">
        <v>2</v>
      </c>
      <c r="O5570">
        <v>2</v>
      </c>
      <c r="P5570">
        <v>1</v>
      </c>
      <c r="Q5570">
        <v>0</v>
      </c>
      <c r="R5570" s="4">
        <v>109.98</v>
      </c>
      <c r="S5570">
        <v>0</v>
      </c>
      <c r="T5570">
        <v>1</v>
      </c>
    </row>
    <row r="5571" spans="1:20" ht="16.5" x14ac:dyDescent="0.3">
      <c r="A5571" t="s">
        <v>5625</v>
      </c>
      <c r="B5571" s="1">
        <v>46021</v>
      </c>
      <c r="C5571">
        <v>2025</v>
      </c>
      <c r="D5571" t="s">
        <v>1873</v>
      </c>
      <c r="E5571" t="s">
        <v>2413</v>
      </c>
      <c r="F5571" t="s">
        <v>30</v>
      </c>
      <c r="G5571" t="s">
        <v>24</v>
      </c>
      <c r="H5571" t="s">
        <v>48</v>
      </c>
      <c r="I5571" t="s">
        <v>26</v>
      </c>
      <c r="J5571" t="s">
        <v>27</v>
      </c>
      <c r="K5571" t="s">
        <v>28</v>
      </c>
      <c r="L5571" s="2">
        <v>179.1</v>
      </c>
      <c r="M5571" s="3">
        <v>553</v>
      </c>
      <c r="N5571">
        <v>4</v>
      </c>
      <c r="O5571">
        <v>8</v>
      </c>
      <c r="P5571">
        <v>0</v>
      </c>
      <c r="Q5571">
        <v>4</v>
      </c>
      <c r="R5571" s="4">
        <v>78.52</v>
      </c>
      <c r="S5571">
        <v>0</v>
      </c>
      <c r="T5571">
        <v>1</v>
      </c>
    </row>
    <row r="5572" spans="1:20" ht="16.5" x14ac:dyDescent="0.3">
      <c r="A5572" t="s">
        <v>5626</v>
      </c>
      <c r="B5572" s="1">
        <v>46021</v>
      </c>
      <c r="C5572">
        <v>2025</v>
      </c>
      <c r="D5572" t="s">
        <v>1873</v>
      </c>
      <c r="E5572" t="s">
        <v>2413</v>
      </c>
      <c r="F5572" t="s">
        <v>57</v>
      </c>
      <c r="G5572" t="s">
        <v>35</v>
      </c>
      <c r="H5572" t="s">
        <v>48</v>
      </c>
      <c r="I5572" t="s">
        <v>40</v>
      </c>
      <c r="J5572" t="s">
        <v>27</v>
      </c>
      <c r="K5572" t="s">
        <v>32</v>
      </c>
      <c r="L5572" s="2">
        <v>8.8000000000000007</v>
      </c>
      <c r="M5572" s="3">
        <v>538</v>
      </c>
      <c r="N5572">
        <v>2</v>
      </c>
      <c r="O5572">
        <v>2</v>
      </c>
      <c r="P5572">
        <v>1</v>
      </c>
      <c r="Q5572">
        <v>0</v>
      </c>
      <c r="R5572" s="4">
        <v>29.19</v>
      </c>
      <c r="S5572">
        <v>0</v>
      </c>
      <c r="T5572">
        <v>1</v>
      </c>
    </row>
    <row r="5573" spans="1:20" ht="16.5" x14ac:dyDescent="0.3">
      <c r="A5573" t="s">
        <v>5627</v>
      </c>
      <c r="B5573" s="1">
        <v>46021</v>
      </c>
      <c r="C5573">
        <v>2025</v>
      </c>
      <c r="D5573" t="s">
        <v>1873</v>
      </c>
      <c r="E5573" t="s">
        <v>2413</v>
      </c>
      <c r="F5573" t="s">
        <v>38</v>
      </c>
      <c r="G5573" t="s">
        <v>39</v>
      </c>
      <c r="H5573" t="s">
        <v>25</v>
      </c>
      <c r="I5573" t="s">
        <v>26</v>
      </c>
      <c r="J5573" t="s">
        <v>27</v>
      </c>
      <c r="K5573" t="s">
        <v>28</v>
      </c>
      <c r="L5573" s="2">
        <v>167.8</v>
      </c>
      <c r="M5573" s="3">
        <v>1001</v>
      </c>
      <c r="N5573">
        <v>4</v>
      </c>
      <c r="O5573">
        <v>5</v>
      </c>
      <c r="P5573">
        <v>0</v>
      </c>
      <c r="Q5573">
        <v>1</v>
      </c>
      <c r="R5573" s="4">
        <v>109.42</v>
      </c>
      <c r="S5573">
        <v>0</v>
      </c>
      <c r="T5573">
        <v>1</v>
      </c>
    </row>
    <row r="5574" spans="1:20" ht="16.5" x14ac:dyDescent="0.3">
      <c r="A5574" t="s">
        <v>5628</v>
      </c>
      <c r="B5574" s="1">
        <v>46021</v>
      </c>
      <c r="C5574">
        <v>2025</v>
      </c>
      <c r="D5574" t="s">
        <v>1873</v>
      </c>
      <c r="E5574" t="s">
        <v>2413</v>
      </c>
      <c r="F5574" t="s">
        <v>57</v>
      </c>
      <c r="G5574" t="s">
        <v>39</v>
      </c>
      <c r="H5574" t="s">
        <v>48</v>
      </c>
      <c r="I5574" t="s">
        <v>26</v>
      </c>
      <c r="J5574" t="s">
        <v>27</v>
      </c>
      <c r="K5574" t="s">
        <v>32</v>
      </c>
      <c r="L5574" s="2">
        <v>6.3</v>
      </c>
      <c r="M5574" s="3">
        <v>471</v>
      </c>
      <c r="N5574">
        <v>4</v>
      </c>
      <c r="O5574">
        <v>4</v>
      </c>
      <c r="P5574">
        <v>1</v>
      </c>
      <c r="Q5574">
        <v>0</v>
      </c>
      <c r="R5574" s="4">
        <v>15.5</v>
      </c>
      <c r="S5574">
        <v>0</v>
      </c>
      <c r="T5574">
        <v>1</v>
      </c>
    </row>
    <row r="5575" spans="1:20" ht="16.5" x14ac:dyDescent="0.3">
      <c r="A5575" t="s">
        <v>5629</v>
      </c>
      <c r="B5575" s="1">
        <v>46021</v>
      </c>
      <c r="C5575">
        <v>2025</v>
      </c>
      <c r="D5575" t="s">
        <v>1873</v>
      </c>
      <c r="E5575" t="s">
        <v>2413</v>
      </c>
      <c r="F5575" t="s">
        <v>38</v>
      </c>
      <c r="G5575" t="s">
        <v>24</v>
      </c>
      <c r="H5575" t="s">
        <v>36</v>
      </c>
      <c r="I5575" t="s">
        <v>26</v>
      </c>
      <c r="J5575" t="s">
        <v>27</v>
      </c>
      <c r="K5575" t="s">
        <v>28</v>
      </c>
      <c r="L5575" s="2">
        <v>53.8</v>
      </c>
      <c r="M5575" s="3">
        <v>306</v>
      </c>
      <c r="N5575">
        <v>3</v>
      </c>
      <c r="O5575">
        <v>2</v>
      </c>
      <c r="P5575">
        <v>1</v>
      </c>
      <c r="Q5575">
        <v>0</v>
      </c>
      <c r="R5575" s="4">
        <v>41.11</v>
      </c>
      <c r="S5575">
        <v>0</v>
      </c>
      <c r="T5575">
        <v>1</v>
      </c>
    </row>
    <row r="5576" spans="1:20" ht="16.5" x14ac:dyDescent="0.3">
      <c r="A5576" t="s">
        <v>5630</v>
      </c>
      <c r="B5576" s="1">
        <v>46021</v>
      </c>
      <c r="C5576">
        <v>2025</v>
      </c>
      <c r="D5576" t="s">
        <v>1873</v>
      </c>
      <c r="E5576" t="s">
        <v>2413</v>
      </c>
      <c r="F5576" t="s">
        <v>30</v>
      </c>
      <c r="G5576" t="s">
        <v>39</v>
      </c>
      <c r="H5576" t="s">
        <v>36</v>
      </c>
      <c r="I5576" t="s">
        <v>40</v>
      </c>
      <c r="J5576" t="s">
        <v>27</v>
      </c>
      <c r="K5576" t="s">
        <v>28</v>
      </c>
      <c r="L5576" s="2">
        <v>245.6</v>
      </c>
      <c r="M5576" s="3">
        <v>343</v>
      </c>
      <c r="N5576">
        <v>1</v>
      </c>
      <c r="O5576">
        <v>1</v>
      </c>
      <c r="P5576">
        <v>1</v>
      </c>
      <c r="Q5576">
        <v>0</v>
      </c>
      <c r="R5576" s="4">
        <v>231.38</v>
      </c>
      <c r="S5576">
        <v>0</v>
      </c>
      <c r="T5576">
        <v>1</v>
      </c>
    </row>
    <row r="5577" spans="1:20" ht="16.5" x14ac:dyDescent="0.3">
      <c r="A5577" t="s">
        <v>5631</v>
      </c>
      <c r="B5577" s="1">
        <v>46021</v>
      </c>
      <c r="C5577">
        <v>2025</v>
      </c>
      <c r="D5577" t="s">
        <v>1873</v>
      </c>
      <c r="E5577" t="s">
        <v>2413</v>
      </c>
      <c r="F5577" t="s">
        <v>57</v>
      </c>
      <c r="G5577" t="s">
        <v>35</v>
      </c>
      <c r="H5577" t="s">
        <v>51</v>
      </c>
      <c r="I5577" t="s">
        <v>26</v>
      </c>
      <c r="J5577" t="s">
        <v>27</v>
      </c>
      <c r="K5577" t="s">
        <v>32</v>
      </c>
      <c r="L5577" s="2">
        <v>23.4</v>
      </c>
      <c r="M5577" s="3">
        <v>1012</v>
      </c>
      <c r="N5577">
        <v>5</v>
      </c>
      <c r="O5577">
        <v>5</v>
      </c>
      <c r="P5577">
        <v>1</v>
      </c>
      <c r="Q5577">
        <v>0</v>
      </c>
      <c r="R5577" s="4">
        <v>33.130000000000003</v>
      </c>
      <c r="S5577">
        <v>0</v>
      </c>
      <c r="T5577">
        <v>1</v>
      </c>
    </row>
    <row r="5578" spans="1:20" ht="16.5" x14ac:dyDescent="0.3">
      <c r="A5578" t="s">
        <v>5632</v>
      </c>
      <c r="B5578" s="1">
        <v>46021</v>
      </c>
      <c r="C5578">
        <v>2025</v>
      </c>
      <c r="D5578" t="s">
        <v>1873</v>
      </c>
      <c r="E5578" t="s">
        <v>2413</v>
      </c>
      <c r="F5578" t="s">
        <v>57</v>
      </c>
      <c r="G5578" t="s">
        <v>39</v>
      </c>
      <c r="H5578" t="s">
        <v>48</v>
      </c>
      <c r="I5578" t="s">
        <v>26</v>
      </c>
      <c r="J5578" t="s">
        <v>27</v>
      </c>
      <c r="K5578" t="s">
        <v>28</v>
      </c>
      <c r="L5578" s="2">
        <v>121.8</v>
      </c>
      <c r="M5578" s="3">
        <v>515</v>
      </c>
      <c r="N5578">
        <v>4</v>
      </c>
      <c r="O5578">
        <v>4</v>
      </c>
      <c r="P5578">
        <v>1</v>
      </c>
      <c r="Q5578">
        <v>0</v>
      </c>
      <c r="R5578" s="4">
        <v>65.31</v>
      </c>
      <c r="S5578">
        <v>0</v>
      </c>
      <c r="T5578">
        <v>1</v>
      </c>
    </row>
    <row r="5579" spans="1:20" ht="16.5" x14ac:dyDescent="0.3">
      <c r="A5579" t="s">
        <v>5633</v>
      </c>
      <c r="B5579" s="1">
        <v>46021</v>
      </c>
      <c r="C5579">
        <v>2025</v>
      </c>
      <c r="D5579" t="s">
        <v>1873</v>
      </c>
      <c r="E5579" t="s">
        <v>2413</v>
      </c>
      <c r="F5579" t="s">
        <v>38</v>
      </c>
      <c r="G5579" t="s">
        <v>24</v>
      </c>
      <c r="H5579" t="s">
        <v>25</v>
      </c>
      <c r="I5579" t="s">
        <v>26</v>
      </c>
      <c r="J5579" t="s">
        <v>27</v>
      </c>
      <c r="K5579" t="s">
        <v>32</v>
      </c>
      <c r="L5579" s="2">
        <v>4.0999999999999996</v>
      </c>
      <c r="M5579" s="3">
        <v>1119</v>
      </c>
      <c r="N5579">
        <v>4</v>
      </c>
      <c r="O5579">
        <v>4</v>
      </c>
      <c r="P5579">
        <v>1</v>
      </c>
      <c r="Q5579">
        <v>0</v>
      </c>
      <c r="R5579" s="4">
        <v>28.42</v>
      </c>
      <c r="S5579">
        <v>0</v>
      </c>
      <c r="T5579">
        <v>1</v>
      </c>
    </row>
    <row r="5580" spans="1:20" ht="16.5" x14ac:dyDescent="0.3">
      <c r="A5580" t="s">
        <v>5634</v>
      </c>
      <c r="B5580" s="1">
        <v>46021</v>
      </c>
      <c r="C5580">
        <v>2025</v>
      </c>
      <c r="D5580" t="s">
        <v>1873</v>
      </c>
      <c r="E5580" t="s">
        <v>2413</v>
      </c>
      <c r="F5580" t="s">
        <v>23</v>
      </c>
      <c r="G5580" t="s">
        <v>39</v>
      </c>
      <c r="H5580" t="s">
        <v>25</v>
      </c>
      <c r="I5580" t="s">
        <v>26</v>
      </c>
      <c r="J5580" t="s">
        <v>27</v>
      </c>
      <c r="K5580" t="s">
        <v>32</v>
      </c>
      <c r="L5580" s="2">
        <v>7</v>
      </c>
      <c r="M5580" s="3">
        <v>1159</v>
      </c>
      <c r="N5580">
        <v>4</v>
      </c>
      <c r="O5580">
        <v>4</v>
      </c>
      <c r="P5580">
        <v>1</v>
      </c>
      <c r="Q5580">
        <v>0</v>
      </c>
      <c r="R5580" s="4">
        <v>22.89</v>
      </c>
      <c r="S5580">
        <v>0</v>
      </c>
      <c r="T5580">
        <v>1</v>
      </c>
    </row>
    <row r="5581" spans="1:20" ht="16.5" x14ac:dyDescent="0.3">
      <c r="A5581" t="s">
        <v>5635</v>
      </c>
      <c r="B5581" s="1">
        <v>46021</v>
      </c>
      <c r="C5581">
        <v>2025</v>
      </c>
      <c r="D5581" t="s">
        <v>1873</v>
      </c>
      <c r="E5581" t="s">
        <v>2413</v>
      </c>
      <c r="F5581" t="s">
        <v>30</v>
      </c>
      <c r="G5581" t="s">
        <v>35</v>
      </c>
      <c r="H5581" t="s">
        <v>43</v>
      </c>
      <c r="I5581" t="s">
        <v>26</v>
      </c>
      <c r="J5581" t="s">
        <v>27</v>
      </c>
      <c r="K5581" t="s">
        <v>28</v>
      </c>
      <c r="L5581" s="2">
        <v>215.1</v>
      </c>
      <c r="M5581" s="3">
        <v>1283</v>
      </c>
      <c r="N5581">
        <v>5</v>
      </c>
      <c r="O5581">
        <v>5</v>
      </c>
      <c r="P5581">
        <v>1</v>
      </c>
      <c r="Q5581">
        <v>0</v>
      </c>
      <c r="R5581" s="4">
        <v>110.62</v>
      </c>
      <c r="S5581">
        <v>0</v>
      </c>
      <c r="T5581">
        <v>1</v>
      </c>
    </row>
    <row r="5582" spans="1:20" ht="16.5" x14ac:dyDescent="0.3">
      <c r="A5582" t="s">
        <v>5636</v>
      </c>
      <c r="B5582" s="1">
        <v>46021</v>
      </c>
      <c r="C5582">
        <v>2025</v>
      </c>
      <c r="D5582" t="s">
        <v>1873</v>
      </c>
      <c r="E5582" t="s">
        <v>2413</v>
      </c>
      <c r="F5582" t="s">
        <v>57</v>
      </c>
      <c r="G5582" t="s">
        <v>35</v>
      </c>
      <c r="H5582" t="s">
        <v>36</v>
      </c>
      <c r="I5582" t="s">
        <v>26</v>
      </c>
      <c r="J5582" t="s">
        <v>27</v>
      </c>
      <c r="K5582" t="s">
        <v>32</v>
      </c>
      <c r="L5582" s="2">
        <v>3.3</v>
      </c>
      <c r="M5582" s="3">
        <v>258</v>
      </c>
      <c r="N5582">
        <v>3</v>
      </c>
      <c r="O5582">
        <v>3</v>
      </c>
      <c r="P5582">
        <v>1</v>
      </c>
      <c r="Q5582">
        <v>0</v>
      </c>
      <c r="R5582" s="4">
        <v>11.43</v>
      </c>
      <c r="S5582">
        <v>0</v>
      </c>
      <c r="T5582">
        <v>1</v>
      </c>
    </row>
    <row r="5583" spans="1:20" ht="16.5" x14ac:dyDescent="0.3">
      <c r="A5583" t="s">
        <v>5637</v>
      </c>
      <c r="B5583" s="1">
        <v>46021</v>
      </c>
      <c r="C5583">
        <v>2025</v>
      </c>
      <c r="D5583" t="s">
        <v>1873</v>
      </c>
      <c r="E5583" t="s">
        <v>2413</v>
      </c>
      <c r="F5583" t="s">
        <v>30</v>
      </c>
      <c r="G5583" t="s">
        <v>35</v>
      </c>
      <c r="H5583" t="s">
        <v>51</v>
      </c>
      <c r="I5583" t="s">
        <v>40</v>
      </c>
      <c r="J5583" t="s">
        <v>41</v>
      </c>
      <c r="K5583" t="s">
        <v>28</v>
      </c>
      <c r="L5583" s="2">
        <v>442.5</v>
      </c>
      <c r="M5583" s="3">
        <v>1025</v>
      </c>
      <c r="N5583">
        <v>3</v>
      </c>
      <c r="O5583">
        <v>3</v>
      </c>
      <c r="P5583">
        <v>1</v>
      </c>
      <c r="Q5583">
        <v>0</v>
      </c>
      <c r="R5583" s="4">
        <v>586.36</v>
      </c>
      <c r="S5583">
        <v>0</v>
      </c>
      <c r="T5583">
        <v>1</v>
      </c>
    </row>
    <row r="5584" spans="1:20" ht="16.5" x14ac:dyDescent="0.3">
      <c r="A5584" t="s">
        <v>5638</v>
      </c>
      <c r="B5584" s="1">
        <v>46021</v>
      </c>
      <c r="C5584">
        <v>2025</v>
      </c>
      <c r="D5584" t="s">
        <v>1873</v>
      </c>
      <c r="E5584" t="s">
        <v>2413</v>
      </c>
      <c r="F5584" t="s">
        <v>57</v>
      </c>
      <c r="G5584" t="s">
        <v>24</v>
      </c>
      <c r="H5584" t="s">
        <v>25</v>
      </c>
      <c r="I5584" t="s">
        <v>26</v>
      </c>
      <c r="J5584" t="s">
        <v>27</v>
      </c>
      <c r="K5584" t="s">
        <v>32</v>
      </c>
      <c r="L5584" s="2">
        <v>4.5</v>
      </c>
      <c r="M5584" s="3">
        <v>895</v>
      </c>
      <c r="N5584">
        <v>4</v>
      </c>
      <c r="O5584">
        <v>4</v>
      </c>
      <c r="P5584">
        <v>1</v>
      </c>
      <c r="Q5584">
        <v>0</v>
      </c>
      <c r="R5584" s="4">
        <v>19.47</v>
      </c>
      <c r="S5584">
        <v>0</v>
      </c>
      <c r="T5584">
        <v>1</v>
      </c>
    </row>
    <row r="5585" spans="1:20" ht="16.5" x14ac:dyDescent="0.3">
      <c r="A5585" t="s">
        <v>5639</v>
      </c>
      <c r="B5585" s="1">
        <v>46022</v>
      </c>
      <c r="C5585">
        <v>2025</v>
      </c>
      <c r="D5585" t="s">
        <v>1873</v>
      </c>
      <c r="E5585" t="s">
        <v>2413</v>
      </c>
      <c r="F5585" t="s">
        <v>34</v>
      </c>
      <c r="G5585" t="s">
        <v>39</v>
      </c>
      <c r="H5585" t="s">
        <v>25</v>
      </c>
      <c r="I5585" t="s">
        <v>26</v>
      </c>
      <c r="J5585" t="s">
        <v>27</v>
      </c>
      <c r="K5585" t="s">
        <v>28</v>
      </c>
      <c r="L5585" s="2">
        <v>88</v>
      </c>
      <c r="M5585" s="3">
        <v>914</v>
      </c>
      <c r="N5585">
        <v>4</v>
      </c>
      <c r="O5585">
        <v>4</v>
      </c>
      <c r="P5585">
        <v>1</v>
      </c>
      <c r="Q5585">
        <v>0</v>
      </c>
      <c r="R5585" s="4">
        <v>49.96</v>
      </c>
      <c r="S5585">
        <v>0</v>
      </c>
      <c r="T5585">
        <v>1</v>
      </c>
    </row>
    <row r="5586" spans="1:20" ht="16.5" x14ac:dyDescent="0.3">
      <c r="A5586" t="s">
        <v>5640</v>
      </c>
      <c r="B5586" s="1">
        <v>46022</v>
      </c>
      <c r="C5586">
        <v>2025</v>
      </c>
      <c r="D5586" t="s">
        <v>1873</v>
      </c>
      <c r="E5586" t="s">
        <v>2413</v>
      </c>
      <c r="F5586" t="s">
        <v>34</v>
      </c>
      <c r="G5586" t="s">
        <v>35</v>
      </c>
      <c r="H5586" t="s">
        <v>36</v>
      </c>
      <c r="I5586" t="s">
        <v>40</v>
      </c>
      <c r="J5586" t="s">
        <v>27</v>
      </c>
      <c r="K5586" t="s">
        <v>28</v>
      </c>
      <c r="L5586" s="2">
        <v>102.9</v>
      </c>
      <c r="M5586" s="3">
        <v>170</v>
      </c>
      <c r="N5586">
        <v>1</v>
      </c>
      <c r="O5586">
        <v>1</v>
      </c>
      <c r="P5586">
        <v>1</v>
      </c>
      <c r="Q5586">
        <v>0</v>
      </c>
      <c r="R5586" s="4">
        <v>89.85</v>
      </c>
      <c r="S5586">
        <v>0</v>
      </c>
      <c r="T5586">
        <v>1</v>
      </c>
    </row>
    <row r="5587" spans="1:20" ht="16.5" x14ac:dyDescent="0.3">
      <c r="A5587" t="s">
        <v>5641</v>
      </c>
      <c r="B5587" s="1">
        <v>46022</v>
      </c>
      <c r="C5587">
        <v>2025</v>
      </c>
      <c r="D5587" t="s">
        <v>1873</v>
      </c>
      <c r="E5587" t="s">
        <v>2413</v>
      </c>
      <c r="F5587" t="s">
        <v>30</v>
      </c>
      <c r="G5587" t="s">
        <v>39</v>
      </c>
      <c r="H5587" t="s">
        <v>51</v>
      </c>
      <c r="I5587" t="s">
        <v>26</v>
      </c>
      <c r="J5587" t="s">
        <v>27</v>
      </c>
      <c r="K5587" t="s">
        <v>32</v>
      </c>
      <c r="L5587" s="2">
        <v>11.4</v>
      </c>
      <c r="M5587" s="3">
        <v>1225</v>
      </c>
      <c r="N5587">
        <v>5</v>
      </c>
      <c r="O5587">
        <v>5</v>
      </c>
      <c r="P5587">
        <v>1</v>
      </c>
      <c r="Q5587">
        <v>0</v>
      </c>
      <c r="R5587" s="4">
        <v>29.08</v>
      </c>
      <c r="S5587">
        <v>0</v>
      </c>
      <c r="T5587">
        <v>1</v>
      </c>
    </row>
    <row r="5588" spans="1:20" ht="16.5" x14ac:dyDescent="0.3">
      <c r="A5588" t="s">
        <v>5642</v>
      </c>
      <c r="B5588" s="1">
        <v>46022</v>
      </c>
      <c r="C5588">
        <v>2025</v>
      </c>
      <c r="D5588" t="s">
        <v>1873</v>
      </c>
      <c r="E5588" t="s">
        <v>2413</v>
      </c>
      <c r="F5588" t="s">
        <v>38</v>
      </c>
      <c r="G5588" t="s">
        <v>35</v>
      </c>
      <c r="H5588" t="s">
        <v>36</v>
      </c>
      <c r="I5588" t="s">
        <v>26</v>
      </c>
      <c r="J5588" t="s">
        <v>27</v>
      </c>
      <c r="K5588" t="s">
        <v>32</v>
      </c>
      <c r="L5588" s="2">
        <v>2.4</v>
      </c>
      <c r="M5588" s="3">
        <v>194</v>
      </c>
      <c r="N5588">
        <v>3</v>
      </c>
      <c r="O5588">
        <v>7</v>
      </c>
      <c r="P5588">
        <v>0</v>
      </c>
      <c r="Q5588">
        <v>4</v>
      </c>
      <c r="R5588" s="4">
        <v>10.96</v>
      </c>
      <c r="S5588">
        <v>0</v>
      </c>
      <c r="T5588">
        <v>1</v>
      </c>
    </row>
    <row r="5589" spans="1:20" ht="16.5" x14ac:dyDescent="0.3">
      <c r="A5589" t="s">
        <v>5643</v>
      </c>
      <c r="B5589" s="1">
        <v>46022</v>
      </c>
      <c r="C5589">
        <v>2025</v>
      </c>
      <c r="D5589" t="s">
        <v>1873</v>
      </c>
      <c r="E5589" t="s">
        <v>2413</v>
      </c>
      <c r="F5589" t="s">
        <v>57</v>
      </c>
      <c r="G5589" t="s">
        <v>24</v>
      </c>
      <c r="H5589" t="s">
        <v>48</v>
      </c>
      <c r="I5589" t="s">
        <v>40</v>
      </c>
      <c r="J5589" t="s">
        <v>27</v>
      </c>
      <c r="K5589" t="s">
        <v>28</v>
      </c>
      <c r="L5589" s="2">
        <v>149.5</v>
      </c>
      <c r="M5589" s="3">
        <v>470</v>
      </c>
      <c r="N5589">
        <v>2</v>
      </c>
      <c r="O5589">
        <v>4</v>
      </c>
      <c r="P5589">
        <v>0</v>
      </c>
      <c r="Q5589">
        <v>2</v>
      </c>
      <c r="R5589" s="4">
        <v>140.55000000000001</v>
      </c>
      <c r="S5589">
        <v>0</v>
      </c>
      <c r="T5589">
        <v>1</v>
      </c>
    </row>
    <row r="5590" spans="1:20" ht="16.5" x14ac:dyDescent="0.3">
      <c r="A5590" t="s">
        <v>5644</v>
      </c>
      <c r="B5590" s="1">
        <v>46022</v>
      </c>
      <c r="C5590">
        <v>2025</v>
      </c>
      <c r="D5590" t="s">
        <v>1873</v>
      </c>
      <c r="E5590" t="s">
        <v>2413</v>
      </c>
      <c r="F5590" t="s">
        <v>34</v>
      </c>
      <c r="G5590" t="s">
        <v>35</v>
      </c>
      <c r="H5590" t="s">
        <v>48</v>
      </c>
      <c r="I5590" t="s">
        <v>31</v>
      </c>
      <c r="J5590" t="s">
        <v>27</v>
      </c>
      <c r="K5590" t="s">
        <v>32</v>
      </c>
      <c r="L5590" s="2">
        <v>4.0999999999999996</v>
      </c>
      <c r="M5590" s="3">
        <v>347</v>
      </c>
      <c r="N5590">
        <v>6</v>
      </c>
      <c r="O5590">
        <v>7</v>
      </c>
      <c r="P5590">
        <v>0</v>
      </c>
      <c r="Q5590">
        <v>1</v>
      </c>
      <c r="R5590" s="4">
        <v>8.75</v>
      </c>
      <c r="S5590">
        <v>1</v>
      </c>
      <c r="T5590">
        <v>1</v>
      </c>
    </row>
    <row r="5591" spans="1:20" ht="16.5" x14ac:dyDescent="0.3">
      <c r="A5591" t="s">
        <v>5645</v>
      </c>
      <c r="B5591" s="1">
        <v>46022</v>
      </c>
      <c r="C5591">
        <v>2025</v>
      </c>
      <c r="D5591" t="s">
        <v>1873</v>
      </c>
      <c r="E5591" t="s">
        <v>2413</v>
      </c>
      <c r="F5591" t="s">
        <v>23</v>
      </c>
      <c r="G5591" t="s">
        <v>39</v>
      </c>
      <c r="H5591" t="s">
        <v>48</v>
      </c>
      <c r="I5591" t="s">
        <v>26</v>
      </c>
      <c r="J5591" t="s">
        <v>27</v>
      </c>
      <c r="K5591" t="s">
        <v>28</v>
      </c>
      <c r="L5591" s="2">
        <v>106.8</v>
      </c>
      <c r="M5591" s="3">
        <v>451</v>
      </c>
      <c r="N5591">
        <v>4</v>
      </c>
      <c r="O5591">
        <v>6</v>
      </c>
      <c r="P5591">
        <v>0</v>
      </c>
      <c r="Q5591">
        <v>2</v>
      </c>
      <c r="R5591" s="4">
        <v>55.59</v>
      </c>
      <c r="S5591">
        <v>0</v>
      </c>
      <c r="T5591">
        <v>1</v>
      </c>
    </row>
    <row r="5592" spans="1:20" ht="16.5" x14ac:dyDescent="0.3">
      <c r="A5592" t="s">
        <v>5646</v>
      </c>
      <c r="B5592" s="1">
        <v>46022</v>
      </c>
      <c r="C5592">
        <v>2025</v>
      </c>
      <c r="D5592" t="s">
        <v>1873</v>
      </c>
      <c r="E5592" t="s">
        <v>2413</v>
      </c>
      <c r="F5592" t="s">
        <v>38</v>
      </c>
      <c r="G5592" t="s">
        <v>35</v>
      </c>
      <c r="H5592" t="s">
        <v>25</v>
      </c>
      <c r="I5592" t="s">
        <v>31</v>
      </c>
      <c r="J5592" t="s">
        <v>27</v>
      </c>
      <c r="K5592" t="s">
        <v>32</v>
      </c>
      <c r="L5592" s="2">
        <v>5.6</v>
      </c>
      <c r="M5592" s="3">
        <v>875</v>
      </c>
      <c r="N5592">
        <v>6</v>
      </c>
      <c r="O5592">
        <v>6</v>
      </c>
      <c r="P5592">
        <v>1</v>
      </c>
      <c r="Q5592">
        <v>0</v>
      </c>
      <c r="R5592" s="4">
        <v>16.32</v>
      </c>
      <c r="S5592">
        <v>0</v>
      </c>
      <c r="T5592">
        <v>1</v>
      </c>
    </row>
    <row r="5593" spans="1:20" ht="16.5" x14ac:dyDescent="0.3">
      <c r="A5593" t="s">
        <v>5647</v>
      </c>
      <c r="B5593" s="1">
        <v>46022</v>
      </c>
      <c r="C5593">
        <v>2025</v>
      </c>
      <c r="D5593" t="s">
        <v>1873</v>
      </c>
      <c r="E5593" t="s">
        <v>2413</v>
      </c>
      <c r="F5593" t="s">
        <v>34</v>
      </c>
      <c r="G5593" t="s">
        <v>35</v>
      </c>
      <c r="H5593" t="s">
        <v>43</v>
      </c>
      <c r="I5593" t="s">
        <v>26</v>
      </c>
      <c r="J5593" t="s">
        <v>27</v>
      </c>
      <c r="K5593" t="s">
        <v>28</v>
      </c>
      <c r="L5593" s="2">
        <v>170.8</v>
      </c>
      <c r="M5593" s="3">
        <v>1190</v>
      </c>
      <c r="N5593">
        <v>5</v>
      </c>
      <c r="O5593">
        <v>5</v>
      </c>
      <c r="P5593">
        <v>1</v>
      </c>
      <c r="Q5593">
        <v>0</v>
      </c>
      <c r="R5593" s="4">
        <v>66.56</v>
      </c>
      <c r="S5593">
        <v>0</v>
      </c>
      <c r="T5593">
        <v>1</v>
      </c>
    </row>
    <row r="5594" spans="1:20" ht="16.5" x14ac:dyDescent="0.3">
      <c r="A5594" t="s">
        <v>5648</v>
      </c>
      <c r="B5594" s="1">
        <v>46022</v>
      </c>
      <c r="C5594">
        <v>2025</v>
      </c>
      <c r="D5594" t="s">
        <v>1873</v>
      </c>
      <c r="E5594" t="s">
        <v>2413</v>
      </c>
      <c r="F5594" t="s">
        <v>57</v>
      </c>
      <c r="G5594" t="s">
        <v>35</v>
      </c>
      <c r="H5594" t="s">
        <v>48</v>
      </c>
      <c r="I5594" t="s">
        <v>26</v>
      </c>
      <c r="J5594" t="s">
        <v>27</v>
      </c>
      <c r="K5594" t="s">
        <v>32</v>
      </c>
      <c r="L5594" s="2">
        <v>11.7</v>
      </c>
      <c r="M5594" s="3">
        <v>517</v>
      </c>
      <c r="N5594">
        <v>4</v>
      </c>
      <c r="O5594">
        <v>3</v>
      </c>
      <c r="P5594">
        <v>1</v>
      </c>
      <c r="Q5594">
        <v>0</v>
      </c>
      <c r="R5594" s="4">
        <v>21.42</v>
      </c>
      <c r="S5594">
        <v>0</v>
      </c>
      <c r="T5594">
        <v>1</v>
      </c>
    </row>
    <row r="5595" spans="1:20" ht="16.5" x14ac:dyDescent="0.3">
      <c r="A5595" t="s">
        <v>5649</v>
      </c>
      <c r="B5595" s="1">
        <v>46022</v>
      </c>
      <c r="C5595">
        <v>2025</v>
      </c>
      <c r="D5595" t="s">
        <v>1873</v>
      </c>
      <c r="E5595" t="s">
        <v>2413</v>
      </c>
      <c r="F5595" t="s">
        <v>57</v>
      </c>
      <c r="G5595" t="s">
        <v>39</v>
      </c>
      <c r="H5595" t="s">
        <v>48</v>
      </c>
      <c r="I5595" t="s">
        <v>31</v>
      </c>
      <c r="J5595" t="s">
        <v>27</v>
      </c>
      <c r="K5595" t="s">
        <v>28</v>
      </c>
      <c r="L5595" s="2">
        <v>113.6</v>
      </c>
      <c r="M5595" s="3">
        <v>436</v>
      </c>
      <c r="N5595">
        <v>6</v>
      </c>
      <c r="O5595">
        <v>6</v>
      </c>
      <c r="P5595">
        <v>1</v>
      </c>
      <c r="Q5595">
        <v>0</v>
      </c>
      <c r="R5595" s="4">
        <v>45.48</v>
      </c>
      <c r="S5595">
        <v>0</v>
      </c>
      <c r="T5595">
        <v>1</v>
      </c>
    </row>
    <row r="5596" spans="1:20" ht="16.5" x14ac:dyDescent="0.3">
      <c r="A5596" t="s">
        <v>5650</v>
      </c>
      <c r="B5596" s="1">
        <v>46022</v>
      </c>
      <c r="C5596">
        <v>2025</v>
      </c>
      <c r="D5596" t="s">
        <v>1873</v>
      </c>
      <c r="E5596" t="s">
        <v>2413</v>
      </c>
      <c r="F5596" t="s">
        <v>30</v>
      </c>
      <c r="G5596" t="s">
        <v>39</v>
      </c>
      <c r="H5596" t="s">
        <v>25</v>
      </c>
      <c r="I5596" t="s">
        <v>31</v>
      </c>
      <c r="J5596" t="s">
        <v>27</v>
      </c>
      <c r="K5596" t="s">
        <v>28</v>
      </c>
      <c r="L5596" s="2">
        <v>60.1</v>
      </c>
      <c r="M5596" s="3">
        <v>869</v>
      </c>
      <c r="N5596">
        <v>6</v>
      </c>
      <c r="O5596">
        <v>6</v>
      </c>
      <c r="P5596">
        <v>1</v>
      </c>
      <c r="Q5596">
        <v>0</v>
      </c>
      <c r="R5596" s="4">
        <v>33.159999999999997</v>
      </c>
      <c r="S5596">
        <v>0</v>
      </c>
      <c r="T5596">
        <v>1</v>
      </c>
    </row>
    <row r="5597" spans="1:20" ht="16.5" x14ac:dyDescent="0.3">
      <c r="A5597" t="s">
        <v>5651</v>
      </c>
      <c r="B5597" s="1">
        <v>46022</v>
      </c>
      <c r="C5597">
        <v>2025</v>
      </c>
      <c r="D5597" t="s">
        <v>1873</v>
      </c>
      <c r="E5597" t="s">
        <v>2413</v>
      </c>
      <c r="F5597" t="s">
        <v>38</v>
      </c>
      <c r="G5597" t="s">
        <v>35</v>
      </c>
      <c r="H5597" t="s">
        <v>48</v>
      </c>
      <c r="I5597" t="s">
        <v>40</v>
      </c>
      <c r="J5597" t="s">
        <v>27</v>
      </c>
      <c r="K5597" t="s">
        <v>32</v>
      </c>
      <c r="L5597" s="2">
        <v>3.9</v>
      </c>
      <c r="M5597" s="3">
        <v>513</v>
      </c>
      <c r="N5597">
        <v>2</v>
      </c>
      <c r="O5597">
        <v>2</v>
      </c>
      <c r="P5597">
        <v>1</v>
      </c>
      <c r="Q5597">
        <v>0</v>
      </c>
      <c r="R5597" s="4">
        <v>33.43</v>
      </c>
      <c r="S5597">
        <v>0</v>
      </c>
      <c r="T5597">
        <v>1</v>
      </c>
    </row>
    <row r="5598" spans="1:20" ht="16.5" x14ac:dyDescent="0.3">
      <c r="A5598" t="s">
        <v>5652</v>
      </c>
      <c r="B5598" s="1">
        <v>46022</v>
      </c>
      <c r="C5598">
        <v>2025</v>
      </c>
      <c r="D5598" t="s">
        <v>1873</v>
      </c>
      <c r="E5598" t="s">
        <v>2413</v>
      </c>
      <c r="F5598" t="s">
        <v>57</v>
      </c>
      <c r="G5598" t="s">
        <v>39</v>
      </c>
      <c r="H5598" t="s">
        <v>25</v>
      </c>
      <c r="I5598" t="s">
        <v>26</v>
      </c>
      <c r="J5598" t="s">
        <v>27</v>
      </c>
      <c r="K5598" t="s">
        <v>28</v>
      </c>
      <c r="L5598" s="2">
        <v>135.6</v>
      </c>
      <c r="M5598" s="3">
        <v>1146</v>
      </c>
      <c r="N5598">
        <v>4</v>
      </c>
      <c r="O5598">
        <v>4</v>
      </c>
      <c r="P5598">
        <v>1</v>
      </c>
      <c r="Q5598">
        <v>0</v>
      </c>
      <c r="R5598" s="4">
        <v>78.98</v>
      </c>
      <c r="S5598">
        <v>0</v>
      </c>
      <c r="T5598">
        <v>1</v>
      </c>
    </row>
    <row r="5599" spans="1:20" ht="16.5" x14ac:dyDescent="0.3">
      <c r="A5599" t="s">
        <v>5653</v>
      </c>
      <c r="B5599" s="1">
        <v>46022</v>
      </c>
      <c r="C5599">
        <v>2025</v>
      </c>
      <c r="D5599" t="s">
        <v>1873</v>
      </c>
      <c r="E5599" t="s">
        <v>2413</v>
      </c>
      <c r="F5599" t="s">
        <v>34</v>
      </c>
      <c r="G5599" t="s">
        <v>39</v>
      </c>
      <c r="H5599" t="s">
        <v>25</v>
      </c>
      <c r="I5599" t="s">
        <v>26</v>
      </c>
      <c r="J5599" t="s">
        <v>27</v>
      </c>
      <c r="K5599" t="s">
        <v>32</v>
      </c>
      <c r="L5599" s="2">
        <v>6.5</v>
      </c>
      <c r="M5599" s="3">
        <v>898</v>
      </c>
      <c r="N5599">
        <v>4</v>
      </c>
      <c r="O5599">
        <v>3</v>
      </c>
      <c r="P5599">
        <v>1</v>
      </c>
      <c r="Q5599">
        <v>0</v>
      </c>
      <c r="R5599" s="4">
        <v>19.3</v>
      </c>
      <c r="S5599">
        <v>0</v>
      </c>
      <c r="T5599">
        <v>1</v>
      </c>
    </row>
    <row r="5600" spans="1:20" ht="16.5" x14ac:dyDescent="0.3">
      <c r="A5600" t="s">
        <v>5654</v>
      </c>
      <c r="B5600" s="1">
        <v>46022</v>
      </c>
      <c r="C5600">
        <v>2025</v>
      </c>
      <c r="D5600" t="s">
        <v>1873</v>
      </c>
      <c r="E5600" t="s">
        <v>2413</v>
      </c>
      <c r="F5600" t="s">
        <v>34</v>
      </c>
      <c r="G5600" t="s">
        <v>39</v>
      </c>
      <c r="H5600" t="s">
        <v>51</v>
      </c>
      <c r="I5600" t="s">
        <v>26</v>
      </c>
      <c r="J5600" t="s">
        <v>27</v>
      </c>
      <c r="K5600" t="s">
        <v>32</v>
      </c>
      <c r="L5600" s="2">
        <v>5.2</v>
      </c>
      <c r="M5600" s="3">
        <v>991</v>
      </c>
      <c r="N5600">
        <v>5</v>
      </c>
      <c r="O5600">
        <v>6</v>
      </c>
      <c r="P5600">
        <v>0</v>
      </c>
      <c r="Q5600">
        <v>1</v>
      </c>
      <c r="R5600" s="4">
        <v>20.29</v>
      </c>
      <c r="S5600">
        <v>0</v>
      </c>
      <c r="T5600">
        <v>1</v>
      </c>
    </row>
    <row r="5601" spans="1:20" ht="16.5" x14ac:dyDescent="0.3">
      <c r="A5601" t="s">
        <v>5655</v>
      </c>
      <c r="B5601" s="1">
        <v>46022</v>
      </c>
      <c r="C5601">
        <v>2025</v>
      </c>
      <c r="D5601" t="s">
        <v>1873</v>
      </c>
      <c r="E5601" t="s">
        <v>2413</v>
      </c>
      <c r="F5601" t="s">
        <v>38</v>
      </c>
      <c r="G5601" t="s">
        <v>39</v>
      </c>
      <c r="H5601" t="s">
        <v>48</v>
      </c>
      <c r="I5601" t="s">
        <v>31</v>
      </c>
      <c r="J5601" t="s">
        <v>27</v>
      </c>
      <c r="K5601" t="s">
        <v>32</v>
      </c>
      <c r="L5601" s="2">
        <v>11.4</v>
      </c>
      <c r="M5601" s="3">
        <v>492</v>
      </c>
      <c r="N5601">
        <v>6</v>
      </c>
      <c r="O5601">
        <v>6</v>
      </c>
      <c r="P5601">
        <v>1</v>
      </c>
      <c r="Q5601">
        <v>0</v>
      </c>
      <c r="R5601" s="4">
        <v>15.98</v>
      </c>
      <c r="S5601">
        <v>0</v>
      </c>
      <c r="T5601">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52"/>
  <sheetViews>
    <sheetView showGridLines="0" workbookViewId="0"/>
  </sheetViews>
  <sheetFormatPr defaultRowHeight="15" x14ac:dyDescent="0.3"/>
  <cols>
    <col min="1" max="1" width="2.625" customWidth="1"/>
    <col min="2" max="2" width="29.875" customWidth="1"/>
    <col min="3" max="3" width="94.875" customWidth="1"/>
  </cols>
  <sheetData>
    <row r="2" spans="2:3" ht="33.950000000000003" customHeight="1" x14ac:dyDescent="0.3">
      <c r="B2" s="10" t="s">
        <v>5656</v>
      </c>
      <c r="C2" s="11"/>
    </row>
    <row r="3" spans="2:3" ht="16.5" x14ac:dyDescent="0.3">
      <c r="B3" s="5" t="s">
        <v>5657</v>
      </c>
    </row>
    <row r="5" spans="2:3" ht="16.5" x14ac:dyDescent="0.3">
      <c r="B5" s="6" t="s">
        <v>5658</v>
      </c>
      <c r="C5" s="7"/>
    </row>
    <row r="6" spans="2:3" ht="30" customHeight="1" x14ac:dyDescent="0.3">
      <c r="B6" s="8" t="s">
        <v>5659</v>
      </c>
      <c r="C6" s="9" t="s">
        <v>5660</v>
      </c>
    </row>
    <row r="8" spans="2:3" ht="16.5" x14ac:dyDescent="0.3">
      <c r="B8" s="6" t="s">
        <v>5661</v>
      </c>
      <c r="C8" s="7"/>
    </row>
    <row r="9" spans="2:3" ht="15.95" customHeight="1" x14ac:dyDescent="0.3">
      <c r="B9" s="8" t="s">
        <v>21</v>
      </c>
      <c r="C9" s="9" t="s">
        <v>5662</v>
      </c>
    </row>
    <row r="10" spans="2:3" ht="15.95" customHeight="1" x14ac:dyDescent="0.3">
      <c r="B10" s="8" t="s">
        <v>649</v>
      </c>
      <c r="C10" s="9" t="s">
        <v>5663</v>
      </c>
    </row>
    <row r="11" spans="2:3" ht="15.95" customHeight="1" x14ac:dyDescent="0.3">
      <c r="B11" s="8" t="s">
        <v>1261</v>
      </c>
      <c r="C11" s="9" t="s">
        <v>5664</v>
      </c>
    </row>
    <row r="12" spans="2:3" ht="15.95" customHeight="1" x14ac:dyDescent="0.3">
      <c r="B12" s="8" t="s">
        <v>1873</v>
      </c>
      <c r="C12" s="9" t="s">
        <v>5665</v>
      </c>
    </row>
    <row r="13" spans="2:3" ht="15.95" customHeight="1" x14ac:dyDescent="0.3">
      <c r="B13" s="8" t="s">
        <v>5666</v>
      </c>
      <c r="C13" s="9" t="s">
        <v>5667</v>
      </c>
    </row>
    <row r="15" spans="2:3" ht="16.5" x14ac:dyDescent="0.3">
      <c r="B15" s="6" t="s">
        <v>5668</v>
      </c>
      <c r="C15" s="7"/>
    </row>
    <row r="16" spans="2:3" ht="15.95" customHeight="1" x14ac:dyDescent="0.3">
      <c r="B16" s="8" t="s">
        <v>5669</v>
      </c>
      <c r="C16" s="9" t="s">
        <v>5670</v>
      </c>
    </row>
    <row r="17" spans="2:3" ht="30" customHeight="1" x14ac:dyDescent="0.3">
      <c r="B17" s="8" t="s">
        <v>5671</v>
      </c>
      <c r="C17" s="9" t="s">
        <v>5672</v>
      </c>
    </row>
    <row r="18" spans="2:3" ht="15.95" customHeight="1" x14ac:dyDescent="0.3">
      <c r="B18" s="8" t="s">
        <v>5673</v>
      </c>
      <c r="C18" s="9" t="s">
        <v>5674</v>
      </c>
    </row>
    <row r="19" spans="2:3" ht="15.95" customHeight="1" x14ac:dyDescent="0.3">
      <c r="B19" s="8" t="s">
        <v>5675</v>
      </c>
      <c r="C19" s="9" t="s">
        <v>5676</v>
      </c>
    </row>
    <row r="20" spans="2:3" ht="15.95" customHeight="1" x14ac:dyDescent="0.3">
      <c r="B20" s="8" t="s">
        <v>5677</v>
      </c>
      <c r="C20" s="9" t="s">
        <v>5678</v>
      </c>
    </row>
    <row r="22" spans="2:3" ht="16.5" x14ac:dyDescent="0.3">
      <c r="B22" s="6" t="s">
        <v>5679</v>
      </c>
      <c r="C22" s="7"/>
    </row>
    <row r="23" spans="2:3" ht="30" customHeight="1" x14ac:dyDescent="0.3">
      <c r="B23" s="8" t="s">
        <v>5680</v>
      </c>
      <c r="C23" s="9" t="s">
        <v>5681</v>
      </c>
    </row>
    <row r="24" spans="2:3" ht="15.95" customHeight="1" x14ac:dyDescent="0.3">
      <c r="B24" s="8" t="s">
        <v>5682</v>
      </c>
      <c r="C24" s="9" t="s">
        <v>5683</v>
      </c>
    </row>
    <row r="25" spans="2:3" ht="30" customHeight="1" x14ac:dyDescent="0.3">
      <c r="B25" s="8" t="s">
        <v>5684</v>
      </c>
      <c r="C25" s="9" t="s">
        <v>5685</v>
      </c>
    </row>
    <row r="26" spans="2:3" ht="15.95" customHeight="1" x14ac:dyDescent="0.3">
      <c r="B26" s="8" t="s">
        <v>5686</v>
      </c>
      <c r="C26" s="9" t="s">
        <v>5687</v>
      </c>
    </row>
    <row r="28" spans="2:3" ht="16.5" x14ac:dyDescent="0.3">
      <c r="B28" s="6" t="s">
        <v>5688</v>
      </c>
      <c r="C28" s="7"/>
    </row>
    <row r="29" spans="2:3" ht="15.95" customHeight="1" x14ac:dyDescent="0.3">
      <c r="B29" s="8" t="s">
        <v>5689</v>
      </c>
      <c r="C29" s="9" t="s">
        <v>5690</v>
      </c>
    </row>
    <row r="30" spans="2:3" ht="15.95" customHeight="1" x14ac:dyDescent="0.3">
      <c r="B30" s="8" t="s">
        <v>5691</v>
      </c>
      <c r="C30" s="9" t="s">
        <v>5692</v>
      </c>
    </row>
    <row r="31" spans="2:3" ht="15.95" customHeight="1" x14ac:dyDescent="0.3">
      <c r="B31" s="8" t="s">
        <v>0</v>
      </c>
      <c r="C31" s="9" t="s">
        <v>5693</v>
      </c>
    </row>
    <row r="32" spans="2:3" ht="15.95" customHeight="1" x14ac:dyDescent="0.3">
      <c r="B32" s="8" t="s">
        <v>1</v>
      </c>
      <c r="C32" s="9" t="s">
        <v>5694</v>
      </c>
    </row>
    <row r="33" spans="2:3" ht="15.95" customHeight="1" x14ac:dyDescent="0.3">
      <c r="B33" s="8" t="s">
        <v>5</v>
      </c>
      <c r="C33" s="9" t="s">
        <v>5695</v>
      </c>
    </row>
    <row r="34" spans="2:3" ht="15.95" customHeight="1" x14ac:dyDescent="0.3">
      <c r="B34" s="8" t="s">
        <v>6</v>
      </c>
      <c r="C34" s="9" t="s">
        <v>5696</v>
      </c>
    </row>
    <row r="35" spans="2:3" ht="15.95" customHeight="1" x14ac:dyDescent="0.3">
      <c r="B35" s="8" t="s">
        <v>7</v>
      </c>
      <c r="C35" s="9" t="s">
        <v>5697</v>
      </c>
    </row>
    <row r="36" spans="2:3" ht="15.95" customHeight="1" x14ac:dyDescent="0.3">
      <c r="B36" s="8" t="s">
        <v>8</v>
      </c>
      <c r="C36" s="9" t="s">
        <v>5698</v>
      </c>
    </row>
    <row r="37" spans="2:3" ht="15.95" customHeight="1" x14ac:dyDescent="0.3">
      <c r="B37" s="8" t="s">
        <v>9</v>
      </c>
      <c r="C37" s="9" t="s">
        <v>5699</v>
      </c>
    </row>
    <row r="38" spans="2:3" ht="15.95" customHeight="1" x14ac:dyDescent="0.3">
      <c r="B38" s="8" t="s">
        <v>10</v>
      </c>
      <c r="C38" s="9" t="s">
        <v>5700</v>
      </c>
    </row>
    <row r="39" spans="2:3" ht="15.95" customHeight="1" x14ac:dyDescent="0.3">
      <c r="B39" s="8" t="s">
        <v>5701</v>
      </c>
      <c r="C39" s="9" t="s">
        <v>5702</v>
      </c>
    </row>
    <row r="40" spans="2:3" ht="15.95" customHeight="1" x14ac:dyDescent="0.3">
      <c r="B40" s="8" t="s">
        <v>5703</v>
      </c>
      <c r="C40" s="9" t="s">
        <v>5704</v>
      </c>
    </row>
    <row r="41" spans="2:3" ht="15.95" customHeight="1" x14ac:dyDescent="0.3">
      <c r="B41" s="8" t="s">
        <v>15</v>
      </c>
      <c r="C41" s="9" t="s">
        <v>5705</v>
      </c>
    </row>
    <row r="42" spans="2:3" ht="15.95" customHeight="1" x14ac:dyDescent="0.3">
      <c r="B42" s="8" t="s">
        <v>16</v>
      </c>
      <c r="C42" s="9" t="s">
        <v>5706</v>
      </c>
    </row>
    <row r="43" spans="2:3" ht="15.95" customHeight="1" x14ac:dyDescent="0.3">
      <c r="B43" s="8" t="s">
        <v>17</v>
      </c>
      <c r="C43" s="9" t="s">
        <v>5707</v>
      </c>
    </row>
    <row r="44" spans="2:3" ht="15.95" customHeight="1" x14ac:dyDescent="0.3">
      <c r="B44" s="8" t="s">
        <v>18</v>
      </c>
      <c r="C44" s="9" t="s">
        <v>5708</v>
      </c>
    </row>
    <row r="45" spans="2:3" ht="15.95" customHeight="1" x14ac:dyDescent="0.3">
      <c r="B45" s="8" t="s">
        <v>19</v>
      </c>
      <c r="C45" s="9" t="s">
        <v>5709</v>
      </c>
    </row>
    <row r="47" spans="2:3" ht="16.5" x14ac:dyDescent="0.3">
      <c r="B47" s="6" t="s">
        <v>5710</v>
      </c>
      <c r="C47" s="7"/>
    </row>
    <row r="48" spans="2:3" ht="15.95" customHeight="1" x14ac:dyDescent="0.3">
      <c r="B48" s="8" t="s">
        <v>5711</v>
      </c>
      <c r="C48" s="9" t="s">
        <v>5712</v>
      </c>
    </row>
    <row r="49" spans="2:3" ht="15.95" customHeight="1" x14ac:dyDescent="0.3">
      <c r="B49" s="8" t="s">
        <v>5713</v>
      </c>
      <c r="C49" s="9" t="s">
        <v>5714</v>
      </c>
    </row>
    <row r="50" spans="2:3" ht="15.95" customHeight="1" x14ac:dyDescent="0.3">
      <c r="B50" s="8" t="s">
        <v>5715</v>
      </c>
      <c r="C50" s="9" t="s">
        <v>5716</v>
      </c>
    </row>
    <row r="51" spans="2:3" ht="15.95" customHeight="1" x14ac:dyDescent="0.3">
      <c r="B51" s="8" t="s">
        <v>5717</v>
      </c>
      <c r="C51" s="9" t="s">
        <v>5718</v>
      </c>
    </row>
    <row r="52" spans="2:3" ht="15.95" customHeight="1" x14ac:dyDescent="0.3">
      <c r="B52" s="8" t="s">
        <v>5719</v>
      </c>
      <c r="C52" s="9" t="s">
        <v>5720</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vt:lpstr>
      <vt:lpstr>Data</vt:lpstr>
      <vt:lpstr>About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Abdulsalam</dc:creator>
  <cp:lastModifiedBy>Ahmed Abdulsalam</cp:lastModifiedBy>
  <dcterms:created xsi:type="dcterms:W3CDTF">2026-10-14T18:06:05Z</dcterms:created>
  <dcterms:modified xsi:type="dcterms:W3CDTF">2026-10-14T18:06:20Z</dcterms:modified>
</cp:coreProperties>
</file>